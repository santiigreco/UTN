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a" sheetId="1" r:id="rId4"/>
    <sheet state="visible" name="Produccion" sheetId="2" r:id="rId5"/>
    <sheet state="visible" name="Plan de ventas" sheetId="3" r:id="rId6"/>
    <sheet state="visible" name="Inversiones" sheetId="4" r:id="rId7"/>
    <sheet state="visible" name="Costos" sheetId="5" r:id="rId8"/>
    <sheet state="visible" name="Flujo" sheetId="6" r:id="rId9"/>
  </sheets>
  <definedNames>
    <definedName hidden="1" localSheetId="4" name="_xlnm._FilterDatabase">Costos!$F$3:$K$14</definedName>
  </definedNames>
  <calcPr/>
  <extLst>
    <ext uri="GoogleSheetsCustomDataVersion2">
      <go:sheetsCustomData xmlns:go="http://customooxmlschemas.google.com/" r:id="rId10" roundtripDataChecksum="NXXgjHySJ7aON7Peev9JWqzDg/SxYHylkSN56V6MeEo="/>
    </ext>
  </extLst>
</workbook>
</file>

<file path=xl/sharedStrings.xml><?xml version="1.0" encoding="utf-8"?>
<sst xmlns="http://schemas.openxmlformats.org/spreadsheetml/2006/main" count="425" uniqueCount="220">
  <si>
    <t>Estimación anual de la demanda</t>
  </si>
  <si>
    <t>Población</t>
  </si>
  <si>
    <t>Cuantifiación</t>
  </si>
  <si>
    <t>Población total Arg</t>
  </si>
  <si>
    <t>% Celíacos</t>
  </si>
  <si>
    <t>Subpoblación celíacos</t>
  </si>
  <si>
    <t>Factor conviviente - demanda periférica</t>
  </si>
  <si>
    <t>Mercado potencial</t>
  </si>
  <si>
    <t>% Habitantes grandes aglomerados</t>
  </si>
  <si>
    <t>Mercado objetivo - AMBA</t>
  </si>
  <si>
    <t>Consumo teórico anual por persona (según INDEC)</t>
  </si>
  <si>
    <t>Producto</t>
  </si>
  <si>
    <t>Consumo</t>
  </si>
  <si>
    <t>Panificados</t>
  </si>
  <si>
    <t>kg</t>
  </si>
  <si>
    <t>Galletitas saladas</t>
  </si>
  <si>
    <t>Galletitas dulces</t>
  </si>
  <si>
    <t>Total</t>
  </si>
  <si>
    <t>Consumo anual mercado objetivo</t>
  </si>
  <si>
    <t>Ventas anuales</t>
  </si>
  <si>
    <t>% Mkt Share</t>
  </si>
  <si>
    <t>%</t>
  </si>
  <si>
    <t>Tn</t>
  </si>
  <si>
    <t>Ventas SMAMS 2025 [kg]</t>
  </si>
  <si>
    <t>%Mkt share de SMAMS</t>
  </si>
  <si>
    <t>Ventas anuales nuestro proyecto [kg]</t>
  </si>
  <si>
    <t>%Mkt share de nuestro proyecto</t>
  </si>
  <si>
    <t>Produccion</t>
  </si>
  <si>
    <t>Personal</t>
  </si>
  <si>
    <t>Producción por turno y eficiencia</t>
  </si>
  <si>
    <t>Escala de producción</t>
  </si>
  <si>
    <t>Linea</t>
  </si>
  <si>
    <t>Turnos</t>
  </si>
  <si>
    <t>Horario</t>
  </si>
  <si>
    <t>RH/turno</t>
  </si>
  <si>
    <t>RH</t>
  </si>
  <si>
    <t>Cajas/turno</t>
  </si>
  <si>
    <t>Cajas/h</t>
  </si>
  <si>
    <t>kg/caja</t>
  </si>
  <si>
    <t>kg/turno</t>
  </si>
  <si>
    <t>kg/h</t>
  </si>
  <si>
    <t>kg/dia</t>
  </si>
  <si>
    <t>kg/año</t>
  </si>
  <si>
    <t>Tn/año</t>
  </si>
  <si>
    <t>$/kg</t>
  </si>
  <si>
    <t>FC ($M)</t>
  </si>
  <si>
    <t>Pepas</t>
  </si>
  <si>
    <t>A</t>
  </si>
  <si>
    <t>M, T</t>
  </si>
  <si>
    <t>Polvorones</t>
  </si>
  <si>
    <t>N</t>
  </si>
  <si>
    <t>Budines</t>
  </si>
  <si>
    <t>B</t>
  </si>
  <si>
    <t>Linea A</t>
  </si>
  <si>
    <t>Linea B</t>
  </si>
  <si>
    <t>COD</t>
  </si>
  <si>
    <t>FC [$MM]</t>
  </si>
  <si>
    <t>kg/mes</t>
  </si>
  <si>
    <t>Ventas smams</t>
  </si>
  <si>
    <t>Factor</t>
  </si>
  <si>
    <t>% saludable</t>
  </si>
  <si>
    <t>% no saludable</t>
  </si>
  <si>
    <t>A001</t>
  </si>
  <si>
    <t>Chocolate con chips picante</t>
  </si>
  <si>
    <t>A002</t>
  </si>
  <si>
    <t>Galletitas simil chocolinas (S/ azúcares)</t>
  </si>
  <si>
    <t>A003</t>
  </si>
  <si>
    <t>Galletitas simil chocolinas</t>
  </si>
  <si>
    <t>A004</t>
  </si>
  <si>
    <t>Pepas chocolate y batata</t>
  </si>
  <si>
    <t>A005</t>
  </si>
  <si>
    <t>Bizcochos sabor queso (?)</t>
  </si>
  <si>
    <t>A006</t>
  </si>
  <si>
    <t>Bizcochos sabor queso</t>
  </si>
  <si>
    <t>A007</t>
  </si>
  <si>
    <t>Polvorones (S/ azúcares)</t>
  </si>
  <si>
    <t>A008</t>
  </si>
  <si>
    <t>B001</t>
  </si>
  <si>
    <t>Pan de molde</t>
  </si>
  <si>
    <t>B002</t>
  </si>
  <si>
    <t>B003</t>
  </si>
  <si>
    <t>Budines saludables (S/ azúcares)</t>
  </si>
  <si>
    <t>LINEA A</t>
  </si>
  <si>
    <t>Capacidad esperada (kg/h)</t>
  </si>
  <si>
    <t>Capacidad real (kg/h)</t>
  </si>
  <si>
    <t>Revisar capacidad de horno tunel</t>
  </si>
  <si>
    <t>Aprovechamiento</t>
  </si>
  <si>
    <t>LINEA B</t>
  </si>
  <si>
    <t>Revisar capacidad de horno rotativo</t>
  </si>
  <si>
    <t>El aprovechamiento debe estar entre 60/90%. Esto se mejora bajando la capacidad de la maquina o aumentando la producción, sin agregar máquinas</t>
  </si>
  <si>
    <t>[ARS MM]</t>
  </si>
  <si>
    <t>Ventas # con 5,27% de mercado</t>
  </si>
  <si>
    <t>Cantidad [paquetes]</t>
  </si>
  <si>
    <t>Precio [$/paquete]</t>
  </si>
  <si>
    <t>Chocolate con chips picante 150gr.</t>
  </si>
  <si>
    <t>Galletitas simil chocolinas (S/ azúcares) 150gr.</t>
  </si>
  <si>
    <t>Galletitas simil chocolinas 150gr.</t>
  </si>
  <si>
    <t>Pepas chocolate y batata 150gr.</t>
  </si>
  <si>
    <t>Bizcochos sabor queso saludables 150gr.</t>
  </si>
  <si>
    <t>Bizcochos sabor queso 150gr.</t>
  </si>
  <si>
    <t>Polvorones (S/ azúcares) 150gr.</t>
  </si>
  <si>
    <t>Polvorones 150gr.</t>
  </si>
  <si>
    <t>Pan de molde 400gr.</t>
  </si>
  <si>
    <t>Budines 180gr.</t>
  </si>
  <si>
    <t>Budines saludables (S/ azúcares) 180gr.</t>
  </si>
  <si>
    <t>TOTAL</t>
  </si>
  <si>
    <t>[Miles de unidades]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</si>
  <si>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</si>
  <si>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</si>
  <si>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</si>
  <si>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</si>
  <si>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</si>
  <si>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</si>
  <si>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</si>
  <si>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</si>
  <si>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</si>
  <si>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</si>
  <si>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Activo fijo</t>
  </si>
  <si>
    <t>Planta</t>
  </si>
  <si>
    <t>Activo trabajo</t>
  </si>
  <si>
    <t>Concepto</t>
  </si>
  <si>
    <t>ARS [MM]</t>
  </si>
  <si>
    <t>Categoría</t>
  </si>
  <si>
    <t>Equipo</t>
  </si>
  <si>
    <t>Cantidad</t>
  </si>
  <si>
    <t>Precio USD</t>
  </si>
  <si>
    <t>Precio $</t>
  </si>
  <si>
    <t>Total $</t>
  </si>
  <si>
    <t>TC</t>
  </si>
  <si>
    <t>Area</t>
  </si>
  <si>
    <t>m2</t>
  </si>
  <si>
    <t>ARS MM</t>
  </si>
  <si>
    <t>Plazo</t>
  </si>
  <si>
    <t>AT</t>
  </si>
  <si>
    <t>Nave industrial</t>
  </si>
  <si>
    <t>Rodados y equipos aux</t>
  </si>
  <si>
    <t>Uso general</t>
  </si>
  <si>
    <t>Autoelevador</t>
  </si>
  <si>
    <t>Producción y oficinas</t>
  </si>
  <si>
    <t>Compras MP</t>
  </si>
  <si>
    <t>Obras complementarias</t>
  </si>
  <si>
    <t>Zorra</t>
  </si>
  <si>
    <t>Deposito producto terminado</t>
  </si>
  <si>
    <t>Ventas PT</t>
  </si>
  <si>
    <t>Máquinas operativas</t>
  </si>
  <si>
    <t>Balanza micro pesado</t>
  </si>
  <si>
    <t>Deposito mp</t>
  </si>
  <si>
    <t>Rodados y equipos auxiliares</t>
  </si>
  <si>
    <t>Balanza macro pesado</t>
  </si>
  <si>
    <t>Inversion AT</t>
  </si>
  <si>
    <t>Muebles y útiles</t>
  </si>
  <si>
    <t>Costo construcción m2</t>
  </si>
  <si>
    <t>Muebles y utiles</t>
  </si>
  <si>
    <t>Impresora Injket</t>
  </si>
  <si>
    <t>Computadoras</t>
  </si>
  <si>
    <t>Sillas</t>
  </si>
  <si>
    <t>Mesas</t>
  </si>
  <si>
    <t>Sanitario (inodoro + lavamano)</t>
  </si>
  <si>
    <t>Maquinas</t>
  </si>
  <si>
    <t>Línea de Galletitas</t>
  </si>
  <si>
    <t>Amasadora Industrial</t>
  </si>
  <si>
    <t>Rotativa con dulcera</t>
  </si>
  <si>
    <t>Moldes formadores</t>
  </si>
  <si>
    <t>Horno de Túnel (Continuo)</t>
  </si>
  <si>
    <t>Cinta de Enfriamiento</t>
  </si>
  <si>
    <t>Envasadora</t>
  </si>
  <si>
    <t>Línea de panificados</t>
  </si>
  <si>
    <t>Batidora Industrial</t>
  </si>
  <si>
    <t>Dosificadora Volumétrica de Pistones</t>
  </si>
  <si>
    <t>Carros para horno</t>
  </si>
  <si>
    <t>Horno Rotativo</t>
  </si>
  <si>
    <t>Fermentadora de pan</t>
  </si>
  <si>
    <t>Cortadora de pan</t>
  </si>
  <si>
    <t>Carros de enfriamiento</t>
  </si>
  <si>
    <t>Detector de metales</t>
  </si>
  <si>
    <t>Resumen costos anuales</t>
  </si>
  <si>
    <t>Mano de obra</t>
  </si>
  <si>
    <t>Materia prima</t>
  </si>
  <si>
    <t>Sector</t>
  </si>
  <si>
    <t>Posición</t>
  </si>
  <si>
    <t>Tipo</t>
  </si>
  <si>
    <t>Sueldo basico [ARS]</t>
  </si>
  <si>
    <t>Total anual [ARS]</t>
  </si>
  <si>
    <t>Costo MP / Kg ($)</t>
  </si>
  <si>
    <t>Q anual (kg)</t>
  </si>
  <si>
    <t>Costo anual ($)</t>
  </si>
  <si>
    <t>Costo/precio</t>
  </si>
  <si>
    <t>Producción</t>
  </si>
  <si>
    <t>Operario</t>
  </si>
  <si>
    <t>Directo</t>
  </si>
  <si>
    <t>Calidad</t>
  </si>
  <si>
    <t>Analistas</t>
  </si>
  <si>
    <t>Indirecto</t>
  </si>
  <si>
    <t>Otros costos</t>
  </si>
  <si>
    <t>Admin y Finanzas</t>
  </si>
  <si>
    <t>Supervisores</t>
  </si>
  <si>
    <t>Bizcochos salados</t>
  </si>
  <si>
    <t>Jefes</t>
  </si>
  <si>
    <t>Gerente</t>
  </si>
  <si>
    <t>Ventas</t>
  </si>
  <si>
    <t>Gerencia</t>
  </si>
  <si>
    <t>CEO</t>
  </si>
  <si>
    <t>Budines saludables</t>
  </si>
  <si>
    <t>Apertura mano de obra</t>
  </si>
  <si>
    <t>Mano de obra directa</t>
  </si>
  <si>
    <t>Mano de obra indirecta</t>
  </si>
  <si>
    <t>Flujo de fondos [ARS MM]</t>
  </si>
  <si>
    <t>Concepto/Año</t>
  </si>
  <si>
    <t>Ingresos</t>
  </si>
  <si>
    <t>Egresos</t>
  </si>
  <si>
    <t>Utilidad</t>
  </si>
  <si>
    <t>Honorarios directorio (5%)</t>
  </si>
  <si>
    <t>IIGG (35%)</t>
  </si>
  <si>
    <t>Saldo</t>
  </si>
  <si>
    <t>Saldo Acumulado</t>
  </si>
  <si>
    <t>Beneficio neto [ARS MM]</t>
  </si>
  <si>
    <t>Recupero inversión</t>
  </si>
  <si>
    <t>TIR [%]</t>
  </si>
  <si>
    <t>VAN [ARS MM]</t>
  </si>
  <si>
    <t>wacc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</si>
</sst>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"/>
    <numFmt numFmtId="165" formatCode="_-* #,##0_-;\-* #,##0_-;_-* &quot;-&quot;??_-;_-@"/>
    <numFmt numFmtId="166" formatCode="0.0"/>
    <numFmt numFmtId="167" formatCode="_-* #,##0.00_-;\-* #,##0.00_-;_-* &quot;-&quot;??_-;_-@"/>
    <numFmt numFmtId="168" formatCode="0.0%"/>
  </numFmts>
  <fonts count="27">
    <font>
      <sz val="11.0"/>
      <color theme="1"/>
      <name val="Calibri"/>
      <scheme val="minor"/>
    </font>
    <font>
      <sz val="9.0"/>
      <color theme="1"/>
      <name val="Nunito"/>
    </font>
    <font>
      <color theme="1"/>
      <name val="Nunito"/>
    </font>
    <font>
      <b/>
      <sz val="11.0"/>
      <color theme="1"/>
      <name val="Nunito"/>
    </font>
    <font>
      <sz val="11.0"/>
      <color theme="1"/>
      <name val="Nunito"/>
    </font>
    <font>
      <b/>
      <color theme="1"/>
      <name val="Nunito"/>
    </font>
    <font>
      <b/>
      <sz val="9.0"/>
      <color theme="1"/>
      <name val="Nunito"/>
    </font>
    <font/>
    <font>
      <b/>
      <sz val="9.0"/>
      <color theme="0"/>
      <name val="Nunito"/>
    </font>
    <font>
      <sz val="9.0"/>
      <color rgb="FF0070C0"/>
      <name val="Nunito"/>
    </font>
    <font>
      <sz val="9.0"/>
      <color rgb="FFC55A11"/>
      <name val="Nunito"/>
    </font>
    <font>
      <b/>
      <sz val="9.0"/>
      <color rgb="FF0070C0"/>
      <name val="Nunito"/>
    </font>
    <font>
      <b/>
      <sz val="9.0"/>
      <color rgb="FFC55A11"/>
      <name val="Nunito"/>
    </font>
    <font>
      <b/>
      <sz val="9.0"/>
      <color rgb="FFFFFFFF"/>
      <name val="Nunito"/>
    </font>
    <font>
      <sz val="8.0"/>
      <color theme="1"/>
      <name val="Nunito"/>
    </font>
    <font>
      <sz val="10.0"/>
      <color theme="1"/>
      <name val="Nunito"/>
    </font>
    <font>
      <b/>
      <sz val="10.0"/>
      <color theme="1"/>
      <name val="Nunito"/>
    </font>
    <font>
      <b/>
      <sz val="10.0"/>
      <color rgb="FFFFFFFF"/>
      <name val="Nunito"/>
    </font>
    <font>
      <sz val="10.0"/>
      <color rgb="FF000000"/>
      <name val="Nunito"/>
    </font>
    <font>
      <sz val="10.0"/>
      <color rgb="FF0070C0"/>
      <name val="Nunito"/>
    </font>
    <font>
      <b/>
      <sz val="10.0"/>
      <color rgb="FF000000"/>
      <name val="Nunito"/>
    </font>
    <font>
      <b/>
      <sz val="10.0"/>
      <color theme="0"/>
      <name val="Nunito"/>
    </font>
    <font>
      <sz val="9.0"/>
      <color rgb="FF00B050"/>
      <name val="Nunito"/>
    </font>
    <font>
      <b/>
      <sz val="9.0"/>
      <color rgb="FF00B050"/>
      <name val="Nunito"/>
    </font>
    <font>
      <sz val="9.0"/>
      <color rgb="FFFF0000"/>
      <name val="Nunito"/>
    </font>
    <font>
      <b/>
      <sz val="9.0"/>
      <color rgb="FFFF0000"/>
      <name val="Nunito"/>
    </font>
    <font>
      <sz val="9.0"/>
      <color rgb="FFFFFFFF"/>
      <name val="Nunito"/>
    </font>
  </fonts>
  <fills count="11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3F3F3F"/>
        <bgColor rgb="FF3F3F3F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262626"/>
        <bgColor rgb="FF262626"/>
      </patternFill>
    </fill>
    <fill>
      <patternFill patternType="solid">
        <fgColor rgb="FF434343"/>
        <bgColor rgb="FF434343"/>
      </patternFill>
    </fill>
  </fills>
  <borders count="21">
    <border/>
    <border>
      <bottom style="thin">
        <color rgb="FF000000"/>
      </bottom>
    </border>
    <border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2" fontId="3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1" fillId="3" fontId="3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3" fontId="3" numFmtId="0" xfId="0" applyAlignment="1" applyBorder="1" applyFont="1">
      <alignment readingOrder="0" vertical="bottom"/>
    </xf>
    <xf borderId="0" fillId="3" fontId="4" numFmtId="3" xfId="0" applyAlignment="1" applyFont="1" applyNumberFormat="1">
      <alignment horizontal="right" vertical="bottom"/>
    </xf>
    <xf borderId="0" fillId="3" fontId="4" numFmtId="9" xfId="0" applyAlignment="1" applyFont="1" applyNumberFormat="1">
      <alignment horizontal="right" vertical="bottom"/>
    </xf>
    <xf borderId="0" fillId="3" fontId="4" numFmtId="3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 vertical="bottom"/>
    </xf>
    <xf borderId="0" fillId="3" fontId="4" numFmtId="164" xfId="0" applyAlignment="1" applyFont="1" applyNumberFormat="1">
      <alignment horizontal="right" readingOrder="0" vertical="bottom"/>
    </xf>
    <xf borderId="0" fillId="3" fontId="4" numFmtId="9" xfId="0" applyAlignment="1" applyFont="1" applyNumberFormat="1">
      <alignment horizontal="right" readingOrder="0" vertical="bottom"/>
    </xf>
    <xf borderId="0" fillId="3" fontId="3" numFmtId="0" xfId="0" applyAlignment="1" applyFont="1">
      <alignment vertical="bottom"/>
    </xf>
    <xf borderId="1" fillId="3" fontId="3" numFmtId="0" xfId="0" applyAlignment="1" applyBorder="1" applyFont="1">
      <alignment horizontal="right" vertical="bottom"/>
    </xf>
    <xf borderId="0" fillId="3" fontId="4" numFmtId="4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center"/>
    </xf>
    <xf borderId="1" fillId="3" fontId="4" numFmtId="4" xfId="0" applyAlignment="1" applyBorder="1" applyFont="1" applyNumberFormat="1">
      <alignment horizontal="right" vertical="bottom"/>
    </xf>
    <xf borderId="0" fillId="3" fontId="3" numFmtId="4" xfId="0" applyAlignment="1" applyFont="1" applyNumberFormat="1">
      <alignment horizontal="right" vertical="bottom"/>
    </xf>
    <xf borderId="0" fillId="3" fontId="3" numFmtId="0" xfId="0" applyAlignment="1" applyFont="1">
      <alignment readingOrder="0" vertical="bottom"/>
    </xf>
    <xf borderId="1" fillId="3" fontId="3" numFmtId="0" xfId="0" applyAlignment="1" applyBorder="1" applyFont="1">
      <alignment horizontal="right" readingOrder="0" vertical="bottom"/>
    </xf>
    <xf borderId="1" fillId="3" fontId="4" numFmtId="3" xfId="0" applyAlignment="1" applyBorder="1" applyFont="1" applyNumberFormat="1">
      <alignment horizontal="right" vertical="bottom"/>
    </xf>
    <xf borderId="1" fillId="3" fontId="4" numFmtId="0" xfId="0" applyAlignment="1" applyBorder="1" applyFont="1">
      <alignment readingOrder="0" vertical="bottom"/>
    </xf>
    <xf borderId="0" fillId="3" fontId="3" numFmtId="3" xfId="0" applyAlignment="1" applyFont="1" applyNumberFormat="1">
      <alignment horizontal="right" vertical="bottom"/>
    </xf>
    <xf borderId="0" fillId="0" fontId="4" numFmtId="0" xfId="0" applyFont="1"/>
    <xf borderId="0" fillId="0" fontId="5" numFmtId="0" xfId="0" applyFont="1"/>
    <xf borderId="0" fillId="0" fontId="2" numFmtId="10" xfId="0" applyAlignment="1" applyFont="1" applyNumberFormat="1">
      <alignment horizontal="right"/>
    </xf>
    <xf borderId="0" fillId="0" fontId="5" numFmtId="0" xfId="0" applyAlignment="1" applyFont="1">
      <alignment readingOrder="0"/>
    </xf>
    <xf borderId="2" fillId="0" fontId="6" numFmtId="0" xfId="0" applyAlignment="1" applyBorder="1" applyFont="1">
      <alignment horizontal="left" vertical="center"/>
    </xf>
    <xf borderId="2" fillId="0" fontId="7" numFmtId="0" xfId="0" applyBorder="1" applyFont="1"/>
    <xf borderId="3" fillId="4" fontId="8" numFmtId="0" xfId="0" applyAlignment="1" applyBorder="1" applyFill="1" applyFont="1">
      <alignment horizontal="center" vertical="center"/>
    </xf>
    <xf borderId="3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center" vertical="center"/>
    </xf>
    <xf borderId="3" fillId="0" fontId="9" numFmtId="165" xfId="0" applyAlignment="1" applyBorder="1" applyFont="1" applyNumberFormat="1">
      <alignment vertical="center"/>
    </xf>
    <xf borderId="3" fillId="0" fontId="9" numFmtId="165" xfId="0" applyAlignment="1" applyBorder="1" applyFont="1" applyNumberFormat="1">
      <alignment horizontal="center" vertical="center"/>
    </xf>
    <xf borderId="3" fillId="0" fontId="9" numFmtId="166" xfId="0" applyAlignment="1" applyBorder="1" applyFont="1" applyNumberFormat="1">
      <alignment vertical="center"/>
    </xf>
    <xf borderId="3" fillId="5" fontId="6" numFmtId="165" xfId="0" applyAlignment="1" applyBorder="1" applyFill="1" applyFont="1" applyNumberFormat="1">
      <alignment vertical="center"/>
    </xf>
    <xf borderId="3" fillId="0" fontId="10" numFmtId="0" xfId="0" applyAlignment="1" applyBorder="1" applyFont="1">
      <alignment vertical="center"/>
    </xf>
    <xf borderId="3" fillId="0" fontId="10" numFmtId="0" xfId="0" applyAlignment="1" applyBorder="1" applyFont="1">
      <alignment horizontal="center" vertical="center"/>
    </xf>
    <xf borderId="3" fillId="0" fontId="10" numFmtId="165" xfId="0" applyAlignment="1" applyBorder="1" applyFont="1" applyNumberFormat="1">
      <alignment vertical="center"/>
    </xf>
    <xf borderId="3" fillId="0" fontId="10" numFmtId="165" xfId="0" applyAlignment="1" applyBorder="1" applyFont="1" applyNumberFormat="1">
      <alignment horizontal="center" vertical="center"/>
    </xf>
    <xf borderId="3" fillId="0" fontId="10" numFmtId="166" xfId="0" applyAlignment="1" applyBorder="1" applyFont="1" applyNumberFormat="1">
      <alignment vertical="center"/>
    </xf>
    <xf borderId="3" fillId="6" fontId="6" numFmtId="0" xfId="0" applyAlignment="1" applyBorder="1" applyFill="1" applyFont="1">
      <alignment vertical="center"/>
    </xf>
    <xf borderId="3" fillId="6" fontId="6" numFmtId="166" xfId="0" applyAlignment="1" applyBorder="1" applyFont="1" applyNumberFormat="1">
      <alignment vertical="center"/>
    </xf>
    <xf borderId="3" fillId="6" fontId="6" numFmtId="165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4" fillId="4" fontId="13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center" vertical="center"/>
    </xf>
    <xf borderId="5" fillId="4" fontId="1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3" xfId="0" applyAlignment="1" applyBorder="1" applyFont="1" applyNumberFormat="1">
      <alignment vertical="center"/>
    </xf>
    <xf borderId="4" fillId="0" fontId="1" numFmtId="165" xfId="0" applyAlignment="1" applyBorder="1" applyFont="1" applyNumberFormat="1">
      <alignment vertical="center"/>
    </xf>
    <xf borderId="4" fillId="5" fontId="1" numFmtId="165" xfId="0" applyAlignment="1" applyBorder="1" applyFont="1" applyNumberFormat="1">
      <alignment vertical="center"/>
    </xf>
    <xf borderId="0" fillId="0" fontId="1" numFmtId="9" xfId="0" applyAlignment="1" applyFont="1" applyNumberFormat="1">
      <alignment vertical="center"/>
    </xf>
    <xf borderId="4" fillId="0" fontId="1" numFmtId="167" xfId="0" applyAlignment="1" applyBorder="1" applyFont="1" applyNumberFormat="1">
      <alignment readingOrder="0" vertical="center"/>
    </xf>
    <xf borderId="4" fillId="7" fontId="1" numFmtId="0" xfId="0" applyAlignment="1" applyBorder="1" applyFill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165" xfId="0" applyAlignment="1" applyBorder="1" applyFont="1" applyNumberFormat="1">
      <alignment readingOrder="0" vertical="center"/>
    </xf>
    <xf borderId="4" fillId="0" fontId="1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shrinkToFit="0" vertical="center" wrapText="1"/>
    </xf>
    <xf borderId="4" fillId="6" fontId="6" numFmtId="0" xfId="0" applyAlignment="1" applyBorder="1" applyFont="1">
      <alignment readingOrder="0" shrinkToFit="0" vertical="center" wrapText="1"/>
    </xf>
    <xf borderId="4" fillId="6" fontId="6" numFmtId="3" xfId="0" applyAlignment="1" applyBorder="1" applyFont="1" applyNumberFormat="1">
      <alignment vertical="center"/>
    </xf>
    <xf borderId="4" fillId="6" fontId="6" numFmtId="165" xfId="0" applyAlignment="1" applyBorder="1" applyFont="1" applyNumberFormat="1">
      <alignment vertical="center"/>
    </xf>
    <xf borderId="4" fillId="5" fontId="6" numFmtId="3" xfId="0" applyAlignment="1" applyBorder="1" applyFont="1" applyNumberFormat="1">
      <alignment vertical="center"/>
    </xf>
    <xf borderId="6" fillId="0" fontId="1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165" xfId="0" applyAlignment="1" applyBorder="1" applyFont="1" applyNumberFormat="1">
      <alignment vertical="center"/>
    </xf>
    <xf borderId="0" fillId="0" fontId="1" numFmtId="4" xfId="0" applyAlignment="1" applyFont="1" applyNumberFormat="1">
      <alignment vertical="center"/>
    </xf>
    <xf borderId="9" fillId="0" fontId="7" numFmtId="0" xfId="0" applyBorder="1" applyFont="1"/>
    <xf borderId="10" fillId="0" fontId="1" numFmtId="165" xfId="0" applyAlignment="1" applyBorder="1" applyFont="1" applyNumberFormat="1">
      <alignment vertical="center"/>
    </xf>
    <xf borderId="0" fillId="0" fontId="14" numFmtId="0" xfId="0" applyAlignment="1" applyFont="1">
      <alignment readingOrder="0" vertical="center"/>
    </xf>
    <xf borderId="11" fillId="0" fontId="7" numFmtId="0" xfId="0" applyBorder="1" applyFont="1"/>
    <xf borderId="1" fillId="0" fontId="1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2" fillId="0" fontId="6" numFmtId="9" xfId="0" applyAlignment="1" applyBorder="1" applyFont="1" applyNumberFormat="1">
      <alignment vertical="center"/>
    </xf>
    <xf borderId="0" fillId="0" fontId="1" numFmtId="0" xfId="0" applyAlignment="1" applyFont="1">
      <alignment readingOrder="0" vertical="center"/>
    </xf>
    <xf borderId="6" fillId="0" fontId="12" numFmtId="0" xfId="0" applyAlignment="1" applyBorder="1" applyFont="1">
      <alignment horizontal="center" vertical="center"/>
    </xf>
    <xf borderId="0" fillId="3" fontId="15" numFmtId="0" xfId="0" applyAlignment="1" applyFont="1">
      <alignment vertical="bottom"/>
    </xf>
    <xf borderId="0" fillId="3" fontId="16" numFmtId="0" xfId="0" applyAlignment="1" applyFont="1">
      <alignment readingOrder="0" vertical="center"/>
    </xf>
    <xf borderId="0" fillId="3" fontId="15" numFmtId="0" xfId="0" applyAlignment="1" applyFont="1">
      <alignment readingOrder="0" vertical="bottom"/>
    </xf>
    <xf borderId="13" fillId="4" fontId="17" numFmtId="0" xfId="0" applyAlignment="1" applyBorder="1" applyFont="1">
      <alignment horizontal="center" vertical="center"/>
    </xf>
    <xf borderId="13" fillId="4" fontId="17" numFmtId="0" xfId="0" applyAlignment="1" applyBorder="1" applyFont="1">
      <alignment horizontal="center" readingOrder="0" vertical="center"/>
    </xf>
    <xf borderId="13" fillId="0" fontId="18" numFmtId="0" xfId="0" applyAlignment="1" applyBorder="1" applyFont="1">
      <alignment horizontal="left" readingOrder="0" vertical="center"/>
    </xf>
    <xf borderId="13" fillId="0" fontId="19" numFmtId="3" xfId="0" applyAlignment="1" applyBorder="1" applyFont="1" applyNumberFormat="1">
      <alignment horizontal="right" vertical="center"/>
    </xf>
    <xf borderId="13" fillId="0" fontId="19" numFmtId="4" xfId="0" applyAlignment="1" applyBorder="1" applyFont="1" applyNumberFormat="1">
      <alignment horizontal="right" vertical="center"/>
    </xf>
    <xf borderId="13" fillId="8" fontId="20" numFmtId="0" xfId="0" applyAlignment="1" applyBorder="1" applyFill="1" applyFont="1">
      <alignment horizontal="center" vertical="center"/>
    </xf>
    <xf borderId="13" fillId="8" fontId="20" numFmtId="3" xfId="0" applyAlignment="1" applyBorder="1" applyFont="1" applyNumberFormat="1">
      <alignment horizontal="right" vertical="center"/>
    </xf>
    <xf borderId="0" fillId="0" fontId="15" numFmtId="0" xfId="0" applyFont="1"/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4" fillId="9" fontId="21" numFmtId="0" xfId="0" applyAlignment="1" applyBorder="1" applyFill="1" applyFont="1">
      <alignment horizontal="center" vertical="center"/>
    </xf>
    <xf borderId="4" fillId="9" fontId="17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4" fillId="0" fontId="15" numFmtId="0" xfId="0" applyAlignment="1" applyBorder="1" applyFont="1">
      <alignment vertical="center"/>
    </xf>
    <xf borderId="4" fillId="0" fontId="15" numFmtId="165" xfId="0" applyAlignment="1" applyBorder="1" applyFont="1" applyNumberFormat="1">
      <alignment vertical="center"/>
    </xf>
    <xf borderId="4" fillId="0" fontId="15" numFmtId="9" xfId="0" applyAlignment="1" applyBorder="1" applyFont="1" applyNumberFormat="1">
      <alignment vertical="center"/>
    </xf>
    <xf borderId="14" fillId="0" fontId="16" numFmtId="0" xfId="0" applyAlignment="1" applyBorder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0" fontId="15" numFmtId="165" xfId="0" applyAlignment="1" applyBorder="1" applyFont="1" applyNumberFormat="1">
      <alignment horizontal="center" shrinkToFit="0" vertical="center" wrapText="1"/>
    </xf>
    <xf borderId="4" fillId="0" fontId="15" numFmtId="165" xfId="0" applyAlignment="1" applyBorder="1" applyFont="1" applyNumberFormat="1">
      <alignment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left" readingOrder="0" shrinkToFit="0" vertical="center" wrapText="1"/>
    </xf>
    <xf borderId="4" fillId="0" fontId="15" numFmtId="165" xfId="0" applyAlignment="1" applyBorder="1" applyFont="1" applyNumberFormat="1">
      <alignment readingOrder="0" shrinkToFit="0" vertical="center" wrapText="1"/>
    </xf>
    <xf borderId="14" fillId="0" fontId="16" numFmtId="0" xfId="0" applyAlignment="1" applyBorder="1" applyFont="1">
      <alignment horizontal="center" shrinkToFit="0" vertical="center" wrapText="1"/>
    </xf>
    <xf borderId="4" fillId="6" fontId="16" numFmtId="0" xfId="0" applyAlignment="1" applyBorder="1" applyFont="1">
      <alignment vertical="center"/>
    </xf>
    <xf borderId="4" fillId="6" fontId="16" numFmtId="165" xfId="0" applyAlignment="1" applyBorder="1" applyFont="1" applyNumberFormat="1">
      <alignment vertical="center"/>
    </xf>
    <xf borderId="4" fillId="0" fontId="15" numFmtId="168" xfId="0" applyAlignment="1" applyBorder="1" applyFont="1" applyNumberFormat="1">
      <alignment vertical="center"/>
    </xf>
    <xf borderId="4" fillId="6" fontId="15" numFmtId="0" xfId="0" applyAlignment="1" applyBorder="1" applyFont="1">
      <alignment vertical="center"/>
    </xf>
    <xf borderId="4" fillId="6" fontId="16" numFmtId="9" xfId="0" applyAlignment="1" applyBorder="1" applyFont="1" applyNumberFormat="1">
      <alignment vertical="center"/>
    </xf>
    <xf borderId="0" fillId="0" fontId="15" numFmtId="165" xfId="0" applyAlignment="1" applyFont="1" applyNumberFormat="1">
      <alignment vertical="center"/>
    </xf>
    <xf borderId="4" fillId="0" fontId="15" numFmtId="0" xfId="0" applyAlignment="1" applyBorder="1" applyFont="1">
      <alignment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4" fillId="0" fontId="15" numFmtId="165" xfId="0" applyAlignment="1" applyBorder="1" applyFont="1" applyNumberFormat="1">
      <alignment horizontal="center" readingOrder="0" shrinkToFit="0" vertical="center" wrapText="1"/>
    </xf>
    <xf borderId="0" fillId="0" fontId="1" numFmtId="0" xfId="0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4" fillId="9" fontId="8" numFmtId="0" xfId="0" applyAlignment="1" applyBorder="1" applyFont="1">
      <alignment horizontal="center" vertical="center"/>
    </xf>
    <xf borderId="4" fillId="9" fontId="1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vertical="center"/>
    </xf>
    <xf borderId="4" fillId="0" fontId="1" numFmtId="9" xfId="0" applyAlignment="1" applyBorder="1" applyFont="1" applyNumberFormat="1">
      <alignment horizontal="right" vertical="center"/>
    </xf>
    <xf borderId="4" fillId="0" fontId="1" numFmtId="9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readingOrder="0" vertical="center"/>
    </xf>
    <xf borderId="4" fillId="7" fontId="1" numFmtId="0" xfId="0" applyAlignment="1" applyBorder="1" applyFont="1">
      <alignment shrinkToFit="0" vertical="center" wrapText="1"/>
    </xf>
    <xf borderId="4" fillId="6" fontId="6" numFmtId="0" xfId="0" applyAlignment="1" applyBorder="1" applyFont="1">
      <alignment vertical="center"/>
    </xf>
    <xf borderId="4" fillId="6" fontId="6" numFmtId="9" xfId="0" applyAlignment="1" applyBorder="1" applyFont="1" applyNumberFormat="1">
      <alignment horizontal="right" vertical="center"/>
    </xf>
    <xf borderId="0" fillId="0" fontId="1" numFmtId="0" xfId="0" applyFont="1"/>
    <xf borderId="4" fillId="0" fontId="22" numFmtId="165" xfId="0" applyAlignment="1" applyBorder="1" applyFont="1" applyNumberFormat="1">
      <alignment horizontal="left" vertical="center"/>
    </xf>
    <xf borderId="4" fillId="0" fontId="22" numFmtId="165" xfId="0" applyAlignment="1" applyBorder="1" applyFont="1" applyNumberFormat="1">
      <alignment horizontal="center" readingOrder="0" vertical="center"/>
    </xf>
    <xf borderId="4" fillId="0" fontId="22" numFmtId="165" xfId="0" applyAlignment="1" applyBorder="1" applyFont="1" applyNumberFormat="1">
      <alignment vertical="center"/>
    </xf>
    <xf borderId="4" fillId="6" fontId="23" numFmtId="165" xfId="0" applyAlignment="1" applyBorder="1" applyFont="1" applyNumberFormat="1">
      <alignment vertical="center"/>
    </xf>
    <xf borderId="4" fillId="0" fontId="24" numFmtId="165" xfId="0" applyAlignment="1" applyBorder="1" applyFont="1" applyNumberFormat="1">
      <alignment horizontal="left" vertical="center"/>
    </xf>
    <xf borderId="4" fillId="0" fontId="24" numFmtId="165" xfId="0" applyAlignment="1" applyBorder="1" applyFont="1" applyNumberFormat="1">
      <alignment horizontal="center" vertical="center"/>
    </xf>
    <xf borderId="4" fillId="0" fontId="24" numFmtId="165" xfId="0" applyAlignment="1" applyBorder="1" applyFont="1" applyNumberFormat="1">
      <alignment vertical="center"/>
    </xf>
    <xf borderId="4" fillId="6" fontId="25" numFmtId="165" xfId="0" applyAlignment="1" applyBorder="1" applyFont="1" applyNumberFormat="1">
      <alignment vertical="center"/>
    </xf>
    <xf borderId="15" fillId="0" fontId="6" numFmtId="165" xfId="0" applyAlignment="1" applyBorder="1" applyFont="1" applyNumberFormat="1">
      <alignment horizontal="left" vertical="center"/>
    </xf>
    <xf borderId="15" fillId="0" fontId="6" numFmtId="165" xfId="0" applyAlignment="1" applyBorder="1" applyFont="1" applyNumberFormat="1">
      <alignment horizontal="center" vertical="center"/>
    </xf>
    <xf borderId="15" fillId="6" fontId="6" numFmtId="165" xfId="0" applyAlignment="1" applyBorder="1" applyFont="1" applyNumberFormat="1">
      <alignment horizontal="center" vertical="center"/>
    </xf>
    <xf borderId="16" fillId="0" fontId="1" numFmtId="165" xfId="0" applyAlignment="1" applyBorder="1" applyFont="1" applyNumberFormat="1">
      <alignment horizontal="left" readingOrder="0" vertical="center"/>
    </xf>
    <xf borderId="16" fillId="0" fontId="1" numFmtId="165" xfId="0" applyAlignment="1" applyBorder="1" applyFont="1" applyNumberFormat="1">
      <alignment horizontal="center" readingOrder="0" vertical="center"/>
    </xf>
    <xf borderId="16" fillId="0" fontId="1" numFmtId="165" xfId="0" applyAlignment="1" applyBorder="1" applyFont="1" applyNumberFormat="1">
      <alignment vertical="center"/>
    </xf>
    <xf borderId="17" fillId="6" fontId="6" numFmtId="165" xfId="0" applyAlignment="1" applyBorder="1" applyFont="1" applyNumberFormat="1">
      <alignment vertical="center"/>
    </xf>
    <xf borderId="15" fillId="0" fontId="1" numFmtId="165" xfId="0" applyAlignment="1" applyBorder="1" applyFont="1" applyNumberFormat="1">
      <alignment horizontal="left" readingOrder="0" vertical="center"/>
    </xf>
    <xf borderId="15" fillId="0" fontId="1" numFmtId="165" xfId="0" applyAlignment="1" applyBorder="1" applyFont="1" applyNumberFormat="1">
      <alignment horizontal="center" readingOrder="0" vertical="center"/>
    </xf>
    <xf borderId="15" fillId="0" fontId="1" numFmtId="165" xfId="0" applyAlignment="1" applyBorder="1" applyFont="1" applyNumberFormat="1">
      <alignment vertical="center"/>
    </xf>
    <xf borderId="15" fillId="6" fontId="6" numFmtId="165" xfId="0" applyAlignment="1" applyBorder="1" applyFont="1" applyNumberFormat="1">
      <alignment vertical="center"/>
    </xf>
    <xf borderId="16" fillId="0" fontId="1" numFmtId="165" xfId="0" applyAlignment="1" applyBorder="1" applyFont="1" applyNumberFormat="1">
      <alignment horizontal="left" vertical="center"/>
    </xf>
    <xf borderId="16" fillId="0" fontId="1" numFmtId="165" xfId="0" applyAlignment="1" applyBorder="1" applyFont="1" applyNumberFormat="1">
      <alignment horizontal="center" vertical="center"/>
    </xf>
    <xf borderId="17" fillId="6" fontId="6" numFmtId="165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left" vertical="center"/>
    </xf>
    <xf borderId="4" fillId="6" fontId="6" numFmtId="165" xfId="0" applyAlignment="1" applyBorder="1" applyFont="1" applyNumberFormat="1">
      <alignment horizontal="center" vertical="center"/>
    </xf>
    <xf borderId="18" fillId="10" fontId="17" numFmtId="0" xfId="0" applyAlignment="1" applyBorder="1" applyFill="1" applyFont="1">
      <alignment vertical="center"/>
    </xf>
    <xf borderId="19" fillId="0" fontId="20" numFmtId="3" xfId="0" applyAlignment="1" applyBorder="1" applyFont="1" applyNumberFormat="1">
      <alignment horizontal="right" vertical="center"/>
    </xf>
    <xf borderId="20" fillId="0" fontId="7" numFmtId="0" xfId="0" applyBorder="1" applyFont="1"/>
    <xf borderId="18" fillId="10" fontId="17" numFmtId="0" xfId="0" applyAlignment="1" applyBorder="1" applyFont="1">
      <alignment readingOrder="0" vertical="center"/>
    </xf>
    <xf borderId="19" fillId="0" fontId="20" numFmtId="165" xfId="0" applyAlignment="1" applyBorder="1" applyFont="1" applyNumberFormat="1">
      <alignment horizontal="right" vertical="center"/>
    </xf>
    <xf borderId="19" fillId="0" fontId="20" numFmtId="10" xfId="0" applyAlignment="1" applyBorder="1" applyFont="1" applyNumberFormat="1">
      <alignment horizontal="right" vertical="center"/>
    </xf>
    <xf borderId="0" fillId="0" fontId="1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0" fillId="0" fontId="1" numFmtId="1" xfId="0" applyFont="1" applyNumberFormat="1"/>
    <xf borderId="0" fillId="0" fontId="26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Composición de costos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Costos!$C$3</c:f>
            </c:strRef>
          </c:tx>
          <c:dPt>
            <c:idx val="0"/>
            <c:spPr>
              <a:solidFill>
                <a:srgbClr val="F9CB9C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Pt>
            <c:idx val="2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Costos!$B$4:$B$6</c:f>
            </c:strRef>
          </c:cat>
          <c:val>
            <c:numRef>
              <c:f>Costos!$C$4:$C$6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Costos!$G$18</c:f>
            </c:strRef>
          </c:tx>
          <c:dPt>
            <c:idx val="0"/>
            <c:spPr>
              <a:solidFill>
                <a:srgbClr val="E69138"/>
              </a:solidFill>
            </c:spPr>
          </c:dPt>
          <c:dPt>
            <c:idx val="1"/>
            <c:spPr>
              <a:solidFill>
                <a:srgbClr val="674EA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Costos!$F$19:$F$20</c:f>
            </c:strRef>
          </c:cat>
          <c:val>
            <c:numRef>
              <c:f>Costos!$G$19:$G$20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Costos!$O$2:$O$3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Costos!$N$4:$N$15</c:f>
            </c:strRef>
          </c:cat>
          <c:val>
            <c:numRef>
              <c:f>Costos!$O$4:$O$15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Verdana"/>
              </a:defRPr>
            </a:pPr>
            <a:r>
              <a:rPr b="1" sz="1600">
                <a:solidFill>
                  <a:srgbClr val="000000"/>
                </a:solidFill>
                <a:latin typeface="Verdana"/>
              </a:rPr>
              <a:t>Flujo de fondos [ARS MM]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Flujo!$B$10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b="1" sz="1200">
                    <a:latin typeface="Tahom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Flujo!$C$3:$M$3</c:f>
            </c:strRef>
          </c:cat>
          <c:val>
            <c:numRef>
              <c:f>Flujo!$C$10:$M$10</c:f>
              <c:numCache/>
            </c:numRef>
          </c:val>
        </c:ser>
        <c:overlap val="100"/>
        <c:axId val="422407681"/>
        <c:axId val="1667701088"/>
      </c:barChart>
      <c:catAx>
        <c:axId val="422407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701088"/>
      </c:catAx>
      <c:valAx>
        <c:axId val="166770108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422407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133350</xdr:rowOff>
    </xdr:from>
    <xdr:ext cx="5715000" cy="3533775"/>
    <xdr:graphicFrame>
      <xdr:nvGraphicFramePr>
        <xdr:cNvPr id="75181389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409575</xdr:colOff>
      <xdr:row>38</xdr:row>
      <xdr:rowOff>180975</xdr:rowOff>
    </xdr:from>
    <xdr:ext cx="4333875" cy="2400300"/>
    <xdr:graphicFrame>
      <xdr:nvGraphicFramePr>
        <xdr:cNvPr id="2146378776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1219200</xdr:colOff>
      <xdr:row>39</xdr:row>
      <xdr:rowOff>19050</xdr:rowOff>
    </xdr:from>
    <xdr:ext cx="4410075" cy="2400300"/>
    <xdr:graphicFrame>
      <xdr:nvGraphicFramePr>
        <xdr:cNvPr id="13095670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19</xdr:row>
      <xdr:rowOff>152400</xdr:rowOff>
    </xdr:from>
    <xdr:ext cx="5057775" cy="3848100"/>
    <xdr:graphicFrame>
      <xdr:nvGraphicFramePr>
        <xdr:cNvPr id="2006210505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22.43"/>
    <col customWidth="1" min="3" max="3" width="14.0"/>
    <col customWidth="1" min="4" max="5" width="11.57"/>
    <col customWidth="1" min="6" max="6" width="52.29"/>
    <col customWidth="1" min="7" max="7" width="10.71"/>
    <col customWidth="1" min="8" max="8" width="12.14"/>
    <col customWidth="1" min="9" max="14" width="10.71"/>
    <col customWidth="1" min="15" max="15" width="13.29"/>
    <col customWidth="1" min="16" max="16" width="20.86"/>
    <col customWidth="1" min="17" max="22" width="10.71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9.5" customHeight="1">
      <c r="A2" s="1"/>
      <c r="B2" s="2"/>
      <c r="C2" s="2"/>
      <c r="D2" s="1"/>
      <c r="E2" s="1"/>
      <c r="F2" s="3" t="s">
        <v>0</v>
      </c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7.5" customHeight="1">
      <c r="A3" s="1"/>
      <c r="B3" s="2"/>
      <c r="C3" s="2"/>
      <c r="D3" s="1"/>
      <c r="E3" s="1"/>
      <c r="F3" s="5"/>
      <c r="G3" s="5"/>
      <c r="H3" s="5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8.0" customHeight="1">
      <c r="A4" s="1"/>
      <c r="B4" s="2"/>
      <c r="C4" s="2"/>
      <c r="D4" s="1"/>
      <c r="E4" s="1"/>
      <c r="F4" s="6" t="s">
        <v>1</v>
      </c>
      <c r="G4" s="7"/>
      <c r="H4" s="8" t="s">
        <v>2</v>
      </c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8.0" customHeight="1">
      <c r="A5" s="1"/>
      <c r="B5" s="2"/>
      <c r="C5" s="2"/>
      <c r="D5" s="1"/>
      <c r="E5" s="1"/>
      <c r="F5" s="5" t="s">
        <v>3</v>
      </c>
      <c r="G5" s="5"/>
      <c r="H5" s="9">
        <v>4.6E7</v>
      </c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8.0" customHeight="1">
      <c r="A6" s="1"/>
      <c r="B6" s="2"/>
      <c r="C6" s="2"/>
      <c r="D6" s="1"/>
      <c r="E6" s="1"/>
      <c r="F6" s="5" t="s">
        <v>4</v>
      </c>
      <c r="G6" s="5"/>
      <c r="H6" s="10">
        <v>0.01</v>
      </c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8.0" customHeight="1">
      <c r="A7" s="1"/>
      <c r="B7" s="2"/>
      <c r="C7" s="2"/>
      <c r="D7" s="1"/>
      <c r="E7" s="1"/>
      <c r="F7" s="5" t="s">
        <v>5</v>
      </c>
      <c r="G7" s="5"/>
      <c r="H7" s="11">
        <f>H6*H5</f>
        <v>460000</v>
      </c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8.0" customHeight="1">
      <c r="A8" s="1"/>
      <c r="B8" s="2"/>
      <c r="C8" s="2"/>
      <c r="D8" s="1"/>
      <c r="E8" s="1"/>
      <c r="F8" s="12" t="s">
        <v>6</v>
      </c>
      <c r="G8" s="5"/>
      <c r="H8" s="13">
        <f>1.6</f>
        <v>1.6</v>
      </c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8.0" customHeight="1">
      <c r="A9" s="1"/>
      <c r="B9" s="2"/>
      <c r="C9" s="2"/>
      <c r="D9" s="1"/>
      <c r="E9" s="1"/>
      <c r="F9" s="12" t="s">
        <v>7</v>
      </c>
      <c r="G9" s="5"/>
      <c r="H9" s="11">
        <f>H8*H7</f>
        <v>736000</v>
      </c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8.0" customHeight="1">
      <c r="A10" s="1"/>
      <c r="B10" s="2"/>
      <c r="C10" s="2"/>
      <c r="D10" s="1"/>
      <c r="E10" s="1"/>
      <c r="F10" s="12" t="s">
        <v>8</v>
      </c>
      <c r="G10" s="5"/>
      <c r="H10" s="14">
        <v>0.453</v>
      </c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8.0" customHeight="1">
      <c r="A11" s="1"/>
      <c r="B11" s="2"/>
      <c r="C11" s="2"/>
      <c r="D11" s="1"/>
      <c r="E11" s="1"/>
      <c r="F11" s="12" t="s">
        <v>9</v>
      </c>
      <c r="G11" s="5"/>
      <c r="H11" s="11">
        <f>H10*H9</f>
        <v>333408</v>
      </c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5.0" customHeight="1">
      <c r="A12" s="1"/>
      <c r="B12" s="2"/>
      <c r="C12" s="2"/>
      <c r="D12" s="1"/>
      <c r="E12" s="1"/>
      <c r="F12" s="5"/>
      <c r="G12" s="5"/>
      <c r="H12" s="5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8.0" customHeight="1">
      <c r="A13" s="1"/>
      <c r="B13" s="2"/>
      <c r="C13" s="2"/>
      <c r="D13" s="1"/>
      <c r="E13" s="1"/>
      <c r="F13" s="15" t="s">
        <v>10</v>
      </c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8.0" customHeight="1">
      <c r="A14" s="1"/>
      <c r="B14" s="2"/>
      <c r="C14" s="2"/>
      <c r="D14" s="1"/>
      <c r="E14" s="1"/>
      <c r="F14" s="6" t="s">
        <v>11</v>
      </c>
      <c r="G14" s="7"/>
      <c r="H14" s="16" t="s">
        <v>12</v>
      </c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8.0" customHeight="1">
      <c r="A15" s="1"/>
      <c r="B15" s="2"/>
      <c r="C15" s="2"/>
      <c r="D15" s="1"/>
      <c r="E15" s="1"/>
      <c r="F15" s="12" t="s">
        <v>13</v>
      </c>
      <c r="G15" s="5"/>
      <c r="H15" s="17">
        <f>1.2*12</f>
        <v>14.4</v>
      </c>
      <c r="I15" s="5" t="s">
        <v>14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8.0" customHeight="1">
      <c r="A16" s="1"/>
      <c r="B16" s="2"/>
      <c r="C16" s="2"/>
      <c r="D16" s="1"/>
      <c r="E16" s="18"/>
      <c r="F16" s="5" t="s">
        <v>15</v>
      </c>
      <c r="G16" s="5"/>
      <c r="H16" s="17">
        <v>5.04</v>
      </c>
      <c r="I16" s="5" t="s">
        <v>14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5.0" customHeight="1">
      <c r="A17" s="1"/>
      <c r="B17" s="2"/>
      <c r="C17" s="2"/>
      <c r="D17" s="1"/>
      <c r="E17" s="18"/>
      <c r="F17" s="7" t="s">
        <v>16</v>
      </c>
      <c r="G17" s="7"/>
      <c r="H17" s="19">
        <v>2.52</v>
      </c>
      <c r="I17" s="7" t="s">
        <v>14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8.0" customHeight="1">
      <c r="A18" s="1"/>
      <c r="B18" s="2"/>
      <c r="C18" s="2"/>
      <c r="D18" s="1"/>
      <c r="E18" s="1"/>
      <c r="F18" s="15" t="s">
        <v>17</v>
      </c>
      <c r="G18" s="5"/>
      <c r="H18" s="20">
        <f>SUM(H15:H17)</f>
        <v>21.96</v>
      </c>
      <c r="I18" s="15" t="s">
        <v>14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8.0" customHeight="1">
      <c r="A19" s="1"/>
      <c r="B19" s="2"/>
      <c r="C19" s="2"/>
      <c r="D19" s="1"/>
      <c r="E19" s="1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8.0" customHeight="1">
      <c r="A20" s="1"/>
      <c r="B20" s="2"/>
      <c r="C20" s="2"/>
      <c r="D20" s="1"/>
      <c r="E20" s="1"/>
      <c r="F20" s="21" t="s">
        <v>18</v>
      </c>
      <c r="H20" s="5"/>
      <c r="I20" s="5"/>
      <c r="J20" s="1"/>
      <c r="K20" s="1"/>
      <c r="L20" s="1"/>
      <c r="M20" s="1"/>
      <c r="N20" s="1"/>
      <c r="O20" s="21" t="s">
        <v>18</v>
      </c>
      <c r="Q20" s="5"/>
      <c r="R20" s="5"/>
      <c r="S20" s="1"/>
      <c r="T20" s="1"/>
      <c r="U20" s="1"/>
      <c r="V20" s="1"/>
    </row>
    <row r="21" ht="18.0" customHeight="1">
      <c r="A21" s="1"/>
      <c r="B21" s="2"/>
      <c r="C21" s="2"/>
      <c r="D21" s="1"/>
      <c r="E21" s="1"/>
      <c r="F21" s="6" t="s">
        <v>11</v>
      </c>
      <c r="G21" s="7"/>
      <c r="H21" s="16" t="s">
        <v>12</v>
      </c>
      <c r="I21" s="7"/>
      <c r="J21" s="22" t="s">
        <v>19</v>
      </c>
      <c r="K21" s="7"/>
      <c r="L21" s="22" t="s">
        <v>20</v>
      </c>
      <c r="M21" s="7"/>
      <c r="N21" s="1"/>
      <c r="O21" s="6" t="s">
        <v>11</v>
      </c>
      <c r="P21" s="7"/>
      <c r="Q21" s="16" t="s">
        <v>12</v>
      </c>
      <c r="R21" s="7"/>
      <c r="S21" s="22" t="s">
        <v>19</v>
      </c>
      <c r="T21" s="7"/>
      <c r="U21" s="22" t="s">
        <v>20</v>
      </c>
      <c r="V21" s="7"/>
    </row>
    <row r="22" ht="18.0" customHeight="1">
      <c r="A22" s="1"/>
      <c r="B22" s="2"/>
      <c r="C22" s="2"/>
      <c r="D22" s="1"/>
      <c r="E22" s="1"/>
      <c r="F22" s="12" t="s">
        <v>13</v>
      </c>
      <c r="G22" s="5"/>
      <c r="H22" s="9">
        <f t="shared" ref="H22:H24" si="1">H15*$H$11</f>
        <v>4801075.2</v>
      </c>
      <c r="I22" s="5" t="s">
        <v>14</v>
      </c>
      <c r="J22" s="9">
        <f>SUM(Produccion!E22:E24)</f>
        <v>163800</v>
      </c>
      <c r="K22" s="5" t="s">
        <v>14</v>
      </c>
      <c r="L22" s="17">
        <f t="shared" ref="L22:L25" si="2">J22/H22*100</f>
        <v>3.411735771</v>
      </c>
      <c r="M22" s="12" t="s">
        <v>21</v>
      </c>
      <c r="N22" s="1"/>
      <c r="O22" s="12" t="s">
        <v>13</v>
      </c>
      <c r="P22" s="5"/>
      <c r="Q22" s="9">
        <f t="shared" ref="Q22:Q24" si="3">H22/1000</f>
        <v>4801.0752</v>
      </c>
      <c r="R22" s="12" t="s">
        <v>22</v>
      </c>
      <c r="S22" s="9">
        <f t="shared" ref="S22:S24" si="4">J22/1000</f>
        <v>163.8</v>
      </c>
      <c r="T22" s="12" t="s">
        <v>22</v>
      </c>
      <c r="U22" s="17">
        <f t="shared" ref="U22:U25" si="5">S22/Q22*100</f>
        <v>3.411735771</v>
      </c>
      <c r="V22" s="12" t="s">
        <v>21</v>
      </c>
    </row>
    <row r="23" ht="18.0" customHeight="1">
      <c r="A23" s="1"/>
      <c r="B23" s="2"/>
      <c r="C23" s="2"/>
      <c r="D23" s="1"/>
      <c r="E23" s="1"/>
      <c r="F23" s="5" t="s">
        <v>15</v>
      </c>
      <c r="G23" s="5"/>
      <c r="H23" s="9">
        <f t="shared" si="1"/>
        <v>1680376.32</v>
      </c>
      <c r="I23" s="5" t="s">
        <v>14</v>
      </c>
      <c r="J23" s="9">
        <f>SUM(Produccion!E18)</f>
        <v>4680</v>
      </c>
      <c r="K23" s="5" t="s">
        <v>14</v>
      </c>
      <c r="L23" s="17">
        <f t="shared" si="2"/>
        <v>0.2785090425</v>
      </c>
      <c r="M23" s="12" t="s">
        <v>21</v>
      </c>
      <c r="N23" s="1"/>
      <c r="O23" s="5" t="s">
        <v>15</v>
      </c>
      <c r="P23" s="5"/>
      <c r="Q23" s="9">
        <f t="shared" si="3"/>
        <v>1680.37632</v>
      </c>
      <c r="R23" s="12" t="s">
        <v>22</v>
      </c>
      <c r="S23" s="9">
        <f t="shared" si="4"/>
        <v>4.68</v>
      </c>
      <c r="T23" s="12" t="s">
        <v>22</v>
      </c>
      <c r="U23" s="17">
        <f t="shared" si="5"/>
        <v>0.2785090425</v>
      </c>
      <c r="V23" s="12" t="s">
        <v>21</v>
      </c>
    </row>
    <row r="24" ht="18.0" customHeight="1">
      <c r="A24" s="1"/>
      <c r="B24" s="1"/>
      <c r="C24" s="1"/>
      <c r="D24" s="1"/>
      <c r="E24" s="1"/>
      <c r="F24" s="7" t="s">
        <v>16</v>
      </c>
      <c r="G24" s="7"/>
      <c r="H24" s="23">
        <f t="shared" si="1"/>
        <v>840188.16</v>
      </c>
      <c r="I24" s="7" t="s">
        <v>14</v>
      </c>
      <c r="J24" s="23">
        <f>Produccion!E14+Produccion!E15+Produccion!E17+Produccion!E20</f>
        <v>150165</v>
      </c>
      <c r="K24" s="7" t="s">
        <v>14</v>
      </c>
      <c r="L24" s="19">
        <f t="shared" si="2"/>
        <v>17.87278221</v>
      </c>
      <c r="M24" s="24" t="s">
        <v>21</v>
      </c>
      <c r="N24" s="1"/>
      <c r="O24" s="7" t="s">
        <v>16</v>
      </c>
      <c r="P24" s="7"/>
      <c r="Q24" s="23">
        <f t="shared" si="3"/>
        <v>840.18816</v>
      </c>
      <c r="R24" s="24" t="s">
        <v>22</v>
      </c>
      <c r="S24" s="23">
        <f t="shared" si="4"/>
        <v>150.165</v>
      </c>
      <c r="T24" s="24" t="s">
        <v>22</v>
      </c>
      <c r="U24" s="19">
        <f t="shared" si="5"/>
        <v>17.87278221</v>
      </c>
      <c r="V24" s="24" t="s">
        <v>21</v>
      </c>
    </row>
    <row r="25" ht="18.0" customHeight="1">
      <c r="A25" s="1"/>
      <c r="B25" s="1"/>
      <c r="C25" s="1"/>
      <c r="D25" s="1"/>
      <c r="E25" s="1"/>
      <c r="F25" s="15" t="s">
        <v>17</v>
      </c>
      <c r="G25" s="5"/>
      <c r="H25" s="25">
        <f>SUM(H22:H24)</f>
        <v>7321639.68</v>
      </c>
      <c r="I25" s="15" t="s">
        <v>14</v>
      </c>
      <c r="J25" s="25">
        <f>SUM(J22:J24)</f>
        <v>318645</v>
      </c>
      <c r="K25" s="15" t="s">
        <v>14</v>
      </c>
      <c r="L25" s="20">
        <f t="shared" si="2"/>
        <v>4.3520989</v>
      </c>
      <c r="M25" s="21" t="s">
        <v>21</v>
      </c>
      <c r="N25" s="1"/>
      <c r="O25" s="15" t="s">
        <v>17</v>
      </c>
      <c r="P25" s="5"/>
      <c r="Q25" s="25">
        <f>SUM(Q22:Q24)</f>
        <v>7321.63968</v>
      </c>
      <c r="R25" s="21" t="s">
        <v>22</v>
      </c>
      <c r="S25" s="25">
        <f>SUM(S22:S24)</f>
        <v>318.645</v>
      </c>
      <c r="T25" s="21" t="s">
        <v>22</v>
      </c>
      <c r="U25" s="20">
        <f t="shared" si="5"/>
        <v>4.3520989</v>
      </c>
      <c r="V25" s="21" t="s">
        <v>21</v>
      </c>
    </row>
    <row r="26" ht="18.0" customHeight="1">
      <c r="A26" s="1"/>
      <c r="B26" s="1"/>
      <c r="C26" s="1"/>
      <c r="D26" s="1"/>
      <c r="E26" s="1"/>
      <c r="F26" s="26"/>
      <c r="G26" s="26"/>
      <c r="H26" s="26"/>
      <c r="I26" s="2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8.0" customHeight="1">
      <c r="A27" s="1"/>
      <c r="B27" s="1"/>
      <c r="C27" s="1"/>
      <c r="D27" s="1"/>
      <c r="E27" s="1"/>
      <c r="F27" s="26"/>
      <c r="G27" s="26"/>
      <c r="H27" s="26"/>
      <c r="I27" s="2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8.0" customHeight="1">
      <c r="A28" s="1"/>
      <c r="B28" s="1"/>
      <c r="C28" s="1"/>
      <c r="D28" s="1"/>
      <c r="E28" s="1"/>
      <c r="F28" s="27" t="s">
        <v>23</v>
      </c>
      <c r="G28" s="26"/>
      <c r="H28" s="25">
        <v>1462828.92</v>
      </c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8.0" customHeight="1">
      <c r="A29" s="1"/>
      <c r="B29" s="1"/>
      <c r="C29" s="1"/>
      <c r="D29" s="1"/>
      <c r="E29" s="1"/>
      <c r="F29" s="27" t="s">
        <v>24</v>
      </c>
      <c r="G29" s="26"/>
      <c r="H29" s="28">
        <f>H28/H25</f>
        <v>0.1997952623</v>
      </c>
      <c r="I29" s="2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8.0" customHeight="1">
      <c r="A31" s="1"/>
      <c r="B31" s="1"/>
      <c r="C31" s="1"/>
      <c r="D31" s="1"/>
      <c r="E31" s="1"/>
      <c r="F31" s="29" t="s">
        <v>25</v>
      </c>
      <c r="G31" s="26"/>
      <c r="H31" s="25">
        <f>Produccion!E25</f>
        <v>385950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8.0" customHeight="1">
      <c r="A32" s="1"/>
      <c r="B32" s="1"/>
      <c r="C32" s="1"/>
      <c r="D32" s="1"/>
      <c r="E32" s="1"/>
      <c r="F32" s="29" t="s">
        <v>26</v>
      </c>
      <c r="G32" s="26"/>
      <c r="H32" s="28">
        <f>H31/H25</f>
        <v>0.05271360199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</sheetData>
  <mergeCells count="3">
    <mergeCell ref="F13:H13"/>
    <mergeCell ref="F20:G20"/>
    <mergeCell ref="O20:P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8.57"/>
    <col customWidth="1" min="3" max="3" width="7.71"/>
    <col customWidth="1" min="4" max="4" width="32.71"/>
    <col customWidth="1" min="5" max="8" width="12.43"/>
    <col customWidth="1" min="9" max="9" width="10.29"/>
    <col customWidth="1" min="10" max="17" width="12.71"/>
    <col customWidth="1" min="18" max="18" width="11.57"/>
    <col customWidth="1" min="19" max="19" width="12.29"/>
    <col customWidth="1" min="20" max="26" width="10.7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hidden="1" customHeight="1">
      <c r="A2" s="1"/>
      <c r="B2" s="1"/>
      <c r="C2" s="1"/>
      <c r="D2" s="30" t="s">
        <v>27</v>
      </c>
      <c r="E2" s="31"/>
      <c r="F2" s="31"/>
      <c r="G2" s="31"/>
      <c r="H2" s="30" t="s">
        <v>28</v>
      </c>
      <c r="I2" s="31"/>
      <c r="J2" s="30" t="s">
        <v>29</v>
      </c>
      <c r="K2" s="31"/>
      <c r="L2" s="31"/>
      <c r="M2" s="31"/>
      <c r="N2" s="31"/>
      <c r="O2" s="30" t="s">
        <v>30</v>
      </c>
      <c r="P2" s="31"/>
      <c r="Q2" s="31"/>
      <c r="R2" s="31"/>
      <c r="S2" s="31"/>
      <c r="T2" s="1"/>
      <c r="U2" s="1"/>
      <c r="V2" s="1"/>
      <c r="W2" s="1"/>
      <c r="X2" s="1"/>
      <c r="Y2" s="1"/>
      <c r="Z2" s="1"/>
    </row>
    <row r="3" ht="21.75" hidden="1" customHeight="1">
      <c r="A3" s="1"/>
      <c r="B3" s="1"/>
      <c r="C3" s="1"/>
      <c r="D3" s="32" t="s">
        <v>11</v>
      </c>
      <c r="E3" s="32" t="s">
        <v>31</v>
      </c>
      <c r="F3" s="32" t="s">
        <v>32</v>
      </c>
      <c r="G3" s="32" t="s">
        <v>33</v>
      </c>
      <c r="H3" s="32" t="s">
        <v>34</v>
      </c>
      <c r="I3" s="32" t="s">
        <v>35</v>
      </c>
      <c r="J3" s="32" t="s">
        <v>36</v>
      </c>
      <c r="K3" s="32" t="s">
        <v>37</v>
      </c>
      <c r="L3" s="32" t="s">
        <v>38</v>
      </c>
      <c r="M3" s="32" t="s">
        <v>39</v>
      </c>
      <c r="N3" s="32" t="s">
        <v>40</v>
      </c>
      <c r="O3" s="32" t="s">
        <v>41</v>
      </c>
      <c r="P3" s="32" t="s">
        <v>42</v>
      </c>
      <c r="Q3" s="32" t="s">
        <v>43</v>
      </c>
      <c r="R3" s="32" t="s">
        <v>44</v>
      </c>
      <c r="S3" s="32" t="s">
        <v>45</v>
      </c>
      <c r="T3" s="1"/>
      <c r="U3" s="1"/>
      <c r="V3" s="1"/>
      <c r="W3" s="1"/>
      <c r="X3" s="1"/>
      <c r="Y3" s="1"/>
      <c r="Z3" s="1"/>
    </row>
    <row r="4" ht="21.75" hidden="1" customHeight="1">
      <c r="A4" s="1"/>
      <c r="B4" s="1"/>
      <c r="C4" s="1"/>
      <c r="D4" s="33" t="s">
        <v>46</v>
      </c>
      <c r="E4" s="34" t="s">
        <v>47</v>
      </c>
      <c r="F4" s="35">
        <v>2.0</v>
      </c>
      <c r="G4" s="35" t="s">
        <v>48</v>
      </c>
      <c r="H4" s="36">
        <v>9.0</v>
      </c>
      <c r="I4" s="36">
        <f t="shared" ref="I4:I6" si="1">F4*H4</f>
        <v>18</v>
      </c>
      <c r="J4" s="35">
        <v>900.0</v>
      </c>
      <c r="K4" s="35">
        <f t="shared" ref="K4:K6" si="2">J4/8</f>
        <v>112.5</v>
      </c>
      <c r="L4" s="37">
        <v>2.7</v>
      </c>
      <c r="M4" s="35">
        <f t="shared" ref="M4:M6" si="3">J4*L4</f>
        <v>2430</v>
      </c>
      <c r="N4" s="35">
        <f t="shared" ref="N4:N6" si="4">M4/8</f>
        <v>303.75</v>
      </c>
      <c r="O4" s="35">
        <f t="shared" ref="O4:O6" si="5">M4*F4</f>
        <v>4860</v>
      </c>
      <c r="P4" s="35">
        <f t="shared" ref="P4:P6" si="6">O4*24*12</f>
        <v>1399680</v>
      </c>
      <c r="Q4" s="35">
        <f t="shared" ref="Q4:Q6" si="7">P4/1000</f>
        <v>1399.68</v>
      </c>
      <c r="R4" s="35">
        <v>10000.0</v>
      </c>
      <c r="S4" s="38">
        <f t="shared" ref="S4:S6" si="8">P4*R4/1000000</f>
        <v>13996.8</v>
      </c>
      <c r="T4" s="1"/>
      <c r="U4" s="1"/>
      <c r="V4" s="1"/>
      <c r="W4" s="1"/>
      <c r="X4" s="1"/>
      <c r="Y4" s="1"/>
      <c r="Z4" s="1"/>
    </row>
    <row r="5" ht="21.75" hidden="1" customHeight="1">
      <c r="A5" s="1"/>
      <c r="B5" s="1"/>
      <c r="C5" s="1"/>
      <c r="D5" s="33" t="s">
        <v>49</v>
      </c>
      <c r="E5" s="34" t="s">
        <v>47</v>
      </c>
      <c r="F5" s="35">
        <v>1.0</v>
      </c>
      <c r="G5" s="35" t="s">
        <v>50</v>
      </c>
      <c r="H5" s="36">
        <v>6.0</v>
      </c>
      <c r="I5" s="36">
        <f t="shared" si="1"/>
        <v>6</v>
      </c>
      <c r="J5" s="35">
        <v>500.0</v>
      </c>
      <c r="K5" s="35">
        <f t="shared" si="2"/>
        <v>62.5</v>
      </c>
      <c r="L5" s="33">
        <v>2.7</v>
      </c>
      <c r="M5" s="35">
        <f t="shared" si="3"/>
        <v>1350</v>
      </c>
      <c r="N5" s="35">
        <f t="shared" si="4"/>
        <v>168.75</v>
      </c>
      <c r="O5" s="35">
        <f t="shared" si="5"/>
        <v>1350</v>
      </c>
      <c r="P5" s="35">
        <f t="shared" si="6"/>
        <v>388800</v>
      </c>
      <c r="Q5" s="35">
        <f t="shared" si="7"/>
        <v>388.8</v>
      </c>
      <c r="R5" s="35">
        <v>10000.0</v>
      </c>
      <c r="S5" s="38">
        <f t="shared" si="8"/>
        <v>3888</v>
      </c>
      <c r="T5" s="1"/>
      <c r="U5" s="1"/>
      <c r="V5" s="1"/>
      <c r="W5" s="1"/>
      <c r="X5" s="1"/>
      <c r="Y5" s="1"/>
      <c r="Z5" s="1"/>
    </row>
    <row r="6" ht="21.75" hidden="1" customHeight="1">
      <c r="A6" s="1"/>
      <c r="B6" s="1"/>
      <c r="C6" s="1"/>
      <c r="D6" s="39" t="s">
        <v>51</v>
      </c>
      <c r="E6" s="40" t="s">
        <v>52</v>
      </c>
      <c r="F6" s="41">
        <v>1.0</v>
      </c>
      <c r="G6" s="41" t="s">
        <v>48</v>
      </c>
      <c r="H6" s="42">
        <v>8.0</v>
      </c>
      <c r="I6" s="42">
        <f t="shared" si="1"/>
        <v>8</v>
      </c>
      <c r="J6" s="41">
        <v>350.0</v>
      </c>
      <c r="K6" s="41">
        <f t="shared" si="2"/>
        <v>43.75</v>
      </c>
      <c r="L6" s="43">
        <v>3.0</v>
      </c>
      <c r="M6" s="41">
        <f t="shared" si="3"/>
        <v>1050</v>
      </c>
      <c r="N6" s="41">
        <f t="shared" si="4"/>
        <v>131.25</v>
      </c>
      <c r="O6" s="41">
        <f t="shared" si="5"/>
        <v>1050</v>
      </c>
      <c r="P6" s="41">
        <f t="shared" si="6"/>
        <v>302400</v>
      </c>
      <c r="Q6" s="41">
        <f t="shared" si="7"/>
        <v>302.4</v>
      </c>
      <c r="R6" s="41">
        <v>15000.0</v>
      </c>
      <c r="S6" s="38">
        <f t="shared" si="8"/>
        <v>4536</v>
      </c>
      <c r="T6" s="1"/>
      <c r="U6" s="1"/>
      <c r="V6" s="1"/>
      <c r="W6" s="1"/>
      <c r="X6" s="1"/>
      <c r="Y6" s="1"/>
      <c r="Z6" s="1"/>
    </row>
    <row r="7" ht="21.75" hidden="1" customHeight="1">
      <c r="A7" s="1"/>
      <c r="B7" s="1"/>
      <c r="C7" s="1"/>
      <c r="D7" s="44" t="s">
        <v>17</v>
      </c>
      <c r="E7" s="44"/>
      <c r="F7" s="45">
        <f>AVERAGE(F4:F6)</f>
        <v>1.333333333</v>
      </c>
      <c r="G7" s="45"/>
      <c r="H7" s="46">
        <f t="shared" ref="H7:K7" si="9">SUM(H4:H6)</f>
        <v>23</v>
      </c>
      <c r="I7" s="46">
        <f t="shared" si="9"/>
        <v>32</v>
      </c>
      <c r="J7" s="46">
        <f t="shared" si="9"/>
        <v>1750</v>
      </c>
      <c r="K7" s="46">
        <f t="shared" si="9"/>
        <v>218.75</v>
      </c>
      <c r="L7" s="45">
        <f>AVERAGE(L4:L6)</f>
        <v>2.8</v>
      </c>
      <c r="M7" s="46">
        <f t="shared" ref="M7:S7" si="10">SUM(M4:M6)</f>
        <v>4830</v>
      </c>
      <c r="N7" s="46">
        <f t="shared" si="10"/>
        <v>603.75</v>
      </c>
      <c r="O7" s="46">
        <f t="shared" si="10"/>
        <v>7260</v>
      </c>
      <c r="P7" s="46">
        <f t="shared" si="10"/>
        <v>2090880</v>
      </c>
      <c r="Q7" s="46">
        <f t="shared" si="10"/>
        <v>2090.88</v>
      </c>
      <c r="R7" s="46">
        <f t="shared" si="10"/>
        <v>35000</v>
      </c>
      <c r="S7" s="38">
        <f t="shared" si="10"/>
        <v>22420.8</v>
      </c>
      <c r="T7" s="1"/>
      <c r="U7" s="1"/>
      <c r="V7" s="1"/>
      <c r="W7" s="1"/>
      <c r="X7" s="1"/>
      <c r="Y7" s="1"/>
      <c r="Z7" s="1"/>
    </row>
    <row r="8" ht="15.0" hidden="1" customHeight="1">
      <c r="A8" s="1"/>
      <c r="B8" s="1"/>
      <c r="C8" s="1"/>
      <c r="D8" s="1"/>
      <c r="E8" s="1"/>
      <c r="F8" s="18"/>
      <c r="G8" s="18"/>
      <c r="H8" s="1"/>
      <c r="I8" s="1"/>
      <c r="J8" s="1"/>
      <c r="K8" s="47"/>
      <c r="L8" s="1"/>
      <c r="M8" s="1"/>
      <c r="N8" s="47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hidden="1" customHeight="1">
      <c r="A9" s="1"/>
      <c r="B9" s="1"/>
      <c r="C9" s="1"/>
      <c r="D9" s="48" t="s">
        <v>53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hidden="1" customHeight="1">
      <c r="A10" s="1"/>
      <c r="B10" s="1"/>
      <c r="C10" s="1"/>
      <c r="D10" s="49" t="s">
        <v>54</v>
      </c>
      <c r="E10" s="1"/>
      <c r="F10" s="1"/>
      <c r="G10" s="1"/>
      <c r="H10" s="1">
        <f>16+18</f>
        <v>34</v>
      </c>
      <c r="I10" s="1"/>
      <c r="J10" s="1"/>
      <c r="K10" s="18"/>
      <c r="L10" s="1"/>
      <c r="M10" s="1"/>
      <c r="N10" s="1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hidden="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50" t="s">
        <v>31</v>
      </c>
      <c r="C13" s="50" t="s">
        <v>55</v>
      </c>
      <c r="D13" s="50" t="s">
        <v>11</v>
      </c>
      <c r="E13" s="51" t="s">
        <v>42</v>
      </c>
      <c r="F13" s="51" t="s">
        <v>43</v>
      </c>
      <c r="G13" s="51" t="s">
        <v>44</v>
      </c>
      <c r="H13" s="51" t="s">
        <v>56</v>
      </c>
      <c r="I13" s="51" t="s">
        <v>57</v>
      </c>
      <c r="J13" s="51" t="s">
        <v>41</v>
      </c>
      <c r="K13" s="51" t="s">
        <v>32</v>
      </c>
      <c r="L13" s="51" t="s">
        <v>40</v>
      </c>
      <c r="M13" s="1"/>
      <c r="N13" s="52" t="s">
        <v>58</v>
      </c>
      <c r="O13" s="1"/>
      <c r="P13" s="51" t="s">
        <v>59</v>
      </c>
      <c r="Q13" s="1"/>
      <c r="R13" s="52" t="s">
        <v>60</v>
      </c>
      <c r="S13" s="52" t="s">
        <v>61</v>
      </c>
      <c r="T13" s="1"/>
      <c r="U13" s="1"/>
      <c r="V13" s="1"/>
      <c r="W13" s="1"/>
      <c r="X13" s="1"/>
      <c r="Y13" s="1"/>
      <c r="Z13" s="1"/>
    </row>
    <row r="14" ht="18.0" customHeight="1">
      <c r="A14" s="1"/>
      <c r="B14" s="53" t="s">
        <v>47</v>
      </c>
      <c r="C14" s="53" t="s">
        <v>62</v>
      </c>
      <c r="D14" s="54" t="s">
        <v>63</v>
      </c>
      <c r="E14" s="55">
        <f>N14*$P$14</f>
        <v>48000</v>
      </c>
      <c r="F14" s="56">
        <f t="shared" ref="F14:F24" si="11">E14/1000</f>
        <v>48</v>
      </c>
      <c r="G14" s="56">
        <v>13700.0</v>
      </c>
      <c r="H14" s="57">
        <f t="shared" ref="H14:H24" si="12">E14*G14/1000000</f>
        <v>657.6</v>
      </c>
      <c r="I14" s="56">
        <f t="shared" ref="I14:I24" si="13">E14/12</f>
        <v>4000</v>
      </c>
      <c r="J14" s="56">
        <f t="shared" ref="J14:J24" si="14">I14/20</f>
        <v>200</v>
      </c>
      <c r="K14" s="56">
        <v>2.0</v>
      </c>
      <c r="L14" s="56">
        <f t="shared" ref="L14:L24" si="15">J14/(8*K14)</f>
        <v>12.5</v>
      </c>
      <c r="M14" s="58"/>
      <c r="N14" s="56">
        <v>80000.0</v>
      </c>
      <c r="O14" s="1"/>
      <c r="P14" s="59">
        <v>0.6</v>
      </c>
      <c r="Q14" s="1"/>
      <c r="R14" s="59">
        <v>0.3</v>
      </c>
      <c r="S14" s="59">
        <v>0.7</v>
      </c>
      <c r="T14" s="1"/>
      <c r="U14" s="1"/>
      <c r="V14" s="1"/>
      <c r="W14" s="1"/>
      <c r="X14" s="1"/>
      <c r="Y14" s="1"/>
      <c r="Z14" s="1"/>
    </row>
    <row r="15" ht="18.0" customHeight="1">
      <c r="A15" s="1"/>
      <c r="B15" s="53" t="s">
        <v>47</v>
      </c>
      <c r="C15" s="53" t="s">
        <v>64</v>
      </c>
      <c r="D15" s="60" t="s">
        <v>65</v>
      </c>
      <c r="E15" s="55">
        <f>N15*$P$14*R14</f>
        <v>8325</v>
      </c>
      <c r="F15" s="56">
        <f t="shared" si="11"/>
        <v>8.325</v>
      </c>
      <c r="G15" s="56">
        <f>12600</f>
        <v>12600</v>
      </c>
      <c r="H15" s="57">
        <f t="shared" si="12"/>
        <v>104.895</v>
      </c>
      <c r="I15" s="56">
        <f t="shared" si="13"/>
        <v>693.75</v>
      </c>
      <c r="J15" s="56">
        <f t="shared" si="14"/>
        <v>34.6875</v>
      </c>
      <c r="K15" s="56">
        <v>2.0</v>
      </c>
      <c r="L15" s="56">
        <f t="shared" si="15"/>
        <v>2.16796875</v>
      </c>
      <c r="M15" s="58"/>
      <c r="N15" s="56">
        <v>46250.0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53" t="s">
        <v>47</v>
      </c>
      <c r="C16" s="53" t="s">
        <v>66</v>
      </c>
      <c r="D16" s="61" t="s">
        <v>67</v>
      </c>
      <c r="E16" s="55">
        <f>N16*$P$14*S14</f>
        <v>19425</v>
      </c>
      <c r="F16" s="56">
        <f t="shared" si="11"/>
        <v>19.425</v>
      </c>
      <c r="G16" s="56">
        <v>10500.0</v>
      </c>
      <c r="H16" s="57">
        <f t="shared" si="12"/>
        <v>203.9625</v>
      </c>
      <c r="I16" s="56">
        <f t="shared" si="13"/>
        <v>1618.75</v>
      </c>
      <c r="J16" s="56">
        <f t="shared" si="14"/>
        <v>80.9375</v>
      </c>
      <c r="K16" s="56">
        <v>2.0</v>
      </c>
      <c r="L16" s="56">
        <f t="shared" si="15"/>
        <v>5.05859375</v>
      </c>
      <c r="M16" s="58"/>
      <c r="N16" s="62">
        <v>46250.0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53" t="s">
        <v>47</v>
      </c>
      <c r="C17" s="53" t="s">
        <v>68</v>
      </c>
      <c r="D17" s="54" t="s">
        <v>69</v>
      </c>
      <c r="E17" s="55">
        <f>N17*$P$14</f>
        <v>78000</v>
      </c>
      <c r="F17" s="56">
        <f t="shared" si="11"/>
        <v>78</v>
      </c>
      <c r="G17" s="56">
        <f>12000</f>
        <v>12000</v>
      </c>
      <c r="H17" s="57">
        <f t="shared" si="12"/>
        <v>936</v>
      </c>
      <c r="I17" s="56">
        <f t="shared" si="13"/>
        <v>6500</v>
      </c>
      <c r="J17" s="56">
        <f t="shared" si="14"/>
        <v>325</v>
      </c>
      <c r="K17" s="56">
        <v>2.0</v>
      </c>
      <c r="L17" s="56">
        <f t="shared" si="15"/>
        <v>20.3125</v>
      </c>
      <c r="M17" s="58"/>
      <c r="N17" s="56">
        <v>130000.0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53" t="s">
        <v>47</v>
      </c>
      <c r="C18" s="53" t="s">
        <v>70</v>
      </c>
      <c r="D18" s="60" t="s">
        <v>71</v>
      </c>
      <c r="E18" s="55">
        <f>N18*$P$14*R14</f>
        <v>4680</v>
      </c>
      <c r="F18" s="56">
        <f t="shared" si="11"/>
        <v>4.68</v>
      </c>
      <c r="G18" s="62">
        <v>7000.0</v>
      </c>
      <c r="H18" s="57">
        <f t="shared" si="12"/>
        <v>32.76</v>
      </c>
      <c r="I18" s="56">
        <f t="shared" si="13"/>
        <v>390</v>
      </c>
      <c r="J18" s="56">
        <f t="shared" si="14"/>
        <v>19.5</v>
      </c>
      <c r="K18" s="56">
        <v>2.0</v>
      </c>
      <c r="L18" s="56">
        <f t="shared" si="15"/>
        <v>1.21875</v>
      </c>
      <c r="M18" s="58"/>
      <c r="N18" s="62">
        <v>26000.0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53" t="s">
        <v>47</v>
      </c>
      <c r="C19" s="53" t="s">
        <v>72</v>
      </c>
      <c r="D19" s="61" t="s">
        <v>73</v>
      </c>
      <c r="E19" s="55">
        <f>N19*$P$14*S14</f>
        <v>10920</v>
      </c>
      <c r="F19" s="56">
        <f t="shared" si="11"/>
        <v>10.92</v>
      </c>
      <c r="G19" s="62">
        <v>7000.0</v>
      </c>
      <c r="H19" s="57">
        <f t="shared" si="12"/>
        <v>76.44</v>
      </c>
      <c r="I19" s="56">
        <f t="shared" si="13"/>
        <v>910</v>
      </c>
      <c r="J19" s="56">
        <f t="shared" si="14"/>
        <v>45.5</v>
      </c>
      <c r="K19" s="56">
        <v>2.0</v>
      </c>
      <c r="L19" s="56">
        <f t="shared" si="15"/>
        <v>2.84375</v>
      </c>
      <c r="M19" s="58"/>
      <c r="N19" s="62">
        <v>26000.0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53" t="s">
        <v>47</v>
      </c>
      <c r="C20" s="53" t="s">
        <v>74</v>
      </c>
      <c r="D20" s="60" t="s">
        <v>75</v>
      </c>
      <c r="E20" s="55">
        <f>N20*$P$14*R14</f>
        <v>15840</v>
      </c>
      <c r="F20" s="56">
        <f t="shared" si="11"/>
        <v>15.84</v>
      </c>
      <c r="G20" s="62">
        <f>G21*1.2</f>
        <v>13800</v>
      </c>
      <c r="H20" s="57">
        <f t="shared" si="12"/>
        <v>218.592</v>
      </c>
      <c r="I20" s="56">
        <f t="shared" si="13"/>
        <v>1320</v>
      </c>
      <c r="J20" s="56">
        <f t="shared" si="14"/>
        <v>66</v>
      </c>
      <c r="K20" s="56">
        <v>2.0</v>
      </c>
      <c r="L20" s="56">
        <f t="shared" si="15"/>
        <v>4.125</v>
      </c>
      <c r="M20" s="58"/>
      <c r="N20" s="56">
        <v>88000.0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53" t="s">
        <v>47</v>
      </c>
      <c r="C21" s="53" t="s">
        <v>76</v>
      </c>
      <c r="D21" s="61" t="s">
        <v>49</v>
      </c>
      <c r="E21" s="55">
        <f>N21*$P$14*S14</f>
        <v>36960</v>
      </c>
      <c r="F21" s="56">
        <f t="shared" si="11"/>
        <v>36.96</v>
      </c>
      <c r="G21" s="62">
        <f>11500</f>
        <v>11500</v>
      </c>
      <c r="H21" s="57">
        <f t="shared" si="12"/>
        <v>425.04</v>
      </c>
      <c r="I21" s="56">
        <f t="shared" si="13"/>
        <v>3080</v>
      </c>
      <c r="J21" s="56">
        <f t="shared" si="14"/>
        <v>154</v>
      </c>
      <c r="K21" s="56">
        <v>2.0</v>
      </c>
      <c r="L21" s="56">
        <f t="shared" si="15"/>
        <v>9.625</v>
      </c>
      <c r="M21" s="58"/>
      <c r="N21" s="56">
        <v>88000.0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63" t="s">
        <v>52</v>
      </c>
      <c r="C22" s="53" t="s">
        <v>77</v>
      </c>
      <c r="D22" s="54" t="s">
        <v>78</v>
      </c>
      <c r="E22" s="55">
        <f t="shared" ref="E22:E24" si="16">N22*$P$14</f>
        <v>75000</v>
      </c>
      <c r="F22" s="56">
        <f t="shared" si="11"/>
        <v>75</v>
      </c>
      <c r="G22" s="56">
        <v>12700.0</v>
      </c>
      <c r="H22" s="57">
        <f t="shared" si="12"/>
        <v>952.5</v>
      </c>
      <c r="I22" s="56">
        <f t="shared" si="13"/>
        <v>6250</v>
      </c>
      <c r="J22" s="56">
        <f t="shared" si="14"/>
        <v>312.5</v>
      </c>
      <c r="K22" s="56">
        <v>2.0</v>
      </c>
      <c r="L22" s="56">
        <f t="shared" si="15"/>
        <v>19.53125</v>
      </c>
      <c r="M22" s="58"/>
      <c r="N22" s="56">
        <v>125000.0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63" t="s">
        <v>52</v>
      </c>
      <c r="C23" s="53" t="s">
        <v>79</v>
      </c>
      <c r="D23" s="54" t="s">
        <v>51</v>
      </c>
      <c r="E23" s="55">
        <f t="shared" si="16"/>
        <v>70800</v>
      </c>
      <c r="F23" s="56">
        <f t="shared" si="11"/>
        <v>70.8</v>
      </c>
      <c r="G23" s="56">
        <v>12000.0</v>
      </c>
      <c r="H23" s="57">
        <f t="shared" si="12"/>
        <v>849.6</v>
      </c>
      <c r="I23" s="56">
        <f t="shared" si="13"/>
        <v>5900</v>
      </c>
      <c r="J23" s="56">
        <f t="shared" si="14"/>
        <v>295</v>
      </c>
      <c r="K23" s="56">
        <v>2.0</v>
      </c>
      <c r="L23" s="56">
        <f t="shared" si="15"/>
        <v>18.4375</v>
      </c>
      <c r="M23" s="58"/>
      <c r="N23" s="56">
        <v>118000.0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63" t="s">
        <v>52</v>
      </c>
      <c r="C24" s="53" t="s">
        <v>80</v>
      </c>
      <c r="D24" s="60" t="s">
        <v>81</v>
      </c>
      <c r="E24" s="55">
        <f t="shared" si="16"/>
        <v>18000</v>
      </c>
      <c r="F24" s="56">
        <f t="shared" si="11"/>
        <v>18</v>
      </c>
      <c r="G24" s="56">
        <v>12000.0</v>
      </c>
      <c r="H24" s="57">
        <f t="shared" si="12"/>
        <v>216</v>
      </c>
      <c r="I24" s="56">
        <f t="shared" si="13"/>
        <v>1500</v>
      </c>
      <c r="J24" s="56">
        <f t="shared" si="14"/>
        <v>75</v>
      </c>
      <c r="K24" s="56">
        <v>2.0</v>
      </c>
      <c r="L24" s="56">
        <f t="shared" si="15"/>
        <v>4.6875</v>
      </c>
      <c r="M24" s="58"/>
      <c r="N24" s="62">
        <v>30000.0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64" t="s">
        <v>17</v>
      </c>
      <c r="C25" s="65"/>
      <c r="D25" s="66" t="s">
        <v>17</v>
      </c>
      <c r="E25" s="67">
        <f>SUM(E14:E24)</f>
        <v>385950</v>
      </c>
      <c r="F25" s="67">
        <f>SUM(F14:F23)</f>
        <v>367.95</v>
      </c>
      <c r="G25" s="68">
        <f>AVERAGE(G14:G23)</f>
        <v>11280</v>
      </c>
      <c r="H25" s="69">
        <f>SUM(H14:H23)</f>
        <v>4457.3895</v>
      </c>
      <c r="I25" s="68">
        <f t="shared" ref="I25:L25" si="17">AVERAGE(I14:I23)</f>
        <v>3066.25</v>
      </c>
      <c r="J25" s="68">
        <f t="shared" si="17"/>
        <v>153.3125</v>
      </c>
      <c r="K25" s="68">
        <f t="shared" si="17"/>
        <v>2</v>
      </c>
      <c r="L25" s="68">
        <f t="shared" si="17"/>
        <v>9.58203125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70" t="s">
        <v>82</v>
      </c>
      <c r="C28" s="71"/>
      <c r="D28" s="71" t="s">
        <v>83</v>
      </c>
      <c r="E28" s="72">
        <f>SUM(L14:L21)</f>
        <v>57.8515625</v>
      </c>
      <c r="F28" s="1"/>
      <c r="G28" s="1"/>
      <c r="H28" s="1"/>
      <c r="I28" s="73">
        <f>100000*1400</f>
        <v>140000000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74"/>
      <c r="C29" s="1"/>
      <c r="D29" s="1" t="s">
        <v>84</v>
      </c>
      <c r="E29" s="75">
        <f>100</f>
        <v>100</v>
      </c>
      <c r="F29" s="76" t="s">
        <v>85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77"/>
      <c r="C30" s="78"/>
      <c r="D30" s="79" t="s">
        <v>86</v>
      </c>
      <c r="E30" s="80">
        <f>E28/E29</f>
        <v>0.578515625</v>
      </c>
      <c r="F30" s="8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82" t="s">
        <v>87</v>
      </c>
      <c r="C32" s="71"/>
      <c r="D32" s="71" t="s">
        <v>83</v>
      </c>
      <c r="E32" s="72">
        <f>SUM(L22:L24)</f>
        <v>42.65625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74"/>
      <c r="C33" s="1"/>
      <c r="D33" s="1" t="s">
        <v>84</v>
      </c>
      <c r="E33" s="75">
        <v>50.0</v>
      </c>
      <c r="F33" s="76" t="s">
        <v>88</v>
      </c>
      <c r="G33" s="1"/>
      <c r="H33" s="1"/>
      <c r="I33" s="1"/>
      <c r="J33" s="1"/>
      <c r="K33" s="1"/>
      <c r="L33" s="1"/>
      <c r="M33" s="1">
        <f>164000/12</f>
        <v>13666.66667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77"/>
      <c r="C34" s="78"/>
      <c r="D34" s="79" t="s">
        <v>86</v>
      </c>
      <c r="E34" s="80">
        <f>E32/E33</f>
        <v>0.853125</v>
      </c>
      <c r="F34" s="8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76" t="s">
        <v>89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6">
    <mergeCell ref="D2:G2"/>
    <mergeCell ref="H2:I2"/>
    <mergeCell ref="J2:N2"/>
    <mergeCell ref="O2:S2"/>
    <mergeCell ref="B28:B30"/>
    <mergeCell ref="B32:B3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34.71"/>
    <col customWidth="1" min="3" max="3" width="31.57"/>
    <col customWidth="1" min="4" max="12" width="18.43"/>
  </cols>
  <sheetData>
    <row r="1">
      <c r="A1" s="83"/>
      <c r="B1" s="83"/>
      <c r="C1" s="83"/>
      <c r="D1" s="83"/>
    </row>
    <row r="2">
      <c r="A2" s="83"/>
      <c r="B2" s="83"/>
      <c r="C2" s="83"/>
      <c r="D2" s="84" t="s">
        <v>90</v>
      </c>
      <c r="E2" s="83"/>
      <c r="F2" s="83"/>
      <c r="G2" s="83"/>
      <c r="H2" s="83"/>
      <c r="I2" s="83"/>
      <c r="J2" s="83"/>
      <c r="K2" s="83"/>
      <c r="L2" s="83"/>
      <c r="M2" s="83"/>
      <c r="N2" s="83"/>
    </row>
    <row r="3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4">
      <c r="A4" s="83"/>
      <c r="B4" s="83"/>
      <c r="C4" s="85" t="s">
        <v>91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</row>
    <row r="5">
      <c r="A5" s="83"/>
      <c r="B5" s="86" t="s">
        <v>11</v>
      </c>
      <c r="C5" s="87" t="s">
        <v>92</v>
      </c>
      <c r="D5" s="87" t="s">
        <v>93</v>
      </c>
    </row>
    <row r="6">
      <c r="A6" s="85">
        <v>150.0</v>
      </c>
      <c r="B6" s="88" t="s">
        <v>94</v>
      </c>
      <c r="C6" s="89">
        <f>ROUNDUP(Produccion!E14*1000/A6,0)</f>
        <v>320000</v>
      </c>
      <c r="D6" s="90">
        <f>Produccion!G14/1000*A6</f>
        <v>2055</v>
      </c>
    </row>
    <row r="7">
      <c r="A7" s="85">
        <v>150.0</v>
      </c>
      <c r="B7" s="88" t="s">
        <v>95</v>
      </c>
      <c r="C7" s="89">
        <f>ROUNDUP(Produccion!E15*1000/A7,0)</f>
        <v>55500</v>
      </c>
      <c r="D7" s="90">
        <f>Produccion!G15/1000*A7</f>
        <v>1890</v>
      </c>
    </row>
    <row r="8">
      <c r="A8" s="85">
        <v>150.0</v>
      </c>
      <c r="B8" s="88" t="s">
        <v>96</v>
      </c>
      <c r="C8" s="89">
        <f>ROUNDUP(Produccion!E16*1000/A8,0)</f>
        <v>129500</v>
      </c>
      <c r="D8" s="90">
        <f>Produccion!G16/1000*A8</f>
        <v>1575</v>
      </c>
    </row>
    <row r="9">
      <c r="A9" s="85">
        <v>150.0</v>
      </c>
      <c r="B9" s="88" t="s">
        <v>97</v>
      </c>
      <c r="C9" s="89">
        <f>ROUNDUP(Produccion!E17*1000/A9,0)</f>
        <v>520000</v>
      </c>
      <c r="D9" s="90">
        <f>Produccion!G17/1000*A9</f>
        <v>1800</v>
      </c>
    </row>
    <row r="10">
      <c r="A10" s="85">
        <v>150.0</v>
      </c>
      <c r="B10" s="88" t="s">
        <v>98</v>
      </c>
      <c r="C10" s="89">
        <f>ROUNDUP(Produccion!E18*1000/A10,0)</f>
        <v>31200</v>
      </c>
      <c r="D10" s="90">
        <f>Produccion!G18/1000*A10</f>
        <v>1050</v>
      </c>
    </row>
    <row r="11">
      <c r="A11" s="85">
        <v>150.0</v>
      </c>
      <c r="B11" s="88" t="s">
        <v>99</v>
      </c>
      <c r="C11" s="89">
        <f>ROUNDUP(Produccion!E19*1000/A11,0)</f>
        <v>72800</v>
      </c>
      <c r="D11" s="90">
        <f>Produccion!G19/1000*A11</f>
        <v>1050</v>
      </c>
    </row>
    <row r="12">
      <c r="A12" s="85">
        <v>150.0</v>
      </c>
      <c r="B12" s="88" t="s">
        <v>100</v>
      </c>
      <c r="C12" s="89">
        <f>ROUNDUP(Produccion!E20*1000/A12,0)</f>
        <v>105600</v>
      </c>
      <c r="D12" s="90">
        <f>Produccion!G20/1000*A12</f>
        <v>2070</v>
      </c>
    </row>
    <row r="13">
      <c r="A13" s="85">
        <v>150.0</v>
      </c>
      <c r="B13" s="88" t="s">
        <v>101</v>
      </c>
      <c r="C13" s="89">
        <f>ROUNDUP(Produccion!E21*1000/A13,0)</f>
        <v>246400</v>
      </c>
      <c r="D13" s="90">
        <f>Produccion!G21/1000*A13</f>
        <v>1725</v>
      </c>
    </row>
    <row r="14">
      <c r="A14" s="85">
        <v>400.0</v>
      </c>
      <c r="B14" s="88" t="s">
        <v>102</v>
      </c>
      <c r="C14" s="89">
        <f>ROUNDUP(Produccion!E22*1000/A14,0)</f>
        <v>187500</v>
      </c>
      <c r="D14" s="90">
        <f>Produccion!G22/1000*A14</f>
        <v>5080</v>
      </c>
    </row>
    <row r="15">
      <c r="A15" s="85">
        <v>180.0</v>
      </c>
      <c r="B15" s="88" t="s">
        <v>103</v>
      </c>
      <c r="C15" s="89">
        <f>ROUNDUP(Produccion!E23*1000/A15,0)</f>
        <v>393334</v>
      </c>
      <c r="D15" s="90">
        <f>Produccion!G23/1000*A15</f>
        <v>2160</v>
      </c>
    </row>
    <row r="16">
      <c r="A16" s="85">
        <v>180.0</v>
      </c>
      <c r="B16" s="88" t="s">
        <v>104</v>
      </c>
      <c r="C16" s="89">
        <f>ROUNDUP(Produccion!E24*1000/A16,0)</f>
        <v>100000</v>
      </c>
      <c r="D16" s="90">
        <f>Produccion!G24/1000*A16</f>
        <v>2160</v>
      </c>
    </row>
    <row r="17">
      <c r="A17" s="83"/>
      <c r="B17" s="91" t="s">
        <v>105</v>
      </c>
      <c r="C17" s="92">
        <f t="shared" ref="C17:D17" si="1">SUM(C6:C16)</f>
        <v>2161834</v>
      </c>
      <c r="D17" s="92">
        <f t="shared" si="1"/>
        <v>22615</v>
      </c>
    </row>
    <row r="18">
      <c r="A18" s="83"/>
      <c r="B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>
      <c r="A19" s="83"/>
      <c r="B19" s="83"/>
      <c r="C19" s="84" t="s">
        <v>106</v>
      </c>
      <c r="D19" s="84" t="s">
        <v>106</v>
      </c>
      <c r="E19" s="84" t="s">
        <v>106</v>
      </c>
      <c r="F19" s="84" t="s">
        <v>106</v>
      </c>
      <c r="G19" s="84" t="s">
        <v>106</v>
      </c>
      <c r="H19" s="84" t="s">
        <v>106</v>
      </c>
      <c r="I19" s="84" t="s">
        <v>106</v>
      </c>
      <c r="J19" s="84" t="s">
        <v>106</v>
      </c>
      <c r="K19" s="84" t="s">
        <v>106</v>
      </c>
      <c r="L19" s="84" t="s">
        <v>106</v>
      </c>
      <c r="M19" s="83"/>
      <c r="N19" s="83"/>
    </row>
    <row r="20">
      <c r="A20" s="83"/>
      <c r="B20" s="86" t="s">
        <v>11</v>
      </c>
      <c r="C20" s="87" t="s">
        <v>107</v>
      </c>
      <c r="D20" s="87" t="s">
        <v>108</v>
      </c>
      <c r="E20" s="87" t="s">
        <v>109</v>
      </c>
      <c r="F20" s="87" t="s">
        <v>110</v>
      </c>
      <c r="G20" s="87" t="s">
        <v>111</v>
      </c>
      <c r="H20" s="87" t="s">
        <v>112</v>
      </c>
      <c r="I20" s="87" t="s">
        <v>113</v>
      </c>
      <c r="J20" s="87" t="s">
        <v>114</v>
      </c>
      <c r="K20" s="87" t="s">
        <v>115</v>
      </c>
      <c r="L20" s="87" t="s">
        <v>116</v>
      </c>
    </row>
    <row r="21">
      <c r="A21" s="83"/>
      <c r="B21" s="88" t="s">
        <v>94</v>
      </c>
      <c r="C21" s="89">
        <f t="shared" ref="C21:C31" si="4">ROUNDUP((C6/4*0.5)+C6/4*3,0)/1000</f>
        <v>280</v>
      </c>
      <c r="D21" s="89">
        <f t="shared" ref="D21:D31" si="5">C6/1000</f>
        <v>320</v>
      </c>
      <c r="E21" s="89">
        <f t="shared" ref="E21:F21" si="2">ROUNDUP(D21*1.04,0)</f>
        <v>333</v>
      </c>
      <c r="F21" s="89">
        <f t="shared" si="2"/>
        <v>347</v>
      </c>
      <c r="G21" s="89">
        <f t="shared" ref="G21:L21" si="3">ROUNDUP(F21*1.04*1.005,0)</f>
        <v>363</v>
      </c>
      <c r="H21" s="89">
        <f t="shared" si="3"/>
        <v>380</v>
      </c>
      <c r="I21" s="89">
        <f t="shared" si="3"/>
        <v>398</v>
      </c>
      <c r="J21" s="89">
        <f t="shared" si="3"/>
        <v>416</v>
      </c>
      <c r="K21" s="89">
        <f t="shared" si="3"/>
        <v>435</v>
      </c>
      <c r="L21" s="89">
        <f t="shared" si="3"/>
        <v>455</v>
      </c>
    </row>
    <row r="22">
      <c r="A22" s="83"/>
      <c r="B22" s="88" t="s">
        <v>95</v>
      </c>
      <c r="C22" s="89">
        <f t="shared" si="4"/>
        <v>48.563</v>
      </c>
      <c r="D22" s="89">
        <f t="shared" si="5"/>
        <v>55.5</v>
      </c>
      <c r="E22" s="89">
        <f t="shared" ref="E22:F22" si="6">ROUNDUP(D22*1.04,0)</f>
        <v>58</v>
      </c>
      <c r="F22" s="89">
        <f t="shared" si="6"/>
        <v>61</v>
      </c>
      <c r="G22" s="89">
        <f t="shared" ref="G22:L22" si="7">ROUNDUP(F22*1.04*1.005,0)</f>
        <v>64</v>
      </c>
      <c r="H22" s="89">
        <f t="shared" si="7"/>
        <v>67</v>
      </c>
      <c r="I22" s="89">
        <f t="shared" si="7"/>
        <v>71</v>
      </c>
      <c r="J22" s="89">
        <f t="shared" si="7"/>
        <v>75</v>
      </c>
      <c r="K22" s="89">
        <f t="shared" si="7"/>
        <v>79</v>
      </c>
      <c r="L22" s="89">
        <f t="shared" si="7"/>
        <v>83</v>
      </c>
    </row>
    <row r="23">
      <c r="A23" s="83"/>
      <c r="B23" s="88" t="s">
        <v>96</v>
      </c>
      <c r="C23" s="89">
        <f t="shared" si="4"/>
        <v>113.313</v>
      </c>
      <c r="D23" s="89">
        <f t="shared" si="5"/>
        <v>129.5</v>
      </c>
      <c r="E23" s="89">
        <f t="shared" ref="E23:F23" si="8">ROUNDUP(D23*1.04,0)</f>
        <v>135</v>
      </c>
      <c r="F23" s="89">
        <f t="shared" si="8"/>
        <v>141</v>
      </c>
      <c r="G23" s="89">
        <f t="shared" ref="G23:L23" si="9">ROUNDUP(F23*1.04*1.005,0)</f>
        <v>148</v>
      </c>
      <c r="H23" s="89">
        <f t="shared" si="9"/>
        <v>155</v>
      </c>
      <c r="I23" s="89">
        <f t="shared" si="9"/>
        <v>163</v>
      </c>
      <c r="J23" s="89">
        <f t="shared" si="9"/>
        <v>171</v>
      </c>
      <c r="K23" s="89">
        <f t="shared" si="9"/>
        <v>179</v>
      </c>
      <c r="L23" s="89">
        <f t="shared" si="9"/>
        <v>188</v>
      </c>
    </row>
    <row r="24">
      <c r="A24" s="83"/>
      <c r="B24" s="88" t="s">
        <v>97</v>
      </c>
      <c r="C24" s="89">
        <f t="shared" si="4"/>
        <v>455</v>
      </c>
      <c r="D24" s="89">
        <f t="shared" si="5"/>
        <v>520</v>
      </c>
      <c r="E24" s="89">
        <f t="shared" ref="E24:F24" si="10">ROUNDUP(D24*1.04,0)</f>
        <v>541</v>
      </c>
      <c r="F24" s="89">
        <f t="shared" si="10"/>
        <v>563</v>
      </c>
      <c r="G24" s="89">
        <f t="shared" ref="G24:L24" si="11">ROUNDUP(F24*1.04*1.005,0)</f>
        <v>589</v>
      </c>
      <c r="H24" s="89">
        <f t="shared" si="11"/>
        <v>616</v>
      </c>
      <c r="I24" s="89">
        <f t="shared" si="11"/>
        <v>644</v>
      </c>
      <c r="J24" s="89">
        <f t="shared" si="11"/>
        <v>674</v>
      </c>
      <c r="K24" s="89">
        <f t="shared" si="11"/>
        <v>705</v>
      </c>
      <c r="L24" s="89">
        <f t="shared" si="11"/>
        <v>737</v>
      </c>
    </row>
    <row r="25">
      <c r="A25" s="83"/>
      <c r="B25" s="88" t="s">
        <v>98</v>
      </c>
      <c r="C25" s="89">
        <f t="shared" si="4"/>
        <v>27.3</v>
      </c>
      <c r="D25" s="89">
        <f t="shared" si="5"/>
        <v>31.2</v>
      </c>
      <c r="E25" s="89">
        <f t="shared" ref="E25:F25" si="12">ROUNDUP(D25*1.04,0)</f>
        <v>33</v>
      </c>
      <c r="F25" s="89">
        <f t="shared" si="12"/>
        <v>35</v>
      </c>
      <c r="G25" s="89">
        <f t="shared" ref="G25:L25" si="13">ROUNDUP(F25*1.04*1.005,0)</f>
        <v>37</v>
      </c>
      <c r="H25" s="89">
        <f t="shared" si="13"/>
        <v>39</v>
      </c>
      <c r="I25" s="89">
        <f t="shared" si="13"/>
        <v>41</v>
      </c>
      <c r="J25" s="89">
        <f t="shared" si="13"/>
        <v>43</v>
      </c>
      <c r="K25" s="89">
        <f t="shared" si="13"/>
        <v>45</v>
      </c>
      <c r="L25" s="89">
        <f t="shared" si="13"/>
        <v>48</v>
      </c>
    </row>
    <row r="26">
      <c r="A26" s="83"/>
      <c r="B26" s="88" t="s">
        <v>99</v>
      </c>
      <c r="C26" s="89">
        <f t="shared" si="4"/>
        <v>63.7</v>
      </c>
      <c r="D26" s="89">
        <f t="shared" si="5"/>
        <v>72.8</v>
      </c>
      <c r="E26" s="89">
        <f t="shared" ref="E26:F26" si="14">ROUNDUP(D26*1.04,0)</f>
        <v>76</v>
      </c>
      <c r="F26" s="89">
        <f t="shared" si="14"/>
        <v>80</v>
      </c>
      <c r="G26" s="89">
        <f t="shared" ref="G26:L26" si="15">ROUNDUP(F26*1.04*1.005,0)</f>
        <v>84</v>
      </c>
      <c r="H26" s="89">
        <f t="shared" si="15"/>
        <v>88</v>
      </c>
      <c r="I26" s="89">
        <f t="shared" si="15"/>
        <v>92</v>
      </c>
      <c r="J26" s="89">
        <f t="shared" si="15"/>
        <v>97</v>
      </c>
      <c r="K26" s="89">
        <f t="shared" si="15"/>
        <v>102</v>
      </c>
      <c r="L26" s="89">
        <f t="shared" si="15"/>
        <v>107</v>
      </c>
    </row>
    <row r="27">
      <c r="A27" s="83"/>
      <c r="B27" s="88" t="s">
        <v>100</v>
      </c>
      <c r="C27" s="89">
        <f t="shared" si="4"/>
        <v>92.4</v>
      </c>
      <c r="D27" s="89">
        <f t="shared" si="5"/>
        <v>105.6</v>
      </c>
      <c r="E27" s="89">
        <f t="shared" ref="E27:F27" si="16">ROUNDUP(D27*1.04,0)</f>
        <v>110</v>
      </c>
      <c r="F27" s="89">
        <f t="shared" si="16"/>
        <v>115</v>
      </c>
      <c r="G27" s="89">
        <f t="shared" ref="G27:L27" si="17">ROUNDUP(F27*1.04*1.005,0)</f>
        <v>121</v>
      </c>
      <c r="H27" s="89">
        <f t="shared" si="17"/>
        <v>127</v>
      </c>
      <c r="I27" s="89">
        <f t="shared" si="17"/>
        <v>133</v>
      </c>
      <c r="J27" s="89">
        <f t="shared" si="17"/>
        <v>140</v>
      </c>
      <c r="K27" s="89">
        <f t="shared" si="17"/>
        <v>147</v>
      </c>
      <c r="L27" s="89">
        <f t="shared" si="17"/>
        <v>154</v>
      </c>
    </row>
    <row r="28">
      <c r="A28" s="83"/>
      <c r="B28" s="88" t="s">
        <v>101</v>
      </c>
      <c r="C28" s="89">
        <f t="shared" si="4"/>
        <v>215.6</v>
      </c>
      <c r="D28" s="89">
        <f t="shared" si="5"/>
        <v>246.4</v>
      </c>
      <c r="E28" s="89">
        <f t="shared" ref="E28:F28" si="18">ROUNDUP(D28*1.04,0)</f>
        <v>257</v>
      </c>
      <c r="F28" s="89">
        <f t="shared" si="18"/>
        <v>268</v>
      </c>
      <c r="G28" s="89">
        <f t="shared" ref="G28:L28" si="19">ROUNDUP(F28*1.04*1.005,0)</f>
        <v>281</v>
      </c>
      <c r="H28" s="89">
        <f t="shared" si="19"/>
        <v>294</v>
      </c>
      <c r="I28" s="89">
        <f t="shared" si="19"/>
        <v>308</v>
      </c>
      <c r="J28" s="89">
        <f t="shared" si="19"/>
        <v>322</v>
      </c>
      <c r="K28" s="89">
        <f t="shared" si="19"/>
        <v>337</v>
      </c>
      <c r="L28" s="89">
        <f t="shared" si="19"/>
        <v>353</v>
      </c>
    </row>
    <row r="29">
      <c r="A29" s="83"/>
      <c r="B29" s="88" t="s">
        <v>102</v>
      </c>
      <c r="C29" s="89">
        <f t="shared" si="4"/>
        <v>164.063</v>
      </c>
      <c r="D29" s="89">
        <f t="shared" si="5"/>
        <v>187.5</v>
      </c>
      <c r="E29" s="89">
        <f t="shared" ref="E29:F29" si="20">ROUNDUP(D29*1.04,0)</f>
        <v>195</v>
      </c>
      <c r="F29" s="89">
        <f t="shared" si="20"/>
        <v>203</v>
      </c>
      <c r="G29" s="89">
        <f t="shared" ref="G29:L29" si="21">ROUNDUP(F29*1.04*1.005,0)</f>
        <v>213</v>
      </c>
      <c r="H29" s="89">
        <f t="shared" si="21"/>
        <v>223</v>
      </c>
      <c r="I29" s="89">
        <f t="shared" si="21"/>
        <v>234</v>
      </c>
      <c r="J29" s="89">
        <f t="shared" si="21"/>
        <v>245</v>
      </c>
      <c r="K29" s="89">
        <f t="shared" si="21"/>
        <v>257</v>
      </c>
      <c r="L29" s="89">
        <f t="shared" si="21"/>
        <v>269</v>
      </c>
    </row>
    <row r="30">
      <c r="A30" s="83"/>
      <c r="B30" s="88" t="s">
        <v>103</v>
      </c>
      <c r="C30" s="89">
        <f t="shared" si="4"/>
        <v>344.168</v>
      </c>
      <c r="D30" s="89">
        <f t="shared" si="5"/>
        <v>393.334</v>
      </c>
      <c r="E30" s="89">
        <f t="shared" ref="E30:F30" si="22">ROUNDUP(D30*1.04,0)</f>
        <v>410</v>
      </c>
      <c r="F30" s="89">
        <f t="shared" si="22"/>
        <v>427</v>
      </c>
      <c r="G30" s="89">
        <f t="shared" ref="G30:L30" si="23">ROUNDUP(F30*1.04*1.005,0)</f>
        <v>447</v>
      </c>
      <c r="H30" s="89">
        <f t="shared" si="23"/>
        <v>468</v>
      </c>
      <c r="I30" s="89">
        <f t="shared" si="23"/>
        <v>490</v>
      </c>
      <c r="J30" s="89">
        <f t="shared" si="23"/>
        <v>513</v>
      </c>
      <c r="K30" s="89">
        <f t="shared" si="23"/>
        <v>537</v>
      </c>
      <c r="L30" s="89">
        <f t="shared" si="23"/>
        <v>562</v>
      </c>
    </row>
    <row r="31">
      <c r="A31" s="83"/>
      <c r="B31" s="88" t="s">
        <v>104</v>
      </c>
      <c r="C31" s="89">
        <f t="shared" si="4"/>
        <v>87.5</v>
      </c>
      <c r="D31" s="89">
        <f t="shared" si="5"/>
        <v>100</v>
      </c>
      <c r="E31" s="89">
        <f t="shared" ref="E31:F31" si="24">ROUNDUP(D31*1.04,0)</f>
        <v>104</v>
      </c>
      <c r="F31" s="89">
        <f t="shared" si="24"/>
        <v>109</v>
      </c>
      <c r="G31" s="89">
        <f t="shared" ref="G31:L31" si="25">ROUNDUP(F31*1.04*1.005,0)</f>
        <v>114</v>
      </c>
      <c r="H31" s="89">
        <f t="shared" si="25"/>
        <v>120</v>
      </c>
      <c r="I31" s="89">
        <f t="shared" si="25"/>
        <v>126</v>
      </c>
      <c r="J31" s="89">
        <f t="shared" si="25"/>
        <v>132</v>
      </c>
      <c r="K31" s="89">
        <f t="shared" si="25"/>
        <v>138</v>
      </c>
      <c r="L31" s="89">
        <f t="shared" si="25"/>
        <v>145</v>
      </c>
    </row>
    <row r="32">
      <c r="A32" s="83"/>
      <c r="B32" s="91" t="s">
        <v>105</v>
      </c>
      <c r="C32" s="92">
        <f t="shared" ref="C32:L32" si="26">SUM(C21:C31)</f>
        <v>1891.607</v>
      </c>
      <c r="D32" s="92">
        <f t="shared" si="26"/>
        <v>2161.834</v>
      </c>
      <c r="E32" s="92">
        <f t="shared" si="26"/>
        <v>2252</v>
      </c>
      <c r="F32" s="92">
        <f t="shared" si="26"/>
        <v>2349</v>
      </c>
      <c r="G32" s="92">
        <f t="shared" si="26"/>
        <v>2461</v>
      </c>
      <c r="H32" s="92">
        <f t="shared" si="26"/>
        <v>2577</v>
      </c>
      <c r="I32" s="92">
        <f t="shared" si="26"/>
        <v>2700</v>
      </c>
      <c r="J32" s="92">
        <f t="shared" si="26"/>
        <v>2828</v>
      </c>
      <c r="K32" s="92">
        <f t="shared" si="26"/>
        <v>2961</v>
      </c>
      <c r="L32" s="92">
        <f t="shared" si="26"/>
        <v>3101</v>
      </c>
    </row>
    <row r="33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</row>
    <row r="34">
      <c r="A34" s="83"/>
      <c r="B34" s="83"/>
      <c r="D34" s="84" t="s">
        <v>90</v>
      </c>
      <c r="E34" s="84" t="s">
        <v>90</v>
      </c>
      <c r="F34" s="84" t="s">
        <v>90</v>
      </c>
      <c r="G34" s="84" t="s">
        <v>90</v>
      </c>
      <c r="H34" s="84" t="s">
        <v>90</v>
      </c>
      <c r="I34" s="84" t="s">
        <v>90</v>
      </c>
      <c r="J34" s="84" t="s">
        <v>90</v>
      </c>
      <c r="K34" s="84" t="s">
        <v>90</v>
      </c>
      <c r="L34" s="84" t="s">
        <v>90</v>
      </c>
      <c r="M34" s="84" t="s">
        <v>90</v>
      </c>
      <c r="N34" s="83"/>
    </row>
    <row r="35">
      <c r="A35" s="83"/>
      <c r="B35" s="86" t="s">
        <v>11</v>
      </c>
      <c r="C35" s="87" t="s">
        <v>93</v>
      </c>
      <c r="D35" s="87" t="s">
        <v>107</v>
      </c>
      <c r="E35" s="87" t="s">
        <v>108</v>
      </c>
      <c r="F35" s="87" t="s">
        <v>109</v>
      </c>
      <c r="G35" s="87" t="s">
        <v>110</v>
      </c>
      <c r="H35" s="87" t="s">
        <v>111</v>
      </c>
      <c r="I35" s="87" t="s">
        <v>112</v>
      </c>
      <c r="J35" s="87" t="s">
        <v>113</v>
      </c>
      <c r="K35" s="87" t="s">
        <v>114</v>
      </c>
      <c r="L35" s="87" t="s">
        <v>115</v>
      </c>
      <c r="M35" s="87" t="s">
        <v>116</v>
      </c>
      <c r="N35" s="83"/>
    </row>
    <row r="36">
      <c r="A36" s="83"/>
      <c r="B36" s="88" t="s">
        <v>94</v>
      </c>
      <c r="C36" s="89">
        <f t="shared" ref="C36:C46" si="28">D6</f>
        <v>2055</v>
      </c>
      <c r="D36" s="89">
        <f t="shared" ref="D36:M36" si="27">$C36*C21*1000/1000000</f>
        <v>575.4</v>
      </c>
      <c r="E36" s="89">
        <f t="shared" si="27"/>
        <v>657.6</v>
      </c>
      <c r="F36" s="89">
        <f t="shared" si="27"/>
        <v>684.315</v>
      </c>
      <c r="G36" s="89">
        <f t="shared" si="27"/>
        <v>713.085</v>
      </c>
      <c r="H36" s="89">
        <f t="shared" si="27"/>
        <v>745.965</v>
      </c>
      <c r="I36" s="89">
        <f t="shared" si="27"/>
        <v>780.9</v>
      </c>
      <c r="J36" s="89">
        <f t="shared" si="27"/>
        <v>817.89</v>
      </c>
      <c r="K36" s="89">
        <f t="shared" si="27"/>
        <v>854.88</v>
      </c>
      <c r="L36" s="89">
        <f t="shared" si="27"/>
        <v>893.925</v>
      </c>
      <c r="M36" s="89">
        <f t="shared" si="27"/>
        <v>935.025</v>
      </c>
      <c r="N36" s="83"/>
    </row>
    <row r="37">
      <c r="A37" s="83"/>
      <c r="B37" s="88" t="s">
        <v>95</v>
      </c>
      <c r="C37" s="89">
        <f t="shared" si="28"/>
        <v>1890</v>
      </c>
      <c r="D37" s="89">
        <f t="shared" ref="D37:M37" si="29">$C37*C22*1000/1000000</f>
        <v>91.78407</v>
      </c>
      <c r="E37" s="89">
        <f t="shared" si="29"/>
        <v>104.895</v>
      </c>
      <c r="F37" s="89">
        <f t="shared" si="29"/>
        <v>109.62</v>
      </c>
      <c r="G37" s="89">
        <f t="shared" si="29"/>
        <v>115.29</v>
      </c>
      <c r="H37" s="89">
        <f t="shared" si="29"/>
        <v>120.96</v>
      </c>
      <c r="I37" s="89">
        <f t="shared" si="29"/>
        <v>126.63</v>
      </c>
      <c r="J37" s="89">
        <f t="shared" si="29"/>
        <v>134.19</v>
      </c>
      <c r="K37" s="89">
        <f t="shared" si="29"/>
        <v>141.75</v>
      </c>
      <c r="L37" s="89">
        <f t="shared" si="29"/>
        <v>149.31</v>
      </c>
      <c r="M37" s="89">
        <f t="shared" si="29"/>
        <v>156.87</v>
      </c>
      <c r="N37" s="83"/>
    </row>
    <row r="38">
      <c r="A38" s="83"/>
      <c r="B38" s="88" t="s">
        <v>96</v>
      </c>
      <c r="C38" s="89">
        <f t="shared" si="28"/>
        <v>1575</v>
      </c>
      <c r="D38" s="89">
        <f t="shared" ref="D38:M38" si="30">$C38*C23*1000/1000000</f>
        <v>178.467975</v>
      </c>
      <c r="E38" s="89">
        <f t="shared" si="30"/>
        <v>203.9625</v>
      </c>
      <c r="F38" s="89">
        <f t="shared" si="30"/>
        <v>212.625</v>
      </c>
      <c r="G38" s="89">
        <f t="shared" si="30"/>
        <v>222.075</v>
      </c>
      <c r="H38" s="89">
        <f t="shared" si="30"/>
        <v>233.1</v>
      </c>
      <c r="I38" s="89">
        <f t="shared" si="30"/>
        <v>244.125</v>
      </c>
      <c r="J38" s="89">
        <f t="shared" si="30"/>
        <v>256.725</v>
      </c>
      <c r="K38" s="89">
        <f t="shared" si="30"/>
        <v>269.325</v>
      </c>
      <c r="L38" s="89">
        <f t="shared" si="30"/>
        <v>281.925</v>
      </c>
      <c r="M38" s="89">
        <f t="shared" si="30"/>
        <v>296.1</v>
      </c>
      <c r="N38" s="83"/>
    </row>
    <row r="39">
      <c r="A39" s="83"/>
      <c r="B39" s="88" t="s">
        <v>97</v>
      </c>
      <c r="C39" s="89">
        <f t="shared" si="28"/>
        <v>1800</v>
      </c>
      <c r="D39" s="89">
        <f t="shared" ref="D39:M39" si="31">$C39*C24*1000/1000000</f>
        <v>819</v>
      </c>
      <c r="E39" s="89">
        <f t="shared" si="31"/>
        <v>936</v>
      </c>
      <c r="F39" s="89">
        <f t="shared" si="31"/>
        <v>973.8</v>
      </c>
      <c r="G39" s="89">
        <f t="shared" si="31"/>
        <v>1013.4</v>
      </c>
      <c r="H39" s="89">
        <f t="shared" si="31"/>
        <v>1060.2</v>
      </c>
      <c r="I39" s="89">
        <f t="shared" si="31"/>
        <v>1108.8</v>
      </c>
      <c r="J39" s="89">
        <f t="shared" si="31"/>
        <v>1159.2</v>
      </c>
      <c r="K39" s="89">
        <f t="shared" si="31"/>
        <v>1213.2</v>
      </c>
      <c r="L39" s="89">
        <f t="shared" si="31"/>
        <v>1269</v>
      </c>
      <c r="M39" s="89">
        <f t="shared" si="31"/>
        <v>1326.6</v>
      </c>
      <c r="N39" s="83"/>
    </row>
    <row r="40">
      <c r="A40" s="83"/>
      <c r="B40" s="88" t="s">
        <v>98</v>
      </c>
      <c r="C40" s="89">
        <f t="shared" si="28"/>
        <v>1050</v>
      </c>
      <c r="D40" s="89">
        <f t="shared" ref="D40:M40" si="32">$C40*C25*1000/1000000</f>
        <v>28.665</v>
      </c>
      <c r="E40" s="89">
        <f t="shared" si="32"/>
        <v>32.76</v>
      </c>
      <c r="F40" s="89">
        <f t="shared" si="32"/>
        <v>34.65</v>
      </c>
      <c r="G40" s="89">
        <f t="shared" si="32"/>
        <v>36.75</v>
      </c>
      <c r="H40" s="89">
        <f t="shared" si="32"/>
        <v>38.85</v>
      </c>
      <c r="I40" s="89">
        <f t="shared" si="32"/>
        <v>40.95</v>
      </c>
      <c r="J40" s="89">
        <f t="shared" si="32"/>
        <v>43.05</v>
      </c>
      <c r="K40" s="89">
        <f t="shared" si="32"/>
        <v>45.15</v>
      </c>
      <c r="L40" s="89">
        <f t="shared" si="32"/>
        <v>47.25</v>
      </c>
      <c r="M40" s="89">
        <f t="shared" si="32"/>
        <v>50.4</v>
      </c>
      <c r="N40" s="83"/>
    </row>
    <row r="41">
      <c r="A41" s="83"/>
      <c r="B41" s="88" t="s">
        <v>99</v>
      </c>
      <c r="C41" s="89">
        <f t="shared" si="28"/>
        <v>1050</v>
      </c>
      <c r="D41" s="89">
        <f t="shared" ref="D41:M41" si="33">$C41*C26*1000/1000000</f>
        <v>66.885</v>
      </c>
      <c r="E41" s="89">
        <f t="shared" si="33"/>
        <v>76.44</v>
      </c>
      <c r="F41" s="89">
        <f t="shared" si="33"/>
        <v>79.8</v>
      </c>
      <c r="G41" s="89">
        <f t="shared" si="33"/>
        <v>84</v>
      </c>
      <c r="H41" s="89">
        <f t="shared" si="33"/>
        <v>88.2</v>
      </c>
      <c r="I41" s="89">
        <f t="shared" si="33"/>
        <v>92.4</v>
      </c>
      <c r="J41" s="89">
        <f t="shared" si="33"/>
        <v>96.6</v>
      </c>
      <c r="K41" s="89">
        <f t="shared" si="33"/>
        <v>101.85</v>
      </c>
      <c r="L41" s="89">
        <f t="shared" si="33"/>
        <v>107.1</v>
      </c>
      <c r="M41" s="89">
        <f t="shared" si="33"/>
        <v>112.35</v>
      </c>
      <c r="N41" s="83"/>
    </row>
    <row r="42">
      <c r="A42" s="83"/>
      <c r="B42" s="88" t="s">
        <v>100</v>
      </c>
      <c r="C42" s="89">
        <f t="shared" si="28"/>
        <v>2070</v>
      </c>
      <c r="D42" s="89">
        <f t="shared" ref="D42:M42" si="34">$C42*C27*1000/1000000</f>
        <v>191.268</v>
      </c>
      <c r="E42" s="89">
        <f t="shared" si="34"/>
        <v>218.592</v>
      </c>
      <c r="F42" s="89">
        <f t="shared" si="34"/>
        <v>227.7</v>
      </c>
      <c r="G42" s="89">
        <f t="shared" si="34"/>
        <v>238.05</v>
      </c>
      <c r="H42" s="89">
        <f t="shared" si="34"/>
        <v>250.47</v>
      </c>
      <c r="I42" s="89">
        <f t="shared" si="34"/>
        <v>262.89</v>
      </c>
      <c r="J42" s="89">
        <f t="shared" si="34"/>
        <v>275.31</v>
      </c>
      <c r="K42" s="89">
        <f t="shared" si="34"/>
        <v>289.8</v>
      </c>
      <c r="L42" s="89">
        <f t="shared" si="34"/>
        <v>304.29</v>
      </c>
      <c r="M42" s="89">
        <f t="shared" si="34"/>
        <v>318.78</v>
      </c>
      <c r="N42" s="83"/>
    </row>
    <row r="43">
      <c r="A43" s="83"/>
      <c r="B43" s="88" t="s">
        <v>101</v>
      </c>
      <c r="C43" s="89">
        <f t="shared" si="28"/>
        <v>1725</v>
      </c>
      <c r="D43" s="89">
        <f t="shared" ref="D43:M43" si="35">$C43*C28*1000/1000000</f>
        <v>371.91</v>
      </c>
      <c r="E43" s="89">
        <f t="shared" si="35"/>
        <v>425.04</v>
      </c>
      <c r="F43" s="89">
        <f t="shared" si="35"/>
        <v>443.325</v>
      </c>
      <c r="G43" s="89">
        <f t="shared" si="35"/>
        <v>462.3</v>
      </c>
      <c r="H43" s="89">
        <f t="shared" si="35"/>
        <v>484.725</v>
      </c>
      <c r="I43" s="89">
        <f t="shared" si="35"/>
        <v>507.15</v>
      </c>
      <c r="J43" s="89">
        <f t="shared" si="35"/>
        <v>531.3</v>
      </c>
      <c r="K43" s="89">
        <f t="shared" si="35"/>
        <v>555.45</v>
      </c>
      <c r="L43" s="89">
        <f t="shared" si="35"/>
        <v>581.325</v>
      </c>
      <c r="M43" s="89">
        <f t="shared" si="35"/>
        <v>608.925</v>
      </c>
      <c r="N43" s="83"/>
    </row>
    <row r="44">
      <c r="A44" s="83"/>
      <c r="B44" s="88" t="s">
        <v>102</v>
      </c>
      <c r="C44" s="89">
        <f t="shared" si="28"/>
        <v>5080</v>
      </c>
      <c r="D44" s="89">
        <f t="shared" ref="D44:M44" si="36">$C44*C29*1000/1000000</f>
        <v>833.44004</v>
      </c>
      <c r="E44" s="89">
        <f t="shared" si="36"/>
        <v>952.5</v>
      </c>
      <c r="F44" s="89">
        <f t="shared" si="36"/>
        <v>990.6</v>
      </c>
      <c r="G44" s="89">
        <f t="shared" si="36"/>
        <v>1031.24</v>
      </c>
      <c r="H44" s="89">
        <f t="shared" si="36"/>
        <v>1082.04</v>
      </c>
      <c r="I44" s="89">
        <f t="shared" si="36"/>
        <v>1132.84</v>
      </c>
      <c r="J44" s="89">
        <f t="shared" si="36"/>
        <v>1188.72</v>
      </c>
      <c r="K44" s="89">
        <f t="shared" si="36"/>
        <v>1244.6</v>
      </c>
      <c r="L44" s="89">
        <f t="shared" si="36"/>
        <v>1305.56</v>
      </c>
      <c r="M44" s="89">
        <f t="shared" si="36"/>
        <v>1366.52</v>
      </c>
      <c r="N44" s="83"/>
    </row>
    <row r="45">
      <c r="A45" s="83"/>
      <c r="B45" s="88" t="s">
        <v>103</v>
      </c>
      <c r="C45" s="89">
        <f t="shared" si="28"/>
        <v>2160</v>
      </c>
      <c r="D45" s="89">
        <f t="shared" ref="D45:M45" si="37">$C45*C30*1000/1000000</f>
        <v>743.40288</v>
      </c>
      <c r="E45" s="89">
        <f t="shared" si="37"/>
        <v>849.60144</v>
      </c>
      <c r="F45" s="89">
        <f t="shared" si="37"/>
        <v>885.6</v>
      </c>
      <c r="G45" s="89">
        <f t="shared" si="37"/>
        <v>922.32</v>
      </c>
      <c r="H45" s="89">
        <f t="shared" si="37"/>
        <v>965.52</v>
      </c>
      <c r="I45" s="89">
        <f t="shared" si="37"/>
        <v>1010.88</v>
      </c>
      <c r="J45" s="89">
        <f t="shared" si="37"/>
        <v>1058.4</v>
      </c>
      <c r="K45" s="89">
        <f t="shared" si="37"/>
        <v>1108.08</v>
      </c>
      <c r="L45" s="89">
        <f t="shared" si="37"/>
        <v>1159.92</v>
      </c>
      <c r="M45" s="89">
        <f t="shared" si="37"/>
        <v>1213.92</v>
      </c>
      <c r="N45" s="83"/>
    </row>
    <row r="46">
      <c r="A46" s="83"/>
      <c r="B46" s="88" t="s">
        <v>104</v>
      </c>
      <c r="C46" s="89">
        <f t="shared" si="28"/>
        <v>2160</v>
      </c>
      <c r="D46" s="89">
        <f t="shared" ref="D46:M46" si="38">$C46*C31*1000/1000000</f>
        <v>189</v>
      </c>
      <c r="E46" s="89">
        <f t="shared" si="38"/>
        <v>216</v>
      </c>
      <c r="F46" s="89">
        <f t="shared" si="38"/>
        <v>224.64</v>
      </c>
      <c r="G46" s="89">
        <f t="shared" si="38"/>
        <v>235.44</v>
      </c>
      <c r="H46" s="89">
        <f t="shared" si="38"/>
        <v>246.24</v>
      </c>
      <c r="I46" s="89">
        <f t="shared" si="38"/>
        <v>259.2</v>
      </c>
      <c r="J46" s="89">
        <f t="shared" si="38"/>
        <v>272.16</v>
      </c>
      <c r="K46" s="89">
        <f t="shared" si="38"/>
        <v>285.12</v>
      </c>
      <c r="L46" s="89">
        <f t="shared" si="38"/>
        <v>298.08</v>
      </c>
      <c r="M46" s="89">
        <f t="shared" si="38"/>
        <v>313.2</v>
      </c>
      <c r="N46" s="83"/>
    </row>
    <row r="47">
      <c r="A47" s="83"/>
      <c r="B47" s="91" t="s">
        <v>105</v>
      </c>
      <c r="C47" s="92">
        <f t="shared" ref="C47:M47" si="39">SUM(C36:C46)</f>
        <v>22615</v>
      </c>
      <c r="D47" s="92">
        <f t="shared" si="39"/>
        <v>4089.222965</v>
      </c>
      <c r="E47" s="92">
        <f t="shared" si="39"/>
        <v>4673.39094</v>
      </c>
      <c r="F47" s="92">
        <f t="shared" si="39"/>
        <v>4866.675</v>
      </c>
      <c r="G47" s="92">
        <f t="shared" si="39"/>
        <v>5073.95</v>
      </c>
      <c r="H47" s="92">
        <f t="shared" si="39"/>
        <v>5316.27</v>
      </c>
      <c r="I47" s="92">
        <f t="shared" si="39"/>
        <v>5566.765</v>
      </c>
      <c r="J47" s="92">
        <f t="shared" si="39"/>
        <v>5833.545</v>
      </c>
      <c r="K47" s="92">
        <f t="shared" si="39"/>
        <v>6109.205</v>
      </c>
      <c r="L47" s="92">
        <f t="shared" si="39"/>
        <v>6397.685</v>
      </c>
      <c r="M47" s="92">
        <f t="shared" si="39"/>
        <v>6698.69</v>
      </c>
      <c r="N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9.71"/>
    <col customWidth="1" min="3" max="3" width="11.14"/>
    <col customWidth="1" min="4" max="4" width="7.14"/>
    <col customWidth="1" min="5" max="5" width="4.71"/>
    <col customWidth="1" min="6" max="6" width="19.14"/>
    <col customWidth="1" min="7" max="7" width="19.71"/>
    <col customWidth="1" min="8" max="8" width="28.29"/>
    <col customWidth="1" min="9" max="9" width="7.71"/>
    <col customWidth="1" min="10" max="12" width="13.57"/>
    <col customWidth="1" min="13" max="13" width="4.29"/>
    <col customWidth="1" min="14" max="15" width="5.57"/>
    <col customWidth="1" min="16" max="16" width="7.57"/>
    <col customWidth="1" min="17" max="17" width="23.0"/>
    <col customWidth="1" min="18" max="18" width="11.57"/>
    <col customWidth="1" min="19" max="19" width="10.71"/>
    <col customWidth="1" min="20" max="20" width="15.29"/>
    <col customWidth="1" min="21" max="23" width="12.43"/>
    <col customWidth="1" min="24" max="27" width="10.71"/>
  </cols>
  <sheetData>
    <row r="1" ht="10.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</row>
    <row r="2" ht="15.0" customHeight="1">
      <c r="A2" s="94"/>
      <c r="B2" s="95" t="s">
        <v>117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6" t="s">
        <v>118</v>
      </c>
      <c r="R2" s="94"/>
      <c r="S2" s="94"/>
      <c r="T2" s="96" t="s">
        <v>119</v>
      </c>
      <c r="U2" s="94"/>
      <c r="V2" s="94"/>
      <c r="W2" s="94"/>
      <c r="X2" s="94"/>
      <c r="Y2" s="94"/>
      <c r="Z2" s="94"/>
      <c r="AA2" s="94"/>
    </row>
    <row r="3" ht="15.0" customHeight="1">
      <c r="A3" s="94"/>
      <c r="B3" s="97" t="s">
        <v>120</v>
      </c>
      <c r="C3" s="97" t="s">
        <v>121</v>
      </c>
      <c r="D3" s="98" t="s">
        <v>21</v>
      </c>
      <c r="E3" s="94"/>
      <c r="F3" s="94"/>
      <c r="G3" s="97" t="s">
        <v>122</v>
      </c>
      <c r="H3" s="97" t="s">
        <v>123</v>
      </c>
      <c r="I3" s="97" t="s">
        <v>124</v>
      </c>
      <c r="J3" s="97" t="s">
        <v>125</v>
      </c>
      <c r="K3" s="97" t="s">
        <v>126</v>
      </c>
      <c r="L3" s="97" t="s">
        <v>127</v>
      </c>
      <c r="M3" s="94"/>
      <c r="N3" s="99" t="s">
        <v>128</v>
      </c>
      <c r="O3" s="100">
        <v>1360.0</v>
      </c>
      <c r="P3" s="94"/>
      <c r="Q3" s="97" t="s">
        <v>129</v>
      </c>
      <c r="R3" s="97" t="s">
        <v>130</v>
      </c>
      <c r="S3" s="94"/>
      <c r="T3" s="98" t="s">
        <v>120</v>
      </c>
      <c r="U3" s="98" t="s">
        <v>131</v>
      </c>
      <c r="V3" s="98" t="s">
        <v>132</v>
      </c>
      <c r="W3" s="98" t="s">
        <v>133</v>
      </c>
      <c r="X3" s="94"/>
      <c r="Y3" s="94"/>
      <c r="Z3" s="94"/>
      <c r="AA3" s="94"/>
    </row>
    <row r="4" ht="15.0" customHeight="1">
      <c r="A4" s="94"/>
      <c r="B4" s="101" t="s">
        <v>134</v>
      </c>
      <c r="C4" s="102">
        <f>900000*O3/1000000</f>
        <v>1224</v>
      </c>
      <c r="D4" s="103">
        <f t="shared" ref="D4:D8" si="1">C4/$C$9</f>
        <v>0.6880494136</v>
      </c>
      <c r="E4" s="94"/>
      <c r="F4" s="104" t="s">
        <v>135</v>
      </c>
      <c r="G4" s="105" t="s">
        <v>136</v>
      </c>
      <c r="H4" s="106" t="s">
        <v>137</v>
      </c>
      <c r="I4" s="107">
        <v>1.0</v>
      </c>
      <c r="J4" s="108">
        <v>15000.0</v>
      </c>
      <c r="K4" s="109"/>
      <c r="L4" s="108">
        <f t="shared" ref="L4:L7" si="2">IF(J4="",I4*K4,I4*J4*$O$3)</f>
        <v>20400000</v>
      </c>
      <c r="M4" s="94"/>
      <c r="N4" s="94"/>
      <c r="O4" s="94"/>
      <c r="P4" s="94"/>
      <c r="Q4" s="110" t="s">
        <v>138</v>
      </c>
      <c r="R4" s="109">
        <v>680.0</v>
      </c>
      <c r="S4" s="94"/>
      <c r="T4" s="111" t="s">
        <v>139</v>
      </c>
      <c r="U4" s="109">
        <f>Costos!C5</f>
        <v>1004.48116</v>
      </c>
      <c r="V4" s="112">
        <v>30.0</v>
      </c>
      <c r="W4" s="109">
        <f t="shared" ref="W4:W5" si="3">U4/365*V4</f>
        <v>82.56009532</v>
      </c>
      <c r="X4" s="94"/>
      <c r="Y4" s="94"/>
      <c r="Z4" s="94"/>
      <c r="AA4" s="94"/>
    </row>
    <row r="5" ht="15.0" customHeight="1">
      <c r="A5" s="94"/>
      <c r="B5" s="101" t="s">
        <v>140</v>
      </c>
      <c r="C5" s="102">
        <f>R7*0.7*R9/1000000</f>
        <v>186.2</v>
      </c>
      <c r="D5" s="103">
        <f t="shared" si="1"/>
        <v>0.1046689549</v>
      </c>
      <c r="E5" s="94"/>
      <c r="F5" s="113"/>
      <c r="G5" s="106"/>
      <c r="H5" s="106" t="s">
        <v>141</v>
      </c>
      <c r="I5" s="107">
        <v>2.0</v>
      </c>
      <c r="J5" s="109"/>
      <c r="K5" s="108">
        <v>450000.0</v>
      </c>
      <c r="L5" s="108">
        <f t="shared" si="2"/>
        <v>900000</v>
      </c>
      <c r="M5" s="94"/>
      <c r="N5" s="94"/>
      <c r="O5" s="94"/>
      <c r="P5" s="94"/>
      <c r="Q5" s="110" t="s">
        <v>142</v>
      </c>
      <c r="R5" s="109">
        <v>450.0</v>
      </c>
      <c r="S5" s="94"/>
      <c r="T5" s="111" t="s">
        <v>143</v>
      </c>
      <c r="U5" s="109">
        <f>'Plan de ventas'!D47</f>
        <v>4089.222965</v>
      </c>
      <c r="V5" s="112">
        <v>45.0</v>
      </c>
      <c r="W5" s="109">
        <f t="shared" si="3"/>
        <v>504.1507765</v>
      </c>
      <c r="X5" s="94"/>
      <c r="Y5" s="94"/>
      <c r="Z5" s="94"/>
      <c r="AA5" s="94"/>
    </row>
    <row r="6" ht="15.0" customHeight="1">
      <c r="A6" s="94"/>
      <c r="B6" s="101" t="s">
        <v>144</v>
      </c>
      <c r="C6" s="102">
        <f>L35/1000000</f>
        <v>336.792</v>
      </c>
      <c r="D6" s="103">
        <f t="shared" si="1"/>
        <v>0.1893215181</v>
      </c>
      <c r="E6" s="94"/>
      <c r="F6" s="113"/>
      <c r="G6" s="106"/>
      <c r="H6" s="106" t="s">
        <v>145</v>
      </c>
      <c r="I6" s="107">
        <v>1.0</v>
      </c>
      <c r="J6" s="109"/>
      <c r="K6" s="108">
        <v>200000.0</v>
      </c>
      <c r="L6" s="108">
        <f t="shared" si="2"/>
        <v>200000</v>
      </c>
      <c r="M6" s="94"/>
      <c r="N6" s="94"/>
      <c r="O6" s="94"/>
      <c r="P6" s="94"/>
      <c r="Q6" s="110" t="s">
        <v>146</v>
      </c>
      <c r="R6" s="109">
        <v>200.0</v>
      </c>
      <c r="S6" s="94"/>
      <c r="T6" s="94"/>
      <c r="U6" s="94"/>
      <c r="V6" s="94"/>
      <c r="X6" s="94"/>
      <c r="Y6" s="94"/>
      <c r="Z6" s="94"/>
      <c r="AA6" s="94"/>
    </row>
    <row r="7" ht="15.0" customHeight="1">
      <c r="A7" s="94"/>
      <c r="B7" s="101" t="s">
        <v>147</v>
      </c>
      <c r="C7" s="102">
        <f>L8/1000000</f>
        <v>22.2</v>
      </c>
      <c r="D7" s="103">
        <f t="shared" si="1"/>
        <v>0.0124793276</v>
      </c>
      <c r="E7" s="94"/>
      <c r="F7" s="113"/>
      <c r="G7" s="106"/>
      <c r="H7" s="106" t="s">
        <v>148</v>
      </c>
      <c r="I7" s="107">
        <v>1.0</v>
      </c>
      <c r="J7" s="109"/>
      <c r="K7" s="108">
        <v>700000.0</v>
      </c>
      <c r="L7" s="108">
        <f t="shared" si="2"/>
        <v>700000</v>
      </c>
      <c r="M7" s="94"/>
      <c r="N7" s="94"/>
      <c r="O7" s="94"/>
      <c r="P7" s="94"/>
      <c r="Q7" s="114" t="s">
        <v>17</v>
      </c>
      <c r="R7" s="115">
        <f>SUM(R4:R6)</f>
        <v>1330</v>
      </c>
      <c r="S7" s="94"/>
      <c r="T7" s="94"/>
      <c r="U7" s="94"/>
      <c r="W7" s="98" t="s">
        <v>149</v>
      </c>
      <c r="X7" s="94"/>
      <c r="Y7" s="94"/>
      <c r="Z7" s="94"/>
      <c r="AA7" s="94"/>
    </row>
    <row r="8" ht="15.0" customHeight="1">
      <c r="A8" s="94"/>
      <c r="B8" s="101" t="s">
        <v>150</v>
      </c>
      <c r="C8" s="102">
        <f>L18/1000000</f>
        <v>9.75</v>
      </c>
      <c r="D8" s="116">
        <f t="shared" si="1"/>
        <v>0.00548078577</v>
      </c>
      <c r="E8" s="94"/>
      <c r="F8" s="94"/>
      <c r="G8" s="114" t="s">
        <v>17</v>
      </c>
      <c r="H8" s="117"/>
      <c r="I8" s="117"/>
      <c r="J8" s="117"/>
      <c r="K8" s="117"/>
      <c r="L8" s="115">
        <f>SUM(L4:L7)</f>
        <v>22200000</v>
      </c>
      <c r="M8" s="94"/>
      <c r="N8" s="94"/>
      <c r="O8" s="94"/>
      <c r="P8" s="94"/>
      <c r="Q8" s="94"/>
      <c r="R8" s="94"/>
      <c r="S8" s="94"/>
      <c r="T8" s="94"/>
      <c r="U8" s="94"/>
      <c r="W8" s="112">
        <f>W5-W4</f>
        <v>421.5906812</v>
      </c>
      <c r="X8" s="94"/>
      <c r="Y8" s="94"/>
      <c r="Z8" s="94"/>
      <c r="AA8" s="94"/>
    </row>
    <row r="9" ht="15.0" customHeight="1">
      <c r="A9" s="94"/>
      <c r="B9" s="114" t="s">
        <v>17</v>
      </c>
      <c r="C9" s="115">
        <f t="shared" ref="C9:D9" si="4">SUM(C4:C8)</f>
        <v>1778.942</v>
      </c>
      <c r="D9" s="118">
        <f t="shared" si="4"/>
        <v>1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 t="s">
        <v>151</v>
      </c>
      <c r="R9" s="119">
        <f>200000</f>
        <v>200000</v>
      </c>
      <c r="S9" s="94"/>
      <c r="T9" s="94"/>
      <c r="U9" s="94"/>
      <c r="V9" s="94"/>
      <c r="W9" s="94"/>
      <c r="X9" s="94"/>
      <c r="Y9" s="94"/>
      <c r="Z9" s="94"/>
      <c r="AA9" s="94"/>
    </row>
    <row r="10" ht="15.0" customHeight="1">
      <c r="A10" s="94"/>
      <c r="B10" s="94"/>
      <c r="C10" s="94"/>
      <c r="D10" s="94"/>
      <c r="E10" s="94"/>
      <c r="F10" s="113" t="s">
        <v>152</v>
      </c>
      <c r="G10" s="106"/>
      <c r="H10" s="106" t="s">
        <v>153</v>
      </c>
      <c r="I10" s="107">
        <v>1.0</v>
      </c>
      <c r="J10" s="109"/>
      <c r="K10" s="108">
        <v>200000.0</v>
      </c>
      <c r="L10" s="108">
        <f t="shared" ref="L10:L14" si="5">IF(J10="",I10*K10,I10*J10*$O$3)</f>
        <v>200000</v>
      </c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</row>
    <row r="11" ht="15.0" customHeight="1">
      <c r="A11" s="94"/>
      <c r="B11" s="94"/>
      <c r="C11" s="94"/>
      <c r="D11" s="94"/>
      <c r="E11" s="94"/>
      <c r="F11" s="113"/>
      <c r="G11" s="106"/>
      <c r="H11" s="106" t="s">
        <v>154</v>
      </c>
      <c r="I11" s="107">
        <v>8.0</v>
      </c>
      <c r="J11" s="109"/>
      <c r="K11" s="108">
        <v>500000.0</v>
      </c>
      <c r="L11" s="108">
        <f t="shared" si="5"/>
        <v>4000000</v>
      </c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</row>
    <row r="12" ht="15.0" customHeight="1">
      <c r="A12" s="94"/>
      <c r="B12" s="94"/>
      <c r="C12" s="94"/>
      <c r="D12" s="94"/>
      <c r="E12" s="94"/>
      <c r="F12" s="94"/>
      <c r="G12" s="106"/>
      <c r="H12" s="120" t="s">
        <v>155</v>
      </c>
      <c r="I12" s="121">
        <v>15.0</v>
      </c>
      <c r="J12" s="109"/>
      <c r="K12" s="122">
        <v>150000.0</v>
      </c>
      <c r="L12" s="108">
        <f t="shared" si="5"/>
        <v>2250000</v>
      </c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</row>
    <row r="13" ht="15.0" customHeight="1">
      <c r="A13" s="94"/>
      <c r="B13" s="94"/>
      <c r="C13" s="94"/>
      <c r="D13" s="94"/>
      <c r="E13" s="94"/>
      <c r="F13" s="94"/>
      <c r="G13" s="106"/>
      <c r="H13" s="120" t="s">
        <v>156</v>
      </c>
      <c r="I13" s="121">
        <v>3.0</v>
      </c>
      <c r="J13" s="109"/>
      <c r="K13" s="122">
        <v>200000.0</v>
      </c>
      <c r="L13" s="108">
        <f t="shared" si="5"/>
        <v>600000</v>
      </c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</row>
    <row r="14" ht="15.0" customHeight="1">
      <c r="A14" s="94"/>
      <c r="B14" s="94"/>
      <c r="C14" s="94"/>
      <c r="D14" s="94"/>
      <c r="E14" s="94"/>
      <c r="F14" s="94"/>
      <c r="G14" s="106"/>
      <c r="H14" s="120" t="s">
        <v>157</v>
      </c>
      <c r="I14" s="121">
        <v>6.0</v>
      </c>
      <c r="J14" s="109"/>
      <c r="K14" s="122">
        <v>450000.0</v>
      </c>
      <c r="L14" s="108">
        <f t="shared" si="5"/>
        <v>2700000</v>
      </c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</row>
    <row r="15" ht="15.0" customHeight="1">
      <c r="A15" s="94"/>
      <c r="B15" s="94"/>
      <c r="C15" s="119"/>
      <c r="D15" s="94"/>
      <c r="E15" s="94"/>
      <c r="F15" s="94"/>
      <c r="G15" s="106"/>
      <c r="H15" s="106"/>
      <c r="I15" s="107"/>
      <c r="J15" s="109"/>
      <c r="K15" s="108"/>
      <c r="L15" s="108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</row>
    <row r="16" ht="15.0" customHeight="1">
      <c r="A16" s="94"/>
      <c r="B16" s="94"/>
      <c r="C16" s="119"/>
      <c r="D16" s="94"/>
      <c r="E16" s="94"/>
      <c r="F16" s="94"/>
      <c r="G16" s="106"/>
      <c r="H16" s="106"/>
      <c r="I16" s="107"/>
      <c r="J16" s="109"/>
      <c r="K16" s="108"/>
      <c r="L16" s="108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</row>
    <row r="17" ht="15.0" customHeight="1">
      <c r="A17" s="94"/>
      <c r="B17" s="94"/>
      <c r="C17" s="119"/>
      <c r="D17" s="94"/>
      <c r="E17" s="94"/>
      <c r="F17" s="94"/>
      <c r="G17" s="106"/>
      <c r="H17" s="106"/>
      <c r="I17" s="107"/>
      <c r="J17" s="109"/>
      <c r="K17" s="108"/>
      <c r="L17" s="108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</row>
    <row r="18" ht="15.0" customHeight="1">
      <c r="A18" s="94"/>
      <c r="B18" s="94"/>
      <c r="C18" s="119"/>
      <c r="D18" s="94"/>
      <c r="E18" s="94"/>
      <c r="F18" s="94"/>
      <c r="G18" s="114" t="s">
        <v>17</v>
      </c>
      <c r="H18" s="117"/>
      <c r="I18" s="117"/>
      <c r="J18" s="117"/>
      <c r="K18" s="117"/>
      <c r="L18" s="115">
        <f>SUM(L10:L17)</f>
        <v>9750000</v>
      </c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</row>
    <row r="19" ht="15.0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</row>
    <row r="20" ht="15.0" customHeight="1">
      <c r="A20" s="94"/>
      <c r="B20" s="94"/>
      <c r="C20" s="94"/>
      <c r="D20" s="94"/>
      <c r="E20" s="94"/>
      <c r="F20" s="113" t="s">
        <v>158</v>
      </c>
      <c r="G20" s="105" t="s">
        <v>159</v>
      </c>
      <c r="H20" s="106" t="s">
        <v>160</v>
      </c>
      <c r="I20" s="107">
        <v>1.0</v>
      </c>
      <c r="J20" s="108">
        <v>13500.0</v>
      </c>
      <c r="K20" s="109"/>
      <c r="L20" s="108">
        <f t="shared" ref="L20:L34" si="6">IF(J20="",I20*K20,I20*J20*$O$3)</f>
        <v>18360000</v>
      </c>
      <c r="M20" s="94"/>
      <c r="N20" s="94"/>
      <c r="O20" s="94"/>
      <c r="P20" s="94"/>
      <c r="Q20" s="119"/>
      <c r="R20" s="94"/>
      <c r="S20" s="94"/>
      <c r="T20" s="94"/>
      <c r="U20" s="94"/>
      <c r="V20" s="94"/>
      <c r="W20" s="94"/>
      <c r="X20" s="94"/>
      <c r="Y20" s="94"/>
      <c r="Z20" s="94"/>
      <c r="AA20" s="94"/>
    </row>
    <row r="21" ht="15.0" customHeight="1">
      <c r="A21" s="94"/>
      <c r="B21" s="94"/>
      <c r="C21" s="94"/>
      <c r="D21" s="94"/>
      <c r="E21" s="94"/>
      <c r="F21" s="113"/>
      <c r="G21" s="106"/>
      <c r="H21" s="106" t="s">
        <v>161</v>
      </c>
      <c r="I21" s="107">
        <v>1.0</v>
      </c>
      <c r="J21" s="108">
        <v>15000.0</v>
      </c>
      <c r="K21" s="109"/>
      <c r="L21" s="108">
        <f t="shared" si="6"/>
        <v>20400000</v>
      </c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</row>
    <row r="22" ht="15.0" customHeight="1">
      <c r="A22" s="94"/>
      <c r="B22" s="94"/>
      <c r="C22" s="94"/>
      <c r="D22" s="94"/>
      <c r="E22" s="94"/>
      <c r="F22" s="113"/>
      <c r="G22" s="106"/>
      <c r="H22" s="106" t="s">
        <v>162</v>
      </c>
      <c r="I22" s="107">
        <v>4.0</v>
      </c>
      <c r="J22" s="108">
        <v>5000.0</v>
      </c>
      <c r="K22" s="109"/>
      <c r="L22" s="108">
        <f t="shared" si="6"/>
        <v>27200000</v>
      </c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</row>
    <row r="23" ht="15.0" customHeight="1">
      <c r="A23" s="94"/>
      <c r="B23" s="94"/>
      <c r="C23" s="94"/>
      <c r="D23" s="94"/>
      <c r="E23" s="94"/>
      <c r="F23" s="113"/>
      <c r="G23" s="106"/>
      <c r="H23" s="106" t="s">
        <v>163</v>
      </c>
      <c r="I23" s="107">
        <v>1.0</v>
      </c>
      <c r="J23" s="108">
        <v>100000.0</v>
      </c>
      <c r="K23" s="109"/>
      <c r="L23" s="108">
        <f t="shared" si="6"/>
        <v>136000000</v>
      </c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</row>
    <row r="24" ht="15.0" customHeight="1">
      <c r="A24" s="94"/>
      <c r="B24" s="94"/>
      <c r="C24" s="94"/>
      <c r="D24" s="94"/>
      <c r="E24" s="94"/>
      <c r="F24" s="113"/>
      <c r="G24" s="106"/>
      <c r="H24" s="106" t="s">
        <v>164</v>
      </c>
      <c r="I24" s="107">
        <v>1.0</v>
      </c>
      <c r="J24" s="108">
        <v>12000.0</v>
      </c>
      <c r="K24" s="109"/>
      <c r="L24" s="108">
        <f t="shared" si="6"/>
        <v>16320000</v>
      </c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 ht="15.0" customHeight="1">
      <c r="A25" s="94"/>
      <c r="B25" s="94"/>
      <c r="C25" s="94"/>
      <c r="D25" s="94"/>
      <c r="E25" s="94"/>
      <c r="F25" s="113"/>
      <c r="G25" s="106"/>
      <c r="H25" s="106" t="s">
        <v>165</v>
      </c>
      <c r="I25" s="107">
        <v>1.0</v>
      </c>
      <c r="J25" s="108">
        <v>4000.0</v>
      </c>
      <c r="K25" s="109"/>
      <c r="L25" s="108">
        <f t="shared" si="6"/>
        <v>5440000</v>
      </c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 ht="15.0" customHeight="1">
      <c r="A26" s="94"/>
      <c r="B26" s="94"/>
      <c r="C26" s="94"/>
      <c r="D26" s="94"/>
      <c r="E26" s="94"/>
      <c r="F26" s="113"/>
      <c r="G26" s="105" t="s">
        <v>166</v>
      </c>
      <c r="H26" s="106" t="s">
        <v>167</v>
      </c>
      <c r="I26" s="107">
        <v>1.0</v>
      </c>
      <c r="J26" s="109"/>
      <c r="K26" s="108">
        <v>2500000.0</v>
      </c>
      <c r="L26" s="108">
        <f t="shared" si="6"/>
        <v>2500000</v>
      </c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 ht="15.0" customHeight="1">
      <c r="A27" s="94"/>
      <c r="B27" s="94"/>
      <c r="C27" s="94"/>
      <c r="D27" s="94"/>
      <c r="E27" s="94"/>
      <c r="F27" s="113"/>
      <c r="G27" s="106"/>
      <c r="H27" s="106" t="s">
        <v>168</v>
      </c>
      <c r="I27" s="107">
        <v>1.0</v>
      </c>
      <c r="J27" s="109"/>
      <c r="K27" s="108">
        <v>2000000.0</v>
      </c>
      <c r="L27" s="108">
        <f t="shared" si="6"/>
        <v>2000000</v>
      </c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 ht="15.0" customHeight="1">
      <c r="A28" s="94"/>
      <c r="B28" s="94"/>
      <c r="C28" s="94"/>
      <c r="D28" s="94"/>
      <c r="E28" s="94"/>
      <c r="F28" s="113"/>
      <c r="G28" s="106"/>
      <c r="H28" s="106" t="s">
        <v>169</v>
      </c>
      <c r="I28" s="107">
        <v>4.0</v>
      </c>
      <c r="J28" s="109"/>
      <c r="K28" s="108">
        <v>510000.0</v>
      </c>
      <c r="L28" s="108">
        <f t="shared" si="6"/>
        <v>2040000</v>
      </c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 ht="15.0" customHeight="1">
      <c r="A29" s="94"/>
      <c r="B29" s="94"/>
      <c r="C29" s="94"/>
      <c r="D29" s="94"/>
      <c r="E29" s="94"/>
      <c r="F29" s="113"/>
      <c r="G29" s="106"/>
      <c r="H29" s="106" t="s">
        <v>170</v>
      </c>
      <c r="I29" s="107">
        <v>2.0</v>
      </c>
      <c r="J29" s="109"/>
      <c r="K29" s="108">
        <v>1.5E7</v>
      </c>
      <c r="L29" s="108">
        <f t="shared" si="6"/>
        <v>30000000</v>
      </c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 ht="15.0" customHeight="1">
      <c r="A30" s="94"/>
      <c r="B30" s="94"/>
      <c r="C30" s="94"/>
      <c r="D30" s="94"/>
      <c r="E30" s="94"/>
      <c r="F30" s="113"/>
      <c r="G30" s="106"/>
      <c r="H30" s="106" t="s">
        <v>171</v>
      </c>
      <c r="I30" s="107">
        <v>1.0</v>
      </c>
      <c r="J30" s="109"/>
      <c r="K30" s="108">
        <v>1900000.0</v>
      </c>
      <c r="L30" s="108">
        <f t="shared" si="6"/>
        <v>1900000</v>
      </c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 ht="15.0" customHeight="1">
      <c r="A31" s="94"/>
      <c r="B31" s="94"/>
      <c r="C31" s="94"/>
      <c r="D31" s="94"/>
      <c r="E31" s="94"/>
      <c r="F31" s="113"/>
      <c r="G31" s="106"/>
      <c r="H31" s="106" t="s">
        <v>172</v>
      </c>
      <c r="I31" s="107">
        <v>1.0</v>
      </c>
      <c r="J31" s="108">
        <v>500.0</v>
      </c>
      <c r="K31" s="109"/>
      <c r="L31" s="108">
        <f t="shared" si="6"/>
        <v>680000</v>
      </c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 ht="15.0" customHeight="1">
      <c r="A32" s="94"/>
      <c r="B32" s="94"/>
      <c r="C32" s="94"/>
      <c r="D32" s="94"/>
      <c r="E32" s="94"/>
      <c r="F32" s="113"/>
      <c r="G32" s="106"/>
      <c r="H32" s="106" t="s">
        <v>173</v>
      </c>
      <c r="I32" s="107">
        <v>4.0</v>
      </c>
      <c r="J32" s="109"/>
      <c r="K32" s="108">
        <v>400000.0</v>
      </c>
      <c r="L32" s="108">
        <f t="shared" si="6"/>
        <v>1600000</v>
      </c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 ht="15.0" customHeight="1">
      <c r="A33" s="94"/>
      <c r="B33" s="94"/>
      <c r="C33" s="94"/>
      <c r="D33" s="94"/>
      <c r="E33" s="94"/>
      <c r="F33" s="113"/>
      <c r="G33" s="106"/>
      <c r="H33" s="106" t="s">
        <v>174</v>
      </c>
      <c r="I33" s="107">
        <v>1.0</v>
      </c>
      <c r="J33" s="108">
        <v>3200.0</v>
      </c>
      <c r="K33" s="109"/>
      <c r="L33" s="108">
        <f t="shared" si="6"/>
        <v>4352000</v>
      </c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 ht="15.0" customHeight="1">
      <c r="A34" s="94"/>
      <c r="B34" s="94"/>
      <c r="C34" s="94"/>
      <c r="D34" s="94"/>
      <c r="E34" s="94"/>
      <c r="F34" s="113"/>
      <c r="G34" s="106"/>
      <c r="H34" s="106" t="s">
        <v>165</v>
      </c>
      <c r="I34" s="107">
        <v>1.0</v>
      </c>
      <c r="J34" s="108">
        <v>50000.0</v>
      </c>
      <c r="K34" s="109"/>
      <c r="L34" s="108">
        <f t="shared" si="6"/>
        <v>68000000</v>
      </c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 ht="15.0" customHeight="1">
      <c r="A35" s="94"/>
      <c r="B35" s="94"/>
      <c r="C35" s="94"/>
      <c r="D35" s="94"/>
      <c r="E35" s="94"/>
      <c r="F35" s="94"/>
      <c r="G35" s="114" t="s">
        <v>17</v>
      </c>
      <c r="H35" s="117"/>
      <c r="I35" s="117"/>
      <c r="J35" s="117"/>
      <c r="K35" s="117"/>
      <c r="L35" s="115">
        <f>SUM(L20:L34)</f>
        <v>336792000</v>
      </c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 ht="15.0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 ht="15.0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 ht="15.0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 ht="15.0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 ht="15.0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 ht="15.0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 ht="15.0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 ht="15.0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 ht="15.0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 ht="15.0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 ht="15.0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 ht="15.0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 ht="15.0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 ht="15.0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 ht="15.0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 ht="15.0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 ht="15.0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 ht="15.0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 ht="15.0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 ht="15.0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 ht="15.0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 ht="15.0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 ht="15.0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 ht="15.0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 ht="15.0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 ht="15.0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 ht="15.0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 ht="15.0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 ht="15.0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 ht="15.0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 ht="15.0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 ht="15.0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 ht="15.0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 ht="15.0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 ht="15.0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 ht="15.0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 ht="15.0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 ht="15.0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 ht="15.0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 ht="15.0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 ht="15.0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 ht="15.0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 ht="15.0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 ht="15.0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 ht="15.0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 ht="15.0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 ht="15.0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 ht="15.0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 ht="15.0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 ht="15.0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 ht="15.0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 ht="15.0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 ht="15.0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 ht="15.0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 ht="15.0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 ht="15.0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 ht="15.0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 ht="15.0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 ht="15.0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 ht="15.0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 ht="15.0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 ht="15.0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 ht="15.0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 ht="15.0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 ht="15.0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 ht="15.0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 ht="15.0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 ht="15.0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 ht="15.0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 ht="15.0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 ht="15.0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 ht="15.0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 ht="15.0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 ht="15.0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 ht="15.0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 ht="15.0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 ht="15.0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 ht="15.0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 ht="15.0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 ht="15.0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 ht="15.0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 ht="15.0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 ht="15.0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 ht="15.0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 ht="15.0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 ht="15.0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 ht="15.0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 ht="15.0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 ht="15.0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 ht="15.0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 ht="15.0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 ht="15.0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 ht="15.0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 ht="15.0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 ht="15.0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 ht="15.0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 ht="15.0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 ht="15.0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 ht="15.0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 ht="15.0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 ht="15.0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 ht="15.0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 ht="15.0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 ht="15.0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 ht="15.0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 ht="15.0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 ht="15.0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 ht="15.0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 ht="15.0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 ht="15.0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 ht="15.0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 ht="15.0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 ht="15.0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 ht="15.0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 ht="15.0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 ht="15.0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 ht="15.0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 ht="15.0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 ht="15.0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 ht="15.0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 ht="15.0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 ht="15.0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 ht="15.0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 ht="15.0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 ht="15.0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 ht="15.0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 ht="15.0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 ht="15.0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 ht="15.0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 ht="15.0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 ht="15.0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 ht="15.0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 ht="15.0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 ht="15.0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 ht="15.0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 ht="15.0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 ht="15.0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 ht="15.0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 ht="15.0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 ht="15.0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 ht="15.0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 ht="15.0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 ht="15.0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 ht="15.0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 ht="15.0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 ht="15.0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 ht="15.0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 ht="15.0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 ht="15.0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 ht="15.0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 ht="15.0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 ht="15.0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 ht="15.0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 ht="15.0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 ht="15.0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 ht="15.0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 ht="15.0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 ht="15.0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 ht="15.0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 ht="15.0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 ht="15.0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 ht="15.0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 ht="15.0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 ht="15.0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 ht="15.0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 ht="15.0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 ht="15.0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 ht="15.0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 ht="15.0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 ht="15.0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 ht="15.0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 ht="15.0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 ht="15.0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 ht="15.0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 ht="15.0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 ht="15.0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 ht="15.0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 ht="15.0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 ht="15.0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 ht="15.0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 ht="15.0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 ht="15.0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 ht="15.0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 ht="15.0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 ht="15.0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 ht="15.0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 ht="15.0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 ht="15.0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 ht="15.0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 ht="15.0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 ht="15.0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 ht="15.0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 ht="15.0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 ht="15.0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 ht="15.0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 ht="15.0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 ht="15.0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 ht="15.0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 ht="15.0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 ht="15.0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 ht="15.0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 ht="15.0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 ht="15.0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 ht="15.0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 ht="15.0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 ht="15.0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 ht="15.0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 ht="15.0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 ht="15.0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 ht="15.0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 ht="15.0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 ht="15.0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 ht="15.0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 ht="15.0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 ht="15.0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 ht="15.0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 ht="15.0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 ht="15.0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 ht="15.0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 ht="15.0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 ht="15.0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 ht="15.0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 ht="15.0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 ht="15.0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 ht="15.0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 ht="15.0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 ht="15.0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 ht="15.0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 ht="15.0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 ht="15.0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 ht="15.0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 ht="15.0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 ht="15.0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 ht="15.0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 ht="15.0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 ht="15.0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 ht="15.0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 ht="15.0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 ht="15.0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 ht="15.0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 ht="15.0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 ht="15.0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 ht="15.0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 ht="15.0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 ht="15.0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 ht="15.0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 ht="15.0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 ht="15.0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 ht="15.0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 ht="15.0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 ht="15.0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 ht="15.0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 ht="15.0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 ht="15.0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 ht="15.0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 ht="15.0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 ht="15.0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 ht="15.0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 ht="15.0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 ht="15.0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 ht="15.0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 ht="15.0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 ht="15.0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 ht="15.0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 ht="15.0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 ht="15.0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 ht="15.0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 ht="15.0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 ht="15.0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 ht="15.0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 ht="15.0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 ht="15.0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 ht="15.0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 ht="15.0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 ht="15.0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 ht="15.0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 ht="15.0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 ht="15.0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 ht="15.0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 ht="15.0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 ht="15.0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 ht="15.0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 ht="15.0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 ht="15.0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 ht="15.0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 ht="15.0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 ht="15.0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 ht="15.0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 ht="15.0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 ht="15.0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 ht="15.0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 ht="15.0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 ht="15.0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 ht="15.0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 ht="15.0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 ht="15.0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 ht="15.0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 ht="15.0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 ht="15.0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 ht="15.0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 ht="15.0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 ht="15.0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 ht="15.0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 ht="15.0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 ht="15.0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 ht="15.0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 ht="15.0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 ht="15.0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 ht="15.0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 ht="15.0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 ht="15.0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 ht="15.0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 ht="15.0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 ht="15.0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 ht="15.0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 ht="15.0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 ht="15.0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 ht="15.0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 ht="15.0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 ht="15.0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 ht="15.0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 ht="15.0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 ht="15.0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 ht="15.0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 ht="15.0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 ht="15.0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 ht="15.0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 ht="15.0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 ht="15.0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 ht="15.0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 ht="15.0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 ht="15.0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 ht="15.0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 ht="15.0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 ht="15.0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  <row r="371" ht="15.0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</row>
    <row r="372" ht="15.0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</row>
    <row r="373" ht="15.0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</row>
    <row r="374" ht="15.0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</row>
    <row r="375" ht="15.0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</row>
    <row r="376" ht="15.0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</row>
    <row r="377" ht="15.0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</row>
    <row r="378" ht="15.0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</row>
    <row r="379" ht="15.0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</row>
    <row r="380" ht="15.0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</row>
    <row r="381" ht="15.0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</row>
    <row r="382" ht="15.0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</row>
    <row r="383" ht="15.0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</row>
    <row r="384" ht="15.0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</row>
    <row r="385" ht="15.0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</row>
    <row r="386" ht="15.0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</row>
    <row r="387" ht="15.0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</row>
    <row r="388" ht="15.0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</row>
    <row r="389" ht="15.0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</row>
    <row r="390" ht="15.0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</row>
    <row r="391" ht="15.0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</row>
    <row r="392" ht="15.0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</row>
    <row r="393" ht="15.0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</row>
    <row r="394" ht="15.0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</row>
    <row r="395" ht="15.0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</row>
    <row r="396" ht="15.0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</row>
    <row r="397" ht="15.0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</row>
    <row r="398" ht="15.0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</row>
    <row r="399" ht="15.0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</row>
    <row r="400" ht="15.0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</row>
    <row r="401" ht="15.0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</row>
    <row r="402" ht="15.0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</row>
    <row r="403" ht="15.0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</row>
    <row r="404" ht="15.0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</row>
    <row r="405" ht="15.0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</row>
    <row r="406" ht="15.0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</row>
    <row r="407" ht="15.0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</row>
    <row r="408" ht="15.0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</row>
    <row r="409" ht="15.0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</row>
    <row r="410" ht="15.0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</row>
    <row r="411" ht="15.0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</row>
    <row r="412" ht="15.0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</row>
    <row r="413" ht="15.0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</row>
    <row r="414" ht="15.0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</row>
    <row r="415" ht="15.0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</row>
    <row r="416" ht="15.0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</row>
    <row r="417" ht="15.0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</row>
    <row r="418" ht="15.0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</row>
    <row r="419" ht="15.0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</row>
    <row r="420" ht="15.0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</row>
    <row r="421" ht="15.0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</row>
    <row r="422" ht="15.0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</row>
    <row r="423" ht="15.0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</row>
    <row r="424" ht="15.0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</row>
    <row r="425" ht="15.0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</row>
    <row r="426" ht="15.0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</row>
    <row r="427" ht="15.0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</row>
    <row r="428" ht="15.0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</row>
    <row r="429" ht="15.0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</row>
    <row r="430" ht="15.0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</row>
    <row r="431" ht="15.0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</row>
    <row r="432" ht="15.0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</row>
    <row r="433" ht="15.0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</row>
    <row r="434" ht="15.0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</row>
    <row r="435" ht="15.0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</row>
    <row r="436" ht="15.0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</row>
    <row r="437" ht="15.0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</row>
    <row r="438" ht="15.0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</row>
    <row r="439" ht="15.0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</row>
    <row r="440" ht="15.0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</row>
    <row r="441" ht="15.0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</row>
    <row r="442" ht="15.0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</row>
    <row r="443" ht="15.0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</row>
    <row r="444" ht="15.0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</row>
    <row r="445" ht="15.0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</row>
    <row r="446" ht="15.0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</row>
    <row r="447" ht="15.0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</row>
    <row r="448" ht="15.0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</row>
    <row r="449" ht="15.0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</row>
    <row r="450" ht="15.0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</row>
    <row r="451" ht="15.0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</row>
    <row r="452" ht="15.0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</row>
    <row r="453" ht="15.0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</row>
    <row r="454" ht="15.0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</row>
    <row r="455" ht="15.0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</row>
    <row r="456" ht="15.0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</row>
    <row r="457" ht="15.0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</row>
    <row r="458" ht="15.0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</row>
    <row r="459" ht="15.0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</row>
    <row r="460" ht="15.0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</row>
    <row r="461" ht="15.0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</row>
    <row r="462" ht="15.0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</row>
    <row r="463" ht="15.0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</row>
    <row r="464" ht="15.0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</row>
    <row r="465" ht="15.0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</row>
    <row r="466" ht="15.0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</row>
    <row r="467" ht="15.0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</row>
    <row r="468" ht="15.0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</row>
    <row r="469" ht="15.0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</row>
    <row r="470" ht="15.0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</row>
    <row r="471" ht="15.0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</row>
    <row r="472" ht="15.0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</row>
    <row r="473" ht="15.0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</row>
    <row r="474" ht="15.0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</row>
    <row r="475" ht="15.0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</row>
    <row r="476" ht="15.0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</row>
    <row r="477" ht="15.0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</row>
    <row r="478" ht="15.0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</row>
    <row r="479" ht="15.0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</row>
    <row r="480" ht="15.0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</row>
    <row r="481" ht="15.0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</row>
    <row r="482" ht="15.0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</row>
    <row r="483" ht="15.0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</row>
    <row r="484" ht="15.0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</row>
    <row r="485" ht="15.0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</row>
    <row r="486" ht="15.0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</row>
    <row r="487" ht="15.0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</row>
    <row r="488" ht="15.0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</row>
    <row r="489" ht="15.0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</row>
    <row r="490" ht="15.0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</row>
    <row r="491" ht="15.0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</row>
    <row r="492" ht="15.0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</row>
    <row r="493" ht="15.0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</row>
    <row r="494" ht="15.0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</row>
    <row r="495" ht="15.0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</row>
    <row r="496" ht="15.0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</row>
    <row r="497" ht="15.0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</row>
    <row r="498" ht="15.0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</row>
    <row r="499" ht="15.0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</row>
    <row r="500" ht="15.0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</row>
    <row r="501" ht="15.0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</row>
    <row r="502" ht="15.0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</row>
    <row r="503" ht="15.0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</row>
    <row r="504" ht="15.0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</row>
    <row r="505" ht="15.0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</row>
    <row r="506" ht="15.0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</row>
    <row r="507" ht="15.0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</row>
    <row r="508" ht="15.0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</row>
    <row r="509" ht="15.0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</row>
    <row r="510" ht="15.0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</row>
    <row r="511" ht="15.0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</row>
    <row r="512" ht="15.0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</row>
    <row r="513" ht="15.0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</row>
    <row r="514" ht="15.0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</row>
    <row r="515" ht="15.0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</row>
    <row r="516" ht="15.0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</row>
    <row r="517" ht="15.0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</row>
    <row r="518" ht="15.0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</row>
    <row r="519" ht="15.0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</row>
    <row r="520" ht="15.0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</row>
    <row r="521" ht="15.0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</row>
    <row r="522" ht="15.0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</row>
    <row r="523" ht="15.0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</row>
    <row r="524" ht="15.0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</row>
    <row r="525" ht="15.0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</row>
    <row r="526" ht="15.0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</row>
    <row r="527" ht="15.0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</row>
    <row r="528" ht="15.0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</row>
    <row r="529" ht="15.0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</row>
    <row r="530" ht="15.0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</row>
    <row r="531" ht="15.0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</row>
    <row r="532" ht="15.0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</row>
    <row r="533" ht="15.0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</row>
    <row r="534" ht="15.0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</row>
    <row r="535" ht="15.0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</row>
    <row r="536" ht="15.0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</row>
    <row r="537" ht="15.0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</row>
    <row r="538" ht="15.0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</row>
    <row r="539" ht="15.0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</row>
    <row r="540" ht="15.0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</row>
    <row r="541" ht="15.0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</row>
    <row r="542" ht="15.0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</row>
    <row r="543" ht="15.0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</row>
    <row r="544" ht="15.0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</row>
    <row r="545" ht="15.0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</row>
    <row r="546" ht="15.0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</row>
    <row r="547" ht="15.0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</row>
    <row r="548" ht="15.0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</row>
    <row r="549" ht="15.0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</row>
    <row r="550" ht="15.0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</row>
    <row r="551" ht="15.0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</row>
    <row r="552" ht="15.0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</row>
    <row r="553" ht="15.0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</row>
    <row r="554" ht="15.0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</row>
    <row r="555" ht="15.0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</row>
    <row r="556" ht="15.0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</row>
    <row r="557" ht="15.0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</row>
    <row r="558" ht="15.0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</row>
    <row r="559" ht="15.0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</row>
    <row r="560" ht="15.0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</row>
    <row r="561" ht="15.0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</row>
    <row r="562" ht="15.0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</row>
    <row r="563" ht="15.0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</row>
    <row r="564" ht="15.0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</row>
    <row r="565" ht="15.0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</row>
    <row r="566" ht="15.0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</row>
    <row r="567" ht="15.0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</row>
    <row r="568" ht="15.0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</row>
    <row r="569" ht="15.0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</row>
    <row r="570" ht="15.0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</row>
    <row r="571" ht="15.0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</row>
    <row r="572" ht="15.0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</row>
    <row r="573" ht="15.0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</row>
    <row r="574" ht="15.0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</row>
    <row r="575" ht="15.0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</row>
    <row r="576" ht="15.0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</row>
    <row r="577" ht="15.0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</row>
    <row r="578" ht="15.0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</row>
    <row r="579" ht="15.0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</row>
    <row r="580" ht="15.0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</row>
    <row r="581" ht="15.0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</row>
    <row r="582" ht="15.0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</row>
    <row r="583" ht="15.0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</row>
    <row r="584" ht="15.0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</row>
    <row r="585" ht="15.0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</row>
    <row r="586" ht="15.0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</row>
    <row r="587" ht="15.0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</row>
    <row r="588" ht="15.0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</row>
    <row r="589" ht="15.0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</row>
    <row r="590" ht="15.0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</row>
    <row r="591" ht="15.0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</row>
    <row r="592" ht="15.0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</row>
    <row r="593" ht="15.0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</row>
    <row r="594" ht="15.0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</row>
    <row r="595" ht="15.0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</row>
    <row r="596" ht="15.0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</row>
    <row r="597" ht="15.0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</row>
    <row r="598" ht="15.0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</row>
    <row r="599" ht="15.0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</row>
    <row r="600" ht="15.0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</row>
    <row r="601" ht="15.0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</row>
    <row r="602" ht="15.0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</row>
    <row r="603" ht="15.0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</row>
    <row r="604" ht="15.0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</row>
    <row r="605" ht="15.0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</row>
    <row r="606" ht="15.0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</row>
    <row r="607" ht="15.0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</row>
    <row r="608" ht="15.0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</row>
    <row r="609" ht="15.0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</row>
    <row r="610" ht="15.0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</row>
    <row r="611" ht="15.0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</row>
    <row r="612" ht="15.0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</row>
    <row r="613" ht="15.0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</row>
    <row r="614" ht="15.0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</row>
    <row r="615" ht="15.0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</row>
    <row r="616" ht="15.0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</row>
    <row r="617" ht="15.0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</row>
    <row r="618" ht="15.0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</row>
    <row r="619" ht="15.0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</row>
    <row r="620" ht="15.0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</row>
    <row r="621" ht="15.0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</row>
    <row r="622" ht="15.0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</row>
    <row r="623" ht="15.0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</row>
    <row r="624" ht="15.0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</row>
    <row r="625" ht="15.0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</row>
    <row r="626" ht="15.0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</row>
    <row r="627" ht="15.0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</row>
    <row r="628" ht="15.0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</row>
    <row r="629" ht="15.0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</row>
    <row r="630" ht="15.0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</row>
    <row r="631" ht="15.0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</row>
    <row r="632" ht="15.0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</row>
    <row r="633" ht="15.0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</row>
    <row r="634" ht="15.0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</row>
    <row r="635" ht="15.0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</row>
    <row r="636" ht="15.0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</row>
    <row r="637" ht="15.0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</row>
    <row r="638" ht="15.0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</row>
    <row r="639" ht="15.0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</row>
    <row r="640" ht="15.0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</row>
    <row r="641" ht="15.0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</row>
    <row r="642" ht="15.0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</row>
    <row r="643" ht="15.0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</row>
    <row r="644" ht="15.0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</row>
    <row r="645" ht="15.0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</row>
    <row r="646" ht="15.0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</row>
    <row r="647" ht="15.0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</row>
    <row r="648" ht="15.0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</row>
    <row r="649" ht="15.0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</row>
    <row r="650" ht="15.0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</row>
    <row r="651" ht="15.0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</row>
    <row r="652" ht="15.0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</row>
    <row r="653" ht="15.0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</row>
    <row r="654" ht="15.0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</row>
    <row r="655" ht="15.0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</row>
    <row r="656" ht="15.0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</row>
    <row r="657" ht="15.0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</row>
    <row r="658" ht="15.0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</row>
    <row r="659" ht="15.0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</row>
    <row r="660" ht="15.0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</row>
    <row r="661" ht="15.0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</row>
    <row r="662" ht="15.0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</row>
    <row r="663" ht="15.0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</row>
    <row r="664" ht="15.0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</row>
    <row r="665" ht="15.0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</row>
    <row r="666" ht="15.0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</row>
    <row r="667" ht="15.0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</row>
    <row r="668" ht="15.0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</row>
    <row r="669" ht="15.0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</row>
    <row r="670" ht="15.0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</row>
    <row r="671" ht="15.0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</row>
    <row r="672" ht="15.0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</row>
    <row r="673" ht="15.0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</row>
    <row r="674" ht="15.0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</row>
    <row r="675" ht="15.0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</row>
    <row r="676" ht="15.0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</row>
    <row r="677" ht="15.0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</row>
    <row r="678" ht="15.0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</row>
    <row r="679" ht="15.0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</row>
    <row r="680" ht="15.0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</row>
    <row r="681" ht="15.0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</row>
    <row r="682" ht="15.0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</row>
    <row r="683" ht="15.0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</row>
    <row r="684" ht="15.0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</row>
    <row r="685" ht="15.0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</row>
    <row r="686" ht="15.0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</row>
    <row r="687" ht="15.0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</row>
    <row r="688" ht="15.0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</row>
    <row r="689" ht="15.0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</row>
    <row r="690" ht="15.0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</row>
    <row r="691" ht="15.0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</row>
    <row r="692" ht="15.0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</row>
    <row r="693" ht="15.0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</row>
    <row r="694" ht="15.0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</row>
    <row r="695" ht="15.0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</row>
    <row r="696" ht="15.0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</row>
    <row r="697" ht="15.0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</row>
    <row r="698" ht="15.0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</row>
    <row r="699" ht="15.0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</row>
    <row r="700" ht="15.0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</row>
    <row r="701" ht="15.0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</row>
    <row r="702" ht="15.0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</row>
    <row r="703" ht="15.0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</row>
    <row r="704" ht="15.0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</row>
    <row r="705" ht="15.0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</row>
    <row r="706" ht="15.0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</row>
    <row r="707" ht="15.0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</row>
    <row r="708" ht="15.0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</row>
    <row r="709" ht="15.0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</row>
    <row r="710" ht="15.0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</row>
    <row r="711" ht="15.0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</row>
    <row r="712" ht="15.0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</row>
    <row r="713" ht="15.0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</row>
    <row r="714" ht="15.0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</row>
    <row r="715" ht="15.0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</row>
    <row r="716" ht="15.0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</row>
    <row r="717" ht="15.0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</row>
    <row r="718" ht="15.0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</row>
    <row r="719" ht="15.0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</row>
    <row r="720" ht="15.0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</row>
    <row r="721" ht="15.0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</row>
    <row r="722" ht="15.0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</row>
    <row r="723" ht="15.0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</row>
    <row r="724" ht="15.0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</row>
    <row r="725" ht="15.0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</row>
    <row r="726" ht="15.0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</row>
    <row r="727" ht="15.0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</row>
    <row r="728" ht="15.0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</row>
    <row r="729" ht="15.0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</row>
    <row r="730" ht="15.0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</row>
    <row r="731" ht="15.0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</row>
    <row r="732" ht="15.0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</row>
    <row r="733" ht="15.0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</row>
    <row r="734" ht="15.0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</row>
    <row r="735" ht="15.0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</row>
    <row r="736" ht="15.0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</row>
    <row r="737" ht="15.0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</row>
    <row r="738" ht="15.0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</row>
    <row r="739" ht="15.0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</row>
    <row r="740" ht="15.0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</row>
    <row r="741" ht="15.0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</row>
    <row r="742" ht="15.0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</row>
    <row r="743" ht="15.0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</row>
    <row r="744" ht="15.0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</row>
    <row r="745" ht="15.0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</row>
    <row r="746" ht="15.0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</row>
    <row r="747" ht="15.0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</row>
    <row r="748" ht="15.0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</row>
    <row r="749" ht="15.0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</row>
    <row r="750" ht="15.0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</row>
    <row r="751" ht="15.0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</row>
    <row r="752" ht="15.0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</row>
    <row r="753" ht="15.0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</row>
    <row r="754" ht="15.0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</row>
    <row r="755" ht="15.0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</row>
    <row r="756" ht="15.0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</row>
    <row r="757" ht="15.0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</row>
    <row r="758" ht="15.0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</row>
    <row r="759" ht="15.0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</row>
    <row r="760" ht="15.0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</row>
    <row r="761" ht="15.0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</row>
    <row r="762" ht="15.0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</row>
    <row r="763" ht="15.0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</row>
    <row r="764" ht="15.0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</row>
    <row r="765" ht="15.0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</row>
    <row r="766" ht="15.0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</row>
    <row r="767" ht="15.0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</row>
    <row r="768" ht="15.0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</row>
    <row r="769" ht="15.0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</row>
    <row r="770" ht="15.0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</row>
    <row r="771" ht="15.0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</row>
    <row r="772" ht="15.0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</row>
    <row r="773" ht="15.0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</row>
    <row r="774" ht="15.0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</row>
    <row r="775" ht="15.0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</row>
    <row r="776" ht="15.0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</row>
    <row r="777" ht="15.0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</row>
    <row r="778" ht="15.0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</row>
    <row r="779" ht="15.0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</row>
    <row r="780" ht="15.0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</row>
    <row r="781" ht="15.0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</row>
    <row r="782" ht="15.0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</row>
    <row r="783" ht="15.0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</row>
    <row r="784" ht="15.0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</row>
    <row r="785" ht="15.0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</row>
    <row r="786" ht="15.0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</row>
    <row r="787" ht="15.0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</row>
    <row r="788" ht="15.0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</row>
    <row r="789" ht="15.0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</row>
    <row r="790" ht="15.0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</row>
    <row r="791" ht="15.0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</row>
    <row r="792" ht="15.0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</row>
    <row r="793" ht="15.0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</row>
    <row r="794" ht="15.0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</row>
    <row r="795" ht="15.0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</row>
    <row r="796" ht="15.0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</row>
    <row r="797" ht="15.0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</row>
    <row r="798" ht="15.0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</row>
    <row r="799" ht="15.0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</row>
    <row r="800" ht="15.0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</row>
    <row r="801" ht="15.0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</row>
    <row r="802" ht="15.0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</row>
    <row r="803" ht="15.0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</row>
    <row r="804" ht="15.0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</row>
    <row r="805" ht="15.0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</row>
    <row r="806" ht="15.0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</row>
    <row r="807" ht="15.0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</row>
    <row r="808" ht="15.0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</row>
    <row r="809" ht="15.0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</row>
    <row r="810" ht="15.0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</row>
    <row r="811" ht="15.0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</row>
    <row r="812" ht="15.0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</row>
    <row r="813" ht="15.0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</row>
    <row r="814" ht="15.0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</row>
    <row r="815" ht="15.0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</row>
    <row r="816" ht="15.0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</row>
    <row r="817" ht="15.0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</row>
    <row r="818" ht="15.0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</row>
    <row r="819" ht="15.0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</row>
    <row r="820" ht="15.0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</row>
    <row r="821" ht="15.0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</row>
    <row r="822" ht="15.0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</row>
    <row r="823" ht="15.0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</row>
    <row r="824" ht="15.0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</row>
    <row r="825" ht="15.0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</row>
    <row r="826" ht="15.0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</row>
    <row r="827" ht="15.0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</row>
    <row r="828" ht="15.0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</row>
    <row r="829" ht="15.0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</row>
    <row r="830" ht="15.0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</row>
    <row r="831" ht="15.0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</row>
    <row r="832" ht="15.0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</row>
    <row r="833" ht="15.0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</row>
    <row r="834" ht="15.0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</row>
    <row r="835" ht="15.0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</row>
    <row r="836" ht="15.0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</row>
    <row r="837" ht="15.0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</row>
    <row r="838" ht="15.0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</row>
    <row r="839" ht="15.0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</row>
    <row r="840" ht="15.0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</row>
    <row r="841" ht="15.0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</row>
    <row r="842" ht="15.0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</row>
    <row r="843" ht="15.0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</row>
    <row r="844" ht="15.0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</row>
    <row r="845" ht="15.0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</row>
    <row r="846" ht="15.0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</row>
    <row r="847" ht="15.0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</row>
    <row r="848" ht="15.0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</row>
    <row r="849" ht="15.0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</row>
    <row r="850" ht="15.0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</row>
    <row r="851" ht="15.0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</row>
    <row r="852" ht="15.0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</row>
    <row r="853" ht="15.0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</row>
    <row r="854" ht="15.0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</row>
    <row r="855" ht="15.0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</row>
    <row r="856" ht="15.0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</row>
    <row r="857" ht="15.0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</row>
    <row r="858" ht="15.0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</row>
    <row r="859" ht="15.0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</row>
    <row r="860" ht="15.0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</row>
    <row r="861" ht="15.0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</row>
    <row r="862" ht="15.0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</row>
    <row r="863" ht="15.0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</row>
    <row r="864" ht="15.0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</row>
    <row r="865" ht="15.0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</row>
    <row r="866" ht="15.0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</row>
    <row r="867" ht="15.0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</row>
    <row r="868" ht="15.0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</row>
    <row r="869" ht="15.0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</row>
    <row r="870" ht="15.0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</row>
    <row r="871" ht="15.0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</row>
    <row r="872" ht="15.0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</row>
    <row r="873" ht="15.0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</row>
    <row r="874" ht="15.0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</row>
    <row r="875" ht="15.0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</row>
    <row r="876" ht="15.0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</row>
    <row r="877" ht="15.0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</row>
    <row r="878" ht="15.0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</row>
    <row r="879" ht="15.0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</row>
    <row r="880" ht="15.0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</row>
    <row r="881" ht="15.0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</row>
    <row r="882" ht="15.0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</row>
    <row r="883" ht="15.0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</row>
    <row r="884" ht="15.0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</row>
    <row r="885" ht="15.0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</row>
    <row r="886" ht="15.0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</row>
    <row r="887" ht="15.0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</row>
    <row r="888" ht="15.0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</row>
    <row r="889" ht="15.0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</row>
    <row r="890" ht="15.0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</row>
    <row r="891" ht="15.0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</row>
    <row r="892" ht="15.0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</row>
    <row r="893" ht="15.0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</row>
    <row r="894" ht="15.0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</row>
    <row r="895" ht="15.0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</row>
    <row r="896" ht="15.0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</row>
    <row r="897" ht="15.0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</row>
    <row r="898" ht="15.0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</row>
    <row r="899" ht="15.0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</row>
    <row r="900" ht="15.0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</row>
    <row r="901" ht="15.0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</row>
    <row r="902" ht="15.0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</row>
    <row r="903" ht="15.0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</row>
    <row r="904" ht="15.0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</row>
    <row r="905" ht="15.0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</row>
    <row r="906" ht="15.0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</row>
    <row r="907" ht="15.0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</row>
    <row r="908" ht="15.0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</row>
    <row r="909" ht="15.0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</row>
    <row r="910" ht="15.0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</row>
    <row r="911" ht="15.0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</row>
    <row r="912" ht="15.0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</row>
    <row r="913" ht="15.0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</row>
    <row r="914" ht="15.0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</row>
    <row r="915" ht="15.0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</row>
    <row r="916" ht="15.0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</row>
    <row r="917" ht="15.0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</row>
    <row r="918" ht="15.0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</row>
    <row r="919" ht="15.0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</row>
    <row r="920" ht="15.0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</row>
    <row r="921" ht="15.0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</row>
    <row r="922" ht="15.0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</row>
    <row r="923" ht="15.0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</row>
    <row r="924" ht="15.0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</row>
    <row r="925" ht="15.0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</row>
    <row r="926" ht="15.0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</row>
    <row r="927" ht="15.0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</row>
    <row r="928" ht="15.0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</row>
    <row r="929" ht="15.0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</row>
    <row r="930" ht="15.0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</row>
    <row r="931" ht="15.0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</row>
    <row r="932" ht="15.0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</row>
    <row r="933" ht="15.0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</row>
    <row r="934" ht="15.0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</row>
    <row r="935" ht="15.0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</row>
    <row r="936" ht="15.0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</row>
    <row r="937" ht="15.0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</row>
    <row r="938" ht="15.0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</row>
    <row r="939" ht="15.0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</row>
    <row r="940" ht="15.0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</row>
    <row r="941" ht="15.0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</row>
    <row r="942" ht="15.0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</row>
    <row r="943" ht="15.0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</row>
    <row r="944" ht="15.0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</row>
    <row r="945" ht="15.0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</row>
    <row r="946" ht="15.0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</row>
    <row r="947" ht="15.0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</row>
    <row r="948" ht="15.0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</row>
    <row r="949" ht="15.0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</row>
    <row r="950" ht="15.0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</row>
    <row r="951" ht="15.0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</row>
    <row r="952" ht="15.0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</row>
    <row r="953" ht="15.0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</row>
    <row r="954" ht="15.0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</row>
    <row r="955" ht="15.0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</row>
    <row r="956" ht="15.0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</row>
    <row r="957" ht="15.0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</row>
    <row r="958" ht="15.0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</row>
    <row r="959" ht="15.0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</row>
    <row r="960" ht="15.0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</row>
    <row r="961" ht="15.0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</row>
    <row r="962" ht="15.0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</row>
    <row r="963" ht="15.0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</row>
    <row r="964" ht="15.0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</row>
    <row r="965" ht="15.0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</row>
    <row r="966" ht="15.0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</row>
    <row r="967" ht="15.0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</row>
    <row r="968" ht="15.0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</row>
    <row r="969" ht="15.0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</row>
    <row r="970" ht="15.0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</row>
    <row r="971" ht="15.0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</row>
    <row r="972" ht="15.0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</row>
    <row r="973" ht="15.0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</row>
    <row r="974" ht="15.0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</row>
    <row r="975" ht="15.0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</row>
    <row r="976" ht="15.0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</row>
    <row r="977" ht="15.0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</row>
    <row r="978" ht="15.0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</row>
    <row r="979" ht="15.0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</row>
    <row r="980" ht="15.0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</row>
    <row r="981" ht="15.0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</row>
    <row r="982" ht="15.0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</row>
    <row r="983" ht="15.0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</row>
    <row r="984" ht="15.0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</row>
    <row r="985" ht="15.0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</row>
    <row r="986" ht="15.0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</row>
    <row r="987" ht="15.0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</row>
    <row r="988" ht="15.0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</row>
    <row r="989" ht="15.0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</row>
    <row r="990" ht="15.0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</row>
    <row r="991" ht="15.0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</row>
    <row r="992" ht="15.0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</row>
    <row r="993" ht="15.0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</row>
    <row r="994" ht="15.0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</row>
    <row r="995" ht="15.0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</row>
    <row r="996" ht="15.0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</row>
    <row r="997" ht="15.0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</row>
    <row r="998" ht="15.0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</row>
    <row r="999" ht="15.0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</row>
    <row r="1000" ht="15.0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</row>
    <row r="1001" ht="15.0" customHeight="1">
      <c r="A1001" s="94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</row>
    <row r="1002" ht="15.0" customHeight="1">
      <c r="A1002" s="94"/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</row>
    <row r="1003" ht="15.0" customHeight="1">
      <c r="A1003" s="94"/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</row>
    <row r="1004" ht="15.0" customHeight="1">
      <c r="A1004" s="94"/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</row>
    <row r="1005" ht="15.0" customHeight="1">
      <c r="A1005" s="94"/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</row>
    <row r="1006" ht="15.0" customHeight="1">
      <c r="A1006" s="94"/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2.0"/>
    <col customWidth="1" min="3" max="3" width="12.29"/>
    <col customWidth="1" min="4" max="4" width="7.43"/>
    <col customWidth="1" min="5" max="5" width="10.71"/>
    <col customWidth="1" min="6" max="6" width="20.29"/>
    <col customWidth="1" min="7" max="7" width="13.29"/>
    <col customWidth="1" min="8" max="9" width="10.71"/>
    <col customWidth="1" min="10" max="11" width="16.57"/>
    <col customWidth="1" min="12" max="12" width="3.29"/>
    <col customWidth="1" min="13" max="13" width="6.71"/>
    <col customWidth="1" min="14" max="14" width="24.0"/>
    <col customWidth="1" min="15" max="15" width="15.0"/>
    <col customWidth="1" min="16" max="17" width="14.14"/>
    <col customWidth="1" min="18" max="18" width="1.71"/>
    <col customWidth="1" min="19" max="23" width="10.71"/>
    <col customWidth="1" min="24" max="24" width="22.86"/>
    <col customWidth="1" min="25" max="28" width="10.71"/>
  </cols>
  <sheetData>
    <row r="1" ht="9.0" customHeight="1">
      <c r="A1" s="123"/>
      <c r="B1" s="1"/>
      <c r="C1" s="1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</row>
    <row r="2" ht="17.25" customHeight="1">
      <c r="A2" s="123"/>
      <c r="B2" s="124" t="s">
        <v>175</v>
      </c>
      <c r="C2" s="1"/>
      <c r="D2" s="123"/>
      <c r="E2" s="123"/>
      <c r="F2" s="125" t="s">
        <v>176</v>
      </c>
      <c r="G2" s="123"/>
      <c r="H2" s="123"/>
      <c r="I2" s="123"/>
      <c r="J2" s="123"/>
      <c r="K2" s="123"/>
      <c r="L2" s="123"/>
      <c r="M2" s="125" t="s">
        <v>177</v>
      </c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</row>
    <row r="3" ht="17.25" customHeight="1">
      <c r="A3" s="123"/>
      <c r="B3" s="126" t="s">
        <v>120</v>
      </c>
      <c r="C3" s="126" t="s">
        <v>121</v>
      </c>
      <c r="D3" s="127" t="s">
        <v>21</v>
      </c>
      <c r="E3" s="123"/>
      <c r="F3" s="126" t="s">
        <v>178</v>
      </c>
      <c r="G3" s="126" t="s">
        <v>179</v>
      </c>
      <c r="H3" s="127" t="s">
        <v>180</v>
      </c>
      <c r="I3" s="126" t="s">
        <v>124</v>
      </c>
      <c r="J3" s="127" t="s">
        <v>181</v>
      </c>
      <c r="K3" s="127" t="s">
        <v>182</v>
      </c>
      <c r="L3" s="123"/>
      <c r="M3" s="126" t="s">
        <v>55</v>
      </c>
      <c r="N3" s="126" t="s">
        <v>11</v>
      </c>
      <c r="O3" s="126" t="s">
        <v>183</v>
      </c>
      <c r="P3" s="126" t="s">
        <v>184</v>
      </c>
      <c r="Q3" s="127" t="s">
        <v>185</v>
      </c>
      <c r="R3" s="123"/>
      <c r="S3" s="126" t="s">
        <v>44</v>
      </c>
      <c r="T3" s="126" t="s">
        <v>186</v>
      </c>
      <c r="U3" s="123"/>
      <c r="V3" s="123"/>
      <c r="W3" s="123"/>
      <c r="X3" s="123"/>
      <c r="Y3" s="123"/>
      <c r="Z3" s="123"/>
      <c r="AA3" s="123"/>
      <c r="AB3" s="123"/>
    </row>
    <row r="4" ht="17.25" customHeight="1">
      <c r="A4" s="123"/>
      <c r="B4" s="128" t="s">
        <v>176</v>
      </c>
      <c r="C4" s="56">
        <f>$K$14/1000000</f>
        <v>1356.52032</v>
      </c>
      <c r="D4" s="129">
        <f t="shared" ref="D4:D6" si="1">C4/$C$7</f>
        <v>0.4021870516</v>
      </c>
      <c r="E4" s="123"/>
      <c r="F4" s="128" t="s">
        <v>187</v>
      </c>
      <c r="G4" s="56" t="s">
        <v>188</v>
      </c>
      <c r="H4" s="62" t="s">
        <v>189</v>
      </c>
      <c r="I4" s="62">
        <v>37.0</v>
      </c>
      <c r="J4" s="62">
        <v>1072000.0</v>
      </c>
      <c r="K4" s="56">
        <f t="shared" ref="K4:K13" si="2">I4*J4*12*1.24</f>
        <v>590200320</v>
      </c>
      <c r="L4" s="123"/>
      <c r="M4" s="53" t="s">
        <v>62</v>
      </c>
      <c r="N4" s="128" t="s">
        <v>63</v>
      </c>
      <c r="O4" s="56">
        <v>1775.67</v>
      </c>
      <c r="P4" s="56">
        <f>VLOOKUP(M4,Produccion!C:E,3,0)</f>
        <v>48000</v>
      </c>
      <c r="Q4" s="56">
        <f t="shared" ref="Q4:Q14" si="3">O4*P4</f>
        <v>85232160</v>
      </c>
      <c r="R4" s="123"/>
      <c r="S4" s="56">
        <f>VLOOKUP(M4,Produccion!C:G,5,0)</f>
        <v>13700</v>
      </c>
      <c r="T4" s="130">
        <f t="shared" ref="T4:T14" si="4">O4/S4</f>
        <v>0.1296109489</v>
      </c>
      <c r="U4" s="123"/>
      <c r="V4" s="123"/>
      <c r="W4" s="53" t="s">
        <v>62</v>
      </c>
      <c r="X4" s="56" t="s">
        <v>63</v>
      </c>
      <c r="Y4" s="56">
        <v>1775.67</v>
      </c>
      <c r="Z4" s="123"/>
      <c r="AA4" s="123"/>
      <c r="AB4" s="123"/>
    </row>
    <row r="5" ht="17.25" customHeight="1">
      <c r="A5" s="123"/>
      <c r="B5" s="128" t="s">
        <v>177</v>
      </c>
      <c r="C5" s="56">
        <f>Q15/1000000</f>
        <v>1004.48116</v>
      </c>
      <c r="D5" s="129">
        <f t="shared" si="1"/>
        <v>0.2978129484</v>
      </c>
      <c r="E5" s="123"/>
      <c r="F5" s="131" t="s">
        <v>190</v>
      </c>
      <c r="G5" s="62" t="s">
        <v>191</v>
      </c>
      <c r="H5" s="62" t="s">
        <v>192</v>
      </c>
      <c r="I5" s="62">
        <v>3.0</v>
      </c>
      <c r="J5" s="62">
        <v>2200000.0</v>
      </c>
      <c r="K5" s="56">
        <f t="shared" si="2"/>
        <v>98208000</v>
      </c>
      <c r="L5" s="123"/>
      <c r="M5" s="53" t="s">
        <v>64</v>
      </c>
      <c r="N5" s="132" t="s">
        <v>67</v>
      </c>
      <c r="O5" s="56">
        <f>1723</f>
        <v>1723</v>
      </c>
      <c r="P5" s="56">
        <f>VLOOKUP(M5,Produccion!C:E,3,0)</f>
        <v>8325</v>
      </c>
      <c r="Q5" s="56">
        <f t="shared" si="3"/>
        <v>14343975</v>
      </c>
      <c r="R5" s="123"/>
      <c r="S5" s="56">
        <f>VLOOKUP(M5,Produccion!C:G,5,0)</f>
        <v>12600</v>
      </c>
      <c r="T5" s="130">
        <f t="shared" si="4"/>
        <v>0.1367460317</v>
      </c>
      <c r="U5" s="123"/>
      <c r="V5" s="123"/>
      <c r="W5" s="53" t="s">
        <v>64</v>
      </c>
      <c r="X5" s="56" t="s">
        <v>67</v>
      </c>
      <c r="Y5" s="56">
        <v>1498.67</v>
      </c>
      <c r="Z5" s="123"/>
      <c r="AA5" s="123"/>
      <c r="AB5" s="123"/>
    </row>
    <row r="6" ht="17.25" customHeight="1">
      <c r="A6" s="123"/>
      <c r="B6" s="131" t="s">
        <v>193</v>
      </c>
      <c r="C6" s="56">
        <f>SUM(C4:C5)/0.7*0.3</f>
        <v>1011.857777</v>
      </c>
      <c r="D6" s="129">
        <f t="shared" si="1"/>
        <v>0.3</v>
      </c>
      <c r="E6" s="123"/>
      <c r="F6" s="131" t="s">
        <v>194</v>
      </c>
      <c r="G6" s="62" t="s">
        <v>191</v>
      </c>
      <c r="H6" s="62" t="s">
        <v>192</v>
      </c>
      <c r="I6" s="62">
        <v>4.0</v>
      </c>
      <c r="J6" s="62">
        <v>2200000.0</v>
      </c>
      <c r="K6" s="56">
        <f t="shared" si="2"/>
        <v>130944000</v>
      </c>
      <c r="L6" s="123"/>
      <c r="M6" s="53" t="s">
        <v>66</v>
      </c>
      <c r="N6" s="131" t="s">
        <v>67</v>
      </c>
      <c r="O6" s="56">
        <v>1498.67</v>
      </c>
      <c r="P6" s="56">
        <f>VLOOKUP(M6,Produccion!C:E,3,0)</f>
        <v>19425</v>
      </c>
      <c r="Q6" s="56">
        <f t="shared" si="3"/>
        <v>29111664.75</v>
      </c>
      <c r="R6" s="123"/>
      <c r="S6" s="56">
        <f>VLOOKUP(M6,Produccion!C:G,5,0)</f>
        <v>10500</v>
      </c>
      <c r="T6" s="130">
        <f t="shared" si="4"/>
        <v>0.1427304762</v>
      </c>
      <c r="U6" s="123"/>
      <c r="V6" s="123"/>
      <c r="W6" s="53" t="s">
        <v>66</v>
      </c>
      <c r="X6" s="56" t="s">
        <v>69</v>
      </c>
      <c r="Y6" s="56">
        <v>2404.98</v>
      </c>
      <c r="Z6" s="123"/>
      <c r="AA6" s="123"/>
      <c r="AB6" s="123"/>
    </row>
    <row r="7" ht="17.25" customHeight="1">
      <c r="A7" s="123"/>
      <c r="B7" s="133" t="s">
        <v>17</v>
      </c>
      <c r="C7" s="68">
        <f t="shared" ref="C7:D7" si="5">SUM(C4:C6)</f>
        <v>3372.859257</v>
      </c>
      <c r="D7" s="134">
        <f t="shared" si="5"/>
        <v>1</v>
      </c>
      <c r="E7" s="123"/>
      <c r="F7" s="131" t="s">
        <v>187</v>
      </c>
      <c r="G7" s="62" t="s">
        <v>195</v>
      </c>
      <c r="H7" s="62" t="s">
        <v>189</v>
      </c>
      <c r="I7" s="62">
        <v>2.0</v>
      </c>
      <c r="J7" s="62">
        <v>2000000.0</v>
      </c>
      <c r="K7" s="56">
        <f t="shared" si="2"/>
        <v>59520000</v>
      </c>
      <c r="L7" s="123"/>
      <c r="M7" s="53" t="s">
        <v>68</v>
      </c>
      <c r="N7" s="128" t="s">
        <v>69</v>
      </c>
      <c r="O7" s="62">
        <v>2405.0</v>
      </c>
      <c r="P7" s="56">
        <f>VLOOKUP(M7,Produccion!C:E,3,0)</f>
        <v>78000</v>
      </c>
      <c r="Q7" s="56">
        <f t="shared" si="3"/>
        <v>187590000</v>
      </c>
      <c r="R7" s="123"/>
      <c r="S7" s="56">
        <f>VLOOKUP(M7,Produccion!C:G,5,0)</f>
        <v>12000</v>
      </c>
      <c r="T7" s="130">
        <f t="shared" si="4"/>
        <v>0.2004166667</v>
      </c>
      <c r="U7" s="123"/>
      <c r="V7" s="123"/>
      <c r="W7" s="53" t="s">
        <v>68</v>
      </c>
      <c r="X7" s="56" t="s">
        <v>196</v>
      </c>
      <c r="Y7" s="56">
        <v>974.85</v>
      </c>
      <c r="Z7" s="123"/>
      <c r="AA7" s="123"/>
      <c r="AB7" s="123"/>
    </row>
    <row r="8" ht="17.25" customHeight="1">
      <c r="A8" s="123"/>
      <c r="B8" s="123"/>
      <c r="C8" s="123"/>
      <c r="D8" s="123"/>
      <c r="E8" s="123"/>
      <c r="F8" s="131" t="s">
        <v>187</v>
      </c>
      <c r="G8" s="62" t="s">
        <v>197</v>
      </c>
      <c r="H8" s="62" t="s">
        <v>189</v>
      </c>
      <c r="I8" s="62">
        <v>4.0</v>
      </c>
      <c r="J8" s="62">
        <v>2500000.0</v>
      </c>
      <c r="K8" s="56">
        <f t="shared" si="2"/>
        <v>148800000</v>
      </c>
      <c r="L8" s="123"/>
      <c r="M8" s="53" t="s">
        <v>70</v>
      </c>
      <c r="N8" s="132" t="s">
        <v>73</v>
      </c>
      <c r="O8" s="62">
        <v>975.0</v>
      </c>
      <c r="P8" s="56">
        <f>VLOOKUP(M8,Produccion!C:E,3,0)</f>
        <v>4680</v>
      </c>
      <c r="Q8" s="56">
        <f t="shared" si="3"/>
        <v>4563000</v>
      </c>
      <c r="R8" s="123"/>
      <c r="S8" s="56">
        <f>VLOOKUP(M8,Produccion!C:G,5,0)</f>
        <v>7000</v>
      </c>
      <c r="T8" s="130">
        <f t="shared" si="4"/>
        <v>0.1392857143</v>
      </c>
      <c r="U8" s="123"/>
      <c r="V8" s="123"/>
      <c r="W8" s="53" t="s">
        <v>70</v>
      </c>
      <c r="X8" s="56" t="s">
        <v>49</v>
      </c>
      <c r="Y8" s="56">
        <v>1958.97</v>
      </c>
      <c r="Z8" s="123"/>
      <c r="AA8" s="123"/>
      <c r="AB8" s="123"/>
    </row>
    <row r="9" ht="17.25" customHeight="1">
      <c r="A9" s="123"/>
      <c r="B9" s="1"/>
      <c r="C9" s="1"/>
      <c r="D9" s="123"/>
      <c r="E9" s="123"/>
      <c r="F9" s="131" t="s">
        <v>194</v>
      </c>
      <c r="G9" s="62" t="s">
        <v>198</v>
      </c>
      <c r="H9" s="62" t="s">
        <v>192</v>
      </c>
      <c r="I9" s="62">
        <v>1.0</v>
      </c>
      <c r="J9" s="62">
        <v>3400000.0</v>
      </c>
      <c r="K9" s="56">
        <f t="shared" si="2"/>
        <v>50592000</v>
      </c>
      <c r="L9" s="123"/>
      <c r="M9" s="53" t="s">
        <v>72</v>
      </c>
      <c r="N9" s="131" t="s">
        <v>73</v>
      </c>
      <c r="O9" s="62">
        <v>975.0</v>
      </c>
      <c r="P9" s="56">
        <f>VLOOKUP(M9,Produccion!C:E,3,0)</f>
        <v>10920</v>
      </c>
      <c r="Q9" s="56">
        <f t="shared" si="3"/>
        <v>10647000</v>
      </c>
      <c r="R9" s="123"/>
      <c r="S9" s="56">
        <f>VLOOKUP(M9,Produccion!C:G,5,0)</f>
        <v>7000</v>
      </c>
      <c r="T9" s="130">
        <f t="shared" si="4"/>
        <v>0.1392857143</v>
      </c>
      <c r="U9" s="123"/>
      <c r="V9" s="123"/>
      <c r="W9" s="53" t="s">
        <v>77</v>
      </c>
      <c r="X9" s="56" t="s">
        <v>78</v>
      </c>
      <c r="Y9" s="56">
        <v>3034.2</v>
      </c>
      <c r="Z9" s="123"/>
      <c r="AA9" s="123"/>
      <c r="AB9" s="123"/>
    </row>
    <row r="10" ht="17.25" customHeight="1">
      <c r="A10" s="123"/>
      <c r="B10" s="1"/>
      <c r="C10" s="18"/>
      <c r="D10" s="123"/>
      <c r="E10" s="123"/>
      <c r="F10" s="131" t="s">
        <v>190</v>
      </c>
      <c r="G10" s="62" t="s">
        <v>198</v>
      </c>
      <c r="H10" s="62" t="s">
        <v>192</v>
      </c>
      <c r="I10" s="62">
        <v>1.0</v>
      </c>
      <c r="J10" s="62">
        <v>3400000.0</v>
      </c>
      <c r="K10" s="56">
        <f t="shared" si="2"/>
        <v>50592000</v>
      </c>
      <c r="L10" s="123"/>
      <c r="M10" s="53" t="s">
        <v>74</v>
      </c>
      <c r="N10" s="132" t="s">
        <v>49</v>
      </c>
      <c r="O10" s="62">
        <v>2253.0</v>
      </c>
      <c r="P10" s="56">
        <f>VLOOKUP(M10,Produccion!C:E,3,0)</f>
        <v>15840</v>
      </c>
      <c r="Q10" s="56">
        <f t="shared" si="3"/>
        <v>35687520</v>
      </c>
      <c r="R10" s="123"/>
      <c r="S10" s="56">
        <f>VLOOKUP(M10,Produccion!C:G,5,0)</f>
        <v>13800</v>
      </c>
      <c r="T10" s="130">
        <f t="shared" si="4"/>
        <v>0.1632608696</v>
      </c>
      <c r="U10" s="123"/>
      <c r="V10" s="123"/>
      <c r="W10" s="53" t="s">
        <v>79</v>
      </c>
      <c r="X10" s="56" t="s">
        <v>51</v>
      </c>
      <c r="Y10" s="56">
        <v>3798.74</v>
      </c>
      <c r="Z10" s="123"/>
      <c r="AA10" s="123"/>
      <c r="AB10" s="123"/>
    </row>
    <row r="11" ht="17.25" customHeight="1">
      <c r="A11" s="123"/>
      <c r="B11" s="1"/>
      <c r="C11" s="1"/>
      <c r="D11" s="123"/>
      <c r="E11" s="123"/>
      <c r="F11" s="131" t="s">
        <v>187</v>
      </c>
      <c r="G11" s="62" t="s">
        <v>198</v>
      </c>
      <c r="H11" s="62" t="s">
        <v>189</v>
      </c>
      <c r="I11" s="62">
        <v>1.0</v>
      </c>
      <c r="J11" s="62">
        <v>3400000.0</v>
      </c>
      <c r="K11" s="56">
        <f t="shared" si="2"/>
        <v>50592000</v>
      </c>
      <c r="L11" s="123"/>
      <c r="M11" s="53" t="s">
        <v>76</v>
      </c>
      <c r="N11" s="131" t="s">
        <v>49</v>
      </c>
      <c r="O11" s="62">
        <v>1959.0</v>
      </c>
      <c r="P11" s="56">
        <f>VLOOKUP(M11,Produccion!C:E,3,0)</f>
        <v>36960</v>
      </c>
      <c r="Q11" s="56">
        <f t="shared" si="3"/>
        <v>72404640</v>
      </c>
      <c r="R11" s="123"/>
      <c r="S11" s="56">
        <f>VLOOKUP(M11,Produccion!C:G,5,0)</f>
        <v>11500</v>
      </c>
      <c r="T11" s="130">
        <f t="shared" si="4"/>
        <v>0.1703478261</v>
      </c>
      <c r="U11" s="123"/>
      <c r="V11" s="123"/>
      <c r="W11" s="53" t="s">
        <v>80</v>
      </c>
      <c r="X11" s="56" t="s">
        <v>51</v>
      </c>
      <c r="Y11" s="56">
        <v>3798.74</v>
      </c>
      <c r="Z11" s="123"/>
      <c r="AA11" s="123"/>
      <c r="AB11" s="123"/>
    </row>
    <row r="12" ht="17.25" customHeight="1">
      <c r="A12" s="123"/>
      <c r="B12" s="1"/>
      <c r="C12" s="18"/>
      <c r="D12" s="123"/>
      <c r="E12" s="123"/>
      <c r="F12" s="131" t="s">
        <v>199</v>
      </c>
      <c r="G12" s="62" t="s">
        <v>198</v>
      </c>
      <c r="H12" s="62" t="s">
        <v>192</v>
      </c>
      <c r="I12" s="62">
        <v>1.0</v>
      </c>
      <c r="J12" s="62">
        <v>3400000.0</v>
      </c>
      <c r="K12" s="56">
        <f t="shared" si="2"/>
        <v>50592000</v>
      </c>
      <c r="L12" s="123"/>
      <c r="M12" s="53" t="s">
        <v>77</v>
      </c>
      <c r="N12" s="131" t="s">
        <v>78</v>
      </c>
      <c r="O12" s="62">
        <v>3034.0</v>
      </c>
      <c r="P12" s="56">
        <f>VLOOKUP(M12,Produccion!C:E,3,0)</f>
        <v>75000</v>
      </c>
      <c r="Q12" s="56">
        <f t="shared" si="3"/>
        <v>227550000</v>
      </c>
      <c r="R12" s="123"/>
      <c r="S12" s="56">
        <f>VLOOKUP(M12,Produccion!C:G,5,0)</f>
        <v>12700</v>
      </c>
      <c r="T12" s="130">
        <f t="shared" si="4"/>
        <v>0.2388976378</v>
      </c>
      <c r="U12" s="123"/>
      <c r="V12" s="123"/>
      <c r="W12" s="123"/>
      <c r="X12" s="123"/>
      <c r="Y12" s="123"/>
      <c r="Z12" s="123"/>
      <c r="AA12" s="123"/>
      <c r="AB12" s="123"/>
    </row>
    <row r="13" ht="17.25" customHeight="1">
      <c r="A13" s="123"/>
      <c r="B13" s="1"/>
      <c r="C13" s="1"/>
      <c r="D13" s="123"/>
      <c r="E13" s="123"/>
      <c r="F13" s="131" t="s">
        <v>200</v>
      </c>
      <c r="G13" s="62" t="s">
        <v>201</v>
      </c>
      <c r="H13" s="62" t="s">
        <v>192</v>
      </c>
      <c r="I13" s="62">
        <v>1.0</v>
      </c>
      <c r="J13" s="62">
        <v>8500000.0</v>
      </c>
      <c r="K13" s="56">
        <f t="shared" si="2"/>
        <v>126480000</v>
      </c>
      <c r="L13" s="123"/>
      <c r="M13" s="53" t="s">
        <v>79</v>
      </c>
      <c r="N13" s="131" t="s">
        <v>51</v>
      </c>
      <c r="O13" s="62">
        <v>3799.0</v>
      </c>
      <c r="P13" s="56">
        <f>VLOOKUP(M13,Produccion!C:E,3,0)</f>
        <v>70800</v>
      </c>
      <c r="Q13" s="56">
        <f t="shared" si="3"/>
        <v>268969200</v>
      </c>
      <c r="R13" s="123"/>
      <c r="S13" s="56">
        <f>VLOOKUP(M13,Produccion!C:G,5,0)</f>
        <v>12000</v>
      </c>
      <c r="T13" s="130">
        <f t="shared" si="4"/>
        <v>0.3165833333</v>
      </c>
      <c r="U13" s="123"/>
      <c r="V13" s="123"/>
      <c r="W13" s="123"/>
      <c r="X13" s="123"/>
      <c r="Y13" s="123"/>
      <c r="Z13" s="123"/>
      <c r="AA13" s="123"/>
      <c r="AB13" s="123"/>
    </row>
    <row r="14" ht="17.25" customHeight="1">
      <c r="A14" s="123"/>
      <c r="B14" s="1"/>
      <c r="C14" s="1"/>
      <c r="D14" s="123"/>
      <c r="E14" s="123"/>
      <c r="F14" s="133" t="s">
        <v>17</v>
      </c>
      <c r="G14" s="68"/>
      <c r="H14" s="68"/>
      <c r="I14" s="68">
        <f t="shared" ref="I14:K14" si="6">SUM(I4:I13)</f>
        <v>55</v>
      </c>
      <c r="J14" s="68">
        <f t="shared" si="6"/>
        <v>32072000</v>
      </c>
      <c r="K14" s="68">
        <f t="shared" si="6"/>
        <v>1356520320</v>
      </c>
      <c r="L14" s="123"/>
      <c r="M14" s="53" t="s">
        <v>80</v>
      </c>
      <c r="N14" s="131" t="s">
        <v>202</v>
      </c>
      <c r="O14" s="62">
        <v>3799.0</v>
      </c>
      <c r="P14" s="56">
        <f>VLOOKUP(M14,Produccion!C:E,3,0)</f>
        <v>18000</v>
      </c>
      <c r="Q14" s="56">
        <f t="shared" si="3"/>
        <v>68382000</v>
      </c>
      <c r="R14" s="123"/>
      <c r="S14" s="56">
        <f>VLOOKUP(M14,Produccion!C:G,5,0)</f>
        <v>12000</v>
      </c>
      <c r="T14" s="130">
        <f t="shared" si="4"/>
        <v>0.3165833333</v>
      </c>
      <c r="U14" s="123"/>
      <c r="V14" s="123"/>
      <c r="W14" s="123"/>
      <c r="X14" s="123"/>
      <c r="Y14" s="123"/>
      <c r="Z14" s="123"/>
      <c r="AA14" s="123"/>
      <c r="AB14" s="123"/>
    </row>
    <row r="15" ht="17.25" customHeight="1">
      <c r="A15" s="123"/>
      <c r="B15" s="1"/>
      <c r="C15" s="1"/>
      <c r="D15" s="123"/>
      <c r="E15" s="123"/>
      <c r="L15" s="123"/>
      <c r="M15" s="133" t="s">
        <v>17</v>
      </c>
      <c r="N15" s="68"/>
      <c r="O15" s="68"/>
      <c r="P15" s="68"/>
      <c r="Q15" s="68">
        <f>SUM(Q4:Q14)</f>
        <v>1004481160</v>
      </c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</row>
    <row r="16" ht="17.25" customHeight="1">
      <c r="A16" s="123"/>
      <c r="B16" s="1"/>
      <c r="C16" s="1"/>
      <c r="D16" s="123"/>
      <c r="E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</row>
    <row r="17" ht="17.25" customHeight="1">
      <c r="A17" s="123"/>
      <c r="B17" s="1"/>
      <c r="C17" s="1"/>
      <c r="D17" s="123"/>
      <c r="E17" s="123"/>
      <c r="F17" s="125" t="s">
        <v>203</v>
      </c>
      <c r="G17" s="1"/>
      <c r="H17" s="123"/>
      <c r="I17" s="123"/>
      <c r="J17" s="123"/>
      <c r="K17" s="123"/>
      <c r="L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</row>
    <row r="18" ht="17.25" customHeight="1">
      <c r="A18" s="123"/>
      <c r="B18" s="1"/>
      <c r="C18" s="1"/>
      <c r="D18" s="123"/>
      <c r="E18" s="123"/>
      <c r="F18" s="126" t="s">
        <v>120</v>
      </c>
      <c r="G18" s="126" t="s">
        <v>121</v>
      </c>
      <c r="H18" s="127" t="s">
        <v>21</v>
      </c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</row>
    <row r="19" ht="17.25" customHeight="1">
      <c r="A19" s="123"/>
      <c r="B19" s="1"/>
      <c r="C19" s="1"/>
      <c r="D19" s="123"/>
      <c r="E19" s="123"/>
      <c r="F19" s="131" t="s">
        <v>204</v>
      </c>
      <c r="G19" s="56">
        <f>SUMIF(H4:H13,"Directo",J4:J13)</f>
        <v>8972000</v>
      </c>
      <c r="H19" s="129">
        <f t="shared" ref="H19:H20" si="7">G19/$G$21</f>
        <v>0.2797455725</v>
      </c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</row>
    <row r="20" ht="17.25" customHeight="1">
      <c r="A20" s="123"/>
      <c r="B20" s="1"/>
      <c r="C20" s="1"/>
      <c r="D20" s="123"/>
      <c r="E20" s="123"/>
      <c r="F20" s="131" t="s">
        <v>205</v>
      </c>
      <c r="G20" s="56">
        <f>SUMIF(H4:H13,"Indirecto",J4:J13)</f>
        <v>23100000</v>
      </c>
      <c r="H20" s="129">
        <f t="shared" si="7"/>
        <v>0.7202544275</v>
      </c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ht="17.25" customHeight="1">
      <c r="A21" s="123"/>
      <c r="B21" s="1"/>
      <c r="C21" s="1"/>
      <c r="D21" s="123"/>
      <c r="E21" s="123"/>
      <c r="F21" s="133" t="s">
        <v>17</v>
      </c>
      <c r="G21" s="68">
        <f t="shared" ref="G21:H21" si="8">SUM(G19:G20)</f>
        <v>32072000</v>
      </c>
      <c r="H21" s="134">
        <f t="shared" si="8"/>
        <v>1</v>
      </c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ht="17.25" customHeight="1">
      <c r="A22" s="123"/>
      <c r="B22" s="1"/>
      <c r="C22" s="1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ht="17.25" customHeight="1">
      <c r="A23" s="123"/>
      <c r="B23" s="1"/>
      <c r="C23" s="1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ht="17.25" customHeight="1">
      <c r="A24" s="123"/>
      <c r="B24" s="1"/>
      <c r="C24" s="1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ht="17.25" customHeight="1">
      <c r="A25" s="123"/>
      <c r="B25" s="1"/>
      <c r="C25" s="1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ht="17.25" customHeight="1">
      <c r="A26" s="123"/>
      <c r="B26" s="1"/>
      <c r="C26" s="1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ht="17.25" customHeight="1">
      <c r="A27" s="123"/>
      <c r="B27" s="1"/>
      <c r="C27" s="1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ht="17.25" customHeight="1">
      <c r="A28" s="123"/>
      <c r="B28" s="1"/>
      <c r="C28" s="1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ht="17.25" customHeight="1">
      <c r="A29" s="123"/>
      <c r="B29" s="1"/>
      <c r="C29" s="1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ht="17.25" customHeight="1">
      <c r="A30" s="123"/>
      <c r="B30" s="1"/>
      <c r="C30" s="1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ht="17.25" customHeight="1">
      <c r="A31" s="123"/>
      <c r="B31" s="1"/>
      <c r="C31" s="1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ht="17.25" customHeight="1">
      <c r="A32" s="123"/>
      <c r="B32" s="1"/>
      <c r="C32" s="1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ht="17.25" customHeight="1">
      <c r="A33" s="123"/>
      <c r="B33" s="1"/>
      <c r="C33" s="1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ht="17.25" customHeight="1">
      <c r="A34" s="123"/>
      <c r="B34" s="1"/>
      <c r="C34" s="1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ht="17.25" customHeight="1">
      <c r="A35" s="123"/>
      <c r="B35" s="1"/>
      <c r="C35" s="1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ht="17.25" customHeight="1">
      <c r="A36" s="123"/>
      <c r="B36" s="1"/>
      <c r="C36" s="1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ht="17.25" customHeight="1">
      <c r="A37" s="123"/>
      <c r="B37" s="1"/>
      <c r="C37" s="1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ht="17.25" customHeight="1">
      <c r="A38" s="123"/>
      <c r="B38" s="1"/>
      <c r="C38" s="1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ht="17.25" customHeight="1">
      <c r="A39" s="123"/>
      <c r="B39" s="1"/>
      <c r="C39" s="1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ht="17.25" customHeight="1">
      <c r="A40" s="123"/>
      <c r="B40" s="1"/>
      <c r="C40" s="1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ht="17.25" customHeight="1">
      <c r="A41" s="123"/>
      <c r="B41" s="1"/>
      <c r="C41" s="1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ht="17.25" customHeight="1">
      <c r="A42" s="123"/>
      <c r="B42" s="1"/>
      <c r="C42" s="1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ht="17.25" customHeight="1">
      <c r="A43" s="123"/>
      <c r="B43" s="1"/>
      <c r="C43" s="1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ht="17.25" customHeight="1">
      <c r="A44" s="123"/>
      <c r="B44" s="1"/>
      <c r="C44" s="1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ht="17.25" customHeight="1">
      <c r="A45" s="123"/>
      <c r="B45" s="1"/>
      <c r="C45" s="1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ht="17.25" customHeight="1">
      <c r="A46" s="123"/>
      <c r="B46" s="1"/>
      <c r="C46" s="1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ht="17.25" customHeight="1">
      <c r="A47" s="123"/>
      <c r="B47" s="1"/>
      <c r="C47" s="1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ht="17.25" customHeight="1">
      <c r="A48" s="123"/>
      <c r="B48" s="1"/>
      <c r="C48" s="1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ht="17.25" customHeight="1">
      <c r="A49" s="123"/>
      <c r="B49" s="1"/>
      <c r="C49" s="1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ht="17.25" customHeight="1">
      <c r="A50" s="123"/>
      <c r="B50" s="1"/>
      <c r="C50" s="1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ht="17.25" customHeight="1">
      <c r="A51" s="123"/>
      <c r="B51" s="1"/>
      <c r="C51" s="1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ht="17.25" customHeight="1">
      <c r="A52" s="123"/>
      <c r="B52" s="1"/>
      <c r="C52" s="1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ht="17.25" customHeight="1">
      <c r="A53" s="123"/>
      <c r="B53" s="1"/>
      <c r="C53" s="1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ht="17.25" customHeight="1">
      <c r="A54" s="123"/>
      <c r="B54" s="1"/>
      <c r="C54" s="1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ht="17.25" customHeight="1">
      <c r="A55" s="123"/>
      <c r="B55" s="1"/>
      <c r="C55" s="1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ht="17.25" customHeight="1">
      <c r="A56" s="123"/>
      <c r="B56" s="1"/>
      <c r="C56" s="1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ht="17.25" customHeight="1">
      <c r="A57" s="123"/>
      <c r="B57" s="1"/>
      <c r="C57" s="1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ht="17.25" customHeight="1">
      <c r="A58" s="123"/>
      <c r="B58" s="1"/>
      <c r="C58" s="1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ht="17.25" customHeight="1">
      <c r="A59" s="123"/>
      <c r="B59" s="1"/>
      <c r="C59" s="1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ht="17.25" customHeight="1">
      <c r="A60" s="123"/>
      <c r="B60" s="1"/>
      <c r="C60" s="1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ht="17.25" customHeight="1">
      <c r="A61" s="123"/>
      <c r="B61" s="1"/>
      <c r="C61" s="1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ht="17.25" customHeight="1">
      <c r="A62" s="123"/>
      <c r="B62" s="1"/>
      <c r="C62" s="1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ht="17.25" customHeight="1">
      <c r="A63" s="123"/>
      <c r="B63" s="1"/>
      <c r="C63" s="1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</row>
    <row r="64" ht="17.25" customHeight="1">
      <c r="A64" s="123"/>
      <c r="B64" s="1"/>
      <c r="C64" s="1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</row>
    <row r="65" ht="17.25" customHeight="1">
      <c r="A65" s="123"/>
      <c r="B65" s="1"/>
      <c r="C65" s="1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</row>
    <row r="66" ht="17.25" customHeight="1">
      <c r="A66" s="123"/>
      <c r="B66" s="1"/>
      <c r="C66" s="1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</row>
    <row r="67" ht="17.25" customHeight="1">
      <c r="A67" s="123"/>
      <c r="B67" s="1"/>
      <c r="C67" s="1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</row>
    <row r="68" ht="17.25" customHeight="1">
      <c r="A68" s="123"/>
      <c r="B68" s="1"/>
      <c r="C68" s="1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</row>
    <row r="69" ht="17.25" customHeight="1">
      <c r="A69" s="123"/>
      <c r="B69" s="1"/>
      <c r="C69" s="1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</row>
    <row r="70" ht="17.25" customHeight="1">
      <c r="A70" s="123"/>
      <c r="B70" s="1"/>
      <c r="C70" s="1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</row>
    <row r="71" ht="17.25" customHeight="1">
      <c r="A71" s="123"/>
      <c r="B71" s="1"/>
      <c r="C71" s="1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</row>
    <row r="72" ht="17.25" customHeight="1">
      <c r="A72" s="123"/>
      <c r="B72" s="1"/>
      <c r="C72" s="1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</row>
    <row r="73" ht="17.25" customHeight="1">
      <c r="A73" s="123"/>
      <c r="B73" s="1"/>
      <c r="C73" s="1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</row>
    <row r="74" ht="17.25" customHeight="1">
      <c r="A74" s="123"/>
      <c r="B74" s="1"/>
      <c r="C74" s="1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</row>
    <row r="75" ht="17.25" customHeight="1">
      <c r="A75" s="123"/>
      <c r="B75" s="1"/>
      <c r="C75" s="1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</row>
    <row r="76" ht="17.25" customHeight="1">
      <c r="A76" s="123"/>
      <c r="B76" s="1"/>
      <c r="C76" s="1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</row>
    <row r="77" ht="17.25" customHeight="1">
      <c r="A77" s="123"/>
      <c r="B77" s="1"/>
      <c r="C77" s="1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</row>
    <row r="78" ht="17.25" customHeight="1">
      <c r="A78" s="123"/>
      <c r="B78" s="1"/>
      <c r="C78" s="1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</row>
    <row r="79" ht="17.25" customHeight="1">
      <c r="A79" s="123"/>
      <c r="B79" s="1"/>
      <c r="C79" s="1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</row>
    <row r="80" ht="17.25" customHeight="1">
      <c r="A80" s="123"/>
      <c r="B80" s="1"/>
      <c r="C80" s="1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</row>
    <row r="81" ht="17.25" customHeight="1">
      <c r="A81" s="123"/>
      <c r="B81" s="1"/>
      <c r="C81" s="1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</row>
    <row r="82" ht="17.25" customHeight="1">
      <c r="A82" s="123"/>
      <c r="B82" s="1"/>
      <c r="C82" s="1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</row>
    <row r="83" ht="17.25" customHeight="1">
      <c r="A83" s="123"/>
      <c r="B83" s="1"/>
      <c r="C83" s="1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  <c r="AB83" s="123"/>
    </row>
    <row r="84" ht="17.25" customHeight="1">
      <c r="A84" s="123"/>
      <c r="B84" s="1"/>
      <c r="C84" s="1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</row>
    <row r="85" ht="17.25" customHeight="1">
      <c r="A85" s="123"/>
      <c r="B85" s="1"/>
      <c r="C85" s="1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</row>
    <row r="86" ht="17.25" customHeight="1">
      <c r="A86" s="123"/>
      <c r="B86" s="1"/>
      <c r="C86" s="1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</row>
    <row r="87" ht="17.25" customHeight="1">
      <c r="A87" s="123"/>
      <c r="B87" s="1"/>
      <c r="C87" s="1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</row>
    <row r="88" ht="17.25" customHeight="1">
      <c r="A88" s="123"/>
      <c r="B88" s="1"/>
      <c r="C88" s="1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</row>
    <row r="89" ht="17.25" customHeight="1">
      <c r="A89" s="123"/>
      <c r="B89" s="1"/>
      <c r="C89" s="1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</row>
    <row r="90" ht="17.25" customHeight="1">
      <c r="A90" s="123"/>
      <c r="B90" s="1"/>
      <c r="C90" s="1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</row>
    <row r="91" ht="17.25" customHeight="1">
      <c r="A91" s="123"/>
      <c r="B91" s="1"/>
      <c r="C91" s="1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</row>
    <row r="92" ht="17.25" customHeight="1">
      <c r="A92" s="123"/>
      <c r="B92" s="1"/>
      <c r="C92" s="1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</row>
    <row r="93" ht="17.25" customHeight="1">
      <c r="A93" s="123"/>
      <c r="B93" s="1"/>
      <c r="C93" s="1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</row>
    <row r="94" ht="17.25" customHeight="1">
      <c r="A94" s="123"/>
      <c r="B94" s="1"/>
      <c r="C94" s="1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</row>
    <row r="95" ht="17.25" customHeight="1">
      <c r="A95" s="123"/>
      <c r="B95" s="1"/>
      <c r="C95" s="1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</row>
    <row r="96" ht="17.25" customHeight="1">
      <c r="A96" s="123"/>
      <c r="B96" s="1"/>
      <c r="C96" s="1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</row>
    <row r="97" ht="17.25" customHeight="1">
      <c r="A97" s="123"/>
      <c r="B97" s="1"/>
      <c r="C97" s="1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</row>
    <row r="98" ht="17.25" customHeight="1">
      <c r="A98" s="123"/>
      <c r="B98" s="1"/>
      <c r="C98" s="1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</row>
    <row r="99" ht="17.25" customHeight="1">
      <c r="A99" s="123"/>
      <c r="B99" s="1"/>
      <c r="C99" s="1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</row>
    <row r="100" ht="17.25" customHeight="1">
      <c r="A100" s="123"/>
      <c r="B100" s="1"/>
      <c r="C100" s="1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</row>
    <row r="101" ht="17.25" customHeight="1">
      <c r="A101" s="123"/>
      <c r="B101" s="1"/>
      <c r="C101" s="1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</row>
    <row r="102" ht="17.25" customHeight="1">
      <c r="A102" s="123"/>
      <c r="B102" s="1"/>
      <c r="C102" s="1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</row>
    <row r="103" ht="17.25" customHeight="1">
      <c r="A103" s="123"/>
      <c r="B103" s="1"/>
      <c r="C103" s="1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</row>
    <row r="104" ht="17.25" customHeight="1">
      <c r="A104" s="123"/>
      <c r="B104" s="1"/>
      <c r="C104" s="1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</row>
    <row r="105" ht="17.25" customHeight="1">
      <c r="A105" s="123"/>
      <c r="B105" s="1"/>
      <c r="C105" s="1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</row>
    <row r="106" ht="17.25" customHeight="1">
      <c r="A106" s="123"/>
      <c r="B106" s="1"/>
      <c r="C106" s="1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</row>
    <row r="107" ht="17.25" customHeight="1">
      <c r="A107" s="123"/>
      <c r="B107" s="1"/>
      <c r="C107" s="1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  <c r="AB107" s="123"/>
    </row>
    <row r="108" ht="17.25" customHeight="1">
      <c r="A108" s="123"/>
      <c r="B108" s="1"/>
      <c r="C108" s="1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</row>
    <row r="109" ht="17.25" customHeight="1">
      <c r="A109" s="123"/>
      <c r="B109" s="1"/>
      <c r="C109" s="1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</row>
    <row r="110" ht="17.25" customHeight="1">
      <c r="A110" s="123"/>
      <c r="B110" s="1"/>
      <c r="C110" s="1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</row>
    <row r="111" ht="17.25" customHeight="1">
      <c r="A111" s="123"/>
      <c r="B111" s="1"/>
      <c r="C111" s="1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</row>
    <row r="112" ht="17.25" customHeight="1">
      <c r="A112" s="123"/>
      <c r="B112" s="1"/>
      <c r="C112" s="1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</row>
    <row r="113" ht="17.25" customHeight="1">
      <c r="A113" s="123"/>
      <c r="B113" s="1"/>
      <c r="C113" s="1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</row>
    <row r="114" ht="17.25" customHeight="1">
      <c r="A114" s="123"/>
      <c r="B114" s="1"/>
      <c r="C114" s="1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</row>
    <row r="115" ht="17.25" customHeight="1">
      <c r="A115" s="123"/>
      <c r="B115" s="1"/>
      <c r="C115" s="1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</row>
    <row r="116" ht="17.25" customHeight="1">
      <c r="A116" s="123"/>
      <c r="B116" s="1"/>
      <c r="C116" s="1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</row>
    <row r="117" ht="17.25" customHeight="1">
      <c r="A117" s="123"/>
      <c r="B117" s="1"/>
      <c r="C117" s="1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</row>
    <row r="118" ht="17.25" customHeight="1">
      <c r="A118" s="123"/>
      <c r="B118" s="1"/>
      <c r="C118" s="1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</row>
    <row r="119" ht="17.25" customHeight="1">
      <c r="A119" s="123"/>
      <c r="B119" s="1"/>
      <c r="C119" s="1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</row>
    <row r="120" ht="17.25" customHeight="1">
      <c r="A120" s="123"/>
      <c r="B120" s="1"/>
      <c r="C120" s="1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</row>
    <row r="121" ht="17.25" customHeight="1">
      <c r="A121" s="123"/>
      <c r="B121" s="1"/>
      <c r="C121" s="1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</row>
    <row r="122" ht="17.25" customHeight="1">
      <c r="A122" s="123"/>
      <c r="B122" s="1"/>
      <c r="C122" s="1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</row>
    <row r="123" ht="17.25" customHeight="1">
      <c r="A123" s="123"/>
      <c r="B123" s="1"/>
      <c r="C123" s="1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</row>
    <row r="124" ht="17.25" customHeight="1">
      <c r="A124" s="123"/>
      <c r="B124" s="1"/>
      <c r="C124" s="1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</row>
    <row r="125" ht="17.25" customHeight="1">
      <c r="A125" s="123"/>
      <c r="B125" s="1"/>
      <c r="C125" s="1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</row>
    <row r="126" ht="17.25" customHeight="1">
      <c r="A126" s="123"/>
      <c r="B126" s="1"/>
      <c r="C126" s="1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</row>
    <row r="127" ht="17.25" customHeight="1">
      <c r="A127" s="123"/>
      <c r="B127" s="1"/>
      <c r="C127" s="1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</row>
    <row r="128" ht="17.25" customHeight="1">
      <c r="A128" s="123"/>
      <c r="B128" s="1"/>
      <c r="C128" s="1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</row>
    <row r="129" ht="17.25" customHeight="1">
      <c r="A129" s="123"/>
      <c r="B129" s="1"/>
      <c r="C129" s="1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</row>
    <row r="130" ht="17.25" customHeight="1">
      <c r="A130" s="123"/>
      <c r="B130" s="1"/>
      <c r="C130" s="1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</row>
    <row r="131" ht="17.25" customHeight="1">
      <c r="A131" s="123"/>
      <c r="B131" s="1"/>
      <c r="C131" s="1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</row>
    <row r="132" ht="17.25" customHeight="1">
      <c r="A132" s="123"/>
      <c r="B132" s="1"/>
      <c r="C132" s="1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</row>
    <row r="133" ht="17.25" customHeight="1">
      <c r="A133" s="123"/>
      <c r="B133" s="1"/>
      <c r="C133" s="1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</row>
    <row r="134" ht="17.25" customHeight="1">
      <c r="A134" s="123"/>
      <c r="B134" s="1"/>
      <c r="C134" s="1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</row>
    <row r="135" ht="17.25" customHeight="1">
      <c r="A135" s="123"/>
      <c r="B135" s="1"/>
      <c r="C135" s="1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</row>
    <row r="136" ht="17.25" customHeight="1">
      <c r="A136" s="123"/>
      <c r="B136" s="1"/>
      <c r="C136" s="1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</row>
    <row r="137" ht="17.25" customHeight="1">
      <c r="A137" s="123"/>
      <c r="B137" s="1"/>
      <c r="C137" s="1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</row>
    <row r="138" ht="17.25" customHeight="1">
      <c r="A138" s="123"/>
      <c r="B138" s="1"/>
      <c r="C138" s="1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</row>
    <row r="139" ht="17.25" customHeight="1">
      <c r="A139" s="123"/>
      <c r="B139" s="1"/>
      <c r="C139" s="1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</row>
    <row r="140" ht="17.25" customHeight="1">
      <c r="A140" s="123"/>
      <c r="B140" s="1"/>
      <c r="C140" s="1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</row>
    <row r="141" ht="17.25" customHeight="1">
      <c r="A141" s="123"/>
      <c r="B141" s="1"/>
      <c r="C141" s="1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</row>
    <row r="142" ht="17.25" customHeight="1">
      <c r="A142" s="123"/>
      <c r="B142" s="1"/>
      <c r="C142" s="1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</row>
    <row r="143" ht="17.25" customHeight="1">
      <c r="A143" s="123"/>
      <c r="B143" s="1"/>
      <c r="C143" s="1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</row>
    <row r="144" ht="17.25" customHeight="1">
      <c r="A144" s="123"/>
      <c r="B144" s="1"/>
      <c r="C144" s="1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</row>
    <row r="145" ht="17.25" customHeight="1">
      <c r="A145" s="123"/>
      <c r="B145" s="1"/>
      <c r="C145" s="1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</row>
    <row r="146" ht="17.25" customHeight="1">
      <c r="A146" s="123"/>
      <c r="B146" s="1"/>
      <c r="C146" s="1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</row>
    <row r="147" ht="17.25" customHeight="1">
      <c r="A147" s="123"/>
      <c r="B147" s="1"/>
      <c r="C147" s="1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</row>
    <row r="148" ht="17.25" customHeight="1">
      <c r="A148" s="123"/>
      <c r="B148" s="1"/>
      <c r="C148" s="1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</row>
    <row r="149" ht="17.25" customHeight="1">
      <c r="A149" s="123"/>
      <c r="B149" s="1"/>
      <c r="C149" s="1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</row>
    <row r="150" ht="17.25" customHeight="1">
      <c r="A150" s="123"/>
      <c r="B150" s="1"/>
      <c r="C150" s="1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</row>
    <row r="151" ht="17.25" customHeight="1">
      <c r="A151" s="123"/>
      <c r="B151" s="1"/>
      <c r="C151" s="1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</row>
    <row r="152" ht="17.25" customHeight="1">
      <c r="A152" s="123"/>
      <c r="B152" s="1"/>
      <c r="C152" s="1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</row>
    <row r="153" ht="17.25" customHeight="1">
      <c r="A153" s="123"/>
      <c r="B153" s="1"/>
      <c r="C153" s="1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</row>
    <row r="154" ht="17.25" customHeight="1">
      <c r="A154" s="123"/>
      <c r="B154" s="1"/>
      <c r="C154" s="1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</row>
    <row r="155" ht="17.25" customHeight="1">
      <c r="A155" s="123"/>
      <c r="B155" s="1"/>
      <c r="C155" s="1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</row>
    <row r="156" ht="17.25" customHeight="1">
      <c r="A156" s="123"/>
      <c r="B156" s="1"/>
      <c r="C156" s="1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</row>
    <row r="157" ht="17.25" customHeight="1">
      <c r="A157" s="123"/>
      <c r="B157" s="1"/>
      <c r="C157" s="1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</row>
    <row r="158" ht="17.25" customHeight="1">
      <c r="A158" s="123"/>
      <c r="B158" s="1"/>
      <c r="C158" s="1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</row>
    <row r="159" ht="17.25" customHeight="1">
      <c r="A159" s="123"/>
      <c r="B159" s="1"/>
      <c r="C159" s="1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  <c r="AB159" s="123"/>
    </row>
    <row r="160" ht="17.25" customHeight="1">
      <c r="A160" s="123"/>
      <c r="B160" s="1"/>
      <c r="C160" s="1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  <c r="AB160" s="123"/>
    </row>
    <row r="161" ht="17.25" customHeight="1">
      <c r="A161" s="123"/>
      <c r="B161" s="1"/>
      <c r="C161" s="1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  <c r="AB161" s="123"/>
    </row>
    <row r="162" ht="17.25" customHeight="1">
      <c r="A162" s="123"/>
      <c r="B162" s="1"/>
      <c r="C162" s="1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  <c r="AB162" s="123"/>
    </row>
    <row r="163" ht="17.25" customHeight="1">
      <c r="A163" s="123"/>
      <c r="B163" s="1"/>
      <c r="C163" s="1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  <c r="AB163" s="123"/>
    </row>
    <row r="164" ht="17.25" customHeight="1">
      <c r="A164" s="123"/>
      <c r="B164" s="1"/>
      <c r="C164" s="1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  <c r="AB164" s="123"/>
    </row>
    <row r="165" ht="17.25" customHeight="1">
      <c r="A165" s="123"/>
      <c r="B165" s="1"/>
      <c r="C165" s="1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  <c r="AB165" s="123"/>
    </row>
    <row r="166" ht="17.25" customHeight="1">
      <c r="A166" s="123"/>
      <c r="B166" s="1"/>
      <c r="C166" s="1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  <c r="AB166" s="123"/>
    </row>
    <row r="167" ht="17.25" customHeight="1">
      <c r="A167" s="123"/>
      <c r="B167" s="1"/>
      <c r="C167" s="1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  <c r="AB167" s="123"/>
    </row>
    <row r="168" ht="17.25" customHeight="1">
      <c r="A168" s="123"/>
      <c r="B168" s="1"/>
      <c r="C168" s="1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  <c r="AB168" s="123"/>
    </row>
    <row r="169" ht="17.25" customHeight="1">
      <c r="A169" s="123"/>
      <c r="B169" s="1"/>
      <c r="C169" s="1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</row>
    <row r="170" ht="17.25" customHeight="1">
      <c r="A170" s="123"/>
      <c r="B170" s="1"/>
      <c r="C170" s="1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</row>
    <row r="171" ht="17.25" customHeight="1">
      <c r="A171" s="123"/>
      <c r="B171" s="1"/>
      <c r="C171" s="1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  <c r="AB171" s="123"/>
    </row>
    <row r="172" ht="17.25" customHeight="1">
      <c r="A172" s="123"/>
      <c r="B172" s="1"/>
      <c r="C172" s="1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  <c r="AB172" s="123"/>
    </row>
    <row r="173" ht="17.25" customHeight="1">
      <c r="A173" s="123"/>
      <c r="B173" s="1"/>
      <c r="C173" s="1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  <c r="AB173" s="123"/>
    </row>
    <row r="174" ht="17.25" customHeight="1">
      <c r="A174" s="123"/>
      <c r="B174" s="1"/>
      <c r="C174" s="1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  <c r="AB174" s="123"/>
    </row>
    <row r="175" ht="17.25" customHeight="1">
      <c r="A175" s="123"/>
      <c r="B175" s="1"/>
      <c r="C175" s="1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</row>
    <row r="176" ht="17.25" customHeight="1">
      <c r="A176" s="123"/>
      <c r="B176" s="1"/>
      <c r="C176" s="1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  <c r="AB176" s="123"/>
    </row>
    <row r="177" ht="17.25" customHeight="1">
      <c r="A177" s="123"/>
      <c r="B177" s="1"/>
      <c r="C177" s="1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  <c r="AB177" s="123"/>
    </row>
    <row r="178" ht="17.25" customHeight="1">
      <c r="A178" s="123"/>
      <c r="B178" s="1"/>
      <c r="C178" s="1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</row>
    <row r="179" ht="17.25" customHeight="1">
      <c r="A179" s="123"/>
      <c r="B179" s="1"/>
      <c r="C179" s="1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</row>
    <row r="180" ht="17.25" customHeight="1">
      <c r="A180" s="123"/>
      <c r="B180" s="1"/>
      <c r="C180" s="1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</row>
    <row r="181" ht="17.25" customHeight="1">
      <c r="A181" s="123"/>
      <c r="B181" s="1"/>
      <c r="C181" s="1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  <c r="AB181" s="123"/>
    </row>
    <row r="182" ht="17.25" customHeight="1">
      <c r="A182" s="123"/>
      <c r="B182" s="1"/>
      <c r="C182" s="1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</row>
    <row r="183" ht="17.25" customHeight="1">
      <c r="A183" s="123"/>
      <c r="B183" s="1"/>
      <c r="C183" s="1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</row>
    <row r="184" ht="17.25" customHeight="1">
      <c r="A184" s="123"/>
      <c r="B184" s="1"/>
      <c r="C184" s="1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  <c r="AB184" s="123"/>
    </row>
    <row r="185" ht="17.25" customHeight="1">
      <c r="A185" s="123"/>
      <c r="B185" s="1"/>
      <c r="C185" s="1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  <c r="AB185" s="123"/>
    </row>
    <row r="186" ht="17.25" customHeight="1">
      <c r="A186" s="123"/>
      <c r="B186" s="1"/>
      <c r="C186" s="1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  <c r="AB186" s="123"/>
    </row>
    <row r="187" ht="17.25" customHeight="1">
      <c r="A187" s="123"/>
      <c r="B187" s="1"/>
      <c r="C187" s="1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  <c r="AB187" s="123"/>
    </row>
    <row r="188" ht="17.25" customHeight="1">
      <c r="A188" s="123"/>
      <c r="B188" s="1"/>
      <c r="C188" s="1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  <c r="AB188" s="123"/>
    </row>
    <row r="189" ht="17.25" customHeight="1">
      <c r="A189" s="123"/>
      <c r="B189" s="1"/>
      <c r="C189" s="1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  <c r="AB189" s="123"/>
    </row>
    <row r="190" ht="17.25" customHeight="1">
      <c r="A190" s="123"/>
      <c r="B190" s="1"/>
      <c r="C190" s="1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  <c r="AB190" s="123"/>
    </row>
    <row r="191" ht="17.25" customHeight="1">
      <c r="A191" s="123"/>
      <c r="B191" s="1"/>
      <c r="C191" s="1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  <c r="AB191" s="123"/>
    </row>
    <row r="192" ht="17.25" customHeight="1">
      <c r="A192" s="123"/>
      <c r="B192" s="1"/>
      <c r="C192" s="1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</row>
    <row r="193" ht="17.25" customHeight="1">
      <c r="A193" s="123"/>
      <c r="B193" s="1"/>
      <c r="C193" s="1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  <c r="AB193" s="123"/>
    </row>
    <row r="194" ht="17.25" customHeight="1">
      <c r="A194" s="123"/>
      <c r="B194" s="1"/>
      <c r="C194" s="1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  <c r="AB194" s="123"/>
    </row>
    <row r="195" ht="17.25" customHeight="1">
      <c r="A195" s="123"/>
      <c r="B195" s="1"/>
      <c r="C195" s="1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  <c r="AB195" s="123"/>
    </row>
    <row r="196" ht="17.25" customHeight="1">
      <c r="A196" s="123"/>
      <c r="B196" s="1"/>
      <c r="C196" s="1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  <c r="AB196" s="123"/>
    </row>
    <row r="197" ht="17.25" customHeight="1">
      <c r="A197" s="123"/>
      <c r="B197" s="1"/>
      <c r="C197" s="1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  <c r="AB197" s="123"/>
    </row>
    <row r="198" ht="17.25" customHeight="1">
      <c r="A198" s="123"/>
      <c r="B198" s="1"/>
      <c r="C198" s="1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  <c r="AB198" s="123"/>
    </row>
    <row r="199" ht="17.25" customHeight="1">
      <c r="A199" s="123"/>
      <c r="B199" s="1"/>
      <c r="C199" s="1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  <c r="AB199" s="123"/>
    </row>
    <row r="200" ht="17.25" customHeight="1">
      <c r="A200" s="123"/>
      <c r="B200" s="1"/>
      <c r="C200" s="1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</row>
    <row r="201" ht="17.25" customHeight="1">
      <c r="A201" s="123"/>
      <c r="B201" s="1"/>
      <c r="C201" s="1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  <c r="AB201" s="123"/>
    </row>
    <row r="202" ht="17.25" customHeight="1">
      <c r="A202" s="123"/>
      <c r="B202" s="1"/>
      <c r="C202" s="1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</row>
    <row r="203" ht="17.25" customHeight="1">
      <c r="A203" s="123"/>
      <c r="B203" s="1"/>
      <c r="C203" s="1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</row>
    <row r="204" ht="17.25" customHeight="1">
      <c r="A204" s="123"/>
      <c r="B204" s="1"/>
      <c r="C204" s="1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  <c r="AB204" s="123"/>
    </row>
    <row r="205" ht="17.25" customHeight="1">
      <c r="A205" s="123"/>
      <c r="B205" s="1"/>
      <c r="C205" s="1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  <c r="AB205" s="123"/>
    </row>
    <row r="206" ht="17.25" customHeight="1">
      <c r="A206" s="123"/>
      <c r="B206" s="1"/>
      <c r="C206" s="1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</row>
    <row r="207" ht="17.25" customHeight="1">
      <c r="A207" s="123"/>
      <c r="B207" s="1"/>
      <c r="C207" s="1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  <c r="AB207" s="123"/>
    </row>
    <row r="208" ht="17.25" customHeight="1">
      <c r="A208" s="123"/>
      <c r="B208" s="1"/>
      <c r="C208" s="1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  <c r="AB208" s="123"/>
    </row>
    <row r="209" ht="17.25" customHeight="1">
      <c r="A209" s="123"/>
      <c r="B209" s="1"/>
      <c r="C209" s="1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</row>
    <row r="210" ht="17.25" customHeight="1">
      <c r="A210" s="123"/>
      <c r="B210" s="1"/>
      <c r="C210" s="1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  <c r="AB210" s="123"/>
    </row>
    <row r="211" ht="17.25" customHeight="1">
      <c r="A211" s="123"/>
      <c r="B211" s="1"/>
      <c r="C211" s="1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  <c r="AB211" s="123"/>
    </row>
    <row r="212" ht="17.25" customHeight="1">
      <c r="A212" s="123"/>
      <c r="B212" s="1"/>
      <c r="C212" s="1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</row>
    <row r="213" ht="17.25" customHeight="1">
      <c r="A213" s="123"/>
      <c r="B213" s="1"/>
      <c r="C213" s="1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  <c r="AB213" s="123"/>
    </row>
    <row r="214" ht="17.25" customHeight="1">
      <c r="A214" s="123"/>
      <c r="B214" s="1"/>
      <c r="C214" s="1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  <c r="AB214" s="123"/>
    </row>
    <row r="215" ht="17.25" customHeight="1">
      <c r="A215" s="123"/>
      <c r="B215" s="1"/>
      <c r="C215" s="1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  <c r="AB215" s="123"/>
    </row>
    <row r="216" ht="17.25" customHeight="1">
      <c r="A216" s="123"/>
      <c r="B216" s="1"/>
      <c r="C216" s="1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  <c r="AB216" s="123"/>
    </row>
    <row r="217" ht="17.25" customHeight="1">
      <c r="A217" s="123"/>
      <c r="B217" s="1"/>
      <c r="C217" s="1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  <c r="AB217" s="123"/>
    </row>
    <row r="218" ht="17.25" customHeight="1">
      <c r="A218" s="123"/>
      <c r="B218" s="1"/>
      <c r="C218" s="1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  <c r="AB218" s="123"/>
    </row>
    <row r="219" ht="17.25" customHeight="1">
      <c r="A219" s="123"/>
      <c r="B219" s="1"/>
      <c r="C219" s="1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  <c r="AB219" s="123"/>
    </row>
    <row r="220" ht="17.25" customHeight="1">
      <c r="A220" s="123"/>
      <c r="B220" s="1"/>
      <c r="C220" s="1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  <c r="AB220" s="123"/>
    </row>
    <row r="221" ht="17.25" customHeight="1">
      <c r="A221" s="123"/>
      <c r="B221" s="1"/>
      <c r="C221" s="1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  <c r="AB221" s="123"/>
    </row>
    <row r="222" ht="17.25" customHeight="1">
      <c r="A222" s="123"/>
      <c r="B222" s="1"/>
      <c r="C222" s="1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  <c r="AB222" s="123"/>
    </row>
    <row r="223" ht="17.25" customHeight="1">
      <c r="A223" s="123"/>
      <c r="B223" s="1"/>
      <c r="C223" s="1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  <c r="AB223" s="123"/>
    </row>
    <row r="224" ht="17.25" customHeight="1">
      <c r="A224" s="123"/>
      <c r="B224" s="1"/>
      <c r="C224" s="1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  <c r="AB224" s="123"/>
    </row>
    <row r="225" ht="17.25" customHeight="1">
      <c r="A225" s="123"/>
      <c r="B225" s="1"/>
      <c r="C225" s="1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  <c r="AB225" s="123"/>
    </row>
    <row r="226" ht="17.25" customHeight="1">
      <c r="A226" s="123"/>
      <c r="B226" s="1"/>
      <c r="C226" s="1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  <c r="AB226" s="123"/>
    </row>
    <row r="227" ht="17.25" customHeight="1">
      <c r="A227" s="123"/>
      <c r="B227" s="1"/>
      <c r="C227" s="1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  <c r="AB227" s="123"/>
    </row>
    <row r="228" ht="17.25" customHeight="1">
      <c r="A228" s="123"/>
      <c r="B228" s="1"/>
      <c r="C228" s="1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  <c r="AB228" s="123"/>
    </row>
    <row r="229" ht="17.25" customHeight="1">
      <c r="A229" s="123"/>
      <c r="B229" s="1"/>
      <c r="C229" s="1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  <c r="AB229" s="123"/>
    </row>
    <row r="230" ht="17.25" customHeight="1">
      <c r="A230" s="123"/>
      <c r="B230" s="1"/>
      <c r="C230" s="1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  <c r="AB230" s="123"/>
    </row>
    <row r="231" ht="17.25" customHeight="1">
      <c r="A231" s="123"/>
      <c r="B231" s="1"/>
      <c r="C231" s="1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  <c r="AB231" s="123"/>
    </row>
    <row r="232" ht="17.25" customHeight="1">
      <c r="A232" s="123"/>
      <c r="B232" s="1"/>
      <c r="C232" s="1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  <c r="AB232" s="123"/>
    </row>
    <row r="233" ht="17.25" customHeight="1">
      <c r="A233" s="123"/>
      <c r="B233" s="1"/>
      <c r="C233" s="1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  <c r="AB233" s="123"/>
    </row>
    <row r="234" ht="17.25" customHeight="1">
      <c r="A234" s="123"/>
      <c r="B234" s="1"/>
      <c r="C234" s="1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  <c r="AB234" s="123"/>
    </row>
    <row r="235" ht="17.25" customHeight="1">
      <c r="A235" s="123"/>
      <c r="B235" s="1"/>
      <c r="C235" s="1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  <c r="AB235" s="123"/>
    </row>
    <row r="236" ht="17.25" customHeight="1">
      <c r="A236" s="123"/>
      <c r="B236" s="1"/>
      <c r="C236" s="1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  <c r="AB236" s="123"/>
    </row>
    <row r="237" ht="17.25" customHeight="1">
      <c r="A237" s="123"/>
      <c r="B237" s="1"/>
      <c r="C237" s="1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  <c r="AB237" s="123"/>
    </row>
    <row r="238" ht="17.25" customHeight="1">
      <c r="A238" s="123"/>
      <c r="B238" s="1"/>
      <c r="C238" s="1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  <c r="AB238" s="123"/>
    </row>
    <row r="239" ht="17.25" customHeight="1">
      <c r="A239" s="123"/>
      <c r="B239" s="1"/>
      <c r="C239" s="1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  <c r="AB239" s="123"/>
    </row>
    <row r="240" ht="17.25" customHeight="1">
      <c r="A240" s="123"/>
      <c r="B240" s="1"/>
      <c r="C240" s="1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  <c r="AB240" s="123"/>
    </row>
    <row r="241" ht="17.25" customHeight="1">
      <c r="A241" s="123"/>
      <c r="B241" s="1"/>
      <c r="C241" s="1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  <c r="AB241" s="123"/>
    </row>
    <row r="242" ht="17.25" customHeight="1">
      <c r="A242" s="123"/>
      <c r="B242" s="1"/>
      <c r="C242" s="1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  <c r="AB242" s="123"/>
    </row>
    <row r="243" ht="17.25" customHeight="1">
      <c r="A243" s="123"/>
      <c r="B243" s="1"/>
      <c r="C243" s="1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  <c r="AB243" s="123"/>
    </row>
    <row r="244" ht="17.25" customHeight="1">
      <c r="A244" s="123"/>
      <c r="B244" s="1"/>
      <c r="C244" s="1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  <c r="AB244" s="123"/>
    </row>
    <row r="245" ht="17.25" customHeight="1">
      <c r="A245" s="123"/>
      <c r="B245" s="1"/>
      <c r="C245" s="1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  <c r="AB245" s="123"/>
    </row>
    <row r="246" ht="17.25" customHeight="1">
      <c r="A246" s="123"/>
      <c r="B246" s="1"/>
      <c r="C246" s="1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  <c r="AB246" s="123"/>
    </row>
    <row r="247" ht="17.25" customHeight="1">
      <c r="A247" s="123"/>
      <c r="B247" s="1"/>
      <c r="C247" s="1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  <c r="AB247" s="123"/>
    </row>
    <row r="248" ht="17.25" customHeight="1">
      <c r="A248" s="123"/>
      <c r="B248" s="1"/>
      <c r="C248" s="1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  <c r="AB248" s="123"/>
    </row>
    <row r="249" ht="17.25" customHeight="1">
      <c r="A249" s="123"/>
      <c r="B249" s="1"/>
      <c r="C249" s="1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  <c r="AB249" s="123"/>
    </row>
    <row r="250" ht="17.25" customHeight="1">
      <c r="A250" s="123"/>
      <c r="B250" s="1"/>
      <c r="C250" s="1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  <c r="AB250" s="123"/>
    </row>
    <row r="251" ht="17.25" customHeight="1">
      <c r="A251" s="123"/>
      <c r="B251" s="1"/>
      <c r="C251" s="1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  <c r="AB251" s="123"/>
    </row>
    <row r="252" ht="17.25" customHeight="1">
      <c r="A252" s="123"/>
      <c r="B252" s="1"/>
      <c r="C252" s="1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  <c r="AB252" s="123"/>
    </row>
    <row r="253" ht="17.25" customHeight="1">
      <c r="A253" s="123"/>
      <c r="B253" s="1"/>
      <c r="C253" s="1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  <c r="AB253" s="123"/>
    </row>
    <row r="254" ht="17.25" customHeight="1">
      <c r="A254" s="123"/>
      <c r="B254" s="1"/>
      <c r="C254" s="1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  <c r="AB254" s="123"/>
    </row>
    <row r="255" ht="17.25" customHeight="1">
      <c r="A255" s="123"/>
      <c r="B255" s="1"/>
      <c r="C255" s="1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  <c r="AB255" s="123"/>
    </row>
    <row r="256" ht="17.25" customHeight="1">
      <c r="A256" s="123"/>
      <c r="B256" s="1"/>
      <c r="C256" s="1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  <c r="AB256" s="123"/>
    </row>
    <row r="257" ht="17.25" customHeight="1">
      <c r="A257" s="123"/>
      <c r="B257" s="1"/>
      <c r="C257" s="1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  <c r="AB257" s="123"/>
    </row>
    <row r="258" ht="17.25" customHeight="1">
      <c r="A258" s="123"/>
      <c r="B258" s="1"/>
      <c r="C258" s="1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  <c r="AB258" s="123"/>
    </row>
    <row r="259" ht="17.25" customHeight="1">
      <c r="A259" s="123"/>
      <c r="B259" s="1"/>
      <c r="C259" s="1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  <c r="AB259" s="123"/>
    </row>
    <row r="260" ht="17.25" customHeight="1">
      <c r="A260" s="123"/>
      <c r="B260" s="1"/>
      <c r="C260" s="1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  <c r="AB260" s="123"/>
    </row>
    <row r="261" ht="17.25" customHeight="1">
      <c r="A261" s="123"/>
      <c r="B261" s="1"/>
      <c r="C261" s="1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  <c r="AB261" s="123"/>
    </row>
    <row r="262" ht="17.25" customHeight="1">
      <c r="A262" s="123"/>
      <c r="B262" s="1"/>
      <c r="C262" s="1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  <c r="AB262" s="123"/>
    </row>
    <row r="263" ht="17.25" customHeight="1">
      <c r="A263" s="123"/>
      <c r="B263" s="1"/>
      <c r="C263" s="1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  <c r="AB263" s="123"/>
    </row>
    <row r="264" ht="17.25" customHeight="1">
      <c r="A264" s="123"/>
      <c r="B264" s="1"/>
      <c r="C264" s="1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  <c r="AB264" s="123"/>
    </row>
    <row r="265" ht="17.25" customHeight="1">
      <c r="A265" s="123"/>
      <c r="B265" s="1"/>
      <c r="C265" s="1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  <c r="AB265" s="123"/>
    </row>
    <row r="266" ht="17.25" customHeight="1">
      <c r="A266" s="123"/>
      <c r="B266" s="1"/>
      <c r="C266" s="1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  <c r="AB266" s="123"/>
    </row>
    <row r="267" ht="17.25" customHeight="1">
      <c r="A267" s="123"/>
      <c r="B267" s="1"/>
      <c r="C267" s="1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  <c r="AB267" s="123"/>
    </row>
    <row r="268" ht="17.25" customHeight="1">
      <c r="A268" s="123"/>
      <c r="B268" s="1"/>
      <c r="C268" s="1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  <c r="AB268" s="123"/>
    </row>
    <row r="269" ht="17.25" customHeight="1">
      <c r="A269" s="123"/>
      <c r="B269" s="1"/>
      <c r="C269" s="1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  <c r="AB269" s="123"/>
    </row>
    <row r="270" ht="17.25" customHeight="1">
      <c r="A270" s="123"/>
      <c r="B270" s="1"/>
      <c r="C270" s="1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  <c r="AB270" s="123"/>
    </row>
    <row r="271" ht="17.25" customHeight="1">
      <c r="A271" s="123"/>
      <c r="B271" s="1"/>
      <c r="C271" s="1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  <c r="AB271" s="123"/>
    </row>
    <row r="272" ht="17.25" customHeight="1">
      <c r="A272" s="123"/>
      <c r="B272" s="1"/>
      <c r="C272" s="1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  <c r="AB272" s="123"/>
    </row>
    <row r="273" ht="17.25" customHeight="1">
      <c r="A273" s="123"/>
      <c r="B273" s="1"/>
      <c r="C273" s="1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  <c r="AB273" s="123"/>
    </row>
    <row r="274" ht="17.25" customHeight="1">
      <c r="A274" s="123"/>
      <c r="B274" s="1"/>
      <c r="C274" s="1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  <c r="AB274" s="123"/>
    </row>
    <row r="275" ht="17.25" customHeight="1">
      <c r="A275" s="123"/>
      <c r="B275" s="1"/>
      <c r="C275" s="1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  <c r="AB275" s="123"/>
    </row>
    <row r="276" ht="17.25" customHeight="1">
      <c r="A276" s="123"/>
      <c r="B276" s="1"/>
      <c r="C276" s="1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  <c r="AB276" s="123"/>
    </row>
    <row r="277" ht="17.25" customHeight="1">
      <c r="A277" s="123"/>
      <c r="B277" s="1"/>
      <c r="C277" s="1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  <c r="AB277" s="123"/>
    </row>
    <row r="278" ht="17.25" customHeight="1">
      <c r="A278" s="123"/>
      <c r="B278" s="1"/>
      <c r="C278" s="1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  <c r="AB278" s="123"/>
    </row>
    <row r="279" ht="17.25" customHeight="1">
      <c r="A279" s="123"/>
      <c r="B279" s="1"/>
      <c r="C279" s="1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  <c r="AB279" s="123"/>
    </row>
    <row r="280" ht="17.25" customHeight="1">
      <c r="A280" s="123"/>
      <c r="B280" s="1"/>
      <c r="C280" s="1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  <c r="AB280" s="123"/>
    </row>
    <row r="281" ht="17.25" customHeight="1">
      <c r="A281" s="123"/>
      <c r="B281" s="1"/>
      <c r="C281" s="1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  <c r="AB281" s="123"/>
    </row>
    <row r="282" ht="17.25" customHeight="1">
      <c r="A282" s="123"/>
      <c r="B282" s="1"/>
      <c r="C282" s="1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  <c r="AB282" s="123"/>
    </row>
    <row r="283" ht="17.25" customHeight="1">
      <c r="A283" s="123"/>
      <c r="B283" s="1"/>
      <c r="C283" s="1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  <c r="AB283" s="123"/>
    </row>
    <row r="284" ht="17.25" customHeight="1">
      <c r="A284" s="123"/>
      <c r="B284" s="1"/>
      <c r="C284" s="1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  <c r="AB284" s="123"/>
    </row>
    <row r="285" ht="17.25" customHeight="1">
      <c r="A285" s="123"/>
      <c r="B285" s="1"/>
      <c r="C285" s="1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  <c r="AB285" s="123"/>
    </row>
    <row r="286" ht="17.25" customHeight="1">
      <c r="A286" s="123"/>
      <c r="B286" s="1"/>
      <c r="C286" s="1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  <c r="AB286" s="123"/>
    </row>
    <row r="287" ht="17.25" customHeight="1">
      <c r="A287" s="123"/>
      <c r="B287" s="1"/>
      <c r="C287" s="1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  <c r="AB287" s="123"/>
    </row>
    <row r="288" ht="17.25" customHeight="1">
      <c r="A288" s="123"/>
      <c r="B288" s="1"/>
      <c r="C288" s="1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  <c r="AB288" s="123"/>
    </row>
    <row r="289" ht="17.25" customHeight="1">
      <c r="A289" s="123"/>
      <c r="B289" s="1"/>
      <c r="C289" s="1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  <c r="AB289" s="123"/>
    </row>
    <row r="290" ht="17.25" customHeight="1">
      <c r="A290" s="123"/>
      <c r="B290" s="1"/>
      <c r="C290" s="1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  <c r="AB290" s="123"/>
    </row>
    <row r="291" ht="17.25" customHeight="1">
      <c r="A291" s="123"/>
      <c r="B291" s="1"/>
      <c r="C291" s="1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  <c r="AB291" s="123"/>
    </row>
    <row r="292" ht="17.25" customHeight="1">
      <c r="A292" s="123"/>
      <c r="B292" s="1"/>
      <c r="C292" s="1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  <c r="AB292" s="123"/>
    </row>
    <row r="293" ht="17.25" customHeight="1">
      <c r="A293" s="123"/>
      <c r="B293" s="1"/>
      <c r="C293" s="1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  <c r="AB293" s="123"/>
    </row>
    <row r="294" ht="17.25" customHeight="1">
      <c r="A294" s="123"/>
      <c r="B294" s="1"/>
      <c r="C294" s="1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  <c r="AB294" s="123"/>
    </row>
    <row r="295" ht="17.25" customHeight="1">
      <c r="A295" s="123"/>
      <c r="B295" s="1"/>
      <c r="C295" s="1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  <c r="AB295" s="123"/>
    </row>
    <row r="296" ht="17.25" customHeight="1">
      <c r="A296" s="123"/>
      <c r="B296" s="1"/>
      <c r="C296" s="1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  <c r="AB296" s="123"/>
    </row>
    <row r="297" ht="17.25" customHeight="1">
      <c r="A297" s="123"/>
      <c r="B297" s="1"/>
      <c r="C297" s="1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</row>
    <row r="298" ht="17.25" customHeight="1">
      <c r="A298" s="123"/>
      <c r="B298" s="1"/>
      <c r="C298" s="1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  <c r="AB298" s="123"/>
    </row>
    <row r="299" ht="17.25" customHeight="1">
      <c r="A299" s="123"/>
      <c r="B299" s="1"/>
      <c r="C299" s="1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  <c r="AB299" s="123"/>
    </row>
    <row r="300" ht="17.25" customHeight="1">
      <c r="A300" s="123"/>
      <c r="B300" s="1"/>
      <c r="C300" s="1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</row>
    <row r="301" ht="17.25" customHeight="1">
      <c r="A301" s="123"/>
      <c r="B301" s="1"/>
      <c r="C301" s="1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  <c r="AB301" s="123"/>
    </row>
    <row r="302" ht="17.25" customHeight="1">
      <c r="A302" s="123"/>
      <c r="B302" s="1"/>
      <c r="C302" s="1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  <c r="AB302" s="123"/>
    </row>
    <row r="303" ht="17.25" customHeight="1">
      <c r="A303" s="123"/>
      <c r="B303" s="1"/>
      <c r="C303" s="1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  <c r="AB303" s="123"/>
    </row>
    <row r="304" ht="17.25" customHeight="1">
      <c r="A304" s="123"/>
      <c r="B304" s="1"/>
      <c r="C304" s="1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  <c r="AB304" s="123"/>
    </row>
    <row r="305" ht="17.25" customHeight="1">
      <c r="A305" s="123"/>
      <c r="B305" s="1"/>
      <c r="C305" s="1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  <c r="AB305" s="123"/>
    </row>
    <row r="306" ht="17.25" customHeight="1">
      <c r="A306" s="123"/>
      <c r="B306" s="1"/>
      <c r="C306" s="1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  <c r="AB306" s="123"/>
    </row>
    <row r="307" ht="17.25" customHeight="1">
      <c r="A307" s="123"/>
      <c r="B307" s="1"/>
      <c r="C307" s="1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  <c r="AB307" s="123"/>
    </row>
    <row r="308" ht="17.25" customHeight="1">
      <c r="A308" s="123"/>
      <c r="B308" s="1"/>
      <c r="C308" s="1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</row>
    <row r="309" ht="17.25" customHeight="1">
      <c r="A309" s="123"/>
      <c r="B309" s="1"/>
      <c r="C309" s="1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  <c r="AB309" s="123"/>
    </row>
    <row r="310" ht="17.25" customHeight="1">
      <c r="A310" s="123"/>
      <c r="B310" s="1"/>
      <c r="C310" s="1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  <c r="AB310" s="123"/>
    </row>
    <row r="311" ht="17.25" customHeight="1">
      <c r="A311" s="123"/>
      <c r="B311" s="1"/>
      <c r="C311" s="1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  <c r="AB311" s="123"/>
    </row>
    <row r="312" ht="17.25" customHeight="1">
      <c r="A312" s="123"/>
      <c r="B312" s="1"/>
      <c r="C312" s="1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  <c r="AB312" s="123"/>
    </row>
    <row r="313" ht="17.25" customHeight="1">
      <c r="A313" s="123"/>
      <c r="B313" s="1"/>
      <c r="C313" s="1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  <c r="AB313" s="123"/>
    </row>
    <row r="314" ht="17.25" customHeight="1">
      <c r="A314" s="123"/>
      <c r="B314" s="1"/>
      <c r="C314" s="1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  <c r="AB314" s="123"/>
    </row>
    <row r="315" ht="17.25" customHeight="1">
      <c r="A315" s="123"/>
      <c r="B315" s="1"/>
      <c r="C315" s="1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  <c r="AB315" s="123"/>
    </row>
    <row r="316" ht="17.25" customHeight="1">
      <c r="A316" s="123"/>
      <c r="B316" s="1"/>
      <c r="C316" s="1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  <c r="AB316" s="123"/>
    </row>
    <row r="317" ht="17.25" customHeight="1">
      <c r="A317" s="123"/>
      <c r="B317" s="1"/>
      <c r="C317" s="1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  <c r="AB317" s="123"/>
    </row>
    <row r="318" ht="17.25" customHeight="1">
      <c r="A318" s="123"/>
      <c r="B318" s="1"/>
      <c r="C318" s="1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  <c r="AB318" s="123"/>
    </row>
    <row r="319" ht="17.25" customHeight="1">
      <c r="A319" s="123"/>
      <c r="B319" s="1"/>
      <c r="C319" s="1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  <c r="AB319" s="123"/>
    </row>
    <row r="320" ht="17.25" customHeight="1">
      <c r="A320" s="123"/>
      <c r="B320" s="1"/>
      <c r="C320" s="1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  <c r="AB320" s="123"/>
    </row>
    <row r="321" ht="17.25" customHeight="1">
      <c r="A321" s="123"/>
      <c r="B321" s="1"/>
      <c r="C321" s="1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  <c r="AB321" s="123"/>
    </row>
    <row r="322" ht="17.25" customHeight="1">
      <c r="A322" s="123"/>
      <c r="B322" s="1"/>
      <c r="C322" s="1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  <c r="AB322" s="123"/>
    </row>
    <row r="323" ht="17.25" customHeight="1">
      <c r="A323" s="123"/>
      <c r="B323" s="1"/>
      <c r="C323" s="1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  <c r="AB323" s="123"/>
    </row>
    <row r="324" ht="17.25" customHeight="1">
      <c r="A324" s="123"/>
      <c r="B324" s="1"/>
      <c r="C324" s="1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  <c r="AB324" s="123"/>
    </row>
    <row r="325" ht="17.25" customHeight="1">
      <c r="A325" s="123"/>
      <c r="B325" s="1"/>
      <c r="C325" s="1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  <c r="AB325" s="123"/>
    </row>
    <row r="326" ht="17.25" customHeight="1">
      <c r="A326" s="123"/>
      <c r="B326" s="1"/>
      <c r="C326" s="1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  <c r="AB326" s="123"/>
    </row>
    <row r="327" ht="17.25" customHeight="1">
      <c r="A327" s="123"/>
      <c r="B327" s="1"/>
      <c r="C327" s="1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  <c r="AB327" s="123"/>
    </row>
    <row r="328" ht="17.25" customHeight="1">
      <c r="A328" s="123"/>
      <c r="B328" s="1"/>
      <c r="C328" s="1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  <c r="AB328" s="123"/>
    </row>
    <row r="329" ht="17.25" customHeight="1">
      <c r="A329" s="123"/>
      <c r="B329" s="1"/>
      <c r="C329" s="1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  <c r="AB329" s="123"/>
    </row>
    <row r="330" ht="17.25" customHeight="1">
      <c r="A330" s="123"/>
      <c r="B330" s="1"/>
      <c r="C330" s="1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  <c r="AB330" s="123"/>
    </row>
    <row r="331" ht="17.25" customHeight="1">
      <c r="A331" s="123"/>
      <c r="B331" s="1"/>
      <c r="C331" s="1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  <c r="AB331" s="123"/>
    </row>
    <row r="332" ht="17.25" customHeight="1">
      <c r="A332" s="123"/>
      <c r="B332" s="1"/>
      <c r="C332" s="1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  <c r="AB332" s="123"/>
    </row>
    <row r="333" ht="17.25" customHeight="1">
      <c r="A333" s="123"/>
      <c r="B333" s="1"/>
      <c r="C333" s="1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  <c r="AB333" s="123"/>
    </row>
    <row r="334" ht="17.25" customHeight="1">
      <c r="A334" s="123"/>
      <c r="B334" s="1"/>
      <c r="C334" s="1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  <c r="AB334" s="123"/>
    </row>
    <row r="335" ht="17.25" customHeight="1">
      <c r="A335" s="123"/>
      <c r="B335" s="1"/>
      <c r="C335" s="1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  <c r="AB335" s="123"/>
    </row>
    <row r="336" ht="17.25" customHeight="1">
      <c r="A336" s="123"/>
      <c r="B336" s="1"/>
      <c r="C336" s="1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  <c r="AB336" s="123"/>
    </row>
    <row r="337" ht="17.25" customHeight="1">
      <c r="A337" s="123"/>
      <c r="B337" s="1"/>
      <c r="C337" s="1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  <c r="AB337" s="123"/>
    </row>
    <row r="338" ht="17.25" customHeight="1">
      <c r="A338" s="123"/>
      <c r="B338" s="1"/>
      <c r="C338" s="1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  <c r="AB338" s="123"/>
    </row>
    <row r="339" ht="17.25" customHeight="1">
      <c r="A339" s="123"/>
      <c r="B339" s="1"/>
      <c r="C339" s="1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  <c r="AB339" s="123"/>
    </row>
    <row r="340" ht="17.25" customHeight="1">
      <c r="A340" s="123"/>
      <c r="B340" s="1"/>
      <c r="C340" s="1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  <c r="AB340" s="123"/>
    </row>
    <row r="341" ht="17.25" customHeight="1">
      <c r="A341" s="123"/>
      <c r="B341" s="1"/>
      <c r="C341" s="1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  <c r="AB341" s="123"/>
    </row>
    <row r="342" ht="17.25" customHeight="1">
      <c r="A342" s="123"/>
      <c r="B342" s="1"/>
      <c r="C342" s="1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  <c r="AB342" s="123"/>
    </row>
    <row r="343" ht="17.25" customHeight="1">
      <c r="A343" s="123"/>
      <c r="B343" s="1"/>
      <c r="C343" s="1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  <c r="AB343" s="123"/>
    </row>
    <row r="344" ht="17.25" customHeight="1">
      <c r="A344" s="123"/>
      <c r="B344" s="1"/>
      <c r="C344" s="1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  <c r="AB344" s="123"/>
    </row>
    <row r="345" ht="17.25" customHeight="1">
      <c r="A345" s="123"/>
      <c r="B345" s="1"/>
      <c r="C345" s="1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  <c r="AB345" s="123"/>
    </row>
    <row r="346" ht="17.25" customHeight="1">
      <c r="A346" s="123"/>
      <c r="B346" s="1"/>
      <c r="C346" s="1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  <c r="AB346" s="123"/>
    </row>
    <row r="347" ht="17.25" customHeight="1">
      <c r="A347" s="123"/>
      <c r="B347" s="1"/>
      <c r="C347" s="1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  <c r="AB347" s="123"/>
    </row>
    <row r="348" ht="17.25" customHeight="1">
      <c r="A348" s="123"/>
      <c r="B348" s="1"/>
      <c r="C348" s="1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  <c r="AB348" s="123"/>
    </row>
    <row r="349" ht="17.25" customHeight="1">
      <c r="A349" s="123"/>
      <c r="B349" s="1"/>
      <c r="C349" s="1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  <c r="AB349" s="123"/>
    </row>
    <row r="350" ht="17.25" customHeight="1">
      <c r="A350" s="123"/>
      <c r="B350" s="1"/>
      <c r="C350" s="1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  <c r="AB350" s="123"/>
    </row>
    <row r="351" ht="17.25" customHeight="1">
      <c r="A351" s="123"/>
      <c r="B351" s="1"/>
      <c r="C351" s="1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  <c r="AB351" s="123"/>
    </row>
    <row r="352" ht="17.25" customHeight="1">
      <c r="A352" s="123"/>
      <c r="B352" s="1"/>
      <c r="C352" s="1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  <c r="AB352" s="123"/>
    </row>
    <row r="353" ht="17.25" customHeight="1">
      <c r="A353" s="123"/>
      <c r="B353" s="1"/>
      <c r="C353" s="1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  <c r="AB353" s="123"/>
    </row>
    <row r="354" ht="17.25" customHeight="1">
      <c r="A354" s="123"/>
      <c r="B354" s="1"/>
      <c r="C354" s="1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  <c r="AB354" s="123"/>
    </row>
    <row r="355" ht="17.25" customHeight="1">
      <c r="A355" s="123"/>
      <c r="B355" s="1"/>
      <c r="C355" s="1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  <c r="AB355" s="123"/>
    </row>
    <row r="356" ht="17.25" customHeight="1">
      <c r="A356" s="123"/>
      <c r="B356" s="1"/>
      <c r="C356" s="1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  <c r="AB356" s="123"/>
    </row>
    <row r="357" ht="17.25" customHeight="1">
      <c r="A357" s="123"/>
      <c r="B357" s="1"/>
      <c r="C357" s="1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  <c r="AB357" s="123"/>
    </row>
    <row r="358" ht="17.25" customHeight="1">
      <c r="A358" s="123"/>
      <c r="B358" s="1"/>
      <c r="C358" s="1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  <c r="AB358" s="123"/>
    </row>
    <row r="359" ht="17.25" customHeight="1">
      <c r="A359" s="123"/>
      <c r="B359" s="1"/>
      <c r="C359" s="1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  <c r="AB359" s="123"/>
    </row>
    <row r="360" ht="17.25" customHeight="1">
      <c r="A360" s="123"/>
      <c r="B360" s="1"/>
      <c r="C360" s="1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  <c r="AB360" s="123"/>
    </row>
    <row r="361" ht="17.25" customHeight="1">
      <c r="A361" s="123"/>
      <c r="B361" s="1"/>
      <c r="C361" s="1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  <c r="AB361" s="123"/>
    </row>
    <row r="362" ht="17.25" customHeight="1">
      <c r="A362" s="123"/>
      <c r="B362" s="1"/>
      <c r="C362" s="1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  <c r="AB362" s="123"/>
    </row>
    <row r="363" ht="17.25" customHeight="1">
      <c r="A363" s="123"/>
      <c r="B363" s="1"/>
      <c r="C363" s="1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  <c r="AB363" s="123"/>
    </row>
    <row r="364" ht="17.25" customHeight="1">
      <c r="A364" s="123"/>
      <c r="B364" s="1"/>
      <c r="C364" s="1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  <c r="AB364" s="123"/>
    </row>
    <row r="365" ht="17.25" customHeight="1">
      <c r="A365" s="123"/>
      <c r="B365" s="1"/>
      <c r="C365" s="1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  <c r="AB365" s="123"/>
    </row>
    <row r="366" ht="17.25" customHeight="1">
      <c r="A366" s="123"/>
      <c r="B366" s="1"/>
      <c r="C366" s="1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  <c r="AB366" s="123"/>
    </row>
    <row r="367" ht="17.25" customHeight="1">
      <c r="A367" s="123"/>
      <c r="B367" s="1"/>
      <c r="C367" s="1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  <c r="AB367" s="123"/>
    </row>
    <row r="368" ht="17.25" customHeight="1">
      <c r="A368" s="123"/>
      <c r="B368" s="1"/>
      <c r="C368" s="1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  <c r="AB368" s="123"/>
    </row>
    <row r="369" ht="17.25" customHeight="1">
      <c r="A369" s="123"/>
      <c r="B369" s="1"/>
      <c r="C369" s="1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  <c r="AB369" s="123"/>
    </row>
    <row r="370" ht="17.25" customHeight="1">
      <c r="A370" s="123"/>
      <c r="B370" s="1"/>
      <c r="C370" s="1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  <c r="AB370" s="123"/>
    </row>
    <row r="371" ht="17.25" customHeight="1">
      <c r="A371" s="123"/>
      <c r="B371" s="1"/>
      <c r="C371" s="1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  <c r="AB371" s="123"/>
    </row>
    <row r="372" ht="17.25" customHeight="1">
      <c r="A372" s="123"/>
      <c r="B372" s="1"/>
      <c r="C372" s="1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  <c r="AB372" s="123"/>
    </row>
    <row r="373" ht="17.25" customHeight="1">
      <c r="A373" s="123"/>
      <c r="B373" s="1"/>
      <c r="C373" s="1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  <c r="AB373" s="123"/>
    </row>
    <row r="374" ht="17.25" customHeight="1">
      <c r="A374" s="123"/>
      <c r="B374" s="1"/>
      <c r="C374" s="1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  <c r="AB374" s="123"/>
    </row>
    <row r="375" ht="17.25" customHeight="1">
      <c r="A375" s="123"/>
      <c r="B375" s="1"/>
      <c r="C375" s="1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  <c r="AB375" s="123"/>
    </row>
    <row r="376" ht="17.25" customHeight="1">
      <c r="A376" s="123"/>
      <c r="B376" s="1"/>
      <c r="C376" s="1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  <c r="AB376" s="123"/>
    </row>
    <row r="377" ht="17.25" customHeight="1">
      <c r="A377" s="123"/>
      <c r="B377" s="1"/>
      <c r="C377" s="1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  <c r="AB377" s="123"/>
    </row>
    <row r="378" ht="17.25" customHeight="1">
      <c r="A378" s="123"/>
      <c r="B378" s="1"/>
      <c r="C378" s="1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  <c r="AB378" s="123"/>
    </row>
    <row r="379" ht="17.25" customHeight="1">
      <c r="A379" s="123"/>
      <c r="B379" s="1"/>
      <c r="C379" s="1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  <c r="AB379" s="123"/>
    </row>
    <row r="380" ht="17.25" customHeight="1">
      <c r="A380" s="123"/>
      <c r="B380" s="1"/>
      <c r="C380" s="1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  <c r="AB380" s="123"/>
    </row>
    <row r="381" ht="17.25" customHeight="1">
      <c r="A381" s="123"/>
      <c r="B381" s="1"/>
      <c r="C381" s="1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  <c r="AB381" s="123"/>
    </row>
    <row r="382" ht="17.25" customHeight="1">
      <c r="A382" s="123"/>
      <c r="B382" s="1"/>
      <c r="C382" s="1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  <c r="AB382" s="123"/>
    </row>
    <row r="383" ht="17.25" customHeight="1">
      <c r="A383" s="123"/>
      <c r="B383" s="1"/>
      <c r="C383" s="1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  <c r="AB383" s="123"/>
    </row>
    <row r="384" ht="17.25" customHeight="1">
      <c r="A384" s="123"/>
      <c r="B384" s="1"/>
      <c r="C384" s="1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  <c r="AB384" s="123"/>
    </row>
    <row r="385" ht="17.25" customHeight="1">
      <c r="A385" s="123"/>
      <c r="B385" s="1"/>
      <c r="C385" s="1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  <c r="AB385" s="123"/>
    </row>
    <row r="386" ht="17.25" customHeight="1">
      <c r="A386" s="123"/>
      <c r="B386" s="1"/>
      <c r="C386" s="1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  <c r="AB386" s="123"/>
    </row>
    <row r="387" ht="17.25" customHeight="1">
      <c r="A387" s="123"/>
      <c r="B387" s="1"/>
      <c r="C387" s="1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  <c r="AB387" s="123"/>
    </row>
    <row r="388" ht="17.25" customHeight="1">
      <c r="A388" s="123"/>
      <c r="B388" s="1"/>
      <c r="C388" s="1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  <c r="AB388" s="123"/>
    </row>
    <row r="389" ht="17.25" customHeight="1">
      <c r="A389" s="123"/>
      <c r="B389" s="1"/>
      <c r="C389" s="1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  <c r="AB389" s="123"/>
    </row>
    <row r="390" ht="17.25" customHeight="1">
      <c r="A390" s="123"/>
      <c r="B390" s="1"/>
      <c r="C390" s="1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  <c r="AB390" s="123"/>
    </row>
    <row r="391" ht="17.25" customHeight="1">
      <c r="A391" s="123"/>
      <c r="B391" s="1"/>
      <c r="C391" s="1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  <c r="AB391" s="123"/>
    </row>
    <row r="392" ht="17.25" customHeight="1">
      <c r="A392" s="123"/>
      <c r="B392" s="1"/>
      <c r="C392" s="1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  <c r="AB392" s="123"/>
    </row>
    <row r="393" ht="17.25" customHeight="1">
      <c r="A393" s="123"/>
      <c r="B393" s="1"/>
      <c r="C393" s="1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  <c r="AB393" s="123"/>
    </row>
    <row r="394" ht="17.25" customHeight="1">
      <c r="A394" s="123"/>
      <c r="B394" s="1"/>
      <c r="C394" s="1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  <c r="AB394" s="123"/>
    </row>
    <row r="395" ht="17.25" customHeight="1">
      <c r="A395" s="123"/>
      <c r="B395" s="1"/>
      <c r="C395" s="1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  <c r="AB395" s="123"/>
    </row>
    <row r="396" ht="17.25" customHeight="1">
      <c r="A396" s="123"/>
      <c r="B396" s="1"/>
      <c r="C396" s="1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  <c r="AB396" s="123"/>
    </row>
    <row r="397" ht="17.25" customHeight="1">
      <c r="A397" s="123"/>
      <c r="B397" s="1"/>
      <c r="C397" s="1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  <c r="AB397" s="123"/>
    </row>
    <row r="398" ht="17.25" customHeight="1">
      <c r="A398" s="123"/>
      <c r="B398" s="1"/>
      <c r="C398" s="1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  <c r="AB398" s="123"/>
    </row>
    <row r="399" ht="17.25" customHeight="1">
      <c r="A399" s="123"/>
      <c r="B399" s="1"/>
      <c r="C399" s="1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  <c r="AB399" s="123"/>
    </row>
    <row r="400" ht="17.25" customHeight="1">
      <c r="A400" s="123"/>
      <c r="B400" s="1"/>
      <c r="C400" s="1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  <c r="AB400" s="123"/>
    </row>
    <row r="401" ht="17.25" customHeight="1">
      <c r="A401" s="123"/>
      <c r="B401" s="1"/>
      <c r="C401" s="1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  <c r="AB401" s="123"/>
    </row>
    <row r="402" ht="17.25" customHeight="1">
      <c r="A402" s="123"/>
      <c r="B402" s="1"/>
      <c r="C402" s="1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  <c r="AB402" s="123"/>
    </row>
    <row r="403" ht="17.25" customHeight="1">
      <c r="A403" s="123"/>
      <c r="B403" s="1"/>
      <c r="C403" s="1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  <c r="AB403" s="123"/>
    </row>
    <row r="404" ht="17.25" customHeight="1">
      <c r="A404" s="123"/>
      <c r="B404" s="1"/>
      <c r="C404" s="1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  <c r="AB404" s="123"/>
    </row>
    <row r="405" ht="17.25" customHeight="1">
      <c r="A405" s="123"/>
      <c r="B405" s="1"/>
      <c r="C405" s="1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  <c r="AB405" s="123"/>
    </row>
    <row r="406" ht="17.25" customHeight="1">
      <c r="A406" s="123"/>
      <c r="B406" s="1"/>
      <c r="C406" s="1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  <c r="AB406" s="123"/>
    </row>
    <row r="407" ht="17.25" customHeight="1">
      <c r="A407" s="123"/>
      <c r="B407" s="1"/>
      <c r="C407" s="1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  <c r="AB407" s="123"/>
    </row>
    <row r="408" ht="17.25" customHeight="1">
      <c r="A408" s="123"/>
      <c r="B408" s="1"/>
      <c r="C408" s="1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  <c r="AB408" s="123"/>
    </row>
    <row r="409" ht="17.25" customHeight="1">
      <c r="A409" s="123"/>
      <c r="B409" s="1"/>
      <c r="C409" s="1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  <c r="AB409" s="123"/>
    </row>
    <row r="410" ht="17.25" customHeight="1">
      <c r="A410" s="123"/>
      <c r="B410" s="1"/>
      <c r="C410" s="1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  <c r="AB410" s="123"/>
    </row>
    <row r="411" ht="17.25" customHeight="1">
      <c r="A411" s="123"/>
      <c r="B411" s="1"/>
      <c r="C411" s="1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  <c r="AB411" s="123"/>
    </row>
    <row r="412" ht="17.25" customHeight="1">
      <c r="A412" s="123"/>
      <c r="B412" s="1"/>
      <c r="C412" s="1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  <c r="AB412" s="123"/>
    </row>
    <row r="413" ht="17.25" customHeight="1">
      <c r="A413" s="123"/>
      <c r="B413" s="1"/>
      <c r="C413" s="1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  <c r="AB413" s="123"/>
    </row>
    <row r="414" ht="17.25" customHeight="1">
      <c r="A414" s="123"/>
      <c r="B414" s="1"/>
      <c r="C414" s="1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  <c r="AB414" s="123"/>
    </row>
    <row r="415" ht="17.25" customHeight="1">
      <c r="A415" s="123"/>
      <c r="B415" s="1"/>
      <c r="C415" s="1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  <c r="AB415" s="123"/>
    </row>
    <row r="416" ht="17.25" customHeight="1">
      <c r="A416" s="123"/>
      <c r="B416" s="1"/>
      <c r="C416" s="1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  <c r="AB416" s="123"/>
    </row>
    <row r="417" ht="17.25" customHeight="1">
      <c r="A417" s="123"/>
      <c r="B417" s="1"/>
      <c r="C417" s="1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  <c r="AB417" s="123"/>
    </row>
    <row r="418" ht="17.25" customHeight="1">
      <c r="A418" s="123"/>
      <c r="B418" s="1"/>
      <c r="C418" s="1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  <c r="AB418" s="123"/>
    </row>
    <row r="419" ht="17.25" customHeight="1">
      <c r="A419" s="123"/>
      <c r="B419" s="1"/>
      <c r="C419" s="1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  <c r="AB419" s="123"/>
    </row>
    <row r="420" ht="17.25" customHeight="1">
      <c r="A420" s="123"/>
      <c r="B420" s="1"/>
      <c r="C420" s="1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  <c r="AB420" s="123"/>
    </row>
    <row r="421" ht="17.25" customHeight="1">
      <c r="A421" s="123"/>
      <c r="B421" s="1"/>
      <c r="C421" s="1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  <c r="AB421" s="123"/>
    </row>
    <row r="422" ht="17.25" customHeight="1">
      <c r="A422" s="123"/>
      <c r="B422" s="1"/>
      <c r="C422" s="1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  <c r="AB422" s="123"/>
    </row>
    <row r="423" ht="17.25" customHeight="1">
      <c r="A423" s="123"/>
      <c r="B423" s="1"/>
      <c r="C423" s="1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  <c r="AB423" s="123"/>
    </row>
    <row r="424" ht="17.25" customHeight="1">
      <c r="A424" s="123"/>
      <c r="B424" s="1"/>
      <c r="C424" s="1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  <c r="AB424" s="123"/>
    </row>
    <row r="425" ht="17.25" customHeight="1">
      <c r="A425" s="123"/>
      <c r="B425" s="1"/>
      <c r="C425" s="1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  <c r="AB425" s="123"/>
    </row>
    <row r="426" ht="17.25" customHeight="1">
      <c r="A426" s="123"/>
      <c r="B426" s="1"/>
      <c r="C426" s="1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  <c r="AB426" s="123"/>
    </row>
    <row r="427" ht="17.25" customHeight="1">
      <c r="A427" s="123"/>
      <c r="B427" s="1"/>
      <c r="C427" s="1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  <c r="AB427" s="123"/>
    </row>
    <row r="428" ht="17.25" customHeight="1">
      <c r="A428" s="123"/>
      <c r="B428" s="1"/>
      <c r="C428" s="1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  <c r="AB428" s="123"/>
    </row>
    <row r="429" ht="17.25" customHeight="1">
      <c r="A429" s="123"/>
      <c r="B429" s="1"/>
      <c r="C429" s="1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  <c r="AB429" s="123"/>
    </row>
    <row r="430" ht="17.25" customHeight="1">
      <c r="A430" s="123"/>
      <c r="B430" s="1"/>
      <c r="C430" s="1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  <c r="AB430" s="123"/>
    </row>
    <row r="431" ht="17.25" customHeight="1">
      <c r="A431" s="123"/>
      <c r="B431" s="1"/>
      <c r="C431" s="1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  <c r="AB431" s="123"/>
    </row>
    <row r="432" ht="17.25" customHeight="1">
      <c r="A432" s="123"/>
      <c r="B432" s="1"/>
      <c r="C432" s="1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  <c r="AB432" s="123"/>
    </row>
    <row r="433" ht="17.25" customHeight="1">
      <c r="A433" s="123"/>
      <c r="B433" s="1"/>
      <c r="C433" s="1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  <c r="AB433" s="123"/>
    </row>
    <row r="434" ht="17.25" customHeight="1">
      <c r="A434" s="123"/>
      <c r="B434" s="1"/>
      <c r="C434" s="1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  <c r="AB434" s="123"/>
    </row>
    <row r="435" ht="17.25" customHeight="1">
      <c r="A435" s="123"/>
      <c r="B435" s="1"/>
      <c r="C435" s="1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  <c r="AB435" s="123"/>
    </row>
    <row r="436" ht="17.25" customHeight="1">
      <c r="A436" s="123"/>
      <c r="B436" s="1"/>
      <c r="C436" s="1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  <c r="AB436" s="123"/>
    </row>
    <row r="437" ht="17.25" customHeight="1">
      <c r="A437" s="123"/>
      <c r="B437" s="1"/>
      <c r="C437" s="1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  <c r="AB437" s="123"/>
    </row>
    <row r="438" ht="17.25" customHeight="1">
      <c r="A438" s="123"/>
      <c r="B438" s="1"/>
      <c r="C438" s="1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  <c r="AB438" s="123"/>
    </row>
    <row r="439" ht="17.25" customHeight="1">
      <c r="A439" s="123"/>
      <c r="B439" s="1"/>
      <c r="C439" s="1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  <c r="AB439" s="123"/>
    </row>
    <row r="440" ht="17.25" customHeight="1">
      <c r="A440" s="123"/>
      <c r="B440" s="1"/>
      <c r="C440" s="1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  <c r="AB440" s="123"/>
    </row>
    <row r="441" ht="17.25" customHeight="1">
      <c r="A441" s="123"/>
      <c r="B441" s="1"/>
      <c r="C441" s="1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  <c r="AB441" s="123"/>
    </row>
    <row r="442" ht="17.25" customHeight="1">
      <c r="A442" s="123"/>
      <c r="B442" s="1"/>
      <c r="C442" s="1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  <c r="AB442" s="123"/>
    </row>
    <row r="443" ht="17.25" customHeight="1">
      <c r="A443" s="123"/>
      <c r="B443" s="1"/>
      <c r="C443" s="1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  <c r="AB443" s="123"/>
    </row>
    <row r="444" ht="17.25" customHeight="1">
      <c r="A444" s="123"/>
      <c r="B444" s="1"/>
      <c r="C444" s="1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  <c r="AB444" s="123"/>
    </row>
    <row r="445" ht="17.25" customHeight="1">
      <c r="A445" s="123"/>
      <c r="B445" s="1"/>
      <c r="C445" s="1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  <c r="AB445" s="123"/>
    </row>
    <row r="446" ht="17.25" customHeight="1">
      <c r="A446" s="123"/>
      <c r="B446" s="1"/>
      <c r="C446" s="1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  <c r="AB446" s="123"/>
    </row>
    <row r="447" ht="17.25" customHeight="1">
      <c r="A447" s="123"/>
      <c r="B447" s="1"/>
      <c r="C447" s="1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  <c r="AB447" s="123"/>
    </row>
    <row r="448" ht="17.25" customHeight="1">
      <c r="A448" s="123"/>
      <c r="B448" s="1"/>
      <c r="C448" s="1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  <c r="AB448" s="123"/>
    </row>
    <row r="449" ht="17.25" customHeight="1">
      <c r="A449" s="123"/>
      <c r="B449" s="1"/>
      <c r="C449" s="1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  <c r="AB449" s="123"/>
    </row>
    <row r="450" ht="17.25" customHeight="1">
      <c r="A450" s="123"/>
      <c r="B450" s="1"/>
      <c r="C450" s="1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  <c r="AB450" s="123"/>
    </row>
    <row r="451" ht="17.25" customHeight="1">
      <c r="A451" s="123"/>
      <c r="B451" s="1"/>
      <c r="C451" s="1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  <c r="AB451" s="123"/>
    </row>
    <row r="452" ht="17.25" customHeight="1">
      <c r="A452" s="123"/>
      <c r="B452" s="1"/>
      <c r="C452" s="1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  <c r="AB452" s="123"/>
    </row>
    <row r="453" ht="17.25" customHeight="1">
      <c r="A453" s="123"/>
      <c r="B453" s="1"/>
      <c r="C453" s="1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  <c r="AB453" s="123"/>
    </row>
    <row r="454" ht="17.25" customHeight="1">
      <c r="A454" s="123"/>
      <c r="B454" s="1"/>
      <c r="C454" s="1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  <c r="AB454" s="123"/>
    </row>
    <row r="455" ht="17.25" customHeight="1">
      <c r="A455" s="123"/>
      <c r="B455" s="1"/>
      <c r="C455" s="1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  <c r="AB455" s="123"/>
    </row>
    <row r="456" ht="17.25" customHeight="1">
      <c r="A456" s="123"/>
      <c r="B456" s="1"/>
      <c r="C456" s="1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  <c r="AB456" s="123"/>
    </row>
    <row r="457" ht="17.25" customHeight="1">
      <c r="A457" s="123"/>
      <c r="B457" s="1"/>
      <c r="C457" s="1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  <c r="AB457" s="123"/>
    </row>
    <row r="458" ht="17.25" customHeight="1">
      <c r="A458" s="123"/>
      <c r="B458" s="1"/>
      <c r="C458" s="1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  <c r="AB458" s="123"/>
    </row>
    <row r="459" ht="17.25" customHeight="1">
      <c r="A459" s="123"/>
      <c r="B459" s="1"/>
      <c r="C459" s="1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  <c r="AB459" s="123"/>
    </row>
    <row r="460" ht="17.25" customHeight="1">
      <c r="A460" s="123"/>
      <c r="B460" s="1"/>
      <c r="C460" s="1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  <c r="AB460" s="123"/>
    </row>
    <row r="461" ht="17.25" customHeight="1">
      <c r="A461" s="123"/>
      <c r="B461" s="1"/>
      <c r="C461" s="1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  <c r="AB461" s="123"/>
    </row>
    <row r="462" ht="17.25" customHeight="1">
      <c r="A462" s="123"/>
      <c r="B462" s="1"/>
      <c r="C462" s="1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  <c r="AB462" s="123"/>
    </row>
    <row r="463" ht="17.25" customHeight="1">
      <c r="A463" s="123"/>
      <c r="B463" s="1"/>
      <c r="C463" s="1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  <c r="AB463" s="123"/>
    </row>
    <row r="464" ht="17.25" customHeight="1">
      <c r="A464" s="123"/>
      <c r="B464" s="1"/>
      <c r="C464" s="1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  <c r="AB464" s="123"/>
    </row>
    <row r="465" ht="17.25" customHeight="1">
      <c r="A465" s="123"/>
      <c r="B465" s="1"/>
      <c r="C465" s="1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  <c r="AB465" s="123"/>
    </row>
    <row r="466" ht="17.25" customHeight="1">
      <c r="A466" s="123"/>
      <c r="B466" s="1"/>
      <c r="C466" s="1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  <c r="AB466" s="123"/>
    </row>
    <row r="467" ht="17.25" customHeight="1">
      <c r="A467" s="123"/>
      <c r="B467" s="1"/>
      <c r="C467" s="1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  <c r="AB467" s="123"/>
    </row>
    <row r="468" ht="17.25" customHeight="1">
      <c r="A468" s="123"/>
      <c r="B468" s="1"/>
      <c r="C468" s="1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  <c r="AB468" s="123"/>
    </row>
    <row r="469" ht="17.25" customHeight="1">
      <c r="A469" s="123"/>
      <c r="B469" s="1"/>
      <c r="C469" s="1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  <c r="AB469" s="123"/>
    </row>
    <row r="470" ht="17.25" customHeight="1">
      <c r="A470" s="123"/>
      <c r="B470" s="1"/>
      <c r="C470" s="1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  <c r="AB470" s="123"/>
    </row>
    <row r="471" ht="17.25" customHeight="1">
      <c r="A471" s="123"/>
      <c r="B471" s="1"/>
      <c r="C471" s="1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  <c r="AB471" s="123"/>
    </row>
    <row r="472" ht="17.25" customHeight="1">
      <c r="A472" s="123"/>
      <c r="B472" s="1"/>
      <c r="C472" s="1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  <c r="AB472" s="123"/>
    </row>
    <row r="473" ht="17.25" customHeight="1">
      <c r="A473" s="123"/>
      <c r="B473" s="1"/>
      <c r="C473" s="1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  <c r="AB473" s="123"/>
    </row>
    <row r="474" ht="17.25" customHeight="1">
      <c r="A474" s="123"/>
      <c r="B474" s="1"/>
      <c r="C474" s="1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  <c r="AB474" s="123"/>
    </row>
    <row r="475" ht="17.25" customHeight="1">
      <c r="A475" s="123"/>
      <c r="B475" s="1"/>
      <c r="C475" s="1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  <c r="AB475" s="123"/>
    </row>
    <row r="476" ht="17.25" customHeight="1">
      <c r="A476" s="123"/>
      <c r="B476" s="1"/>
      <c r="C476" s="1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  <c r="AB476" s="123"/>
    </row>
    <row r="477" ht="17.25" customHeight="1">
      <c r="A477" s="123"/>
      <c r="B477" s="1"/>
      <c r="C477" s="1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  <c r="AB477" s="123"/>
    </row>
    <row r="478" ht="17.25" customHeight="1">
      <c r="A478" s="123"/>
      <c r="B478" s="1"/>
      <c r="C478" s="1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  <c r="AB478" s="123"/>
    </row>
    <row r="479" ht="17.25" customHeight="1">
      <c r="A479" s="123"/>
      <c r="B479" s="1"/>
      <c r="C479" s="1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  <c r="AB479" s="123"/>
    </row>
    <row r="480" ht="17.25" customHeight="1">
      <c r="A480" s="123"/>
      <c r="B480" s="1"/>
      <c r="C480" s="1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  <c r="AB480" s="123"/>
    </row>
    <row r="481" ht="17.25" customHeight="1">
      <c r="A481" s="123"/>
      <c r="B481" s="1"/>
      <c r="C481" s="1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  <c r="AB481" s="123"/>
    </row>
    <row r="482" ht="17.25" customHeight="1">
      <c r="A482" s="123"/>
      <c r="B482" s="1"/>
      <c r="C482" s="1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  <c r="AB482" s="123"/>
    </row>
    <row r="483" ht="17.25" customHeight="1">
      <c r="A483" s="123"/>
      <c r="B483" s="1"/>
      <c r="C483" s="1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  <c r="AB483" s="123"/>
    </row>
    <row r="484" ht="17.25" customHeight="1">
      <c r="A484" s="123"/>
      <c r="B484" s="1"/>
      <c r="C484" s="1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  <c r="AB484" s="123"/>
    </row>
    <row r="485" ht="17.25" customHeight="1">
      <c r="A485" s="123"/>
      <c r="B485" s="1"/>
      <c r="C485" s="1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  <c r="AB485" s="123"/>
    </row>
    <row r="486" ht="17.25" customHeight="1">
      <c r="A486" s="123"/>
      <c r="B486" s="1"/>
      <c r="C486" s="1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  <c r="AB486" s="123"/>
    </row>
    <row r="487" ht="17.25" customHeight="1">
      <c r="A487" s="123"/>
      <c r="B487" s="1"/>
      <c r="C487" s="1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  <c r="AB487" s="123"/>
    </row>
    <row r="488" ht="17.25" customHeight="1">
      <c r="A488" s="123"/>
      <c r="B488" s="1"/>
      <c r="C488" s="1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  <c r="AB488" s="123"/>
    </row>
    <row r="489" ht="17.25" customHeight="1">
      <c r="A489" s="123"/>
      <c r="B489" s="1"/>
      <c r="C489" s="1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  <c r="AB489" s="123"/>
    </row>
    <row r="490" ht="17.25" customHeight="1">
      <c r="A490" s="123"/>
      <c r="B490" s="1"/>
      <c r="C490" s="1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  <c r="AB490" s="123"/>
    </row>
    <row r="491" ht="17.25" customHeight="1">
      <c r="A491" s="123"/>
      <c r="B491" s="1"/>
      <c r="C491" s="1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  <c r="AB491" s="123"/>
    </row>
    <row r="492" ht="17.25" customHeight="1">
      <c r="A492" s="123"/>
      <c r="B492" s="1"/>
      <c r="C492" s="1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  <c r="AB492" s="123"/>
    </row>
    <row r="493" ht="17.25" customHeight="1">
      <c r="A493" s="123"/>
      <c r="B493" s="1"/>
      <c r="C493" s="1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  <c r="AB493" s="123"/>
    </row>
    <row r="494" ht="17.25" customHeight="1">
      <c r="A494" s="123"/>
      <c r="B494" s="1"/>
      <c r="C494" s="1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  <c r="AB494" s="123"/>
    </row>
    <row r="495" ht="17.25" customHeight="1">
      <c r="A495" s="123"/>
      <c r="B495" s="1"/>
      <c r="C495" s="1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  <c r="AB495" s="123"/>
    </row>
    <row r="496" ht="17.25" customHeight="1">
      <c r="A496" s="123"/>
      <c r="B496" s="1"/>
      <c r="C496" s="1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  <c r="AB496" s="123"/>
    </row>
    <row r="497" ht="17.25" customHeight="1">
      <c r="A497" s="123"/>
      <c r="B497" s="1"/>
      <c r="C497" s="1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  <c r="AB497" s="123"/>
    </row>
    <row r="498" ht="17.25" customHeight="1">
      <c r="A498" s="123"/>
      <c r="B498" s="1"/>
      <c r="C498" s="1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  <c r="AB498" s="123"/>
    </row>
    <row r="499" ht="17.25" customHeight="1">
      <c r="A499" s="123"/>
      <c r="B499" s="1"/>
      <c r="C499" s="1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  <c r="AB499" s="123"/>
    </row>
    <row r="500" ht="17.25" customHeight="1">
      <c r="A500" s="123"/>
      <c r="B500" s="1"/>
      <c r="C500" s="1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  <c r="AB500" s="123"/>
    </row>
    <row r="501" ht="17.25" customHeight="1">
      <c r="A501" s="123"/>
      <c r="B501" s="1"/>
      <c r="C501" s="1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  <c r="AB501" s="123"/>
    </row>
    <row r="502" ht="17.25" customHeight="1">
      <c r="A502" s="123"/>
      <c r="B502" s="1"/>
      <c r="C502" s="1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  <c r="AB502" s="123"/>
    </row>
    <row r="503" ht="17.25" customHeight="1">
      <c r="A503" s="123"/>
      <c r="B503" s="1"/>
      <c r="C503" s="1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  <c r="AB503" s="123"/>
    </row>
    <row r="504" ht="17.25" customHeight="1">
      <c r="A504" s="123"/>
      <c r="B504" s="1"/>
      <c r="C504" s="1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  <c r="AB504" s="123"/>
    </row>
    <row r="505" ht="17.25" customHeight="1">
      <c r="A505" s="123"/>
      <c r="B505" s="1"/>
      <c r="C505" s="1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  <c r="AB505" s="123"/>
    </row>
    <row r="506" ht="17.25" customHeight="1">
      <c r="A506" s="123"/>
      <c r="B506" s="1"/>
      <c r="C506" s="1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  <c r="AB506" s="123"/>
    </row>
    <row r="507" ht="17.25" customHeight="1">
      <c r="A507" s="123"/>
      <c r="B507" s="1"/>
      <c r="C507" s="1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  <c r="AB507" s="123"/>
    </row>
    <row r="508" ht="17.25" customHeight="1">
      <c r="A508" s="123"/>
      <c r="B508" s="1"/>
      <c r="C508" s="1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  <c r="AB508" s="123"/>
    </row>
    <row r="509" ht="17.25" customHeight="1">
      <c r="A509" s="123"/>
      <c r="B509" s="1"/>
      <c r="C509" s="1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  <c r="AB509" s="123"/>
    </row>
    <row r="510" ht="17.25" customHeight="1">
      <c r="A510" s="123"/>
      <c r="B510" s="1"/>
      <c r="C510" s="1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  <c r="AB510" s="123"/>
    </row>
    <row r="511" ht="17.25" customHeight="1">
      <c r="A511" s="123"/>
      <c r="B511" s="1"/>
      <c r="C511" s="1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  <c r="AB511" s="123"/>
    </row>
    <row r="512" ht="17.25" customHeight="1">
      <c r="A512" s="123"/>
      <c r="B512" s="1"/>
      <c r="C512" s="1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  <c r="AB512" s="123"/>
    </row>
    <row r="513" ht="17.25" customHeight="1">
      <c r="A513" s="123"/>
      <c r="B513" s="1"/>
      <c r="C513" s="1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  <c r="AB513" s="123"/>
    </row>
    <row r="514" ht="17.25" customHeight="1">
      <c r="A514" s="123"/>
      <c r="B514" s="1"/>
      <c r="C514" s="1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  <c r="AB514" s="123"/>
    </row>
    <row r="515" ht="17.25" customHeight="1">
      <c r="A515" s="123"/>
      <c r="B515" s="1"/>
      <c r="C515" s="1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  <c r="AB515" s="123"/>
    </row>
    <row r="516" ht="17.25" customHeight="1">
      <c r="A516" s="123"/>
      <c r="B516" s="1"/>
      <c r="C516" s="1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  <c r="AB516" s="123"/>
    </row>
    <row r="517" ht="17.25" customHeight="1">
      <c r="A517" s="123"/>
      <c r="B517" s="1"/>
      <c r="C517" s="1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  <c r="AB517" s="123"/>
    </row>
    <row r="518" ht="17.25" customHeight="1">
      <c r="A518" s="123"/>
      <c r="B518" s="1"/>
      <c r="C518" s="1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  <c r="AB518" s="123"/>
    </row>
    <row r="519" ht="17.25" customHeight="1">
      <c r="A519" s="123"/>
      <c r="B519" s="1"/>
      <c r="C519" s="1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  <c r="AB519" s="123"/>
    </row>
    <row r="520" ht="17.25" customHeight="1">
      <c r="A520" s="123"/>
      <c r="B520" s="1"/>
      <c r="C520" s="1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  <c r="AB520" s="123"/>
    </row>
    <row r="521" ht="17.25" customHeight="1">
      <c r="A521" s="123"/>
      <c r="B521" s="1"/>
      <c r="C521" s="1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  <c r="AB521" s="123"/>
    </row>
    <row r="522" ht="17.25" customHeight="1">
      <c r="A522" s="123"/>
      <c r="B522" s="1"/>
      <c r="C522" s="1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  <c r="AB522" s="123"/>
    </row>
    <row r="523" ht="17.25" customHeight="1">
      <c r="A523" s="123"/>
      <c r="B523" s="1"/>
      <c r="C523" s="1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  <c r="AB523" s="123"/>
    </row>
    <row r="524" ht="17.25" customHeight="1">
      <c r="A524" s="123"/>
      <c r="B524" s="1"/>
      <c r="C524" s="1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</row>
    <row r="525" ht="17.25" customHeight="1">
      <c r="A525" s="123"/>
      <c r="B525" s="1"/>
      <c r="C525" s="1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  <c r="AB525" s="123"/>
    </row>
    <row r="526" ht="17.25" customHeight="1">
      <c r="A526" s="123"/>
      <c r="B526" s="1"/>
      <c r="C526" s="1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  <c r="AB526" s="123"/>
    </row>
    <row r="527" ht="17.25" customHeight="1">
      <c r="A527" s="123"/>
      <c r="B527" s="1"/>
      <c r="C527" s="1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  <c r="AB527" s="123"/>
    </row>
    <row r="528" ht="17.25" customHeight="1">
      <c r="A528" s="123"/>
      <c r="B528" s="1"/>
      <c r="C528" s="1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  <c r="AB528" s="123"/>
    </row>
    <row r="529" ht="17.25" customHeight="1">
      <c r="A529" s="123"/>
      <c r="B529" s="1"/>
      <c r="C529" s="1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  <c r="AB529" s="123"/>
    </row>
    <row r="530" ht="17.25" customHeight="1">
      <c r="A530" s="123"/>
      <c r="B530" s="1"/>
      <c r="C530" s="1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  <c r="AB530" s="123"/>
    </row>
    <row r="531" ht="17.25" customHeight="1">
      <c r="A531" s="123"/>
      <c r="B531" s="1"/>
      <c r="C531" s="1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  <c r="AB531" s="123"/>
    </row>
    <row r="532" ht="17.25" customHeight="1">
      <c r="A532" s="123"/>
      <c r="B532" s="1"/>
      <c r="C532" s="1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  <c r="AB532" s="123"/>
    </row>
    <row r="533" ht="17.25" customHeight="1">
      <c r="A533" s="123"/>
      <c r="B533" s="1"/>
      <c r="C533" s="1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  <c r="AB533" s="123"/>
    </row>
    <row r="534" ht="17.25" customHeight="1">
      <c r="A534" s="123"/>
      <c r="B534" s="1"/>
      <c r="C534" s="1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  <c r="AB534" s="123"/>
    </row>
    <row r="535" ht="17.25" customHeight="1">
      <c r="A535" s="123"/>
      <c r="B535" s="1"/>
      <c r="C535" s="1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  <c r="AB535" s="123"/>
    </row>
    <row r="536" ht="17.25" customHeight="1">
      <c r="A536" s="123"/>
      <c r="B536" s="1"/>
      <c r="C536" s="1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  <c r="AB536" s="123"/>
    </row>
    <row r="537" ht="17.25" customHeight="1">
      <c r="A537" s="123"/>
      <c r="B537" s="1"/>
      <c r="C537" s="1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  <c r="AB537" s="123"/>
    </row>
    <row r="538" ht="17.25" customHeight="1">
      <c r="A538" s="123"/>
      <c r="B538" s="1"/>
      <c r="C538" s="1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  <c r="AB538" s="123"/>
    </row>
    <row r="539" ht="17.25" customHeight="1">
      <c r="A539" s="123"/>
      <c r="B539" s="1"/>
      <c r="C539" s="1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  <c r="AB539" s="123"/>
    </row>
    <row r="540" ht="17.25" customHeight="1">
      <c r="A540" s="123"/>
      <c r="B540" s="1"/>
      <c r="C540" s="1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  <c r="AB540" s="123"/>
    </row>
    <row r="541" ht="17.25" customHeight="1">
      <c r="A541" s="123"/>
      <c r="B541" s="1"/>
      <c r="C541" s="1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  <c r="AB541" s="123"/>
    </row>
    <row r="542" ht="17.25" customHeight="1">
      <c r="A542" s="123"/>
      <c r="B542" s="1"/>
      <c r="C542" s="1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  <c r="AB542" s="123"/>
    </row>
    <row r="543" ht="17.25" customHeight="1">
      <c r="A543" s="123"/>
      <c r="B543" s="1"/>
      <c r="C543" s="1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  <c r="AB543" s="123"/>
    </row>
    <row r="544" ht="17.25" customHeight="1">
      <c r="A544" s="123"/>
      <c r="B544" s="1"/>
      <c r="C544" s="1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  <c r="AB544" s="123"/>
    </row>
    <row r="545" ht="17.25" customHeight="1">
      <c r="A545" s="123"/>
      <c r="B545" s="1"/>
      <c r="C545" s="1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  <c r="AB545" s="123"/>
    </row>
    <row r="546" ht="17.25" customHeight="1">
      <c r="A546" s="123"/>
      <c r="B546" s="1"/>
      <c r="C546" s="1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  <c r="AB546" s="123"/>
    </row>
    <row r="547" ht="17.25" customHeight="1">
      <c r="A547" s="123"/>
      <c r="B547" s="1"/>
      <c r="C547" s="1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  <c r="AB547" s="123"/>
    </row>
    <row r="548" ht="17.25" customHeight="1">
      <c r="A548" s="123"/>
      <c r="B548" s="1"/>
      <c r="C548" s="1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  <c r="AB548" s="123"/>
    </row>
    <row r="549" ht="17.25" customHeight="1">
      <c r="A549" s="123"/>
      <c r="B549" s="1"/>
      <c r="C549" s="1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  <c r="AB549" s="123"/>
    </row>
    <row r="550" ht="17.25" customHeight="1">
      <c r="A550" s="123"/>
      <c r="B550" s="1"/>
      <c r="C550" s="1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  <c r="AB550" s="123"/>
    </row>
    <row r="551" ht="17.25" customHeight="1">
      <c r="A551" s="123"/>
      <c r="B551" s="1"/>
      <c r="C551" s="1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</row>
    <row r="552" ht="17.25" customHeight="1">
      <c r="A552" s="123"/>
      <c r="B552" s="1"/>
      <c r="C552" s="1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  <c r="AB552" s="123"/>
    </row>
    <row r="553" ht="17.25" customHeight="1">
      <c r="A553" s="123"/>
      <c r="B553" s="1"/>
      <c r="C553" s="1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  <c r="AB553" s="123"/>
    </row>
    <row r="554" ht="17.25" customHeight="1">
      <c r="A554" s="123"/>
      <c r="B554" s="1"/>
      <c r="C554" s="1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  <c r="AB554" s="123"/>
    </row>
    <row r="555" ht="17.25" customHeight="1">
      <c r="A555" s="123"/>
      <c r="B555" s="1"/>
      <c r="C555" s="1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  <c r="AB555" s="123"/>
    </row>
    <row r="556" ht="17.25" customHeight="1">
      <c r="A556" s="123"/>
      <c r="B556" s="1"/>
      <c r="C556" s="1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  <c r="AB556" s="123"/>
    </row>
    <row r="557" ht="17.25" customHeight="1">
      <c r="A557" s="123"/>
      <c r="B557" s="1"/>
      <c r="C557" s="1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  <c r="AB557" s="123"/>
    </row>
    <row r="558" ht="17.25" customHeight="1">
      <c r="A558" s="123"/>
      <c r="B558" s="1"/>
      <c r="C558" s="1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  <c r="AB558" s="123"/>
    </row>
    <row r="559" ht="17.25" customHeight="1">
      <c r="A559" s="123"/>
      <c r="B559" s="1"/>
      <c r="C559" s="1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  <c r="AB559" s="123"/>
    </row>
    <row r="560" ht="17.25" customHeight="1">
      <c r="A560" s="123"/>
      <c r="B560" s="1"/>
      <c r="C560" s="1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  <c r="AB560" s="123"/>
    </row>
    <row r="561" ht="17.25" customHeight="1">
      <c r="A561" s="123"/>
      <c r="B561" s="1"/>
      <c r="C561" s="1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  <c r="AB561" s="123"/>
    </row>
    <row r="562" ht="17.25" customHeight="1">
      <c r="A562" s="123"/>
      <c r="B562" s="1"/>
      <c r="C562" s="1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  <c r="AB562" s="123"/>
    </row>
    <row r="563" ht="17.25" customHeight="1">
      <c r="A563" s="123"/>
      <c r="B563" s="1"/>
      <c r="C563" s="1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  <c r="AB563" s="123"/>
    </row>
    <row r="564" ht="17.25" customHeight="1">
      <c r="A564" s="123"/>
      <c r="B564" s="1"/>
      <c r="C564" s="1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  <c r="AB564" s="123"/>
    </row>
    <row r="565" ht="17.25" customHeight="1">
      <c r="A565" s="123"/>
      <c r="B565" s="1"/>
      <c r="C565" s="1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  <c r="AB565" s="123"/>
    </row>
    <row r="566" ht="17.25" customHeight="1">
      <c r="A566" s="123"/>
      <c r="B566" s="1"/>
      <c r="C566" s="1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  <c r="AB566" s="123"/>
    </row>
    <row r="567" ht="17.25" customHeight="1">
      <c r="A567" s="123"/>
      <c r="B567" s="1"/>
      <c r="C567" s="1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  <c r="AB567" s="123"/>
    </row>
    <row r="568" ht="17.25" customHeight="1">
      <c r="A568" s="123"/>
      <c r="B568" s="1"/>
      <c r="C568" s="1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  <c r="AB568" s="123"/>
    </row>
    <row r="569" ht="17.25" customHeight="1">
      <c r="A569" s="123"/>
      <c r="B569" s="1"/>
      <c r="C569" s="1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  <c r="AB569" s="123"/>
    </row>
    <row r="570" ht="17.25" customHeight="1">
      <c r="A570" s="123"/>
      <c r="B570" s="1"/>
      <c r="C570" s="1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  <c r="AB570" s="123"/>
    </row>
    <row r="571" ht="17.25" customHeight="1">
      <c r="A571" s="123"/>
      <c r="B571" s="1"/>
      <c r="C571" s="1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  <c r="AB571" s="123"/>
    </row>
    <row r="572" ht="17.25" customHeight="1">
      <c r="A572" s="123"/>
      <c r="B572" s="1"/>
      <c r="C572" s="1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  <c r="AB572" s="123"/>
    </row>
    <row r="573" ht="17.25" customHeight="1">
      <c r="A573" s="123"/>
      <c r="B573" s="1"/>
      <c r="C573" s="1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  <c r="AB573" s="123"/>
    </row>
    <row r="574" ht="17.25" customHeight="1">
      <c r="A574" s="123"/>
      <c r="B574" s="1"/>
      <c r="C574" s="1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  <c r="AB574" s="123"/>
    </row>
    <row r="575" ht="17.25" customHeight="1">
      <c r="A575" s="123"/>
      <c r="B575" s="1"/>
      <c r="C575" s="1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  <c r="AB575" s="123"/>
    </row>
    <row r="576" ht="17.25" customHeight="1">
      <c r="A576" s="123"/>
      <c r="B576" s="1"/>
      <c r="C576" s="1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  <c r="AB576" s="123"/>
    </row>
    <row r="577" ht="17.25" customHeight="1">
      <c r="A577" s="123"/>
      <c r="B577" s="1"/>
      <c r="C577" s="1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  <c r="AB577" s="123"/>
    </row>
    <row r="578" ht="17.25" customHeight="1">
      <c r="A578" s="123"/>
      <c r="B578" s="1"/>
      <c r="C578" s="1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  <c r="AB578" s="123"/>
    </row>
    <row r="579" ht="17.25" customHeight="1">
      <c r="A579" s="123"/>
      <c r="B579" s="1"/>
      <c r="C579" s="1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  <c r="AB579" s="123"/>
    </row>
    <row r="580" ht="17.25" customHeight="1">
      <c r="A580" s="123"/>
      <c r="B580" s="1"/>
      <c r="C580" s="1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  <c r="AB580" s="123"/>
    </row>
    <row r="581" ht="17.25" customHeight="1">
      <c r="A581" s="123"/>
      <c r="B581" s="1"/>
      <c r="C581" s="1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  <c r="AB581" s="123"/>
    </row>
    <row r="582" ht="17.25" customHeight="1">
      <c r="A582" s="123"/>
      <c r="B582" s="1"/>
      <c r="C582" s="1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  <c r="AB582" s="123"/>
    </row>
    <row r="583" ht="17.25" customHeight="1">
      <c r="A583" s="123"/>
      <c r="B583" s="1"/>
      <c r="C583" s="1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  <c r="AB583" s="123"/>
    </row>
    <row r="584" ht="17.25" customHeight="1">
      <c r="A584" s="123"/>
      <c r="B584" s="1"/>
      <c r="C584" s="1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  <c r="AB584" s="123"/>
    </row>
    <row r="585" ht="17.25" customHeight="1">
      <c r="A585" s="123"/>
      <c r="B585" s="1"/>
      <c r="C585" s="1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  <c r="AB585" s="123"/>
    </row>
    <row r="586" ht="17.25" customHeight="1">
      <c r="A586" s="123"/>
      <c r="B586" s="1"/>
      <c r="C586" s="1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  <c r="AB586" s="123"/>
    </row>
    <row r="587" ht="17.25" customHeight="1">
      <c r="A587" s="123"/>
      <c r="B587" s="1"/>
      <c r="C587" s="1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  <c r="AB587" s="123"/>
    </row>
    <row r="588" ht="17.25" customHeight="1">
      <c r="A588" s="123"/>
      <c r="B588" s="1"/>
      <c r="C588" s="1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  <c r="AB588" s="123"/>
    </row>
    <row r="589" ht="17.25" customHeight="1">
      <c r="A589" s="123"/>
      <c r="B589" s="1"/>
      <c r="C589" s="1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  <c r="AB589" s="123"/>
    </row>
    <row r="590" ht="17.25" customHeight="1">
      <c r="A590" s="123"/>
      <c r="B590" s="1"/>
      <c r="C590" s="1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  <c r="AB590" s="123"/>
    </row>
    <row r="591" ht="17.25" customHeight="1">
      <c r="A591" s="123"/>
      <c r="B591" s="1"/>
      <c r="C591" s="1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  <c r="AB591" s="123"/>
    </row>
    <row r="592" ht="17.25" customHeight="1">
      <c r="A592" s="123"/>
      <c r="B592" s="1"/>
      <c r="C592" s="1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  <c r="AB592" s="123"/>
    </row>
    <row r="593" ht="17.25" customHeight="1">
      <c r="A593" s="123"/>
      <c r="B593" s="1"/>
      <c r="C593" s="1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  <c r="AB593" s="123"/>
    </row>
    <row r="594" ht="17.25" customHeight="1">
      <c r="A594" s="123"/>
      <c r="B594" s="1"/>
      <c r="C594" s="1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  <c r="AB594" s="123"/>
    </row>
    <row r="595" ht="17.25" customHeight="1">
      <c r="A595" s="123"/>
      <c r="B595" s="1"/>
      <c r="C595" s="1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  <c r="AB595" s="123"/>
    </row>
    <row r="596" ht="17.25" customHeight="1">
      <c r="A596" s="123"/>
      <c r="B596" s="1"/>
      <c r="C596" s="1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  <c r="AB596" s="123"/>
    </row>
    <row r="597" ht="17.25" customHeight="1">
      <c r="A597" s="123"/>
      <c r="B597" s="1"/>
      <c r="C597" s="1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  <c r="AB597" s="123"/>
    </row>
    <row r="598" ht="17.25" customHeight="1">
      <c r="A598" s="123"/>
      <c r="B598" s="1"/>
      <c r="C598" s="1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  <c r="AB598" s="123"/>
    </row>
    <row r="599" ht="17.25" customHeight="1">
      <c r="A599" s="123"/>
      <c r="B599" s="1"/>
      <c r="C599" s="1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  <c r="AB599" s="123"/>
    </row>
    <row r="600" ht="17.25" customHeight="1">
      <c r="A600" s="123"/>
      <c r="B600" s="1"/>
      <c r="C600" s="1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  <c r="AB600" s="123"/>
    </row>
    <row r="601" ht="17.25" customHeight="1">
      <c r="A601" s="123"/>
      <c r="B601" s="1"/>
      <c r="C601" s="1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  <c r="AB601" s="123"/>
    </row>
    <row r="602" ht="17.25" customHeight="1">
      <c r="A602" s="123"/>
      <c r="B602" s="1"/>
      <c r="C602" s="1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  <c r="AB602" s="123"/>
    </row>
    <row r="603" ht="17.25" customHeight="1">
      <c r="A603" s="123"/>
      <c r="B603" s="1"/>
      <c r="C603" s="1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  <c r="AB603" s="123"/>
    </row>
    <row r="604" ht="17.25" customHeight="1">
      <c r="A604" s="123"/>
      <c r="B604" s="1"/>
      <c r="C604" s="1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  <c r="AB604" s="123"/>
    </row>
    <row r="605" ht="17.25" customHeight="1">
      <c r="A605" s="123"/>
      <c r="B605" s="1"/>
      <c r="C605" s="1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  <c r="AB605" s="123"/>
    </row>
    <row r="606" ht="17.25" customHeight="1">
      <c r="A606" s="123"/>
      <c r="B606" s="1"/>
      <c r="C606" s="1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  <c r="AB606" s="123"/>
    </row>
    <row r="607" ht="17.25" customHeight="1">
      <c r="A607" s="123"/>
      <c r="B607" s="1"/>
      <c r="C607" s="1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  <c r="AB607" s="123"/>
    </row>
    <row r="608" ht="17.25" customHeight="1">
      <c r="A608" s="123"/>
      <c r="B608" s="1"/>
      <c r="C608" s="1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  <c r="AB608" s="123"/>
    </row>
    <row r="609" ht="17.25" customHeight="1">
      <c r="A609" s="123"/>
      <c r="B609" s="1"/>
      <c r="C609" s="1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  <c r="AB609" s="123"/>
    </row>
    <row r="610" ht="17.25" customHeight="1">
      <c r="A610" s="123"/>
      <c r="B610" s="1"/>
      <c r="C610" s="1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  <c r="AB610" s="123"/>
    </row>
    <row r="611" ht="17.25" customHeight="1">
      <c r="A611" s="123"/>
      <c r="B611" s="1"/>
      <c r="C611" s="1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  <c r="AB611" s="123"/>
    </row>
    <row r="612" ht="17.25" customHeight="1">
      <c r="A612" s="123"/>
      <c r="B612" s="1"/>
      <c r="C612" s="1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  <c r="AB612" s="123"/>
    </row>
    <row r="613" ht="17.25" customHeight="1">
      <c r="A613" s="123"/>
      <c r="B613" s="1"/>
      <c r="C613" s="1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  <c r="AB613" s="123"/>
    </row>
    <row r="614" ht="17.25" customHeight="1">
      <c r="A614" s="123"/>
      <c r="B614" s="1"/>
      <c r="C614" s="1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  <c r="AB614" s="123"/>
    </row>
    <row r="615" ht="17.25" customHeight="1">
      <c r="A615" s="123"/>
      <c r="B615" s="1"/>
      <c r="C615" s="1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  <c r="AB615" s="123"/>
    </row>
    <row r="616" ht="17.25" customHeight="1">
      <c r="A616" s="123"/>
      <c r="B616" s="1"/>
      <c r="C616" s="1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  <c r="AB616" s="123"/>
    </row>
    <row r="617" ht="17.25" customHeight="1">
      <c r="A617" s="123"/>
      <c r="B617" s="1"/>
      <c r="C617" s="1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  <c r="AB617" s="123"/>
    </row>
    <row r="618" ht="17.25" customHeight="1">
      <c r="A618" s="123"/>
      <c r="B618" s="1"/>
      <c r="C618" s="1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  <c r="AB618" s="123"/>
    </row>
    <row r="619" ht="17.25" customHeight="1">
      <c r="A619" s="123"/>
      <c r="B619" s="1"/>
      <c r="C619" s="1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  <c r="AB619" s="123"/>
    </row>
    <row r="620" ht="17.25" customHeight="1">
      <c r="A620" s="123"/>
      <c r="B620" s="1"/>
      <c r="C620" s="1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  <c r="AB620" s="123"/>
    </row>
    <row r="621" ht="17.25" customHeight="1">
      <c r="A621" s="123"/>
      <c r="B621" s="1"/>
      <c r="C621" s="1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  <c r="AB621" s="123"/>
    </row>
    <row r="622" ht="17.25" customHeight="1">
      <c r="A622" s="123"/>
      <c r="B622" s="1"/>
      <c r="C622" s="1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  <c r="AB622" s="123"/>
    </row>
    <row r="623" ht="17.25" customHeight="1">
      <c r="A623" s="123"/>
      <c r="B623" s="1"/>
      <c r="C623" s="1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  <c r="AB623" s="123"/>
    </row>
    <row r="624" ht="17.25" customHeight="1">
      <c r="A624" s="123"/>
      <c r="B624" s="1"/>
      <c r="C624" s="1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  <c r="AB624" s="123"/>
    </row>
    <row r="625" ht="17.25" customHeight="1">
      <c r="A625" s="123"/>
      <c r="B625" s="1"/>
      <c r="C625" s="1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  <c r="AB625" s="123"/>
    </row>
    <row r="626" ht="17.25" customHeight="1">
      <c r="A626" s="123"/>
      <c r="B626" s="1"/>
      <c r="C626" s="1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  <c r="AB626" s="123"/>
    </row>
    <row r="627" ht="17.25" customHeight="1">
      <c r="A627" s="123"/>
      <c r="B627" s="1"/>
      <c r="C627" s="1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  <c r="AB627" s="123"/>
    </row>
    <row r="628" ht="17.25" customHeight="1">
      <c r="A628" s="123"/>
      <c r="B628" s="1"/>
      <c r="C628" s="1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  <c r="AB628" s="123"/>
    </row>
    <row r="629" ht="17.25" customHeight="1">
      <c r="A629" s="123"/>
      <c r="B629" s="1"/>
      <c r="C629" s="1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  <c r="AB629" s="123"/>
    </row>
    <row r="630" ht="17.25" customHeight="1">
      <c r="A630" s="123"/>
      <c r="B630" s="1"/>
      <c r="C630" s="1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  <c r="AB630" s="123"/>
    </row>
    <row r="631" ht="17.25" customHeight="1">
      <c r="A631" s="123"/>
      <c r="B631" s="1"/>
      <c r="C631" s="1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  <c r="AB631" s="123"/>
    </row>
    <row r="632" ht="17.25" customHeight="1">
      <c r="A632" s="123"/>
      <c r="B632" s="1"/>
      <c r="C632" s="1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  <c r="AB632" s="123"/>
    </row>
    <row r="633" ht="17.25" customHeight="1">
      <c r="A633" s="123"/>
      <c r="B633" s="1"/>
      <c r="C633" s="1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  <c r="AB633" s="123"/>
    </row>
    <row r="634" ht="17.25" customHeight="1">
      <c r="A634" s="123"/>
      <c r="B634" s="1"/>
      <c r="C634" s="1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  <c r="AB634" s="123"/>
    </row>
    <row r="635" ht="17.25" customHeight="1">
      <c r="A635" s="123"/>
      <c r="B635" s="1"/>
      <c r="C635" s="1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  <c r="AB635" s="123"/>
    </row>
    <row r="636" ht="17.25" customHeight="1">
      <c r="A636" s="123"/>
      <c r="B636" s="1"/>
      <c r="C636" s="1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  <c r="AB636" s="123"/>
    </row>
    <row r="637" ht="17.25" customHeight="1">
      <c r="A637" s="123"/>
      <c r="B637" s="1"/>
      <c r="C637" s="1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  <c r="AB637" s="123"/>
    </row>
    <row r="638" ht="17.25" customHeight="1">
      <c r="A638" s="123"/>
      <c r="B638" s="1"/>
      <c r="C638" s="1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  <c r="AB638" s="123"/>
    </row>
    <row r="639" ht="17.25" customHeight="1">
      <c r="A639" s="123"/>
      <c r="B639" s="1"/>
      <c r="C639" s="1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  <c r="AB639" s="123"/>
    </row>
    <row r="640" ht="17.25" customHeight="1">
      <c r="A640" s="123"/>
      <c r="B640" s="1"/>
      <c r="C640" s="1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  <c r="AB640" s="123"/>
    </row>
    <row r="641" ht="17.25" customHeight="1">
      <c r="A641" s="123"/>
      <c r="B641" s="1"/>
      <c r="C641" s="1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  <c r="AB641" s="123"/>
    </row>
    <row r="642" ht="17.25" customHeight="1">
      <c r="A642" s="123"/>
      <c r="B642" s="1"/>
      <c r="C642" s="1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  <c r="AB642" s="123"/>
    </row>
    <row r="643" ht="17.25" customHeight="1">
      <c r="A643" s="123"/>
      <c r="B643" s="1"/>
      <c r="C643" s="1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  <c r="AB643" s="123"/>
    </row>
    <row r="644" ht="17.25" customHeight="1">
      <c r="A644" s="123"/>
      <c r="B644" s="1"/>
      <c r="C644" s="1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  <c r="AB644" s="123"/>
    </row>
    <row r="645" ht="17.25" customHeight="1">
      <c r="A645" s="123"/>
      <c r="B645" s="1"/>
      <c r="C645" s="1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  <c r="AB645" s="123"/>
    </row>
    <row r="646" ht="17.25" customHeight="1">
      <c r="A646" s="123"/>
      <c r="B646" s="1"/>
      <c r="C646" s="1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  <c r="AB646" s="123"/>
    </row>
    <row r="647" ht="17.25" customHeight="1">
      <c r="A647" s="123"/>
      <c r="B647" s="1"/>
      <c r="C647" s="1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  <c r="AB647" s="123"/>
    </row>
    <row r="648" ht="17.25" customHeight="1">
      <c r="A648" s="123"/>
      <c r="B648" s="1"/>
      <c r="C648" s="1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  <c r="AB648" s="123"/>
    </row>
    <row r="649" ht="17.25" customHeight="1">
      <c r="A649" s="123"/>
      <c r="B649" s="1"/>
      <c r="C649" s="1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  <c r="AB649" s="123"/>
    </row>
    <row r="650" ht="17.25" customHeight="1">
      <c r="A650" s="123"/>
      <c r="B650" s="1"/>
      <c r="C650" s="1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  <c r="AB650" s="123"/>
    </row>
    <row r="651" ht="17.25" customHeight="1">
      <c r="A651" s="123"/>
      <c r="B651" s="1"/>
      <c r="C651" s="1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  <c r="AB651" s="123"/>
    </row>
    <row r="652" ht="17.25" customHeight="1">
      <c r="A652" s="123"/>
      <c r="B652" s="1"/>
      <c r="C652" s="1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  <c r="AB652" s="123"/>
    </row>
    <row r="653" ht="17.25" customHeight="1">
      <c r="A653" s="123"/>
      <c r="B653" s="1"/>
      <c r="C653" s="1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  <c r="AB653" s="123"/>
    </row>
    <row r="654" ht="17.25" customHeight="1">
      <c r="A654" s="123"/>
      <c r="B654" s="1"/>
      <c r="C654" s="1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  <c r="AB654" s="123"/>
    </row>
    <row r="655" ht="17.25" customHeight="1">
      <c r="A655" s="123"/>
      <c r="B655" s="1"/>
      <c r="C655" s="1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  <c r="AB655" s="123"/>
    </row>
    <row r="656" ht="17.25" customHeight="1">
      <c r="A656" s="123"/>
      <c r="B656" s="1"/>
      <c r="C656" s="1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  <c r="AB656" s="123"/>
    </row>
    <row r="657" ht="17.25" customHeight="1">
      <c r="A657" s="123"/>
      <c r="B657" s="1"/>
      <c r="C657" s="1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  <c r="AB657" s="123"/>
    </row>
    <row r="658" ht="17.25" customHeight="1">
      <c r="A658" s="123"/>
      <c r="B658" s="1"/>
      <c r="C658" s="1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  <c r="AB658" s="123"/>
    </row>
    <row r="659" ht="17.25" customHeight="1">
      <c r="A659" s="123"/>
      <c r="B659" s="1"/>
      <c r="C659" s="1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  <c r="AB659" s="123"/>
    </row>
    <row r="660" ht="17.25" customHeight="1">
      <c r="A660" s="123"/>
      <c r="B660" s="1"/>
      <c r="C660" s="1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  <c r="AB660" s="123"/>
    </row>
    <row r="661" ht="17.25" customHeight="1">
      <c r="A661" s="123"/>
      <c r="B661" s="1"/>
      <c r="C661" s="1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  <c r="AB661" s="123"/>
    </row>
    <row r="662" ht="17.25" customHeight="1">
      <c r="A662" s="123"/>
      <c r="B662" s="1"/>
      <c r="C662" s="1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  <c r="AB662" s="123"/>
    </row>
    <row r="663" ht="17.25" customHeight="1">
      <c r="A663" s="123"/>
      <c r="B663" s="1"/>
      <c r="C663" s="1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  <c r="AB663" s="123"/>
    </row>
    <row r="664" ht="17.25" customHeight="1">
      <c r="A664" s="123"/>
      <c r="B664" s="1"/>
      <c r="C664" s="1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  <c r="AB664" s="123"/>
    </row>
    <row r="665" ht="17.25" customHeight="1">
      <c r="A665" s="123"/>
      <c r="B665" s="1"/>
      <c r="C665" s="1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  <c r="AB665" s="123"/>
    </row>
    <row r="666" ht="17.25" customHeight="1">
      <c r="A666" s="123"/>
      <c r="B666" s="1"/>
      <c r="C666" s="1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  <c r="AB666" s="123"/>
    </row>
    <row r="667" ht="17.25" customHeight="1">
      <c r="A667" s="123"/>
      <c r="B667" s="1"/>
      <c r="C667" s="1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  <c r="AB667" s="123"/>
    </row>
    <row r="668" ht="17.25" customHeight="1">
      <c r="A668" s="123"/>
      <c r="B668" s="1"/>
      <c r="C668" s="1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  <c r="AB668" s="123"/>
    </row>
    <row r="669" ht="17.25" customHeight="1">
      <c r="A669" s="123"/>
      <c r="B669" s="1"/>
      <c r="C669" s="1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  <c r="AB669" s="123"/>
    </row>
    <row r="670" ht="17.25" customHeight="1">
      <c r="A670" s="123"/>
      <c r="B670" s="1"/>
      <c r="C670" s="1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  <c r="AB670" s="123"/>
    </row>
    <row r="671" ht="17.25" customHeight="1">
      <c r="A671" s="123"/>
      <c r="B671" s="1"/>
      <c r="C671" s="1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  <c r="AB671" s="123"/>
    </row>
    <row r="672" ht="17.25" customHeight="1">
      <c r="A672" s="123"/>
      <c r="B672" s="1"/>
      <c r="C672" s="1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  <c r="AB672" s="123"/>
    </row>
    <row r="673" ht="17.25" customHeight="1">
      <c r="A673" s="123"/>
      <c r="B673" s="1"/>
      <c r="C673" s="1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  <c r="AB673" s="123"/>
    </row>
    <row r="674" ht="17.25" customHeight="1">
      <c r="A674" s="123"/>
      <c r="B674" s="1"/>
      <c r="C674" s="1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  <c r="AB674" s="123"/>
    </row>
    <row r="675" ht="17.25" customHeight="1">
      <c r="A675" s="123"/>
      <c r="B675" s="1"/>
      <c r="C675" s="1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  <c r="AB675" s="123"/>
    </row>
    <row r="676" ht="17.25" customHeight="1">
      <c r="A676" s="123"/>
      <c r="B676" s="1"/>
      <c r="C676" s="1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  <c r="AB676" s="123"/>
    </row>
    <row r="677" ht="17.25" customHeight="1">
      <c r="A677" s="123"/>
      <c r="B677" s="1"/>
      <c r="C677" s="1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  <c r="AB677" s="123"/>
    </row>
    <row r="678" ht="17.25" customHeight="1">
      <c r="A678" s="123"/>
      <c r="B678" s="1"/>
      <c r="C678" s="1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  <c r="AB678" s="123"/>
    </row>
    <row r="679" ht="17.25" customHeight="1">
      <c r="A679" s="123"/>
      <c r="B679" s="1"/>
      <c r="C679" s="1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  <c r="AB679" s="123"/>
    </row>
    <row r="680" ht="17.25" customHeight="1">
      <c r="A680" s="123"/>
      <c r="B680" s="1"/>
      <c r="C680" s="1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  <c r="AB680" s="123"/>
    </row>
    <row r="681" ht="17.25" customHeight="1">
      <c r="A681" s="123"/>
      <c r="B681" s="1"/>
      <c r="C681" s="1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  <c r="AB681" s="123"/>
    </row>
    <row r="682" ht="17.25" customHeight="1">
      <c r="A682" s="123"/>
      <c r="B682" s="1"/>
      <c r="C682" s="1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  <c r="AB682" s="123"/>
    </row>
    <row r="683" ht="17.25" customHeight="1">
      <c r="A683" s="123"/>
      <c r="B683" s="1"/>
      <c r="C683" s="1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  <c r="AB683" s="123"/>
    </row>
    <row r="684" ht="17.25" customHeight="1">
      <c r="A684" s="123"/>
      <c r="B684" s="1"/>
      <c r="C684" s="1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  <c r="AB684" s="123"/>
    </row>
    <row r="685" ht="17.25" customHeight="1">
      <c r="A685" s="123"/>
      <c r="B685" s="1"/>
      <c r="C685" s="1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  <c r="AB685" s="123"/>
    </row>
    <row r="686" ht="17.25" customHeight="1">
      <c r="A686" s="123"/>
      <c r="B686" s="1"/>
      <c r="C686" s="1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  <c r="AB686" s="123"/>
    </row>
    <row r="687" ht="17.25" customHeight="1">
      <c r="A687" s="123"/>
      <c r="B687" s="1"/>
      <c r="C687" s="1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  <c r="AB687" s="123"/>
    </row>
    <row r="688" ht="17.25" customHeight="1">
      <c r="A688" s="123"/>
      <c r="B688" s="1"/>
      <c r="C688" s="1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  <c r="AB688" s="123"/>
    </row>
    <row r="689" ht="17.25" customHeight="1">
      <c r="A689" s="123"/>
      <c r="B689" s="1"/>
      <c r="C689" s="1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  <c r="AB689" s="123"/>
    </row>
    <row r="690" ht="17.25" customHeight="1">
      <c r="A690" s="123"/>
      <c r="B690" s="1"/>
      <c r="C690" s="1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  <c r="AB690" s="123"/>
    </row>
    <row r="691" ht="17.25" customHeight="1">
      <c r="A691" s="123"/>
      <c r="B691" s="1"/>
      <c r="C691" s="1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  <c r="AB691" s="123"/>
    </row>
    <row r="692" ht="17.25" customHeight="1">
      <c r="A692" s="123"/>
      <c r="B692" s="1"/>
      <c r="C692" s="1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  <c r="AB692" s="123"/>
    </row>
    <row r="693" ht="17.25" customHeight="1">
      <c r="A693" s="123"/>
      <c r="B693" s="1"/>
      <c r="C693" s="1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  <c r="AB693" s="123"/>
    </row>
    <row r="694" ht="17.25" customHeight="1">
      <c r="A694" s="123"/>
      <c r="B694" s="1"/>
      <c r="C694" s="1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  <c r="AB694" s="123"/>
    </row>
    <row r="695" ht="17.25" customHeight="1">
      <c r="A695" s="123"/>
      <c r="B695" s="1"/>
      <c r="C695" s="1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  <c r="AB695" s="123"/>
    </row>
    <row r="696" ht="17.25" customHeight="1">
      <c r="A696" s="123"/>
      <c r="B696" s="1"/>
      <c r="C696" s="1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  <c r="AB696" s="123"/>
    </row>
    <row r="697" ht="17.25" customHeight="1">
      <c r="A697" s="123"/>
      <c r="B697" s="1"/>
      <c r="C697" s="1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  <c r="AB697" s="123"/>
    </row>
    <row r="698" ht="17.25" customHeight="1">
      <c r="A698" s="123"/>
      <c r="B698" s="1"/>
      <c r="C698" s="1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  <c r="AB698" s="123"/>
    </row>
    <row r="699" ht="17.25" customHeight="1">
      <c r="A699" s="123"/>
      <c r="B699" s="1"/>
      <c r="C699" s="1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  <c r="AB699" s="123"/>
    </row>
    <row r="700" ht="17.25" customHeight="1">
      <c r="A700" s="123"/>
      <c r="B700" s="1"/>
      <c r="C700" s="1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  <c r="AB700" s="123"/>
    </row>
    <row r="701" ht="17.25" customHeight="1">
      <c r="A701" s="123"/>
      <c r="B701" s="1"/>
      <c r="C701" s="1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  <c r="AB701" s="123"/>
    </row>
    <row r="702" ht="17.25" customHeight="1">
      <c r="A702" s="123"/>
      <c r="B702" s="1"/>
      <c r="C702" s="1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  <c r="AB702" s="123"/>
    </row>
    <row r="703" ht="17.25" customHeight="1">
      <c r="A703" s="123"/>
      <c r="B703" s="1"/>
      <c r="C703" s="1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  <c r="AB703" s="123"/>
    </row>
    <row r="704" ht="17.25" customHeight="1">
      <c r="A704" s="123"/>
      <c r="B704" s="1"/>
      <c r="C704" s="1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  <c r="AB704" s="123"/>
    </row>
    <row r="705" ht="17.25" customHeight="1">
      <c r="A705" s="123"/>
      <c r="B705" s="1"/>
      <c r="C705" s="1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  <c r="AB705" s="123"/>
    </row>
    <row r="706" ht="17.25" customHeight="1">
      <c r="A706" s="123"/>
      <c r="B706" s="1"/>
      <c r="C706" s="1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  <c r="AB706" s="123"/>
    </row>
    <row r="707" ht="17.25" customHeight="1">
      <c r="A707" s="123"/>
      <c r="B707" s="1"/>
      <c r="C707" s="1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  <c r="AB707" s="123"/>
    </row>
    <row r="708" ht="17.25" customHeight="1">
      <c r="A708" s="123"/>
      <c r="B708" s="1"/>
      <c r="C708" s="1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  <c r="AB708" s="123"/>
    </row>
    <row r="709" ht="17.25" customHeight="1">
      <c r="A709" s="123"/>
      <c r="B709" s="1"/>
      <c r="C709" s="1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  <c r="AB709" s="123"/>
    </row>
    <row r="710" ht="17.25" customHeight="1">
      <c r="A710" s="123"/>
      <c r="B710" s="1"/>
      <c r="C710" s="1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  <c r="AB710" s="123"/>
    </row>
    <row r="711" ht="17.25" customHeight="1">
      <c r="A711" s="123"/>
      <c r="B711" s="1"/>
      <c r="C711" s="1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  <c r="AB711" s="123"/>
    </row>
    <row r="712" ht="17.25" customHeight="1">
      <c r="A712" s="123"/>
      <c r="B712" s="1"/>
      <c r="C712" s="1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  <c r="AB712" s="123"/>
    </row>
    <row r="713" ht="17.25" customHeight="1">
      <c r="A713" s="123"/>
      <c r="B713" s="1"/>
      <c r="C713" s="1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  <c r="AB713" s="123"/>
    </row>
    <row r="714" ht="17.25" customHeight="1">
      <c r="A714" s="123"/>
      <c r="B714" s="1"/>
      <c r="C714" s="1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  <c r="AB714" s="123"/>
    </row>
    <row r="715" ht="17.25" customHeight="1">
      <c r="A715" s="123"/>
      <c r="B715" s="1"/>
      <c r="C715" s="1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  <c r="AB715" s="123"/>
    </row>
    <row r="716" ht="17.25" customHeight="1">
      <c r="A716" s="123"/>
      <c r="B716" s="1"/>
      <c r="C716" s="1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  <c r="AB716" s="123"/>
    </row>
    <row r="717" ht="17.25" customHeight="1">
      <c r="A717" s="123"/>
      <c r="B717" s="1"/>
      <c r="C717" s="1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  <c r="AB717" s="123"/>
    </row>
    <row r="718" ht="17.25" customHeight="1">
      <c r="A718" s="123"/>
      <c r="B718" s="1"/>
      <c r="C718" s="1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  <c r="AB718" s="123"/>
    </row>
    <row r="719" ht="17.25" customHeight="1">
      <c r="A719" s="123"/>
      <c r="B719" s="1"/>
      <c r="C719" s="1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  <c r="AB719" s="123"/>
    </row>
    <row r="720" ht="17.25" customHeight="1">
      <c r="A720" s="123"/>
      <c r="B720" s="1"/>
      <c r="C720" s="1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  <c r="AB720" s="123"/>
    </row>
    <row r="721" ht="17.25" customHeight="1">
      <c r="A721" s="123"/>
      <c r="B721" s="1"/>
      <c r="C721" s="1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  <c r="AB721" s="123"/>
    </row>
    <row r="722" ht="17.25" customHeight="1">
      <c r="A722" s="123"/>
      <c r="B722" s="1"/>
      <c r="C722" s="1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  <c r="AB722" s="123"/>
    </row>
    <row r="723" ht="17.25" customHeight="1">
      <c r="A723" s="123"/>
      <c r="B723" s="1"/>
      <c r="C723" s="1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  <c r="AB723" s="123"/>
    </row>
    <row r="724" ht="17.25" customHeight="1">
      <c r="A724" s="123"/>
      <c r="B724" s="1"/>
      <c r="C724" s="1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  <c r="AB724" s="123"/>
    </row>
    <row r="725" ht="17.25" customHeight="1">
      <c r="A725" s="123"/>
      <c r="B725" s="1"/>
      <c r="C725" s="1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  <c r="AB725" s="123"/>
    </row>
    <row r="726" ht="17.25" customHeight="1">
      <c r="A726" s="123"/>
      <c r="B726" s="1"/>
      <c r="C726" s="1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  <c r="AB726" s="123"/>
    </row>
    <row r="727" ht="17.25" customHeight="1">
      <c r="A727" s="123"/>
      <c r="B727" s="1"/>
      <c r="C727" s="1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  <c r="AB727" s="123"/>
    </row>
    <row r="728" ht="17.25" customHeight="1">
      <c r="A728" s="123"/>
      <c r="B728" s="1"/>
      <c r="C728" s="1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  <c r="AB728" s="123"/>
    </row>
    <row r="729" ht="17.25" customHeight="1">
      <c r="A729" s="123"/>
      <c r="B729" s="1"/>
      <c r="C729" s="1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  <c r="AB729" s="123"/>
    </row>
    <row r="730" ht="17.25" customHeight="1">
      <c r="A730" s="123"/>
      <c r="B730" s="1"/>
      <c r="C730" s="1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  <c r="AB730" s="123"/>
    </row>
    <row r="731" ht="17.25" customHeight="1">
      <c r="A731" s="123"/>
      <c r="B731" s="1"/>
      <c r="C731" s="1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  <c r="AB731" s="123"/>
    </row>
    <row r="732" ht="17.25" customHeight="1">
      <c r="A732" s="123"/>
      <c r="B732" s="1"/>
      <c r="C732" s="1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  <c r="AB732" s="123"/>
    </row>
    <row r="733" ht="17.25" customHeight="1">
      <c r="A733" s="123"/>
      <c r="B733" s="1"/>
      <c r="C733" s="1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  <c r="AB733" s="123"/>
    </row>
    <row r="734" ht="17.25" customHeight="1">
      <c r="A734" s="123"/>
      <c r="B734" s="1"/>
      <c r="C734" s="1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  <c r="AB734" s="123"/>
    </row>
    <row r="735" ht="17.25" customHeight="1">
      <c r="A735" s="123"/>
      <c r="B735" s="1"/>
      <c r="C735" s="1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  <c r="AB735" s="123"/>
    </row>
    <row r="736" ht="17.25" customHeight="1">
      <c r="A736" s="123"/>
      <c r="B736" s="1"/>
      <c r="C736" s="1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  <c r="AB736" s="123"/>
    </row>
    <row r="737" ht="17.25" customHeight="1">
      <c r="A737" s="123"/>
      <c r="B737" s="1"/>
      <c r="C737" s="1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  <c r="AB737" s="123"/>
    </row>
    <row r="738" ht="17.25" customHeight="1">
      <c r="A738" s="123"/>
      <c r="B738" s="1"/>
      <c r="C738" s="1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  <c r="AB738" s="123"/>
    </row>
    <row r="739" ht="17.25" customHeight="1">
      <c r="A739" s="123"/>
      <c r="B739" s="1"/>
      <c r="C739" s="1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  <c r="AB739" s="123"/>
    </row>
    <row r="740" ht="17.25" customHeight="1">
      <c r="A740" s="123"/>
      <c r="B740" s="1"/>
      <c r="C740" s="1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  <c r="AB740" s="123"/>
    </row>
    <row r="741" ht="17.25" customHeight="1">
      <c r="A741" s="123"/>
      <c r="B741" s="1"/>
      <c r="C741" s="1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  <c r="AB741" s="123"/>
    </row>
    <row r="742" ht="17.25" customHeight="1">
      <c r="A742" s="123"/>
      <c r="B742" s="1"/>
      <c r="C742" s="1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  <c r="AB742" s="123"/>
    </row>
    <row r="743" ht="17.25" customHeight="1">
      <c r="A743" s="123"/>
      <c r="B743" s="1"/>
      <c r="C743" s="1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  <c r="AB743" s="123"/>
    </row>
    <row r="744" ht="17.25" customHeight="1">
      <c r="A744" s="123"/>
      <c r="B744" s="1"/>
      <c r="C744" s="1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  <c r="AB744" s="123"/>
    </row>
    <row r="745" ht="17.25" customHeight="1">
      <c r="A745" s="123"/>
      <c r="B745" s="1"/>
      <c r="C745" s="1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  <c r="AB745" s="123"/>
    </row>
    <row r="746" ht="17.25" customHeight="1">
      <c r="A746" s="123"/>
      <c r="B746" s="1"/>
      <c r="C746" s="1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  <c r="AB746" s="123"/>
    </row>
    <row r="747" ht="17.25" customHeight="1">
      <c r="A747" s="123"/>
      <c r="B747" s="1"/>
      <c r="C747" s="1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  <c r="AB747" s="123"/>
    </row>
    <row r="748" ht="17.25" customHeight="1">
      <c r="A748" s="123"/>
      <c r="B748" s="1"/>
      <c r="C748" s="1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  <c r="AB748" s="123"/>
    </row>
    <row r="749" ht="17.25" customHeight="1">
      <c r="A749" s="123"/>
      <c r="B749" s="1"/>
      <c r="C749" s="1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  <c r="AB749" s="123"/>
    </row>
    <row r="750" ht="17.25" customHeight="1">
      <c r="A750" s="123"/>
      <c r="B750" s="1"/>
      <c r="C750" s="1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  <c r="AB750" s="123"/>
    </row>
    <row r="751" ht="17.25" customHeight="1">
      <c r="A751" s="123"/>
      <c r="B751" s="1"/>
      <c r="C751" s="1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  <c r="AB751" s="123"/>
    </row>
    <row r="752" ht="17.25" customHeight="1">
      <c r="A752" s="123"/>
      <c r="B752" s="1"/>
      <c r="C752" s="1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  <c r="AB752" s="123"/>
    </row>
    <row r="753" ht="17.25" customHeight="1">
      <c r="A753" s="123"/>
      <c r="B753" s="1"/>
      <c r="C753" s="1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  <c r="AB753" s="123"/>
    </row>
    <row r="754" ht="17.25" customHeight="1">
      <c r="A754" s="123"/>
      <c r="B754" s="1"/>
      <c r="C754" s="1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  <c r="AB754" s="123"/>
    </row>
    <row r="755" ht="17.25" customHeight="1">
      <c r="A755" s="123"/>
      <c r="B755" s="1"/>
      <c r="C755" s="1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  <c r="AB755" s="123"/>
    </row>
    <row r="756" ht="17.25" customHeight="1">
      <c r="A756" s="123"/>
      <c r="B756" s="1"/>
      <c r="C756" s="1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  <c r="AB756" s="123"/>
    </row>
    <row r="757" ht="17.25" customHeight="1">
      <c r="A757" s="123"/>
      <c r="B757" s="1"/>
      <c r="C757" s="1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  <c r="AB757" s="123"/>
    </row>
    <row r="758" ht="17.25" customHeight="1">
      <c r="A758" s="123"/>
      <c r="B758" s="1"/>
      <c r="C758" s="1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  <c r="AB758" s="123"/>
    </row>
    <row r="759" ht="17.25" customHeight="1">
      <c r="A759" s="123"/>
      <c r="B759" s="1"/>
      <c r="C759" s="1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  <c r="AB759" s="123"/>
    </row>
    <row r="760" ht="17.25" customHeight="1">
      <c r="A760" s="123"/>
      <c r="B760" s="1"/>
      <c r="C760" s="1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  <c r="AB760" s="123"/>
    </row>
    <row r="761" ht="17.25" customHeight="1">
      <c r="A761" s="123"/>
      <c r="B761" s="1"/>
      <c r="C761" s="1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  <c r="AB761" s="123"/>
    </row>
    <row r="762" ht="17.25" customHeight="1">
      <c r="A762" s="123"/>
      <c r="B762" s="1"/>
      <c r="C762" s="1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  <c r="AB762" s="123"/>
    </row>
    <row r="763" ht="17.25" customHeight="1">
      <c r="A763" s="123"/>
      <c r="B763" s="1"/>
      <c r="C763" s="1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  <c r="AB763" s="123"/>
    </row>
    <row r="764" ht="17.25" customHeight="1">
      <c r="A764" s="123"/>
      <c r="B764" s="1"/>
      <c r="C764" s="1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  <c r="AB764" s="123"/>
    </row>
    <row r="765" ht="17.25" customHeight="1">
      <c r="A765" s="123"/>
      <c r="B765" s="1"/>
      <c r="C765" s="1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  <c r="AB765" s="123"/>
    </row>
    <row r="766" ht="17.25" customHeight="1">
      <c r="A766" s="123"/>
      <c r="B766" s="1"/>
      <c r="C766" s="1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  <c r="AB766" s="123"/>
    </row>
    <row r="767" ht="17.25" customHeight="1">
      <c r="A767" s="123"/>
      <c r="B767" s="1"/>
      <c r="C767" s="1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  <c r="AB767" s="123"/>
    </row>
    <row r="768" ht="17.25" customHeight="1">
      <c r="A768" s="123"/>
      <c r="B768" s="1"/>
      <c r="C768" s="1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  <c r="AB768" s="123"/>
    </row>
    <row r="769" ht="17.25" customHeight="1">
      <c r="A769" s="123"/>
      <c r="B769" s="1"/>
      <c r="C769" s="1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  <c r="AB769" s="123"/>
    </row>
    <row r="770" ht="17.25" customHeight="1">
      <c r="A770" s="123"/>
      <c r="B770" s="1"/>
      <c r="C770" s="1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  <c r="AB770" s="123"/>
    </row>
    <row r="771" ht="17.25" customHeight="1">
      <c r="A771" s="123"/>
      <c r="B771" s="1"/>
      <c r="C771" s="1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  <c r="AB771" s="123"/>
    </row>
    <row r="772" ht="17.25" customHeight="1">
      <c r="A772" s="123"/>
      <c r="B772" s="1"/>
      <c r="C772" s="1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  <c r="AB772" s="123"/>
    </row>
    <row r="773" ht="17.25" customHeight="1">
      <c r="A773" s="123"/>
      <c r="B773" s="1"/>
      <c r="C773" s="1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  <c r="AB773" s="123"/>
    </row>
    <row r="774" ht="17.25" customHeight="1">
      <c r="A774" s="123"/>
      <c r="B774" s="1"/>
      <c r="C774" s="1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  <c r="AB774" s="123"/>
    </row>
    <row r="775" ht="17.25" customHeight="1">
      <c r="A775" s="123"/>
      <c r="B775" s="1"/>
      <c r="C775" s="1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  <c r="AB775" s="123"/>
    </row>
    <row r="776" ht="17.25" customHeight="1">
      <c r="A776" s="123"/>
      <c r="B776" s="1"/>
      <c r="C776" s="1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  <c r="AB776" s="123"/>
    </row>
    <row r="777" ht="17.25" customHeight="1">
      <c r="A777" s="123"/>
      <c r="B777" s="1"/>
      <c r="C777" s="1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  <c r="AB777" s="123"/>
    </row>
    <row r="778" ht="17.25" customHeight="1">
      <c r="A778" s="123"/>
      <c r="B778" s="1"/>
      <c r="C778" s="1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  <c r="AB778" s="123"/>
    </row>
    <row r="779" ht="17.25" customHeight="1">
      <c r="A779" s="123"/>
      <c r="B779" s="1"/>
      <c r="C779" s="1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  <c r="AB779" s="123"/>
    </row>
    <row r="780" ht="17.25" customHeight="1">
      <c r="A780" s="123"/>
      <c r="B780" s="1"/>
      <c r="C780" s="1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  <c r="AB780" s="123"/>
    </row>
    <row r="781" ht="17.25" customHeight="1">
      <c r="A781" s="123"/>
      <c r="B781" s="1"/>
      <c r="C781" s="1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  <c r="AB781" s="123"/>
    </row>
    <row r="782" ht="17.25" customHeight="1">
      <c r="A782" s="123"/>
      <c r="B782" s="1"/>
      <c r="C782" s="1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  <c r="AB782" s="123"/>
    </row>
    <row r="783" ht="17.25" customHeight="1">
      <c r="A783" s="123"/>
      <c r="B783" s="1"/>
      <c r="C783" s="1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  <c r="AB783" s="123"/>
    </row>
    <row r="784" ht="17.25" customHeight="1">
      <c r="A784" s="123"/>
      <c r="B784" s="1"/>
      <c r="C784" s="1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  <c r="AB784" s="123"/>
    </row>
    <row r="785" ht="17.25" customHeight="1">
      <c r="A785" s="123"/>
      <c r="B785" s="1"/>
      <c r="C785" s="1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  <c r="AB785" s="123"/>
    </row>
    <row r="786" ht="17.25" customHeight="1">
      <c r="A786" s="123"/>
      <c r="B786" s="1"/>
      <c r="C786" s="1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  <c r="AB786" s="123"/>
    </row>
    <row r="787" ht="17.25" customHeight="1">
      <c r="A787" s="123"/>
      <c r="B787" s="1"/>
      <c r="C787" s="1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  <c r="AB787" s="123"/>
    </row>
    <row r="788" ht="17.25" customHeight="1">
      <c r="A788" s="123"/>
      <c r="B788" s="1"/>
      <c r="C788" s="1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  <c r="AB788" s="123"/>
    </row>
    <row r="789" ht="17.25" customHeight="1">
      <c r="A789" s="123"/>
      <c r="B789" s="1"/>
      <c r="C789" s="1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  <c r="AB789" s="123"/>
    </row>
    <row r="790" ht="17.25" customHeight="1">
      <c r="A790" s="123"/>
      <c r="B790" s="1"/>
      <c r="C790" s="1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  <c r="AB790" s="123"/>
    </row>
    <row r="791" ht="17.25" customHeight="1">
      <c r="A791" s="123"/>
      <c r="B791" s="1"/>
      <c r="C791" s="1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  <c r="AB791" s="123"/>
    </row>
    <row r="792" ht="17.25" customHeight="1">
      <c r="A792" s="123"/>
      <c r="B792" s="1"/>
      <c r="C792" s="1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  <c r="AB792" s="123"/>
    </row>
    <row r="793" ht="17.25" customHeight="1">
      <c r="A793" s="123"/>
      <c r="B793" s="1"/>
      <c r="C793" s="1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  <c r="AB793" s="123"/>
    </row>
    <row r="794" ht="17.25" customHeight="1">
      <c r="A794" s="123"/>
      <c r="B794" s="1"/>
      <c r="C794" s="1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  <c r="AB794" s="123"/>
    </row>
    <row r="795" ht="17.25" customHeight="1">
      <c r="A795" s="123"/>
      <c r="B795" s="1"/>
      <c r="C795" s="1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  <c r="AB795" s="123"/>
    </row>
    <row r="796" ht="17.25" customHeight="1">
      <c r="A796" s="123"/>
      <c r="B796" s="1"/>
      <c r="C796" s="1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  <c r="AB796" s="123"/>
    </row>
    <row r="797" ht="17.25" customHeight="1">
      <c r="A797" s="123"/>
      <c r="B797" s="1"/>
      <c r="C797" s="1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  <c r="AB797" s="123"/>
    </row>
    <row r="798" ht="17.25" customHeight="1">
      <c r="A798" s="123"/>
      <c r="B798" s="1"/>
      <c r="C798" s="1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  <c r="AB798" s="123"/>
    </row>
    <row r="799" ht="17.25" customHeight="1">
      <c r="A799" s="123"/>
      <c r="B799" s="1"/>
      <c r="C799" s="1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  <c r="AB799" s="123"/>
    </row>
    <row r="800" ht="17.25" customHeight="1">
      <c r="A800" s="123"/>
      <c r="B800" s="1"/>
      <c r="C800" s="1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  <c r="AB800" s="123"/>
    </row>
    <row r="801" ht="17.25" customHeight="1">
      <c r="A801" s="123"/>
      <c r="B801" s="1"/>
      <c r="C801" s="1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  <c r="AB801" s="123"/>
    </row>
    <row r="802" ht="17.25" customHeight="1">
      <c r="A802" s="123"/>
      <c r="B802" s="1"/>
      <c r="C802" s="1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  <c r="AB802" s="123"/>
    </row>
    <row r="803" ht="17.25" customHeight="1">
      <c r="A803" s="123"/>
      <c r="B803" s="1"/>
      <c r="C803" s="1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  <c r="AB803" s="123"/>
    </row>
    <row r="804" ht="17.25" customHeight="1">
      <c r="A804" s="123"/>
      <c r="B804" s="1"/>
      <c r="C804" s="1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  <c r="AB804" s="123"/>
    </row>
    <row r="805" ht="17.25" customHeight="1">
      <c r="A805" s="123"/>
      <c r="B805" s="1"/>
      <c r="C805" s="1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  <c r="AB805" s="123"/>
    </row>
    <row r="806" ht="17.25" customHeight="1">
      <c r="A806" s="123"/>
      <c r="B806" s="1"/>
      <c r="C806" s="1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  <c r="AB806" s="123"/>
    </row>
    <row r="807" ht="17.25" customHeight="1">
      <c r="A807" s="123"/>
      <c r="B807" s="1"/>
      <c r="C807" s="1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  <c r="AB807" s="123"/>
    </row>
    <row r="808" ht="17.25" customHeight="1">
      <c r="A808" s="123"/>
      <c r="B808" s="1"/>
      <c r="C808" s="1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  <c r="AB808" s="123"/>
    </row>
    <row r="809" ht="17.25" customHeight="1">
      <c r="A809" s="123"/>
      <c r="B809" s="1"/>
      <c r="C809" s="1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  <c r="AB809" s="123"/>
    </row>
    <row r="810" ht="17.25" customHeight="1">
      <c r="A810" s="123"/>
      <c r="B810" s="1"/>
      <c r="C810" s="1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  <c r="AB810" s="123"/>
    </row>
    <row r="811" ht="17.25" customHeight="1">
      <c r="A811" s="123"/>
      <c r="B811" s="1"/>
      <c r="C811" s="1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  <c r="AB811" s="123"/>
    </row>
    <row r="812" ht="17.25" customHeight="1">
      <c r="A812" s="123"/>
      <c r="B812" s="1"/>
      <c r="C812" s="1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  <c r="AB812" s="123"/>
    </row>
    <row r="813" ht="17.25" customHeight="1">
      <c r="A813" s="123"/>
      <c r="B813" s="1"/>
      <c r="C813" s="1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  <c r="AB813" s="123"/>
    </row>
    <row r="814" ht="17.25" customHeight="1">
      <c r="A814" s="123"/>
      <c r="B814" s="1"/>
      <c r="C814" s="1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  <c r="AB814" s="123"/>
    </row>
    <row r="815" ht="17.25" customHeight="1">
      <c r="A815" s="123"/>
      <c r="B815" s="1"/>
      <c r="C815" s="1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  <c r="AB815" s="123"/>
    </row>
    <row r="816" ht="17.25" customHeight="1">
      <c r="A816" s="123"/>
      <c r="B816" s="1"/>
      <c r="C816" s="1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  <c r="AB816" s="123"/>
    </row>
    <row r="817" ht="17.25" customHeight="1">
      <c r="A817" s="123"/>
      <c r="B817" s="1"/>
      <c r="C817" s="1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  <c r="AB817" s="123"/>
    </row>
    <row r="818" ht="17.25" customHeight="1">
      <c r="A818" s="123"/>
      <c r="B818" s="1"/>
      <c r="C818" s="1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  <c r="AB818" s="123"/>
    </row>
    <row r="819" ht="17.25" customHeight="1">
      <c r="A819" s="123"/>
      <c r="B819" s="1"/>
      <c r="C819" s="1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  <c r="AB819" s="123"/>
    </row>
    <row r="820" ht="17.25" customHeight="1">
      <c r="A820" s="123"/>
      <c r="B820" s="1"/>
      <c r="C820" s="1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  <c r="AB820" s="123"/>
    </row>
    <row r="821" ht="17.25" customHeight="1">
      <c r="A821" s="123"/>
      <c r="B821" s="1"/>
      <c r="C821" s="1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  <c r="AB821" s="123"/>
    </row>
    <row r="822" ht="17.25" customHeight="1">
      <c r="A822" s="123"/>
      <c r="B822" s="1"/>
      <c r="C822" s="1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  <c r="AB822" s="123"/>
    </row>
    <row r="823" ht="17.25" customHeight="1">
      <c r="A823" s="123"/>
      <c r="B823" s="1"/>
      <c r="C823" s="1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  <c r="AB823" s="123"/>
    </row>
    <row r="824" ht="17.25" customHeight="1">
      <c r="A824" s="123"/>
      <c r="B824" s="1"/>
      <c r="C824" s="1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  <c r="AB824" s="123"/>
    </row>
    <row r="825" ht="17.25" customHeight="1">
      <c r="A825" s="123"/>
      <c r="B825" s="1"/>
      <c r="C825" s="1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  <c r="AB825" s="123"/>
    </row>
    <row r="826" ht="17.25" customHeight="1">
      <c r="A826" s="123"/>
      <c r="B826" s="1"/>
      <c r="C826" s="1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  <c r="AB826" s="123"/>
    </row>
    <row r="827" ht="17.25" customHeight="1">
      <c r="A827" s="123"/>
      <c r="B827" s="1"/>
      <c r="C827" s="1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  <c r="AB827" s="123"/>
    </row>
    <row r="828" ht="17.25" customHeight="1">
      <c r="A828" s="123"/>
      <c r="B828" s="1"/>
      <c r="C828" s="1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  <c r="AB828" s="123"/>
    </row>
    <row r="829" ht="17.25" customHeight="1">
      <c r="A829" s="123"/>
      <c r="B829" s="1"/>
      <c r="C829" s="1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  <c r="AB829" s="123"/>
    </row>
    <row r="830" ht="17.25" customHeight="1">
      <c r="A830" s="123"/>
      <c r="B830" s="1"/>
      <c r="C830" s="1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  <c r="AB830" s="123"/>
    </row>
    <row r="831" ht="17.25" customHeight="1">
      <c r="A831" s="123"/>
      <c r="B831" s="1"/>
      <c r="C831" s="1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  <c r="AB831" s="123"/>
    </row>
    <row r="832" ht="17.25" customHeight="1">
      <c r="A832" s="123"/>
      <c r="B832" s="1"/>
      <c r="C832" s="1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  <c r="AB832" s="123"/>
    </row>
    <row r="833" ht="17.25" customHeight="1">
      <c r="A833" s="123"/>
      <c r="B833" s="1"/>
      <c r="C833" s="1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  <c r="AB833" s="123"/>
    </row>
    <row r="834" ht="17.25" customHeight="1">
      <c r="A834" s="123"/>
      <c r="B834" s="1"/>
      <c r="C834" s="1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  <c r="AB834" s="123"/>
    </row>
    <row r="835" ht="17.25" customHeight="1">
      <c r="A835" s="123"/>
      <c r="B835" s="1"/>
      <c r="C835" s="1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  <c r="AB835" s="123"/>
    </row>
    <row r="836" ht="17.25" customHeight="1">
      <c r="A836" s="123"/>
      <c r="B836" s="1"/>
      <c r="C836" s="1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  <c r="AB836" s="123"/>
    </row>
    <row r="837" ht="17.25" customHeight="1">
      <c r="A837" s="123"/>
      <c r="B837" s="1"/>
      <c r="C837" s="1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  <c r="AB837" s="123"/>
    </row>
    <row r="838" ht="17.25" customHeight="1">
      <c r="A838" s="123"/>
      <c r="B838" s="1"/>
      <c r="C838" s="1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  <c r="AB838" s="123"/>
    </row>
    <row r="839" ht="17.25" customHeight="1">
      <c r="A839" s="123"/>
      <c r="B839" s="1"/>
      <c r="C839" s="1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  <c r="AB839" s="123"/>
    </row>
    <row r="840" ht="17.25" customHeight="1">
      <c r="A840" s="123"/>
      <c r="B840" s="1"/>
      <c r="C840" s="1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  <c r="AB840" s="123"/>
    </row>
    <row r="841" ht="17.25" customHeight="1">
      <c r="A841" s="123"/>
      <c r="B841" s="1"/>
      <c r="C841" s="1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  <c r="AB841" s="123"/>
    </row>
    <row r="842" ht="17.25" customHeight="1">
      <c r="A842" s="123"/>
      <c r="B842" s="1"/>
      <c r="C842" s="1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  <c r="AB842" s="123"/>
    </row>
    <row r="843" ht="17.25" customHeight="1">
      <c r="A843" s="123"/>
      <c r="B843" s="1"/>
      <c r="C843" s="1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  <c r="AB843" s="123"/>
    </row>
    <row r="844" ht="17.25" customHeight="1">
      <c r="A844" s="123"/>
      <c r="B844" s="1"/>
      <c r="C844" s="1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  <c r="AB844" s="123"/>
    </row>
    <row r="845" ht="17.25" customHeight="1">
      <c r="A845" s="123"/>
      <c r="B845" s="1"/>
      <c r="C845" s="1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  <c r="AB845" s="123"/>
    </row>
    <row r="846" ht="17.25" customHeight="1">
      <c r="A846" s="123"/>
      <c r="B846" s="1"/>
      <c r="C846" s="1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  <c r="AB846" s="123"/>
    </row>
    <row r="847" ht="17.25" customHeight="1">
      <c r="A847" s="123"/>
      <c r="B847" s="1"/>
      <c r="C847" s="1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  <c r="AB847" s="123"/>
    </row>
    <row r="848" ht="17.25" customHeight="1">
      <c r="A848" s="123"/>
      <c r="B848" s="1"/>
      <c r="C848" s="1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  <c r="AB848" s="123"/>
    </row>
    <row r="849" ht="17.25" customHeight="1">
      <c r="A849" s="123"/>
      <c r="B849" s="1"/>
      <c r="C849" s="1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  <c r="AB849" s="123"/>
    </row>
    <row r="850" ht="17.25" customHeight="1">
      <c r="A850" s="123"/>
      <c r="B850" s="1"/>
      <c r="C850" s="1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  <c r="AB850" s="123"/>
    </row>
    <row r="851" ht="17.25" customHeight="1">
      <c r="A851" s="123"/>
      <c r="B851" s="1"/>
      <c r="C851" s="1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  <c r="AB851" s="123"/>
    </row>
    <row r="852" ht="17.25" customHeight="1">
      <c r="A852" s="123"/>
      <c r="B852" s="1"/>
      <c r="C852" s="1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  <c r="AB852" s="123"/>
    </row>
    <row r="853" ht="17.25" customHeight="1">
      <c r="A853" s="123"/>
      <c r="B853" s="1"/>
      <c r="C853" s="1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  <c r="AB853" s="123"/>
    </row>
    <row r="854" ht="17.25" customHeight="1">
      <c r="A854" s="123"/>
      <c r="B854" s="1"/>
      <c r="C854" s="1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  <c r="AB854" s="123"/>
    </row>
    <row r="855" ht="17.25" customHeight="1">
      <c r="A855" s="123"/>
      <c r="B855" s="1"/>
      <c r="C855" s="1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  <c r="AB855" s="123"/>
    </row>
    <row r="856" ht="17.25" customHeight="1">
      <c r="A856" s="123"/>
      <c r="B856" s="1"/>
      <c r="C856" s="1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  <c r="AB856" s="123"/>
    </row>
    <row r="857" ht="17.25" customHeight="1">
      <c r="A857" s="123"/>
      <c r="B857" s="1"/>
      <c r="C857" s="1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  <c r="AB857" s="123"/>
    </row>
    <row r="858" ht="17.25" customHeight="1">
      <c r="A858" s="123"/>
      <c r="B858" s="1"/>
      <c r="C858" s="1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  <c r="AB858" s="123"/>
    </row>
    <row r="859" ht="17.25" customHeight="1">
      <c r="A859" s="123"/>
      <c r="B859" s="1"/>
      <c r="C859" s="1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  <c r="AB859" s="123"/>
    </row>
    <row r="860" ht="17.25" customHeight="1">
      <c r="A860" s="123"/>
      <c r="B860" s="1"/>
      <c r="C860" s="1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  <c r="AB860" s="123"/>
    </row>
    <row r="861" ht="17.25" customHeight="1">
      <c r="A861" s="123"/>
      <c r="B861" s="1"/>
      <c r="C861" s="1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  <c r="AB861" s="123"/>
    </row>
    <row r="862" ht="17.25" customHeight="1">
      <c r="A862" s="123"/>
      <c r="B862" s="1"/>
      <c r="C862" s="1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  <c r="AB862" s="123"/>
    </row>
    <row r="863" ht="17.25" customHeight="1">
      <c r="A863" s="123"/>
      <c r="B863" s="1"/>
      <c r="C863" s="1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  <c r="AB863" s="123"/>
    </row>
    <row r="864" ht="17.25" customHeight="1">
      <c r="A864" s="123"/>
      <c r="B864" s="1"/>
      <c r="C864" s="1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  <c r="AB864" s="123"/>
    </row>
    <row r="865" ht="17.25" customHeight="1">
      <c r="A865" s="123"/>
      <c r="B865" s="1"/>
      <c r="C865" s="1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  <c r="AB865" s="123"/>
    </row>
    <row r="866" ht="17.25" customHeight="1">
      <c r="A866" s="123"/>
      <c r="B866" s="1"/>
      <c r="C866" s="1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  <c r="AB866" s="123"/>
    </row>
    <row r="867" ht="17.25" customHeight="1">
      <c r="A867" s="123"/>
      <c r="B867" s="1"/>
      <c r="C867" s="1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  <c r="AB867" s="123"/>
    </row>
    <row r="868" ht="17.25" customHeight="1">
      <c r="A868" s="123"/>
      <c r="B868" s="1"/>
      <c r="C868" s="1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  <c r="AB868" s="123"/>
    </row>
    <row r="869" ht="17.25" customHeight="1">
      <c r="A869" s="123"/>
      <c r="B869" s="1"/>
      <c r="C869" s="1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  <c r="AB869" s="123"/>
    </row>
    <row r="870" ht="17.25" customHeight="1">
      <c r="A870" s="123"/>
      <c r="B870" s="1"/>
      <c r="C870" s="1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  <c r="AB870" s="123"/>
    </row>
    <row r="871" ht="17.25" customHeight="1">
      <c r="A871" s="123"/>
      <c r="B871" s="1"/>
      <c r="C871" s="1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  <c r="AB871" s="123"/>
    </row>
    <row r="872" ht="17.25" customHeight="1">
      <c r="A872" s="123"/>
      <c r="B872" s="1"/>
      <c r="C872" s="1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  <c r="AB872" s="123"/>
    </row>
    <row r="873" ht="17.25" customHeight="1">
      <c r="A873" s="123"/>
      <c r="B873" s="1"/>
      <c r="C873" s="1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  <c r="AB873" s="123"/>
    </row>
    <row r="874" ht="17.25" customHeight="1">
      <c r="A874" s="123"/>
      <c r="B874" s="1"/>
      <c r="C874" s="1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  <c r="AB874" s="123"/>
    </row>
    <row r="875" ht="17.25" customHeight="1">
      <c r="A875" s="123"/>
      <c r="B875" s="1"/>
      <c r="C875" s="1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  <c r="AB875" s="123"/>
    </row>
    <row r="876" ht="17.25" customHeight="1">
      <c r="A876" s="123"/>
      <c r="B876" s="1"/>
      <c r="C876" s="1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  <c r="AB876" s="123"/>
    </row>
    <row r="877" ht="17.25" customHeight="1">
      <c r="A877" s="123"/>
      <c r="B877" s="1"/>
      <c r="C877" s="1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  <c r="AB877" s="123"/>
    </row>
    <row r="878" ht="17.25" customHeight="1">
      <c r="A878" s="123"/>
      <c r="B878" s="1"/>
      <c r="C878" s="1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  <c r="AB878" s="123"/>
    </row>
    <row r="879" ht="17.25" customHeight="1">
      <c r="A879" s="123"/>
      <c r="B879" s="1"/>
      <c r="C879" s="1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  <c r="AB879" s="123"/>
    </row>
    <row r="880" ht="17.25" customHeight="1">
      <c r="A880" s="123"/>
      <c r="B880" s="1"/>
      <c r="C880" s="1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  <c r="AB880" s="123"/>
    </row>
    <row r="881" ht="17.25" customHeight="1">
      <c r="A881" s="123"/>
      <c r="B881" s="1"/>
      <c r="C881" s="1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  <c r="AB881" s="123"/>
    </row>
    <row r="882" ht="17.25" customHeight="1">
      <c r="A882" s="123"/>
      <c r="B882" s="1"/>
      <c r="C882" s="1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  <c r="AB882" s="123"/>
    </row>
    <row r="883" ht="17.25" customHeight="1">
      <c r="A883" s="123"/>
      <c r="B883" s="1"/>
      <c r="C883" s="1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  <c r="AB883" s="123"/>
    </row>
    <row r="884" ht="17.25" customHeight="1">
      <c r="A884" s="123"/>
      <c r="B884" s="1"/>
      <c r="C884" s="1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  <c r="AB884" s="123"/>
    </row>
    <row r="885" ht="17.25" customHeight="1">
      <c r="A885" s="123"/>
      <c r="B885" s="1"/>
      <c r="C885" s="1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  <c r="AB885" s="123"/>
    </row>
    <row r="886" ht="17.25" customHeight="1">
      <c r="A886" s="123"/>
      <c r="B886" s="1"/>
      <c r="C886" s="1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  <c r="AB886" s="123"/>
    </row>
    <row r="887" ht="17.25" customHeight="1">
      <c r="A887" s="123"/>
      <c r="B887" s="1"/>
      <c r="C887" s="1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  <c r="AB887" s="123"/>
    </row>
    <row r="888" ht="17.25" customHeight="1">
      <c r="A888" s="123"/>
      <c r="B888" s="1"/>
      <c r="C888" s="1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  <c r="AB888" s="123"/>
    </row>
    <row r="889" ht="17.25" customHeight="1">
      <c r="A889" s="123"/>
      <c r="B889" s="1"/>
      <c r="C889" s="1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  <c r="AB889" s="123"/>
    </row>
    <row r="890" ht="17.25" customHeight="1">
      <c r="A890" s="123"/>
      <c r="B890" s="1"/>
      <c r="C890" s="1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  <c r="AB890" s="123"/>
    </row>
    <row r="891" ht="17.25" customHeight="1">
      <c r="A891" s="123"/>
      <c r="B891" s="1"/>
      <c r="C891" s="1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  <c r="AB891" s="123"/>
    </row>
    <row r="892" ht="17.25" customHeight="1">
      <c r="A892" s="123"/>
      <c r="B892" s="1"/>
      <c r="C892" s="1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  <c r="AB892" s="123"/>
    </row>
    <row r="893" ht="17.25" customHeight="1">
      <c r="A893" s="123"/>
      <c r="B893" s="1"/>
      <c r="C893" s="1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  <c r="AB893" s="123"/>
    </row>
    <row r="894" ht="17.25" customHeight="1">
      <c r="A894" s="123"/>
      <c r="B894" s="1"/>
      <c r="C894" s="1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  <c r="AB894" s="123"/>
    </row>
    <row r="895" ht="17.25" customHeight="1">
      <c r="A895" s="123"/>
      <c r="B895" s="1"/>
      <c r="C895" s="1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  <c r="AB895" s="123"/>
    </row>
    <row r="896" ht="17.25" customHeight="1">
      <c r="A896" s="123"/>
      <c r="B896" s="1"/>
      <c r="C896" s="1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  <c r="AB896" s="123"/>
    </row>
    <row r="897" ht="17.25" customHeight="1">
      <c r="A897" s="123"/>
      <c r="B897" s="1"/>
      <c r="C897" s="1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  <c r="AB897" s="123"/>
    </row>
    <row r="898" ht="17.25" customHeight="1">
      <c r="A898" s="123"/>
      <c r="B898" s="1"/>
      <c r="C898" s="1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  <c r="AB898" s="123"/>
    </row>
    <row r="899" ht="17.25" customHeight="1">
      <c r="A899" s="123"/>
      <c r="B899" s="1"/>
      <c r="C899" s="1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  <c r="AB899" s="123"/>
    </row>
    <row r="900" ht="17.25" customHeight="1">
      <c r="A900" s="123"/>
      <c r="B900" s="1"/>
      <c r="C900" s="1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  <c r="AB900" s="123"/>
    </row>
    <row r="901" ht="17.25" customHeight="1">
      <c r="A901" s="123"/>
      <c r="B901" s="1"/>
      <c r="C901" s="1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  <c r="AB901" s="123"/>
    </row>
    <row r="902" ht="17.25" customHeight="1">
      <c r="A902" s="123"/>
      <c r="B902" s="1"/>
      <c r="C902" s="1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  <c r="AB902" s="123"/>
    </row>
    <row r="903" ht="17.25" customHeight="1">
      <c r="A903" s="123"/>
      <c r="B903" s="1"/>
      <c r="C903" s="1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  <c r="AB903" s="123"/>
    </row>
    <row r="904" ht="17.25" customHeight="1">
      <c r="A904" s="123"/>
      <c r="B904" s="1"/>
      <c r="C904" s="1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  <c r="AB904" s="123"/>
    </row>
    <row r="905" ht="17.25" customHeight="1">
      <c r="A905" s="123"/>
      <c r="B905" s="1"/>
      <c r="C905" s="1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  <c r="AB905" s="123"/>
    </row>
    <row r="906" ht="17.25" customHeight="1">
      <c r="A906" s="123"/>
      <c r="B906" s="1"/>
      <c r="C906" s="1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  <c r="AB906" s="123"/>
    </row>
    <row r="907" ht="17.25" customHeight="1">
      <c r="A907" s="123"/>
      <c r="B907" s="1"/>
      <c r="C907" s="1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  <c r="AB907" s="123"/>
    </row>
    <row r="908" ht="17.25" customHeight="1">
      <c r="A908" s="123"/>
      <c r="B908" s="1"/>
      <c r="C908" s="1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  <c r="AB908" s="123"/>
    </row>
    <row r="909" ht="17.25" customHeight="1">
      <c r="A909" s="123"/>
      <c r="B909" s="1"/>
      <c r="C909" s="1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  <c r="AB909" s="123"/>
    </row>
    <row r="910" ht="17.25" customHeight="1">
      <c r="A910" s="123"/>
      <c r="B910" s="1"/>
      <c r="C910" s="1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  <c r="AB910" s="123"/>
    </row>
    <row r="911" ht="17.25" customHeight="1">
      <c r="A911" s="123"/>
      <c r="B911" s="1"/>
      <c r="C911" s="1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  <c r="AB911" s="123"/>
    </row>
    <row r="912" ht="17.25" customHeight="1">
      <c r="A912" s="123"/>
      <c r="B912" s="1"/>
      <c r="C912" s="1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  <c r="AB912" s="123"/>
    </row>
    <row r="913" ht="17.25" customHeight="1">
      <c r="A913" s="123"/>
      <c r="B913" s="1"/>
      <c r="C913" s="1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  <c r="AB913" s="123"/>
    </row>
    <row r="914" ht="17.25" customHeight="1">
      <c r="A914" s="123"/>
      <c r="B914" s="1"/>
      <c r="C914" s="1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  <c r="AB914" s="123"/>
    </row>
    <row r="915" ht="17.25" customHeight="1">
      <c r="A915" s="123"/>
      <c r="B915" s="1"/>
      <c r="C915" s="1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  <c r="AB915" s="123"/>
    </row>
    <row r="916" ht="17.25" customHeight="1">
      <c r="A916" s="123"/>
      <c r="B916" s="1"/>
      <c r="C916" s="1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  <c r="AB916" s="123"/>
    </row>
    <row r="917" ht="17.25" customHeight="1">
      <c r="A917" s="123"/>
      <c r="B917" s="1"/>
      <c r="C917" s="1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  <c r="AB917" s="123"/>
    </row>
    <row r="918" ht="17.25" customHeight="1">
      <c r="A918" s="123"/>
      <c r="B918" s="1"/>
      <c r="C918" s="1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  <c r="AB918" s="123"/>
    </row>
    <row r="919" ht="17.25" customHeight="1">
      <c r="A919" s="123"/>
      <c r="B919" s="1"/>
      <c r="C919" s="1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  <c r="AB919" s="123"/>
    </row>
    <row r="920" ht="17.25" customHeight="1">
      <c r="A920" s="123"/>
      <c r="B920" s="1"/>
      <c r="C920" s="1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  <c r="AB920" s="123"/>
    </row>
    <row r="921" ht="17.25" customHeight="1">
      <c r="A921" s="123"/>
      <c r="B921" s="1"/>
      <c r="C921" s="1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  <c r="AB921" s="123"/>
    </row>
    <row r="922" ht="17.25" customHeight="1">
      <c r="A922" s="123"/>
      <c r="B922" s="1"/>
      <c r="C922" s="1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  <c r="AB922" s="123"/>
    </row>
    <row r="923" ht="17.25" customHeight="1">
      <c r="A923" s="123"/>
      <c r="B923" s="1"/>
      <c r="C923" s="1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  <c r="AB923" s="123"/>
    </row>
    <row r="924" ht="17.25" customHeight="1">
      <c r="A924" s="123"/>
      <c r="B924" s="1"/>
      <c r="C924" s="1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  <c r="AB924" s="123"/>
    </row>
    <row r="925" ht="17.25" customHeight="1">
      <c r="A925" s="123"/>
      <c r="B925" s="1"/>
      <c r="C925" s="1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  <c r="AB925" s="123"/>
    </row>
    <row r="926" ht="17.25" customHeight="1">
      <c r="A926" s="123"/>
      <c r="B926" s="1"/>
      <c r="C926" s="1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  <c r="AB926" s="123"/>
    </row>
    <row r="927" ht="17.25" customHeight="1">
      <c r="A927" s="123"/>
      <c r="B927" s="1"/>
      <c r="C927" s="1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  <c r="AB927" s="123"/>
    </row>
    <row r="928" ht="17.25" customHeight="1">
      <c r="A928" s="123"/>
      <c r="B928" s="1"/>
      <c r="C928" s="1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  <c r="AB928" s="123"/>
    </row>
    <row r="929" ht="17.25" customHeight="1">
      <c r="A929" s="123"/>
      <c r="B929" s="1"/>
      <c r="C929" s="1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  <c r="AB929" s="123"/>
    </row>
    <row r="930" ht="17.25" customHeight="1">
      <c r="A930" s="123"/>
      <c r="B930" s="1"/>
      <c r="C930" s="1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  <c r="AB930" s="123"/>
    </row>
    <row r="931" ht="17.25" customHeight="1">
      <c r="A931" s="123"/>
      <c r="B931" s="1"/>
      <c r="C931" s="1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  <c r="AB931" s="123"/>
    </row>
    <row r="932" ht="17.25" customHeight="1">
      <c r="A932" s="123"/>
      <c r="B932" s="1"/>
      <c r="C932" s="1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  <c r="AB932" s="123"/>
    </row>
    <row r="933" ht="17.25" customHeight="1">
      <c r="A933" s="123"/>
      <c r="B933" s="1"/>
      <c r="C933" s="1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  <c r="AB933" s="123"/>
    </row>
    <row r="934" ht="17.25" customHeight="1">
      <c r="A934" s="123"/>
      <c r="B934" s="1"/>
      <c r="C934" s="1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  <c r="AB934" s="123"/>
    </row>
    <row r="935" ht="17.25" customHeight="1">
      <c r="A935" s="123"/>
      <c r="B935" s="1"/>
      <c r="C935" s="1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  <c r="AB935" s="123"/>
    </row>
    <row r="936" ht="17.25" customHeight="1">
      <c r="A936" s="123"/>
      <c r="B936" s="1"/>
      <c r="C936" s="1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  <c r="AB936" s="123"/>
    </row>
    <row r="937" ht="17.25" customHeight="1">
      <c r="A937" s="123"/>
      <c r="B937" s="1"/>
      <c r="C937" s="1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  <c r="AB937" s="123"/>
    </row>
    <row r="938" ht="17.25" customHeight="1">
      <c r="A938" s="123"/>
      <c r="B938" s="1"/>
      <c r="C938" s="1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  <c r="AB938" s="123"/>
    </row>
    <row r="939" ht="17.25" customHeight="1">
      <c r="A939" s="123"/>
      <c r="B939" s="1"/>
      <c r="C939" s="1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  <c r="AB939" s="123"/>
    </row>
    <row r="940" ht="17.25" customHeight="1">
      <c r="A940" s="123"/>
      <c r="B940" s="1"/>
      <c r="C940" s="1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  <c r="AB940" s="123"/>
    </row>
    <row r="941" ht="17.25" customHeight="1">
      <c r="A941" s="123"/>
      <c r="B941" s="1"/>
      <c r="C941" s="1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  <c r="AB941" s="123"/>
    </row>
    <row r="942" ht="17.25" customHeight="1">
      <c r="A942" s="123"/>
      <c r="B942" s="1"/>
      <c r="C942" s="1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  <c r="AB942" s="123"/>
    </row>
    <row r="943" ht="17.25" customHeight="1">
      <c r="A943" s="123"/>
      <c r="B943" s="1"/>
      <c r="C943" s="1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  <c r="AB943" s="123"/>
    </row>
    <row r="944" ht="17.25" customHeight="1">
      <c r="A944" s="123"/>
      <c r="B944" s="1"/>
      <c r="C944" s="1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  <c r="AB944" s="123"/>
    </row>
    <row r="945" ht="17.25" customHeight="1">
      <c r="A945" s="123"/>
      <c r="B945" s="1"/>
      <c r="C945" s="1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  <c r="AB945" s="123"/>
    </row>
    <row r="946" ht="17.25" customHeight="1">
      <c r="A946" s="123"/>
      <c r="B946" s="1"/>
      <c r="C946" s="1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  <c r="AB946" s="123"/>
    </row>
    <row r="947" ht="17.25" customHeight="1">
      <c r="A947" s="123"/>
      <c r="B947" s="1"/>
      <c r="C947" s="1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  <c r="AB947" s="123"/>
    </row>
    <row r="948" ht="17.25" customHeight="1">
      <c r="A948" s="123"/>
      <c r="B948" s="1"/>
      <c r="C948" s="1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  <c r="AB948" s="123"/>
    </row>
    <row r="949" ht="17.25" customHeight="1">
      <c r="A949" s="123"/>
      <c r="B949" s="1"/>
      <c r="C949" s="1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  <c r="AB949" s="123"/>
    </row>
    <row r="950" ht="17.25" customHeight="1">
      <c r="A950" s="123"/>
      <c r="B950" s="1"/>
      <c r="C950" s="1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  <c r="AB950" s="123"/>
    </row>
    <row r="951" ht="17.25" customHeight="1">
      <c r="A951" s="123"/>
      <c r="B951" s="1"/>
      <c r="C951" s="1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  <c r="AB951" s="123"/>
    </row>
    <row r="952" ht="17.25" customHeight="1">
      <c r="A952" s="123"/>
      <c r="B952" s="1"/>
      <c r="C952" s="1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  <c r="AB952" s="123"/>
    </row>
    <row r="953" ht="17.25" customHeight="1">
      <c r="A953" s="123"/>
      <c r="B953" s="1"/>
      <c r="C953" s="1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  <c r="AB953" s="123"/>
    </row>
    <row r="954" ht="17.25" customHeight="1">
      <c r="A954" s="123"/>
      <c r="B954" s="1"/>
      <c r="C954" s="1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  <c r="AB954" s="123"/>
    </row>
    <row r="955" ht="17.25" customHeight="1">
      <c r="A955" s="123"/>
      <c r="B955" s="1"/>
      <c r="C955" s="1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  <c r="AB955" s="123"/>
    </row>
    <row r="956" ht="17.25" customHeight="1">
      <c r="A956" s="123"/>
      <c r="B956" s="1"/>
      <c r="C956" s="1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  <c r="AB956" s="123"/>
    </row>
    <row r="957" ht="17.25" customHeight="1">
      <c r="A957" s="123"/>
      <c r="B957" s="1"/>
      <c r="C957" s="1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  <c r="AB957" s="123"/>
    </row>
    <row r="958" ht="17.25" customHeight="1">
      <c r="A958" s="123"/>
      <c r="B958" s="1"/>
      <c r="C958" s="1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  <c r="AB958" s="123"/>
    </row>
    <row r="959" ht="17.25" customHeight="1">
      <c r="A959" s="123"/>
      <c r="B959" s="1"/>
      <c r="C959" s="1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  <c r="AB959" s="123"/>
    </row>
    <row r="960" ht="17.25" customHeight="1">
      <c r="A960" s="123"/>
      <c r="B960" s="1"/>
      <c r="C960" s="1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  <c r="AB960" s="123"/>
    </row>
    <row r="961" ht="17.25" customHeight="1">
      <c r="A961" s="123"/>
      <c r="B961" s="1"/>
      <c r="C961" s="1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  <c r="AB961" s="123"/>
    </row>
    <row r="962" ht="17.25" customHeight="1">
      <c r="A962" s="123"/>
      <c r="B962" s="1"/>
      <c r="C962" s="1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  <c r="AB962" s="123"/>
    </row>
    <row r="963" ht="17.25" customHeight="1">
      <c r="A963" s="123"/>
      <c r="B963" s="1"/>
      <c r="C963" s="1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  <c r="AB963" s="123"/>
    </row>
    <row r="964" ht="17.25" customHeight="1">
      <c r="A964" s="123"/>
      <c r="B964" s="1"/>
      <c r="C964" s="1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  <c r="AB964" s="123"/>
    </row>
    <row r="965" ht="17.25" customHeight="1">
      <c r="A965" s="123"/>
      <c r="B965" s="1"/>
      <c r="C965" s="1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  <c r="AB965" s="123"/>
    </row>
    <row r="966" ht="17.25" customHeight="1">
      <c r="A966" s="123"/>
      <c r="B966" s="1"/>
      <c r="C966" s="1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  <c r="AB966" s="123"/>
    </row>
    <row r="967" ht="17.25" customHeight="1">
      <c r="A967" s="123"/>
      <c r="B967" s="1"/>
      <c r="C967" s="1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  <c r="AB967" s="123"/>
    </row>
    <row r="968" ht="17.25" customHeight="1">
      <c r="A968" s="123"/>
      <c r="B968" s="1"/>
      <c r="C968" s="1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  <c r="AB968" s="123"/>
    </row>
    <row r="969" ht="17.25" customHeight="1">
      <c r="A969" s="123"/>
      <c r="B969" s="1"/>
      <c r="C969" s="1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  <c r="AB969" s="123"/>
    </row>
    <row r="970" ht="17.25" customHeight="1">
      <c r="A970" s="123"/>
      <c r="B970" s="1"/>
      <c r="C970" s="1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  <c r="AB970" s="123"/>
    </row>
    <row r="971" ht="17.25" customHeight="1">
      <c r="A971" s="123"/>
      <c r="B971" s="1"/>
      <c r="C971" s="1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  <c r="AB971" s="123"/>
    </row>
    <row r="972" ht="17.25" customHeight="1">
      <c r="A972" s="123"/>
      <c r="B972" s="1"/>
      <c r="C972" s="1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  <c r="AB972" s="123"/>
    </row>
    <row r="973" ht="17.25" customHeight="1">
      <c r="A973" s="123"/>
      <c r="B973" s="1"/>
      <c r="C973" s="1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  <c r="AB973" s="123"/>
    </row>
    <row r="974" ht="17.25" customHeight="1">
      <c r="A974" s="123"/>
      <c r="B974" s="1"/>
      <c r="C974" s="1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  <c r="AB974" s="123"/>
    </row>
    <row r="975" ht="17.25" customHeight="1">
      <c r="A975" s="123"/>
      <c r="B975" s="1"/>
      <c r="C975" s="1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  <c r="AB975" s="123"/>
    </row>
    <row r="976" ht="17.25" customHeight="1">
      <c r="A976" s="123"/>
      <c r="B976" s="1"/>
      <c r="C976" s="1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  <c r="AB976" s="123"/>
    </row>
    <row r="977" ht="17.25" customHeight="1">
      <c r="A977" s="123"/>
      <c r="B977" s="1"/>
      <c r="C977" s="1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  <c r="AB977" s="123"/>
    </row>
    <row r="978" ht="17.25" customHeight="1">
      <c r="A978" s="123"/>
      <c r="B978" s="1"/>
      <c r="C978" s="1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  <c r="AB978" s="123"/>
    </row>
    <row r="979" ht="17.25" customHeight="1">
      <c r="A979" s="123"/>
      <c r="B979" s="1"/>
      <c r="C979" s="1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  <c r="AB979" s="123"/>
    </row>
    <row r="980" ht="17.25" customHeight="1">
      <c r="A980" s="123"/>
      <c r="B980" s="1"/>
      <c r="C980" s="1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  <c r="AB980" s="123"/>
    </row>
    <row r="981" ht="17.25" customHeight="1">
      <c r="A981" s="123"/>
      <c r="B981" s="1"/>
      <c r="C981" s="1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  <c r="AB981" s="123"/>
    </row>
    <row r="982" ht="17.25" customHeight="1">
      <c r="A982" s="123"/>
      <c r="B982" s="1"/>
      <c r="C982" s="1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  <c r="AB982" s="123"/>
    </row>
    <row r="983" ht="17.25" customHeight="1">
      <c r="A983" s="123"/>
      <c r="B983" s="1"/>
      <c r="C983" s="1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  <c r="AB983" s="123"/>
    </row>
    <row r="984" ht="17.25" customHeight="1">
      <c r="A984" s="123"/>
      <c r="B984" s="1"/>
      <c r="C984" s="1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  <c r="AB984" s="123"/>
    </row>
    <row r="985" ht="17.25" customHeight="1">
      <c r="A985" s="123"/>
      <c r="B985" s="1"/>
      <c r="C985" s="1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  <c r="AB985" s="123"/>
    </row>
    <row r="986" ht="17.25" customHeight="1">
      <c r="A986" s="123"/>
      <c r="B986" s="1"/>
      <c r="C986" s="1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  <c r="AB986" s="123"/>
    </row>
    <row r="987" ht="17.25" customHeight="1">
      <c r="A987" s="123"/>
      <c r="B987" s="1"/>
      <c r="C987" s="1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  <c r="AB987" s="123"/>
    </row>
    <row r="988" ht="17.25" customHeight="1">
      <c r="A988" s="123"/>
      <c r="B988" s="1"/>
      <c r="C988" s="1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  <c r="AB988" s="123"/>
    </row>
    <row r="989" ht="17.25" customHeight="1">
      <c r="A989" s="123"/>
      <c r="B989" s="1"/>
      <c r="C989" s="1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  <c r="AB989" s="123"/>
    </row>
    <row r="990" ht="17.25" customHeight="1">
      <c r="A990" s="123"/>
      <c r="B990" s="1"/>
      <c r="C990" s="1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  <c r="AB990" s="123"/>
    </row>
    <row r="991" ht="17.25" customHeight="1">
      <c r="A991" s="123"/>
      <c r="B991" s="1"/>
      <c r="C991" s="1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  <c r="AB991" s="123"/>
    </row>
    <row r="992" ht="17.25" customHeight="1">
      <c r="A992" s="123"/>
      <c r="B992" s="1"/>
      <c r="C992" s="1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  <c r="AB992" s="123"/>
    </row>
    <row r="993" ht="17.25" customHeight="1">
      <c r="A993" s="123"/>
      <c r="B993" s="1"/>
      <c r="C993" s="1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  <c r="AB993" s="123"/>
    </row>
    <row r="994" ht="17.25" customHeight="1">
      <c r="A994" s="123"/>
      <c r="B994" s="1"/>
      <c r="C994" s="1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  <c r="AB994" s="123"/>
    </row>
    <row r="995" ht="17.25" customHeight="1">
      <c r="A995" s="123"/>
      <c r="B995" s="1"/>
      <c r="C995" s="1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  <c r="AB995" s="123"/>
    </row>
    <row r="996" ht="17.25" customHeight="1">
      <c r="A996" s="123"/>
      <c r="B996" s="1"/>
      <c r="C996" s="1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  <c r="AB996" s="123"/>
    </row>
    <row r="997" ht="17.25" customHeight="1">
      <c r="A997" s="123"/>
      <c r="B997" s="1"/>
      <c r="C997" s="1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  <c r="AB997" s="123"/>
    </row>
    <row r="998" ht="17.25" customHeight="1">
      <c r="A998" s="123"/>
      <c r="B998" s="1"/>
      <c r="C998" s="1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  <c r="AB998" s="123"/>
    </row>
  </sheetData>
  <autoFilter ref="$F$3:$K$14">
    <sortState ref="F3:K14">
      <sortCondition ref="J3:J14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2.86"/>
    <col customWidth="1" min="3" max="13" width="10.14"/>
    <col customWidth="1" min="14" max="26" width="10.71"/>
  </cols>
  <sheetData>
    <row r="1" ht="9.0" customHeight="1">
      <c r="A1" s="135"/>
      <c r="B1" s="135"/>
      <c r="C1" s="135"/>
      <c r="D1" s="135" t="str">
        <f t="shared" ref="D1:M1" si="1">IF(E2="x","y","")</f>
        <v/>
      </c>
      <c r="E1" s="135" t="str">
        <f t="shared" si="1"/>
        <v>y</v>
      </c>
      <c r="F1" s="135" t="str">
        <f t="shared" si="1"/>
        <v/>
      </c>
      <c r="G1" s="135" t="str">
        <f t="shared" si="1"/>
        <v/>
      </c>
      <c r="H1" s="135" t="str">
        <f t="shared" si="1"/>
        <v/>
      </c>
      <c r="I1" s="135" t="str">
        <f t="shared" si="1"/>
        <v/>
      </c>
      <c r="J1" s="135" t="str">
        <f t="shared" si="1"/>
        <v/>
      </c>
      <c r="K1" s="135" t="str">
        <f t="shared" si="1"/>
        <v/>
      </c>
      <c r="L1" s="135" t="str">
        <f t="shared" si="1"/>
        <v/>
      </c>
      <c r="M1" s="135" t="str">
        <f t="shared" si="1"/>
        <v/>
      </c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ht="17.25" customHeight="1">
      <c r="A2" s="135"/>
      <c r="B2" s="125" t="s">
        <v>206</v>
      </c>
      <c r="C2" s="135"/>
      <c r="D2" s="47" t="str">
        <f t="shared" ref="D2:M2" si="2">IF(AND(D10&gt;0,C10&lt;0),"x","")</f>
        <v/>
      </c>
      <c r="E2" s="47" t="str">
        <f t="shared" si="2"/>
        <v/>
      </c>
      <c r="F2" s="47" t="str">
        <f t="shared" si="2"/>
        <v>x</v>
      </c>
      <c r="G2" s="47" t="str">
        <f t="shared" si="2"/>
        <v/>
      </c>
      <c r="H2" s="47" t="str">
        <f t="shared" si="2"/>
        <v/>
      </c>
      <c r="I2" s="47" t="str">
        <f t="shared" si="2"/>
        <v/>
      </c>
      <c r="J2" s="47" t="str">
        <f t="shared" si="2"/>
        <v/>
      </c>
      <c r="K2" s="47" t="str">
        <f t="shared" si="2"/>
        <v/>
      </c>
      <c r="L2" s="47" t="str">
        <f t="shared" si="2"/>
        <v/>
      </c>
      <c r="M2" s="47" t="str">
        <f t="shared" si="2"/>
        <v/>
      </c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ht="22.5" customHeight="1">
      <c r="A3" s="135"/>
      <c r="B3" s="127" t="s">
        <v>207</v>
      </c>
      <c r="C3" s="126">
        <v>0.0</v>
      </c>
      <c r="D3" s="126">
        <v>1.0</v>
      </c>
      <c r="E3" s="126">
        <v>2.0</v>
      </c>
      <c r="F3" s="126">
        <v>3.0</v>
      </c>
      <c r="G3" s="126">
        <v>4.0</v>
      </c>
      <c r="H3" s="126">
        <v>5.0</v>
      </c>
      <c r="I3" s="126">
        <v>6.0</v>
      </c>
      <c r="J3" s="126">
        <v>7.0</v>
      </c>
      <c r="K3" s="126">
        <v>8.0</v>
      </c>
      <c r="L3" s="126">
        <v>9.0</v>
      </c>
      <c r="M3" s="126">
        <v>10.0</v>
      </c>
      <c r="N3" s="126" t="s">
        <v>17</v>
      </c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 ht="22.5" customHeight="1">
      <c r="A4" s="135"/>
      <c r="B4" s="136" t="s">
        <v>208</v>
      </c>
      <c r="C4" s="137">
        <v>0.0</v>
      </c>
      <c r="D4" s="138">
        <f>'Plan de ventas'!D47</f>
        <v>4089.222965</v>
      </c>
      <c r="E4" s="138">
        <f>'Plan de ventas'!E47</f>
        <v>4673.39094</v>
      </c>
      <c r="F4" s="138">
        <f>'Plan de ventas'!F47</f>
        <v>4866.675</v>
      </c>
      <c r="G4" s="138">
        <f>'Plan de ventas'!G47</f>
        <v>5073.95</v>
      </c>
      <c r="H4" s="138">
        <f>'Plan de ventas'!H47</f>
        <v>5316.27</v>
      </c>
      <c r="I4" s="138">
        <f>'Plan de ventas'!I47</f>
        <v>5566.765</v>
      </c>
      <c r="J4" s="138">
        <f>'Plan de ventas'!J47</f>
        <v>5833.545</v>
      </c>
      <c r="K4" s="138">
        <f>'Plan de ventas'!K47</f>
        <v>6109.205</v>
      </c>
      <c r="L4" s="138">
        <f>'Plan de ventas'!L47</f>
        <v>6397.685</v>
      </c>
      <c r="M4" s="138">
        <f>'Plan de ventas'!M47</f>
        <v>6698.69</v>
      </c>
      <c r="N4" s="139">
        <f t="shared" ref="N4:N9" si="3">SUM(C4:M4)</f>
        <v>54625.39891</v>
      </c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</row>
    <row r="5" ht="22.5" customHeight="1">
      <c r="A5" s="135"/>
      <c r="B5" s="140" t="s">
        <v>209</v>
      </c>
      <c r="C5" s="141">
        <f>Inversiones!C9</f>
        <v>1778.942</v>
      </c>
      <c r="D5" s="142">
        <f>Costos!$C$7+Inversiones!W8</f>
        <v>3794.449938</v>
      </c>
      <c r="E5" s="142">
        <f>Costos!$C$7</f>
        <v>3372.859257</v>
      </c>
      <c r="F5" s="142">
        <f>Costos!$C$7</f>
        <v>3372.859257</v>
      </c>
      <c r="G5" s="142">
        <f>Costos!$C$7</f>
        <v>3372.859257</v>
      </c>
      <c r="H5" s="142">
        <f>Costos!$C$7</f>
        <v>3372.859257</v>
      </c>
      <c r="I5" s="142">
        <f>Costos!$C$7</f>
        <v>3372.859257</v>
      </c>
      <c r="J5" s="142">
        <f>Costos!$C$7</f>
        <v>3372.859257</v>
      </c>
      <c r="K5" s="142">
        <f>Costos!$C$7</f>
        <v>3372.859257</v>
      </c>
      <c r="L5" s="142">
        <f>Costos!$C$7</f>
        <v>3372.859257</v>
      </c>
      <c r="M5" s="142">
        <f>Costos!$C$7-Inversiones!W8</f>
        <v>2951.268576</v>
      </c>
      <c r="N5" s="143">
        <f t="shared" si="3"/>
        <v>35507.53457</v>
      </c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</row>
    <row r="6" ht="22.5" customHeight="1">
      <c r="A6" s="135"/>
      <c r="B6" s="144" t="s">
        <v>210</v>
      </c>
      <c r="C6" s="145">
        <f t="shared" ref="C6:M6" si="4">C4-C5</f>
        <v>-1778.942</v>
      </c>
      <c r="D6" s="145">
        <f t="shared" si="4"/>
        <v>294.773027</v>
      </c>
      <c r="E6" s="145">
        <f t="shared" si="4"/>
        <v>1300.531683</v>
      </c>
      <c r="F6" s="145">
        <f t="shared" si="4"/>
        <v>1493.815743</v>
      </c>
      <c r="G6" s="145">
        <f t="shared" si="4"/>
        <v>1701.090743</v>
      </c>
      <c r="H6" s="145">
        <f t="shared" si="4"/>
        <v>1943.410743</v>
      </c>
      <c r="I6" s="145">
        <f t="shared" si="4"/>
        <v>2193.905743</v>
      </c>
      <c r="J6" s="145">
        <f t="shared" si="4"/>
        <v>2460.685743</v>
      </c>
      <c r="K6" s="145">
        <f t="shared" si="4"/>
        <v>2736.345743</v>
      </c>
      <c r="L6" s="145">
        <f t="shared" si="4"/>
        <v>3024.825743</v>
      </c>
      <c r="M6" s="145">
        <f t="shared" si="4"/>
        <v>3747.421424</v>
      </c>
      <c r="N6" s="146">
        <f t="shared" si="3"/>
        <v>19117.86434</v>
      </c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</row>
    <row r="7" ht="22.5" customHeight="1">
      <c r="A7" s="135"/>
      <c r="B7" s="147" t="s">
        <v>211</v>
      </c>
      <c r="C7" s="148">
        <v>0.0</v>
      </c>
      <c r="D7" s="149">
        <f t="shared" ref="D7:M7" si="5">D6*5%</f>
        <v>14.73865135</v>
      </c>
      <c r="E7" s="149">
        <f t="shared" si="5"/>
        <v>65.02658416</v>
      </c>
      <c r="F7" s="149">
        <f t="shared" si="5"/>
        <v>74.69078716</v>
      </c>
      <c r="G7" s="149">
        <f t="shared" si="5"/>
        <v>85.05453716</v>
      </c>
      <c r="H7" s="149">
        <f t="shared" si="5"/>
        <v>97.17053716</v>
      </c>
      <c r="I7" s="149">
        <f t="shared" si="5"/>
        <v>109.6952872</v>
      </c>
      <c r="J7" s="149">
        <f t="shared" si="5"/>
        <v>123.0342872</v>
      </c>
      <c r="K7" s="149">
        <f t="shared" si="5"/>
        <v>136.8172872</v>
      </c>
      <c r="L7" s="149">
        <f t="shared" si="5"/>
        <v>151.2412872</v>
      </c>
      <c r="M7" s="149">
        <f t="shared" si="5"/>
        <v>187.3710712</v>
      </c>
      <c r="N7" s="150">
        <f t="shared" si="3"/>
        <v>1044.840317</v>
      </c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ht="22.5" customHeight="1">
      <c r="A8" s="135"/>
      <c r="B8" s="151" t="s">
        <v>212</v>
      </c>
      <c r="C8" s="152">
        <v>0.0</v>
      </c>
      <c r="D8" s="153">
        <f t="shared" ref="D8:M8" si="6">D6*35%</f>
        <v>103.1705595</v>
      </c>
      <c r="E8" s="153">
        <f t="shared" si="6"/>
        <v>455.1860891</v>
      </c>
      <c r="F8" s="153">
        <f t="shared" si="6"/>
        <v>522.8355101</v>
      </c>
      <c r="G8" s="153">
        <f t="shared" si="6"/>
        <v>595.3817601</v>
      </c>
      <c r="H8" s="153">
        <f t="shared" si="6"/>
        <v>680.1937601</v>
      </c>
      <c r="I8" s="153">
        <f t="shared" si="6"/>
        <v>767.8670101</v>
      </c>
      <c r="J8" s="153">
        <f t="shared" si="6"/>
        <v>861.2400101</v>
      </c>
      <c r="K8" s="153">
        <f t="shared" si="6"/>
        <v>957.7210101</v>
      </c>
      <c r="L8" s="153">
        <f t="shared" si="6"/>
        <v>1058.68901</v>
      </c>
      <c r="M8" s="153">
        <f t="shared" si="6"/>
        <v>1311.597499</v>
      </c>
      <c r="N8" s="154">
        <f t="shared" si="3"/>
        <v>7313.882218</v>
      </c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</row>
    <row r="9" ht="22.5" customHeight="1">
      <c r="A9" s="135"/>
      <c r="B9" s="155" t="s">
        <v>213</v>
      </c>
      <c r="C9" s="156">
        <f t="shared" ref="C9:M9" si="7">C6-C7-C8</f>
        <v>-1778.942</v>
      </c>
      <c r="D9" s="156">
        <f t="shared" si="7"/>
        <v>176.8638162</v>
      </c>
      <c r="E9" s="156">
        <f t="shared" si="7"/>
        <v>780.3190099</v>
      </c>
      <c r="F9" s="156">
        <f t="shared" si="7"/>
        <v>896.2894459</v>
      </c>
      <c r="G9" s="156">
        <f t="shared" si="7"/>
        <v>1020.654446</v>
      </c>
      <c r="H9" s="156">
        <f t="shared" si="7"/>
        <v>1166.046446</v>
      </c>
      <c r="I9" s="156">
        <f t="shared" si="7"/>
        <v>1316.343446</v>
      </c>
      <c r="J9" s="156">
        <f t="shared" si="7"/>
        <v>1476.411446</v>
      </c>
      <c r="K9" s="156">
        <f t="shared" si="7"/>
        <v>1641.807446</v>
      </c>
      <c r="L9" s="156">
        <f t="shared" si="7"/>
        <v>1814.895446</v>
      </c>
      <c r="M9" s="156">
        <f t="shared" si="7"/>
        <v>2248.452855</v>
      </c>
      <c r="N9" s="157">
        <f t="shared" si="3"/>
        <v>10759.1418</v>
      </c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</row>
    <row r="10" ht="22.5" customHeight="1">
      <c r="A10" s="135"/>
      <c r="B10" s="158" t="s">
        <v>214</v>
      </c>
      <c r="C10" s="159">
        <f>C9</f>
        <v>-1778.942</v>
      </c>
      <c r="D10" s="68">
        <f t="shared" ref="D10:N10" si="8">C10+D9</f>
        <v>-1602.078184</v>
      </c>
      <c r="E10" s="68">
        <f t="shared" si="8"/>
        <v>-821.7591739</v>
      </c>
      <c r="F10" s="68">
        <f t="shared" si="8"/>
        <v>74.53027207</v>
      </c>
      <c r="G10" s="68">
        <f t="shared" si="8"/>
        <v>1095.184718</v>
      </c>
      <c r="H10" s="68">
        <f t="shared" si="8"/>
        <v>2261.231164</v>
      </c>
      <c r="I10" s="68">
        <f t="shared" si="8"/>
        <v>3577.57461</v>
      </c>
      <c r="J10" s="68">
        <f t="shared" si="8"/>
        <v>5053.986056</v>
      </c>
      <c r="K10" s="68">
        <f t="shared" si="8"/>
        <v>6695.793502</v>
      </c>
      <c r="L10" s="68">
        <f t="shared" si="8"/>
        <v>8510.688948</v>
      </c>
      <c r="M10" s="68">
        <f t="shared" si="8"/>
        <v>10759.1418</v>
      </c>
      <c r="N10" s="68">
        <f t="shared" si="8"/>
        <v>21518.2836</v>
      </c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 ht="22.5" customHeight="1">
      <c r="A11" s="135"/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</row>
    <row r="12" ht="25.5" customHeight="1">
      <c r="A12" s="135"/>
      <c r="B12" s="160" t="s">
        <v>215</v>
      </c>
      <c r="C12" s="161">
        <f>N6-N7-N8</f>
        <v>10759.1418</v>
      </c>
      <c r="D12" s="162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</row>
    <row r="13" ht="25.5" customHeight="1">
      <c r="A13" s="135"/>
      <c r="B13" s="163" t="s">
        <v>216</v>
      </c>
      <c r="C13" s="164" t="str">
        <f>HLOOKUP("x",$D$2:$M$3,2,0) &amp; " años y " &amp; ROUNDUP(-(HLOOKUP("y",$D$1:$M$10,10,0))*365/HLOOKUP("x",$D$2:$M$9,8,0),0) &amp; " días"</f>
        <v>3 años y 335 días</v>
      </c>
      <c r="D13" s="162"/>
      <c r="E13" s="135"/>
      <c r="F13" s="135"/>
      <c r="G13" s="135">
        <f>HLOOKUP("x",$D$2:$M$3,2,0)+(-(HLOOKUP("y",$D$1:$M$10,10,0))*365/HLOOKUP("x",$D$2:$M$9,8,0))/365</f>
        <v>3.916845755</v>
      </c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 ht="25.5" customHeight="1">
      <c r="A14" s="135"/>
      <c r="B14" s="160" t="s">
        <v>217</v>
      </c>
      <c r="C14" s="165">
        <f>IRR(C9:M9)</f>
        <v>0.4254999284</v>
      </c>
      <c r="D14" s="162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 ht="25.5" customHeight="1">
      <c r="A15" s="135"/>
      <c r="B15" s="160" t="s">
        <v>218</v>
      </c>
      <c r="C15" s="161">
        <f t="array" ref="C15">NPV(F15,C9:M9)</f>
        <v>3000.028909</v>
      </c>
      <c r="D15" s="162"/>
      <c r="E15" s="166" t="s">
        <v>219</v>
      </c>
      <c r="F15" s="167">
        <v>0.15</v>
      </c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 ht="12.0" customHeight="1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 ht="12.0" customHeight="1">
      <c r="A17" s="135"/>
      <c r="B17" s="168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ht="12.0" customHeight="1">
      <c r="A18" s="135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 ht="12.0" customHeight="1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ht="12.0" customHeight="1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ht="12.0" customHeight="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ht="12.0" customHeight="1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 ht="12.0" customHeight="1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 ht="12.0" customHeight="1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ht="12.0" customHeight="1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ht="12.0" customHeight="1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ht="12.0" customHeight="1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 ht="12.0" customHeight="1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69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ht="12.0" customHeight="1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 ht="12.0" customHeight="1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 ht="12.0" customHeight="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 ht="12.0" customHeight="1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 ht="12.0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 ht="12.0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 ht="12.0" customHeight="1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 ht="12.0" customHeight="1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 ht="12.0" customHeight="1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ht="12.0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 ht="12.0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 ht="12.0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 ht="12.0" customHeight="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 ht="12.0" customHeight="1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ht="12.0" customHeight="1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 ht="12.0" customHeight="1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 ht="12.0" customHeight="1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 ht="12.0" customHeight="1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 ht="12.0" customHeight="1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 ht="12.0" customHeight="1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 ht="12.0" customHeight="1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 ht="12.0" customHeight="1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 ht="12.0" customHeight="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 ht="12.0" customHeight="1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ht="12.0" customHeight="1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 ht="12.0" customHeight="1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 ht="12.0" customHeight="1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 ht="12.0" customHeight="1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 ht="12.0" customHeight="1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 ht="12.0" customHeight="1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 ht="12.0" customHeight="1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 ht="12.0" customHeight="1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 ht="12.0" customHeight="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 ht="12.0" customHeight="1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 ht="12.0" customHeight="1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ht="12.0" customHeight="1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 ht="12.0" customHeight="1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 ht="12.0" customHeight="1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 ht="12.0" customHeight="1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 ht="12.0" customHeight="1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ht="12.0" customHeight="1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 ht="12.0" customHeight="1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ht="12.0" customHeight="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 ht="12.0" customHeight="1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 ht="12.0" customHeight="1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 ht="12.0" customHeight="1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 ht="12.0" customHeight="1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 ht="12.0" customHeight="1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 ht="12.0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 ht="12.0" customHeight="1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 ht="12.0" customHeight="1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 ht="12.0" customHeight="1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 ht="12.0" customHeight="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 ht="12.0" customHeight="1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 ht="12.0" customHeight="1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 ht="12.0" customHeight="1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 ht="12.0" customHeight="1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ht="12.0" customHeight="1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 ht="12.0" customHeight="1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 ht="12.0" customHeight="1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 ht="12.0" customHeight="1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ht="12.0" customHeight="1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ht="12.0" customHeight="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 ht="12.0" customHeight="1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 ht="12.0" customHeight="1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 ht="12.0" customHeight="1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 ht="12.0" customHeight="1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 ht="12.0" customHeight="1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 ht="12.0" customHeight="1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 ht="12.0" customHeight="1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 ht="12.0" customHeight="1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 ht="12.0" customHeight="1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  <row r="101" ht="12.0" customHeight="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</row>
    <row r="102" ht="12.0" customHeight="1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 ht="12.0" customHeight="1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</row>
    <row r="104" ht="12.0" customHeight="1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</row>
    <row r="105" ht="12.0" customHeight="1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 ht="12.0" customHeight="1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</row>
    <row r="107" ht="12.0" customHeight="1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 ht="12.0" customHeight="1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</row>
    <row r="109" ht="12.0" customHeight="1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</row>
    <row r="110" ht="12.0" customHeight="1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</row>
    <row r="111" ht="12.0" customHeight="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</row>
    <row r="112" ht="12.0" customHeight="1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</row>
    <row r="113" ht="12.0" customHeight="1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</row>
    <row r="114" ht="12.0" customHeight="1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</row>
    <row r="115" ht="12.0" customHeight="1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</row>
    <row r="116" ht="12.0" customHeight="1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</row>
    <row r="117" ht="12.0" customHeight="1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</row>
    <row r="118" ht="12.0" customHeight="1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</row>
    <row r="119" ht="12.0" customHeight="1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</row>
    <row r="120" ht="12.0" customHeight="1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</row>
    <row r="121" ht="12.0" customHeight="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</row>
    <row r="122" ht="12.0" customHeight="1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</row>
    <row r="123" ht="12.0" customHeight="1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</row>
    <row r="124" ht="12.0" customHeight="1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</row>
    <row r="125" ht="12.0" customHeight="1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</row>
    <row r="126" ht="12.0" customHeight="1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</row>
    <row r="127" ht="12.0" customHeight="1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</row>
    <row r="128" ht="12.0" customHeight="1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</row>
    <row r="129" ht="12.0" customHeight="1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</row>
    <row r="130" ht="12.0" customHeight="1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</row>
    <row r="131" ht="12.0" customHeight="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</row>
    <row r="132" ht="12.0" customHeight="1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</row>
    <row r="133" ht="12.0" customHeight="1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</row>
    <row r="134" ht="12.0" customHeight="1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</row>
    <row r="135" ht="12.0" customHeight="1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</row>
    <row r="136" ht="12.0" customHeight="1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</row>
    <row r="137" ht="12.0" customHeight="1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</row>
    <row r="138" ht="12.0" customHeight="1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</row>
    <row r="139" ht="12.0" customHeight="1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</row>
    <row r="140" ht="12.0" customHeight="1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</row>
    <row r="141" ht="12.0" customHeight="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</row>
    <row r="142" ht="12.0" customHeight="1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</row>
    <row r="143" ht="12.0" customHeight="1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</row>
    <row r="144" ht="12.0" customHeight="1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</row>
    <row r="145" ht="12.0" customHeight="1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</row>
    <row r="146" ht="12.0" customHeight="1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</row>
    <row r="147" ht="12.0" customHeight="1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</row>
    <row r="148" ht="12.0" customHeight="1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</row>
    <row r="149" ht="12.0" customHeight="1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</row>
    <row r="150" ht="12.0" customHeight="1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</row>
    <row r="151" ht="12.0" customHeight="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</row>
    <row r="152" ht="12.0" customHeight="1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</row>
    <row r="153" ht="12.0" customHeight="1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</row>
    <row r="154" ht="12.0" customHeight="1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</row>
    <row r="155" ht="12.0" customHeight="1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</row>
    <row r="156" ht="12.0" customHeight="1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</row>
    <row r="157" ht="12.0" customHeight="1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</row>
    <row r="158" ht="12.0" customHeight="1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</row>
    <row r="159" ht="12.0" customHeight="1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</row>
    <row r="160" ht="12.0" customHeight="1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</row>
    <row r="161" ht="12.0" customHeight="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</row>
    <row r="162" ht="12.0" customHeight="1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</row>
    <row r="163" ht="12.0" customHeight="1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</row>
    <row r="164" ht="12.0" customHeight="1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</row>
    <row r="165" ht="12.0" customHeight="1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</row>
    <row r="166" ht="12.0" customHeight="1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</row>
    <row r="167" ht="12.0" customHeight="1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</row>
    <row r="168" ht="12.0" customHeight="1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</row>
    <row r="169" ht="12.0" customHeight="1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</row>
    <row r="170" ht="12.0" customHeight="1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</row>
    <row r="171" ht="12.0" customHeight="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</row>
    <row r="172" ht="12.0" customHeight="1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</row>
    <row r="173" ht="12.0" customHeight="1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</row>
    <row r="174" ht="12.0" customHeight="1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</row>
    <row r="175" ht="12.0" customHeight="1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</row>
    <row r="176" ht="12.0" customHeight="1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</row>
    <row r="177" ht="12.0" customHeight="1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</row>
    <row r="178" ht="12.0" customHeight="1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</row>
    <row r="179" ht="12.0" customHeight="1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</row>
    <row r="180" ht="12.0" customHeight="1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</row>
    <row r="181" ht="12.0" customHeight="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</row>
    <row r="182" ht="12.0" customHeight="1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</row>
    <row r="183" ht="12.0" customHeight="1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</row>
    <row r="184" ht="12.0" customHeight="1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</row>
    <row r="185" ht="12.0" customHeight="1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</row>
    <row r="186" ht="12.0" customHeight="1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</row>
    <row r="187" ht="12.0" customHeight="1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</row>
    <row r="188" ht="12.0" customHeight="1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</row>
    <row r="189" ht="12.0" customHeight="1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</row>
    <row r="190" ht="12.0" customHeight="1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</row>
    <row r="191" ht="12.0" customHeight="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</row>
    <row r="192" ht="12.0" customHeight="1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</row>
    <row r="193" ht="12.0" customHeight="1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</row>
    <row r="194" ht="12.0" customHeight="1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</row>
    <row r="195" ht="12.0" customHeight="1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</row>
    <row r="196" ht="12.0" customHeight="1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</row>
    <row r="197" ht="12.0" customHeight="1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</row>
    <row r="198" ht="12.0" customHeight="1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</row>
    <row r="199" ht="12.0" customHeight="1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</row>
    <row r="200" ht="12.0" customHeight="1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</row>
    <row r="201" ht="12.0" customHeight="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</row>
    <row r="202" ht="12.0" customHeight="1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</row>
    <row r="203" ht="12.0" customHeight="1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</row>
    <row r="204" ht="12.0" customHeight="1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</row>
    <row r="205" ht="12.0" customHeight="1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</row>
    <row r="206" ht="12.0" customHeight="1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</row>
    <row r="207" ht="12.0" customHeight="1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</row>
    <row r="208" ht="12.0" customHeight="1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</row>
    <row r="209" ht="12.0" customHeight="1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</row>
    <row r="210" ht="12.0" customHeight="1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</row>
    <row r="211" ht="12.0" customHeight="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</row>
    <row r="212" ht="12.0" customHeight="1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</row>
    <row r="213" ht="12.0" customHeight="1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</row>
    <row r="214" ht="12.0" customHeight="1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</row>
    <row r="215" ht="12.0" customHeight="1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</row>
    <row r="216" ht="12.0" customHeight="1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</row>
    <row r="217" ht="12.0" customHeight="1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</row>
    <row r="218" ht="12.0" customHeight="1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</row>
    <row r="219" ht="12.0" customHeight="1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</row>
    <row r="220" ht="12.0" customHeight="1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</row>
    <row r="221" ht="12.0" customHeight="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</row>
    <row r="222" ht="12.0" customHeight="1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</row>
    <row r="223" ht="12.0" customHeight="1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</row>
    <row r="224" ht="12.0" customHeight="1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</row>
    <row r="225" ht="12.0" customHeight="1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</row>
    <row r="226" ht="12.0" customHeight="1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</row>
    <row r="227" ht="12.0" customHeight="1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</row>
    <row r="228" ht="12.0" customHeight="1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</row>
    <row r="229" ht="12.0" customHeight="1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</row>
    <row r="230" ht="12.0" customHeight="1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</row>
    <row r="231" ht="12.0" customHeight="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</row>
    <row r="232" ht="12.0" customHeight="1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</row>
    <row r="233" ht="12.0" customHeight="1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</row>
    <row r="234" ht="12.0" customHeight="1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</row>
    <row r="235" ht="12.0" customHeight="1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</row>
    <row r="236" ht="12.0" customHeight="1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</row>
    <row r="237" ht="12.0" customHeight="1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</row>
    <row r="238" ht="12.0" customHeight="1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</row>
    <row r="239" ht="12.0" customHeight="1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</row>
    <row r="240" ht="12.0" customHeight="1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</row>
    <row r="241" ht="12.0" customHeight="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</row>
    <row r="242" ht="12.0" customHeight="1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</row>
    <row r="243" ht="12.0" customHeight="1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</row>
    <row r="244" ht="12.0" customHeight="1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</row>
    <row r="245" ht="12.0" customHeight="1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</row>
    <row r="246" ht="12.0" customHeight="1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</row>
    <row r="247" ht="12.0" customHeight="1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</row>
    <row r="248" ht="12.0" customHeight="1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</row>
    <row r="249" ht="12.0" customHeight="1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</row>
    <row r="250" ht="12.0" customHeight="1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</row>
    <row r="251" ht="12.0" customHeight="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</row>
    <row r="252" ht="12.0" customHeight="1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</row>
    <row r="253" ht="12.0" customHeight="1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</row>
    <row r="254" ht="12.0" customHeight="1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</row>
    <row r="255" ht="12.0" customHeight="1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</row>
    <row r="256" ht="12.0" customHeight="1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</row>
    <row r="257" ht="12.0" customHeight="1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</row>
    <row r="258" ht="12.0" customHeight="1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</row>
    <row r="259" ht="12.0" customHeight="1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</row>
    <row r="260" ht="12.0" customHeight="1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</row>
    <row r="261" ht="12.0" customHeight="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</row>
    <row r="262" ht="12.0" customHeight="1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</row>
    <row r="263" ht="12.0" customHeight="1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</row>
    <row r="264" ht="12.0" customHeight="1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</row>
    <row r="265" ht="12.0" customHeight="1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</row>
    <row r="266" ht="12.0" customHeight="1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</row>
    <row r="267" ht="12.0" customHeight="1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</row>
    <row r="268" ht="12.0" customHeight="1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</row>
    <row r="269" ht="12.0" customHeight="1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</row>
    <row r="270" ht="12.0" customHeight="1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</row>
    <row r="271" ht="12.0" customHeight="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</row>
    <row r="272" ht="12.0" customHeight="1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</row>
    <row r="273" ht="12.0" customHeight="1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</row>
    <row r="274" ht="12.0" customHeight="1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</row>
    <row r="275" ht="12.0" customHeight="1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</row>
    <row r="276" ht="12.0" customHeight="1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</row>
    <row r="277" ht="12.0" customHeight="1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</row>
    <row r="278" ht="12.0" customHeight="1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</row>
    <row r="279" ht="12.0" customHeight="1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</row>
    <row r="280" ht="12.0" customHeight="1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</row>
    <row r="281" ht="12.0" customHeight="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</row>
    <row r="282" ht="12.0" customHeight="1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</row>
    <row r="283" ht="12.0" customHeight="1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</row>
    <row r="284" ht="12.0" customHeight="1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</row>
    <row r="285" ht="12.0" customHeight="1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</row>
    <row r="286" ht="12.0" customHeight="1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</row>
    <row r="287" ht="12.0" customHeight="1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</row>
    <row r="288" ht="12.0" customHeight="1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</row>
    <row r="289" ht="12.0" customHeight="1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</row>
    <row r="290" ht="12.0" customHeight="1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</row>
    <row r="291" ht="12.0" customHeight="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</row>
    <row r="292" ht="12.0" customHeight="1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</row>
    <row r="293" ht="12.0" customHeight="1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</row>
    <row r="294" ht="12.0" customHeight="1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</row>
    <row r="295" ht="12.0" customHeight="1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</row>
    <row r="296" ht="12.0" customHeight="1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</row>
    <row r="297" ht="12.0" customHeight="1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</row>
    <row r="298" ht="12.0" customHeight="1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</row>
    <row r="299" ht="12.0" customHeight="1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</row>
    <row r="300" ht="12.0" customHeight="1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</row>
    <row r="301" ht="12.0" customHeight="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</row>
    <row r="302" ht="12.0" customHeight="1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</row>
    <row r="303" ht="12.0" customHeight="1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</row>
    <row r="304" ht="12.0" customHeight="1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</row>
    <row r="305" ht="12.0" customHeight="1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</row>
    <row r="306" ht="12.0" customHeight="1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</row>
    <row r="307" ht="12.0" customHeight="1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</row>
    <row r="308" ht="12.0" customHeight="1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</row>
    <row r="309" ht="12.0" customHeight="1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</row>
    <row r="310" ht="12.0" customHeight="1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</row>
    <row r="311" ht="12.0" customHeight="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</row>
    <row r="312" ht="12.0" customHeight="1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</row>
    <row r="313" ht="12.0" customHeight="1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</row>
    <row r="314" ht="12.0" customHeight="1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</row>
    <row r="315" ht="12.0" customHeight="1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</row>
    <row r="316" ht="12.0" customHeight="1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</row>
    <row r="317" ht="12.0" customHeight="1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</row>
    <row r="318" ht="12.0" customHeight="1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</row>
    <row r="319" ht="12.0" customHeight="1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</row>
    <row r="320" ht="12.0" customHeight="1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</row>
    <row r="321" ht="12.0" customHeight="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</row>
    <row r="322" ht="12.0" customHeight="1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</row>
    <row r="323" ht="12.0" customHeight="1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</row>
    <row r="324" ht="12.0" customHeight="1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</row>
    <row r="325" ht="12.0" customHeight="1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</row>
    <row r="326" ht="12.0" customHeight="1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</row>
    <row r="327" ht="12.0" customHeight="1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</row>
    <row r="328" ht="12.0" customHeight="1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</row>
    <row r="329" ht="12.0" customHeight="1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</row>
    <row r="330" ht="12.0" customHeight="1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</row>
    <row r="331" ht="12.0" customHeight="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</row>
    <row r="332" ht="12.0" customHeight="1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</row>
    <row r="333" ht="12.0" customHeight="1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</row>
    <row r="334" ht="12.0" customHeight="1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</row>
    <row r="335" ht="12.0" customHeight="1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</row>
    <row r="336" ht="12.0" customHeight="1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</row>
    <row r="337" ht="12.0" customHeight="1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</row>
    <row r="338" ht="12.0" customHeight="1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</row>
    <row r="339" ht="12.0" customHeight="1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</row>
    <row r="340" ht="12.0" customHeight="1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</row>
    <row r="341" ht="12.0" customHeight="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</row>
    <row r="342" ht="12.0" customHeight="1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</row>
    <row r="343" ht="12.0" customHeight="1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</row>
    <row r="344" ht="12.0" customHeight="1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</row>
    <row r="345" ht="12.0" customHeight="1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</row>
    <row r="346" ht="12.0" customHeight="1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</row>
    <row r="347" ht="12.0" customHeight="1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</row>
    <row r="348" ht="12.0" customHeight="1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</row>
    <row r="349" ht="12.0" customHeight="1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</row>
    <row r="350" ht="12.0" customHeight="1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</row>
    <row r="351" ht="12.0" customHeight="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</row>
    <row r="352" ht="12.0" customHeight="1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</row>
    <row r="353" ht="12.0" customHeight="1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</row>
    <row r="354" ht="12.0" customHeight="1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</row>
    <row r="355" ht="12.0" customHeight="1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</row>
    <row r="356" ht="12.0" customHeight="1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</row>
    <row r="357" ht="12.0" customHeight="1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</row>
    <row r="358" ht="12.0" customHeight="1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</row>
    <row r="359" ht="12.0" customHeight="1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</row>
    <row r="360" ht="12.0" customHeight="1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</row>
    <row r="361" ht="12.0" customHeight="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</row>
    <row r="362" ht="12.0" customHeight="1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</row>
    <row r="363" ht="12.0" customHeight="1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</row>
    <row r="364" ht="12.0" customHeight="1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</row>
    <row r="365" ht="12.0" customHeight="1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</row>
    <row r="366" ht="12.0" customHeight="1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</row>
    <row r="367" ht="12.0" customHeight="1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</row>
    <row r="368" ht="12.0" customHeight="1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</row>
    <row r="369" ht="12.0" customHeight="1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</row>
    <row r="370" ht="12.0" customHeight="1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</row>
    <row r="371" ht="12.0" customHeight="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</row>
    <row r="372" ht="12.0" customHeight="1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</row>
    <row r="373" ht="12.0" customHeight="1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</row>
    <row r="374" ht="12.0" customHeight="1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</row>
    <row r="375" ht="12.0" customHeight="1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</row>
    <row r="376" ht="12.0" customHeight="1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</row>
    <row r="377" ht="12.0" customHeight="1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</row>
    <row r="378" ht="12.0" customHeight="1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</row>
    <row r="379" ht="12.0" customHeight="1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</row>
    <row r="380" ht="12.0" customHeight="1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</row>
    <row r="381" ht="12.0" customHeight="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</row>
    <row r="382" ht="12.0" customHeight="1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</row>
    <row r="383" ht="12.0" customHeight="1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</row>
    <row r="384" ht="12.0" customHeight="1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</row>
    <row r="385" ht="12.0" customHeight="1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</row>
    <row r="386" ht="12.0" customHeight="1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</row>
    <row r="387" ht="12.0" customHeight="1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</row>
    <row r="388" ht="12.0" customHeight="1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</row>
    <row r="389" ht="12.0" customHeight="1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</row>
    <row r="390" ht="12.0" customHeight="1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</row>
    <row r="391" ht="12.0" customHeight="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</row>
    <row r="392" ht="12.0" customHeight="1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</row>
    <row r="393" ht="12.0" customHeight="1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</row>
    <row r="394" ht="12.0" customHeight="1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</row>
    <row r="395" ht="12.0" customHeight="1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</row>
    <row r="396" ht="12.0" customHeight="1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</row>
    <row r="397" ht="12.0" customHeight="1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</row>
    <row r="398" ht="12.0" customHeight="1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</row>
    <row r="399" ht="12.0" customHeight="1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</row>
    <row r="400" ht="12.0" customHeight="1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</row>
    <row r="401" ht="12.0" customHeight="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</row>
    <row r="402" ht="12.0" customHeight="1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</row>
    <row r="403" ht="12.0" customHeight="1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</row>
    <row r="404" ht="12.0" customHeight="1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</row>
    <row r="405" ht="12.0" customHeight="1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</row>
    <row r="406" ht="12.0" customHeight="1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</row>
    <row r="407" ht="12.0" customHeight="1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</row>
    <row r="408" ht="12.0" customHeight="1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</row>
    <row r="409" ht="12.0" customHeight="1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</row>
    <row r="410" ht="12.0" customHeight="1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</row>
    <row r="411" ht="12.0" customHeight="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</row>
    <row r="412" ht="12.0" customHeight="1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</row>
    <row r="413" ht="12.0" customHeight="1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</row>
    <row r="414" ht="12.0" customHeight="1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</row>
    <row r="415" ht="12.0" customHeight="1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</row>
    <row r="416" ht="12.0" customHeight="1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</row>
    <row r="417" ht="12.0" customHeight="1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</row>
    <row r="418" ht="12.0" customHeight="1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</row>
    <row r="419" ht="12.0" customHeight="1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</row>
    <row r="420" ht="12.0" customHeight="1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</row>
    <row r="421" ht="12.0" customHeight="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</row>
    <row r="422" ht="12.0" customHeight="1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</row>
    <row r="423" ht="12.0" customHeight="1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</row>
    <row r="424" ht="12.0" customHeight="1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</row>
    <row r="425" ht="12.0" customHeight="1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</row>
    <row r="426" ht="12.0" customHeight="1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</row>
    <row r="427" ht="12.0" customHeight="1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</row>
    <row r="428" ht="12.0" customHeight="1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</row>
    <row r="429" ht="12.0" customHeight="1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</row>
    <row r="430" ht="12.0" customHeight="1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</row>
    <row r="431" ht="12.0" customHeight="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</row>
    <row r="432" ht="12.0" customHeight="1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</row>
    <row r="433" ht="12.0" customHeight="1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</row>
    <row r="434" ht="12.0" customHeight="1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</row>
    <row r="435" ht="12.0" customHeight="1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</row>
    <row r="436" ht="12.0" customHeight="1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</row>
    <row r="437" ht="12.0" customHeight="1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</row>
    <row r="438" ht="12.0" customHeight="1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</row>
    <row r="439" ht="12.0" customHeight="1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</row>
    <row r="440" ht="12.0" customHeight="1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</row>
    <row r="441" ht="12.0" customHeight="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</row>
    <row r="442" ht="12.0" customHeight="1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</row>
    <row r="443" ht="12.0" customHeight="1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</row>
    <row r="444" ht="12.0" customHeight="1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</row>
    <row r="445" ht="12.0" customHeight="1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</row>
    <row r="446" ht="12.0" customHeight="1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</row>
    <row r="447" ht="12.0" customHeight="1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</row>
    <row r="448" ht="12.0" customHeight="1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</row>
    <row r="449" ht="12.0" customHeight="1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</row>
    <row r="450" ht="12.0" customHeight="1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</row>
    <row r="451" ht="12.0" customHeight="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</row>
    <row r="452" ht="12.0" customHeight="1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</row>
    <row r="453" ht="12.0" customHeight="1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</row>
    <row r="454" ht="12.0" customHeight="1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</row>
    <row r="455" ht="12.0" customHeight="1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</row>
    <row r="456" ht="12.0" customHeight="1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</row>
    <row r="457" ht="12.0" customHeight="1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</row>
    <row r="458" ht="12.0" customHeight="1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</row>
    <row r="459" ht="12.0" customHeight="1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</row>
    <row r="460" ht="12.0" customHeight="1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</row>
    <row r="461" ht="12.0" customHeight="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</row>
    <row r="462" ht="12.0" customHeight="1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</row>
    <row r="463" ht="12.0" customHeight="1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</row>
    <row r="464" ht="12.0" customHeight="1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</row>
    <row r="465" ht="12.0" customHeight="1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</row>
    <row r="466" ht="12.0" customHeight="1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</row>
    <row r="467" ht="12.0" customHeight="1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</row>
    <row r="468" ht="12.0" customHeight="1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</row>
    <row r="469" ht="12.0" customHeight="1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</row>
    <row r="470" ht="12.0" customHeight="1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</row>
    <row r="471" ht="12.0" customHeight="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</row>
    <row r="472" ht="12.0" customHeight="1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</row>
    <row r="473" ht="12.0" customHeight="1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</row>
    <row r="474" ht="12.0" customHeight="1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</row>
    <row r="475" ht="12.0" customHeight="1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</row>
    <row r="476" ht="12.0" customHeight="1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</row>
    <row r="477" ht="12.0" customHeight="1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</row>
    <row r="478" ht="12.0" customHeight="1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</row>
    <row r="479" ht="12.0" customHeight="1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</row>
    <row r="480" ht="12.0" customHeight="1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</row>
    <row r="481" ht="12.0" customHeight="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</row>
    <row r="482" ht="12.0" customHeight="1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</row>
    <row r="483" ht="12.0" customHeight="1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</row>
    <row r="484" ht="12.0" customHeight="1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</row>
    <row r="485" ht="12.0" customHeight="1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</row>
    <row r="486" ht="12.0" customHeight="1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</row>
    <row r="487" ht="12.0" customHeight="1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</row>
    <row r="488" ht="12.0" customHeight="1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</row>
    <row r="489" ht="12.0" customHeight="1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</row>
    <row r="490" ht="12.0" customHeight="1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</row>
    <row r="491" ht="12.0" customHeight="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</row>
    <row r="492" ht="12.0" customHeight="1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</row>
    <row r="493" ht="12.0" customHeight="1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</row>
    <row r="494" ht="12.0" customHeight="1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</row>
    <row r="495" ht="12.0" customHeight="1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</row>
    <row r="496" ht="12.0" customHeight="1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</row>
    <row r="497" ht="12.0" customHeight="1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</row>
    <row r="498" ht="12.0" customHeight="1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</row>
    <row r="499" ht="12.0" customHeight="1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</row>
    <row r="500" ht="12.0" customHeight="1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</row>
    <row r="501" ht="12.0" customHeight="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</row>
    <row r="502" ht="12.0" customHeight="1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</row>
    <row r="503" ht="12.0" customHeight="1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</row>
    <row r="504" ht="12.0" customHeight="1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</row>
    <row r="505" ht="12.0" customHeight="1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</row>
    <row r="506" ht="12.0" customHeight="1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</row>
    <row r="507" ht="12.0" customHeight="1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</row>
    <row r="508" ht="12.0" customHeight="1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</row>
    <row r="509" ht="12.0" customHeight="1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</row>
    <row r="510" ht="12.0" customHeight="1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</row>
    <row r="511" ht="12.0" customHeight="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</row>
    <row r="512" ht="12.0" customHeight="1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</row>
    <row r="513" ht="12.0" customHeight="1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</row>
    <row r="514" ht="12.0" customHeight="1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</row>
    <row r="515" ht="12.0" customHeight="1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</row>
    <row r="516" ht="12.0" customHeight="1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</row>
    <row r="517" ht="12.0" customHeight="1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</row>
    <row r="518" ht="12.0" customHeight="1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</row>
    <row r="519" ht="12.0" customHeight="1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</row>
    <row r="520" ht="12.0" customHeight="1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</row>
    <row r="521" ht="12.0" customHeight="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</row>
    <row r="522" ht="12.0" customHeight="1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</row>
    <row r="523" ht="12.0" customHeight="1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</row>
    <row r="524" ht="12.0" customHeight="1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</row>
    <row r="525" ht="12.0" customHeight="1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</row>
    <row r="526" ht="12.0" customHeight="1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</row>
    <row r="527" ht="12.0" customHeight="1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</row>
    <row r="528" ht="12.0" customHeight="1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</row>
    <row r="529" ht="12.0" customHeight="1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</row>
    <row r="530" ht="12.0" customHeight="1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</row>
    <row r="531" ht="12.0" customHeight="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</row>
    <row r="532" ht="12.0" customHeight="1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</row>
    <row r="533" ht="12.0" customHeight="1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</row>
    <row r="534" ht="12.0" customHeight="1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</row>
    <row r="535" ht="12.0" customHeight="1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</row>
    <row r="536" ht="12.0" customHeight="1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</row>
    <row r="537" ht="12.0" customHeight="1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</row>
    <row r="538" ht="12.0" customHeight="1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</row>
    <row r="539" ht="12.0" customHeight="1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</row>
    <row r="540" ht="12.0" customHeight="1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</row>
    <row r="541" ht="12.0" customHeight="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</row>
    <row r="542" ht="12.0" customHeight="1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</row>
    <row r="543" ht="12.0" customHeight="1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</row>
    <row r="544" ht="12.0" customHeight="1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</row>
    <row r="545" ht="12.0" customHeight="1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</row>
    <row r="546" ht="12.0" customHeight="1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</row>
    <row r="547" ht="12.0" customHeight="1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</row>
    <row r="548" ht="12.0" customHeight="1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</row>
    <row r="549" ht="12.0" customHeight="1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</row>
    <row r="550" ht="12.0" customHeight="1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</row>
    <row r="551" ht="12.0" customHeight="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</row>
    <row r="552" ht="12.0" customHeight="1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</row>
    <row r="553" ht="12.0" customHeight="1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</row>
    <row r="554" ht="12.0" customHeight="1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</row>
    <row r="555" ht="12.0" customHeight="1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</row>
    <row r="556" ht="12.0" customHeight="1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</row>
    <row r="557" ht="12.0" customHeight="1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</row>
    <row r="558" ht="12.0" customHeight="1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</row>
    <row r="559" ht="12.0" customHeight="1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</row>
    <row r="560" ht="12.0" customHeight="1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</row>
    <row r="561" ht="12.0" customHeight="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</row>
    <row r="562" ht="12.0" customHeight="1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</row>
    <row r="563" ht="12.0" customHeight="1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</row>
    <row r="564" ht="12.0" customHeight="1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</row>
    <row r="565" ht="12.0" customHeight="1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</row>
    <row r="566" ht="12.0" customHeight="1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</row>
    <row r="567" ht="12.0" customHeight="1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</row>
    <row r="568" ht="12.0" customHeight="1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</row>
    <row r="569" ht="12.0" customHeight="1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</row>
    <row r="570" ht="12.0" customHeight="1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</row>
    <row r="571" ht="12.0" customHeight="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</row>
    <row r="572" ht="12.0" customHeight="1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</row>
    <row r="573" ht="12.0" customHeight="1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</row>
    <row r="574" ht="12.0" customHeight="1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</row>
    <row r="575" ht="12.0" customHeight="1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</row>
    <row r="576" ht="12.0" customHeight="1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</row>
    <row r="577" ht="12.0" customHeight="1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</row>
    <row r="578" ht="12.0" customHeight="1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</row>
    <row r="579" ht="12.0" customHeight="1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</row>
    <row r="580" ht="12.0" customHeight="1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</row>
    <row r="581" ht="12.0" customHeight="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</row>
    <row r="582" ht="12.0" customHeight="1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</row>
    <row r="583" ht="12.0" customHeight="1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</row>
    <row r="584" ht="12.0" customHeight="1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</row>
    <row r="585" ht="12.0" customHeight="1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</row>
    <row r="586" ht="12.0" customHeight="1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</row>
    <row r="587" ht="12.0" customHeight="1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</row>
    <row r="588" ht="12.0" customHeight="1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</row>
    <row r="589" ht="12.0" customHeight="1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</row>
    <row r="590" ht="12.0" customHeight="1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</row>
    <row r="591" ht="12.0" customHeight="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</row>
    <row r="592" ht="12.0" customHeight="1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</row>
    <row r="593" ht="12.0" customHeight="1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</row>
    <row r="594" ht="12.0" customHeight="1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</row>
    <row r="595" ht="12.0" customHeight="1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</row>
    <row r="596" ht="12.0" customHeight="1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</row>
    <row r="597" ht="12.0" customHeight="1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</row>
    <row r="598" ht="12.0" customHeight="1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</row>
    <row r="599" ht="12.0" customHeight="1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</row>
    <row r="600" ht="12.0" customHeight="1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</row>
    <row r="601" ht="12.0" customHeight="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</row>
    <row r="602" ht="12.0" customHeight="1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</row>
    <row r="603" ht="12.0" customHeight="1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</row>
    <row r="604" ht="12.0" customHeight="1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</row>
    <row r="605" ht="12.0" customHeight="1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</row>
    <row r="606" ht="12.0" customHeight="1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</row>
    <row r="607" ht="12.0" customHeight="1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</row>
    <row r="608" ht="12.0" customHeight="1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</row>
    <row r="609" ht="12.0" customHeight="1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</row>
    <row r="610" ht="12.0" customHeight="1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</row>
    <row r="611" ht="12.0" customHeight="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</row>
    <row r="612" ht="12.0" customHeight="1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</row>
    <row r="613" ht="12.0" customHeight="1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</row>
    <row r="614" ht="12.0" customHeight="1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</row>
    <row r="615" ht="12.0" customHeight="1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</row>
    <row r="616" ht="12.0" customHeight="1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</row>
    <row r="617" ht="12.0" customHeight="1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</row>
    <row r="618" ht="12.0" customHeight="1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</row>
    <row r="619" ht="12.0" customHeight="1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</row>
    <row r="620" ht="12.0" customHeight="1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</row>
    <row r="621" ht="12.0" customHeight="1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</row>
    <row r="622" ht="12.0" customHeight="1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</row>
    <row r="623" ht="12.0" customHeight="1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</row>
    <row r="624" ht="12.0" customHeight="1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</row>
    <row r="625" ht="12.0" customHeight="1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</row>
    <row r="626" ht="12.0" customHeight="1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</row>
    <row r="627" ht="12.0" customHeight="1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</row>
    <row r="628" ht="12.0" customHeight="1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</row>
    <row r="629" ht="12.0" customHeight="1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</row>
    <row r="630" ht="12.0" customHeight="1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</row>
    <row r="631" ht="12.0" customHeight="1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</row>
    <row r="632" ht="12.0" customHeight="1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</row>
    <row r="633" ht="12.0" customHeight="1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</row>
    <row r="634" ht="12.0" customHeight="1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</row>
    <row r="635" ht="12.0" customHeight="1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</row>
    <row r="636" ht="12.0" customHeight="1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</row>
    <row r="637" ht="12.0" customHeight="1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</row>
    <row r="638" ht="12.0" customHeight="1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</row>
    <row r="639" ht="12.0" customHeight="1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</row>
    <row r="640" ht="12.0" customHeight="1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</row>
    <row r="641" ht="12.0" customHeight="1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</row>
    <row r="642" ht="12.0" customHeight="1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</row>
    <row r="643" ht="12.0" customHeight="1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</row>
    <row r="644" ht="12.0" customHeight="1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</row>
    <row r="645" ht="12.0" customHeight="1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</row>
    <row r="646" ht="12.0" customHeight="1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</row>
    <row r="647" ht="12.0" customHeight="1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</row>
    <row r="648" ht="12.0" customHeight="1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</row>
    <row r="649" ht="12.0" customHeight="1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</row>
    <row r="650" ht="12.0" customHeight="1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</row>
    <row r="651" ht="12.0" customHeight="1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</row>
    <row r="652" ht="12.0" customHeight="1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</row>
    <row r="653" ht="12.0" customHeight="1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</row>
    <row r="654" ht="12.0" customHeight="1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</row>
    <row r="655" ht="12.0" customHeight="1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</row>
    <row r="656" ht="12.0" customHeight="1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</row>
    <row r="657" ht="12.0" customHeight="1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</row>
    <row r="658" ht="12.0" customHeight="1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</row>
    <row r="659" ht="12.0" customHeight="1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</row>
    <row r="660" ht="12.0" customHeight="1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</row>
    <row r="661" ht="12.0" customHeight="1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</row>
    <row r="662" ht="12.0" customHeight="1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</row>
    <row r="663" ht="12.0" customHeight="1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</row>
    <row r="664" ht="12.0" customHeight="1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</row>
    <row r="665" ht="12.0" customHeight="1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</row>
    <row r="666" ht="12.0" customHeight="1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</row>
    <row r="667" ht="12.0" customHeight="1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</row>
    <row r="668" ht="12.0" customHeight="1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</row>
    <row r="669" ht="12.0" customHeight="1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</row>
    <row r="670" ht="12.0" customHeight="1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</row>
    <row r="671" ht="12.0" customHeight="1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</row>
    <row r="672" ht="12.0" customHeight="1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</row>
    <row r="673" ht="12.0" customHeight="1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</row>
    <row r="674" ht="12.0" customHeight="1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</row>
    <row r="675" ht="12.0" customHeight="1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</row>
    <row r="676" ht="12.0" customHeight="1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</row>
    <row r="677" ht="12.0" customHeight="1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</row>
    <row r="678" ht="12.0" customHeight="1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</row>
    <row r="679" ht="12.0" customHeight="1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</row>
    <row r="680" ht="12.0" customHeight="1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</row>
    <row r="681" ht="12.0" customHeight="1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</row>
    <row r="682" ht="12.0" customHeight="1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</row>
    <row r="683" ht="12.0" customHeight="1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</row>
    <row r="684" ht="12.0" customHeight="1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</row>
    <row r="685" ht="12.0" customHeight="1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</row>
    <row r="686" ht="12.0" customHeight="1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</row>
    <row r="687" ht="12.0" customHeight="1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</row>
    <row r="688" ht="12.0" customHeight="1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</row>
    <row r="689" ht="12.0" customHeight="1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</row>
    <row r="690" ht="12.0" customHeight="1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</row>
    <row r="691" ht="12.0" customHeight="1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</row>
    <row r="692" ht="12.0" customHeight="1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</row>
    <row r="693" ht="12.0" customHeight="1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</row>
    <row r="694" ht="12.0" customHeight="1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</row>
    <row r="695" ht="12.0" customHeight="1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</row>
    <row r="696" ht="12.0" customHeight="1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</row>
    <row r="697" ht="12.0" customHeight="1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</row>
    <row r="698" ht="12.0" customHeight="1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</row>
    <row r="699" ht="12.0" customHeight="1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</row>
    <row r="700" ht="12.0" customHeight="1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</row>
    <row r="701" ht="12.0" customHeight="1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</row>
    <row r="702" ht="12.0" customHeight="1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</row>
    <row r="703" ht="12.0" customHeight="1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</row>
    <row r="704" ht="12.0" customHeight="1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</row>
    <row r="705" ht="12.0" customHeight="1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</row>
    <row r="706" ht="12.0" customHeight="1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</row>
    <row r="707" ht="12.0" customHeight="1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</row>
    <row r="708" ht="12.0" customHeight="1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</row>
    <row r="709" ht="12.0" customHeight="1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</row>
    <row r="710" ht="12.0" customHeight="1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</row>
    <row r="711" ht="12.0" customHeight="1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</row>
    <row r="712" ht="12.0" customHeight="1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</row>
    <row r="713" ht="12.0" customHeight="1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</row>
    <row r="714" ht="12.0" customHeight="1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</row>
    <row r="715" ht="12.0" customHeight="1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</row>
    <row r="716" ht="12.0" customHeight="1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</row>
    <row r="717" ht="12.0" customHeight="1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</row>
    <row r="718" ht="12.0" customHeight="1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</row>
    <row r="719" ht="12.0" customHeight="1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</row>
    <row r="720" ht="12.0" customHeight="1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</row>
    <row r="721" ht="12.0" customHeight="1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</row>
    <row r="722" ht="12.0" customHeight="1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</row>
    <row r="723" ht="12.0" customHeight="1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</row>
    <row r="724" ht="12.0" customHeight="1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</row>
    <row r="725" ht="12.0" customHeight="1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</row>
    <row r="726" ht="12.0" customHeight="1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</row>
    <row r="727" ht="12.0" customHeight="1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</row>
    <row r="728" ht="12.0" customHeight="1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</row>
    <row r="729" ht="12.0" customHeight="1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</row>
    <row r="730" ht="12.0" customHeight="1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</row>
    <row r="731" ht="12.0" customHeight="1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</row>
    <row r="732" ht="12.0" customHeight="1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</row>
    <row r="733" ht="12.0" customHeight="1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</row>
    <row r="734" ht="12.0" customHeight="1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</row>
    <row r="735" ht="12.0" customHeight="1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</row>
    <row r="736" ht="12.0" customHeight="1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</row>
    <row r="737" ht="12.0" customHeight="1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</row>
    <row r="738" ht="12.0" customHeight="1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</row>
    <row r="739" ht="12.0" customHeight="1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</row>
    <row r="740" ht="12.0" customHeight="1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</row>
    <row r="741" ht="12.0" customHeight="1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</row>
    <row r="742" ht="12.0" customHeight="1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</row>
    <row r="743" ht="12.0" customHeight="1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</row>
    <row r="744" ht="12.0" customHeight="1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</row>
    <row r="745" ht="12.0" customHeight="1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</row>
    <row r="746" ht="12.0" customHeight="1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</row>
    <row r="747" ht="12.0" customHeight="1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</row>
    <row r="748" ht="12.0" customHeight="1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</row>
    <row r="749" ht="12.0" customHeight="1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</row>
    <row r="750" ht="12.0" customHeight="1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</row>
    <row r="751" ht="12.0" customHeight="1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</row>
    <row r="752" ht="12.0" customHeight="1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</row>
    <row r="753" ht="12.0" customHeight="1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</row>
    <row r="754" ht="12.0" customHeight="1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</row>
    <row r="755" ht="12.0" customHeight="1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</row>
    <row r="756" ht="12.0" customHeight="1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</row>
    <row r="757" ht="12.0" customHeight="1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</row>
    <row r="758" ht="12.0" customHeight="1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</row>
    <row r="759" ht="12.0" customHeight="1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</row>
    <row r="760" ht="12.0" customHeight="1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</row>
    <row r="761" ht="12.0" customHeight="1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</row>
    <row r="762" ht="12.0" customHeight="1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</row>
    <row r="763" ht="12.0" customHeight="1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</row>
    <row r="764" ht="12.0" customHeight="1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</row>
    <row r="765" ht="12.0" customHeight="1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</row>
    <row r="766" ht="12.0" customHeight="1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</row>
    <row r="767" ht="12.0" customHeight="1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</row>
    <row r="768" ht="12.0" customHeight="1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</row>
    <row r="769" ht="12.0" customHeight="1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</row>
    <row r="770" ht="12.0" customHeight="1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</row>
    <row r="771" ht="12.0" customHeight="1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</row>
    <row r="772" ht="12.0" customHeight="1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</row>
    <row r="773" ht="12.0" customHeight="1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</row>
    <row r="774" ht="12.0" customHeight="1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</row>
    <row r="775" ht="12.0" customHeight="1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</row>
    <row r="776" ht="12.0" customHeight="1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</row>
    <row r="777" ht="12.0" customHeight="1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</row>
    <row r="778" ht="12.0" customHeight="1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</row>
    <row r="779" ht="12.0" customHeight="1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</row>
    <row r="780" ht="12.0" customHeight="1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</row>
    <row r="781" ht="12.0" customHeight="1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</row>
    <row r="782" ht="12.0" customHeight="1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</row>
    <row r="783" ht="12.0" customHeight="1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</row>
    <row r="784" ht="12.0" customHeight="1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</row>
    <row r="785" ht="12.0" customHeight="1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</row>
    <row r="786" ht="12.0" customHeight="1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</row>
    <row r="787" ht="12.0" customHeight="1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</row>
    <row r="788" ht="12.0" customHeight="1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</row>
    <row r="789" ht="12.0" customHeight="1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</row>
    <row r="790" ht="12.0" customHeight="1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</row>
    <row r="791" ht="12.0" customHeight="1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</row>
    <row r="792" ht="12.0" customHeight="1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</row>
    <row r="793" ht="12.0" customHeight="1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</row>
    <row r="794" ht="12.0" customHeight="1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</row>
    <row r="795" ht="12.0" customHeight="1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</row>
    <row r="796" ht="12.0" customHeight="1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</row>
    <row r="797" ht="12.0" customHeight="1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</row>
    <row r="798" ht="12.0" customHeight="1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</row>
    <row r="799" ht="12.0" customHeight="1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</row>
    <row r="800" ht="12.0" customHeight="1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</row>
    <row r="801" ht="12.0" customHeight="1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</row>
    <row r="802" ht="12.0" customHeight="1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</row>
    <row r="803" ht="12.0" customHeight="1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</row>
    <row r="804" ht="12.0" customHeight="1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</row>
    <row r="805" ht="12.0" customHeight="1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</row>
    <row r="806" ht="12.0" customHeight="1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</row>
    <row r="807" ht="12.0" customHeight="1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</row>
    <row r="808" ht="12.0" customHeight="1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</row>
    <row r="809" ht="12.0" customHeight="1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</row>
    <row r="810" ht="12.0" customHeight="1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</row>
    <row r="811" ht="12.0" customHeight="1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</row>
    <row r="812" ht="12.0" customHeight="1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</row>
    <row r="813" ht="12.0" customHeight="1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</row>
    <row r="814" ht="12.0" customHeight="1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</row>
    <row r="815" ht="12.0" customHeight="1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</row>
    <row r="816" ht="12.0" customHeight="1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</row>
    <row r="817" ht="12.0" customHeight="1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</row>
    <row r="818" ht="12.0" customHeight="1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</row>
    <row r="819" ht="12.0" customHeight="1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</row>
    <row r="820" ht="12.0" customHeight="1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</row>
    <row r="821" ht="12.0" customHeight="1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</row>
    <row r="822" ht="12.0" customHeight="1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</row>
    <row r="823" ht="12.0" customHeight="1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</row>
    <row r="824" ht="12.0" customHeight="1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</row>
    <row r="825" ht="12.0" customHeight="1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</row>
    <row r="826" ht="12.0" customHeight="1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</row>
    <row r="827" ht="12.0" customHeight="1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</row>
    <row r="828" ht="12.0" customHeight="1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</row>
    <row r="829" ht="12.0" customHeight="1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</row>
    <row r="830" ht="12.0" customHeight="1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</row>
    <row r="831" ht="12.0" customHeight="1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</row>
    <row r="832" ht="12.0" customHeight="1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</row>
    <row r="833" ht="12.0" customHeight="1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</row>
    <row r="834" ht="12.0" customHeight="1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</row>
    <row r="835" ht="12.0" customHeight="1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</row>
    <row r="836" ht="12.0" customHeight="1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</row>
    <row r="837" ht="12.0" customHeight="1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</row>
    <row r="838" ht="12.0" customHeight="1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</row>
    <row r="839" ht="12.0" customHeight="1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</row>
    <row r="840" ht="12.0" customHeight="1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</row>
    <row r="841" ht="12.0" customHeight="1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</row>
    <row r="842" ht="12.0" customHeight="1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</row>
    <row r="843" ht="12.0" customHeight="1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</row>
    <row r="844" ht="12.0" customHeight="1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</row>
    <row r="845" ht="12.0" customHeight="1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</row>
    <row r="846" ht="12.0" customHeight="1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</row>
    <row r="847" ht="12.0" customHeight="1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</row>
    <row r="848" ht="12.0" customHeight="1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</row>
    <row r="849" ht="12.0" customHeight="1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</row>
    <row r="850" ht="12.0" customHeight="1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</row>
    <row r="851" ht="12.0" customHeight="1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</row>
    <row r="852" ht="12.0" customHeight="1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</row>
    <row r="853" ht="12.0" customHeight="1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</row>
    <row r="854" ht="12.0" customHeight="1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</row>
    <row r="855" ht="12.0" customHeight="1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</row>
    <row r="856" ht="12.0" customHeight="1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</row>
    <row r="857" ht="12.0" customHeight="1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</row>
    <row r="858" ht="12.0" customHeight="1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</row>
    <row r="859" ht="12.0" customHeight="1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</row>
    <row r="860" ht="12.0" customHeight="1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</row>
    <row r="861" ht="12.0" customHeight="1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</row>
    <row r="862" ht="12.0" customHeight="1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</row>
    <row r="863" ht="12.0" customHeight="1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</row>
    <row r="864" ht="12.0" customHeight="1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</row>
    <row r="865" ht="12.0" customHeight="1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</row>
    <row r="866" ht="12.0" customHeight="1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</row>
    <row r="867" ht="12.0" customHeight="1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</row>
    <row r="868" ht="12.0" customHeight="1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</row>
    <row r="869" ht="12.0" customHeight="1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</row>
    <row r="870" ht="12.0" customHeight="1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</row>
    <row r="871" ht="12.0" customHeight="1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</row>
    <row r="872" ht="12.0" customHeight="1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</row>
    <row r="873" ht="12.0" customHeight="1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</row>
    <row r="874" ht="12.0" customHeight="1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</row>
    <row r="875" ht="12.0" customHeight="1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</row>
    <row r="876" ht="12.0" customHeight="1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</row>
    <row r="877" ht="12.0" customHeight="1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</row>
    <row r="878" ht="12.0" customHeight="1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</row>
    <row r="879" ht="12.0" customHeight="1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</row>
    <row r="880" ht="12.0" customHeight="1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</row>
    <row r="881" ht="12.0" customHeight="1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</row>
    <row r="882" ht="12.0" customHeight="1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</row>
    <row r="883" ht="12.0" customHeight="1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</row>
    <row r="884" ht="12.0" customHeight="1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</row>
    <row r="885" ht="12.0" customHeight="1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</row>
    <row r="886" ht="12.0" customHeight="1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</row>
    <row r="887" ht="12.0" customHeight="1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</row>
    <row r="888" ht="12.0" customHeight="1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</row>
    <row r="889" ht="12.0" customHeight="1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</row>
    <row r="890" ht="12.0" customHeight="1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</row>
    <row r="891" ht="12.0" customHeight="1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</row>
    <row r="892" ht="12.0" customHeight="1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</row>
    <row r="893" ht="12.0" customHeight="1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</row>
    <row r="894" ht="12.0" customHeight="1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</row>
    <row r="895" ht="12.0" customHeight="1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</row>
    <row r="896" ht="12.0" customHeight="1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</row>
    <row r="897" ht="12.0" customHeight="1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</row>
    <row r="898" ht="12.0" customHeight="1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</row>
    <row r="899" ht="12.0" customHeight="1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</row>
    <row r="900" ht="12.0" customHeight="1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</row>
    <row r="901" ht="12.0" customHeight="1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</row>
    <row r="902" ht="12.0" customHeight="1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</row>
    <row r="903" ht="12.0" customHeight="1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</row>
    <row r="904" ht="12.0" customHeight="1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</row>
    <row r="905" ht="12.0" customHeight="1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</row>
    <row r="906" ht="12.0" customHeight="1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</row>
    <row r="907" ht="12.0" customHeight="1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</row>
    <row r="908" ht="12.0" customHeight="1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</row>
    <row r="909" ht="12.0" customHeight="1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</row>
    <row r="910" ht="12.0" customHeight="1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</row>
    <row r="911" ht="12.0" customHeight="1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</row>
    <row r="912" ht="12.0" customHeight="1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</row>
    <row r="913" ht="12.0" customHeight="1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</row>
    <row r="914" ht="12.0" customHeight="1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</row>
    <row r="915" ht="12.0" customHeight="1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</row>
    <row r="916" ht="12.0" customHeight="1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</row>
    <row r="917" ht="12.0" customHeight="1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</row>
    <row r="918" ht="12.0" customHeight="1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</row>
    <row r="919" ht="12.0" customHeight="1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</row>
    <row r="920" ht="12.0" customHeight="1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</row>
    <row r="921" ht="12.0" customHeight="1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</row>
    <row r="922" ht="12.0" customHeight="1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</row>
    <row r="923" ht="12.0" customHeight="1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</row>
    <row r="924" ht="12.0" customHeight="1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</row>
    <row r="925" ht="12.0" customHeight="1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</row>
    <row r="926" ht="12.0" customHeight="1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</row>
    <row r="927" ht="12.0" customHeight="1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</row>
    <row r="928" ht="12.0" customHeight="1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</row>
    <row r="929" ht="12.0" customHeight="1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</row>
    <row r="930" ht="12.0" customHeight="1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</row>
    <row r="931" ht="12.0" customHeight="1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</row>
    <row r="932" ht="12.0" customHeight="1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</row>
    <row r="933" ht="12.0" customHeight="1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</row>
    <row r="934" ht="12.0" customHeight="1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</row>
    <row r="935" ht="12.0" customHeight="1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</row>
    <row r="936" ht="12.0" customHeight="1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</row>
    <row r="937" ht="12.0" customHeight="1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</row>
    <row r="938" ht="12.0" customHeight="1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</row>
    <row r="939" ht="12.0" customHeight="1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</row>
    <row r="940" ht="12.0" customHeight="1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</row>
    <row r="941" ht="12.0" customHeight="1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</row>
    <row r="942" ht="12.0" customHeight="1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</row>
    <row r="943" ht="12.0" customHeight="1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</row>
    <row r="944" ht="12.0" customHeight="1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</row>
    <row r="945" ht="12.0" customHeight="1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</row>
    <row r="946" ht="12.0" customHeight="1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</row>
    <row r="947" ht="12.0" customHeight="1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</row>
    <row r="948" ht="12.0" customHeight="1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</row>
    <row r="949" ht="12.0" customHeight="1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</row>
    <row r="950" ht="12.0" customHeight="1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</row>
    <row r="951" ht="12.0" customHeight="1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</row>
    <row r="952" ht="12.0" customHeight="1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</row>
    <row r="953" ht="12.0" customHeight="1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</row>
    <row r="954" ht="12.0" customHeight="1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</row>
    <row r="955" ht="12.0" customHeight="1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</row>
    <row r="956" ht="12.0" customHeight="1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</row>
    <row r="957" ht="12.0" customHeight="1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</row>
    <row r="958" ht="12.0" customHeight="1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</row>
    <row r="959" ht="12.0" customHeight="1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</row>
    <row r="960" ht="12.0" customHeight="1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</row>
    <row r="961" ht="12.0" customHeight="1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</row>
    <row r="962" ht="12.0" customHeight="1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</row>
    <row r="963" ht="12.0" customHeight="1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</row>
    <row r="964" ht="12.0" customHeight="1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</row>
    <row r="965" ht="12.0" customHeight="1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</row>
    <row r="966" ht="12.0" customHeight="1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</row>
    <row r="967" ht="12.0" customHeight="1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</row>
    <row r="968" ht="12.0" customHeight="1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</row>
    <row r="969" ht="12.0" customHeight="1">
      <c r="A969" s="135"/>
      <c r="B969" s="135"/>
      <c r="C969" s="13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</row>
    <row r="970" ht="12.0" customHeight="1">
      <c r="A970" s="135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</row>
    <row r="971" ht="12.0" customHeight="1">
      <c r="A971" s="135"/>
      <c r="B971" s="135"/>
      <c r="C971" s="135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</row>
    <row r="972" ht="12.0" customHeight="1">
      <c r="A972" s="135"/>
      <c r="B972" s="135"/>
      <c r="C972" s="135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</row>
    <row r="973" ht="12.0" customHeight="1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</row>
    <row r="974" ht="12.0" customHeight="1">
      <c r="A974" s="135"/>
      <c r="B974" s="135"/>
      <c r="C974" s="135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</row>
    <row r="975" ht="12.0" customHeight="1">
      <c r="A975" s="135"/>
      <c r="B975" s="135"/>
      <c r="C975" s="135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</row>
    <row r="976" ht="12.0" customHeight="1">
      <c r="A976" s="135"/>
      <c r="B976" s="135"/>
      <c r="C976" s="135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</row>
    <row r="977" ht="12.0" customHeight="1">
      <c r="A977" s="135"/>
      <c r="B977" s="135"/>
      <c r="C977" s="135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</row>
    <row r="978" ht="12.0" customHeight="1">
      <c r="A978" s="135"/>
      <c r="B978" s="135"/>
      <c r="C978" s="135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</row>
    <row r="979" ht="12.0" customHeight="1">
      <c r="A979" s="135"/>
      <c r="B979" s="135"/>
      <c r="C979" s="135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</row>
    <row r="980" ht="12.0" customHeight="1">
      <c r="A980" s="135"/>
      <c r="B980" s="135"/>
      <c r="C980" s="135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</row>
    <row r="981" ht="12.0" customHeight="1">
      <c r="A981" s="135"/>
      <c r="B981" s="135"/>
      <c r="C981" s="135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</row>
    <row r="982" ht="12.0" customHeight="1">
      <c r="A982" s="135"/>
      <c r="B982" s="135"/>
      <c r="C982" s="135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</row>
    <row r="983" ht="12.0" customHeight="1">
      <c r="A983" s="135"/>
      <c r="B983" s="135"/>
      <c r="C983" s="135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</row>
    <row r="984" ht="12.0" customHeight="1">
      <c r="A984" s="135"/>
      <c r="B984" s="135"/>
      <c r="C984" s="135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</row>
    <row r="985" ht="12.0" customHeight="1">
      <c r="A985" s="135"/>
      <c r="B985" s="135"/>
      <c r="C985" s="135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</row>
    <row r="986" ht="12.0" customHeight="1">
      <c r="A986" s="135"/>
      <c r="B986" s="135"/>
      <c r="C986" s="135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</row>
    <row r="987" ht="12.0" customHeight="1">
      <c r="A987" s="135"/>
      <c r="B987" s="135"/>
      <c r="C987" s="135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</row>
    <row r="988" ht="12.0" customHeight="1">
      <c r="A988" s="135"/>
      <c r="B988" s="135"/>
      <c r="C988" s="135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</row>
    <row r="989" ht="12.0" customHeight="1">
      <c r="A989" s="135"/>
      <c r="B989" s="135"/>
      <c r="C989" s="135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</row>
    <row r="990" ht="12.0" customHeight="1">
      <c r="A990" s="135"/>
      <c r="B990" s="135"/>
      <c r="C990" s="135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</row>
    <row r="991" ht="12.0" customHeight="1">
      <c r="A991" s="135"/>
      <c r="B991" s="135"/>
      <c r="C991" s="135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</row>
    <row r="992" ht="12.0" customHeight="1">
      <c r="A992" s="135"/>
      <c r="B992" s="135"/>
      <c r="C992" s="135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</row>
    <row r="993" ht="12.0" customHeight="1">
      <c r="A993" s="135"/>
      <c r="B993" s="135"/>
      <c r="C993" s="135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</row>
    <row r="994" ht="12.0" customHeight="1">
      <c r="A994" s="135"/>
      <c r="B994" s="135"/>
      <c r="C994" s="135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</row>
    <row r="995" ht="12.0" customHeight="1">
      <c r="A995" s="135"/>
      <c r="B995" s="135"/>
      <c r="C995" s="135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</row>
    <row r="996" ht="12.0" customHeight="1">
      <c r="A996" s="135"/>
      <c r="B996" s="135"/>
      <c r="C996" s="135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</row>
    <row r="997" ht="12.0" customHeight="1">
      <c r="A997" s="135"/>
      <c r="B997" s="135"/>
      <c r="C997" s="135"/>
      <c r="D997" s="13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</row>
    <row r="998" ht="12.0" customHeight="1">
      <c r="A998" s="135"/>
      <c r="B998" s="135"/>
      <c r="C998" s="135"/>
      <c r="D998" s="13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</row>
    <row r="999" ht="12.0" customHeight="1">
      <c r="A999" s="135"/>
      <c r="B999" s="135"/>
      <c r="C999" s="135"/>
      <c r="D999" s="13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</row>
    <row r="1000" ht="12.0" customHeight="1">
      <c r="A1000" s="135"/>
      <c r="B1000" s="135"/>
      <c r="C1000" s="135"/>
      <c r="D1000" s="135"/>
      <c r="E1000" s="135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</row>
    <row r="1001" ht="12.0" customHeight="1">
      <c r="A1001" s="135"/>
      <c r="B1001" s="135"/>
      <c r="C1001" s="135"/>
      <c r="D1001" s="135"/>
      <c r="E1001" s="135"/>
      <c r="F1001" s="135"/>
      <c r="G1001" s="135"/>
      <c r="H1001" s="135"/>
      <c r="I1001" s="135"/>
      <c r="J1001" s="135"/>
      <c r="K1001" s="135"/>
      <c r="L1001" s="135"/>
      <c r="M1001" s="135"/>
      <c r="N1001" s="135"/>
      <c r="O1001" s="135"/>
      <c r="P1001" s="135"/>
      <c r="Q1001" s="135"/>
      <c r="R1001" s="135"/>
      <c r="S1001" s="135"/>
      <c r="T1001" s="135"/>
      <c r="U1001" s="135"/>
      <c r="V1001" s="135"/>
      <c r="W1001" s="135"/>
      <c r="X1001" s="135"/>
      <c r="Y1001" s="135"/>
      <c r="Z1001" s="135"/>
    </row>
  </sheetData>
  <mergeCells count="4">
    <mergeCell ref="C12:D12"/>
    <mergeCell ref="C13:D13"/>
    <mergeCell ref="C14:D14"/>
    <mergeCell ref="C15:D15"/>
  </mergeCells>
  <conditionalFormatting sqref="C10:M10">
    <cfRule type="cellIs" dxfId="0" priority="1" operator="greaterThan">
      <formula>0</formula>
    </cfRule>
  </conditionalFormatting>
  <conditionalFormatting sqref="C10:M10">
    <cfRule type="cellIs" dxfId="1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2026-04-07T17:23:29Z</dcterms:created>
  <dc:creator>Albarracin, Mateo</dc:creator>
</cp:coreProperties>
</file>