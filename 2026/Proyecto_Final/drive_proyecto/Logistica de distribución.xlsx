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<sst xmlns="http://schemas.openxmlformats.org/spreadsheetml/2006/main" count="64" uniqueCount="48">
  <si>
    <t xml:space="preserve">Realicé el calculo para 52 semanas </t>
  </si>
  <si>
    <t>Producto</t>
  </si>
  <si>
    <t>Cantidad [Tn]</t>
  </si>
  <si>
    <t>Tn x Semana</t>
  </si>
  <si>
    <t>En gramos</t>
  </si>
  <si>
    <t>Peso x bolsa en gramos</t>
  </si>
  <si>
    <t>Cantidad de bolsas</t>
  </si>
  <si>
    <t>Cantidad de bolsas x caja</t>
  </si>
  <si>
    <t>Cantidad de cajas</t>
  </si>
  <si>
    <t xml:space="preserve">Cajas largo x ancho x alto </t>
  </si>
  <si>
    <t>Cantidad de cajas por piso</t>
  </si>
  <si>
    <t>Cantidad de pisos</t>
  </si>
  <si>
    <t>Peso de la caja en kg</t>
  </si>
  <si>
    <t>Peso x pallet</t>
  </si>
  <si>
    <t>Cajas x pallet</t>
  </si>
  <si>
    <t>Pallets</t>
  </si>
  <si>
    <t>Cantidad de pallets</t>
  </si>
  <si>
    <t>Chocolate con chips picante</t>
  </si>
  <si>
    <t>39*20*18</t>
  </si>
  <si>
    <t>Galletitas simil chocolinas (S/ azúcares)</t>
  </si>
  <si>
    <t>Galletitas simil chocolinas</t>
  </si>
  <si>
    <t>Pepas chocolate y batata</t>
  </si>
  <si>
    <t>Bizcochos sabor queso (?)</t>
  </si>
  <si>
    <t>Bizcochos sabor queso</t>
  </si>
  <si>
    <t>Polvorones (S/ azúcares)</t>
  </si>
  <si>
    <t>Polvorones</t>
  </si>
  <si>
    <t>Pan de molde</t>
  </si>
  <si>
    <t>Budines</t>
  </si>
  <si>
    <t>Budines saludables (S/ azúcares)</t>
  </si>
  <si>
    <t>TOTAL SEMANAL</t>
  </si>
  <si>
    <t>LOGÍSTICA PROPIA</t>
  </si>
  <si>
    <t>LOGÍSTICA TERCIARIZADA</t>
  </si>
  <si>
    <t>CHASIS</t>
  </si>
  <si>
    <t>Costos</t>
  </si>
  <si>
    <t>Datos</t>
  </si>
  <si>
    <t>Monto en pesos</t>
  </si>
  <si>
    <t>Costo</t>
  </si>
  <si>
    <t>Cantidad</t>
  </si>
  <si>
    <t>Vehículo</t>
  </si>
  <si>
    <t>Flete recolección + última milla</t>
  </si>
  <si>
    <t>Combustible anual</t>
  </si>
  <si>
    <t>-</t>
  </si>
  <si>
    <t>Mantenimiento anual</t>
  </si>
  <si>
    <t>TOTAL</t>
  </si>
  <si>
    <t>Seguro anual</t>
  </si>
  <si>
    <t>Patente anual</t>
  </si>
  <si>
    <t>Sueldo Chofer</t>
  </si>
  <si>
    <t>Sueldo Planifcador de 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</si>
</sst>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$]#,##0.00"/>
  </numFmts>
  <fonts count="8">
    <font>
      <sz val="10.0"/>
      <color rgb="FF000000"/>
      <name val="Arial"/>
      <scheme val="minor"/>
    </font>
    <font>
      <color theme="1"/>
      <name val="Arial"/>
    </font>
    <font>
      <b/>
      <sz val="9.0"/>
      <color theme="1"/>
      <name val="Nunito"/>
    </font>
    <font>
      <b/>
      <color theme="1"/>
      <name val="Arial"/>
      <scheme val="minor"/>
    </font>
    <font/>
    <font>
      <color theme="1"/>
      <name val="Arial"/>
      <scheme val="minor"/>
    </font>
    <font>
      <color rgb="FF000000"/>
      <name val="Arial"/>
    </font>
    <font>
      <b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bottom" wrapText="1"/>
    </xf>
    <xf borderId="2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165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readingOrder="0" shrinkToFit="0" vertical="center" wrapText="1"/>
    </xf>
    <xf borderId="0" fillId="4" fontId="5" numFmtId="0" xfId="0" applyAlignment="1" applyFill="1" applyFont="1">
      <alignment horizontal="center" vertical="center"/>
    </xf>
    <xf borderId="0" fillId="4" fontId="5" numFmtId="0" xfId="0" applyFont="1"/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4" fontId="6" numFmtId="165" xfId="0" applyAlignment="1" applyFont="1" applyNumberFormat="1">
      <alignment horizontal="center" readingOrder="0" shrinkToFit="0" vertical="bottom" wrapText="0"/>
    </xf>
    <xf borderId="0" fillId="4" fontId="6" numFmtId="0" xfId="0" applyAlignment="1" applyFont="1">
      <alignment horizontal="center" readingOrder="0" shrinkToFit="0" vertical="bottom" wrapText="0"/>
    </xf>
    <xf borderId="1" fillId="0" fontId="3" numFmtId="9" xfId="0" applyAlignment="1" applyBorder="1" applyFont="1" applyNumberFormat="1">
      <alignment horizontal="center" readingOrder="0"/>
    </xf>
    <xf borderId="0" fillId="4" fontId="7" numFmtId="0" xfId="0" applyAlignment="1" applyFont="1">
      <alignment readingOrder="0" shrinkToFit="0" vertical="bottom" wrapText="0"/>
    </xf>
    <xf borderId="0" fillId="4" fontId="7" numFmtId="0" xfId="0" applyAlignment="1" applyFont="1">
      <alignment horizontal="right" readingOrder="0" shrinkToFit="0" vertical="bottom" wrapText="0"/>
    </xf>
    <xf borderId="0" fillId="4" fontId="6" numFmtId="0" xfId="0" applyAlignment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center"/>
    </xf>
    <xf borderId="0" fillId="4" fontId="6" numFmtId="0" xfId="0" applyAlignment="1" applyFont="1">
      <alignment readingOrder="0" shrinkToFit="0" vertical="bottom" wrapText="0"/>
    </xf>
    <xf borderId="0" fillId="4" fontId="6" numFmtId="0" xfId="0" applyAlignment="1" applyFont="1">
      <alignment horizontal="right" readingOrder="0" shrinkToFit="0" vertical="bottom" wrapText="0"/>
    </xf>
    <xf borderId="0" fillId="4" fontId="6" numFmtId="9" xfId="0" applyAlignment="1" applyFont="1" applyNumberFormat="1">
      <alignment horizontal="left" readingOrder="0" shrinkToFit="0" vertical="bottom" wrapText="0"/>
    </xf>
    <xf borderId="1" fillId="0" fontId="3" numFmtId="165" xfId="0" applyAlignment="1" applyBorder="1" applyFont="1" applyNumberFormat="1">
      <alignment horizontal="left" readingOrder="0" shrinkToFit="0" wrapText="1"/>
    </xf>
    <xf borderId="0" fillId="0" fontId="5" numFmtId="165" xfId="0" applyFont="1" applyNumberFormat="1"/>
    <xf borderId="0" fillId="4" fontId="6" numFmtId="0" xfId="0" applyAlignment="1" applyFont="1">
      <alignment horizontal="lef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15" displayName="Tabla_1" name="Tabla_1" id="1">
  <tableColumns count="16">
    <tableColumn name="Producto" id="1"/>
    <tableColumn name="Cantidad [Tn]" id="2"/>
    <tableColumn name="Tn x Semana" id="3"/>
    <tableColumn name="En gramos" id="4"/>
    <tableColumn name="Peso x bolsa en gramos" id="5"/>
    <tableColumn name="Cantidad de bolsas" id="6"/>
    <tableColumn name="Cantidad de bolsas x caja" id="7"/>
    <tableColumn name="Cantidad de cajas" id="8"/>
    <tableColumn name="Cajas largo x ancho x alto " id="9"/>
    <tableColumn name="Cantidad de cajas por piso" id="10"/>
    <tableColumn name="Cantidad de pisos" id="11"/>
    <tableColumn name="Peso de la caja en kg" id="12"/>
    <tableColumn name="Peso x pallet" id="13"/>
    <tableColumn name="Cajas x pallet" id="14"/>
    <tableColumn name="Pallets" id="15"/>
    <tableColumn name="Cantidad de pallets" id="1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8.25"/>
    <col customWidth="1" min="3" max="3" width="14.38"/>
    <col customWidth="1" min="4" max="4" width="16.13"/>
    <col customWidth="1" min="5" max="5" width="14.63"/>
    <col customWidth="1" min="6" max="7" width="15.38"/>
    <col customWidth="1" min="8" max="8" width="15.0"/>
    <col customWidth="1" min="10" max="11" width="15.0"/>
    <col customWidth="1" min="12" max="12" width="15.88"/>
    <col customWidth="1" min="13" max="13" width="13.38"/>
    <col customWidth="1" min="14" max="14" width="13.75"/>
    <col customWidth="1" hidden="1" min="15" max="15" width="13.63"/>
    <col customWidth="1" min="16" max="16" width="15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3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3" t="s">
        <v>15</v>
      </c>
      <c r="P3" s="3" t="s">
        <v>16</v>
      </c>
    </row>
    <row r="4" ht="22.5" customHeight="1">
      <c r="A4" s="4" t="s">
        <v>17</v>
      </c>
      <c r="B4" s="5">
        <v>48.0</v>
      </c>
      <c r="C4" s="5">
        <f t="shared" ref="C4:C14" si="1">B4/52</f>
        <v>0.9230769231</v>
      </c>
      <c r="D4" s="5">
        <f t="shared" ref="D4:D14" si="2">C4*1000000</f>
        <v>923076.9231</v>
      </c>
      <c r="E4" s="6">
        <v>150.0</v>
      </c>
      <c r="F4" s="5">
        <f t="shared" ref="F4:F14" si="3">ROUND(D4/E4,0)</f>
        <v>6154</v>
      </c>
      <c r="G4" s="6">
        <v>12.0</v>
      </c>
      <c r="H4" s="5">
        <f t="shared" ref="H4:H14" si="4">ROUND(F4/G4,0)</f>
        <v>513</v>
      </c>
      <c r="I4" s="4" t="s">
        <v>18</v>
      </c>
      <c r="J4" s="5">
        <f t="shared" ref="J4:J14" si="5">3*5</f>
        <v>15</v>
      </c>
      <c r="K4" s="6">
        <v>8.0</v>
      </c>
      <c r="L4" s="6">
        <v>2.9</v>
      </c>
      <c r="M4" s="5">
        <f t="shared" ref="M4:M14" si="6">L4*N4</f>
        <v>348</v>
      </c>
      <c r="N4" s="5">
        <f t="shared" ref="N4:N14" si="7">J4*K4</f>
        <v>120</v>
      </c>
      <c r="O4" s="7">
        <f t="shared" ref="O4:O14" si="8">H4/N4</f>
        <v>4.275</v>
      </c>
      <c r="P4" s="8">
        <f t="shared" ref="P4:P14" si="9">IF(O4&lt;1,1,ROUND(O4,0))</f>
        <v>4</v>
      </c>
    </row>
    <row r="5" ht="22.5" customHeight="1">
      <c r="A5" s="4" t="s">
        <v>19</v>
      </c>
      <c r="B5" s="5">
        <v>8.0</v>
      </c>
      <c r="C5" s="5">
        <f t="shared" si="1"/>
        <v>0.1538461538</v>
      </c>
      <c r="D5" s="5">
        <f t="shared" si="2"/>
        <v>153846.1538</v>
      </c>
      <c r="E5" s="6">
        <v>150.0</v>
      </c>
      <c r="F5" s="5">
        <f t="shared" si="3"/>
        <v>1026</v>
      </c>
      <c r="G5" s="6">
        <v>12.0</v>
      </c>
      <c r="H5" s="5">
        <f t="shared" si="4"/>
        <v>86</v>
      </c>
      <c r="I5" s="4" t="s">
        <v>18</v>
      </c>
      <c r="J5" s="5">
        <f t="shared" si="5"/>
        <v>15</v>
      </c>
      <c r="K5" s="6">
        <v>8.0</v>
      </c>
      <c r="L5" s="6">
        <v>2.9</v>
      </c>
      <c r="M5" s="5">
        <f t="shared" si="6"/>
        <v>348</v>
      </c>
      <c r="N5" s="5">
        <f t="shared" si="7"/>
        <v>120</v>
      </c>
      <c r="O5" s="7">
        <f t="shared" si="8"/>
        <v>0.7166666667</v>
      </c>
      <c r="P5" s="8">
        <f t="shared" si="9"/>
        <v>1</v>
      </c>
    </row>
    <row r="6" ht="22.5" customHeight="1">
      <c r="A6" s="4" t="s">
        <v>20</v>
      </c>
      <c r="B6" s="5">
        <v>19.0</v>
      </c>
      <c r="C6" s="5">
        <f t="shared" si="1"/>
        <v>0.3653846154</v>
      </c>
      <c r="D6" s="5">
        <f t="shared" si="2"/>
        <v>365384.6154</v>
      </c>
      <c r="E6" s="6">
        <v>150.0</v>
      </c>
      <c r="F6" s="5">
        <f t="shared" si="3"/>
        <v>2436</v>
      </c>
      <c r="G6" s="6">
        <v>12.0</v>
      </c>
      <c r="H6" s="5">
        <f t="shared" si="4"/>
        <v>203</v>
      </c>
      <c r="I6" s="4" t="s">
        <v>18</v>
      </c>
      <c r="J6" s="5">
        <f t="shared" si="5"/>
        <v>15</v>
      </c>
      <c r="K6" s="6">
        <v>8.0</v>
      </c>
      <c r="L6" s="6">
        <v>2.9</v>
      </c>
      <c r="M6" s="5">
        <f t="shared" si="6"/>
        <v>348</v>
      </c>
      <c r="N6" s="5">
        <f t="shared" si="7"/>
        <v>120</v>
      </c>
      <c r="O6" s="7">
        <f t="shared" si="8"/>
        <v>1.691666667</v>
      </c>
      <c r="P6" s="8">
        <f t="shared" si="9"/>
        <v>2</v>
      </c>
    </row>
    <row r="7" ht="22.5" customHeight="1">
      <c r="A7" s="4" t="s">
        <v>21</v>
      </c>
      <c r="B7" s="5">
        <v>78.0</v>
      </c>
      <c r="C7" s="5">
        <f t="shared" si="1"/>
        <v>1.5</v>
      </c>
      <c r="D7" s="5">
        <f t="shared" si="2"/>
        <v>1500000</v>
      </c>
      <c r="E7" s="6">
        <v>150.0</v>
      </c>
      <c r="F7" s="5">
        <f t="shared" si="3"/>
        <v>10000</v>
      </c>
      <c r="G7" s="6">
        <v>12.0</v>
      </c>
      <c r="H7" s="5">
        <f t="shared" si="4"/>
        <v>833</v>
      </c>
      <c r="I7" s="4" t="s">
        <v>18</v>
      </c>
      <c r="J7" s="5">
        <f t="shared" si="5"/>
        <v>15</v>
      </c>
      <c r="K7" s="6">
        <v>8.0</v>
      </c>
      <c r="L7" s="6">
        <v>2.9</v>
      </c>
      <c r="M7" s="5">
        <f t="shared" si="6"/>
        <v>348</v>
      </c>
      <c r="N7" s="5">
        <f t="shared" si="7"/>
        <v>120</v>
      </c>
      <c r="O7" s="7">
        <f t="shared" si="8"/>
        <v>6.941666667</v>
      </c>
      <c r="P7" s="8">
        <f t="shared" si="9"/>
        <v>7</v>
      </c>
    </row>
    <row r="8" ht="22.5" customHeight="1">
      <c r="A8" s="4" t="s">
        <v>22</v>
      </c>
      <c r="B8" s="5">
        <v>5.0</v>
      </c>
      <c r="C8" s="5">
        <f t="shared" si="1"/>
        <v>0.09615384615</v>
      </c>
      <c r="D8" s="5">
        <f t="shared" si="2"/>
        <v>96153.84615</v>
      </c>
      <c r="E8" s="6">
        <v>150.0</v>
      </c>
      <c r="F8" s="5">
        <f t="shared" si="3"/>
        <v>641</v>
      </c>
      <c r="G8" s="6">
        <v>12.0</v>
      </c>
      <c r="H8" s="5">
        <f t="shared" si="4"/>
        <v>53</v>
      </c>
      <c r="I8" s="4" t="s">
        <v>18</v>
      </c>
      <c r="J8" s="5">
        <f t="shared" si="5"/>
        <v>15</v>
      </c>
      <c r="K8" s="6">
        <v>8.0</v>
      </c>
      <c r="L8" s="6">
        <v>2.9</v>
      </c>
      <c r="M8" s="5">
        <f t="shared" si="6"/>
        <v>348</v>
      </c>
      <c r="N8" s="5">
        <f t="shared" si="7"/>
        <v>120</v>
      </c>
      <c r="O8" s="7">
        <f t="shared" si="8"/>
        <v>0.4416666667</v>
      </c>
      <c r="P8" s="8">
        <f t="shared" si="9"/>
        <v>1</v>
      </c>
    </row>
    <row r="9" ht="22.5" customHeight="1">
      <c r="A9" s="4" t="s">
        <v>23</v>
      </c>
      <c r="B9" s="5">
        <v>11.0</v>
      </c>
      <c r="C9" s="5">
        <f t="shared" si="1"/>
        <v>0.2115384615</v>
      </c>
      <c r="D9" s="5">
        <f t="shared" si="2"/>
        <v>211538.4615</v>
      </c>
      <c r="E9" s="6">
        <v>150.0</v>
      </c>
      <c r="F9" s="5">
        <f t="shared" si="3"/>
        <v>1410</v>
      </c>
      <c r="G9" s="6">
        <v>12.0</v>
      </c>
      <c r="H9" s="5">
        <f t="shared" si="4"/>
        <v>118</v>
      </c>
      <c r="I9" s="4" t="s">
        <v>18</v>
      </c>
      <c r="J9" s="5">
        <f t="shared" si="5"/>
        <v>15</v>
      </c>
      <c r="K9" s="6">
        <v>8.0</v>
      </c>
      <c r="L9" s="6">
        <v>2.9</v>
      </c>
      <c r="M9" s="5">
        <f t="shared" si="6"/>
        <v>348</v>
      </c>
      <c r="N9" s="5">
        <f t="shared" si="7"/>
        <v>120</v>
      </c>
      <c r="O9" s="7">
        <f t="shared" si="8"/>
        <v>0.9833333333</v>
      </c>
      <c r="P9" s="8">
        <f t="shared" si="9"/>
        <v>1</v>
      </c>
    </row>
    <row r="10" ht="22.5" customHeight="1">
      <c r="A10" s="4" t="s">
        <v>24</v>
      </c>
      <c r="B10" s="5">
        <v>16.0</v>
      </c>
      <c r="C10" s="5">
        <f t="shared" si="1"/>
        <v>0.3076923077</v>
      </c>
      <c r="D10" s="5">
        <f t="shared" si="2"/>
        <v>307692.3077</v>
      </c>
      <c r="E10" s="6">
        <v>150.0</v>
      </c>
      <c r="F10" s="5">
        <f t="shared" si="3"/>
        <v>2051</v>
      </c>
      <c r="G10" s="6">
        <v>12.0</v>
      </c>
      <c r="H10" s="5">
        <f t="shared" si="4"/>
        <v>171</v>
      </c>
      <c r="I10" s="4" t="s">
        <v>18</v>
      </c>
      <c r="J10" s="5">
        <f t="shared" si="5"/>
        <v>15</v>
      </c>
      <c r="K10" s="6">
        <v>8.0</v>
      </c>
      <c r="L10" s="6">
        <v>2.9</v>
      </c>
      <c r="M10" s="5">
        <f t="shared" si="6"/>
        <v>348</v>
      </c>
      <c r="N10" s="5">
        <f t="shared" si="7"/>
        <v>120</v>
      </c>
      <c r="O10" s="7">
        <f t="shared" si="8"/>
        <v>1.425</v>
      </c>
      <c r="P10" s="8">
        <f t="shared" si="9"/>
        <v>1</v>
      </c>
    </row>
    <row r="11" ht="22.5" customHeight="1">
      <c r="A11" s="4" t="s">
        <v>25</v>
      </c>
      <c r="B11" s="5">
        <v>37.0</v>
      </c>
      <c r="C11" s="5">
        <f t="shared" si="1"/>
        <v>0.7115384615</v>
      </c>
      <c r="D11" s="5">
        <f t="shared" si="2"/>
        <v>711538.4615</v>
      </c>
      <c r="E11" s="6">
        <v>150.0</v>
      </c>
      <c r="F11" s="5">
        <f t="shared" si="3"/>
        <v>4744</v>
      </c>
      <c r="G11" s="6">
        <v>12.0</v>
      </c>
      <c r="H11" s="5">
        <f t="shared" si="4"/>
        <v>395</v>
      </c>
      <c r="I11" s="4" t="s">
        <v>18</v>
      </c>
      <c r="J11" s="5">
        <f t="shared" si="5"/>
        <v>15</v>
      </c>
      <c r="K11" s="6">
        <v>8.0</v>
      </c>
      <c r="L11" s="6">
        <v>2.9</v>
      </c>
      <c r="M11" s="5">
        <f t="shared" si="6"/>
        <v>348</v>
      </c>
      <c r="N11" s="5">
        <f t="shared" si="7"/>
        <v>120</v>
      </c>
      <c r="O11" s="7">
        <f t="shared" si="8"/>
        <v>3.291666667</v>
      </c>
      <c r="P11" s="8">
        <f t="shared" si="9"/>
        <v>3</v>
      </c>
    </row>
    <row r="12" ht="22.5" customHeight="1">
      <c r="A12" s="4" t="s">
        <v>26</v>
      </c>
      <c r="B12" s="5">
        <v>75.0</v>
      </c>
      <c r="C12" s="5">
        <f t="shared" si="1"/>
        <v>1.442307692</v>
      </c>
      <c r="D12" s="5">
        <f t="shared" si="2"/>
        <v>1442307.692</v>
      </c>
      <c r="E12" s="6">
        <v>150.0</v>
      </c>
      <c r="F12" s="5">
        <f t="shared" si="3"/>
        <v>9615</v>
      </c>
      <c r="G12" s="6">
        <v>12.0</v>
      </c>
      <c r="H12" s="5">
        <f t="shared" si="4"/>
        <v>801</v>
      </c>
      <c r="I12" s="4" t="s">
        <v>18</v>
      </c>
      <c r="J12" s="5">
        <f t="shared" si="5"/>
        <v>15</v>
      </c>
      <c r="K12" s="6">
        <v>8.0</v>
      </c>
      <c r="L12" s="6">
        <v>2.9</v>
      </c>
      <c r="M12" s="5">
        <f t="shared" si="6"/>
        <v>348</v>
      </c>
      <c r="N12" s="5">
        <f t="shared" si="7"/>
        <v>120</v>
      </c>
      <c r="O12" s="7">
        <f t="shared" si="8"/>
        <v>6.675</v>
      </c>
      <c r="P12" s="8">
        <f t="shared" si="9"/>
        <v>7</v>
      </c>
    </row>
    <row r="13" ht="22.5" customHeight="1">
      <c r="A13" s="4" t="s">
        <v>27</v>
      </c>
      <c r="B13" s="5">
        <v>71.0</v>
      </c>
      <c r="C13" s="5">
        <f t="shared" si="1"/>
        <v>1.365384615</v>
      </c>
      <c r="D13" s="5">
        <f t="shared" si="2"/>
        <v>1365384.615</v>
      </c>
      <c r="E13" s="6">
        <v>150.0</v>
      </c>
      <c r="F13" s="5">
        <f t="shared" si="3"/>
        <v>9103</v>
      </c>
      <c r="G13" s="6">
        <v>12.0</v>
      </c>
      <c r="H13" s="5">
        <f t="shared" si="4"/>
        <v>759</v>
      </c>
      <c r="I13" s="4" t="s">
        <v>18</v>
      </c>
      <c r="J13" s="5">
        <f t="shared" si="5"/>
        <v>15</v>
      </c>
      <c r="K13" s="6">
        <v>8.0</v>
      </c>
      <c r="L13" s="6">
        <v>2.9</v>
      </c>
      <c r="M13" s="5">
        <f t="shared" si="6"/>
        <v>348</v>
      </c>
      <c r="N13" s="5">
        <f t="shared" si="7"/>
        <v>120</v>
      </c>
      <c r="O13" s="7">
        <f t="shared" si="8"/>
        <v>6.325</v>
      </c>
      <c r="P13" s="8">
        <f t="shared" si="9"/>
        <v>6</v>
      </c>
    </row>
    <row r="14" ht="22.5" customHeight="1">
      <c r="A14" s="4" t="s">
        <v>28</v>
      </c>
      <c r="B14" s="5">
        <v>18.0</v>
      </c>
      <c r="C14" s="5">
        <f t="shared" si="1"/>
        <v>0.3461538462</v>
      </c>
      <c r="D14" s="5">
        <f t="shared" si="2"/>
        <v>346153.8462</v>
      </c>
      <c r="E14" s="6">
        <v>150.0</v>
      </c>
      <c r="F14" s="5">
        <f t="shared" si="3"/>
        <v>2308</v>
      </c>
      <c r="G14" s="6">
        <v>12.0</v>
      </c>
      <c r="H14" s="5">
        <f t="shared" si="4"/>
        <v>192</v>
      </c>
      <c r="I14" s="4" t="s">
        <v>18</v>
      </c>
      <c r="J14" s="5">
        <f t="shared" si="5"/>
        <v>15</v>
      </c>
      <c r="K14" s="6">
        <v>8.0</v>
      </c>
      <c r="L14" s="6">
        <v>2.9</v>
      </c>
      <c r="M14" s="5">
        <f t="shared" si="6"/>
        <v>348</v>
      </c>
      <c r="N14" s="5">
        <f t="shared" si="7"/>
        <v>120</v>
      </c>
      <c r="O14" s="7">
        <f t="shared" si="8"/>
        <v>1.6</v>
      </c>
      <c r="P14" s="8">
        <f t="shared" si="9"/>
        <v>2</v>
      </c>
    </row>
    <row r="15" ht="22.5" customHeight="1">
      <c r="A15" s="9"/>
      <c r="B15" s="10"/>
      <c r="C15" s="10"/>
      <c r="D15" s="10"/>
      <c r="E15" s="10"/>
      <c r="F15" s="10"/>
      <c r="G15" s="10"/>
      <c r="H15" s="10"/>
      <c r="I15" s="9"/>
      <c r="J15" s="10"/>
      <c r="K15" s="11"/>
      <c r="L15" s="10"/>
      <c r="M15" s="11"/>
      <c r="N15" s="12" t="s">
        <v>29</v>
      </c>
      <c r="O15" s="12"/>
      <c r="P15" s="13">
        <f>SUM(P4:P14)</f>
        <v>35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4"/>
      <c r="L16" s="1"/>
      <c r="M16" s="14"/>
      <c r="N16" s="1"/>
      <c r="O16" s="14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4"/>
      <c r="L17" s="1"/>
      <c r="M17" s="14"/>
      <c r="N17" s="1"/>
      <c r="O17" s="14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4"/>
      <c r="L18" s="1"/>
      <c r="M18" s="14"/>
      <c r="N18" s="1"/>
      <c r="O18" s="14"/>
    </row>
    <row r="19">
      <c r="B19" s="15" t="s">
        <v>30</v>
      </c>
      <c r="C19" s="16"/>
      <c r="D19" s="17"/>
      <c r="F19" s="15" t="s">
        <v>31</v>
      </c>
      <c r="G19" s="16"/>
      <c r="H19" s="17"/>
    </row>
    <row r="20">
      <c r="B20" s="18" t="s">
        <v>32</v>
      </c>
      <c r="C20" s="16"/>
      <c r="D20" s="17"/>
      <c r="F20" s="18" t="s">
        <v>32</v>
      </c>
      <c r="G20" s="16"/>
      <c r="H20" s="17"/>
    </row>
    <row r="21">
      <c r="B21" s="19" t="s">
        <v>33</v>
      </c>
      <c r="C21" s="19" t="s">
        <v>34</v>
      </c>
      <c r="D21" s="19" t="s">
        <v>35</v>
      </c>
      <c r="F21" s="20" t="s">
        <v>36</v>
      </c>
      <c r="G21" s="20" t="s">
        <v>37</v>
      </c>
      <c r="H21" s="20" t="s">
        <v>35</v>
      </c>
    </row>
    <row r="22">
      <c r="B22" s="21" t="s">
        <v>38</v>
      </c>
      <c r="C22" s="22">
        <v>60000.0</v>
      </c>
      <c r="D22" s="23">
        <f>C22*1400</f>
        <v>84000000</v>
      </c>
      <c r="F22" s="20" t="s">
        <v>39</v>
      </c>
      <c r="G22" s="20">
        <v>208.0</v>
      </c>
      <c r="H22" s="20">
        <v>320000.0</v>
      </c>
    </row>
    <row r="23">
      <c r="B23" s="21" t="s">
        <v>40</v>
      </c>
      <c r="C23" s="19" t="s">
        <v>41</v>
      </c>
      <c r="D23" s="22">
        <v>1.82E7</v>
      </c>
      <c r="F23" s="24"/>
      <c r="G23" s="25"/>
      <c r="H23" s="26"/>
      <c r="I23" s="27"/>
      <c r="J23" s="27"/>
    </row>
    <row r="24">
      <c r="B24" s="21" t="s">
        <v>42</v>
      </c>
      <c r="C24" s="19" t="s">
        <v>41</v>
      </c>
      <c r="D24" s="23">
        <f>3*2000000</f>
        <v>6000000</v>
      </c>
      <c r="F24" s="20" t="s">
        <v>43</v>
      </c>
      <c r="G24" s="20"/>
      <c r="H24" s="28">
        <f>208*H22</f>
        <v>66560000</v>
      </c>
      <c r="I24" s="29">
        <f>H24*5</f>
        <v>332800000</v>
      </c>
      <c r="J24" s="30"/>
    </row>
    <row r="25">
      <c r="B25" s="21" t="s">
        <v>44</v>
      </c>
      <c r="C25" s="31">
        <v>0.05</v>
      </c>
      <c r="D25" s="23">
        <f>D22*C25</f>
        <v>4200000</v>
      </c>
      <c r="G25" s="27"/>
      <c r="H25" s="30"/>
      <c r="I25" s="30"/>
      <c r="J25" s="30"/>
    </row>
    <row r="26">
      <c r="B26" s="21" t="s">
        <v>45</v>
      </c>
      <c r="C26" s="31">
        <v>0.04</v>
      </c>
      <c r="D26" s="23">
        <f>D22*C26</f>
        <v>3360000</v>
      </c>
      <c r="G26" s="27"/>
      <c r="H26" s="32"/>
      <c r="I26" s="33"/>
      <c r="J26" s="34"/>
    </row>
    <row r="27">
      <c r="B27" s="35"/>
      <c r="C27" s="36"/>
      <c r="D27" s="36"/>
      <c r="G27" s="27"/>
      <c r="H27" s="32"/>
      <c r="I27" s="33"/>
      <c r="J27" s="34"/>
    </row>
    <row r="28">
      <c r="B28" s="21" t="s">
        <v>46</v>
      </c>
      <c r="C28" s="19" t="s">
        <v>41</v>
      </c>
      <c r="D28" s="22">
        <v>2000000.0</v>
      </c>
      <c r="G28" s="27"/>
      <c r="H28" s="37"/>
      <c r="I28" s="38"/>
      <c r="J28" s="34"/>
    </row>
    <row r="29">
      <c r="B29" s="21" t="s">
        <v>47</v>
      </c>
      <c r="C29" s="19" t="s">
        <v>41</v>
      </c>
      <c r="D29" s="22">
        <v>2200000.0</v>
      </c>
      <c r="G29" s="27"/>
      <c r="H29" s="37"/>
      <c r="I29" s="38"/>
      <c r="J29" s="39"/>
    </row>
    <row r="30">
      <c r="G30" s="27"/>
      <c r="H30" s="37"/>
      <c r="I30" s="38"/>
      <c r="J30" s="39"/>
    </row>
    <row r="31">
      <c r="B31" s="21" t="s">
        <v>43</v>
      </c>
      <c r="C31" s="21"/>
      <c r="D31" s="40">
        <f>SUM(D22:D29)*2</f>
        <v>239920000</v>
      </c>
      <c r="G31" s="27"/>
      <c r="H31" s="37"/>
      <c r="I31" s="38"/>
      <c r="J31" s="39"/>
    </row>
    <row r="32">
      <c r="D32" s="41">
        <f>SUM(D23:D29)</f>
        <v>35960000</v>
      </c>
      <c r="G32" s="27"/>
      <c r="H32" s="37"/>
      <c r="I32" s="38"/>
      <c r="J32" s="42"/>
    </row>
    <row r="33">
      <c r="D33" s="41">
        <v>3.596E7</v>
      </c>
      <c r="G33" s="27"/>
      <c r="H33" s="37"/>
      <c r="I33" s="38"/>
      <c r="J33" s="34"/>
    </row>
    <row r="34">
      <c r="D34" s="41">
        <v>3.596E7</v>
      </c>
      <c r="G34" s="27"/>
      <c r="H34" s="37"/>
      <c r="I34" s="38"/>
      <c r="J34" s="34"/>
    </row>
    <row r="35">
      <c r="D35" s="41">
        <v>3.596E7</v>
      </c>
      <c r="G35" s="27"/>
      <c r="H35" s="37"/>
      <c r="I35" s="38"/>
      <c r="J35" s="34"/>
    </row>
  </sheetData>
  <mergeCells count="4">
    <mergeCell ref="B19:D19"/>
    <mergeCell ref="F19:H19"/>
    <mergeCell ref="B20:D20"/>
    <mergeCell ref="F20:H20"/>
  </mergeCells>
  <dataValidations>
    <dataValidation type="custom" allowBlank="1" showDropDown="1" sqref="B4:H15 J4:P1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