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DDQewOJ/CJ8MEz20qVeet0dporm9fHj70Q7q3JwUKco="/>
    </ext>
  </extLst>
</workbook>
</file>

<file path=xl/sharedStrings.xml><?xml version="1.0" encoding="utf-8"?>
<sst xmlns="http://schemas.openxmlformats.org/spreadsheetml/2006/main" count="9" uniqueCount="9">
  <si>
    <t>Puesto / Categoría</t>
  </si>
  <si>
    <t>Cantidad</t>
  </si>
  <si>
    <t>Costo Unitario Mensual (ARS)</t>
  </si>
  <si>
    <t>Subtotal Mensual (ARS)</t>
  </si>
  <si>
    <t>Operario Calificado (Producción/Empaque)</t>
  </si>
  <si>
    <t>Mantenimiento / Logística</t>
  </si>
  <si>
    <t>Staff producción</t>
  </si>
  <si>
    <t xml:space="preserve">Administrativos </t>
  </si>
  <si>
    <t>Gerencia de Planta / Admin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</si>
</sst>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$&quot;* #,##0_-;\-&quot;$&quot;* #,##0_-;_-&quot;$&quot;* &quot;-&quot;??_-;_-@"/>
    <numFmt numFmtId="165" formatCode="_-&quot;$&quot;* #,##0.00_-;\-&quot;$&quot;* #,##0.00_-;_-&quot;$&quot;* &quot;-&quot;??_-;_-@"/>
  </numFmts>
  <fonts count="4">
    <font>
      <sz val="11.0"/>
      <color theme="1"/>
      <name val="Aptos Narrow"/>
      <scheme val="minor"/>
    </font>
    <font>
      <sz val="11.0"/>
      <color theme="1"/>
      <name val="Aptos Narrow"/>
    </font>
    <font>
      <b/>
      <sz val="11.0"/>
      <color theme="1"/>
      <name val="Google Sans"/>
    </font>
    <font>
      <sz val="11.0"/>
      <color theme="1"/>
      <name val="Google Sans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CDFE5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shrinkToFit="0" vertical="center" wrapText="1"/>
    </xf>
    <xf borderId="2" fillId="3" fontId="3" numFmtId="0" xfId="0" applyAlignment="1" applyBorder="1" applyFont="1">
      <alignment horizontal="right" shrinkToFit="0" vertical="center" wrapText="1"/>
    </xf>
    <xf borderId="1" fillId="3" fontId="2" numFmtId="164" xfId="0" applyAlignment="1" applyBorder="1" applyFont="1" applyNumberFormat="1">
      <alignment horizontal="right" shrinkToFit="0" vertical="center" wrapText="1"/>
    </xf>
    <xf borderId="2" fillId="3" fontId="3" numFmtId="164" xfId="0" applyAlignment="1" applyBorder="1" applyFont="1" applyNumberFormat="1">
      <alignment shrinkToFit="0" vertical="center" wrapText="1"/>
    </xf>
    <xf borderId="1" fillId="4" fontId="2" numFmtId="0" xfId="0" applyAlignment="1" applyBorder="1" applyFill="1" applyFont="1">
      <alignment shrinkToFit="0" vertical="center" wrapText="1"/>
    </xf>
    <xf borderId="2" fillId="4" fontId="3" numFmtId="0" xfId="0" applyAlignment="1" applyBorder="1" applyFont="1">
      <alignment horizontal="right" shrinkToFit="0" vertical="center" wrapText="1"/>
    </xf>
    <xf borderId="2" fillId="4" fontId="3" numFmtId="164" xfId="0" applyAlignment="1" applyBorder="1" applyFont="1" applyNumberFormat="1">
      <alignment shrinkToFit="0" vertical="center" wrapText="1"/>
    </xf>
    <xf borderId="1" fillId="3" fontId="2" numFmtId="164" xfId="0" applyAlignment="1" applyBorder="1" applyFont="1" applyNumberFormat="1">
      <alignment horizontal="left" shrinkToFit="0" vertical="center" wrapText="1"/>
    </xf>
    <xf borderId="1" fillId="4" fontId="2" numFmtId="164" xfId="0" applyAlignment="1" applyBorder="1" applyFont="1" applyNumberFormat="1">
      <alignment shrinkToFit="0" vertical="center" wrapText="1"/>
    </xf>
    <xf borderId="2" fillId="4" fontId="3" numFmtId="165" xfId="0" applyAlignment="1" applyBorder="1" applyFont="1" applyNumberFormat="1">
      <alignment shrinkToFit="0" vertical="center" wrapText="1"/>
    </xf>
    <xf borderId="1" fillId="3" fontId="2" numFmtId="165" xfId="0" applyAlignment="1" applyBorder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75"/>
    <col customWidth="1" min="2" max="4" width="21.75"/>
    <col customWidth="1" min="5" max="26" width="10.63"/>
  </cols>
  <sheetData>
    <row r="2">
      <c r="A2" s="1"/>
      <c r="B2" s="1"/>
      <c r="C2" s="1"/>
      <c r="D2" s="1"/>
    </row>
    <row r="3">
      <c r="A3" s="2" t="s">
        <v>0</v>
      </c>
      <c r="B3" s="2" t="s">
        <v>1</v>
      </c>
      <c r="C3" s="2" t="s">
        <v>2</v>
      </c>
      <c r="D3" s="2" t="s">
        <v>3</v>
      </c>
    </row>
    <row r="4">
      <c r="A4" s="3" t="s">
        <v>4</v>
      </c>
      <c r="B4" s="4">
        <f>9*2+6*2+2</f>
        <v>32</v>
      </c>
      <c r="C4" s="5">
        <f>8*20*7100</f>
        <v>1136000</v>
      </c>
      <c r="D4" s="6">
        <f>C4*B4</f>
        <v>36352000</v>
      </c>
    </row>
    <row r="5">
      <c r="A5" s="7" t="s">
        <v>5</v>
      </c>
      <c r="B5" s="8">
        <f>2+1+1+2</f>
        <v>6</v>
      </c>
      <c r="C5" s="5">
        <f>8*20*8720</f>
        <v>1395200</v>
      </c>
      <c r="D5" s="9">
        <f t="shared" ref="D5:D8" si="1">B5*C5</f>
        <v>8371200</v>
      </c>
    </row>
    <row r="6">
      <c r="A6" s="3" t="s">
        <v>6</v>
      </c>
      <c r="B6" s="4">
        <f>2+1+1+1+1</f>
        <v>6</v>
      </c>
      <c r="C6" s="10">
        <v>2500000.0</v>
      </c>
      <c r="D6" s="9">
        <f t="shared" si="1"/>
        <v>15000000</v>
      </c>
    </row>
    <row r="7">
      <c r="A7" s="7" t="s">
        <v>7</v>
      </c>
      <c r="B7" s="8">
        <v>4.0</v>
      </c>
      <c r="C7" s="11">
        <v>2200000.0</v>
      </c>
      <c r="D7" s="9">
        <f t="shared" si="1"/>
        <v>8800000</v>
      </c>
    </row>
    <row r="8">
      <c r="A8" s="7" t="s">
        <v>8</v>
      </c>
      <c r="B8" s="8">
        <v>2.0</v>
      </c>
      <c r="C8" s="11">
        <v>7000000.0</v>
      </c>
      <c r="D8" s="12">
        <f t="shared" si="1"/>
        <v>14000000</v>
      </c>
    </row>
    <row r="9">
      <c r="A9" s="3"/>
      <c r="B9" s="3">
        <f>+SUM(B4:B8)</f>
        <v>50</v>
      </c>
      <c r="C9" s="13"/>
      <c r="D9" s="13">
        <f>+SUM(D4:D8)</f>
        <v>82523200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2026-04-11T21:17:24Z</dcterms:created>
  <dc:creator>Juan Cruz</dc:creator>
</cp:coreProperties>
</file>