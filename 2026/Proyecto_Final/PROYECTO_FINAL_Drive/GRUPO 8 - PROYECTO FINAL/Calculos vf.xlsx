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" sheetId="1" r:id="rId4"/>
    <sheet state="visible" name="Plan de ventas" sheetId="2" r:id="rId5"/>
    <sheet state="visible" name="BOM" sheetId="3" r:id="rId6"/>
    <sheet state="visible" name="BOM y balanceo" sheetId="4" r:id="rId7"/>
    <sheet state="visible" name="Ritmo y capacidad" sheetId="5" r:id="rId8"/>
    <sheet state="visible" name="Relaciones - Superficies" sheetId="6" r:id="rId9"/>
    <sheet state="visible" name="Produccion" sheetId="7" r:id="rId10"/>
    <sheet state="visible" name="Inversiones" sheetId="8" r:id="rId11"/>
    <sheet state="visible" name="Costos" sheetId="9" r:id="rId12"/>
    <sheet state="visible" name="Flujo" sheetId="10" r:id="rId13"/>
  </sheets>
  <definedNames/>
  <calcPr/>
  <extLst>
    <ext uri="GoogleSheetsCustomDataVersion2">
      <go:sheetsCustomData xmlns:go="http://customooxmlschemas.google.com/" r:id="rId14" roundtripDataChecksum="YrCcKx0VJVaZT70EkLUMW2JZ6/7sXWHicrvuUDiAiE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34">
      <text>
        <t xml:space="preserve">Con esto defino la MP de entrada. Tengo que hacer tanteo pq si tomo el resultado final queda una formula circular
======</t>
      </text>
    </comment>
    <comment authorId="0" ref="AL16">
      <text>
        <t xml:space="preserve">Con esto defino la MP de entrada. Tengo que hacer tanteo pq si tomo el resultado final queda una formula circular
======</t>
      </text>
    </comment>
    <comment authorId="0" ref="AR34">
      <text>
        <t xml:space="preserve">Tiene que tender a cero
======</t>
      </text>
    </comment>
    <comment authorId="0" ref="AR16">
      <text>
        <t xml:space="preserve">Tiene que tender a cero
======</t>
      </text>
    </comment>
    <comment authorId="0" ref="AR32">
      <text>
        <t xml:space="preserve">Viene de la suma de ventas anuales de linea B en año 10
======</t>
      </text>
    </comment>
    <comment authorId="0" ref="AR14">
      <text>
        <t xml:space="preserve">Viene de la suma de ventas anuales de linea A en año 10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33">
      <text>
        <t xml:space="preserve">Con esto defino la MP de entrada. Tengo que hacer tanteo pq si tomo el resultado final queda una formula circular
======</t>
      </text>
    </comment>
    <comment authorId="0" ref="AL16">
      <text>
        <t xml:space="preserve">Con esto defino la MP de entrada. Tengo que hacer tanteo pq si tomo el resultado final queda una formula circular
======</t>
      </text>
    </comment>
    <comment authorId="0" ref="AR33">
      <text>
        <t xml:space="preserve">Tiene que tender a cero
======</t>
      </text>
    </comment>
    <comment authorId="0" ref="AR16">
      <text>
        <t xml:space="preserve">Tiene que tender a cero
======</t>
      </text>
    </comment>
    <comment authorId="0" ref="AR31">
      <text>
        <t xml:space="preserve">Viene de la suma de ventas anuales de linea B en año 10
======</t>
      </text>
    </comment>
    <comment authorId="0" ref="AR14">
      <text>
        <t xml:space="preserve">Viene de la suma de ventas anuales de linea A en año 10
======</t>
      </text>
    </comment>
  </commentList>
</comments>
</file>

<file path=xl/sharedStrings.xml><?xml version="1.0" encoding="utf-8"?>
<sst xmlns="http://schemas.openxmlformats.org/spreadsheetml/2006/main" count="4281" uniqueCount="616">
  <si>
    <t>Estimación anual de la demanda</t>
  </si>
  <si>
    <t>Población</t>
  </si>
  <si>
    <t>Cuantifiación</t>
  </si>
  <si>
    <t>Población total Arg</t>
  </si>
  <si>
    <t>% Celíacos</t>
  </si>
  <si>
    <t>Subpoblación celíacos</t>
  </si>
  <si>
    <t>Factor conviviente - demanda periférica</t>
  </si>
  <si>
    <t>Chocolate con chips picante - A01</t>
  </si>
  <si>
    <t>Foto</t>
  </si>
  <si>
    <t>Mercado potencial</t>
  </si>
  <si>
    <t>Calculo de receta promedio ponderada - kg de MP cada 100kg</t>
  </si>
  <si>
    <t>100 kg</t>
  </si>
  <si>
    <t>% Habitantes grandes aglomerados</t>
  </si>
  <si>
    <t>Mercado objetivo - Aglomerados</t>
  </si>
  <si>
    <t>Linea A - Galletitas</t>
  </si>
  <si>
    <t>Consumo teórico anual por persona (según INDEC)</t>
  </si>
  <si>
    <t>PT anual (kg)</t>
  </si>
  <si>
    <t>Producto</t>
  </si>
  <si>
    <t>Consumo</t>
  </si>
  <si>
    <t>Panificados</t>
  </si>
  <si>
    <t>CÓDIGO</t>
  </si>
  <si>
    <t>kg</t>
  </si>
  <si>
    <t>DENOMINACIÓN</t>
  </si>
  <si>
    <t>A01</t>
  </si>
  <si>
    <t>A02</t>
  </si>
  <si>
    <t>A03</t>
  </si>
  <si>
    <t>A04</t>
  </si>
  <si>
    <t>Galletitas saladas</t>
  </si>
  <si>
    <t>A05</t>
  </si>
  <si>
    <t>A06</t>
  </si>
  <si>
    <t>A07</t>
  </si>
  <si>
    <t>A08</t>
  </si>
  <si>
    <t>A00</t>
  </si>
  <si>
    <t>B01</t>
  </si>
  <si>
    <t>B02</t>
  </si>
  <si>
    <t>B03</t>
  </si>
  <si>
    <t>Galletitas dulces</t>
  </si>
  <si>
    <t>B00</t>
  </si>
  <si>
    <t>NECESIDAD ANUAL MP</t>
  </si>
  <si>
    <t>Total</t>
  </si>
  <si>
    <t>MAQUINAS</t>
  </si>
  <si>
    <t>Cajas / lote</t>
  </si>
  <si>
    <t>Consumo anual mercado objetivo</t>
  </si>
  <si>
    <t>Ventas anuales</t>
  </si>
  <si>
    <t>% Mkt Share</t>
  </si>
  <si>
    <t>Volumen relativo (año 10)</t>
  </si>
  <si>
    <t>%</t>
  </si>
  <si>
    <t>Tn</t>
  </si>
  <si>
    <t>Sección Operativa</t>
  </si>
  <si>
    <t>Alimentación</t>
  </si>
  <si>
    <t>Agregado</t>
  </si>
  <si>
    <t>Desperdicios</t>
  </si>
  <si>
    <t>Producción</t>
  </si>
  <si>
    <t>Máquina</t>
  </si>
  <si>
    <t>Modelo</t>
  </si>
  <si>
    <t>Capacidad Teórica</t>
  </si>
  <si>
    <t>Medidas</t>
  </si>
  <si>
    <t>Peso</t>
  </si>
  <si>
    <t>Precio</t>
  </si>
  <si>
    <t>Proveedor</t>
  </si>
  <si>
    <t>Ubicación</t>
  </si>
  <si>
    <t>Ventas SMAMS 2025 [kg]</t>
  </si>
  <si>
    <t>Unid. / caja</t>
  </si>
  <si>
    <t>M001</t>
  </si>
  <si>
    <t>FÉCULA DE MAÍZ</t>
  </si>
  <si>
    <t>%Mkt share de SMAMS</t>
  </si>
  <si>
    <t>Ventas anuales nuestro proyecto [kg]</t>
  </si>
  <si>
    <t>%Mkt share de nuestro proyecto</t>
  </si>
  <si>
    <t>Recuperable</t>
  </si>
  <si>
    <t>No recuperable</t>
  </si>
  <si>
    <t>Amasadora</t>
  </si>
  <si>
    <t>120x140x180</t>
  </si>
  <si>
    <t>cm</t>
  </si>
  <si>
    <t>-</t>
  </si>
  <si>
    <t>kw/h</t>
  </si>
  <si>
    <t>Peso neto (g)</t>
  </si>
  <si>
    <t>M006</t>
  </si>
  <si>
    <t>SAL</t>
  </si>
  <si>
    <t>Amasado</t>
  </si>
  <si>
    <t>kg/año</t>
  </si>
  <si>
    <t>Moldeadora</t>
  </si>
  <si>
    <t>Ralem dulcera 600</t>
  </si>
  <si>
    <t>kg/h</t>
  </si>
  <si>
    <t>Rendim. (%)</t>
  </si>
  <si>
    <t>M008</t>
  </si>
  <si>
    <t>BICARBONATO DE AMONIO</t>
  </si>
  <si>
    <t>Moldeado</t>
  </si>
  <si>
    <t>Horno tunel</t>
  </si>
  <si>
    <t>PT (kg)</t>
  </si>
  <si>
    <t>M022</t>
  </si>
  <si>
    <t>GOMA XÁNTICA</t>
  </si>
  <si>
    <t>PRECIOS</t>
  </si>
  <si>
    <t>Horneado</t>
  </si>
  <si>
    <t>Supermercados</t>
  </si>
  <si>
    <t>Cinta de enfriamiento</t>
  </si>
  <si>
    <t>Distribuidores</t>
  </si>
  <si>
    <t>Mezcla (kg)</t>
  </si>
  <si>
    <t>COD</t>
  </si>
  <si>
    <t>Peso [gr]</t>
  </si>
  <si>
    <t>Linea</t>
  </si>
  <si>
    <t>Costo MP/kg</t>
  </si>
  <si>
    <t>$/kg</t>
  </si>
  <si>
    <t>$/u</t>
  </si>
  <si>
    <t>$/u sugerido</t>
  </si>
  <si>
    <t>Margen</t>
  </si>
  <si>
    <t>M028</t>
  </si>
  <si>
    <t>PROPIONATO DE CALCIO</t>
  </si>
  <si>
    <t>Galletitas símil chocolinas</t>
  </si>
  <si>
    <t>Clasicas</t>
  </si>
  <si>
    <t>Enfriado</t>
  </si>
  <si>
    <t>Bizcochos sabor queso</t>
  </si>
  <si>
    <t>Envasadora vertical</t>
  </si>
  <si>
    <t>Polvorones</t>
  </si>
  <si>
    <t>ITEM</t>
  </si>
  <si>
    <t>PT</t>
  </si>
  <si>
    <t>MP</t>
  </si>
  <si>
    <t>DENOMINACION</t>
  </si>
  <si>
    <t>NIVEL</t>
  </si>
  <si>
    <t>Budines free</t>
  </si>
  <si>
    <t>Free</t>
  </si>
  <si>
    <t>CANTIDAD</t>
  </si>
  <si>
    <t>UNIDAD</t>
  </si>
  <si>
    <t>OBSERVACIONES</t>
  </si>
  <si>
    <t>M030</t>
  </si>
  <si>
    <t>HARINA DE ARROZ</t>
  </si>
  <si>
    <t>Galletitas símil chocolinas free</t>
  </si>
  <si>
    <t>Fraccionado</t>
  </si>
  <si>
    <t>Polvorones free</t>
  </si>
  <si>
    <t>Envasadora</t>
  </si>
  <si>
    <t>0</t>
  </si>
  <si>
    <t>Bizcochos sabor queso free</t>
  </si>
  <si>
    <t>1</t>
  </si>
  <si>
    <t>2</t>
  </si>
  <si>
    <t>3</t>
  </si>
  <si>
    <t>4</t>
  </si>
  <si>
    <t>5</t>
  </si>
  <si>
    <t>M031</t>
  </si>
  <si>
    <t>JARABE DE GLUCOSA</t>
  </si>
  <si>
    <t>Chocolate con chips picante</t>
  </si>
  <si>
    <t>Gourmet</t>
  </si>
  <si>
    <t>Pepas chocolate y batata</t>
  </si>
  <si>
    <t>Envasado primario</t>
  </si>
  <si>
    <t>Pan de molde</t>
  </si>
  <si>
    <t>Chocolate con chips picante (caja)</t>
  </si>
  <si>
    <t>X</t>
  </si>
  <si>
    <t>Budines</t>
  </si>
  <si>
    <t>—</t>
  </si>
  <si>
    <t>cajas</t>
  </si>
  <si>
    <t>Lote = 1 caja</t>
  </si>
  <si>
    <t>M036</t>
  </si>
  <si>
    <t>ACEITE VEGETAL INTERESTERIFICADO</t>
  </si>
  <si>
    <t>Envasado secundario</t>
  </si>
  <si>
    <t>Ventas # con 5,27% de mercado</t>
  </si>
  <si>
    <t xml:space="preserve">   FÉCULA DE MAÍZ</t>
  </si>
  <si>
    <t>Cantidad [u]</t>
  </si>
  <si>
    <t>$ super</t>
  </si>
  <si>
    <t>% distr</t>
  </si>
  <si>
    <t>Kg.</t>
  </si>
  <si>
    <t>M041</t>
  </si>
  <si>
    <t>HUEVO EN POLVO DESHIDRATADO</t>
  </si>
  <si>
    <t>Chocolate con chips picante 150gr.</t>
  </si>
  <si>
    <t>Paletizado</t>
  </si>
  <si>
    <t>Galletitas símil chocolinas free 150gr.</t>
  </si>
  <si>
    <t xml:space="preserve">   HARINA DE ARROZ</t>
  </si>
  <si>
    <t>M045</t>
  </si>
  <si>
    <t>CACAO ALCALINO</t>
  </si>
  <si>
    <t>Galletitas símil chocolinas 150gr.</t>
  </si>
  <si>
    <t>Pepas chocolate y batata 150gr.</t>
  </si>
  <si>
    <t>TOTALES</t>
  </si>
  <si>
    <t>Bizcochos sabor queso free 150gr.</t>
  </si>
  <si>
    <t>Bizcochos sabor queso 150gr.</t>
  </si>
  <si>
    <t xml:space="preserve">   ACEITE VEGETAL INTERESTERIFICADO</t>
  </si>
  <si>
    <t>Polvorones free 150gr.</t>
  </si>
  <si>
    <t>M046</t>
  </si>
  <si>
    <t>CHIPS DE CHOCOLATE</t>
  </si>
  <si>
    <t>Polvorones 150gr.</t>
  </si>
  <si>
    <t>Pan de molde 400gr.</t>
  </si>
  <si>
    <t>M052</t>
  </si>
  <si>
    <t xml:space="preserve">   AZÚCAR COMÚN</t>
  </si>
  <si>
    <t>Budines vainilla/cítricos 180gr.</t>
  </si>
  <si>
    <t>M047</t>
  </si>
  <si>
    <t>ESENCIA DE CHOCOLATE</t>
  </si>
  <si>
    <t>Budines chocolate 180gr.</t>
  </si>
  <si>
    <t>Desperdicio total</t>
  </si>
  <si>
    <t>Desvios</t>
  </si>
  <si>
    <t>TOTAL</t>
  </si>
  <si>
    <t xml:space="preserve">   CHIPS DE CHOCOLATE</t>
  </si>
  <si>
    <t>M048</t>
  </si>
  <si>
    <t>MIEL</t>
  </si>
  <si>
    <t>[Miles de unidades]</t>
  </si>
  <si>
    <t>[kg]</t>
  </si>
  <si>
    <t>Año 1</t>
  </si>
  <si>
    <t>Año 2</t>
  </si>
  <si>
    <t>Año 3</t>
  </si>
  <si>
    <t>Año 4</t>
  </si>
  <si>
    <t>Año 5</t>
  </si>
  <si>
    <t>Año 6</t>
  </si>
  <si>
    <t xml:space="preserve">   JARABE DE GLUCOSA</t>
  </si>
  <si>
    <t>Año 7</t>
  </si>
  <si>
    <t>Año 8</t>
  </si>
  <si>
    <t>Año 9</t>
  </si>
  <si>
    <t>Año 10</t>
  </si>
  <si>
    <t>M049</t>
  </si>
  <si>
    <t>JALAPEÑO DESHIDRATADO EN POLVO</t>
  </si>
  <si>
    <t xml:space="preserve">   CACAO EN POLVO ALCALINO</t>
  </si>
  <si>
    <t>Clásicas</t>
  </si>
  <si>
    <t>AZÚCAR</t>
  </si>
  <si>
    <t>Linea B - Panificados</t>
  </si>
  <si>
    <t xml:space="preserve">   HUEVO EN POLVO DESHIDRATADO</t>
  </si>
  <si>
    <t>M056</t>
  </si>
  <si>
    <t>BICARBONATO DE SODIO</t>
  </si>
  <si>
    <t xml:space="preserve">   MIEL</t>
  </si>
  <si>
    <t>M057</t>
  </si>
  <si>
    <t>BICARBONATO DE CALCIO</t>
  </si>
  <si>
    <t xml:space="preserve">   GOMA XÁNTICA</t>
  </si>
  <si>
    <t>M089</t>
  </si>
  <si>
    <t>ESENCIA DE VAINILLA</t>
  </si>
  <si>
    <t>Batidora</t>
  </si>
  <si>
    <t xml:space="preserve">   SAL</t>
  </si>
  <si>
    <t>M104</t>
  </si>
  <si>
    <t>PASTA DE PASAS DE UVA</t>
  </si>
  <si>
    <t>[Tn]</t>
  </si>
  <si>
    <t>Batido</t>
  </si>
  <si>
    <t>Ponderacion</t>
  </si>
  <si>
    <t>Dosificadora</t>
  </si>
  <si>
    <t xml:space="preserve">   BICARBONATO DE AMONIO</t>
  </si>
  <si>
    <t>M105</t>
  </si>
  <si>
    <t>ACEITE DE COCO</t>
  </si>
  <si>
    <t>Dosificado</t>
  </si>
  <si>
    <t>Fermentadora</t>
  </si>
  <si>
    <t xml:space="preserve">   BICARBONATO DE SODIO</t>
  </si>
  <si>
    <t>M106</t>
  </si>
  <si>
    <t>FIBRA DE BAMBÚ</t>
  </si>
  <si>
    <t>Fermentado</t>
  </si>
  <si>
    <t>Horno rotativo</t>
  </si>
  <si>
    <t xml:space="preserve">   ESENCIA DE VAINILLA</t>
  </si>
  <si>
    <t>M107</t>
  </si>
  <si>
    <t>PSYLLIUM</t>
  </si>
  <si>
    <t xml:space="preserve">   ESENCIA DE CHOCOLATE</t>
  </si>
  <si>
    <t>M108</t>
  </si>
  <si>
    <t>EDULCORANTE</t>
  </si>
  <si>
    <t>Desmolde</t>
  </si>
  <si>
    <t xml:space="preserve">   BICARBONATO DE CALCIO</t>
  </si>
  <si>
    <t>M109</t>
  </si>
  <si>
    <t>LECHE EN POLVO</t>
  </si>
  <si>
    <t>Días activos/año</t>
  </si>
  <si>
    <t>Turnos</t>
  </si>
  <si>
    <t>Horas activas/año</t>
  </si>
  <si>
    <t xml:space="preserve">   JALAPEÑO DESHIDRATADO EN POLVO</t>
  </si>
  <si>
    <t>Hs/turno</t>
  </si>
  <si>
    <t>M110</t>
  </si>
  <si>
    <t>JARABE DE MAÍZ ALTA FRUCTOSA</t>
  </si>
  <si>
    <t>Producción (kg/año)</t>
  </si>
  <si>
    <t>Hs activas/año</t>
  </si>
  <si>
    <t>Producción (kg/h)</t>
  </si>
  <si>
    <t>Semielaborado</t>
  </si>
  <si>
    <t>AGUA</t>
  </si>
  <si>
    <t>Amasijo</t>
  </si>
  <si>
    <t>Galletitas crudas formadas</t>
  </si>
  <si>
    <t>M111</t>
  </si>
  <si>
    <t>LECITINA DE SOJA</t>
  </si>
  <si>
    <t>[ARS MM]</t>
  </si>
  <si>
    <t>Galletitas cocidas</t>
  </si>
  <si>
    <t xml:space="preserve">Envasado </t>
  </si>
  <si>
    <t>Envasado</t>
  </si>
  <si>
    <t>Empaque (cajas)</t>
  </si>
  <si>
    <t>TOTAL MEZCLA</t>
  </si>
  <si>
    <t>M112</t>
  </si>
  <si>
    <t>ESENCIA DE LECHE CONDENSADA</t>
  </si>
  <si>
    <t>Capacidad de la maquina (kg/h)</t>
  </si>
  <si>
    <t>Capacidad de la maquina (kg/año</t>
  </si>
  <si>
    <t>Cantidad de maquinas</t>
  </si>
  <si>
    <t>Grupo</t>
  </si>
  <si>
    <t>EMBALAJE</t>
  </si>
  <si>
    <t>M113</t>
  </si>
  <si>
    <t>MERMELADA DE BATATA</t>
  </si>
  <si>
    <t>M101</t>
  </si>
  <si>
    <t>FILM FLOW-PACK (ENVOLTORIO PRIMARIO)</t>
  </si>
  <si>
    <t>uni.</t>
  </si>
  <si>
    <t>1 por unidad</t>
  </si>
  <si>
    <t>M114</t>
  </si>
  <si>
    <t>ÁCIDO CÍTRICO</t>
  </si>
  <si>
    <t>M102</t>
  </si>
  <si>
    <t>CAJA DE CARTÓN CORRUGADO</t>
  </si>
  <si>
    <t>1 por caja</t>
  </si>
  <si>
    <t>Batido (masa)</t>
  </si>
  <si>
    <t>M115</t>
  </si>
  <si>
    <t>ALMIDÓN DE MAÍZ</t>
  </si>
  <si>
    <t>Masa</t>
  </si>
  <si>
    <t>Capacidad de la maquina (kg/año)</t>
  </si>
  <si>
    <t>Panificado en molde</t>
  </si>
  <si>
    <t>M103</t>
  </si>
  <si>
    <t>CINTA DE CIERRE</t>
  </si>
  <si>
    <t>M116</t>
  </si>
  <si>
    <t>FÉCULA DE MANDIOCA</t>
  </si>
  <si>
    <t>M117</t>
  </si>
  <si>
    <t>QUESO DESCREMADO EN POLVO</t>
  </si>
  <si>
    <t>Empaque (Cajas)</t>
  </si>
  <si>
    <t>Galletitas símil chocolinas free - A02</t>
  </si>
  <si>
    <t>M118</t>
  </si>
  <si>
    <t>ACEITE DE GIRASOL ALTO OLEICO</t>
  </si>
  <si>
    <t>Budin</t>
  </si>
  <si>
    <t>Pan</t>
  </si>
  <si>
    <t>M119</t>
  </si>
  <si>
    <t>CLARA DE HUEVO EN POLVO</t>
  </si>
  <si>
    <t>M120</t>
  </si>
  <si>
    <t>DEXTROSA</t>
  </si>
  <si>
    <t>M121</t>
  </si>
  <si>
    <t>ESENCIA DE QUESO</t>
  </si>
  <si>
    <t>M122</t>
  </si>
  <si>
    <t>POLVO PARA HORNEAR</t>
  </si>
  <si>
    <t>Unidades</t>
  </si>
  <si>
    <t>$</t>
  </si>
  <si>
    <t>Budines 180gr.</t>
  </si>
  <si>
    <t>M123</t>
  </si>
  <si>
    <t>QUESO RALLADO</t>
  </si>
  <si>
    <t>M124</t>
  </si>
  <si>
    <t>GRASA VACUNA</t>
  </si>
  <si>
    <t>Budines free 180gr.</t>
  </si>
  <si>
    <t>M125</t>
  </si>
  <si>
    <t>PANACEA</t>
  </si>
  <si>
    <t>CODIGO</t>
  </si>
  <si>
    <t>M126</t>
  </si>
  <si>
    <t>ESENCIA DE VAINILLA / NARANJA / LIMÓN</t>
  </si>
  <si>
    <t>M127</t>
  </si>
  <si>
    <t>Galletitas símil chocolinas free (caja)</t>
  </si>
  <si>
    <t>M128</t>
  </si>
  <si>
    <t>ACEITE DE GIRASOL</t>
  </si>
  <si>
    <t>M130</t>
  </si>
  <si>
    <t>FIBRA C 200</t>
  </si>
  <si>
    <t>M131</t>
  </si>
  <si>
    <t>LEVADURA</t>
  </si>
  <si>
    <t>M134</t>
  </si>
  <si>
    <t>MARGARINA</t>
  </si>
  <si>
    <t xml:space="preserve">   PASTA DE PASAS DE UVA</t>
  </si>
  <si>
    <t>M137</t>
  </si>
  <si>
    <t>SORBATO DE POTASIO</t>
  </si>
  <si>
    <t xml:space="preserve">   CACAO ALCALINO</t>
  </si>
  <si>
    <t>M164</t>
  </si>
  <si>
    <t>EDULZUGAR</t>
  </si>
  <si>
    <t xml:space="preserve">   ACEITE DE COCO</t>
  </si>
  <si>
    <t xml:space="preserve">   FIBRA DE BAMBÚ</t>
  </si>
  <si>
    <t xml:space="preserve">   PSYLLIUM</t>
  </si>
  <si>
    <t xml:space="preserve">   EDULCORANTE</t>
  </si>
  <si>
    <t>Galletitas símil chocolinas - A03</t>
  </si>
  <si>
    <t>Galletitas símil chocolinas (caja)</t>
  </si>
  <si>
    <t xml:space="preserve">   LECHE EN POLVO</t>
  </si>
  <si>
    <t>Pepa rellena de batata - A04</t>
  </si>
  <si>
    <t>Cajas</t>
  </si>
  <si>
    <t>Pepa rellena de batata (caja)</t>
  </si>
  <si>
    <t>SE-04MA</t>
  </si>
  <si>
    <t xml:space="preserve">   MASA</t>
  </si>
  <si>
    <t>semielaborado</t>
  </si>
  <si>
    <t xml:space="preserve">      FÉCULA DE MAÍZ</t>
  </si>
  <si>
    <t xml:space="preserve">      HARINA DE ARROZ</t>
  </si>
  <si>
    <t xml:space="preserve">      ACEITE VEGETAL INTERESTERIFICADO</t>
  </si>
  <si>
    <t xml:space="preserve">      AZÚCAR COMÚN</t>
  </si>
  <si>
    <t xml:space="preserve">      JARABE DE MAÍZ ALTA FRUCTOSA</t>
  </si>
  <si>
    <t xml:space="preserve">      JARABE DE GLUCOSA</t>
  </si>
  <si>
    <t xml:space="preserve">      CACAO</t>
  </si>
  <si>
    <t xml:space="preserve">      LECITINA DE SOJA</t>
  </si>
  <si>
    <t xml:space="preserve">      ESENCIA DE LECHE CONDENSADA</t>
  </si>
  <si>
    <t xml:space="preserve">      GOMA XÁNTICA</t>
  </si>
  <si>
    <t>SE-04RE</t>
  </si>
  <si>
    <t xml:space="preserve">   RELLENO</t>
  </si>
  <si>
    <t xml:space="preserve">      MERMELADA DE BATATA</t>
  </si>
  <si>
    <t xml:space="preserve">      AZÚCAR</t>
  </si>
  <si>
    <t xml:space="preserve">      ESENCIA DE VAINILLA</t>
  </si>
  <si>
    <t xml:space="preserve">      ÁCIDO CÍTRICO</t>
  </si>
  <si>
    <t>Cracker de queso (clara de huevo) - A05</t>
  </si>
  <si>
    <t>Cracker de queso (clara de huevo) (caja)</t>
  </si>
  <si>
    <t xml:space="preserve">   ALMIDÓN DE MAÍZ</t>
  </si>
  <si>
    <t xml:space="preserve">   FÉCULA DE MANDIOCA</t>
  </si>
  <si>
    <t xml:space="preserve">   QUESO DESCREMADO EN POLVO</t>
  </si>
  <si>
    <t xml:space="preserve">   ACEITE DE GIRASOL ALTO OLEICO</t>
  </si>
  <si>
    <t xml:space="preserve">   CLARA DE HUEVO EN POLVO</t>
  </si>
  <si>
    <t xml:space="preserve">   DEXTROSA</t>
  </si>
  <si>
    <t xml:space="preserve">   ESENCIA DE QUESO</t>
  </si>
  <si>
    <t xml:space="preserve">   POLVO PARA HORNEAR</t>
  </si>
  <si>
    <t>Cracker de queso (grasa vacuna) - A06</t>
  </si>
  <si>
    <t>Cracker de queso (grasa vacuna) (caja)</t>
  </si>
  <si>
    <t xml:space="preserve">   QUESO RALLADO</t>
  </si>
  <si>
    <t xml:space="preserve">   GRASA VACUNA</t>
  </si>
  <si>
    <t>DIAGRAMA DE RELACIÓN - SUPERFICIES Y DIMENSIONAMIENTO</t>
  </si>
  <si>
    <t>Parámetros / supuestos editables</t>
  </si>
  <si>
    <t>Huella pallet (m²)</t>
  </si>
  <si>
    <t>Factor pasillos almacén</t>
  </si>
  <si>
    <t>Tiempo enfriado galletitas (min)</t>
  </si>
  <si>
    <t>Carga superficial galletitas (kg/m²)</t>
  </si>
  <si>
    <t>Tiempo enfriado pan/budín (min)</t>
  </si>
  <si>
    <t>Carga superficial pan/budín (kg/m²)</t>
  </si>
  <si>
    <t>Holgura lateral por lado (m)</t>
  </si>
  <si>
    <t>Holgura en extremos por lado (m)</t>
  </si>
  <si>
    <t>Margen operativo enfriado</t>
  </si>
  <si>
    <t>Participación Pan en P/B</t>
  </si>
  <si>
    <t>Participación Budín en P/B</t>
  </si>
  <si>
    <t>Nodo</t>
  </si>
  <si>
    <t>Sección / área</t>
  </si>
  <si>
    <t>Línea</t>
  </si>
  <si>
    <t>Capacidad requerida
(kg/h)</t>
  </si>
  <si>
    <t>Equipo</t>
  </si>
  <si>
    <t>Cantidad</t>
  </si>
  <si>
    <t>Ancho base
(m)</t>
  </si>
  <si>
    <t>Largo base
(m)</t>
  </si>
  <si>
    <t>Superficie maquinaria</t>
  </si>
  <si>
    <t>Lados de operación</t>
  </si>
  <si>
    <t>Superficie operación</t>
  </si>
  <si>
    <t>Superficie sección
(m²)</t>
  </si>
  <si>
    <t>Sección pesado</t>
  </si>
  <si>
    <t>Común</t>
  </si>
  <si>
    <t>Balanza de piso + puesto de micropesado</t>
  </si>
  <si>
    <t>Amasadora doble Z</t>
  </si>
  <si>
    <t>Batidora 100 L</t>
  </si>
  <si>
    <t>Formado G</t>
  </si>
  <si>
    <t>Galletitas</t>
  </si>
  <si>
    <t>Máquina rotativa RALEM 600</t>
  </si>
  <si>
    <t>Horno túnel G</t>
  </si>
  <si>
    <t>Horno túnel GD-BTOM10</t>
  </si>
  <si>
    <t>Enfriado G</t>
  </si>
  <si>
    <t>Cinta continua dimensionada por caudal y residencia</t>
  </si>
  <si>
    <t>Envasado 1° G</t>
  </si>
  <si>
    <t>Envasadora vertical + detector de metales</t>
  </si>
  <si>
    <t>Envasado 2° G</t>
  </si>
  <si>
    <t>Galletita de pasas y cacao (free) - A07</t>
  </si>
  <si>
    <t>Puesto manual de envasado</t>
  </si>
  <si>
    <t>Fermentado P/B</t>
  </si>
  <si>
    <t>Fermentador NKF-36RS</t>
  </si>
  <si>
    <t>Horneado P/B</t>
  </si>
  <si>
    <t>Horno rotativo SIGMA B-7090</t>
  </si>
  <si>
    <t>Enfriado P/B</t>
  </si>
  <si>
    <t>Carros de enfriamiento</t>
  </si>
  <si>
    <t>Envasado 1° Pan</t>
  </si>
  <si>
    <t>Envasadora KL-250SZ</t>
  </si>
  <si>
    <t>Envasado 1° Budín</t>
  </si>
  <si>
    <t>Envasado 2° Pan</t>
  </si>
  <si>
    <t>Puesto manual de encajado</t>
  </si>
  <si>
    <t>Superficie neta requerida</t>
  </si>
  <si>
    <t>15% plus pasillos</t>
  </si>
  <si>
    <t>Área total requerida</t>
  </si>
  <si>
    <t>Galletita de pasas y cacao (free) (caja)</t>
  </si>
  <si>
    <t>Año 1/2</t>
  </si>
  <si>
    <t>Produccion</t>
  </si>
  <si>
    <t>Personal</t>
  </si>
  <si>
    <t>Producción por turno y eficiencia</t>
  </si>
  <si>
    <t>Escala de producción</t>
  </si>
  <si>
    <t>Horario</t>
  </si>
  <si>
    <t>RH/turno</t>
  </si>
  <si>
    <t>RH</t>
  </si>
  <si>
    <t>Cajas/turno</t>
  </si>
  <si>
    <t>kg/caja</t>
  </si>
  <si>
    <t>kg/turno</t>
  </si>
  <si>
    <t>kg/dia</t>
  </si>
  <si>
    <t>Tn/año</t>
  </si>
  <si>
    <t>FC ($M)</t>
  </si>
  <si>
    <t>Pepas</t>
  </si>
  <si>
    <t>A</t>
  </si>
  <si>
    <t>M, T</t>
  </si>
  <si>
    <t>N</t>
  </si>
  <si>
    <t>B</t>
  </si>
  <si>
    <t xml:space="preserve">   PANACEA</t>
  </si>
  <si>
    <t>Linea A</t>
  </si>
  <si>
    <t>Linea B</t>
  </si>
  <si>
    <t>2 turnos</t>
  </si>
  <si>
    <t>3 turnos</t>
  </si>
  <si>
    <t>|</t>
  </si>
  <si>
    <t>FC [$MM]</t>
  </si>
  <si>
    <t>kg/mes</t>
  </si>
  <si>
    <t>kg/h (2T)</t>
  </si>
  <si>
    <t>kg/h (3T)</t>
  </si>
  <si>
    <t>Ventas smams</t>
  </si>
  <si>
    <t>Factor</t>
  </si>
  <si>
    <t>% saludable</t>
  </si>
  <si>
    <t>% no saludable</t>
  </si>
  <si>
    <t xml:space="preserve">   PROPIONATO DE CALCIO</t>
  </si>
  <si>
    <t>Polvorones sin azucar150gr.</t>
  </si>
  <si>
    <t>2T</t>
  </si>
  <si>
    <t>3T</t>
  </si>
  <si>
    <t>LINEA A</t>
  </si>
  <si>
    <t>Capacidad esperada (kg/h)</t>
  </si>
  <si>
    <t>Galletita de vainilla / cítricos - A08</t>
  </si>
  <si>
    <t>Capacidad real (kg/h)</t>
  </si>
  <si>
    <t>Aprovechamiento</t>
  </si>
  <si>
    <t>LINEA B</t>
  </si>
  <si>
    <t>El aprovechamiento debe estar entre 60/90%. Esto se mejora bajando la capacidad de la maquina o aumentando la producción, sin agregar máquinas</t>
  </si>
  <si>
    <t>A001</t>
  </si>
  <si>
    <t>A002</t>
  </si>
  <si>
    <t>A003</t>
  </si>
  <si>
    <t>A004</t>
  </si>
  <si>
    <t>A005</t>
  </si>
  <si>
    <t>Galletita de vainilla / cítricos (caja)</t>
  </si>
  <si>
    <t>A006</t>
  </si>
  <si>
    <t>A007</t>
  </si>
  <si>
    <t>A008</t>
  </si>
  <si>
    <t>B001</t>
  </si>
  <si>
    <t>B002</t>
  </si>
  <si>
    <t>B003</t>
  </si>
  <si>
    <t xml:space="preserve">   EDULZUGAR</t>
  </si>
  <si>
    <t xml:space="preserve">   LECITINA DE SOJA</t>
  </si>
  <si>
    <t xml:space="preserve">   ESENCIA DE VAINILLA / NARANJA / LIMÓN</t>
  </si>
  <si>
    <t>Pan de molde - B01</t>
  </si>
  <si>
    <t>Pan de molde (caja)</t>
  </si>
  <si>
    <t xml:space="preserve">   AGUA</t>
  </si>
  <si>
    <t xml:space="preserve">   ACEITE DE GIRASOL</t>
  </si>
  <si>
    <t xml:space="preserve">   AZÚCAR</t>
  </si>
  <si>
    <t xml:space="preserve">   FIBRA C 200</t>
  </si>
  <si>
    <t xml:space="preserve">   LEVADURA</t>
  </si>
  <si>
    <t>M132</t>
  </si>
  <si>
    <t>BOLSA DE POLIETILENO (PAN)</t>
  </si>
  <si>
    <t>M133</t>
  </si>
  <si>
    <t>PRECINTO / CLIP DE CIERRE</t>
  </si>
  <si>
    <t>Budín de vainilla / cítricos - B02</t>
  </si>
  <si>
    <t>Budín de vainilla / cítricos (caja)</t>
  </si>
  <si>
    <t xml:space="preserve">   MARGARINA</t>
  </si>
  <si>
    <t xml:space="preserve">   SORBATO DE POTASIO</t>
  </si>
  <si>
    <t>Activo fijo</t>
  </si>
  <si>
    <t>Planta</t>
  </si>
  <si>
    <t>Activo trabajo</t>
  </si>
  <si>
    <t>Concepto</t>
  </si>
  <si>
    <t>ARS [MM]</t>
  </si>
  <si>
    <t>Categoría</t>
  </si>
  <si>
    <t>Precio USD</t>
  </si>
  <si>
    <t>Precio $</t>
  </si>
  <si>
    <t>Total $</t>
  </si>
  <si>
    <t>TC</t>
  </si>
  <si>
    <t>Area</t>
  </si>
  <si>
    <t>m2</t>
  </si>
  <si>
    <t>ARS MM</t>
  </si>
  <si>
    <t>Plazo</t>
  </si>
  <si>
    <t>AT</t>
  </si>
  <si>
    <t>Nave industrial</t>
  </si>
  <si>
    <t>Rodados y equipos aux</t>
  </si>
  <si>
    <t>Uso general</t>
  </si>
  <si>
    <t>Autoelevador</t>
  </si>
  <si>
    <t>Producción y oficinas</t>
  </si>
  <si>
    <t>Compras MP</t>
  </si>
  <si>
    <t>Obras complementarias</t>
  </si>
  <si>
    <t>Zorra</t>
  </si>
  <si>
    <t>Deposito producto terminado</t>
  </si>
  <si>
    <t>M138</t>
  </si>
  <si>
    <t>Ventas PT</t>
  </si>
  <si>
    <t>MOLDE DE PAPEL (PIROTÍN)</t>
  </si>
  <si>
    <t>Máquinas operativas</t>
  </si>
  <si>
    <t>Balanza micro pesado</t>
  </si>
  <si>
    <t>Deposito mp</t>
  </si>
  <si>
    <t>Rodados y equipos auxiliares</t>
  </si>
  <si>
    <t>Balanza macro pesado</t>
  </si>
  <si>
    <t>Inversion AT</t>
  </si>
  <si>
    <t>Muebles y útiles</t>
  </si>
  <si>
    <t>Costo construcción m2</t>
  </si>
  <si>
    <t>Muebles y utiles</t>
  </si>
  <si>
    <t>Impresora Injket</t>
  </si>
  <si>
    <t>Computadoras</t>
  </si>
  <si>
    <t>Sillas</t>
  </si>
  <si>
    <t>Budín con chips de chocolate - B03</t>
  </si>
  <si>
    <t>Mesas</t>
  </si>
  <si>
    <t>Sanitario (inodoro + lavamano)</t>
  </si>
  <si>
    <t>Maquinas</t>
  </si>
  <si>
    <t>Línea de Galletitas</t>
  </si>
  <si>
    <t>Amasadora Industrial</t>
  </si>
  <si>
    <t>Rotativa con dulcera</t>
  </si>
  <si>
    <t>Moldes formadores</t>
  </si>
  <si>
    <t>Horno de Túnel (Continuo)</t>
  </si>
  <si>
    <t>Resumen costos anuales</t>
  </si>
  <si>
    <t>Cinta de Enfriamiento</t>
  </si>
  <si>
    <t>Mano de obra</t>
  </si>
  <si>
    <t>Materia prima</t>
  </si>
  <si>
    <t>Sector</t>
  </si>
  <si>
    <t>Posición</t>
  </si>
  <si>
    <t>Tipo</t>
  </si>
  <si>
    <t>Sueldo basico [ARS]</t>
  </si>
  <si>
    <t>Total anual [ARS]</t>
  </si>
  <si>
    <t>Línea de panificados</t>
  </si>
  <si>
    <t>Batidora Industrial</t>
  </si>
  <si>
    <t>Costo MP / Kg ($)</t>
  </si>
  <si>
    <t>Q anual (kg)</t>
  </si>
  <si>
    <t>Costo anual ($)</t>
  </si>
  <si>
    <t>Costo/precio</t>
  </si>
  <si>
    <t>Dosificadora Volumétrica de Pistones</t>
  </si>
  <si>
    <t>Carros para horno</t>
  </si>
  <si>
    <t>Operario</t>
  </si>
  <si>
    <t>Directo</t>
  </si>
  <si>
    <t>Horno Rotativo</t>
  </si>
  <si>
    <t>Fermentadora de pan</t>
  </si>
  <si>
    <t>Cortadora de pan</t>
  </si>
  <si>
    <t>Calidad</t>
  </si>
  <si>
    <t>Analistas</t>
  </si>
  <si>
    <t>Indirecto</t>
  </si>
  <si>
    <t>Detector de metales</t>
  </si>
  <si>
    <t>Galletitas simil chocolinas</t>
  </si>
  <si>
    <t>Otros costos</t>
  </si>
  <si>
    <t>Admin y Finanzas</t>
  </si>
  <si>
    <t>Budín con chips de chocolate (caja)</t>
  </si>
  <si>
    <t>Supervisores</t>
  </si>
  <si>
    <t>Bizcochos salados</t>
  </si>
  <si>
    <t>Jefes</t>
  </si>
  <si>
    <t>Gerente</t>
  </si>
  <si>
    <t>Ventas</t>
  </si>
  <si>
    <t>Gerencia</t>
  </si>
  <si>
    <t>CEO</t>
  </si>
  <si>
    <t>Apertura mano de obra</t>
  </si>
  <si>
    <t>Mano de obra directa</t>
  </si>
  <si>
    <t>Mano de obra indirecta</t>
  </si>
  <si>
    <t>Flujo de fondos [ARS MM]</t>
  </si>
  <si>
    <t>Concepto/Año</t>
  </si>
  <si>
    <t>Ingresos</t>
  </si>
  <si>
    <t>Egresos</t>
  </si>
  <si>
    <t>Utilidad</t>
  </si>
  <si>
    <t>Honorarios directorio (5%)</t>
  </si>
  <si>
    <t>IIGG (35%)</t>
  </si>
  <si>
    <t>Saldo</t>
  </si>
  <si>
    <t>Saldo Acumulado</t>
  </si>
  <si>
    <t>Beneficio neto [ARS MM]</t>
  </si>
  <si>
    <t>Recupero inversión</t>
  </si>
  <si>
    <t>TIR [%]</t>
  </si>
  <si>
    <t>VAN [ARS MM]</t>
  </si>
  <si>
    <t>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</si>
</sst>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#,##0.0"/>
    <numFmt numFmtId="165" formatCode="_-* #,##0_-;\-* #,##0_-;_-* &quot;-&quot;??_-;_-@"/>
    <numFmt numFmtId="166" formatCode="0.00;\-0.00;"/>
    <numFmt numFmtId="167" formatCode="[$ $]#,##0"/>
    <numFmt numFmtId="168" formatCode="[$USD]\ #,##0"/>
    <numFmt numFmtId="169" formatCode="0.0%"/>
    <numFmt numFmtId="170" formatCode="0.0000%"/>
    <numFmt numFmtId="171" formatCode="0.0000"/>
    <numFmt numFmtId="172" formatCode="0.000%"/>
    <numFmt numFmtId="173" formatCode="#,##0.0000"/>
    <numFmt numFmtId="174" formatCode="0.0"/>
    <numFmt numFmtId="175" formatCode="_-* #,##0.00_-;\-* #,##0.00_-;_-* &quot;-&quot;??_-;_-@"/>
  </numFmts>
  <fonts count="46">
    <font>
      <sz val="11.0"/>
      <color theme="1"/>
      <name val="Calibri"/>
      <scheme val="minor"/>
    </font>
    <font>
      <sz val="10.0"/>
      <color theme="1"/>
      <name val="Montserrat"/>
    </font>
    <font>
      <b/>
      <sz val="10.0"/>
      <color theme="1"/>
      <name val="Montserrat"/>
    </font>
    <font>
      <b/>
      <sz val="10.0"/>
      <color rgb="FFFFFFFF"/>
      <name val="Montserrat"/>
    </font>
    <font/>
    <font>
      <i/>
      <sz val="10.0"/>
      <color rgb="FF2E7D32"/>
      <name val="Montserrat"/>
    </font>
    <font>
      <b/>
      <sz val="11.0"/>
      <color theme="1"/>
      <name val="Montserrat"/>
    </font>
    <font>
      <b/>
      <sz val="12.0"/>
      <color theme="1"/>
      <name val="Montserrat"/>
    </font>
    <font>
      <b/>
      <sz val="10.0"/>
      <color rgb="FF1B5E20"/>
      <name val="Montserrat"/>
    </font>
    <font>
      <b/>
      <sz val="10.0"/>
      <color rgb="FF0000FF"/>
      <name val="Montserrat"/>
    </font>
    <font>
      <sz val="10.0"/>
      <color rgb="FF1B5E20"/>
      <name val="Montserrat"/>
    </font>
    <font>
      <b/>
      <sz val="11.0"/>
      <color rgb="FFFFFFFF"/>
      <name val="Montserrat"/>
    </font>
    <font>
      <sz val="11.0"/>
      <color theme="1"/>
      <name val="Montserrat"/>
    </font>
    <font>
      <sz val="11.0"/>
      <color rgb="FF0000FF"/>
      <name val="Montserrat"/>
    </font>
    <font>
      <sz val="10.0"/>
      <color rgb="FF000000"/>
      <name val="Montserrat"/>
    </font>
    <font>
      <sz val="11.0"/>
      <color rgb="FF000000"/>
      <name val="Montserrat"/>
    </font>
    <font>
      <sz val="10.0"/>
      <color rgb="FFBDBDBD"/>
      <name val="Montserrat"/>
    </font>
    <font>
      <i/>
      <sz val="10.0"/>
      <color rgb="FF888888"/>
      <name val="Montserrat"/>
    </font>
    <font>
      <sz val="10.0"/>
      <color rgb="FF333333"/>
      <name val="Montserrat"/>
    </font>
    <font>
      <sz val="10.0"/>
      <color rgb="FF2E7D32"/>
      <name val="Montserrat"/>
    </font>
    <font>
      <sz val="9.0"/>
      <color theme="1"/>
      <name val="Montserrat"/>
    </font>
    <font>
      <b/>
      <sz val="10.0"/>
      <color rgb="FF000000"/>
      <name val="Montserrat"/>
    </font>
    <font>
      <sz val="11.0"/>
      <color theme="1"/>
      <name val="Calibri"/>
    </font>
    <font>
      <b/>
      <sz val="9.0"/>
      <color theme="1"/>
      <name val="Montserrat"/>
    </font>
    <font>
      <sz val="9.0"/>
      <color theme="1"/>
      <name val="Calibri"/>
    </font>
    <font>
      <b/>
      <sz val="9.0"/>
      <color theme="1"/>
      <name val="Calibri"/>
    </font>
    <font>
      <b/>
      <sz val="9.0"/>
      <color rgb="FFFFFFFF"/>
      <name val="Montserrat"/>
    </font>
    <font>
      <b/>
      <sz val="9.0"/>
      <color rgb="FF000000"/>
      <name val="Montserrat"/>
    </font>
    <font>
      <sz val="10.0"/>
      <color rgb="FF888888"/>
      <name val="Montserrat"/>
    </font>
    <font>
      <b/>
      <sz val="10.0"/>
      <color rgb="FF2E7D32"/>
      <name val="Montserrat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2.0"/>
      <color rgb="FFFFFFFF"/>
      <name val="Calibri"/>
    </font>
    <font>
      <b/>
      <sz val="9.0"/>
      <color theme="0"/>
      <name val="Montserrat"/>
    </font>
    <font>
      <sz val="9.0"/>
      <color rgb="FF0070C0"/>
      <name val="Montserrat"/>
    </font>
    <font>
      <sz val="9.0"/>
      <color rgb="FFC55A11"/>
      <name val="Montserrat"/>
    </font>
    <font>
      <b/>
      <sz val="9.0"/>
      <color rgb="FF0070C0"/>
      <name val="Montserrat"/>
    </font>
    <font>
      <b/>
      <sz val="9.0"/>
      <color rgb="FFC55A11"/>
      <name val="Montserrat"/>
    </font>
    <font>
      <sz val="8.0"/>
      <color theme="1"/>
      <name val="Montserrat"/>
    </font>
    <font>
      <b/>
      <sz val="10.0"/>
      <color theme="0"/>
      <name val="Montserrat"/>
    </font>
    <font>
      <sz val="9.0"/>
      <color rgb="FF00B050"/>
      <name val="Montserrat"/>
    </font>
    <font>
      <b/>
      <sz val="9.0"/>
      <color rgb="FF00B050"/>
      <name val="Montserrat"/>
    </font>
    <font>
      <sz val="9.0"/>
      <color rgb="FFFF0000"/>
      <name val="Montserrat"/>
    </font>
    <font>
      <b/>
      <sz val="9.0"/>
      <color rgb="FFFF0000"/>
      <name val="Montserrat"/>
    </font>
    <font>
      <sz val="9.0"/>
      <color rgb="FFFFFFFF"/>
      <name val="Montserrat"/>
    </font>
  </fonts>
  <fills count="42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FCE5CD"/>
        <bgColor rgb="FFFCE5CD"/>
      </patternFill>
    </fill>
    <fill>
      <patternFill patternType="solid">
        <fgColor rgb="FFC8E6C9"/>
        <bgColor rgb="FFC8E6C9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262626"/>
        <bgColor rgb="FF262626"/>
      </patternFill>
    </fill>
    <fill>
      <patternFill patternType="solid">
        <fgColor rgb="FFB5DFC2"/>
        <bgColor rgb="FFB5DFC2"/>
      </patternFill>
    </fill>
    <fill>
      <patternFill patternType="solid">
        <fgColor rgb="FF63BE7B"/>
        <bgColor rgb="FF63BE7B"/>
      </patternFill>
    </fill>
    <fill>
      <patternFill patternType="solid">
        <fgColor rgb="FF388E3C"/>
        <bgColor rgb="FF388E3C"/>
      </patternFill>
    </fill>
    <fill>
      <patternFill patternType="solid">
        <fgColor rgb="FFDCEFE3"/>
        <bgColor rgb="FFDCEFE3"/>
      </patternFill>
    </fill>
    <fill>
      <patternFill patternType="solid">
        <fgColor rgb="FFFCFCFF"/>
        <bgColor rgb="FFFCFCFF"/>
      </patternFill>
    </fill>
    <fill>
      <patternFill patternType="solid">
        <fgColor rgb="FFB9E1C5"/>
        <bgColor rgb="FFB9E1C5"/>
      </patternFill>
    </fill>
    <fill>
      <patternFill patternType="solid">
        <fgColor rgb="FFDFF1E6"/>
        <bgColor rgb="FFDFF1E6"/>
      </patternFill>
    </fill>
    <fill>
      <patternFill patternType="solid">
        <fgColor rgb="FF4CAF50"/>
        <bgColor rgb="FF4CAF50"/>
      </patternFill>
    </fill>
    <fill>
      <patternFill patternType="solid">
        <fgColor rgb="FFB5E0C2"/>
        <bgColor rgb="FFB5E0C2"/>
      </patternFill>
    </fill>
    <fill>
      <patternFill patternType="solid">
        <fgColor rgb="FFF3F9F7"/>
        <bgColor rgb="FFF3F9F7"/>
      </patternFill>
    </fill>
    <fill>
      <patternFill patternType="solid">
        <fgColor rgb="FFE8F5E9"/>
        <bgColor rgb="FFE8F5E9"/>
      </patternFill>
    </fill>
    <fill>
      <patternFill patternType="solid">
        <fgColor rgb="FF3F3F3F"/>
        <bgColor rgb="FF3F3F3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A5D6A7"/>
        <bgColor rgb="FFA5D6A7"/>
      </patternFill>
    </fill>
    <fill>
      <patternFill patternType="solid">
        <fgColor rgb="FFFAFBF7"/>
        <bgColor rgb="FFFAFBF7"/>
      </patternFill>
    </fill>
    <fill>
      <patternFill patternType="solid">
        <fgColor rgb="FFEFEFEF"/>
        <bgColor rgb="FFEFEFEF"/>
      </patternFill>
    </fill>
    <fill>
      <patternFill patternType="solid">
        <fgColor rgb="FFDCEDC8"/>
        <bgColor rgb="FFDCEDC8"/>
      </patternFill>
    </fill>
    <fill>
      <patternFill patternType="solid">
        <fgColor rgb="FF1F4E20"/>
        <bgColor rgb="FF1F4E20"/>
      </patternFill>
    </fill>
    <fill>
      <patternFill patternType="solid">
        <fgColor rgb="FF2F75B5"/>
        <bgColor rgb="FF2F75B5"/>
      </patternFill>
    </fill>
    <fill>
      <patternFill patternType="solid">
        <fgColor rgb="FFE2F0D9"/>
        <bgColor rgb="FFE2F0D9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434343"/>
        <bgColor rgb="FF434343"/>
      </patternFill>
    </fill>
  </fills>
  <borders count="107">
    <border/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2E7D32"/>
      </left>
      <right style="thin">
        <color rgb="FFBFBFBF"/>
      </right>
      <top style="medium">
        <color rgb="FF2E7D32"/>
      </top>
      <bottom/>
    </border>
    <border>
      <left/>
      <right style="thin">
        <color rgb="FFBFBFBF"/>
      </right>
      <top style="medium">
        <color rgb="FF2E7D32"/>
      </top>
      <bottom/>
    </border>
    <border>
      <left/>
      <top style="medium">
        <color rgb="FF2E7D32"/>
      </top>
      <bottom style="thin">
        <color rgb="FFBFBFBF"/>
      </bottom>
    </border>
    <border>
      <top style="medium">
        <color rgb="FF2E7D32"/>
      </top>
      <bottom style="thin">
        <color rgb="FFBFBFBF"/>
      </bottom>
    </border>
    <border>
      <right style="thin">
        <color rgb="FFBFBFBF"/>
      </right>
      <top style="medium">
        <color rgb="FF2E7D32"/>
      </top>
      <bottom style="thin">
        <color rgb="FFBFBFBF"/>
      </bottom>
    </border>
    <border>
      <left style="dotted">
        <color rgb="FF81C784"/>
      </left>
      <top style="dotted">
        <color rgb="FF81C784"/>
      </top>
    </border>
    <border>
      <top style="dotted">
        <color rgb="FF81C784"/>
      </top>
    </border>
    <border>
      <right/>
      <top style="dotted">
        <color rgb="FF81C784"/>
      </top>
    </border>
    <border>
      <left/>
      <right style="thin">
        <color rgb="FFBFBFBF"/>
      </right>
      <top/>
      <bottom/>
    </border>
    <border>
      <left/>
      <top/>
      <bottom/>
    </border>
    <border>
      <left/>
      <right style="thin">
        <color rgb="FFBFBFBF"/>
      </right>
      <top/>
      <bottom style="thin">
        <color rgb="FFBFBFBF"/>
      </bottom>
    </border>
    <border>
      <top/>
      <bottom/>
    </border>
    <border>
      <right/>
      <top/>
      <bottom/>
    </border>
    <border>
      <left style="dotted">
        <color rgb="FF81C784"/>
      </left>
    </border>
    <border>
      <right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/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/>
      <bottom style="thin">
        <color rgb="FFBFBFB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bottom/>
    </border>
    <border>
      <bottom/>
    </border>
    <border>
      <right/>
      <bottom/>
    </border>
    <border>
      <left style="dotted">
        <color rgb="FF81C784"/>
      </left>
      <bottom/>
    </border>
    <border>
      <left style="medium">
        <color rgb="FF2E7D32"/>
      </left>
      <right style="thin">
        <color rgb="FFBFBFBF"/>
      </right>
      <top/>
    </border>
    <border>
      <left style="medium">
        <color rgb="FF2E7D32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top/>
      <bottom style="medium">
        <color rgb="FF2E7D32"/>
      </bottom>
    </border>
    <border>
      <left style="medium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2E7D32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/>
      <top style="thin">
        <color rgb="FFBFBFBF"/>
      </top>
    </border>
    <border>
      <left style="thin">
        <color rgb="FFBFBFBF"/>
      </left>
      <right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2E7D32"/>
      </left>
      <top style="thin">
        <color rgb="FFBFBFBF"/>
      </top>
      <bottom style="thin">
        <color rgb="FFBFBFBF"/>
      </bottom>
    </border>
    <border>
      <left/>
      <right/>
      <top style="thin">
        <color rgb="FFBFBFBF"/>
      </top>
    </border>
    <border>
      <left/>
      <right/>
      <bottom style="thin">
        <color rgb="FFBFBFBF"/>
      </bottom>
    </border>
    <border>
      <left style="medium">
        <color rgb="FF2E7D32"/>
      </left>
      <top style="medium">
        <color rgb="FF2E7D32"/>
      </top>
      <bottom style="thin">
        <color rgb="FFBFBFBF"/>
      </bottom>
    </border>
    <border>
      <left style="medium">
        <color rgb="FF2E7D32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2E7D32"/>
      </right>
      <top/>
      <bottom style="thin">
        <color rgb="FFBFBFBF"/>
      </bottom>
    </border>
    <border>
      <left style="thin">
        <color rgb="FFD9D9D9"/>
      </left>
      <right style="thin">
        <color rgb="FFD9D9D9"/>
      </right>
    </border>
    <border>
      <left style="thick">
        <color rgb="FF2E7D32"/>
      </left>
      <right style="thin">
        <color rgb="FFBFBFBF"/>
      </right>
      <top style="thick">
        <color rgb="FF2E7D32"/>
      </top>
      <bottom/>
    </border>
    <border>
      <left/>
      <right style="thin">
        <color rgb="FFBFBFBF"/>
      </right>
      <top style="thick">
        <color rgb="FF2E7D32"/>
      </top>
      <bottom/>
    </border>
    <border>
      <left style="medium">
        <color rgb="FF2E7D32"/>
      </left>
      <top style="thick">
        <color rgb="FF2E7D32"/>
      </top>
      <bottom style="thin">
        <color rgb="FFBFBFBF"/>
      </bottom>
    </border>
    <border>
      <top style="thick">
        <color rgb="FF2E7D32"/>
      </top>
      <bottom style="thin">
        <color rgb="FFBFBFBF"/>
      </bottom>
    </border>
    <border>
      <right style="thin">
        <color rgb="FFBFBFBF"/>
      </right>
      <top style="thick">
        <color rgb="FF2E7D32"/>
      </top>
      <bottom style="thin">
        <color rgb="FFBFBFBF"/>
      </bottom>
    </border>
    <border>
      <left style="dotted">
        <color rgb="FF81C784"/>
      </left>
      <top style="thick">
        <color rgb="FF2E7D32"/>
      </top>
    </border>
    <border>
      <top style="thick">
        <color rgb="FF2E7D32"/>
      </top>
    </border>
    <border>
      <right style="thick">
        <color rgb="FF2E7D32"/>
      </right>
      <top style="thick">
        <color rgb="FF2E7D32"/>
      </top>
    </border>
    <border>
      <right style="thick">
        <color rgb="FF2E7D32"/>
      </right>
    </border>
    <border>
      <left style="thick">
        <color rgb="FF2E7D32"/>
      </left>
      <top style="thin">
        <color rgb="FFBFBFBF"/>
      </top>
      <bottom style="thin">
        <color rgb="FFBFBFBF"/>
      </bottom>
    </border>
    <border>
      <right style="thick">
        <color rgb="FF2E7D32"/>
      </right>
      <bottom/>
    </border>
    <border>
      <left style="thick">
        <color rgb="FF2E7D32"/>
      </left>
      <right style="thin">
        <color rgb="FFBFBFBF"/>
      </right>
      <top/>
    </border>
    <border>
      <left style="thin">
        <color rgb="FFBFBFBF"/>
      </left>
      <right style="thick">
        <color rgb="FF2E7D32"/>
      </right>
      <top style="thin">
        <color rgb="FFBFBFBF"/>
      </top>
    </border>
    <border>
      <left style="thick">
        <color rgb="FF2E7D32"/>
      </left>
      <right style="thin">
        <color rgb="FFBFBFBF"/>
      </right>
      <bottom/>
    </border>
    <border>
      <left style="thin">
        <color rgb="FFBFBFBF"/>
      </left>
      <right style="thick">
        <color rgb="FF2E7D32"/>
      </right>
      <bottom/>
    </border>
    <border>
      <left style="thick">
        <color rgb="FF2E7D32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ck">
        <color rgb="FF2E7D32"/>
      </right>
      <top/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n">
        <color rgb="FFBFBFBF"/>
      </bottom>
    </border>
    <border>
      <right style="thick">
        <color rgb="FF2E7D32"/>
      </right>
      <top style="thin">
        <color rgb="FFBFBFBF"/>
      </top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ck">
        <color rgb="FF2E7D32"/>
      </bottom>
    </border>
    <border>
      <left/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ck">
        <color rgb="FF2E7D3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Border="1" applyFill="1" applyFont="1"/>
    <xf borderId="1" fillId="2" fontId="1" numFmtId="0" xfId="0" applyBorder="1" applyFont="1"/>
    <xf borderId="1" fillId="3" fontId="1" numFmtId="0" xfId="0" applyBorder="1" applyFill="1" applyFont="1"/>
    <xf borderId="2" fillId="3" fontId="2" numFmtId="0" xfId="0" applyBorder="1" applyFont="1"/>
    <xf borderId="2" fillId="3" fontId="1" numFmtId="0" xfId="0" applyBorder="1" applyFont="1"/>
    <xf borderId="1" fillId="3" fontId="1" numFmtId="3" xfId="0" applyAlignment="1" applyBorder="1" applyFont="1" applyNumberFormat="1">
      <alignment horizontal="right"/>
    </xf>
    <xf borderId="1" fillId="3" fontId="1" numFmtId="9" xfId="0" applyAlignment="1" applyBorder="1" applyFont="1" applyNumberFormat="1">
      <alignment horizontal="right"/>
    </xf>
    <xf borderId="3" fillId="4" fontId="1" numFmtId="0" xfId="0" applyAlignment="1" applyBorder="1" applyFill="1" applyFont="1">
      <alignment vertical="center"/>
    </xf>
    <xf borderId="4" fillId="4" fontId="3" numFmtId="0" xfId="0" applyAlignment="1" applyBorder="1" applyFont="1">
      <alignment horizontal="center" vertical="center"/>
    </xf>
    <xf borderId="1" fillId="3" fontId="1" numFmtId="164" xfId="0" applyAlignment="1" applyBorder="1" applyFont="1" applyNumberFormat="1">
      <alignment horizontal="right"/>
    </xf>
    <xf borderId="5" fillId="4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5" fontId="5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0" fillId="0" fontId="6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6" fontId="2" numFmtId="165" xfId="0" applyAlignment="1" applyBorder="1" applyFill="1" applyFont="1" applyNumberFormat="1">
      <alignment horizontal="right" vertical="center"/>
    </xf>
    <xf borderId="0" fillId="0" fontId="7" numFmtId="0" xfId="0" applyAlignment="1" applyFont="1">
      <alignment vertical="center"/>
    </xf>
    <xf borderId="11" fillId="7" fontId="8" numFmtId="0" xfId="0" applyAlignment="1" applyBorder="1" applyFill="1" applyFont="1">
      <alignment horizontal="right" vertical="center"/>
    </xf>
    <xf borderId="12" fillId="3" fontId="2" numFmtId="0" xfId="0" applyBorder="1" applyFont="1"/>
    <xf borderId="13" fillId="7" fontId="8" numFmtId="0" xfId="0" applyAlignment="1" applyBorder="1" applyFont="1">
      <alignment horizontal="right" vertical="center"/>
    </xf>
    <xf borderId="14" fillId="0" fontId="4" numFmtId="0" xfId="0" applyBorder="1" applyFont="1"/>
    <xf borderId="15" fillId="0" fontId="4" numFmtId="0" xfId="0" applyBorder="1" applyFont="1"/>
    <xf borderId="2" fillId="3" fontId="2" numFmtId="0" xfId="0" applyAlignment="1" applyBorder="1" applyFont="1">
      <alignment horizontal="right"/>
    </xf>
    <xf borderId="13" fillId="8" fontId="9" numFmtId="3" xfId="0" applyAlignment="1" applyBorder="1" applyFill="1" applyFont="1" applyNumberFormat="1">
      <alignment horizontal="center" vertical="center"/>
    </xf>
    <xf borderId="1" fillId="7" fontId="10" numFmtId="0" xfId="0" applyAlignment="1" applyBorder="1" applyFont="1">
      <alignment shrinkToFit="0" vertical="center" wrapText="1"/>
    </xf>
    <xf borderId="16" fillId="0" fontId="4" numFmtId="0" xfId="0" applyBorder="1" applyFont="1"/>
    <xf borderId="17" fillId="0" fontId="4" numFmtId="0" xfId="0" applyBorder="1" applyFont="1"/>
    <xf borderId="1" fillId="3" fontId="1" numFmtId="4" xfId="0" applyAlignment="1" applyBorder="1" applyFont="1" applyNumberFormat="1">
      <alignment horizontal="right"/>
    </xf>
    <xf borderId="18" fillId="9" fontId="3" numFmtId="0" xfId="0" applyAlignment="1" applyBorder="1" applyFill="1" applyFont="1">
      <alignment horizontal="center" vertical="center"/>
    </xf>
    <xf borderId="18" fillId="10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2" fillId="3" fontId="1" numFmtId="4" xfId="0" applyAlignment="1" applyBorder="1" applyFont="1" applyNumberFormat="1">
      <alignment horizontal="right"/>
    </xf>
    <xf borderId="19" fillId="9" fontId="3" numFmtId="0" xfId="0" applyAlignment="1" applyBorder="1" applyFont="1">
      <alignment horizontal="center" vertical="center"/>
    </xf>
    <xf borderId="20" fillId="0" fontId="4" numFmtId="0" xfId="0" applyBorder="1" applyFont="1"/>
    <xf borderId="1" fillId="3" fontId="2" numFmtId="0" xfId="0" applyBorder="1" applyFont="1"/>
    <xf borderId="21" fillId="0" fontId="4" numFmtId="0" xfId="0" applyBorder="1" applyFont="1"/>
    <xf borderId="19" fillId="9" fontId="11" numFmtId="0" xfId="0" applyAlignment="1" applyBorder="1" applyFont="1">
      <alignment horizontal="center" vertical="center"/>
    </xf>
    <xf borderId="1" fillId="3" fontId="2" numFmtId="4" xfId="0" applyAlignment="1" applyBorder="1" applyFont="1" applyNumberFormat="1">
      <alignment horizontal="right"/>
    </xf>
    <xf borderId="22" fillId="0" fontId="4" numFmtId="0" xfId="0" applyBorder="1" applyFont="1"/>
    <xf borderId="1" fillId="9" fontId="11" numFmtId="0" xfId="0" applyAlignment="1" applyBorder="1" applyFont="1">
      <alignment horizontal="center" vertical="center"/>
    </xf>
    <xf borderId="19" fillId="7" fontId="8" numFmtId="0" xfId="0" applyAlignment="1" applyBorder="1" applyFont="1">
      <alignment horizontal="right" vertical="center"/>
    </xf>
    <xf borderId="23" fillId="8" fontId="9" numFmtId="1" xfId="0" applyAlignment="1" applyBorder="1" applyFont="1" applyNumberFormat="1">
      <alignment horizontal="center" vertical="center"/>
    </xf>
    <xf borderId="24" fillId="7" fontId="10" numFmtId="0" xfId="0" applyAlignment="1" applyBorder="1" applyFont="1">
      <alignment shrinkToFit="0" vertical="center" wrapText="1"/>
    </xf>
    <xf borderId="25" fillId="0" fontId="4" numFmtId="0" xfId="0" applyBorder="1" applyFont="1"/>
    <xf borderId="26" fillId="0" fontId="4" numFmtId="0" xfId="0" applyBorder="1" applyFont="1"/>
    <xf borderId="18" fillId="11" fontId="1" numFmtId="0" xfId="0" applyAlignment="1" applyBorder="1" applyFill="1" applyFont="1">
      <alignment vertical="center"/>
    </xf>
    <xf borderId="18" fillId="11" fontId="2" numFmtId="0" xfId="0" applyAlignment="1" applyBorder="1" applyFont="1">
      <alignment vertical="center"/>
    </xf>
    <xf borderId="18" fillId="11" fontId="2" numFmtId="10" xfId="0" applyAlignment="1" applyBorder="1" applyFont="1" applyNumberFormat="1">
      <alignment vertical="center"/>
    </xf>
    <xf borderId="2" fillId="3" fontId="1" numFmtId="3" xfId="0" applyAlignment="1" applyBorder="1" applyFont="1" applyNumberFormat="1">
      <alignment horizontal="right"/>
    </xf>
    <xf borderId="18" fillId="12" fontId="2" numFmtId="10" xfId="0" applyAlignment="1" applyBorder="1" applyFill="1" applyFont="1" applyNumberFormat="1">
      <alignment vertical="center"/>
    </xf>
    <xf borderId="18" fillId="12" fontId="2" numFmtId="0" xfId="0" applyAlignment="1" applyBorder="1" applyFont="1">
      <alignment vertical="center"/>
    </xf>
    <xf borderId="1" fillId="3" fontId="2" numFmtId="3" xfId="0" applyAlignment="1" applyBorder="1" applyFont="1" applyNumberFormat="1">
      <alignment horizontal="right"/>
    </xf>
    <xf borderId="27" fillId="9" fontId="3" numFmtId="0" xfId="0" applyAlignment="1" applyBorder="1" applyFont="1">
      <alignment horizontal="center" shrinkToFit="0" vertical="center" wrapText="1"/>
    </xf>
    <xf borderId="19" fillId="9" fontId="3" numFmtId="0" xfId="0" applyAlignment="1" applyBorder="1" applyFont="1">
      <alignment horizontal="center" shrinkToFit="0" vertical="center" wrapText="1"/>
    </xf>
    <xf borderId="24" fillId="9" fontId="3" numFmtId="0" xfId="0" applyAlignment="1" applyBorder="1" applyFont="1">
      <alignment horizontal="center" shrinkToFit="0" vertical="center" wrapText="1"/>
    </xf>
    <xf borderId="23" fillId="9" fontId="11" numFmtId="0" xfId="0" applyAlignment="1" applyBorder="1" applyFont="1">
      <alignment horizontal="center" shrinkToFit="0" vertical="center" wrapText="1"/>
    </xf>
    <xf borderId="19" fillId="9" fontId="11" numFmtId="0" xfId="0" applyAlignment="1" applyBorder="1" applyFont="1">
      <alignment horizontal="center" shrinkToFit="0" vertical="center" wrapText="1"/>
    </xf>
    <xf borderId="0" fillId="0" fontId="1" numFmtId="0" xfId="0" applyFont="1"/>
    <xf borderId="1" fillId="9" fontId="11" numFmtId="0" xfId="0" applyAlignment="1" applyBorder="1" applyFont="1">
      <alignment horizontal="center" shrinkToFit="0" vertical="center" wrapText="1"/>
    </xf>
    <xf borderId="0" fillId="0" fontId="2" numFmtId="0" xfId="0" applyFont="1"/>
    <xf borderId="28" fillId="0" fontId="4" numFmtId="0" xfId="0" applyBorder="1" applyFont="1"/>
    <xf borderId="18" fillId="0" fontId="1" numFmtId="0" xfId="0" applyAlignment="1" applyBorder="1" applyFont="1">
      <alignment vertical="center"/>
    </xf>
    <xf borderId="18" fillId="0" fontId="1" numFmtId="166" xfId="0" applyAlignment="1" applyBorder="1" applyFont="1" applyNumberFormat="1">
      <alignment vertical="center"/>
    </xf>
    <xf borderId="0" fillId="0" fontId="1" numFmtId="10" xfId="0" applyAlignment="1" applyFont="1" applyNumberFormat="1">
      <alignment horizontal="right"/>
    </xf>
    <xf borderId="18" fillId="13" fontId="2" numFmtId="2" xfId="0" applyAlignment="1" applyBorder="1" applyFill="1" applyFont="1" applyNumberFormat="1">
      <alignment vertical="center"/>
    </xf>
    <xf borderId="18" fillId="13" fontId="2" numFmtId="3" xfId="0" applyAlignment="1" applyBorder="1" applyFont="1" applyNumberFormat="1">
      <alignment vertical="center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23" fillId="0" fontId="12" numFmtId="0" xfId="0" applyAlignment="1" applyBorder="1" applyFont="1">
      <alignment shrinkToFit="0" vertical="center" wrapText="1"/>
    </xf>
    <xf borderId="23" fillId="0" fontId="12" numFmtId="165" xfId="0" applyAlignment="1" applyBorder="1" applyFont="1" applyNumberFormat="1">
      <alignment horizontal="left" vertical="center"/>
    </xf>
    <xf borderId="23" fillId="0" fontId="12" numFmtId="165" xfId="0" applyAlignment="1" applyBorder="1" applyFont="1" applyNumberFormat="1">
      <alignment horizontal="center" vertical="center"/>
    </xf>
    <xf borderId="23" fillId="0" fontId="12" numFmtId="0" xfId="0" applyAlignment="1" applyBorder="1" applyFont="1">
      <alignment horizontal="center" vertical="center"/>
    </xf>
    <xf borderId="23" fillId="0" fontId="12" numFmtId="167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23" fillId="0" fontId="1" numFmtId="0" xfId="0" applyAlignment="1" applyBorder="1" applyFont="1">
      <alignment shrinkToFit="0" vertical="center" wrapText="1"/>
    </xf>
    <xf borderId="23" fillId="6" fontId="2" numFmtId="165" xfId="0" applyAlignment="1" applyBorder="1" applyFont="1" applyNumberFormat="1">
      <alignment horizontal="center" vertical="center"/>
    </xf>
    <xf borderId="23" fillId="0" fontId="1" numFmtId="165" xfId="0" applyAlignment="1" applyBorder="1" applyFont="1" applyNumberFormat="1">
      <alignment horizontal="center" vertical="center"/>
    </xf>
    <xf borderId="23" fillId="0" fontId="1" numFmtId="9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68" xfId="0" applyAlignment="1" applyBorder="1" applyFont="1" applyNumberFormat="1">
      <alignment horizontal="center" vertical="center"/>
    </xf>
    <xf borderId="23" fillId="8" fontId="9" numFmtId="9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1" fillId="3" fontId="14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23" fillId="3" fontId="2" numFmtId="4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32" fillId="14" fontId="3" numFmtId="0" xfId="0" applyAlignment="1" applyBorder="1" applyFill="1" applyFont="1">
      <alignment horizontal="center" vertical="center"/>
    </xf>
    <xf borderId="33" fillId="0" fontId="4" numFmtId="0" xfId="0" applyBorder="1" applyFont="1"/>
    <xf borderId="34" fillId="0" fontId="4" numFmtId="0" xfId="0" applyBorder="1" applyFont="1"/>
    <xf borderId="18" fillId="14" fontId="3" numFmtId="0" xfId="0" applyAlignment="1" applyBorder="1" applyFont="1">
      <alignment horizontal="center" vertical="center"/>
    </xf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18" fillId="0" fontId="14" numFmtId="0" xfId="0" applyAlignment="1" applyBorder="1" applyFont="1">
      <alignment horizontal="center" vertical="center"/>
    </xf>
    <xf borderId="18" fillId="0" fontId="14" numFmtId="0" xfId="0" applyAlignment="1" applyBorder="1" applyFont="1">
      <alignment vertical="center"/>
    </xf>
    <xf borderId="18" fillId="0" fontId="14" numFmtId="0" xfId="0" applyAlignment="1" applyBorder="1" applyFont="1">
      <alignment horizontal="left" vertical="center"/>
    </xf>
    <xf borderId="18" fillId="0" fontId="14" numFmtId="3" xfId="0" applyAlignment="1" applyBorder="1" applyFont="1" applyNumberFormat="1">
      <alignment horizontal="right" vertical="center"/>
    </xf>
    <xf borderId="18" fillId="0" fontId="14" numFmtId="3" xfId="0" applyAlignment="1" applyBorder="1" applyFont="1" applyNumberFormat="1">
      <alignment vertical="center"/>
    </xf>
    <xf borderId="18" fillId="15" fontId="14" numFmtId="9" xfId="0" applyAlignment="1" applyBorder="1" applyFill="1" applyFont="1" applyNumberFormat="1">
      <alignment horizontal="right" vertical="center"/>
    </xf>
    <xf borderId="18" fillId="0" fontId="14" numFmtId="0" xfId="0" applyAlignment="1" applyBorder="1" applyFont="1">
      <alignment horizontal="right" vertical="center"/>
    </xf>
    <xf borderId="18" fillId="16" fontId="14" numFmtId="9" xfId="0" applyAlignment="1" applyBorder="1" applyFill="1" applyFont="1" applyNumberFormat="1">
      <alignment horizontal="right" vertical="center"/>
    </xf>
    <xf borderId="39" fillId="17" fontId="3" numFmtId="0" xfId="0" applyAlignment="1" applyBorder="1" applyFill="1" applyFont="1">
      <alignment horizontal="center" vertical="center"/>
    </xf>
    <xf borderId="18" fillId="18" fontId="14" numFmtId="9" xfId="0" applyAlignment="1" applyBorder="1" applyFill="1" applyFont="1" applyNumberFormat="1">
      <alignment horizontal="right" vertical="center"/>
    </xf>
    <xf borderId="27" fillId="17" fontId="3" numFmtId="0" xfId="0" applyAlignment="1" applyBorder="1" applyFont="1">
      <alignment horizontal="center" vertical="center"/>
    </xf>
    <xf borderId="19" fillId="17" fontId="3" numFmtId="0" xfId="0" applyAlignment="1" applyBorder="1" applyFont="1">
      <alignment horizontal="center" vertical="center"/>
    </xf>
    <xf borderId="18" fillId="19" fontId="14" numFmtId="9" xfId="0" applyAlignment="1" applyBorder="1" applyFill="1" applyFont="1" applyNumberFormat="1">
      <alignment horizontal="right" vertical="center"/>
    </xf>
    <xf borderId="18" fillId="20" fontId="14" numFmtId="9" xfId="0" applyAlignment="1" applyBorder="1" applyFill="1" applyFont="1" applyNumberFormat="1">
      <alignment horizontal="right" vertical="center"/>
    </xf>
    <xf borderId="18" fillId="21" fontId="14" numFmtId="9" xfId="0" applyAlignment="1" applyBorder="1" applyFill="1" applyFont="1" applyNumberFormat="1">
      <alignment horizontal="right" vertical="center"/>
    </xf>
    <xf borderId="40" fillId="0" fontId="4" numFmtId="0" xfId="0" applyBorder="1" applyFont="1"/>
    <xf borderId="41" fillId="0" fontId="4" numFmtId="0" xfId="0" applyBorder="1" applyFont="1"/>
    <xf borderId="42" fillId="22" fontId="3" numFmtId="0" xfId="0" applyAlignment="1" applyBorder="1" applyFill="1" applyFont="1">
      <alignment horizontal="center" vertical="center"/>
    </xf>
    <xf borderId="18" fillId="23" fontId="14" numFmtId="9" xfId="0" applyAlignment="1" applyBorder="1" applyFill="1" applyFont="1" applyNumberFormat="1">
      <alignment horizontal="right" vertical="center"/>
    </xf>
    <xf borderId="18" fillId="24" fontId="14" numFmtId="9" xfId="0" applyAlignment="1" applyBorder="1" applyFill="1" applyFont="1" applyNumberFormat="1">
      <alignment horizontal="right" vertical="center"/>
    </xf>
    <xf borderId="43" fillId="25" fontId="8" numFmtId="0" xfId="0" applyAlignment="1" applyBorder="1" applyFill="1" applyFont="1">
      <alignment horizontal="center" vertical="center"/>
    </xf>
    <xf borderId="44" fillId="25" fontId="8" numFmtId="0" xfId="0" applyAlignment="1" applyBorder="1" applyFont="1">
      <alignment horizontal="center" vertical="center"/>
    </xf>
    <xf borderId="23" fillId="25" fontId="8" numFmtId="0" xfId="0" applyAlignment="1" applyBorder="1" applyFont="1">
      <alignment horizontal="center" vertical="center"/>
    </xf>
    <xf borderId="23" fillId="25" fontId="8" numFmtId="0" xfId="0" applyAlignment="1" applyBorder="1" applyFont="1">
      <alignment vertical="center"/>
    </xf>
    <xf borderId="23" fillId="25" fontId="1" numFmtId="0" xfId="0" applyAlignment="1" applyBorder="1" applyFont="1">
      <alignment vertical="center"/>
    </xf>
    <xf borderId="23" fillId="25" fontId="16" numFmtId="0" xfId="0" applyAlignment="1" applyBorder="1" applyFont="1">
      <alignment horizontal="center" vertical="center"/>
    </xf>
    <xf borderId="23" fillId="25" fontId="8" numFmtId="4" xfId="0" applyAlignment="1" applyBorder="1" applyFont="1" applyNumberFormat="1">
      <alignment horizontal="center" vertical="center"/>
    </xf>
    <xf borderId="45" fillId="25" fontId="17" numFmtId="0" xfId="0" applyAlignment="1" applyBorder="1" applyFont="1">
      <alignment vertical="center"/>
    </xf>
    <xf borderId="43" fillId="3" fontId="18" numFmtId="0" xfId="0" applyAlignment="1" applyBorder="1" applyFont="1">
      <alignment horizontal="center" vertical="center"/>
    </xf>
    <xf borderId="44" fillId="3" fontId="18" numFmtId="0" xfId="0" applyAlignment="1" applyBorder="1" applyFont="1">
      <alignment horizontal="center" vertical="center"/>
    </xf>
    <xf borderId="23" fillId="3" fontId="18" numFmtId="0" xfId="0" applyAlignment="1" applyBorder="1" applyFont="1">
      <alignment horizontal="center" vertical="center"/>
    </xf>
    <xf borderId="23" fillId="3" fontId="18" numFmtId="0" xfId="0" applyAlignment="1" applyBorder="1" applyFont="1">
      <alignment vertical="center"/>
    </xf>
    <xf borderId="23" fillId="3" fontId="1" numFmtId="0" xfId="0" applyAlignment="1" applyBorder="1" applyFont="1">
      <alignment vertical="center"/>
    </xf>
    <xf borderId="23" fillId="3" fontId="8" numFmtId="0" xfId="0" applyAlignment="1" applyBorder="1" applyFont="1">
      <alignment horizontal="center" vertical="center"/>
    </xf>
    <xf borderId="18" fillId="26" fontId="3" numFmtId="0" xfId="0" applyAlignment="1" applyBorder="1" applyFill="1" applyFont="1">
      <alignment horizontal="center" vertical="center"/>
    </xf>
    <xf borderId="23" fillId="5" fontId="19" numFmtId="169" xfId="0" applyAlignment="1" applyBorder="1" applyFont="1" applyNumberFormat="1">
      <alignment horizontal="center" vertical="center"/>
    </xf>
    <xf borderId="23" fillId="3" fontId="18" numFmtId="4" xfId="0" applyAlignment="1" applyBorder="1" applyFont="1" applyNumberFormat="1">
      <alignment horizontal="center" vertical="center"/>
    </xf>
    <xf borderId="45" fillId="3" fontId="1" numFmtId="0" xfId="0" applyAlignment="1" applyBorder="1" applyFont="1">
      <alignment vertical="center"/>
    </xf>
    <xf borderId="18" fillId="0" fontId="20" numFmtId="0" xfId="0" applyAlignment="1" applyBorder="1" applyFont="1">
      <alignment horizontal="center" shrinkToFit="0" vertical="center" wrapText="1"/>
    </xf>
    <xf borderId="23" fillId="11" fontId="2" numFmtId="165" xfId="0" applyAlignment="1" applyBorder="1" applyFont="1" applyNumberFormat="1">
      <alignment horizontal="center" vertical="center"/>
    </xf>
    <xf borderId="23" fillId="27" fontId="21" numFmtId="0" xfId="0" applyAlignment="1" applyBorder="1" applyFill="1" applyFont="1">
      <alignment horizontal="center" shrinkToFit="0" vertical="center" wrapText="1"/>
    </xf>
    <xf borderId="23" fillId="27" fontId="21" numFmtId="165" xfId="0" applyAlignment="1" applyBorder="1" applyFont="1" applyNumberFormat="1">
      <alignment horizontal="right" vertical="center"/>
    </xf>
    <xf borderId="23" fillId="27" fontId="21" numFmtId="165" xfId="0" applyAlignment="1" applyBorder="1" applyFont="1" applyNumberFormat="1">
      <alignment horizontal="center" vertical="center"/>
    </xf>
    <xf borderId="23" fillId="11" fontId="21" numFmtId="165" xfId="0" applyAlignment="1" applyBorder="1" applyFont="1" applyNumberFormat="1">
      <alignment horizontal="center" vertical="center"/>
    </xf>
    <xf borderId="23" fillId="27" fontId="21" numFmtId="0" xfId="0" applyAlignment="1" applyBorder="1" applyFont="1">
      <alignment horizontal="center" vertical="center"/>
    </xf>
    <xf borderId="0" fillId="0" fontId="1" numFmtId="9" xfId="0" applyAlignment="1" applyFont="1" applyNumberFormat="1">
      <alignment vertical="center"/>
    </xf>
    <xf borderId="1" fillId="6" fontId="2" numFmtId="170" xfId="0" applyAlignment="1" applyBorder="1" applyFont="1" applyNumberFormat="1">
      <alignment vertical="center"/>
    </xf>
    <xf borderId="18" fillId="28" fontId="21" numFmtId="3" xfId="0" applyAlignment="1" applyBorder="1" applyFill="1" applyFont="1" applyNumberFormat="1">
      <alignment horizontal="right" vertical="center"/>
    </xf>
    <xf borderId="18" fillId="28" fontId="21" numFmtId="0" xfId="0" applyAlignment="1" applyBorder="1" applyFont="1">
      <alignment horizontal="center" vertical="center"/>
    </xf>
    <xf borderId="0" fillId="0" fontId="2" numFmtId="10" xfId="0" applyAlignment="1" applyFont="1" applyNumberFormat="1">
      <alignment vertical="center"/>
    </xf>
    <xf borderId="1" fillId="3" fontId="21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0" fillId="0" fontId="12" numFmtId="0" xfId="0" applyFont="1"/>
    <xf borderId="18" fillId="6" fontId="21" numFmtId="169" xfId="0" applyAlignment="1" applyBorder="1" applyFont="1" applyNumberFormat="1">
      <alignment horizontal="right" vertical="center"/>
    </xf>
    <xf borderId="1" fillId="3" fontId="14" numFmtId="169" xfId="0" applyAlignment="1" applyBorder="1" applyFont="1" applyNumberFormat="1">
      <alignment vertical="center"/>
    </xf>
    <xf borderId="0" fillId="0" fontId="23" numFmtId="0" xfId="0" applyAlignment="1" applyFont="1">
      <alignment vertical="center"/>
    </xf>
    <xf borderId="0" fillId="0" fontId="20" numFmtId="0" xfId="0" applyAlignment="1" applyFont="1">
      <alignment vertical="center"/>
    </xf>
    <xf borderId="18" fillId="13" fontId="21" numFmtId="169" xfId="0" applyAlignment="1" applyBorder="1" applyFont="1" applyNumberFormat="1">
      <alignment horizontal="right" vertical="center"/>
    </xf>
    <xf borderId="0" fillId="0" fontId="24" numFmtId="0" xfId="0" applyFont="1"/>
    <xf borderId="46" fillId="0" fontId="25" numFmtId="0" xfId="0" applyBorder="1" applyFont="1"/>
    <xf borderId="47" fillId="0" fontId="24" numFmtId="165" xfId="0" applyBorder="1" applyFont="1" applyNumberFormat="1"/>
    <xf borderId="47" fillId="0" fontId="24" numFmtId="165" xfId="0" applyAlignment="1" applyBorder="1" applyFont="1" applyNumberFormat="1">
      <alignment readingOrder="0"/>
    </xf>
    <xf borderId="19" fillId="9" fontId="26" numFmtId="0" xfId="0" applyAlignment="1" applyBorder="1" applyFont="1">
      <alignment horizontal="center" vertical="center"/>
    </xf>
    <xf borderId="48" fillId="0" fontId="25" numFmtId="0" xfId="0" applyBorder="1" applyFont="1"/>
    <xf borderId="49" fillId="0" fontId="24" numFmtId="165" xfId="0" applyBorder="1" applyFont="1" applyNumberFormat="1"/>
    <xf borderId="27" fillId="9" fontId="26" numFmtId="0" xfId="0" applyAlignment="1" applyBorder="1" applyFont="1">
      <alignment horizontal="center" vertical="center"/>
    </xf>
    <xf borderId="0" fillId="0" fontId="1" numFmtId="171" xfId="0" applyAlignment="1" applyFont="1" applyNumberFormat="1">
      <alignment vertical="center"/>
    </xf>
    <xf borderId="24" fillId="9" fontId="26" numFmtId="0" xfId="0" applyAlignment="1" applyBorder="1" applyFont="1">
      <alignment horizontal="center" vertical="center"/>
    </xf>
    <xf borderId="50" fillId="9" fontId="26" numFmtId="0" xfId="0" applyAlignment="1" applyBorder="1" applyFont="1">
      <alignment horizontal="center" vertical="center"/>
    </xf>
    <xf borderId="0" fillId="0" fontId="25" numFmtId="0" xfId="0" applyFont="1"/>
    <xf borderId="0" fillId="0" fontId="24" numFmtId="165" xfId="0" applyFont="1" applyNumberFormat="1"/>
    <xf borderId="51" fillId="0" fontId="4" numFmtId="0" xfId="0" applyBorder="1" applyFont="1"/>
    <xf borderId="18" fillId="28" fontId="21" numFmtId="9" xfId="0" applyAlignment="1" applyBorder="1" applyFont="1" applyNumberFormat="1">
      <alignment horizontal="right" vertical="center"/>
    </xf>
    <xf borderId="23" fillId="29" fontId="20" numFmtId="0" xfId="0" applyAlignment="1" applyBorder="1" applyFill="1" applyFont="1">
      <alignment vertical="center"/>
    </xf>
    <xf borderId="1" fillId="6" fontId="23" numFmtId="165" xfId="0" applyAlignment="1" applyBorder="1" applyFont="1" applyNumberFormat="1">
      <alignment horizontal="right" vertical="center"/>
    </xf>
    <xf borderId="23" fillId="0" fontId="20" numFmtId="165" xfId="0" applyAlignment="1" applyBorder="1" applyFont="1" applyNumberFormat="1">
      <alignment horizontal="center" vertical="center"/>
    </xf>
    <xf borderId="23" fillId="0" fontId="20" numFmtId="9" xfId="0" applyAlignment="1" applyBorder="1" applyFont="1" applyNumberFormat="1">
      <alignment horizontal="center" vertical="center"/>
    </xf>
    <xf borderId="23" fillId="0" fontId="20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center"/>
    </xf>
    <xf borderId="52" fillId="3" fontId="18" numFmtId="0" xfId="0" applyAlignment="1" applyBorder="1" applyFont="1">
      <alignment horizontal="center" vertical="center"/>
    </xf>
    <xf borderId="53" fillId="3" fontId="18" numFmtId="0" xfId="0" applyAlignment="1" applyBorder="1" applyFont="1">
      <alignment vertical="center"/>
    </xf>
    <xf borderId="53" fillId="3" fontId="1" numFmtId="0" xfId="0" applyAlignment="1" applyBorder="1" applyFont="1">
      <alignment vertical="center"/>
    </xf>
    <xf borderId="23" fillId="0" fontId="20" numFmtId="165" xfId="0" applyAlignment="1" applyBorder="1" applyFont="1" applyNumberFormat="1">
      <alignment horizontal="left" vertical="center"/>
    </xf>
    <xf borderId="53" fillId="3" fontId="8" numFmtId="0" xfId="0" applyAlignment="1" applyBorder="1" applyFont="1">
      <alignment horizontal="center" vertical="center"/>
    </xf>
    <xf borderId="44" fillId="3" fontId="1" numFmtId="0" xfId="0" applyAlignment="1" applyBorder="1" applyFont="1">
      <alignment vertical="center"/>
    </xf>
    <xf borderId="23" fillId="5" fontId="19" numFmtId="172" xfId="0" applyAlignment="1" applyBorder="1" applyFont="1" applyNumberFormat="1">
      <alignment horizontal="center" vertical="center"/>
    </xf>
    <xf borderId="23" fillId="3" fontId="18" numFmtId="173" xfId="0" applyAlignment="1" applyBorder="1" applyFont="1" applyNumberFormat="1">
      <alignment horizontal="center" vertical="center"/>
    </xf>
    <xf borderId="23" fillId="0" fontId="20" numFmtId="0" xfId="0" applyAlignment="1" applyBorder="1" applyFont="1">
      <alignment vertical="center"/>
    </xf>
    <xf borderId="0" fillId="0" fontId="20" numFmtId="165" xfId="0" applyAlignment="1" applyFont="1" applyNumberFormat="1">
      <alignment horizontal="center" vertical="center"/>
    </xf>
    <xf borderId="43" fillId="7" fontId="1" numFmtId="0" xfId="0" applyAlignment="1" applyBorder="1" applyFont="1">
      <alignment vertical="center"/>
    </xf>
    <xf borderId="44" fillId="7" fontId="8" numFmtId="0" xfId="0" applyAlignment="1" applyBorder="1" applyFont="1">
      <alignment horizontal="right" vertical="center"/>
    </xf>
    <xf borderId="23" fillId="11" fontId="23" numFmtId="165" xfId="0" applyAlignment="1" applyBorder="1" applyFont="1" applyNumberFormat="1">
      <alignment horizontal="center" vertical="center"/>
    </xf>
    <xf borderId="23" fillId="7" fontId="8" numFmtId="169" xfId="0" applyAlignment="1" applyBorder="1" applyFont="1" applyNumberFormat="1">
      <alignment horizontal="center" vertical="center"/>
    </xf>
    <xf borderId="23" fillId="27" fontId="27" numFmtId="0" xfId="0" applyAlignment="1" applyBorder="1" applyFont="1">
      <alignment horizontal="center" vertical="center"/>
    </xf>
    <xf borderId="23" fillId="27" fontId="27" numFmtId="165" xfId="0" applyAlignment="1" applyBorder="1" applyFont="1" applyNumberFormat="1">
      <alignment horizontal="right" vertical="center"/>
    </xf>
    <xf borderId="23" fillId="7" fontId="8" numFmtId="4" xfId="0" applyAlignment="1" applyBorder="1" applyFont="1" applyNumberFormat="1">
      <alignment horizontal="center" vertical="center"/>
    </xf>
    <xf borderId="23" fillId="27" fontId="27" numFmtId="165" xfId="0" applyAlignment="1" applyBorder="1" applyFont="1" applyNumberFormat="1">
      <alignment horizontal="center" vertical="center"/>
    </xf>
    <xf borderId="23" fillId="7" fontId="8" numFmtId="0" xfId="0" applyAlignment="1" applyBorder="1" applyFont="1">
      <alignment horizontal="center" vertical="center"/>
    </xf>
    <xf borderId="45" fillId="7" fontId="1" numFmtId="0" xfId="0" applyAlignment="1" applyBorder="1" applyFont="1">
      <alignment vertical="center"/>
    </xf>
    <xf borderId="23" fillId="11" fontId="27" numFmtId="165" xfId="0" applyAlignment="1" applyBorder="1" applyFont="1" applyNumberFormat="1">
      <alignment horizontal="center" vertical="center"/>
    </xf>
    <xf borderId="54" fillId="9" fontId="26" numFmtId="0" xfId="0" applyAlignment="1" applyBorder="1" applyFont="1">
      <alignment horizontal="center" shrinkToFit="0" vertical="center" wrapText="1"/>
    </xf>
    <xf borderId="55" fillId="26" fontId="3" numFmtId="0" xfId="0" applyAlignment="1" applyBorder="1" applyFont="1">
      <alignment horizontal="center" vertical="center"/>
    </xf>
    <xf borderId="56" fillId="0" fontId="4" numFmtId="0" xfId="0" applyBorder="1" applyFont="1"/>
    <xf borderId="57" fillId="0" fontId="20" numFmtId="0" xfId="0" applyAlignment="1" applyBorder="1" applyFont="1">
      <alignment shrinkToFit="0" vertical="center" wrapText="1"/>
    </xf>
    <xf borderId="57" fillId="0" fontId="20" numFmtId="165" xfId="0" applyAlignment="1" applyBorder="1" applyFont="1" applyNumberFormat="1">
      <alignment horizontal="center" vertical="center"/>
    </xf>
    <xf borderId="57" fillId="0" fontId="20" numFmtId="165" xfId="0" applyAlignment="1" applyBorder="1" applyFont="1" applyNumberFormat="1">
      <alignment horizontal="center" readingOrder="0" vertical="center"/>
    </xf>
    <xf borderId="58" fillId="30" fontId="8" numFmtId="0" xfId="0" applyAlignment="1" applyBorder="1" applyFill="1" applyFont="1">
      <alignment vertical="center"/>
    </xf>
    <xf borderId="55" fillId="0" fontId="14" numFmtId="3" xfId="0" applyAlignment="1" applyBorder="1" applyFont="1" applyNumberFormat="1">
      <alignment horizontal="right" vertical="center"/>
    </xf>
    <xf borderId="0" fillId="0" fontId="20" numFmtId="10" xfId="0" applyAlignment="1" applyFont="1" applyNumberFormat="1">
      <alignment horizontal="center" vertical="center"/>
    </xf>
    <xf borderId="43" fillId="31" fontId="18" numFmtId="0" xfId="0" applyAlignment="1" applyBorder="1" applyFill="1" applyFont="1">
      <alignment horizontal="center" vertical="center"/>
    </xf>
    <xf borderId="23" fillId="31" fontId="18" numFmtId="0" xfId="0" applyAlignment="1" applyBorder="1" applyFont="1">
      <alignment horizontal="center" vertical="center"/>
    </xf>
    <xf borderId="23" fillId="31" fontId="18" numFmtId="0" xfId="0" applyAlignment="1" applyBorder="1" applyFont="1">
      <alignment vertical="center"/>
    </xf>
    <xf borderId="23" fillId="31" fontId="1" numFmtId="0" xfId="0" applyAlignment="1" applyBorder="1" applyFont="1">
      <alignment vertical="center"/>
    </xf>
    <xf borderId="23" fillId="31" fontId="8" numFmtId="0" xfId="0" applyAlignment="1" applyBorder="1" applyFont="1">
      <alignment horizontal="center" vertical="center"/>
    </xf>
    <xf borderId="23" fillId="31" fontId="16" numFmtId="0" xfId="0" applyAlignment="1" applyBorder="1" applyFont="1">
      <alignment horizontal="center" vertical="center"/>
    </xf>
    <xf borderId="23" fillId="31" fontId="18" numFmtId="3" xfId="0" applyAlignment="1" applyBorder="1" applyFont="1" applyNumberFormat="1">
      <alignment horizontal="center" vertical="center"/>
    </xf>
    <xf borderId="27" fillId="9" fontId="26" numFmtId="0" xfId="0" applyAlignment="1" applyBorder="1" applyFont="1">
      <alignment horizontal="center" shrinkToFit="0" vertical="center" wrapText="1"/>
    </xf>
    <xf borderId="45" fillId="31" fontId="17" numFmtId="0" xfId="0" applyAlignment="1" applyBorder="1" applyFont="1">
      <alignment vertical="center"/>
    </xf>
    <xf borderId="19" fillId="9" fontId="26" numFmtId="0" xfId="0" applyAlignment="1" applyBorder="1" applyFont="1">
      <alignment horizontal="center" shrinkToFit="0" vertical="center" wrapText="1"/>
    </xf>
    <xf borderId="24" fillId="9" fontId="26" numFmtId="0" xfId="0" applyAlignment="1" applyBorder="1" applyFont="1">
      <alignment horizontal="center" shrinkToFit="0" vertical="center" wrapText="1"/>
    </xf>
    <xf borderId="59" fillId="9" fontId="26" numFmtId="0" xfId="0" applyAlignment="1" applyBorder="1" applyFont="1">
      <alignment horizontal="center" vertical="center"/>
    </xf>
    <xf borderId="60" fillId="0" fontId="4" numFmtId="0" xfId="0" applyBorder="1" applyFont="1"/>
    <xf borderId="23" fillId="29" fontId="20" numFmtId="0" xfId="0" applyAlignment="1" applyBorder="1" applyFont="1">
      <alignment shrinkToFit="0" vertical="center" wrapText="1"/>
    </xf>
    <xf borderId="23" fillId="0" fontId="20" numFmtId="0" xfId="0" applyAlignment="1" applyBorder="1" applyFont="1">
      <alignment shrinkToFit="0" vertical="center" wrapText="1"/>
    </xf>
    <xf borderId="54" fillId="9" fontId="26" numFmtId="0" xfId="0" applyAlignment="1" applyBorder="1" applyFont="1">
      <alignment horizontal="center" readingOrder="0" shrinkToFit="0" vertical="center" wrapText="1"/>
    </xf>
    <xf borderId="57" fillId="0" fontId="20" numFmtId="0" xfId="0" applyAlignment="1" applyBorder="1" applyFont="1">
      <alignment vertical="center"/>
    </xf>
    <xf borderId="23" fillId="27" fontId="27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center" vertical="center"/>
    </xf>
    <xf borderId="61" fillId="4" fontId="3" numFmtId="0" xfId="0" applyAlignment="1" applyBorder="1" applyFont="1">
      <alignment horizontal="center" vertical="center"/>
    </xf>
    <xf borderId="0" fillId="0" fontId="24" numFmtId="0" xfId="0" applyAlignment="1" applyFont="1">
      <alignment readingOrder="0"/>
    </xf>
    <xf borderId="55" fillId="0" fontId="14" numFmtId="0" xfId="0" applyAlignment="1" applyBorder="1" applyFont="1">
      <alignment horizontal="left" vertical="center"/>
    </xf>
    <xf borderId="11" fillId="17" fontId="3" numFmtId="0" xfId="0" applyAlignment="1" applyBorder="1" applyFont="1">
      <alignment horizontal="center" vertical="center"/>
    </xf>
    <xf borderId="62" fillId="25" fontId="8" numFmtId="0" xfId="0" applyAlignment="1" applyBorder="1" applyFont="1">
      <alignment horizontal="center" vertical="center"/>
    </xf>
    <xf borderId="13" fillId="25" fontId="8" numFmtId="0" xfId="0" applyAlignment="1" applyBorder="1" applyFont="1">
      <alignment horizontal="center" vertical="center"/>
    </xf>
    <xf borderId="63" fillId="25" fontId="8" numFmtId="0" xfId="0" applyAlignment="1" applyBorder="1" applyFont="1">
      <alignment horizontal="center" vertical="center"/>
    </xf>
    <xf borderId="63" fillId="25" fontId="8" numFmtId="0" xfId="0" applyAlignment="1" applyBorder="1" applyFont="1">
      <alignment vertical="center"/>
    </xf>
    <xf borderId="63" fillId="25" fontId="16" numFmtId="0" xfId="0" applyAlignment="1" applyBorder="1" applyFont="1">
      <alignment horizontal="center" vertical="center"/>
    </xf>
    <xf borderId="63" fillId="25" fontId="8" numFmtId="4" xfId="0" applyAlignment="1" applyBorder="1" applyFont="1" applyNumberFormat="1">
      <alignment horizontal="center" vertical="center"/>
    </xf>
    <xf borderId="64" fillId="25" fontId="17" numFmtId="0" xfId="0" applyAlignment="1" applyBorder="1" applyFont="1">
      <alignment vertical="center"/>
    </xf>
    <xf borderId="65" fillId="0" fontId="1" numFmtId="0" xfId="0" applyAlignment="1" applyBorder="1" applyFont="1">
      <alignment vertical="center"/>
    </xf>
    <xf borderId="0" fillId="0" fontId="22" numFmtId="0" xfId="0" applyFont="1"/>
    <xf borderId="18" fillId="32" fontId="1" numFmtId="0" xfId="0" applyAlignment="1" applyBorder="1" applyFill="1" applyFont="1">
      <alignment vertical="center"/>
    </xf>
    <xf borderId="18" fillId="32" fontId="2" numFmtId="1" xfId="0" applyAlignment="1" applyBorder="1" applyFont="1" applyNumberFormat="1">
      <alignment vertical="center"/>
    </xf>
    <xf borderId="18" fillId="32" fontId="2" numFmtId="3" xfId="0" applyAlignment="1" applyBorder="1" applyFont="1" applyNumberFormat="1">
      <alignment vertical="center"/>
    </xf>
    <xf borderId="66" fillId="4" fontId="1" numFmtId="0" xfId="0" applyAlignment="1" applyBorder="1" applyFont="1">
      <alignment vertical="center"/>
    </xf>
    <xf borderId="67" fillId="4" fontId="3" numFmtId="0" xfId="0" applyAlignment="1" applyBorder="1" applyFont="1">
      <alignment horizontal="center" vertical="center"/>
    </xf>
    <xf borderId="68" fillId="4" fontId="3" numFmtId="0" xfId="0" applyAlignment="1" applyBorder="1" applyFont="1">
      <alignment horizontal="center" vertical="center"/>
    </xf>
    <xf borderId="69" fillId="0" fontId="4" numFmtId="0" xfId="0" applyBorder="1" applyFont="1"/>
    <xf borderId="70" fillId="0" fontId="4" numFmtId="0" xfId="0" applyBorder="1" applyFont="1"/>
    <xf borderId="71" fillId="5" fontId="1" numFmtId="0" xfId="0" applyAlignment="1" applyBorder="1" applyFont="1">
      <alignment vertical="center"/>
    </xf>
    <xf borderId="72" fillId="0" fontId="4" numFmtId="0" xfId="0" applyBorder="1" applyFont="1"/>
    <xf borderId="73" fillId="0" fontId="4" numFmtId="0" xfId="0" applyBorder="1" applyFont="1"/>
    <xf borderId="74" fillId="0" fontId="4" numFmtId="0" xfId="0" applyBorder="1" applyFont="1"/>
    <xf borderId="75" fillId="7" fontId="8" numFmtId="0" xfId="0" applyAlignment="1" applyBorder="1" applyFont="1">
      <alignment horizontal="right" vertical="center"/>
    </xf>
    <xf borderId="76" fillId="0" fontId="4" numFmtId="0" xfId="0" applyBorder="1" applyFont="1"/>
    <xf borderId="77" fillId="17" fontId="3" numFmtId="0" xfId="0" applyAlignment="1" applyBorder="1" applyFont="1">
      <alignment horizontal="center" vertical="center"/>
    </xf>
    <xf borderId="78" fillId="17" fontId="3" numFmtId="0" xfId="0" applyAlignment="1" applyBorder="1" applyFont="1">
      <alignment horizontal="center" vertical="center"/>
    </xf>
    <xf borderId="79" fillId="0" fontId="4" numFmtId="0" xfId="0" applyBorder="1" applyFont="1"/>
    <xf borderId="80" fillId="0" fontId="4" numFmtId="0" xfId="0" applyBorder="1" applyFont="1"/>
    <xf borderId="81" fillId="25" fontId="8" numFmtId="0" xfId="0" applyAlignment="1" applyBorder="1" applyFont="1">
      <alignment horizontal="center" vertical="center"/>
    </xf>
    <xf borderId="82" fillId="25" fontId="28" numFmtId="0" xfId="0" applyAlignment="1" applyBorder="1" applyFont="1">
      <alignment vertical="center"/>
    </xf>
    <xf borderId="83" fillId="33" fontId="8" numFmtId="0" xfId="0" applyAlignment="1" applyBorder="1" applyFill="1" applyFont="1">
      <alignment horizontal="center" vertical="center"/>
    </xf>
    <xf borderId="44" fillId="33" fontId="8" numFmtId="0" xfId="0" applyAlignment="1" applyBorder="1" applyFont="1">
      <alignment horizontal="center" vertical="center"/>
    </xf>
    <xf borderId="23" fillId="33" fontId="8" numFmtId="0" xfId="0" applyAlignment="1" applyBorder="1" applyFont="1">
      <alignment horizontal="center" vertical="center"/>
    </xf>
    <xf borderId="23" fillId="33" fontId="8" numFmtId="0" xfId="0" applyAlignment="1" applyBorder="1" applyFont="1">
      <alignment vertical="center"/>
    </xf>
    <xf borderId="23" fillId="33" fontId="1" numFmtId="0" xfId="0" applyAlignment="1" applyBorder="1" applyFont="1">
      <alignment vertical="center"/>
    </xf>
    <xf borderId="23" fillId="33" fontId="29" numFmtId="169" xfId="0" applyAlignment="1" applyBorder="1" applyFont="1" applyNumberFormat="1">
      <alignment horizontal="center" vertical="center"/>
    </xf>
    <xf borderId="23" fillId="33" fontId="8" numFmtId="4" xfId="0" applyAlignment="1" applyBorder="1" applyFont="1" applyNumberFormat="1">
      <alignment horizontal="center" vertical="center"/>
    </xf>
    <xf borderId="84" fillId="33" fontId="28" numFmtId="0" xfId="0" applyAlignment="1" applyBorder="1" applyFont="1">
      <alignment vertical="center"/>
    </xf>
    <xf borderId="83" fillId="3" fontId="18" numFmtId="0" xfId="0" applyAlignment="1" applyBorder="1" applyFont="1">
      <alignment horizontal="center" vertical="center"/>
    </xf>
    <xf borderId="84" fillId="3" fontId="1" numFmtId="0" xfId="0" applyAlignment="1" applyBorder="1" applyFont="1">
      <alignment vertical="center"/>
    </xf>
    <xf borderId="0" fillId="0" fontId="1" numFmtId="10" xfId="0" applyAlignment="1" applyFont="1" applyNumberFormat="1">
      <alignment vertical="center"/>
    </xf>
    <xf borderId="83" fillId="7" fontId="1" numFmtId="0" xfId="0" applyAlignment="1" applyBorder="1" applyFont="1">
      <alignment vertical="center"/>
    </xf>
    <xf borderId="84" fillId="7" fontId="1" numFmtId="0" xfId="0" applyAlignment="1" applyBorder="1" applyFont="1">
      <alignment vertical="center"/>
    </xf>
    <xf borderId="75" fillId="30" fontId="8" numFmtId="0" xfId="0" applyAlignment="1" applyBorder="1" applyFont="1">
      <alignment vertical="center"/>
    </xf>
    <xf borderId="85" fillId="0" fontId="4" numFmtId="0" xfId="0" applyBorder="1" applyFont="1"/>
    <xf borderId="83" fillId="31" fontId="18" numFmtId="0" xfId="0" applyAlignment="1" applyBorder="1" applyFont="1">
      <alignment horizontal="center" vertical="center"/>
    </xf>
    <xf borderId="44" fillId="31" fontId="18" numFmtId="0" xfId="0" applyAlignment="1" applyBorder="1" applyFont="1">
      <alignment horizontal="center" vertical="center"/>
    </xf>
    <xf borderId="84" fillId="31" fontId="28" numFmtId="0" xfId="0" applyAlignment="1" applyBorder="1" applyFont="1">
      <alignment vertical="center"/>
    </xf>
    <xf borderId="86" fillId="31" fontId="18" numFmtId="0" xfId="0" applyAlignment="1" applyBorder="1" applyFont="1">
      <alignment horizontal="center" vertical="center"/>
    </xf>
    <xf borderId="87" fillId="31" fontId="18" numFmtId="0" xfId="0" applyAlignment="1" applyBorder="1" applyFont="1">
      <alignment horizontal="center" vertical="center"/>
    </xf>
    <xf borderId="88" fillId="31" fontId="18" numFmtId="0" xfId="0" applyAlignment="1" applyBorder="1" applyFont="1">
      <alignment horizontal="center" vertical="center"/>
    </xf>
    <xf borderId="88" fillId="31" fontId="18" numFmtId="0" xfId="0" applyAlignment="1" applyBorder="1" applyFont="1">
      <alignment vertical="center"/>
    </xf>
    <xf borderId="88" fillId="31" fontId="1" numFmtId="0" xfId="0" applyAlignment="1" applyBorder="1" applyFont="1">
      <alignment vertical="center"/>
    </xf>
    <xf borderId="88" fillId="31" fontId="8" numFmtId="0" xfId="0" applyAlignment="1" applyBorder="1" applyFont="1">
      <alignment horizontal="center" vertical="center"/>
    </xf>
    <xf borderId="88" fillId="31" fontId="16" numFmtId="0" xfId="0" applyAlignment="1" applyBorder="1" applyFont="1">
      <alignment horizontal="center" vertical="center"/>
    </xf>
    <xf borderId="88" fillId="31" fontId="18" numFmtId="3" xfId="0" applyAlignment="1" applyBorder="1" applyFont="1" applyNumberFormat="1">
      <alignment horizontal="center" vertical="center"/>
    </xf>
    <xf borderId="89" fillId="31" fontId="28" numFmtId="0" xfId="0" applyAlignment="1" applyBorder="1" applyFont="1">
      <alignment vertical="center"/>
    </xf>
    <xf borderId="12" fillId="34" fontId="30" numFmtId="0" xfId="0" applyAlignment="1" applyBorder="1" applyFill="1" applyFont="1">
      <alignment horizontal="center" vertical="center"/>
    </xf>
    <xf borderId="12" fillId="35" fontId="31" numFmtId="0" xfId="0" applyAlignment="1" applyBorder="1" applyFill="1" applyFont="1">
      <alignment horizontal="center"/>
    </xf>
    <xf borderId="1" fillId="11" fontId="32" numFmtId="0" xfId="0" applyBorder="1" applyFont="1"/>
    <xf borderId="1" fillId="8" fontId="22" numFmtId="2" xfId="0" applyBorder="1" applyFont="1" applyNumberFormat="1"/>
    <xf borderId="1" fillId="36" fontId="22" numFmtId="169" xfId="0" applyBorder="1" applyFill="1" applyFont="1" applyNumberFormat="1"/>
    <xf borderId="90" fillId="35" fontId="31" numFmtId="0" xfId="0" applyAlignment="1" applyBorder="1" applyFont="1">
      <alignment horizontal="center" shrinkToFit="0" vertical="center" wrapText="1"/>
    </xf>
    <xf borderId="90" fillId="36" fontId="22" numFmtId="0" xfId="0" applyAlignment="1" applyBorder="1" applyFont="1">
      <alignment horizontal="center" shrinkToFit="0" vertical="center" wrapText="1"/>
    </xf>
    <xf borderId="90" fillId="36" fontId="22" numFmtId="0" xfId="0" applyAlignment="1" applyBorder="1" applyFont="1">
      <alignment shrinkToFit="0" vertical="center" wrapText="1"/>
    </xf>
    <xf borderId="90" fillId="0" fontId="22" numFmtId="2" xfId="0" applyAlignment="1" applyBorder="1" applyFont="1" applyNumberFormat="1">
      <alignment shrinkToFit="0" vertical="center" wrapText="1"/>
    </xf>
    <xf borderId="90" fillId="37" fontId="22" numFmtId="0" xfId="0" applyAlignment="1" applyBorder="1" applyFill="1" applyFont="1">
      <alignment horizontal="center" shrinkToFit="0" vertical="center" wrapText="1"/>
    </xf>
    <xf borderId="90" fillId="37" fontId="22" numFmtId="0" xfId="0" applyAlignment="1" applyBorder="1" applyFont="1">
      <alignment shrinkToFit="0" vertical="center" wrapText="1"/>
    </xf>
    <xf borderId="90" fillId="38" fontId="22" numFmtId="0" xfId="0" applyAlignment="1" applyBorder="1" applyFill="1" applyFont="1">
      <alignment horizontal="center" shrinkToFit="0" vertical="center" wrapText="1"/>
    </xf>
    <xf borderId="90" fillId="38" fontId="22" numFmtId="0" xfId="0" applyAlignment="1" applyBorder="1" applyFont="1">
      <alignment shrinkToFit="0" vertical="center" wrapText="1"/>
    </xf>
    <xf borderId="91" fillId="35" fontId="31" numFmtId="0" xfId="0" applyAlignment="1" applyBorder="1" applyFont="1">
      <alignment horizontal="center" shrinkToFit="0" vertical="center" wrapText="1"/>
    </xf>
    <xf borderId="92" fillId="0" fontId="4" numFmtId="0" xfId="0" applyBorder="1" applyFont="1"/>
    <xf borderId="93" fillId="0" fontId="4" numFmtId="0" xfId="0" applyBorder="1" applyFont="1"/>
    <xf borderId="90" fillId="35" fontId="33" numFmtId="174" xfId="0" applyAlignment="1" applyBorder="1" applyFont="1" applyNumberFormat="1">
      <alignment horizontal="center" shrinkToFit="0" vertical="center" wrapText="1"/>
    </xf>
    <xf borderId="1" fillId="29" fontId="23" numFmtId="0" xfId="0" applyAlignment="1" applyBorder="1" applyFont="1">
      <alignment vertical="center"/>
    </xf>
    <xf borderId="94" fillId="0" fontId="23" numFmtId="0" xfId="0" applyAlignment="1" applyBorder="1" applyFont="1">
      <alignment horizontal="left" vertical="center"/>
    </xf>
    <xf borderId="94" fillId="0" fontId="4" numFmtId="0" xfId="0" applyBorder="1" applyFont="1"/>
    <xf borderId="95" fillId="26" fontId="34" numFmtId="0" xfId="0" applyAlignment="1" applyBorder="1" applyFont="1">
      <alignment horizontal="center" vertical="center"/>
    </xf>
    <xf borderId="95" fillId="0" fontId="35" numFmtId="0" xfId="0" applyAlignment="1" applyBorder="1" applyFont="1">
      <alignment vertical="center"/>
    </xf>
    <xf borderId="95" fillId="0" fontId="35" numFmtId="0" xfId="0" applyAlignment="1" applyBorder="1" applyFont="1">
      <alignment horizontal="center" vertical="center"/>
    </xf>
    <xf borderId="95" fillId="0" fontId="35" numFmtId="165" xfId="0" applyAlignment="1" applyBorder="1" applyFont="1" applyNumberFormat="1">
      <alignment vertical="center"/>
    </xf>
    <xf borderId="95" fillId="0" fontId="35" numFmtId="165" xfId="0" applyAlignment="1" applyBorder="1" applyFont="1" applyNumberFormat="1">
      <alignment horizontal="center" vertical="center"/>
    </xf>
    <xf borderId="95" fillId="0" fontId="35" numFmtId="174" xfId="0" applyAlignment="1" applyBorder="1" applyFont="1" applyNumberFormat="1">
      <alignment vertical="center"/>
    </xf>
    <xf borderId="95" fillId="39" fontId="23" numFmtId="165" xfId="0" applyAlignment="1" applyBorder="1" applyFill="1" applyFont="1" applyNumberFormat="1">
      <alignment vertical="center"/>
    </xf>
    <xf borderId="95" fillId="0" fontId="36" numFmtId="0" xfId="0" applyAlignment="1" applyBorder="1" applyFont="1">
      <alignment vertical="center"/>
    </xf>
    <xf borderId="95" fillId="0" fontId="36" numFmtId="0" xfId="0" applyAlignment="1" applyBorder="1" applyFont="1">
      <alignment horizontal="center" vertical="center"/>
    </xf>
    <xf borderId="95" fillId="0" fontId="36" numFmtId="165" xfId="0" applyAlignment="1" applyBorder="1" applyFont="1" applyNumberFormat="1">
      <alignment vertical="center"/>
    </xf>
    <xf borderId="95" fillId="0" fontId="36" numFmtId="165" xfId="0" applyAlignment="1" applyBorder="1" applyFont="1" applyNumberFormat="1">
      <alignment horizontal="center" vertical="center"/>
    </xf>
    <xf borderId="95" fillId="0" fontId="36" numFmtId="174" xfId="0" applyAlignment="1" applyBorder="1" applyFont="1" applyNumberFormat="1">
      <alignment vertical="center"/>
    </xf>
    <xf borderId="95" fillId="40" fontId="23" numFmtId="0" xfId="0" applyAlignment="1" applyBorder="1" applyFill="1" applyFont="1">
      <alignment vertical="center"/>
    </xf>
    <xf borderId="95" fillId="40" fontId="23" numFmtId="174" xfId="0" applyAlignment="1" applyBorder="1" applyFont="1" applyNumberFormat="1">
      <alignment vertical="center"/>
    </xf>
    <xf borderId="95" fillId="40" fontId="23" numFmtId="165" xfId="0" applyAlignment="1" applyBorder="1" applyFont="1" applyNumberFormat="1">
      <alignment vertical="center"/>
    </xf>
    <xf borderId="0" fillId="0" fontId="20" numFmtId="165" xfId="0" applyAlignment="1" applyFont="1" applyNumberFormat="1">
      <alignment vertical="center"/>
    </xf>
    <xf borderId="0" fillId="0" fontId="20" numFmtId="0" xfId="0" applyAlignment="1" applyFont="1">
      <alignment horizontal="center" vertical="center"/>
    </xf>
    <xf borderId="0" fillId="0" fontId="37" numFmtId="0" xfId="0" applyAlignment="1" applyFont="1">
      <alignment vertical="center"/>
    </xf>
    <xf borderId="0" fillId="0" fontId="38" numFmtId="0" xfId="0" applyAlignment="1" applyFont="1">
      <alignment vertical="center"/>
    </xf>
    <xf borderId="23" fillId="26" fontId="26" numFmtId="0" xfId="0" applyAlignment="1" applyBorder="1" applyFont="1">
      <alignment horizontal="center" shrinkToFit="0" vertical="center" wrapText="1"/>
    </xf>
    <xf borderId="96" fillId="26" fontId="34" numFmtId="0" xfId="0" applyAlignment="1" applyBorder="1" applyFont="1">
      <alignment horizontal="center" vertical="center"/>
    </xf>
    <xf borderId="96" fillId="26" fontId="26" numFmtId="0" xfId="0" applyAlignment="1" applyBorder="1" applyFont="1">
      <alignment horizontal="center" vertical="center"/>
    </xf>
    <xf borderId="23" fillId="0" fontId="20" numFmtId="0" xfId="0" applyAlignment="1" applyBorder="1" applyFont="1">
      <alignment horizontal="center" shrinkToFit="0" vertical="center" wrapText="1"/>
    </xf>
    <xf borderId="23" fillId="0" fontId="20" numFmtId="3" xfId="0" applyAlignment="1" applyBorder="1" applyFont="1" applyNumberFormat="1">
      <alignment vertical="center"/>
    </xf>
    <xf borderId="23" fillId="0" fontId="20" numFmtId="165" xfId="0" applyAlignment="1" applyBorder="1" applyFont="1" applyNumberFormat="1">
      <alignment vertical="center"/>
    </xf>
    <xf borderId="23" fillId="39" fontId="20" numFmtId="165" xfId="0" applyAlignment="1" applyBorder="1" applyFont="1" applyNumberFormat="1">
      <alignment vertical="center"/>
    </xf>
    <xf borderId="0" fillId="0" fontId="20" numFmtId="9" xfId="0" applyAlignment="1" applyFont="1" applyNumberFormat="1">
      <alignment vertical="center"/>
    </xf>
    <xf borderId="23" fillId="0" fontId="20" numFmtId="175" xfId="0" applyAlignment="1" applyBorder="1" applyFont="1" applyNumberFormat="1">
      <alignment vertical="center"/>
    </xf>
    <xf borderId="23" fillId="11" fontId="20" numFmtId="0" xfId="0" applyAlignment="1" applyBorder="1" applyFont="1">
      <alignment shrinkToFit="0" vertical="center" wrapText="1"/>
    </xf>
    <xf borderId="23" fillId="40" fontId="23" numFmtId="0" xfId="0" applyAlignment="1" applyBorder="1" applyFont="1">
      <alignment horizontal="center" shrinkToFit="0" vertical="center" wrapText="1"/>
    </xf>
    <xf borderId="23" fillId="40" fontId="23" numFmtId="0" xfId="0" applyAlignment="1" applyBorder="1" applyFont="1">
      <alignment shrinkToFit="0" vertical="center" wrapText="1"/>
    </xf>
    <xf borderId="23" fillId="40" fontId="23" numFmtId="3" xfId="0" applyAlignment="1" applyBorder="1" applyFont="1" applyNumberFormat="1">
      <alignment vertical="center"/>
    </xf>
    <xf borderId="23" fillId="40" fontId="23" numFmtId="165" xfId="0" applyAlignment="1" applyBorder="1" applyFont="1" applyNumberFormat="1">
      <alignment vertical="center"/>
    </xf>
    <xf borderId="23" fillId="39" fontId="23" numFmtId="3" xfId="0" applyAlignment="1" applyBorder="1" applyFont="1" applyNumberFormat="1">
      <alignment vertical="center"/>
    </xf>
    <xf borderId="0" fillId="0" fontId="23" numFmtId="0" xfId="0" applyAlignment="1" applyFont="1">
      <alignment horizontal="center" vertical="center"/>
    </xf>
    <xf borderId="46" fillId="0" fontId="37" numFmtId="0" xfId="0" applyAlignment="1" applyBorder="1" applyFont="1">
      <alignment horizontal="center" vertical="center"/>
    </xf>
    <xf borderId="97" fillId="0" fontId="20" numFmtId="0" xfId="0" applyAlignment="1" applyBorder="1" applyFont="1">
      <alignment vertical="center"/>
    </xf>
    <xf borderId="98" fillId="0" fontId="20" numFmtId="165" xfId="0" applyAlignment="1" applyBorder="1" applyFont="1" applyNumberFormat="1">
      <alignment vertical="center"/>
    </xf>
    <xf borderId="0" fillId="0" fontId="20" numFmtId="4" xfId="0" applyAlignment="1" applyFont="1" applyNumberFormat="1">
      <alignment vertical="center"/>
    </xf>
    <xf borderId="99" fillId="0" fontId="4" numFmtId="0" xfId="0" applyBorder="1" applyFont="1"/>
    <xf borderId="100" fillId="0" fontId="20" numFmtId="165" xfId="0" applyAlignment="1" applyBorder="1" applyFont="1" applyNumberFormat="1">
      <alignment vertical="center"/>
    </xf>
    <xf borderId="48" fillId="0" fontId="4" numFmtId="0" xfId="0" applyBorder="1" applyFont="1"/>
    <xf borderId="101" fillId="0" fontId="20" numFmtId="0" xfId="0" applyAlignment="1" applyBorder="1" applyFont="1">
      <alignment vertical="center"/>
    </xf>
    <xf borderId="101" fillId="0" fontId="23" numFmtId="0" xfId="0" applyAlignment="1" applyBorder="1" applyFont="1">
      <alignment vertical="center"/>
    </xf>
    <xf borderId="102" fillId="0" fontId="23" numFmtId="9" xfId="0" applyAlignment="1" applyBorder="1" applyFont="1" applyNumberFormat="1">
      <alignment vertical="center"/>
    </xf>
    <xf borderId="46" fillId="0" fontId="38" numFmtId="0" xfId="0" applyAlignment="1" applyBorder="1" applyFont="1">
      <alignment horizontal="center" vertical="center"/>
    </xf>
    <xf borderId="0" fillId="0" fontId="39" numFmtId="0" xfId="0" applyAlignment="1" applyFont="1">
      <alignment vertical="center"/>
    </xf>
    <xf borderId="103" fillId="3" fontId="23" numFmtId="9" xfId="0" applyAlignment="1" applyBorder="1" applyFont="1" applyNumberFormat="1">
      <alignment vertical="center"/>
    </xf>
    <xf borderId="23" fillId="14" fontId="40" numFmtId="0" xfId="0" applyAlignment="1" applyBorder="1" applyFont="1">
      <alignment horizontal="center" vertical="center"/>
    </xf>
    <xf borderId="23" fillId="14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3" fillId="0" fontId="1" numFmtId="165" xfId="0" applyAlignment="1" applyBorder="1" applyFont="1" applyNumberFormat="1">
      <alignment vertical="center"/>
    </xf>
    <xf borderId="23" fillId="0" fontId="1" numFmtId="9" xfId="0" applyAlignment="1" applyBorder="1" applyFont="1" applyNumberFormat="1">
      <alignment vertical="center"/>
    </xf>
    <xf borderId="104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65" xfId="0" applyAlignment="1" applyBorder="1" applyFont="1" applyNumberFormat="1">
      <alignment horizontal="center" shrinkToFit="0" vertical="center" wrapText="1"/>
    </xf>
    <xf borderId="23" fillId="0" fontId="1" numFmtId="165" xfId="0" applyAlignment="1" applyBorder="1" applyFont="1" applyNumberFormat="1">
      <alignment shrinkToFit="0" vertical="center" wrapText="1"/>
    </xf>
    <xf borderId="23" fillId="0" fontId="1" numFmtId="0" xfId="0" applyAlignment="1" applyBorder="1" applyFont="1">
      <alignment horizontal="left" shrinkToFit="0" vertical="center" wrapText="1"/>
    </xf>
    <xf borderId="23" fillId="40" fontId="2" numFmtId="0" xfId="0" applyAlignment="1" applyBorder="1" applyFont="1">
      <alignment vertical="center"/>
    </xf>
    <xf borderId="23" fillId="40" fontId="2" numFmtId="165" xfId="0" applyAlignment="1" applyBorder="1" applyFont="1" applyNumberFormat="1">
      <alignment vertical="center"/>
    </xf>
    <xf borderId="23" fillId="0" fontId="1" numFmtId="169" xfId="0" applyAlignment="1" applyBorder="1" applyFont="1" applyNumberFormat="1">
      <alignment vertical="center"/>
    </xf>
    <xf borderId="23" fillId="40" fontId="1" numFmtId="0" xfId="0" applyAlignment="1" applyBorder="1" applyFont="1">
      <alignment vertical="center"/>
    </xf>
    <xf borderId="23" fillId="40" fontId="2" numFmtId="9" xfId="0" applyAlignment="1" applyBorder="1" applyFont="1" applyNumberFormat="1">
      <alignment vertical="center"/>
    </xf>
    <xf borderId="0" fillId="0" fontId="20" numFmtId="0" xfId="0" applyFont="1"/>
    <xf borderId="23" fillId="14" fontId="34" numFmtId="0" xfId="0" applyAlignment="1" applyBorder="1" applyFont="1">
      <alignment horizontal="center" vertical="center"/>
    </xf>
    <xf borderId="23" fillId="14" fontId="26" numFmtId="0" xfId="0" applyAlignment="1" applyBorder="1" applyFont="1">
      <alignment horizontal="center" vertical="center"/>
    </xf>
    <xf borderId="23" fillId="0" fontId="20" numFmtId="9" xfId="0" applyAlignment="1" applyBorder="1" applyFont="1" applyNumberFormat="1">
      <alignment horizontal="right" vertical="center"/>
    </xf>
    <xf borderId="23" fillId="40" fontId="23" numFmtId="0" xfId="0" applyAlignment="1" applyBorder="1" applyFont="1">
      <alignment vertical="center"/>
    </xf>
    <xf borderId="23" fillId="40" fontId="23" numFmtId="9" xfId="0" applyAlignment="1" applyBorder="1" applyFont="1" applyNumberFormat="1">
      <alignment horizontal="right" vertical="center"/>
    </xf>
    <xf borderId="23" fillId="0" fontId="41" numFmtId="165" xfId="0" applyAlignment="1" applyBorder="1" applyFont="1" applyNumberFormat="1">
      <alignment horizontal="left" vertical="center"/>
    </xf>
    <xf borderId="23" fillId="0" fontId="41" numFmtId="165" xfId="0" applyAlignment="1" applyBorder="1" applyFont="1" applyNumberFormat="1">
      <alignment horizontal="center" vertical="center"/>
    </xf>
    <xf borderId="23" fillId="0" fontId="41" numFmtId="165" xfId="0" applyAlignment="1" applyBorder="1" applyFont="1" applyNumberFormat="1">
      <alignment vertical="center"/>
    </xf>
    <xf borderId="23" fillId="40" fontId="42" numFmtId="165" xfId="0" applyAlignment="1" applyBorder="1" applyFont="1" applyNumberFormat="1">
      <alignment vertical="center"/>
    </xf>
    <xf borderId="23" fillId="0" fontId="43" numFmtId="165" xfId="0" applyAlignment="1" applyBorder="1" applyFont="1" applyNumberFormat="1">
      <alignment horizontal="left" vertical="center"/>
    </xf>
    <xf borderId="23" fillId="0" fontId="43" numFmtId="165" xfId="0" applyAlignment="1" applyBorder="1" applyFont="1" applyNumberFormat="1">
      <alignment horizontal="center" vertical="center"/>
    </xf>
    <xf borderId="23" fillId="0" fontId="43" numFmtId="165" xfId="0" applyAlignment="1" applyBorder="1" applyFont="1" applyNumberFormat="1">
      <alignment vertical="center"/>
    </xf>
    <xf borderId="23" fillId="40" fontId="44" numFmtId="165" xfId="0" applyAlignment="1" applyBorder="1" applyFont="1" applyNumberFormat="1">
      <alignment vertical="center"/>
    </xf>
    <xf borderId="105" fillId="0" fontId="23" numFmtId="165" xfId="0" applyAlignment="1" applyBorder="1" applyFont="1" applyNumberFormat="1">
      <alignment horizontal="left" vertical="center"/>
    </xf>
    <xf borderId="105" fillId="0" fontId="23" numFmtId="165" xfId="0" applyAlignment="1" applyBorder="1" applyFont="1" applyNumberFormat="1">
      <alignment horizontal="center" vertical="center"/>
    </xf>
    <xf borderId="105" fillId="40" fontId="23" numFmtId="165" xfId="0" applyAlignment="1" applyBorder="1" applyFont="1" applyNumberFormat="1">
      <alignment horizontal="center" vertical="center"/>
    </xf>
    <xf borderId="29" fillId="0" fontId="20" numFmtId="165" xfId="0" applyAlignment="1" applyBorder="1" applyFont="1" applyNumberFormat="1">
      <alignment horizontal="left" vertical="center"/>
    </xf>
    <xf borderId="29" fillId="0" fontId="20" numFmtId="165" xfId="0" applyAlignment="1" applyBorder="1" applyFont="1" applyNumberFormat="1">
      <alignment horizontal="center" vertical="center"/>
    </xf>
    <xf borderId="29" fillId="0" fontId="20" numFmtId="165" xfId="0" applyAlignment="1" applyBorder="1" applyFont="1" applyNumberFormat="1">
      <alignment vertical="center"/>
    </xf>
    <xf borderId="63" fillId="40" fontId="23" numFmtId="165" xfId="0" applyAlignment="1" applyBorder="1" applyFont="1" applyNumberFormat="1">
      <alignment vertical="center"/>
    </xf>
    <xf borderId="105" fillId="0" fontId="20" numFmtId="165" xfId="0" applyAlignment="1" applyBorder="1" applyFont="1" applyNumberFormat="1">
      <alignment horizontal="left" vertical="center"/>
    </xf>
    <xf borderId="105" fillId="0" fontId="20" numFmtId="165" xfId="0" applyAlignment="1" applyBorder="1" applyFont="1" applyNumberFormat="1">
      <alignment horizontal="center" vertical="center"/>
    </xf>
    <xf borderId="105" fillId="0" fontId="20" numFmtId="165" xfId="0" applyAlignment="1" applyBorder="1" applyFont="1" applyNumberFormat="1">
      <alignment vertical="center"/>
    </xf>
    <xf borderId="105" fillId="40" fontId="23" numFmtId="165" xfId="0" applyAlignment="1" applyBorder="1" applyFont="1" applyNumberFormat="1">
      <alignment vertical="center"/>
    </xf>
    <xf borderId="63" fillId="40" fontId="23" numFmtId="165" xfId="0" applyAlignment="1" applyBorder="1" applyFont="1" applyNumberFormat="1">
      <alignment horizontal="center" vertical="center"/>
    </xf>
    <xf borderId="23" fillId="40" fontId="23" numFmtId="165" xfId="0" applyAlignment="1" applyBorder="1" applyFont="1" applyNumberFormat="1">
      <alignment horizontal="left" vertical="center"/>
    </xf>
    <xf borderId="23" fillId="40" fontId="23" numFmtId="165" xfId="0" applyAlignment="1" applyBorder="1" applyFont="1" applyNumberFormat="1">
      <alignment horizontal="center" vertical="center"/>
    </xf>
    <xf borderId="106" fillId="41" fontId="3" numFmtId="0" xfId="0" applyAlignment="1" applyBorder="1" applyFill="1" applyFont="1">
      <alignment vertical="center"/>
    </xf>
    <xf borderId="92" fillId="0" fontId="21" numFmtId="3" xfId="0" applyAlignment="1" applyBorder="1" applyFont="1" applyNumberFormat="1">
      <alignment horizontal="right" vertical="center"/>
    </xf>
    <xf borderId="92" fillId="0" fontId="21" numFmtId="165" xfId="0" applyAlignment="1" applyBorder="1" applyFont="1" applyNumberFormat="1">
      <alignment horizontal="right" vertical="center"/>
    </xf>
    <xf borderId="92" fillId="0" fontId="21" numFmtId="169" xfId="0" applyAlignment="1" applyBorder="1" applyFont="1" applyNumberFormat="1">
      <alignment horizontal="right" vertical="center"/>
    </xf>
    <xf borderId="0" fillId="0" fontId="20" numFmtId="9" xfId="0" applyAlignment="1" applyFont="1" applyNumberFormat="1">
      <alignment horizontal="center" vertical="center"/>
    </xf>
    <xf borderId="0" fillId="0" fontId="20" numFmtId="1" xfId="0" applyFont="1" applyNumberFormat="1"/>
    <xf borderId="0" fillId="0" fontId="45" numFmtId="0" xfId="0" applyFont="1"/>
  </cellXfs>
  <cellStyles count="1">
    <cellStyle xfId="0" name="Normal" builtinId="0"/>
  </cellStyles>
  <dxfs count="3">
    <dxf>
      <font>
        <color rgb="FFFF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Plan de ventas [kg]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Gourmet</c:v>
          </c:tx>
          <c:spPr>
            <a:solidFill>
              <a:srgbClr val="274E13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ventas'!$S$67:$AB$67</c:f>
              <c:numCache/>
            </c:numRef>
          </c:val>
        </c:ser>
        <c:ser>
          <c:idx val="1"/>
          <c:order val="1"/>
          <c:tx>
            <c:v>Free</c:v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ventas'!$S$68:$AB$68</c:f>
              <c:numCache/>
            </c:numRef>
          </c:val>
        </c:ser>
        <c:ser>
          <c:idx val="2"/>
          <c:order val="2"/>
          <c:tx>
            <c:v>Clásicas</c:v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ventas'!$S$69:$AB$69</c:f>
              <c:numCache/>
            </c:numRef>
          </c:val>
        </c:ser>
        <c:ser>
          <c:idx val="3"/>
          <c:order val="3"/>
          <c:tx>
            <c:v>Panificados</c:v>
          </c:tx>
          <c:spPr>
            <a:solidFill>
              <a:srgbClr val="D9EAD3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ventas'!$S$70:$AB$70</c:f>
              <c:numCache/>
            </c:numRef>
          </c:val>
        </c:ser>
        <c:overlap val="100"/>
        <c:axId val="2028558671"/>
        <c:axId val="430768180"/>
      </c:barChart>
      <c:catAx>
        <c:axId val="2028558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Linea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430768180"/>
      </c:catAx>
      <c:valAx>
        <c:axId val="430768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202855867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% unidades (año 10)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'Plan de ventas'!$R$84</c:f>
            </c:strRef>
          </c:tx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rgbClr val="38761D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93C47D"/>
              </a:solidFill>
            </c:spPr>
          </c:dPt>
          <c:dPt>
            <c:idx val="4"/>
            <c:spPr>
              <a:solidFill>
                <a:srgbClr val="B6D7A8"/>
              </a:solidFill>
            </c:spPr>
          </c:dPt>
          <c:dPt>
            <c:idx val="5"/>
            <c:spPr>
              <a:solidFill>
                <a:srgbClr val="D9EAD3"/>
              </a:solidFill>
            </c:spPr>
          </c:dPt>
          <c:dPt>
            <c:idx val="6"/>
            <c:spPr>
              <a:solidFill>
                <a:srgbClr val="D0E0E3"/>
              </a:solidFill>
            </c:spPr>
          </c:dPt>
          <c:dPt>
            <c:idx val="7"/>
            <c:spPr>
              <a:solidFill>
                <a:srgbClr val="C9DAF8"/>
              </a:solidFill>
            </c:spPr>
          </c:dPt>
          <c:dPt>
            <c:idx val="8"/>
            <c:spPr>
              <a:solidFill>
                <a:srgbClr val="CFE2F3"/>
              </a:solidFill>
            </c:spPr>
          </c:dPt>
          <c:dPt>
            <c:idx val="9"/>
            <c:spPr>
              <a:solidFill>
                <a:srgbClr val="D9D2E9"/>
              </a:solidFill>
            </c:spPr>
          </c:dPt>
          <c:dPt>
            <c:idx val="10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'Plan de ventas'!$Q$85:$Q$95</c:f>
            </c:strRef>
          </c:cat>
          <c:val>
            <c:numRef>
              <c:f>'Plan de ventas'!$R$85:$R$95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% facturación (año 10)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'Plan de ventas'!$S$84</c:f>
            </c:strRef>
          </c:tx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rgbClr val="38761D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93C47D"/>
              </a:solidFill>
            </c:spPr>
          </c:dPt>
          <c:dPt>
            <c:idx val="4"/>
            <c:spPr>
              <a:solidFill>
                <a:srgbClr val="B6D7A8"/>
              </a:solidFill>
            </c:spPr>
          </c:dPt>
          <c:dPt>
            <c:idx val="5"/>
            <c:spPr>
              <a:solidFill>
                <a:srgbClr val="D9EAD3"/>
              </a:solidFill>
            </c:spPr>
          </c:dPt>
          <c:dPt>
            <c:idx val="6"/>
            <c:spPr>
              <a:solidFill>
                <a:srgbClr val="D0E0E3"/>
              </a:solidFill>
            </c:spPr>
          </c:dPt>
          <c:dPt>
            <c:idx val="7"/>
            <c:spPr>
              <a:solidFill>
                <a:srgbClr val="C9DAF8"/>
              </a:solidFill>
            </c:spPr>
          </c:dPt>
          <c:dPt>
            <c:idx val="8"/>
            <c:spPr>
              <a:solidFill>
                <a:srgbClr val="CFE2F3"/>
              </a:solidFill>
            </c:spPr>
          </c:dPt>
          <c:dPt>
            <c:idx val="9"/>
            <c:spPr>
              <a:solidFill>
                <a:srgbClr val="D9D2E9"/>
              </a:solidFill>
            </c:spPr>
          </c:dPt>
          <c:dPt>
            <c:idx val="10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'Plan de ventas'!$Q$85:$Q$95</c:f>
            </c:strRef>
          </c:cat>
          <c:val>
            <c:numRef>
              <c:f>'Plan de ventas'!$S$85:$S$95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Proyección de crecimiento de ventas [kg]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'Plan de ventas'!$F$48:$O$48</c:f>
            </c:strRef>
          </c:cat>
          <c:val>
            <c:numRef>
              <c:f>'Plan de ventas'!$F$60:$O$60</c:f>
              <c:numCache/>
            </c:numRef>
          </c:val>
          <c:smooth val="0"/>
        </c:ser>
        <c:axId val="1581429919"/>
        <c:axId val="1043299883"/>
      </c:lineChart>
      <c:catAx>
        <c:axId val="1581429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043299883"/>
      </c:catAx>
      <c:valAx>
        <c:axId val="1043299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58142991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Proyección de ventas [kg]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8761D">
                <a:alpha val="30000"/>
              </a:srgbClr>
            </a:solidFill>
            <a:ln cmpd="sng" w="38100">
              <a:solidFill>
                <a:srgbClr val="38761D">
                  <a:alpha val="100000"/>
                </a:srgbClr>
              </a:solidFill>
            </a:ln>
          </c:spPr>
          <c:cat>
            <c:strRef>
              <c:f>'Plan de ventas'!$F$48:$O$48</c:f>
            </c:strRef>
          </c:cat>
          <c:val>
            <c:numRef>
              <c:f>'Plan de ventas'!$F$60:$O$60</c:f>
              <c:numCache/>
            </c:numRef>
          </c:val>
        </c:ser>
        <c:axId val="1100594834"/>
        <c:axId val="1921256273"/>
      </c:areaChart>
      <c:catAx>
        <c:axId val="1100594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921256273"/>
      </c:catAx>
      <c:valAx>
        <c:axId val="1921256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10059483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Plan de ventas [ARS MM]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6AA84F"/>
            </a:solidFill>
            <a:ln cmpd="sng">
              <a:noFill/>
            </a:ln>
          </c:spPr>
          <c:cat>
            <c:strRef>
              <c:f>'Plan de ventas'!$F$64:$O$64</c:f>
            </c:strRef>
          </c:cat>
          <c:val>
            <c:numRef>
              <c:f>'Plan de ventas'!$F$76:$O$76</c:f>
              <c:numCache/>
            </c:numRef>
          </c:val>
        </c:ser>
        <c:axId val="1788555864"/>
        <c:axId val="1992625692"/>
      </c:barChart>
      <c:catAx>
        <c:axId val="1788555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992625692"/>
      </c:catAx>
      <c:valAx>
        <c:axId val="1992625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Calibri"/>
              </a:defRPr>
            </a:pPr>
          </a:p>
        </c:txPr>
        <c:crossAx val="178855586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Composición de costos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Costos!$C$3</c:f>
            </c:strRef>
          </c:tx>
          <c:dPt>
            <c:idx val="0"/>
            <c:spPr>
              <a:solidFill>
                <a:srgbClr val="F9CB9C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Costos!$B$4:$B$6</c:f>
            </c:strRef>
          </c:cat>
          <c:val>
            <c:numRef>
              <c:f>Costos!$C$4:$C$6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Costos!$G$18</c:f>
            </c:strRef>
          </c:tx>
          <c:dPt>
            <c:idx val="0"/>
            <c:spPr>
              <a:solidFill>
                <a:srgbClr val="E69138"/>
              </a:solidFill>
            </c:spPr>
          </c:dPt>
          <c:dPt>
            <c:idx val="1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Costos!$F$19:$F$20</c:f>
            </c:strRef>
          </c:cat>
          <c:val>
            <c:numRef>
              <c:f>Costos!$G$19:$G$20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Costos!$O$2:$O$3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Costos!$N$4:$N$15</c:f>
            </c:strRef>
          </c:cat>
          <c:val>
            <c:numRef>
              <c:f>Costos!$O$4:$O$15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Flujo de fondos [ARS MM]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Saldo Acumulado</c:v>
          </c:tx>
          <c:spPr>
            <a:solidFill>
              <a:srgbClr val="6AA84F"/>
            </a:solidFill>
            <a:ln cmpd="sng">
              <a:noFill/>
            </a:ln>
          </c:spPr>
          <c:dPt>
            <c:idx val="0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CC0000"/>
              </a:solidFill>
              <a:ln cmpd="sng">
                <a:noFill/>
              </a:ln>
            </c:spPr>
          </c:dPt>
          <c:cat>
            <c:strRef>
              <c:f>Flujo!$C$3:$M$3</c:f>
            </c:strRef>
          </c:cat>
          <c:val>
            <c:numRef>
              <c:f>Flujo!$C$10:$M$10</c:f>
              <c:numCache/>
            </c:numRef>
          </c:val>
        </c:ser>
        <c:overlap val="100"/>
        <c:axId val="771022092"/>
        <c:axId val="1748176860"/>
      </c:barChart>
      <c:catAx>
        <c:axId val="771022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748176860"/>
      </c:catAx>
      <c:valAx>
        <c:axId val="174817686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Calibri"/>
              </a:defRPr>
            </a:pPr>
          </a:p>
        </c:txPr>
        <c:crossAx val="77102209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101</xdr:row>
      <xdr:rowOff>28575</xdr:rowOff>
    </xdr:from>
    <xdr:ext cx="5715000" cy="3533775"/>
    <xdr:graphicFrame>
      <xdr:nvGraphicFramePr>
        <xdr:cNvPr id="39135080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733425</xdr:colOff>
      <xdr:row>101</xdr:row>
      <xdr:rowOff>28575</xdr:rowOff>
    </xdr:from>
    <xdr:ext cx="5715000" cy="3533775"/>
    <xdr:graphicFrame>
      <xdr:nvGraphicFramePr>
        <xdr:cNvPr id="206939419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381000</xdr:colOff>
      <xdr:row>101</xdr:row>
      <xdr:rowOff>28575</xdr:rowOff>
    </xdr:from>
    <xdr:ext cx="5715000" cy="3533775"/>
    <xdr:graphicFrame>
      <xdr:nvGraphicFramePr>
        <xdr:cNvPr id="144469438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409575</xdr:colOff>
      <xdr:row>81</xdr:row>
      <xdr:rowOff>19050</xdr:rowOff>
    </xdr:from>
    <xdr:ext cx="5715000" cy="3533775"/>
    <xdr:graphicFrame>
      <xdr:nvGraphicFramePr>
        <xdr:cNvPr id="8547047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381000</xdr:colOff>
      <xdr:row>120</xdr:row>
      <xdr:rowOff>190500</xdr:rowOff>
    </xdr:from>
    <xdr:ext cx="5715000" cy="3533775"/>
    <xdr:graphicFrame>
      <xdr:nvGraphicFramePr>
        <xdr:cNvPr id="139092043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342900</xdr:colOff>
      <xdr:row>81</xdr:row>
      <xdr:rowOff>9525</xdr:rowOff>
    </xdr:from>
    <xdr:ext cx="5715000" cy="3533775"/>
    <xdr:graphicFrame>
      <xdr:nvGraphicFramePr>
        <xdr:cNvPr id="194116767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66</xdr:row>
      <xdr:rowOff>19050</xdr:rowOff>
    </xdr:from>
    <xdr:ext cx="5715000" cy="3533775"/>
    <xdr:graphicFrame>
      <xdr:nvGraphicFramePr>
        <xdr:cNvPr id="152195297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257175</xdr:colOff>
      <xdr:row>66</xdr:row>
      <xdr:rowOff>152400</xdr:rowOff>
    </xdr:from>
    <xdr:ext cx="4333875" cy="2400300"/>
    <xdr:graphicFrame>
      <xdr:nvGraphicFramePr>
        <xdr:cNvPr id="2060994010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1104900</xdr:colOff>
      <xdr:row>66</xdr:row>
      <xdr:rowOff>152400</xdr:rowOff>
    </xdr:from>
    <xdr:ext cx="4410075" cy="2400300"/>
    <xdr:graphicFrame>
      <xdr:nvGraphicFramePr>
        <xdr:cNvPr id="154823670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19</xdr:row>
      <xdr:rowOff>152400</xdr:rowOff>
    </xdr:from>
    <xdr:ext cx="5057775" cy="3848100"/>
    <xdr:graphicFrame>
      <xdr:nvGraphicFramePr>
        <xdr:cNvPr id="2027818268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2.29"/>
    <col customWidth="1" min="3" max="3" width="10.71"/>
    <col customWidth="1" min="4" max="4" width="12.14"/>
    <col customWidth="1" min="5" max="10" width="10.71"/>
    <col customWidth="1" min="11" max="11" width="13.29"/>
    <col customWidth="1" min="12" max="12" width="20.86"/>
    <col customWidth="1" min="13" max="18" width="10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9.5" customHeight="1">
      <c r="A2" s="1"/>
      <c r="B2" s="2" t="s">
        <v>0</v>
      </c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7.5" customHeight="1">
      <c r="A3" s="1"/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8.0" customHeight="1">
      <c r="A4" s="1"/>
      <c r="B4" s="5" t="s">
        <v>1</v>
      </c>
      <c r="C4" s="6"/>
      <c r="D4" s="5" t="s">
        <v>2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18.0" customHeight="1">
      <c r="A5" s="1"/>
      <c r="B5" s="4" t="s">
        <v>3</v>
      </c>
      <c r="C5" s="4"/>
      <c r="D5" s="7">
        <v>4.6E7</v>
      </c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18.0" customHeight="1">
      <c r="A6" s="1"/>
      <c r="B6" s="4" t="s">
        <v>4</v>
      </c>
      <c r="C6" s="4"/>
      <c r="D6" s="8">
        <v>0.01</v>
      </c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ht="18.0" customHeight="1">
      <c r="A7" s="1"/>
      <c r="B7" s="4" t="s">
        <v>5</v>
      </c>
      <c r="C7" s="4"/>
      <c r="D7" s="7">
        <f>D6*D5</f>
        <v>460000</v>
      </c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ht="18.0" customHeight="1">
      <c r="A8" s="1"/>
      <c r="B8" s="4" t="s">
        <v>6</v>
      </c>
      <c r="C8" s="4"/>
      <c r="D8" s="11">
        <f>1.5</f>
        <v>1.5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18.0" customHeight="1">
      <c r="A9" s="1"/>
      <c r="B9" s="4" t="s">
        <v>9</v>
      </c>
      <c r="C9" s="4"/>
      <c r="D9" s="7">
        <f>D8*D7</f>
        <v>690000</v>
      </c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ht="18.0" customHeight="1">
      <c r="A10" s="1"/>
      <c r="B10" s="4" t="s">
        <v>12</v>
      </c>
      <c r="C10" s="4"/>
      <c r="D10" s="8">
        <v>0.453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ht="18.0" customHeight="1">
      <c r="A11" s="1"/>
      <c r="B11" s="4" t="s">
        <v>13</v>
      </c>
      <c r="C11" s="4"/>
      <c r="D11" s="7">
        <f>D10*D9</f>
        <v>312570</v>
      </c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ht="15.0" customHeight="1">
      <c r="A12" s="1"/>
      <c r="B12" s="4"/>
      <c r="C12" s="4"/>
      <c r="D12" s="4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ht="18.0" customHeight="1">
      <c r="A13" s="1"/>
      <c r="B13" s="23" t="s">
        <v>15</v>
      </c>
      <c r="C13" s="25"/>
      <c r="D13" s="26"/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18.0" customHeight="1">
      <c r="A14" s="1"/>
      <c r="B14" s="5" t="s">
        <v>17</v>
      </c>
      <c r="C14" s="6"/>
      <c r="D14" s="27" t="s">
        <v>18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18.0" customHeight="1">
      <c r="A15" s="1"/>
      <c r="B15" s="4" t="s">
        <v>19</v>
      </c>
      <c r="C15" s="4"/>
      <c r="D15" s="32">
        <f>1.2*12</f>
        <v>14.4</v>
      </c>
      <c r="E15" s="4" t="s">
        <v>21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18.0" customHeight="1">
      <c r="A16" s="1"/>
      <c r="B16" s="4" t="s">
        <v>27</v>
      </c>
      <c r="C16" s="4"/>
      <c r="D16" s="32">
        <v>5.04</v>
      </c>
      <c r="E16" s="4" t="s">
        <v>21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15.0" customHeight="1">
      <c r="A17" s="1"/>
      <c r="B17" s="6" t="s">
        <v>36</v>
      </c>
      <c r="C17" s="6"/>
      <c r="D17" s="36">
        <v>2.52</v>
      </c>
      <c r="E17" s="6" t="s">
        <v>21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8.0" customHeight="1">
      <c r="A18" s="1"/>
      <c r="B18" s="39" t="s">
        <v>39</v>
      </c>
      <c r="C18" s="4"/>
      <c r="D18" s="42">
        <f>SUM(D15:D17)</f>
        <v>21.96</v>
      </c>
      <c r="E18" s="39" t="s">
        <v>21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8.0" customHeight="1">
      <c r="A19" s="1"/>
      <c r="B19" s="4"/>
      <c r="C19" s="4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8.0" customHeight="1">
      <c r="A20" s="1"/>
      <c r="B20" s="23" t="s">
        <v>42</v>
      </c>
      <c r="C20" s="26"/>
      <c r="D20" s="4"/>
      <c r="E20" s="4"/>
      <c r="F20" s="1"/>
      <c r="G20" s="1"/>
      <c r="H20" s="1"/>
      <c r="I20" s="1"/>
      <c r="J20" s="1"/>
      <c r="K20" s="23" t="s">
        <v>42</v>
      </c>
      <c r="L20" s="26"/>
      <c r="M20" s="4"/>
      <c r="N20" s="4"/>
      <c r="O20" s="1"/>
      <c r="P20" s="1"/>
      <c r="Q20" s="1"/>
      <c r="R20" s="1"/>
    </row>
    <row r="21" ht="18.0" customHeight="1">
      <c r="A21" s="1"/>
      <c r="B21" s="5" t="s">
        <v>17</v>
      </c>
      <c r="C21" s="6"/>
      <c r="D21" s="27" t="s">
        <v>18</v>
      </c>
      <c r="E21" s="6"/>
      <c r="F21" s="27" t="s">
        <v>43</v>
      </c>
      <c r="G21" s="6"/>
      <c r="H21" s="27" t="s">
        <v>44</v>
      </c>
      <c r="I21" s="6"/>
      <c r="J21" s="1"/>
      <c r="K21" s="5" t="s">
        <v>17</v>
      </c>
      <c r="L21" s="6"/>
      <c r="M21" s="27" t="s">
        <v>18</v>
      </c>
      <c r="N21" s="6"/>
      <c r="O21" s="27" t="s">
        <v>43</v>
      </c>
      <c r="P21" s="6"/>
      <c r="Q21" s="27" t="s">
        <v>44</v>
      </c>
      <c r="R21" s="6"/>
    </row>
    <row r="22" ht="18.0" customHeight="1">
      <c r="A22" s="1"/>
      <c r="B22" s="4" t="s">
        <v>19</v>
      </c>
      <c r="C22" s="4"/>
      <c r="D22" s="7">
        <f t="shared" ref="D22:D24" si="1">D15*$D$11</f>
        <v>4501008</v>
      </c>
      <c r="E22" s="4" t="s">
        <v>21</v>
      </c>
      <c r="F22" s="7">
        <f>SUM(Produccion!E22:E24)</f>
        <v>190000</v>
      </c>
      <c r="G22" s="4" t="s">
        <v>21</v>
      </c>
      <c r="H22" s="32">
        <f t="shared" ref="H22:H25" si="2">F22/D22*100</f>
        <v>4.221276656</v>
      </c>
      <c r="I22" s="4" t="s">
        <v>46</v>
      </c>
      <c r="J22" s="1"/>
      <c r="K22" s="4" t="s">
        <v>19</v>
      </c>
      <c r="L22" s="4"/>
      <c r="M22" s="7">
        <f t="shared" ref="M22:M24" si="3">D22/1000</f>
        <v>4501.008</v>
      </c>
      <c r="N22" s="4" t="s">
        <v>47</v>
      </c>
      <c r="O22" s="7">
        <f t="shared" ref="O22:O24" si="4">F22/1000</f>
        <v>190</v>
      </c>
      <c r="P22" s="4" t="s">
        <v>47</v>
      </c>
      <c r="Q22" s="32">
        <f t="shared" ref="Q22:Q25" si="5">O22/M22*100</f>
        <v>4.221276656</v>
      </c>
      <c r="R22" s="4" t="s">
        <v>46</v>
      </c>
    </row>
    <row r="23" ht="18.0" customHeight="1">
      <c r="A23" s="1"/>
      <c r="B23" s="4" t="s">
        <v>27</v>
      </c>
      <c r="C23" s="4"/>
      <c r="D23" s="7">
        <f t="shared" si="1"/>
        <v>1575352.8</v>
      </c>
      <c r="E23" s="4" t="s">
        <v>21</v>
      </c>
      <c r="F23" s="7">
        <f>SUM(Produccion!E18)</f>
        <v>7800</v>
      </c>
      <c r="G23" s="4" t="s">
        <v>21</v>
      </c>
      <c r="H23" s="32">
        <f t="shared" si="2"/>
        <v>0.4951271867</v>
      </c>
      <c r="I23" s="4" t="s">
        <v>46</v>
      </c>
      <c r="J23" s="1"/>
      <c r="K23" s="4" t="s">
        <v>27</v>
      </c>
      <c r="L23" s="4"/>
      <c r="M23" s="7">
        <f t="shared" si="3"/>
        <v>1575.3528</v>
      </c>
      <c r="N23" s="4" t="s">
        <v>47</v>
      </c>
      <c r="O23" s="7">
        <f t="shared" si="4"/>
        <v>7.8</v>
      </c>
      <c r="P23" s="4" t="s">
        <v>47</v>
      </c>
      <c r="Q23" s="32">
        <f t="shared" si="5"/>
        <v>0.4951271867</v>
      </c>
      <c r="R23" s="4" t="s">
        <v>46</v>
      </c>
    </row>
    <row r="24" ht="18.0" customHeight="1">
      <c r="A24" s="1"/>
      <c r="B24" s="6" t="s">
        <v>36</v>
      </c>
      <c r="C24" s="6"/>
      <c r="D24" s="53">
        <f t="shared" si="1"/>
        <v>787676.4</v>
      </c>
      <c r="E24" s="6" t="s">
        <v>21</v>
      </c>
      <c r="F24" s="53">
        <f>Produccion!E14+Produccion!E15+Produccion!E17+Produccion!E20</f>
        <v>137300</v>
      </c>
      <c r="G24" s="6" t="s">
        <v>21</v>
      </c>
      <c r="H24" s="36">
        <f t="shared" si="2"/>
        <v>17.43101609</v>
      </c>
      <c r="I24" s="6" t="s">
        <v>46</v>
      </c>
      <c r="J24" s="1"/>
      <c r="K24" s="6" t="s">
        <v>36</v>
      </c>
      <c r="L24" s="6"/>
      <c r="M24" s="53">
        <f t="shared" si="3"/>
        <v>787.6764</v>
      </c>
      <c r="N24" s="6" t="s">
        <v>47</v>
      </c>
      <c r="O24" s="53">
        <f t="shared" si="4"/>
        <v>137.3</v>
      </c>
      <c r="P24" s="6" t="s">
        <v>47</v>
      </c>
      <c r="Q24" s="36">
        <f t="shared" si="5"/>
        <v>17.43101609</v>
      </c>
      <c r="R24" s="6" t="s">
        <v>46</v>
      </c>
    </row>
    <row r="25" ht="18.0" customHeight="1">
      <c r="A25" s="1"/>
      <c r="B25" s="39" t="s">
        <v>39</v>
      </c>
      <c r="C25" s="4"/>
      <c r="D25" s="56">
        <f>SUM(D22:D24)</f>
        <v>6864037.2</v>
      </c>
      <c r="E25" s="39" t="s">
        <v>21</v>
      </c>
      <c r="F25" s="56">
        <f>SUM(F22:F24)</f>
        <v>335100</v>
      </c>
      <c r="G25" s="39" t="s">
        <v>21</v>
      </c>
      <c r="H25" s="42">
        <f t="shared" si="2"/>
        <v>4.881966549</v>
      </c>
      <c r="I25" s="39" t="s">
        <v>46</v>
      </c>
      <c r="J25" s="1"/>
      <c r="K25" s="39" t="s">
        <v>39</v>
      </c>
      <c r="L25" s="4"/>
      <c r="M25" s="56">
        <f>SUM(M22:M24)</f>
        <v>6864.0372</v>
      </c>
      <c r="N25" s="39" t="s">
        <v>47</v>
      </c>
      <c r="O25" s="56">
        <f>SUM(O22:O24)</f>
        <v>335.1</v>
      </c>
      <c r="P25" s="39" t="s">
        <v>47</v>
      </c>
      <c r="Q25" s="42">
        <f t="shared" si="5"/>
        <v>4.881966549</v>
      </c>
      <c r="R25" s="39" t="s">
        <v>46</v>
      </c>
    </row>
    <row r="26" ht="18.0" customHeight="1">
      <c r="A26" s="1"/>
      <c r="B26" s="62"/>
      <c r="C26" s="62"/>
      <c r="D26" s="62"/>
      <c r="E26" s="6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18.0" customHeight="1">
      <c r="A27" s="1"/>
      <c r="B27" s="62"/>
      <c r="C27" s="62"/>
      <c r="D27" s="62"/>
      <c r="E27" s="6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8.0" customHeight="1">
      <c r="A28" s="1"/>
      <c r="B28" s="64" t="s">
        <v>61</v>
      </c>
      <c r="C28" s="62"/>
      <c r="D28" s="56">
        <v>1462828.92</v>
      </c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8.0" customHeight="1">
      <c r="A29" s="1"/>
      <c r="B29" s="64" t="s">
        <v>65</v>
      </c>
      <c r="C29" s="62"/>
      <c r="D29" s="68">
        <f>D28/D25</f>
        <v>0.2131149464</v>
      </c>
      <c r="E29" s="6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8.0" customHeight="1">
      <c r="A31" s="1"/>
      <c r="B31" s="64" t="s">
        <v>66</v>
      </c>
      <c r="C31" s="62"/>
      <c r="D31" s="56">
        <f>Produccion!E25</f>
        <v>403000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8.0" customHeight="1">
      <c r="A32" s="1"/>
      <c r="B32" s="64" t="s">
        <v>67</v>
      </c>
      <c r="C32" s="62"/>
      <c r="D32" s="68">
        <f>D31/D25</f>
        <v>0.05871180302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3:D13"/>
    <mergeCell ref="B20:C20"/>
    <mergeCell ref="K20:L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5.71"/>
    <col customWidth="1" min="3" max="3" width="34.43"/>
    <col customWidth="1" min="4" max="16" width="15.29"/>
    <col customWidth="1" min="17" max="17" width="19.86"/>
  </cols>
  <sheetData>
    <row r="1" ht="18.0" customHeight="1">
      <c r="A1" s="90"/>
      <c r="B1" s="90"/>
      <c r="C1" s="90"/>
      <c r="D1" s="90"/>
      <c r="E1" s="90"/>
      <c r="F1" s="90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 ht="18.0" customHeight="1">
      <c r="A2" s="93"/>
      <c r="B2" s="94" t="s">
        <v>91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ht="18.0" customHeight="1">
      <c r="A3" s="93"/>
      <c r="B3" s="97"/>
      <c r="C3" s="97"/>
      <c r="D3" s="97"/>
      <c r="E3" s="97"/>
      <c r="F3" s="97"/>
      <c r="G3" s="97"/>
      <c r="H3" s="94" t="s">
        <v>93</v>
      </c>
      <c r="I3" s="95"/>
      <c r="J3" s="95"/>
      <c r="K3" s="96"/>
      <c r="L3" s="94" t="s">
        <v>95</v>
      </c>
      <c r="M3" s="95"/>
      <c r="N3" s="95"/>
      <c r="O3" s="96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ht="18.0" customHeight="1">
      <c r="A4" s="93"/>
      <c r="B4" s="97" t="s">
        <v>97</v>
      </c>
      <c r="C4" s="97" t="s">
        <v>17</v>
      </c>
      <c r="D4" s="97"/>
      <c r="E4" s="97" t="s">
        <v>98</v>
      </c>
      <c r="F4" s="97" t="s">
        <v>99</v>
      </c>
      <c r="G4" s="97" t="s">
        <v>100</v>
      </c>
      <c r="H4" s="97" t="s">
        <v>101</v>
      </c>
      <c r="I4" s="97" t="s">
        <v>102</v>
      </c>
      <c r="J4" s="97" t="s">
        <v>103</v>
      </c>
      <c r="K4" s="97" t="s">
        <v>104</v>
      </c>
      <c r="L4" s="97" t="s">
        <v>101</v>
      </c>
      <c r="M4" s="97" t="s">
        <v>102</v>
      </c>
      <c r="N4" s="97" t="s">
        <v>103</v>
      </c>
      <c r="O4" s="97" t="s">
        <v>104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ht="18.0" customHeight="1">
      <c r="A5" s="93"/>
      <c r="B5" s="102" t="s">
        <v>25</v>
      </c>
      <c r="C5" s="103" t="s">
        <v>107</v>
      </c>
      <c r="D5" s="102"/>
      <c r="E5" s="102">
        <v>150.0</v>
      </c>
      <c r="F5" s="104" t="s">
        <v>108</v>
      </c>
      <c r="G5" s="105">
        <v>1499.0</v>
      </c>
      <c r="H5" s="106">
        <v>8127.0</v>
      </c>
      <c r="I5" s="106">
        <v>1220.0</v>
      </c>
      <c r="J5" s="106">
        <v>2067.0</v>
      </c>
      <c r="K5" s="107">
        <v>4.42</v>
      </c>
      <c r="L5" s="106">
        <v>9346.0</v>
      </c>
      <c r="M5" s="106">
        <v>1410.0</v>
      </c>
      <c r="N5" s="106">
        <v>2764.0</v>
      </c>
      <c r="O5" s="107">
        <v>5.23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</row>
    <row r="6" ht="18.0" customHeight="1">
      <c r="A6" s="93"/>
      <c r="B6" s="102" t="s">
        <v>29</v>
      </c>
      <c r="C6" s="103" t="s">
        <v>110</v>
      </c>
      <c r="D6" s="102"/>
      <c r="E6" s="102">
        <v>150.0</v>
      </c>
      <c r="F6" s="104" t="s">
        <v>108</v>
      </c>
      <c r="G6" s="108">
        <v>975.0</v>
      </c>
      <c r="H6" s="106">
        <v>7989.0</v>
      </c>
      <c r="I6" s="106">
        <v>1200.0</v>
      </c>
      <c r="J6" s="106">
        <v>2033.0</v>
      </c>
      <c r="K6" s="109">
        <v>7.19</v>
      </c>
      <c r="L6" s="106">
        <v>9187.0</v>
      </c>
      <c r="M6" s="106">
        <v>1380.0</v>
      </c>
      <c r="N6" s="106">
        <v>2705.0</v>
      </c>
      <c r="O6" s="109">
        <v>8.42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</row>
    <row r="7" ht="18.0" customHeight="1">
      <c r="A7" s="93"/>
      <c r="B7" s="102" t="s">
        <v>31</v>
      </c>
      <c r="C7" s="103" t="s">
        <v>112</v>
      </c>
      <c r="D7" s="102"/>
      <c r="E7" s="102">
        <v>150.0</v>
      </c>
      <c r="F7" s="104" t="s">
        <v>108</v>
      </c>
      <c r="G7" s="105">
        <v>1959.0</v>
      </c>
      <c r="H7" s="106">
        <v>7989.0</v>
      </c>
      <c r="I7" s="106">
        <v>1200.0</v>
      </c>
      <c r="J7" s="106">
        <v>2033.0</v>
      </c>
      <c r="K7" s="111">
        <v>3.08</v>
      </c>
      <c r="L7" s="106">
        <v>9187.0</v>
      </c>
      <c r="M7" s="106">
        <v>1380.0</v>
      </c>
      <c r="N7" s="106">
        <v>2705.0</v>
      </c>
      <c r="O7" s="111">
        <v>3.69</v>
      </c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</row>
    <row r="8" ht="18.0" customHeight="1">
      <c r="A8" s="93"/>
      <c r="B8" s="102" t="s">
        <v>35</v>
      </c>
      <c r="C8" s="103" t="s">
        <v>118</v>
      </c>
      <c r="D8" s="102"/>
      <c r="E8" s="102">
        <v>180.0</v>
      </c>
      <c r="F8" s="104" t="s">
        <v>119</v>
      </c>
      <c r="G8" s="105">
        <v>3799.0</v>
      </c>
      <c r="H8" s="106">
        <v>11296.0</v>
      </c>
      <c r="I8" s="106">
        <v>2040.0</v>
      </c>
      <c r="J8" s="106">
        <v>3456.0</v>
      </c>
      <c r="K8" s="114">
        <v>1.97</v>
      </c>
      <c r="L8" s="106">
        <v>12990.0</v>
      </c>
      <c r="M8" s="106">
        <v>2340.0</v>
      </c>
      <c r="N8" s="106">
        <v>4587.0</v>
      </c>
      <c r="O8" s="114">
        <v>2.42</v>
      </c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</row>
    <row r="9" ht="18.0" customHeight="1">
      <c r="A9" s="93"/>
      <c r="B9" s="102" t="s">
        <v>24</v>
      </c>
      <c r="C9" s="103" t="s">
        <v>125</v>
      </c>
      <c r="D9" s="102"/>
      <c r="E9" s="102">
        <v>150.0</v>
      </c>
      <c r="F9" s="104" t="s">
        <v>119</v>
      </c>
      <c r="G9" s="105">
        <v>1723.0</v>
      </c>
      <c r="H9" s="106">
        <v>9102.0</v>
      </c>
      <c r="I9" s="106">
        <v>1370.0</v>
      </c>
      <c r="J9" s="106">
        <v>2321.0</v>
      </c>
      <c r="K9" s="115">
        <v>4.28</v>
      </c>
      <c r="L9" s="106">
        <v>10467.0</v>
      </c>
      <c r="M9" s="106">
        <v>1580.0</v>
      </c>
      <c r="N9" s="106">
        <v>3097.0</v>
      </c>
      <c r="O9" s="115">
        <v>5.08</v>
      </c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</row>
    <row r="10" ht="18.0" customHeight="1">
      <c r="A10" s="93"/>
      <c r="B10" s="102" t="s">
        <v>30</v>
      </c>
      <c r="C10" s="103" t="s">
        <v>127</v>
      </c>
      <c r="D10" s="102"/>
      <c r="E10" s="102">
        <v>150.0</v>
      </c>
      <c r="F10" s="104" t="s">
        <v>119</v>
      </c>
      <c r="G10" s="105">
        <v>2253.0</v>
      </c>
      <c r="H10" s="106">
        <v>8948.0</v>
      </c>
      <c r="I10" s="106">
        <v>1350.0</v>
      </c>
      <c r="J10" s="106">
        <v>2287.0</v>
      </c>
      <c r="K10" s="116">
        <v>2.97</v>
      </c>
      <c r="L10" s="106">
        <v>10290.0</v>
      </c>
      <c r="M10" s="106">
        <v>1550.0</v>
      </c>
      <c r="N10" s="106">
        <v>3038.0</v>
      </c>
      <c r="O10" s="116">
        <v>3.57</v>
      </c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</row>
    <row r="11" ht="18.0" customHeight="1">
      <c r="A11" s="93"/>
      <c r="B11" s="102" t="s">
        <v>28</v>
      </c>
      <c r="C11" s="103" t="s">
        <v>130</v>
      </c>
      <c r="D11" s="102"/>
      <c r="E11" s="102">
        <v>150.0</v>
      </c>
      <c r="F11" s="104" t="s">
        <v>119</v>
      </c>
      <c r="G11" s="108">
        <v>975.0</v>
      </c>
      <c r="H11" s="106">
        <v>7989.0</v>
      </c>
      <c r="I11" s="106">
        <v>1200.0</v>
      </c>
      <c r="J11" s="106">
        <v>2033.0</v>
      </c>
      <c r="K11" s="109">
        <v>7.19</v>
      </c>
      <c r="L11" s="106">
        <v>9187.0</v>
      </c>
      <c r="M11" s="106">
        <v>1380.0</v>
      </c>
      <c r="N11" s="106">
        <v>2705.0</v>
      </c>
      <c r="O11" s="109">
        <v>8.42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</row>
    <row r="12" ht="18.0" customHeight="1">
      <c r="A12" s="93"/>
      <c r="B12" s="102" t="s">
        <v>23</v>
      </c>
      <c r="C12" s="103" t="s">
        <v>138</v>
      </c>
      <c r="D12" s="102"/>
      <c r="E12" s="102">
        <v>150.0</v>
      </c>
      <c r="F12" s="104" t="s">
        <v>139</v>
      </c>
      <c r="G12" s="105">
        <v>1776.0</v>
      </c>
      <c r="H12" s="106">
        <v>9590.0</v>
      </c>
      <c r="I12" s="106">
        <v>1440.0</v>
      </c>
      <c r="J12" s="106">
        <v>2439.0</v>
      </c>
      <c r="K12" s="120">
        <v>4.4</v>
      </c>
      <c r="L12" s="106">
        <v>11028.0</v>
      </c>
      <c r="M12" s="106">
        <v>1660.0</v>
      </c>
      <c r="N12" s="106">
        <v>3254.0</v>
      </c>
      <c r="O12" s="120">
        <v>5.21</v>
      </c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</row>
    <row r="13" ht="18.0" customHeight="1">
      <c r="A13" s="93"/>
      <c r="B13" s="102" t="s">
        <v>26</v>
      </c>
      <c r="C13" s="103" t="s">
        <v>140</v>
      </c>
      <c r="D13" s="102"/>
      <c r="E13" s="102">
        <v>150.0</v>
      </c>
      <c r="F13" s="104" t="s">
        <v>139</v>
      </c>
      <c r="G13" s="105">
        <v>2405.0</v>
      </c>
      <c r="H13" s="106">
        <v>7935.0</v>
      </c>
      <c r="I13" s="106">
        <v>1200.0</v>
      </c>
      <c r="J13" s="106">
        <v>2033.0</v>
      </c>
      <c r="K13" s="121">
        <v>2.3</v>
      </c>
      <c r="L13" s="106">
        <v>9125.0</v>
      </c>
      <c r="M13" s="106">
        <v>1370.0</v>
      </c>
      <c r="N13" s="106">
        <v>2685.0</v>
      </c>
      <c r="O13" s="121">
        <v>2.79</v>
      </c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</row>
    <row r="14" ht="18.0" customHeight="1">
      <c r="A14" s="93"/>
      <c r="B14" s="102" t="s">
        <v>33</v>
      </c>
      <c r="C14" s="103" t="s">
        <v>142</v>
      </c>
      <c r="D14" s="102"/>
      <c r="E14" s="102">
        <v>400.0</v>
      </c>
      <c r="F14" s="104" t="s">
        <v>19</v>
      </c>
      <c r="G14" s="105">
        <v>3034.0</v>
      </c>
      <c r="H14" s="106">
        <v>9000.0</v>
      </c>
      <c r="I14" s="106">
        <v>3600.0</v>
      </c>
      <c r="J14" s="106">
        <v>6098.0</v>
      </c>
      <c r="K14" s="114">
        <v>1.97</v>
      </c>
      <c r="L14" s="106">
        <v>10350.0</v>
      </c>
      <c r="M14" s="106">
        <v>4140.0</v>
      </c>
      <c r="N14" s="106">
        <v>8115.0</v>
      </c>
      <c r="O14" s="114">
        <v>2.41</v>
      </c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</row>
    <row r="15" ht="18.0" customHeight="1">
      <c r="A15" s="93"/>
      <c r="B15" s="102" t="s">
        <v>34</v>
      </c>
      <c r="C15" s="103" t="s">
        <v>145</v>
      </c>
      <c r="D15" s="102"/>
      <c r="E15" s="102">
        <v>180.0</v>
      </c>
      <c r="F15" s="104" t="s">
        <v>19</v>
      </c>
      <c r="G15" s="105">
        <v>3799.0</v>
      </c>
      <c r="H15" s="106">
        <v>11296.0</v>
      </c>
      <c r="I15" s="106">
        <v>2040.0</v>
      </c>
      <c r="J15" s="106">
        <v>3456.0</v>
      </c>
      <c r="K15" s="114">
        <v>1.97</v>
      </c>
      <c r="L15" s="106">
        <v>12990.0</v>
      </c>
      <c r="M15" s="106">
        <v>2340.0</v>
      </c>
      <c r="N15" s="106">
        <v>4587.0</v>
      </c>
      <c r="O15" s="114">
        <v>2.42</v>
      </c>
      <c r="P15" s="91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 ht="18.0" customHeight="1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 ht="18.0" customHeight="1">
      <c r="A17" s="90"/>
      <c r="B17" s="90"/>
      <c r="C17" s="90"/>
      <c r="D17" s="90"/>
      <c r="E17" s="90" t="s">
        <v>152</v>
      </c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 ht="18.0" customHeight="1">
      <c r="A18" s="90"/>
      <c r="B18" s="97" t="s">
        <v>97</v>
      </c>
      <c r="C18" s="136" t="s">
        <v>17</v>
      </c>
      <c r="D18" s="136" t="s">
        <v>57</v>
      </c>
      <c r="E18" s="136" t="s">
        <v>154</v>
      </c>
      <c r="F18" s="136" t="s">
        <v>155</v>
      </c>
      <c r="G18" s="136" t="s">
        <v>156</v>
      </c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</row>
    <row r="19" ht="18.0" customHeight="1">
      <c r="A19" s="90"/>
      <c r="B19" s="140" t="s">
        <v>23</v>
      </c>
      <c r="C19" s="104" t="s">
        <v>160</v>
      </c>
      <c r="D19" s="108">
        <v>150.0</v>
      </c>
      <c r="E19" s="105">
        <f>ROUNDUP(Produccion!E14*1000/D19,0)</f>
        <v>400000</v>
      </c>
      <c r="F19" s="105">
        <f t="shared" ref="F19:F29" si="1">VLOOKUP(B19,$B$4:$I$15,8,0)</f>
        <v>1440</v>
      </c>
      <c r="G19" s="105">
        <f t="shared" ref="G19:G29" si="2">VLOOKUP(B19,$B$4:$M$15,12,0)</f>
        <v>1660</v>
      </c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</row>
    <row r="20" ht="18.0" customHeight="1">
      <c r="A20" s="90"/>
      <c r="B20" s="140" t="s">
        <v>24</v>
      </c>
      <c r="C20" s="104" t="s">
        <v>162</v>
      </c>
      <c r="D20" s="108">
        <v>150.0</v>
      </c>
      <c r="E20" s="105">
        <f>ROUNDUP(Produccion!E15*1000/D20,0)</f>
        <v>52000</v>
      </c>
      <c r="F20" s="105">
        <f t="shared" si="1"/>
        <v>1370</v>
      </c>
      <c r="G20" s="105">
        <f t="shared" si="2"/>
        <v>1580</v>
      </c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</row>
    <row r="21" ht="18.0" customHeight="1">
      <c r="A21" s="90"/>
      <c r="B21" s="140" t="s">
        <v>25</v>
      </c>
      <c r="C21" s="104" t="s">
        <v>166</v>
      </c>
      <c r="D21" s="108">
        <v>150.0</v>
      </c>
      <c r="E21" s="105">
        <f>ROUNDUP(Produccion!E16*1000/D21,0)</f>
        <v>121334</v>
      </c>
      <c r="F21" s="105">
        <f t="shared" si="1"/>
        <v>1220</v>
      </c>
      <c r="G21" s="105">
        <f t="shared" si="2"/>
        <v>1410</v>
      </c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</row>
    <row r="22" ht="18.0" customHeight="1">
      <c r="A22" s="90"/>
      <c r="B22" s="140" t="s">
        <v>26</v>
      </c>
      <c r="C22" s="104" t="s">
        <v>167</v>
      </c>
      <c r="D22" s="108">
        <v>150.0</v>
      </c>
      <c r="E22" s="105">
        <f>ROUNDUP(Produccion!E17*1000/D22,0)</f>
        <v>373334</v>
      </c>
      <c r="F22" s="105">
        <f t="shared" si="1"/>
        <v>1200</v>
      </c>
      <c r="G22" s="105">
        <f t="shared" si="2"/>
        <v>1370</v>
      </c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</row>
    <row r="23" ht="18.0" customHeight="1">
      <c r="A23" s="90"/>
      <c r="B23" s="140" t="s">
        <v>28</v>
      </c>
      <c r="C23" s="104" t="s">
        <v>169</v>
      </c>
      <c r="D23" s="108">
        <v>150.0</v>
      </c>
      <c r="E23" s="105">
        <f>ROUNDUP(Produccion!E18*1000/D23,0)</f>
        <v>52000</v>
      </c>
      <c r="F23" s="105">
        <f t="shared" si="1"/>
        <v>1200</v>
      </c>
      <c r="G23" s="105">
        <f t="shared" si="2"/>
        <v>1380</v>
      </c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</row>
    <row r="24" ht="18.0" customHeight="1">
      <c r="A24" s="90"/>
      <c r="B24" s="140" t="s">
        <v>29</v>
      </c>
      <c r="C24" s="104" t="s">
        <v>170</v>
      </c>
      <c r="D24" s="108">
        <v>150.0</v>
      </c>
      <c r="E24" s="105">
        <f>ROUNDUP(Produccion!E19*1000/D24,0)</f>
        <v>121334</v>
      </c>
      <c r="F24" s="105">
        <f t="shared" si="1"/>
        <v>1200</v>
      </c>
      <c r="G24" s="105">
        <f t="shared" si="2"/>
        <v>1380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</row>
    <row r="25" ht="18.0" customHeight="1">
      <c r="A25" s="90"/>
      <c r="B25" s="140" t="s">
        <v>30</v>
      </c>
      <c r="C25" s="104" t="s">
        <v>172</v>
      </c>
      <c r="D25" s="108">
        <v>150.0</v>
      </c>
      <c r="E25" s="105">
        <f>ROUNDUP(Produccion!E20*1000/D25,0)</f>
        <v>90000</v>
      </c>
      <c r="F25" s="105">
        <f t="shared" si="1"/>
        <v>1350</v>
      </c>
      <c r="G25" s="105">
        <f t="shared" si="2"/>
        <v>1550</v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</row>
    <row r="26" ht="18.0" customHeight="1">
      <c r="A26" s="90"/>
      <c r="B26" s="140" t="s">
        <v>31</v>
      </c>
      <c r="C26" s="104" t="s">
        <v>175</v>
      </c>
      <c r="D26" s="108">
        <v>150.0</v>
      </c>
      <c r="E26" s="105">
        <f>ROUNDUP(Produccion!E21*1000/D26,0)</f>
        <v>210000</v>
      </c>
      <c r="F26" s="105">
        <f t="shared" si="1"/>
        <v>1200</v>
      </c>
      <c r="G26" s="105">
        <f t="shared" si="2"/>
        <v>1380</v>
      </c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</row>
    <row r="27" ht="18.0" customHeight="1">
      <c r="A27" s="90"/>
      <c r="B27" s="140" t="s">
        <v>33</v>
      </c>
      <c r="C27" s="104" t="s">
        <v>176</v>
      </c>
      <c r="D27" s="108">
        <v>400.0</v>
      </c>
      <c r="E27" s="105">
        <f>ROUNDUP(Produccion!E22*1000/D27,0)</f>
        <v>175000</v>
      </c>
      <c r="F27" s="105">
        <f t="shared" si="1"/>
        <v>3600</v>
      </c>
      <c r="G27" s="105">
        <f t="shared" si="2"/>
        <v>4140</v>
      </c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</row>
    <row r="28" ht="18.0" customHeight="1">
      <c r="A28" s="90"/>
      <c r="B28" s="140" t="s">
        <v>34</v>
      </c>
      <c r="C28" s="104" t="s">
        <v>179</v>
      </c>
      <c r="D28" s="108">
        <v>180.0</v>
      </c>
      <c r="E28" s="105">
        <f>ROUNDUP(Produccion!E23*1000/D28,0)</f>
        <v>466667</v>
      </c>
      <c r="F28" s="105">
        <f t="shared" si="1"/>
        <v>2040</v>
      </c>
      <c r="G28" s="105">
        <f t="shared" si="2"/>
        <v>2340</v>
      </c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 ht="18.0" customHeight="1">
      <c r="A29" s="90"/>
      <c r="B29" s="140" t="s">
        <v>35</v>
      </c>
      <c r="C29" s="104" t="s">
        <v>182</v>
      </c>
      <c r="D29" s="108">
        <v>180.0</v>
      </c>
      <c r="E29" s="105">
        <f>ROUNDUP(Produccion!E24*1000/D29,0)</f>
        <v>200000</v>
      </c>
      <c r="F29" s="105">
        <f t="shared" si="1"/>
        <v>2040</v>
      </c>
      <c r="G29" s="105">
        <f t="shared" si="2"/>
        <v>2340</v>
      </c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 ht="18.0" customHeight="1">
      <c r="A30" s="90"/>
      <c r="B30" s="149"/>
      <c r="C30" s="150" t="s">
        <v>185</v>
      </c>
      <c r="D30" s="149"/>
      <c r="E30" s="149">
        <f t="shared" ref="E30:G30" si="3">SUM(E19:E29)</f>
        <v>2261669</v>
      </c>
      <c r="F30" s="149">
        <f t="shared" si="3"/>
        <v>17860</v>
      </c>
      <c r="G30" s="149">
        <f t="shared" si="3"/>
        <v>20530</v>
      </c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 ht="18.0" customHeight="1">
      <c r="A31" s="90"/>
      <c r="B31" s="90"/>
      <c r="C31" s="90"/>
      <c r="D31" s="91"/>
      <c r="E31" s="91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 ht="18.0" customHeight="1">
      <c r="A32" s="90"/>
      <c r="B32" s="90"/>
      <c r="C32" s="90"/>
      <c r="D32" s="91"/>
      <c r="E32" s="91"/>
      <c r="F32" s="152" t="s">
        <v>189</v>
      </c>
      <c r="G32" s="152" t="s">
        <v>189</v>
      </c>
      <c r="H32" s="152" t="s">
        <v>189</v>
      </c>
      <c r="I32" s="152" t="s">
        <v>189</v>
      </c>
      <c r="J32" s="152" t="s">
        <v>189</v>
      </c>
      <c r="K32" s="152" t="s">
        <v>189</v>
      </c>
      <c r="L32" s="152" t="s">
        <v>189</v>
      </c>
      <c r="M32" s="152" t="s">
        <v>189</v>
      </c>
      <c r="N32" s="152" t="s">
        <v>189</v>
      </c>
      <c r="O32" s="152" t="s">
        <v>189</v>
      </c>
      <c r="P32" s="90"/>
      <c r="Q32" s="90"/>
      <c r="R32" s="152"/>
      <c r="S32" s="152" t="s">
        <v>190</v>
      </c>
      <c r="T32" s="152" t="s">
        <v>190</v>
      </c>
      <c r="U32" s="152" t="s">
        <v>190</v>
      </c>
      <c r="V32" s="152" t="s">
        <v>190</v>
      </c>
      <c r="W32" s="152" t="s">
        <v>190</v>
      </c>
      <c r="X32" s="152" t="s">
        <v>190</v>
      </c>
      <c r="Y32" s="152" t="s">
        <v>190</v>
      </c>
      <c r="Z32" s="152" t="s">
        <v>190</v>
      </c>
      <c r="AA32" s="152" t="s">
        <v>190</v>
      </c>
      <c r="AB32" s="152" t="s">
        <v>190</v>
      </c>
    </row>
    <row r="33" ht="18.0" customHeight="1">
      <c r="A33" s="90"/>
      <c r="B33" s="97" t="s">
        <v>97</v>
      </c>
      <c r="C33" s="136" t="s">
        <v>17</v>
      </c>
      <c r="D33" s="136" t="s">
        <v>57</v>
      </c>
      <c r="E33" s="136" t="s">
        <v>99</v>
      </c>
      <c r="F33" s="136" t="s">
        <v>191</v>
      </c>
      <c r="G33" s="136" t="s">
        <v>192</v>
      </c>
      <c r="H33" s="136" t="s">
        <v>193</v>
      </c>
      <c r="I33" s="136" t="s">
        <v>194</v>
      </c>
      <c r="J33" s="136" t="s">
        <v>195</v>
      </c>
      <c r="K33" s="136" t="s">
        <v>196</v>
      </c>
      <c r="L33" s="136" t="s">
        <v>198</v>
      </c>
      <c r="M33" s="136" t="s">
        <v>199</v>
      </c>
      <c r="N33" s="136" t="s">
        <v>200</v>
      </c>
      <c r="O33" s="136" t="s">
        <v>201</v>
      </c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 ht="18.0" customHeight="1">
      <c r="A34" s="90"/>
      <c r="B34" s="140" t="s">
        <v>23</v>
      </c>
      <c r="C34" s="104" t="s">
        <v>160</v>
      </c>
      <c r="D34" s="108">
        <v>150.0</v>
      </c>
      <c r="E34" s="105" t="s">
        <v>139</v>
      </c>
      <c r="F34" s="105">
        <f t="shared" ref="F34:F44" si="6">ROUNDUP((E19/4*0.5)+E19/4*3,0)/1000</f>
        <v>350</v>
      </c>
      <c r="G34" s="105">
        <f t="shared" ref="G34:G44" si="7">E19/1000</f>
        <v>400</v>
      </c>
      <c r="H34" s="105">
        <f t="shared" ref="H34:J34" si="4">G34*1.04*1.02</f>
        <v>424.32</v>
      </c>
      <c r="I34" s="105">
        <f t="shared" si="4"/>
        <v>450.118656</v>
      </c>
      <c r="J34" s="105">
        <f t="shared" si="4"/>
        <v>477.4858703</v>
      </c>
      <c r="K34" s="105">
        <f t="shared" ref="K34:O34" si="5">J34*1.04*1.03</f>
        <v>511.4828642</v>
      </c>
      <c r="L34" s="105">
        <f t="shared" si="5"/>
        <v>547.9004442</v>
      </c>
      <c r="M34" s="105">
        <f t="shared" si="5"/>
        <v>586.9109558</v>
      </c>
      <c r="N34" s="105">
        <f t="shared" si="5"/>
        <v>628.6990159</v>
      </c>
      <c r="O34" s="105">
        <f t="shared" si="5"/>
        <v>673.4623858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 ht="18.0" customHeight="1">
      <c r="A35" s="90"/>
      <c r="B35" s="140" t="s">
        <v>24</v>
      </c>
      <c r="C35" s="104" t="s">
        <v>162</v>
      </c>
      <c r="D35" s="108">
        <v>150.0</v>
      </c>
      <c r="E35" s="105" t="s">
        <v>119</v>
      </c>
      <c r="F35" s="105">
        <f t="shared" si="6"/>
        <v>45.5</v>
      </c>
      <c r="G35" s="105">
        <f t="shared" si="7"/>
        <v>52</v>
      </c>
      <c r="H35" s="105">
        <f t="shared" ref="H35:J35" si="8">G35*1.04*1.02</f>
        <v>55.1616</v>
      </c>
      <c r="I35" s="105">
        <f t="shared" si="8"/>
        <v>58.51542528</v>
      </c>
      <c r="J35" s="105">
        <f t="shared" si="8"/>
        <v>62.07316314</v>
      </c>
      <c r="K35" s="105">
        <f t="shared" ref="K35:O35" si="9">J35*1.04*1.03</f>
        <v>66.49277235</v>
      </c>
      <c r="L35" s="105">
        <f t="shared" si="9"/>
        <v>71.22705774</v>
      </c>
      <c r="M35" s="105">
        <f t="shared" si="9"/>
        <v>76.29842426</v>
      </c>
      <c r="N35" s="105">
        <f t="shared" si="9"/>
        <v>81.73087206</v>
      </c>
      <c r="O35" s="105">
        <f t="shared" si="9"/>
        <v>87.55011015</v>
      </c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 ht="18.0" customHeight="1">
      <c r="A36" s="90"/>
      <c r="B36" s="140" t="s">
        <v>25</v>
      </c>
      <c r="C36" s="104" t="s">
        <v>166</v>
      </c>
      <c r="D36" s="108">
        <v>150.0</v>
      </c>
      <c r="E36" s="105" t="s">
        <v>205</v>
      </c>
      <c r="F36" s="105">
        <f t="shared" si="6"/>
        <v>106.168</v>
      </c>
      <c r="G36" s="105">
        <f t="shared" si="7"/>
        <v>121.334</v>
      </c>
      <c r="H36" s="105">
        <f t="shared" ref="H36:J36" si="10">G36*1.04*1.02</f>
        <v>128.7111072</v>
      </c>
      <c r="I36" s="105">
        <f t="shared" si="10"/>
        <v>136.5367425</v>
      </c>
      <c r="J36" s="105">
        <f t="shared" si="10"/>
        <v>144.8381765</v>
      </c>
      <c r="K36" s="105">
        <f t="shared" ref="K36:O36" si="11">J36*1.04*1.03</f>
        <v>155.1506546</v>
      </c>
      <c r="L36" s="105">
        <f t="shared" si="11"/>
        <v>166.1973812</v>
      </c>
      <c r="M36" s="105">
        <f t="shared" si="11"/>
        <v>178.0306348</v>
      </c>
      <c r="N36" s="105">
        <f t="shared" si="11"/>
        <v>190.706416</v>
      </c>
      <c r="O36" s="105">
        <f t="shared" si="11"/>
        <v>204.2847128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 ht="18.0" customHeight="1">
      <c r="A37" s="90"/>
      <c r="B37" s="140" t="s">
        <v>26</v>
      </c>
      <c r="C37" s="104" t="s">
        <v>167</v>
      </c>
      <c r="D37" s="108">
        <v>150.0</v>
      </c>
      <c r="E37" s="105" t="s">
        <v>139</v>
      </c>
      <c r="F37" s="105">
        <f t="shared" si="6"/>
        <v>326.668</v>
      </c>
      <c r="G37" s="105">
        <f t="shared" si="7"/>
        <v>373.334</v>
      </c>
      <c r="H37" s="105">
        <f t="shared" ref="H37:J37" si="12">G37*1.04*1.02</f>
        <v>396.0327072</v>
      </c>
      <c r="I37" s="105">
        <f t="shared" si="12"/>
        <v>420.1114958</v>
      </c>
      <c r="J37" s="105">
        <f t="shared" si="12"/>
        <v>445.6542747</v>
      </c>
      <c r="K37" s="105">
        <f t="shared" ref="K37:O37" si="13">J37*1.04*1.03</f>
        <v>477.3848591</v>
      </c>
      <c r="L37" s="105">
        <f t="shared" si="13"/>
        <v>511.3746611</v>
      </c>
      <c r="M37" s="105">
        <f t="shared" si="13"/>
        <v>547.7845369</v>
      </c>
      <c r="N37" s="105">
        <f t="shared" si="13"/>
        <v>586.786796</v>
      </c>
      <c r="O37" s="105">
        <f t="shared" si="13"/>
        <v>628.5660158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 ht="18.0" customHeight="1">
      <c r="A38" s="90"/>
      <c r="B38" s="140" t="s">
        <v>28</v>
      </c>
      <c r="C38" s="104" t="s">
        <v>169</v>
      </c>
      <c r="D38" s="108">
        <v>150.0</v>
      </c>
      <c r="E38" s="105" t="s">
        <v>119</v>
      </c>
      <c r="F38" s="105">
        <f t="shared" si="6"/>
        <v>45.5</v>
      </c>
      <c r="G38" s="105">
        <f t="shared" si="7"/>
        <v>52</v>
      </c>
      <c r="H38" s="105">
        <f t="shared" ref="H38:J38" si="14">G38*1.04*1.02</f>
        <v>55.1616</v>
      </c>
      <c r="I38" s="105">
        <f t="shared" si="14"/>
        <v>58.51542528</v>
      </c>
      <c r="J38" s="105">
        <f t="shared" si="14"/>
        <v>62.07316314</v>
      </c>
      <c r="K38" s="105">
        <f t="shared" ref="K38:O38" si="15">J38*1.04*1.03</f>
        <v>66.49277235</v>
      </c>
      <c r="L38" s="105">
        <f t="shared" si="15"/>
        <v>71.22705774</v>
      </c>
      <c r="M38" s="105">
        <f t="shared" si="15"/>
        <v>76.29842426</v>
      </c>
      <c r="N38" s="105">
        <f t="shared" si="15"/>
        <v>81.73087206</v>
      </c>
      <c r="O38" s="105">
        <f t="shared" si="15"/>
        <v>87.55011015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 ht="18.0" customHeight="1">
      <c r="A39" s="90"/>
      <c r="B39" s="140" t="s">
        <v>29</v>
      </c>
      <c r="C39" s="104" t="s">
        <v>170</v>
      </c>
      <c r="D39" s="108">
        <v>150.0</v>
      </c>
      <c r="E39" s="105" t="s">
        <v>205</v>
      </c>
      <c r="F39" s="105">
        <f t="shared" si="6"/>
        <v>106.168</v>
      </c>
      <c r="G39" s="105">
        <f t="shared" si="7"/>
        <v>121.334</v>
      </c>
      <c r="H39" s="105">
        <f t="shared" ref="H39:J39" si="16">G39*1.04*1.02</f>
        <v>128.7111072</v>
      </c>
      <c r="I39" s="105">
        <f t="shared" si="16"/>
        <v>136.5367425</v>
      </c>
      <c r="J39" s="105">
        <f t="shared" si="16"/>
        <v>144.8381765</v>
      </c>
      <c r="K39" s="105">
        <f t="shared" ref="K39:O39" si="17">J39*1.04*1.03</f>
        <v>155.1506546</v>
      </c>
      <c r="L39" s="105">
        <f t="shared" si="17"/>
        <v>166.1973812</v>
      </c>
      <c r="M39" s="105">
        <f t="shared" si="17"/>
        <v>178.0306348</v>
      </c>
      <c r="N39" s="105">
        <f t="shared" si="17"/>
        <v>190.706416</v>
      </c>
      <c r="O39" s="105">
        <f t="shared" si="17"/>
        <v>204.2847128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 ht="18.0" customHeight="1">
      <c r="A40" s="90"/>
      <c r="B40" s="140" t="s">
        <v>30</v>
      </c>
      <c r="C40" s="104" t="s">
        <v>172</v>
      </c>
      <c r="D40" s="108">
        <v>150.0</v>
      </c>
      <c r="E40" s="105" t="s">
        <v>119</v>
      </c>
      <c r="F40" s="105">
        <f t="shared" si="6"/>
        <v>78.75</v>
      </c>
      <c r="G40" s="105">
        <f t="shared" si="7"/>
        <v>90</v>
      </c>
      <c r="H40" s="105">
        <f t="shared" ref="H40:J40" si="18">G40*1.04*1.02</f>
        <v>95.472</v>
      </c>
      <c r="I40" s="105">
        <f t="shared" si="18"/>
        <v>101.2766976</v>
      </c>
      <c r="J40" s="105">
        <f t="shared" si="18"/>
        <v>107.4343208</v>
      </c>
      <c r="K40" s="105">
        <f t="shared" ref="K40:O40" si="19">J40*1.04*1.03</f>
        <v>115.0836445</v>
      </c>
      <c r="L40" s="105">
        <f t="shared" si="19"/>
        <v>123.2775999</v>
      </c>
      <c r="M40" s="105">
        <f t="shared" si="19"/>
        <v>132.0549651</v>
      </c>
      <c r="N40" s="105">
        <f t="shared" si="19"/>
        <v>141.4572786</v>
      </c>
      <c r="O40" s="105">
        <f t="shared" si="19"/>
        <v>151.5290368</v>
      </c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 ht="18.0" customHeight="1">
      <c r="A41" s="90"/>
      <c r="B41" s="140" t="s">
        <v>31</v>
      </c>
      <c r="C41" s="104" t="s">
        <v>175</v>
      </c>
      <c r="D41" s="108">
        <v>150.0</v>
      </c>
      <c r="E41" s="105" t="s">
        <v>205</v>
      </c>
      <c r="F41" s="105">
        <f t="shared" si="6"/>
        <v>183.75</v>
      </c>
      <c r="G41" s="105">
        <f t="shared" si="7"/>
        <v>210</v>
      </c>
      <c r="H41" s="105">
        <f t="shared" ref="H41:J41" si="20">G41*1.04*1.02</f>
        <v>222.768</v>
      </c>
      <c r="I41" s="105">
        <f t="shared" si="20"/>
        <v>236.3122944</v>
      </c>
      <c r="J41" s="105">
        <f t="shared" si="20"/>
        <v>250.6800819</v>
      </c>
      <c r="K41" s="105">
        <f t="shared" ref="K41:O41" si="21">J41*1.04*1.03</f>
        <v>268.5285037</v>
      </c>
      <c r="L41" s="105">
        <f t="shared" si="21"/>
        <v>287.6477332</v>
      </c>
      <c r="M41" s="105">
        <f t="shared" si="21"/>
        <v>308.1282518</v>
      </c>
      <c r="N41" s="105">
        <f t="shared" si="21"/>
        <v>330.0669833</v>
      </c>
      <c r="O41" s="105">
        <f t="shared" si="21"/>
        <v>353.5677525</v>
      </c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 ht="18.0" customHeight="1">
      <c r="A42" s="90"/>
      <c r="B42" s="140" t="s">
        <v>33</v>
      </c>
      <c r="C42" s="104" t="s">
        <v>176</v>
      </c>
      <c r="D42" s="108">
        <v>400.0</v>
      </c>
      <c r="E42" s="105" t="s">
        <v>19</v>
      </c>
      <c r="F42" s="105">
        <f t="shared" si="6"/>
        <v>153.125</v>
      </c>
      <c r="G42" s="105">
        <f t="shared" si="7"/>
        <v>175</v>
      </c>
      <c r="H42" s="105">
        <f t="shared" ref="H42:J42" si="22">G42*1.04*1.02</f>
        <v>185.64</v>
      </c>
      <c r="I42" s="105">
        <f t="shared" si="22"/>
        <v>196.926912</v>
      </c>
      <c r="J42" s="105">
        <f t="shared" si="22"/>
        <v>208.9000682</v>
      </c>
      <c r="K42" s="105">
        <f t="shared" ref="K42:O42" si="23">J42*1.04*1.03</f>
        <v>223.7737531</v>
      </c>
      <c r="L42" s="105">
        <f t="shared" si="23"/>
        <v>239.7064443</v>
      </c>
      <c r="M42" s="105">
        <f t="shared" si="23"/>
        <v>256.7735432</v>
      </c>
      <c r="N42" s="105">
        <f t="shared" si="23"/>
        <v>275.0558194</v>
      </c>
      <c r="O42" s="105">
        <f t="shared" si="23"/>
        <v>294.6397938</v>
      </c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 ht="18.0" customHeight="1">
      <c r="A43" s="90"/>
      <c r="B43" s="140" t="s">
        <v>34</v>
      </c>
      <c r="C43" s="104" t="s">
        <v>179</v>
      </c>
      <c r="D43" s="108">
        <v>180.0</v>
      </c>
      <c r="E43" s="105" t="s">
        <v>19</v>
      </c>
      <c r="F43" s="105">
        <f t="shared" si="6"/>
        <v>408.334</v>
      </c>
      <c r="G43" s="105">
        <f t="shared" si="7"/>
        <v>466.667</v>
      </c>
      <c r="H43" s="105">
        <f t="shared" ref="H43:J43" si="24">G43*1.04*1.02</f>
        <v>495.0403536</v>
      </c>
      <c r="I43" s="105">
        <f t="shared" si="24"/>
        <v>525.1388071</v>
      </c>
      <c r="J43" s="105">
        <f t="shared" si="24"/>
        <v>557.0672466</v>
      </c>
      <c r="K43" s="105">
        <f t="shared" ref="K43:O43" si="25">J43*1.04*1.03</f>
        <v>596.7304345</v>
      </c>
      <c r="L43" s="105">
        <f t="shared" si="25"/>
        <v>639.2176415</v>
      </c>
      <c r="M43" s="105">
        <f t="shared" si="25"/>
        <v>684.7299375</v>
      </c>
      <c r="N43" s="105">
        <f t="shared" si="25"/>
        <v>733.4827091</v>
      </c>
      <c r="O43" s="105">
        <f t="shared" si="25"/>
        <v>785.706678</v>
      </c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 ht="18.0" customHeight="1">
      <c r="A44" s="90"/>
      <c r="B44" s="140" t="s">
        <v>35</v>
      </c>
      <c r="C44" s="104" t="s">
        <v>182</v>
      </c>
      <c r="D44" s="108">
        <v>180.0</v>
      </c>
      <c r="E44" s="105" t="s">
        <v>119</v>
      </c>
      <c r="F44" s="105">
        <f t="shared" si="6"/>
        <v>175</v>
      </c>
      <c r="G44" s="105">
        <f t="shared" si="7"/>
        <v>200</v>
      </c>
      <c r="H44" s="105">
        <f t="shared" ref="H44:J44" si="26">G44*1.04*1.02</f>
        <v>212.16</v>
      </c>
      <c r="I44" s="105">
        <f t="shared" si="26"/>
        <v>225.059328</v>
      </c>
      <c r="J44" s="105">
        <f t="shared" si="26"/>
        <v>238.7429351</v>
      </c>
      <c r="K44" s="105">
        <f t="shared" ref="K44:O44" si="27">J44*1.04*1.03</f>
        <v>255.7414321</v>
      </c>
      <c r="L44" s="105">
        <f t="shared" si="27"/>
        <v>273.9502221</v>
      </c>
      <c r="M44" s="105">
        <f t="shared" si="27"/>
        <v>293.4554779</v>
      </c>
      <c r="N44" s="105">
        <f t="shared" si="27"/>
        <v>314.3495079</v>
      </c>
      <c r="O44" s="105">
        <f t="shared" si="27"/>
        <v>336.7311929</v>
      </c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 ht="18.0" customHeight="1">
      <c r="A45" s="90"/>
      <c r="B45" s="149"/>
      <c r="C45" s="150" t="s">
        <v>185</v>
      </c>
      <c r="D45" s="149"/>
      <c r="E45" s="149"/>
      <c r="F45" s="149">
        <f t="shared" ref="F45:O45" si="28">SUM(F34:F44)</f>
        <v>1978.963</v>
      </c>
      <c r="G45" s="149">
        <f t="shared" si="28"/>
        <v>2261.669</v>
      </c>
      <c r="H45" s="149">
        <f t="shared" si="28"/>
        <v>2399.178475</v>
      </c>
      <c r="I45" s="149">
        <f t="shared" si="28"/>
        <v>2545.048526</v>
      </c>
      <c r="J45" s="149">
        <f t="shared" si="28"/>
        <v>2699.787477</v>
      </c>
      <c r="K45" s="149">
        <f t="shared" si="28"/>
        <v>2892.012345</v>
      </c>
      <c r="L45" s="149">
        <f t="shared" si="28"/>
        <v>3097.923624</v>
      </c>
      <c r="M45" s="149">
        <f t="shared" si="28"/>
        <v>3318.495786</v>
      </c>
      <c r="N45" s="149">
        <f t="shared" si="28"/>
        <v>3554.772686</v>
      </c>
      <c r="O45" s="149">
        <f t="shared" si="28"/>
        <v>3807.872502</v>
      </c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 ht="18.0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</row>
    <row r="47" ht="18.0" customHeight="1">
      <c r="A47" s="90"/>
      <c r="B47" s="154"/>
      <c r="C47" s="154"/>
      <c r="D47" s="154"/>
      <c r="E47" s="154"/>
      <c r="F47" s="152" t="s">
        <v>221</v>
      </c>
      <c r="G47" s="152" t="s">
        <v>221</v>
      </c>
      <c r="H47" s="152" t="s">
        <v>221</v>
      </c>
      <c r="I47" s="152" t="s">
        <v>221</v>
      </c>
      <c r="J47" s="152" t="s">
        <v>221</v>
      </c>
      <c r="K47" s="152" t="s">
        <v>221</v>
      </c>
      <c r="L47" s="152" t="s">
        <v>221</v>
      </c>
      <c r="M47" s="152" t="s">
        <v>221</v>
      </c>
      <c r="N47" s="152" t="s">
        <v>221</v>
      </c>
      <c r="O47" s="152" t="s">
        <v>221</v>
      </c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 ht="18.0" customHeight="1">
      <c r="A48" s="90"/>
      <c r="B48" s="97" t="s">
        <v>97</v>
      </c>
      <c r="C48" s="136" t="s">
        <v>17</v>
      </c>
      <c r="D48" s="136" t="s">
        <v>57</v>
      </c>
      <c r="E48" s="136" t="s">
        <v>99</v>
      </c>
      <c r="F48" s="136" t="s">
        <v>191</v>
      </c>
      <c r="G48" s="136" t="s">
        <v>192</v>
      </c>
      <c r="H48" s="136" t="s">
        <v>193</v>
      </c>
      <c r="I48" s="136" t="s">
        <v>194</v>
      </c>
      <c r="J48" s="136" t="s">
        <v>195</v>
      </c>
      <c r="K48" s="136" t="s">
        <v>196</v>
      </c>
      <c r="L48" s="136" t="s">
        <v>198</v>
      </c>
      <c r="M48" s="136" t="s">
        <v>199</v>
      </c>
      <c r="N48" s="136" t="s">
        <v>200</v>
      </c>
      <c r="O48" s="136" t="s">
        <v>201</v>
      </c>
      <c r="P48" s="136" t="s">
        <v>223</v>
      </c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 ht="18.0" customHeight="1">
      <c r="A49" s="90"/>
      <c r="B49" s="140" t="s">
        <v>23</v>
      </c>
      <c r="C49" s="104" t="s">
        <v>160</v>
      </c>
      <c r="D49" s="108">
        <v>150.0</v>
      </c>
      <c r="E49" s="105" t="s">
        <v>139</v>
      </c>
      <c r="F49" s="105">
        <f t="shared" ref="F49:O49" si="29">F34*1000*$D34/1000000</f>
        <v>52.5</v>
      </c>
      <c r="G49" s="105">
        <f t="shared" si="29"/>
        <v>60</v>
      </c>
      <c r="H49" s="105">
        <f t="shared" si="29"/>
        <v>63.648</v>
      </c>
      <c r="I49" s="105">
        <f t="shared" si="29"/>
        <v>67.5177984</v>
      </c>
      <c r="J49" s="105">
        <f t="shared" si="29"/>
        <v>71.62288054</v>
      </c>
      <c r="K49" s="105">
        <f t="shared" si="29"/>
        <v>76.72242964</v>
      </c>
      <c r="L49" s="105">
        <f t="shared" si="29"/>
        <v>82.18506663</v>
      </c>
      <c r="M49" s="105">
        <f t="shared" si="29"/>
        <v>88.03664337</v>
      </c>
      <c r="N49" s="105">
        <f t="shared" si="29"/>
        <v>94.30485238</v>
      </c>
      <c r="O49" s="105">
        <f t="shared" si="29"/>
        <v>101.0193579</v>
      </c>
      <c r="P49" s="155">
        <f t="shared" ref="P49:P56" si="31">O49/SUM($O$49:$O$56)</f>
        <v>0.2816897441</v>
      </c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 ht="18.0" customHeight="1">
      <c r="A50" s="90"/>
      <c r="B50" s="140" t="s">
        <v>24</v>
      </c>
      <c r="C50" s="104" t="s">
        <v>162</v>
      </c>
      <c r="D50" s="108">
        <v>150.0</v>
      </c>
      <c r="E50" s="105" t="s">
        <v>119</v>
      </c>
      <c r="F50" s="105">
        <f t="shared" ref="F50:O50" si="30">F35*1000*$D35/1000000</f>
        <v>6.825</v>
      </c>
      <c r="G50" s="105">
        <f t="shared" si="30"/>
        <v>7.8</v>
      </c>
      <c r="H50" s="105">
        <f t="shared" si="30"/>
        <v>8.27424</v>
      </c>
      <c r="I50" s="105">
        <f t="shared" si="30"/>
        <v>8.777313792</v>
      </c>
      <c r="J50" s="105">
        <f t="shared" si="30"/>
        <v>9.310974471</v>
      </c>
      <c r="K50" s="105">
        <f t="shared" si="30"/>
        <v>9.973915853</v>
      </c>
      <c r="L50" s="105">
        <f t="shared" si="30"/>
        <v>10.68405866</v>
      </c>
      <c r="M50" s="105">
        <f t="shared" si="30"/>
        <v>11.44476364</v>
      </c>
      <c r="N50" s="105">
        <f t="shared" si="30"/>
        <v>12.25963081</v>
      </c>
      <c r="O50" s="105">
        <f t="shared" si="30"/>
        <v>13.13251652</v>
      </c>
      <c r="P50" s="155">
        <f t="shared" si="31"/>
        <v>0.03661966673</v>
      </c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</row>
    <row r="51" ht="18.0" customHeight="1">
      <c r="A51" s="90"/>
      <c r="B51" s="140" t="s">
        <v>25</v>
      </c>
      <c r="C51" s="104" t="s">
        <v>166</v>
      </c>
      <c r="D51" s="108">
        <v>150.0</v>
      </c>
      <c r="E51" s="105" t="s">
        <v>205</v>
      </c>
      <c r="F51" s="105">
        <f t="shared" ref="F51:O51" si="32">F36*1000*$D36/1000000</f>
        <v>15.9252</v>
      </c>
      <c r="G51" s="105">
        <f t="shared" si="32"/>
        <v>18.2001</v>
      </c>
      <c r="H51" s="105">
        <f t="shared" si="32"/>
        <v>19.30666608</v>
      </c>
      <c r="I51" s="105">
        <f t="shared" si="32"/>
        <v>20.48051138</v>
      </c>
      <c r="J51" s="105">
        <f t="shared" si="32"/>
        <v>21.72572647</v>
      </c>
      <c r="K51" s="105">
        <f t="shared" si="32"/>
        <v>23.27259819</v>
      </c>
      <c r="L51" s="105">
        <f t="shared" si="32"/>
        <v>24.92960719</v>
      </c>
      <c r="M51" s="105">
        <f t="shared" si="32"/>
        <v>26.70459522</v>
      </c>
      <c r="N51" s="105">
        <f t="shared" si="32"/>
        <v>28.6059624</v>
      </c>
      <c r="O51" s="105">
        <f t="shared" si="32"/>
        <v>30.64270692</v>
      </c>
      <c r="P51" s="155">
        <f t="shared" si="31"/>
        <v>0.08544635853</v>
      </c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 ht="18.0" customHeight="1">
      <c r="A52" s="90"/>
      <c r="B52" s="140" t="s">
        <v>26</v>
      </c>
      <c r="C52" s="104" t="s">
        <v>167</v>
      </c>
      <c r="D52" s="108">
        <v>150.0</v>
      </c>
      <c r="E52" s="105" t="s">
        <v>139</v>
      </c>
      <c r="F52" s="105">
        <f t="shared" ref="F52:O52" si="33">F37*1000*$D37/1000000</f>
        <v>49.0002</v>
      </c>
      <c r="G52" s="105">
        <f t="shared" si="33"/>
        <v>56.0001</v>
      </c>
      <c r="H52" s="105">
        <f t="shared" si="33"/>
        <v>59.40490608</v>
      </c>
      <c r="I52" s="105">
        <f t="shared" si="33"/>
        <v>63.01672437</v>
      </c>
      <c r="J52" s="105">
        <f t="shared" si="33"/>
        <v>66.84814121</v>
      </c>
      <c r="K52" s="105">
        <f t="shared" si="33"/>
        <v>71.60772887</v>
      </c>
      <c r="L52" s="105">
        <f t="shared" si="33"/>
        <v>76.70619916</v>
      </c>
      <c r="M52" s="105">
        <f t="shared" si="33"/>
        <v>82.16768054</v>
      </c>
      <c r="N52" s="105">
        <f t="shared" si="33"/>
        <v>88.0180194</v>
      </c>
      <c r="O52" s="105">
        <f t="shared" si="33"/>
        <v>94.28490238</v>
      </c>
      <c r="P52" s="155">
        <f t="shared" si="31"/>
        <v>0.2629108973</v>
      </c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 ht="18.0" customHeight="1">
      <c r="A53" s="90"/>
      <c r="B53" s="140" t="s">
        <v>28</v>
      </c>
      <c r="C53" s="104" t="s">
        <v>169</v>
      </c>
      <c r="D53" s="108">
        <v>150.0</v>
      </c>
      <c r="E53" s="105" t="s">
        <v>119</v>
      </c>
      <c r="F53" s="105">
        <f t="shared" ref="F53:O53" si="34">F38*1000*$D38/1000000</f>
        <v>6.825</v>
      </c>
      <c r="G53" s="105">
        <f t="shared" si="34"/>
        <v>7.8</v>
      </c>
      <c r="H53" s="105">
        <f t="shared" si="34"/>
        <v>8.27424</v>
      </c>
      <c r="I53" s="105">
        <f t="shared" si="34"/>
        <v>8.777313792</v>
      </c>
      <c r="J53" s="105">
        <f t="shared" si="34"/>
        <v>9.310974471</v>
      </c>
      <c r="K53" s="105">
        <f t="shared" si="34"/>
        <v>9.973915853</v>
      </c>
      <c r="L53" s="105">
        <f t="shared" si="34"/>
        <v>10.68405866</v>
      </c>
      <c r="M53" s="105">
        <f t="shared" si="34"/>
        <v>11.44476364</v>
      </c>
      <c r="N53" s="105">
        <f t="shared" si="34"/>
        <v>12.25963081</v>
      </c>
      <c r="O53" s="105">
        <f t="shared" si="34"/>
        <v>13.13251652</v>
      </c>
      <c r="P53" s="155">
        <f t="shared" si="31"/>
        <v>0.03661966673</v>
      </c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 ht="18.0" customHeight="1">
      <c r="A54" s="90"/>
      <c r="B54" s="140" t="s">
        <v>29</v>
      </c>
      <c r="C54" s="104" t="s">
        <v>170</v>
      </c>
      <c r="D54" s="108">
        <v>150.0</v>
      </c>
      <c r="E54" s="105" t="s">
        <v>205</v>
      </c>
      <c r="F54" s="105">
        <f t="shared" ref="F54:O54" si="35">F39*1000*$D39/1000000</f>
        <v>15.9252</v>
      </c>
      <c r="G54" s="105">
        <f t="shared" si="35"/>
        <v>18.2001</v>
      </c>
      <c r="H54" s="105">
        <f t="shared" si="35"/>
        <v>19.30666608</v>
      </c>
      <c r="I54" s="105">
        <f t="shared" si="35"/>
        <v>20.48051138</v>
      </c>
      <c r="J54" s="105">
        <f t="shared" si="35"/>
        <v>21.72572647</v>
      </c>
      <c r="K54" s="105">
        <f t="shared" si="35"/>
        <v>23.27259819</v>
      </c>
      <c r="L54" s="105">
        <f t="shared" si="35"/>
        <v>24.92960719</v>
      </c>
      <c r="M54" s="105">
        <f t="shared" si="35"/>
        <v>26.70459522</v>
      </c>
      <c r="N54" s="105">
        <f t="shared" si="35"/>
        <v>28.6059624</v>
      </c>
      <c r="O54" s="105">
        <f t="shared" si="35"/>
        <v>30.64270692</v>
      </c>
      <c r="P54" s="155">
        <f t="shared" si="31"/>
        <v>0.08544635853</v>
      </c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 ht="18.0" customHeight="1">
      <c r="A55" s="90"/>
      <c r="B55" s="140" t="s">
        <v>30</v>
      </c>
      <c r="C55" s="104" t="s">
        <v>172</v>
      </c>
      <c r="D55" s="108">
        <v>150.0</v>
      </c>
      <c r="E55" s="105" t="s">
        <v>119</v>
      </c>
      <c r="F55" s="105">
        <f t="shared" ref="F55:O55" si="36">F40*1000*$D40/1000000</f>
        <v>11.8125</v>
      </c>
      <c r="G55" s="105">
        <f t="shared" si="36"/>
        <v>13.5</v>
      </c>
      <c r="H55" s="105">
        <f t="shared" si="36"/>
        <v>14.3208</v>
      </c>
      <c r="I55" s="105">
        <f t="shared" si="36"/>
        <v>15.19150464</v>
      </c>
      <c r="J55" s="105">
        <f t="shared" si="36"/>
        <v>16.11514812</v>
      </c>
      <c r="K55" s="105">
        <f t="shared" si="36"/>
        <v>17.26254667</v>
      </c>
      <c r="L55" s="105">
        <f t="shared" si="36"/>
        <v>18.49163999</v>
      </c>
      <c r="M55" s="105">
        <f t="shared" si="36"/>
        <v>19.80824476</v>
      </c>
      <c r="N55" s="105">
        <f t="shared" si="36"/>
        <v>21.21859179</v>
      </c>
      <c r="O55" s="105">
        <f t="shared" si="36"/>
        <v>22.72935552</v>
      </c>
      <c r="P55" s="155">
        <f t="shared" si="31"/>
        <v>0.06338019242</v>
      </c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 ht="18.0" customHeight="1">
      <c r="A56" s="90"/>
      <c r="B56" s="140" t="s">
        <v>31</v>
      </c>
      <c r="C56" s="104" t="s">
        <v>175</v>
      </c>
      <c r="D56" s="108">
        <v>150.0</v>
      </c>
      <c r="E56" s="105" t="s">
        <v>205</v>
      </c>
      <c r="F56" s="105">
        <f t="shared" ref="F56:O56" si="37">F41*1000*$D41/1000000</f>
        <v>27.5625</v>
      </c>
      <c r="G56" s="105">
        <f t="shared" si="37"/>
        <v>31.5</v>
      </c>
      <c r="H56" s="105">
        <f t="shared" si="37"/>
        <v>33.4152</v>
      </c>
      <c r="I56" s="105">
        <f t="shared" si="37"/>
        <v>35.44684416</v>
      </c>
      <c r="J56" s="105">
        <f t="shared" si="37"/>
        <v>37.60201228</v>
      </c>
      <c r="K56" s="105">
        <f t="shared" si="37"/>
        <v>40.27927556</v>
      </c>
      <c r="L56" s="105">
        <f t="shared" si="37"/>
        <v>43.14715998</v>
      </c>
      <c r="M56" s="105">
        <f t="shared" si="37"/>
        <v>46.21923777</v>
      </c>
      <c r="N56" s="105">
        <f t="shared" si="37"/>
        <v>49.5100475</v>
      </c>
      <c r="O56" s="105">
        <f t="shared" si="37"/>
        <v>53.03516288</v>
      </c>
      <c r="P56" s="155">
        <f t="shared" si="31"/>
        <v>0.1478871157</v>
      </c>
      <c r="Q56" s="156">
        <f>SUM(P49:P56)</f>
        <v>1</v>
      </c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 ht="18.0" customHeight="1">
      <c r="A57" s="90"/>
      <c r="B57" s="140" t="s">
        <v>33</v>
      </c>
      <c r="C57" s="104" t="s">
        <v>176</v>
      </c>
      <c r="D57" s="108">
        <v>400.0</v>
      </c>
      <c r="E57" s="105" t="s">
        <v>19</v>
      </c>
      <c r="F57" s="105">
        <f t="shared" ref="F57:O57" si="38">F42*1000*$D42/1000000</f>
        <v>61.25</v>
      </c>
      <c r="G57" s="105">
        <f t="shared" si="38"/>
        <v>70</v>
      </c>
      <c r="H57" s="105">
        <f t="shared" si="38"/>
        <v>74.256</v>
      </c>
      <c r="I57" s="105">
        <f t="shared" si="38"/>
        <v>78.7707648</v>
      </c>
      <c r="J57" s="105">
        <f t="shared" si="38"/>
        <v>83.5600273</v>
      </c>
      <c r="K57" s="105">
        <f t="shared" si="38"/>
        <v>89.50950124</v>
      </c>
      <c r="L57" s="105">
        <f t="shared" si="38"/>
        <v>95.88257773</v>
      </c>
      <c r="M57" s="105">
        <f t="shared" si="38"/>
        <v>102.7094173</v>
      </c>
      <c r="N57" s="105">
        <f t="shared" si="38"/>
        <v>110.0223278</v>
      </c>
      <c r="O57" s="105">
        <f t="shared" si="38"/>
        <v>117.8559175</v>
      </c>
      <c r="P57" s="159">
        <f t="shared" ref="P57:P59" si="40">O57/SUM($O$57:$O$59)</f>
        <v>0.3684209363</v>
      </c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 ht="18.0" customHeight="1">
      <c r="A58" s="90"/>
      <c r="B58" s="140" t="s">
        <v>34</v>
      </c>
      <c r="C58" s="104" t="s">
        <v>179</v>
      </c>
      <c r="D58" s="108">
        <v>180.0</v>
      </c>
      <c r="E58" s="105" t="s">
        <v>19</v>
      </c>
      <c r="F58" s="105">
        <f t="shared" ref="F58:O58" si="39">F43*1000*$D43/1000000</f>
        <v>73.50012</v>
      </c>
      <c r="G58" s="105">
        <f t="shared" si="39"/>
        <v>84.00006</v>
      </c>
      <c r="H58" s="105">
        <f t="shared" si="39"/>
        <v>89.10726365</v>
      </c>
      <c r="I58" s="105">
        <f t="shared" si="39"/>
        <v>94.52498528</v>
      </c>
      <c r="J58" s="105">
        <f t="shared" si="39"/>
        <v>100.2721044</v>
      </c>
      <c r="K58" s="105">
        <f t="shared" si="39"/>
        <v>107.4114782</v>
      </c>
      <c r="L58" s="105">
        <f t="shared" si="39"/>
        <v>115.0591755</v>
      </c>
      <c r="M58" s="105">
        <f t="shared" si="39"/>
        <v>123.2513888</v>
      </c>
      <c r="N58" s="105">
        <f t="shared" si="39"/>
        <v>132.0268876</v>
      </c>
      <c r="O58" s="105">
        <f t="shared" si="39"/>
        <v>141.427202</v>
      </c>
      <c r="P58" s="159">
        <f t="shared" si="40"/>
        <v>0.4421054393</v>
      </c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</row>
    <row r="59" ht="18.0" customHeight="1">
      <c r="A59" s="90"/>
      <c r="B59" s="140" t="s">
        <v>35</v>
      </c>
      <c r="C59" s="104" t="s">
        <v>182</v>
      </c>
      <c r="D59" s="108">
        <v>180.0</v>
      </c>
      <c r="E59" s="105" t="s">
        <v>119</v>
      </c>
      <c r="F59" s="105">
        <f t="shared" ref="F59:O59" si="41">F44*1000*$D44/1000000</f>
        <v>31.5</v>
      </c>
      <c r="G59" s="105">
        <f t="shared" si="41"/>
        <v>36</v>
      </c>
      <c r="H59" s="105">
        <f t="shared" si="41"/>
        <v>38.1888</v>
      </c>
      <c r="I59" s="105">
        <f t="shared" si="41"/>
        <v>40.51067904</v>
      </c>
      <c r="J59" s="105">
        <f t="shared" si="41"/>
        <v>42.97372833</v>
      </c>
      <c r="K59" s="105">
        <f t="shared" si="41"/>
        <v>46.03345778</v>
      </c>
      <c r="L59" s="105">
        <f t="shared" si="41"/>
        <v>49.31103998</v>
      </c>
      <c r="M59" s="105">
        <f t="shared" si="41"/>
        <v>52.82198602</v>
      </c>
      <c r="N59" s="105">
        <f t="shared" si="41"/>
        <v>56.58291143</v>
      </c>
      <c r="O59" s="105">
        <f t="shared" si="41"/>
        <v>60.61161472</v>
      </c>
      <c r="P59" s="159">
        <f t="shared" si="40"/>
        <v>0.1894736244</v>
      </c>
      <c r="Q59" s="156">
        <f>SUM(P57:P59)</f>
        <v>1</v>
      </c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 ht="18.0" customHeight="1">
      <c r="A60" s="90"/>
      <c r="B60" s="149"/>
      <c r="C60" s="150" t="s">
        <v>185</v>
      </c>
      <c r="D60" s="149"/>
      <c r="E60" s="149"/>
      <c r="F60" s="149">
        <f t="shared" ref="F60:P60" si="42">SUM(F49:F59)</f>
        <v>352.62572</v>
      </c>
      <c r="G60" s="149">
        <f t="shared" si="42"/>
        <v>403.00036</v>
      </c>
      <c r="H60" s="149">
        <f t="shared" si="42"/>
        <v>427.5027819</v>
      </c>
      <c r="I60" s="149">
        <f t="shared" si="42"/>
        <v>453.494951</v>
      </c>
      <c r="J60" s="149">
        <f t="shared" si="42"/>
        <v>481.067444</v>
      </c>
      <c r="K60" s="149">
        <f t="shared" si="42"/>
        <v>515.3194461</v>
      </c>
      <c r="L60" s="149">
        <f t="shared" si="42"/>
        <v>552.0101906</v>
      </c>
      <c r="M60" s="149">
        <f t="shared" si="42"/>
        <v>591.3133162</v>
      </c>
      <c r="N60" s="149">
        <f t="shared" si="42"/>
        <v>633.4148243</v>
      </c>
      <c r="O60" s="149">
        <f t="shared" si="42"/>
        <v>678.5139598</v>
      </c>
      <c r="P60" s="174">
        <f t="shared" si="42"/>
        <v>2</v>
      </c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</row>
    <row r="61" ht="18.0" customHeight="1">
      <c r="A61" s="90"/>
      <c r="B61" s="90"/>
      <c r="C61" s="90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91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</row>
    <row r="62" ht="18.0" customHeight="1">
      <c r="A62" s="90"/>
      <c r="B62" s="90"/>
      <c r="C62" s="90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91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</row>
    <row r="63" ht="18.0" customHeight="1">
      <c r="A63" s="90"/>
      <c r="B63" s="90"/>
      <c r="C63" s="90"/>
      <c r="D63" s="91"/>
      <c r="E63" s="91"/>
      <c r="F63" s="152" t="s">
        <v>261</v>
      </c>
      <c r="G63" s="152" t="s">
        <v>261</v>
      </c>
      <c r="H63" s="152" t="s">
        <v>261</v>
      </c>
      <c r="I63" s="152" t="s">
        <v>261</v>
      </c>
      <c r="J63" s="152" t="s">
        <v>261</v>
      </c>
      <c r="K63" s="152" t="s">
        <v>261</v>
      </c>
      <c r="L63" s="152" t="s">
        <v>261</v>
      </c>
      <c r="M63" s="152" t="s">
        <v>261</v>
      </c>
      <c r="N63" s="152" t="s">
        <v>261</v>
      </c>
      <c r="O63" s="152" t="s">
        <v>261</v>
      </c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</row>
    <row r="64" ht="18.0" customHeight="1">
      <c r="A64" s="90"/>
      <c r="B64" s="97" t="s">
        <v>97</v>
      </c>
      <c r="C64" s="136" t="s">
        <v>17</v>
      </c>
      <c r="D64" s="136" t="s">
        <v>57</v>
      </c>
      <c r="E64" s="136" t="s">
        <v>99</v>
      </c>
      <c r="F64" s="136" t="s">
        <v>191</v>
      </c>
      <c r="G64" s="136" t="s">
        <v>192</v>
      </c>
      <c r="H64" s="136" t="s">
        <v>193</v>
      </c>
      <c r="I64" s="136" t="s">
        <v>194</v>
      </c>
      <c r="J64" s="136" t="s">
        <v>195</v>
      </c>
      <c r="K64" s="136" t="s">
        <v>196</v>
      </c>
      <c r="L64" s="136" t="s">
        <v>198</v>
      </c>
      <c r="M64" s="136" t="s">
        <v>199</v>
      </c>
      <c r="N64" s="136" t="s">
        <v>200</v>
      </c>
      <c r="O64" s="136" t="s">
        <v>201</v>
      </c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</row>
    <row r="65" ht="18.0" customHeight="1">
      <c r="A65" s="90"/>
      <c r="B65" s="140" t="s">
        <v>23</v>
      </c>
      <c r="C65" s="104" t="s">
        <v>160</v>
      </c>
      <c r="D65" s="108">
        <v>150.0</v>
      </c>
      <c r="E65" s="105" t="s">
        <v>139</v>
      </c>
      <c r="F65" s="105">
        <f t="shared" ref="F65:O65" si="43">(((F34*1000)/2)*($F19+$G19))/1000000</f>
        <v>542.5</v>
      </c>
      <c r="G65" s="105">
        <f t="shared" si="43"/>
        <v>620</v>
      </c>
      <c r="H65" s="105">
        <f t="shared" si="43"/>
        <v>657.696</v>
      </c>
      <c r="I65" s="105">
        <f t="shared" si="43"/>
        <v>697.6839168</v>
      </c>
      <c r="J65" s="105">
        <f t="shared" si="43"/>
        <v>740.1030989</v>
      </c>
      <c r="K65" s="105">
        <f t="shared" si="43"/>
        <v>792.7984396</v>
      </c>
      <c r="L65" s="105">
        <f t="shared" si="43"/>
        <v>849.2456885</v>
      </c>
      <c r="M65" s="105">
        <f t="shared" si="43"/>
        <v>909.7119815</v>
      </c>
      <c r="N65" s="105">
        <f t="shared" si="43"/>
        <v>974.4834746</v>
      </c>
      <c r="O65" s="105">
        <f t="shared" si="43"/>
        <v>1043.866698</v>
      </c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</row>
    <row r="66" ht="18.0" customHeight="1">
      <c r="A66" s="90"/>
      <c r="B66" s="140" t="s">
        <v>24</v>
      </c>
      <c r="C66" s="104" t="s">
        <v>162</v>
      </c>
      <c r="D66" s="108">
        <v>150.0</v>
      </c>
      <c r="E66" s="105" t="s">
        <v>119</v>
      </c>
      <c r="F66" s="105">
        <f t="shared" ref="F66:F75" si="45">(((F35*1000)/2)*(F20+G20))/1000000</f>
        <v>67.1125</v>
      </c>
      <c r="G66" s="105">
        <f t="shared" ref="G66:O66" si="44">(((G35*1000)/2)*($F20+$G20))/1000000</f>
        <v>76.7</v>
      </c>
      <c r="H66" s="105">
        <f t="shared" si="44"/>
        <v>81.36336</v>
      </c>
      <c r="I66" s="105">
        <f t="shared" si="44"/>
        <v>86.31025229</v>
      </c>
      <c r="J66" s="105">
        <f t="shared" si="44"/>
        <v>91.55791563</v>
      </c>
      <c r="K66" s="105">
        <f t="shared" si="44"/>
        <v>98.07683922</v>
      </c>
      <c r="L66" s="105">
        <f t="shared" si="44"/>
        <v>105.0599102</v>
      </c>
      <c r="M66" s="105">
        <f t="shared" si="44"/>
        <v>112.5401758</v>
      </c>
      <c r="N66" s="105">
        <f t="shared" si="44"/>
        <v>120.5530363</v>
      </c>
      <c r="O66" s="105">
        <f t="shared" si="44"/>
        <v>129.1364125</v>
      </c>
      <c r="P66" s="90"/>
      <c r="Q66" s="90"/>
      <c r="R66" s="203" t="s">
        <v>272</v>
      </c>
      <c r="S66" s="203" t="s">
        <v>191</v>
      </c>
      <c r="T66" s="203" t="s">
        <v>192</v>
      </c>
      <c r="U66" s="203" t="s">
        <v>193</v>
      </c>
      <c r="V66" s="203" t="s">
        <v>194</v>
      </c>
      <c r="W66" s="203" t="s">
        <v>195</v>
      </c>
      <c r="X66" s="203" t="s">
        <v>196</v>
      </c>
      <c r="Y66" s="203" t="s">
        <v>198</v>
      </c>
      <c r="Z66" s="203" t="s">
        <v>199</v>
      </c>
      <c r="AA66" s="203" t="s">
        <v>200</v>
      </c>
      <c r="AB66" s="203" t="s">
        <v>201</v>
      </c>
    </row>
    <row r="67" ht="18.0" customHeight="1">
      <c r="A67" s="90"/>
      <c r="B67" s="140" t="s">
        <v>25</v>
      </c>
      <c r="C67" s="104" t="s">
        <v>166</v>
      </c>
      <c r="D67" s="108">
        <v>150.0</v>
      </c>
      <c r="E67" s="105" t="s">
        <v>205</v>
      </c>
      <c r="F67" s="105">
        <f t="shared" si="45"/>
        <v>139.61092</v>
      </c>
      <c r="G67" s="105">
        <f t="shared" ref="G67:O67" si="46">(((G36*1000)/2)*($F21+$G21))/1000000</f>
        <v>159.55421</v>
      </c>
      <c r="H67" s="105">
        <f t="shared" si="46"/>
        <v>169.255106</v>
      </c>
      <c r="I67" s="105">
        <f t="shared" si="46"/>
        <v>179.5458164</v>
      </c>
      <c r="J67" s="105">
        <f t="shared" si="46"/>
        <v>190.462202</v>
      </c>
      <c r="K67" s="105">
        <f t="shared" si="46"/>
        <v>204.0231108</v>
      </c>
      <c r="L67" s="105">
        <f t="shared" si="46"/>
        <v>218.5495563</v>
      </c>
      <c r="M67" s="105">
        <f t="shared" si="46"/>
        <v>234.1102847</v>
      </c>
      <c r="N67" s="105">
        <f t="shared" si="46"/>
        <v>250.778937</v>
      </c>
      <c r="O67" s="105">
        <f t="shared" si="46"/>
        <v>268.6343973</v>
      </c>
      <c r="P67" s="90"/>
      <c r="Q67" s="90"/>
      <c r="R67" s="209" t="s">
        <v>139</v>
      </c>
      <c r="S67" s="209">
        <f t="shared" ref="S67:AB67" si="47">SUMIFS(F$49:F$59,$E$49:$E$59,$R67)</f>
        <v>101.5002</v>
      </c>
      <c r="T67" s="209">
        <f t="shared" si="47"/>
        <v>116.0001</v>
      </c>
      <c r="U67" s="209">
        <f t="shared" si="47"/>
        <v>123.0529061</v>
      </c>
      <c r="V67" s="209">
        <f t="shared" si="47"/>
        <v>130.5345228</v>
      </c>
      <c r="W67" s="209">
        <f t="shared" si="47"/>
        <v>138.4710218</v>
      </c>
      <c r="X67" s="209">
        <f t="shared" si="47"/>
        <v>148.3301585</v>
      </c>
      <c r="Y67" s="209">
        <f t="shared" si="47"/>
        <v>158.8912658</v>
      </c>
      <c r="Z67" s="209">
        <f t="shared" si="47"/>
        <v>170.2043239</v>
      </c>
      <c r="AA67" s="209">
        <f t="shared" si="47"/>
        <v>182.3228718</v>
      </c>
      <c r="AB67" s="209">
        <f t="shared" si="47"/>
        <v>195.3042602</v>
      </c>
    </row>
    <row r="68" ht="18.0" customHeight="1">
      <c r="A68" s="90"/>
      <c r="B68" s="140" t="s">
        <v>26</v>
      </c>
      <c r="C68" s="104" t="s">
        <v>167</v>
      </c>
      <c r="D68" s="108">
        <v>150.0</v>
      </c>
      <c r="E68" s="105" t="s">
        <v>139</v>
      </c>
      <c r="F68" s="105">
        <f t="shared" si="45"/>
        <v>419.76838</v>
      </c>
      <c r="G68" s="105">
        <f t="shared" ref="G68:O68" si="48">(((G37*1000)/2)*($F22+$G22))/1000000</f>
        <v>479.73419</v>
      </c>
      <c r="H68" s="105">
        <f t="shared" si="48"/>
        <v>508.9020288</v>
      </c>
      <c r="I68" s="105">
        <f t="shared" si="48"/>
        <v>539.8432721</v>
      </c>
      <c r="J68" s="105">
        <f t="shared" si="48"/>
        <v>572.665743</v>
      </c>
      <c r="K68" s="105">
        <f t="shared" si="48"/>
        <v>613.4395439</v>
      </c>
      <c r="L68" s="105">
        <f t="shared" si="48"/>
        <v>657.1164395</v>
      </c>
      <c r="M68" s="105">
        <f t="shared" si="48"/>
        <v>703.90313</v>
      </c>
      <c r="N68" s="105">
        <f t="shared" si="48"/>
        <v>754.0210328</v>
      </c>
      <c r="O68" s="105">
        <f t="shared" si="48"/>
        <v>807.7073304</v>
      </c>
      <c r="P68" s="90"/>
      <c r="Q68" s="90"/>
      <c r="R68" s="209" t="s">
        <v>119</v>
      </c>
      <c r="S68" s="209">
        <f t="shared" ref="S68:AB68" si="49">SUMIFS(F$49:F$59,$E$49:$E$59,$R68)</f>
        <v>56.9625</v>
      </c>
      <c r="T68" s="209">
        <f t="shared" si="49"/>
        <v>65.1</v>
      </c>
      <c r="U68" s="209">
        <f t="shared" si="49"/>
        <v>69.05808</v>
      </c>
      <c r="V68" s="209">
        <f t="shared" si="49"/>
        <v>73.25681126</v>
      </c>
      <c r="W68" s="209">
        <f t="shared" si="49"/>
        <v>77.71082539</v>
      </c>
      <c r="X68" s="209">
        <f t="shared" si="49"/>
        <v>83.24383616</v>
      </c>
      <c r="Y68" s="209">
        <f t="shared" si="49"/>
        <v>89.17079729</v>
      </c>
      <c r="Z68" s="209">
        <f t="shared" si="49"/>
        <v>95.51975806</v>
      </c>
      <c r="AA68" s="209">
        <f t="shared" si="49"/>
        <v>102.3207648</v>
      </c>
      <c r="AB68" s="209">
        <f t="shared" si="49"/>
        <v>109.6060033</v>
      </c>
    </row>
    <row r="69" ht="18.0" customHeight="1">
      <c r="A69" s="90"/>
      <c r="B69" s="140" t="s">
        <v>28</v>
      </c>
      <c r="C69" s="104" t="s">
        <v>169</v>
      </c>
      <c r="D69" s="108">
        <v>150.0</v>
      </c>
      <c r="E69" s="105" t="s">
        <v>119</v>
      </c>
      <c r="F69" s="105">
        <f t="shared" si="45"/>
        <v>58.695</v>
      </c>
      <c r="G69" s="105">
        <f t="shared" ref="G69:O69" si="50">(((G38*1000)/2)*($F23+$G23))/1000000</f>
        <v>67.08</v>
      </c>
      <c r="H69" s="105">
        <f t="shared" si="50"/>
        <v>71.158464</v>
      </c>
      <c r="I69" s="105">
        <f t="shared" si="50"/>
        <v>75.48489861</v>
      </c>
      <c r="J69" s="105">
        <f t="shared" si="50"/>
        <v>80.07438045</v>
      </c>
      <c r="K69" s="105">
        <f t="shared" si="50"/>
        <v>85.77567633</v>
      </c>
      <c r="L69" s="105">
        <f t="shared" si="50"/>
        <v>91.88290449</v>
      </c>
      <c r="M69" s="105">
        <f t="shared" si="50"/>
        <v>98.42496729</v>
      </c>
      <c r="N69" s="105">
        <f t="shared" si="50"/>
        <v>105.432825</v>
      </c>
      <c r="O69" s="105">
        <f t="shared" si="50"/>
        <v>112.9396421</v>
      </c>
      <c r="P69" s="90"/>
      <c r="Q69" s="90"/>
      <c r="R69" s="209" t="s">
        <v>205</v>
      </c>
      <c r="S69" s="209">
        <f t="shared" ref="S69:AB69" si="51">SUMIFS(F$49:F$59,$E$49:$E$59,$R69)</f>
        <v>59.4129</v>
      </c>
      <c r="T69" s="209">
        <f t="shared" si="51"/>
        <v>67.9002</v>
      </c>
      <c r="U69" s="209">
        <f t="shared" si="51"/>
        <v>72.02853216</v>
      </c>
      <c r="V69" s="209">
        <f t="shared" si="51"/>
        <v>76.40786692</v>
      </c>
      <c r="W69" s="209">
        <f t="shared" si="51"/>
        <v>81.05346522</v>
      </c>
      <c r="X69" s="209">
        <f t="shared" si="51"/>
        <v>86.82447195</v>
      </c>
      <c r="Y69" s="209">
        <f t="shared" si="51"/>
        <v>93.00637435</v>
      </c>
      <c r="Z69" s="209">
        <f t="shared" si="51"/>
        <v>99.6284282</v>
      </c>
      <c r="AA69" s="209">
        <f t="shared" si="51"/>
        <v>106.7219723</v>
      </c>
      <c r="AB69" s="209">
        <f t="shared" si="51"/>
        <v>114.3205767</v>
      </c>
    </row>
    <row r="70" ht="18.0" customHeight="1">
      <c r="A70" s="90"/>
      <c r="B70" s="140" t="s">
        <v>29</v>
      </c>
      <c r="C70" s="104" t="s">
        <v>170</v>
      </c>
      <c r="D70" s="108">
        <v>150.0</v>
      </c>
      <c r="E70" s="105" t="s">
        <v>205</v>
      </c>
      <c r="F70" s="105">
        <f t="shared" si="45"/>
        <v>136.95672</v>
      </c>
      <c r="G70" s="105">
        <f t="shared" ref="G70:O70" si="52">(((G39*1000)/2)*($F24+$G24))/1000000</f>
        <v>156.52086</v>
      </c>
      <c r="H70" s="105">
        <f t="shared" si="52"/>
        <v>166.0373283</v>
      </c>
      <c r="I70" s="105">
        <f t="shared" si="52"/>
        <v>176.1323978</v>
      </c>
      <c r="J70" s="105">
        <f t="shared" si="52"/>
        <v>186.8412476</v>
      </c>
      <c r="K70" s="105">
        <f t="shared" si="52"/>
        <v>200.1443445</v>
      </c>
      <c r="L70" s="105">
        <f t="shared" si="52"/>
        <v>214.3946218</v>
      </c>
      <c r="M70" s="105">
        <f t="shared" si="52"/>
        <v>229.6595189</v>
      </c>
      <c r="N70" s="105">
        <f t="shared" si="52"/>
        <v>246.0112766</v>
      </c>
      <c r="O70" s="105">
        <f t="shared" si="52"/>
        <v>263.5272795</v>
      </c>
      <c r="P70" s="90"/>
      <c r="Q70" s="90"/>
      <c r="R70" s="209" t="s">
        <v>19</v>
      </c>
      <c r="S70" s="209">
        <f t="shared" ref="S70:AB70" si="53">SUMIFS(F$49:F$59,$E$49:$E$59,$R70)</f>
        <v>134.75012</v>
      </c>
      <c r="T70" s="209">
        <f t="shared" si="53"/>
        <v>154.00006</v>
      </c>
      <c r="U70" s="209">
        <f t="shared" si="53"/>
        <v>163.3632636</v>
      </c>
      <c r="V70" s="209">
        <f t="shared" si="53"/>
        <v>173.2957501</v>
      </c>
      <c r="W70" s="209">
        <f t="shared" si="53"/>
        <v>183.8321317</v>
      </c>
      <c r="X70" s="209">
        <f t="shared" si="53"/>
        <v>196.9209795</v>
      </c>
      <c r="Y70" s="209">
        <f t="shared" si="53"/>
        <v>210.9417532</v>
      </c>
      <c r="Z70" s="209">
        <f t="shared" si="53"/>
        <v>225.960806</v>
      </c>
      <c r="AA70" s="209">
        <f t="shared" si="53"/>
        <v>242.0492154</v>
      </c>
      <c r="AB70" s="209">
        <f t="shared" si="53"/>
        <v>259.2831195</v>
      </c>
    </row>
    <row r="71" ht="18.0" customHeight="1">
      <c r="A71" s="90"/>
      <c r="B71" s="140" t="s">
        <v>30</v>
      </c>
      <c r="C71" s="104" t="s">
        <v>172</v>
      </c>
      <c r="D71" s="108">
        <v>150.0</v>
      </c>
      <c r="E71" s="105" t="s">
        <v>119</v>
      </c>
      <c r="F71" s="105">
        <f t="shared" si="45"/>
        <v>114.1875</v>
      </c>
      <c r="G71" s="105">
        <f t="shared" ref="G71:O71" si="54">(((G40*1000)/2)*($F25+$G25))/1000000</f>
        <v>130.5</v>
      </c>
      <c r="H71" s="105">
        <f t="shared" si="54"/>
        <v>138.4344</v>
      </c>
      <c r="I71" s="105">
        <f t="shared" si="54"/>
        <v>146.8512115</v>
      </c>
      <c r="J71" s="105">
        <f t="shared" si="54"/>
        <v>155.7797652</v>
      </c>
      <c r="K71" s="105">
        <f t="shared" si="54"/>
        <v>166.8712845</v>
      </c>
      <c r="L71" s="105">
        <f t="shared" si="54"/>
        <v>178.7525199</v>
      </c>
      <c r="M71" s="105">
        <f t="shared" si="54"/>
        <v>191.4796993</v>
      </c>
      <c r="N71" s="105">
        <f t="shared" si="54"/>
        <v>205.1130539</v>
      </c>
      <c r="O71" s="105">
        <f t="shared" si="54"/>
        <v>219.7171034</v>
      </c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 ht="18.0" customHeight="1">
      <c r="A72" s="90"/>
      <c r="B72" s="140" t="s">
        <v>31</v>
      </c>
      <c r="C72" s="104" t="s">
        <v>175</v>
      </c>
      <c r="D72" s="108">
        <v>150.0</v>
      </c>
      <c r="E72" s="105" t="s">
        <v>205</v>
      </c>
      <c r="F72" s="105">
        <f t="shared" si="45"/>
        <v>237.0375</v>
      </c>
      <c r="G72" s="105">
        <f t="shared" ref="G72:O72" si="55">(((G41*1000)/2)*($F26+$G26))/1000000</f>
        <v>270.9</v>
      </c>
      <c r="H72" s="105">
        <f t="shared" si="55"/>
        <v>287.37072</v>
      </c>
      <c r="I72" s="105">
        <f t="shared" si="55"/>
        <v>304.8428598</v>
      </c>
      <c r="J72" s="105">
        <f t="shared" si="55"/>
        <v>323.3773057</v>
      </c>
      <c r="K72" s="105">
        <f t="shared" si="55"/>
        <v>346.4017698</v>
      </c>
      <c r="L72" s="105">
        <f t="shared" si="55"/>
        <v>371.0655758</v>
      </c>
      <c r="M72" s="105">
        <f t="shared" si="55"/>
        <v>397.4854448</v>
      </c>
      <c r="N72" s="105">
        <f t="shared" si="55"/>
        <v>425.7864085</v>
      </c>
      <c r="O72" s="105">
        <f t="shared" si="55"/>
        <v>456.1024008</v>
      </c>
      <c r="P72" s="90"/>
      <c r="Q72" s="91"/>
      <c r="R72" s="203" t="s">
        <v>272</v>
      </c>
      <c r="S72" s="203" t="s">
        <v>191</v>
      </c>
      <c r="T72" s="203" t="s">
        <v>192</v>
      </c>
      <c r="U72" s="203" t="s">
        <v>193</v>
      </c>
      <c r="V72" s="203" t="s">
        <v>194</v>
      </c>
      <c r="W72" s="203" t="s">
        <v>195</v>
      </c>
      <c r="X72" s="203" t="s">
        <v>196</v>
      </c>
      <c r="Y72" s="203" t="s">
        <v>198</v>
      </c>
      <c r="Z72" s="203" t="s">
        <v>199</v>
      </c>
      <c r="AA72" s="203" t="s">
        <v>200</v>
      </c>
      <c r="AB72" s="203" t="s">
        <v>201</v>
      </c>
    </row>
    <row r="73" ht="18.0" customHeight="1">
      <c r="A73" s="90"/>
      <c r="B73" s="140" t="s">
        <v>33</v>
      </c>
      <c r="C73" s="104" t="s">
        <v>176</v>
      </c>
      <c r="D73" s="108">
        <v>400.0</v>
      </c>
      <c r="E73" s="105" t="s">
        <v>19</v>
      </c>
      <c r="F73" s="105">
        <f t="shared" si="45"/>
        <v>592.59375</v>
      </c>
      <c r="G73" s="105">
        <f t="shared" ref="G73:O73" si="56">(((G42*1000)/2)*($F27+$G27))/1000000</f>
        <v>677.25</v>
      </c>
      <c r="H73" s="105">
        <f t="shared" si="56"/>
        <v>718.4268</v>
      </c>
      <c r="I73" s="105">
        <f t="shared" si="56"/>
        <v>762.1071494</v>
      </c>
      <c r="J73" s="105">
        <f t="shared" si="56"/>
        <v>808.4432641</v>
      </c>
      <c r="K73" s="105">
        <f t="shared" si="56"/>
        <v>866.0044245</v>
      </c>
      <c r="L73" s="105">
        <f t="shared" si="56"/>
        <v>927.6639396</v>
      </c>
      <c r="M73" s="105">
        <f t="shared" si="56"/>
        <v>993.7136121</v>
      </c>
      <c r="N73" s="105">
        <f t="shared" si="56"/>
        <v>1064.466021</v>
      </c>
      <c r="O73" s="105">
        <f t="shared" si="56"/>
        <v>1140.256002</v>
      </c>
      <c r="P73" s="90"/>
      <c r="Q73" s="91"/>
      <c r="R73" s="209" t="s">
        <v>139</v>
      </c>
      <c r="S73" s="209">
        <f t="shared" ref="S73:AB73" si="57">SUMIFS(F$49:F$59,$E$49:$E$59,$R73)</f>
        <v>101.5002</v>
      </c>
      <c r="T73" s="209">
        <f t="shared" si="57"/>
        <v>116.0001</v>
      </c>
      <c r="U73" s="209">
        <f t="shared" si="57"/>
        <v>123.0529061</v>
      </c>
      <c r="V73" s="209">
        <f t="shared" si="57"/>
        <v>130.5345228</v>
      </c>
      <c r="W73" s="209">
        <f t="shared" si="57"/>
        <v>138.4710218</v>
      </c>
      <c r="X73" s="209">
        <f t="shared" si="57"/>
        <v>148.3301585</v>
      </c>
      <c r="Y73" s="209">
        <f t="shared" si="57"/>
        <v>158.8912658</v>
      </c>
      <c r="Z73" s="209">
        <f t="shared" si="57"/>
        <v>170.2043239</v>
      </c>
      <c r="AA73" s="209">
        <f t="shared" si="57"/>
        <v>182.3228718</v>
      </c>
      <c r="AB73" s="209">
        <f t="shared" si="57"/>
        <v>195.3042602</v>
      </c>
    </row>
    <row r="74" ht="18.0" customHeight="1">
      <c r="A74" s="90"/>
      <c r="B74" s="140" t="s">
        <v>34</v>
      </c>
      <c r="C74" s="104" t="s">
        <v>179</v>
      </c>
      <c r="D74" s="108">
        <v>180.0</v>
      </c>
      <c r="E74" s="105" t="s">
        <v>19</v>
      </c>
      <c r="F74" s="105">
        <f t="shared" si="45"/>
        <v>894.25146</v>
      </c>
      <c r="G74" s="105">
        <f t="shared" ref="G74:O74" si="58">(((G43*1000)/2)*($F28+$G28))/1000000</f>
        <v>1022.00073</v>
      </c>
      <c r="H74" s="105">
        <f t="shared" si="58"/>
        <v>1084.138374</v>
      </c>
      <c r="I74" s="105">
        <f t="shared" si="58"/>
        <v>1150.053988</v>
      </c>
      <c r="J74" s="105">
        <f t="shared" si="58"/>
        <v>1219.97727</v>
      </c>
      <c r="K74" s="105">
        <f t="shared" si="58"/>
        <v>1306.839652</v>
      </c>
      <c r="L74" s="105">
        <f t="shared" si="58"/>
        <v>1399.886635</v>
      </c>
      <c r="M74" s="105">
        <f t="shared" si="58"/>
        <v>1499.558563</v>
      </c>
      <c r="N74" s="105">
        <f t="shared" si="58"/>
        <v>1606.327133</v>
      </c>
      <c r="O74" s="105">
        <f t="shared" si="58"/>
        <v>1720.697625</v>
      </c>
      <c r="P74" s="90"/>
      <c r="Q74" s="91"/>
      <c r="R74" s="209" t="s">
        <v>119</v>
      </c>
      <c r="S74" s="209">
        <f t="shared" ref="S74:AB74" si="59">SUMIFS(F$49:F$59,$E$49:$E$59,$R74)</f>
        <v>56.9625</v>
      </c>
      <c r="T74" s="209">
        <f t="shared" si="59"/>
        <v>65.1</v>
      </c>
      <c r="U74" s="209">
        <f t="shared" si="59"/>
        <v>69.05808</v>
      </c>
      <c r="V74" s="209">
        <f t="shared" si="59"/>
        <v>73.25681126</v>
      </c>
      <c r="W74" s="209">
        <f t="shared" si="59"/>
        <v>77.71082539</v>
      </c>
      <c r="X74" s="209">
        <f t="shared" si="59"/>
        <v>83.24383616</v>
      </c>
      <c r="Y74" s="209">
        <f t="shared" si="59"/>
        <v>89.17079729</v>
      </c>
      <c r="Z74" s="209">
        <f t="shared" si="59"/>
        <v>95.51975806</v>
      </c>
      <c r="AA74" s="209">
        <f t="shared" si="59"/>
        <v>102.3207648</v>
      </c>
      <c r="AB74" s="209">
        <f t="shared" si="59"/>
        <v>109.6060033</v>
      </c>
    </row>
    <row r="75" ht="18.0" customHeight="1">
      <c r="A75" s="90"/>
      <c r="B75" s="140" t="s">
        <v>35</v>
      </c>
      <c r="C75" s="104" t="s">
        <v>182</v>
      </c>
      <c r="D75" s="108">
        <v>180.0</v>
      </c>
      <c r="E75" s="105" t="s">
        <v>119</v>
      </c>
      <c r="F75" s="105">
        <f t="shared" si="45"/>
        <v>383.25</v>
      </c>
      <c r="G75" s="105">
        <f t="shared" ref="G75:O75" si="60">(((G44*1000)/2)*($F29+$G29))/1000000</f>
        <v>438</v>
      </c>
      <c r="H75" s="105">
        <f t="shared" si="60"/>
        <v>464.6304</v>
      </c>
      <c r="I75" s="105">
        <f t="shared" si="60"/>
        <v>492.8799283</v>
      </c>
      <c r="J75" s="105">
        <f t="shared" si="60"/>
        <v>522.847028</v>
      </c>
      <c r="K75" s="105">
        <f t="shared" si="60"/>
        <v>560.0737364</v>
      </c>
      <c r="L75" s="105">
        <f t="shared" si="60"/>
        <v>599.9509864</v>
      </c>
      <c r="M75" s="105">
        <f t="shared" si="60"/>
        <v>642.6674966</v>
      </c>
      <c r="N75" s="105">
        <f t="shared" si="60"/>
        <v>688.4254224</v>
      </c>
      <c r="O75" s="105">
        <f t="shared" si="60"/>
        <v>737.4413124</v>
      </c>
      <c r="P75" s="90"/>
      <c r="Q75" s="91"/>
      <c r="R75" s="209" t="s">
        <v>205</v>
      </c>
      <c r="S75" s="209">
        <f t="shared" ref="S75:AB75" si="61">SUMIFS(F$49:F$59,$E$49:$E$59,$R75)</f>
        <v>59.4129</v>
      </c>
      <c r="T75" s="209">
        <f t="shared" si="61"/>
        <v>67.9002</v>
      </c>
      <c r="U75" s="209">
        <f t="shared" si="61"/>
        <v>72.02853216</v>
      </c>
      <c r="V75" s="209">
        <f t="shared" si="61"/>
        <v>76.40786692</v>
      </c>
      <c r="W75" s="209">
        <f t="shared" si="61"/>
        <v>81.05346522</v>
      </c>
      <c r="X75" s="209">
        <f t="shared" si="61"/>
        <v>86.82447195</v>
      </c>
      <c r="Y75" s="209">
        <f t="shared" si="61"/>
        <v>93.00637435</v>
      </c>
      <c r="Z75" s="209">
        <f t="shared" si="61"/>
        <v>99.6284282</v>
      </c>
      <c r="AA75" s="209">
        <f t="shared" si="61"/>
        <v>106.7219723</v>
      </c>
      <c r="AB75" s="209">
        <f t="shared" si="61"/>
        <v>114.3205767</v>
      </c>
    </row>
    <row r="76" ht="18.0" customHeight="1">
      <c r="A76" s="90"/>
      <c r="B76" s="149"/>
      <c r="C76" s="150" t="s">
        <v>185</v>
      </c>
      <c r="D76" s="149"/>
      <c r="E76" s="149"/>
      <c r="F76" s="149">
        <f t="shared" ref="F76:O76" si="62">SUM(F65:F75)</f>
        <v>3585.96373</v>
      </c>
      <c r="G76" s="149">
        <f t="shared" si="62"/>
        <v>4098.23999</v>
      </c>
      <c r="H76" s="149">
        <f t="shared" si="62"/>
        <v>4347.412981</v>
      </c>
      <c r="I76" s="149">
        <f t="shared" si="62"/>
        <v>4611.735691</v>
      </c>
      <c r="J76" s="149">
        <f t="shared" si="62"/>
        <v>4892.129221</v>
      </c>
      <c r="K76" s="149">
        <f t="shared" si="62"/>
        <v>5240.448821</v>
      </c>
      <c r="L76" s="149">
        <f t="shared" si="62"/>
        <v>5613.568777</v>
      </c>
      <c r="M76" s="149">
        <f t="shared" si="62"/>
        <v>6013.254874</v>
      </c>
      <c r="N76" s="149">
        <f t="shared" si="62"/>
        <v>6441.398621</v>
      </c>
      <c r="O76" s="149">
        <f t="shared" si="62"/>
        <v>6900.026203</v>
      </c>
      <c r="P76" s="90"/>
      <c r="Q76" s="91"/>
      <c r="R76" s="209" t="s">
        <v>19</v>
      </c>
      <c r="S76" s="209">
        <f t="shared" ref="S76:AB76" si="63">SUMIFS(F$49:F$59,$E$49:$E$59,$R76)</f>
        <v>134.75012</v>
      </c>
      <c r="T76" s="209">
        <f t="shared" si="63"/>
        <v>154.00006</v>
      </c>
      <c r="U76" s="209">
        <f t="shared" si="63"/>
        <v>163.3632636</v>
      </c>
      <c r="V76" s="209">
        <f t="shared" si="63"/>
        <v>173.2957501</v>
      </c>
      <c r="W76" s="209">
        <f t="shared" si="63"/>
        <v>183.8321317</v>
      </c>
      <c r="X76" s="209">
        <f t="shared" si="63"/>
        <v>196.9209795</v>
      </c>
      <c r="Y76" s="209">
        <f t="shared" si="63"/>
        <v>210.9417532</v>
      </c>
      <c r="Z76" s="209">
        <f t="shared" si="63"/>
        <v>225.960806</v>
      </c>
      <c r="AA76" s="209">
        <f t="shared" si="63"/>
        <v>242.0492154</v>
      </c>
      <c r="AB76" s="209">
        <f t="shared" si="63"/>
        <v>259.2831195</v>
      </c>
    </row>
    <row r="77" ht="18.0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1"/>
      <c r="R77" s="91"/>
      <c r="S77" s="91"/>
      <c r="T77" s="90"/>
      <c r="U77" s="90"/>
      <c r="V77" s="90"/>
      <c r="W77" s="90"/>
      <c r="X77" s="90"/>
      <c r="Y77" s="90"/>
      <c r="Z77" s="90"/>
      <c r="AA77" s="90"/>
      <c r="AB77" s="90"/>
    </row>
    <row r="78" ht="18.0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1"/>
      <c r="R78" s="91"/>
      <c r="S78" s="91"/>
      <c r="T78" s="90"/>
      <c r="U78" s="90"/>
      <c r="V78" s="90"/>
      <c r="W78" s="90"/>
      <c r="X78" s="90"/>
      <c r="Y78" s="90"/>
      <c r="Z78" s="90"/>
      <c r="AA78" s="90"/>
      <c r="AB78" s="90"/>
    </row>
    <row r="79" ht="18.0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1"/>
      <c r="R79" s="91"/>
      <c r="S79" s="91"/>
      <c r="T79" s="90"/>
      <c r="U79" s="90"/>
      <c r="V79" s="90"/>
      <c r="W79" s="90"/>
      <c r="X79" s="90"/>
      <c r="Y79" s="90"/>
      <c r="Z79" s="90"/>
      <c r="AA79" s="90"/>
      <c r="AB79" s="90"/>
    </row>
    <row r="80" ht="18.0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1"/>
      <c r="R80" s="91"/>
      <c r="S80" s="91"/>
      <c r="T80" s="90"/>
      <c r="U80" s="90"/>
      <c r="V80" s="90"/>
      <c r="W80" s="90"/>
      <c r="X80" s="90"/>
      <c r="Y80" s="90"/>
      <c r="Z80" s="90"/>
      <c r="AA80" s="90"/>
      <c r="AB80" s="90"/>
    </row>
    <row r="81" ht="18.0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1"/>
      <c r="S81" s="91"/>
      <c r="T81" s="90"/>
      <c r="U81" s="90"/>
      <c r="V81" s="90"/>
      <c r="W81" s="90"/>
      <c r="X81" s="90"/>
      <c r="Y81" s="90"/>
      <c r="Z81" s="90"/>
      <c r="AA81" s="90"/>
      <c r="AB81" s="90"/>
    </row>
    <row r="82" ht="18.0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1"/>
      <c r="S82" s="91"/>
      <c r="T82" s="90"/>
      <c r="U82" s="90"/>
      <c r="V82" s="90"/>
      <c r="W82" s="90"/>
      <c r="X82" s="90"/>
      <c r="Y82" s="90"/>
      <c r="Z82" s="90"/>
      <c r="AA82" s="90"/>
      <c r="AB82" s="90"/>
    </row>
    <row r="83" ht="18.0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1"/>
      <c r="S83" s="91"/>
      <c r="T83" s="90"/>
      <c r="U83" s="90"/>
      <c r="V83" s="90"/>
      <c r="W83" s="90"/>
      <c r="X83" s="90"/>
      <c r="Y83" s="90"/>
      <c r="Z83" s="90"/>
      <c r="AA83" s="90"/>
      <c r="AB83" s="90"/>
    </row>
    <row r="84" ht="18.0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203" t="s">
        <v>17</v>
      </c>
      <c r="R84" s="203" t="s">
        <v>311</v>
      </c>
      <c r="S84" s="203" t="s">
        <v>312</v>
      </c>
      <c r="T84" s="90"/>
      <c r="U84" s="90"/>
      <c r="V84" s="90"/>
      <c r="W84" s="90"/>
      <c r="X84" s="90"/>
      <c r="Y84" s="90"/>
      <c r="Z84" s="90"/>
      <c r="AA84" s="90"/>
      <c r="AB84" s="90"/>
    </row>
    <row r="85" ht="18.0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232" t="s">
        <v>313</v>
      </c>
      <c r="R85" s="209">
        <f t="shared" ref="R85:R95" si="64">SUMIFS($O$49:$O$59,$C$49:$C$59,Q85)</f>
        <v>0</v>
      </c>
      <c r="S85" s="209">
        <f t="shared" ref="S85:S95" si="65">SUMIFS($O$65:$O$75,$C$65:$C$75,Q85)</f>
        <v>0</v>
      </c>
      <c r="T85" s="90"/>
      <c r="U85" s="90"/>
      <c r="V85" s="90"/>
      <c r="W85" s="90"/>
      <c r="X85" s="90"/>
      <c r="Y85" s="90"/>
      <c r="Z85" s="90"/>
      <c r="AA85" s="90"/>
      <c r="AB85" s="90"/>
    </row>
    <row r="86" ht="18.0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232" t="s">
        <v>176</v>
      </c>
      <c r="R86" s="209">
        <f t="shared" si="64"/>
        <v>117.8559175</v>
      </c>
      <c r="S86" s="209">
        <f t="shared" si="65"/>
        <v>1140.256002</v>
      </c>
      <c r="T86" s="90"/>
      <c r="U86" s="90"/>
      <c r="V86" s="90"/>
      <c r="W86" s="90"/>
      <c r="X86" s="90"/>
      <c r="Y86" s="90"/>
      <c r="Z86" s="90"/>
      <c r="AA86" s="90"/>
      <c r="AB86" s="90"/>
    </row>
    <row r="87" ht="18.0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232" t="s">
        <v>160</v>
      </c>
      <c r="R87" s="209">
        <f t="shared" si="64"/>
        <v>101.0193579</v>
      </c>
      <c r="S87" s="209">
        <f t="shared" si="65"/>
        <v>1043.866698</v>
      </c>
      <c r="T87" s="90"/>
      <c r="U87" s="90"/>
      <c r="V87" s="90"/>
      <c r="W87" s="90"/>
      <c r="X87" s="90"/>
      <c r="Y87" s="90"/>
      <c r="Z87" s="90"/>
      <c r="AA87" s="90"/>
      <c r="AB87" s="90"/>
    </row>
    <row r="88" ht="18.0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232" t="s">
        <v>167</v>
      </c>
      <c r="R88" s="209">
        <f t="shared" si="64"/>
        <v>94.28490238</v>
      </c>
      <c r="S88" s="209">
        <f t="shared" si="65"/>
        <v>807.7073304</v>
      </c>
      <c r="T88" s="90"/>
      <c r="U88" s="90"/>
      <c r="V88" s="90"/>
      <c r="W88" s="90"/>
      <c r="X88" s="90"/>
      <c r="Y88" s="90"/>
      <c r="Z88" s="90"/>
      <c r="AA88" s="90"/>
      <c r="AB88" s="90"/>
    </row>
    <row r="89" ht="18.0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232" t="s">
        <v>318</v>
      </c>
      <c r="R89" s="209">
        <f t="shared" si="64"/>
        <v>0</v>
      </c>
      <c r="S89" s="209">
        <f t="shared" si="65"/>
        <v>0</v>
      </c>
      <c r="T89" s="90"/>
      <c r="U89" s="90"/>
      <c r="V89" s="90"/>
      <c r="W89" s="90"/>
      <c r="X89" s="90"/>
      <c r="Y89" s="90"/>
      <c r="Z89" s="90"/>
      <c r="AA89" s="90"/>
      <c r="AB89" s="90"/>
    </row>
    <row r="90" ht="18.0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232" t="s">
        <v>175</v>
      </c>
      <c r="R90" s="209">
        <f t="shared" si="64"/>
        <v>53.03516288</v>
      </c>
      <c r="S90" s="209">
        <f t="shared" si="65"/>
        <v>456.1024008</v>
      </c>
      <c r="T90" s="90"/>
      <c r="U90" s="90"/>
      <c r="V90" s="90"/>
      <c r="W90" s="90"/>
      <c r="X90" s="90"/>
      <c r="Y90" s="90"/>
      <c r="Z90" s="90"/>
      <c r="AA90" s="90"/>
      <c r="AB90" s="90"/>
    </row>
    <row r="91" ht="18.0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232" t="s">
        <v>166</v>
      </c>
      <c r="R91" s="209">
        <f t="shared" si="64"/>
        <v>30.64270692</v>
      </c>
      <c r="S91" s="209">
        <f t="shared" si="65"/>
        <v>268.6343973</v>
      </c>
      <c r="T91" s="90"/>
      <c r="U91" s="90"/>
      <c r="V91" s="90"/>
      <c r="W91" s="90"/>
      <c r="X91" s="90"/>
      <c r="Y91" s="90"/>
      <c r="Z91" s="90"/>
      <c r="AA91" s="90"/>
      <c r="AB91" s="90"/>
    </row>
    <row r="92" ht="18.0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232" t="s">
        <v>170</v>
      </c>
      <c r="R92" s="209">
        <f t="shared" si="64"/>
        <v>30.64270692</v>
      </c>
      <c r="S92" s="209">
        <f t="shared" si="65"/>
        <v>263.5272795</v>
      </c>
      <c r="T92" s="90"/>
      <c r="U92" s="90"/>
      <c r="V92" s="90"/>
      <c r="W92" s="90"/>
      <c r="X92" s="90"/>
      <c r="Y92" s="90"/>
      <c r="Z92" s="90"/>
      <c r="AA92" s="90"/>
      <c r="AB92" s="90"/>
    </row>
    <row r="93" ht="18.0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232" t="s">
        <v>172</v>
      </c>
      <c r="R93" s="209">
        <f t="shared" si="64"/>
        <v>22.72935552</v>
      </c>
      <c r="S93" s="209">
        <f t="shared" si="65"/>
        <v>219.7171034</v>
      </c>
      <c r="T93" s="90"/>
      <c r="U93" s="90"/>
      <c r="V93" s="90"/>
      <c r="W93" s="90"/>
      <c r="X93" s="90"/>
      <c r="Y93" s="90"/>
      <c r="Z93" s="90"/>
      <c r="AA93" s="90"/>
      <c r="AB93" s="90"/>
    </row>
    <row r="94" ht="18.0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232" t="s">
        <v>162</v>
      </c>
      <c r="R94" s="209">
        <f t="shared" si="64"/>
        <v>13.13251652</v>
      </c>
      <c r="S94" s="209">
        <f t="shared" si="65"/>
        <v>129.1364125</v>
      </c>
      <c r="T94" s="90"/>
      <c r="U94" s="90"/>
      <c r="V94" s="90"/>
      <c r="W94" s="90"/>
      <c r="X94" s="90"/>
      <c r="Y94" s="90"/>
      <c r="Z94" s="90"/>
      <c r="AA94" s="90"/>
      <c r="AB94" s="90"/>
    </row>
    <row r="95" ht="18.0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232" t="s">
        <v>169</v>
      </c>
      <c r="R95" s="209">
        <f t="shared" si="64"/>
        <v>13.13251652</v>
      </c>
      <c r="S95" s="209">
        <f t="shared" si="65"/>
        <v>112.9396421</v>
      </c>
      <c r="T95" s="90"/>
      <c r="U95" s="90"/>
      <c r="V95" s="90"/>
      <c r="W95" s="90"/>
      <c r="X95" s="90"/>
      <c r="Y95" s="90"/>
      <c r="Z95" s="90"/>
      <c r="AA95" s="90"/>
      <c r="AB95" s="90"/>
    </row>
    <row r="96" ht="18.0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</row>
    <row r="97" ht="18.0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</row>
    <row r="98" ht="18.0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</row>
    <row r="99" ht="18.0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</row>
    <row r="100" ht="18.0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</row>
    <row r="101" ht="18.0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</row>
    <row r="102" ht="18.0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</row>
    <row r="103" ht="18.0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</row>
    <row r="104" ht="18.0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</row>
    <row r="105" ht="18.0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</row>
    <row r="106" ht="18.0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</row>
    <row r="107" ht="18.0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</row>
    <row r="108" ht="18.0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</row>
    <row r="109" ht="18.0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</row>
    <row r="110" ht="18.0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</row>
    <row r="111" ht="18.0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</row>
    <row r="112" ht="18.0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</row>
    <row r="113" ht="18.0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</row>
    <row r="114" ht="18.0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</row>
    <row r="115" ht="18.0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</row>
    <row r="116" ht="18.0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</row>
    <row r="117" ht="18.0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</row>
    <row r="118" ht="18.0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</row>
    <row r="119" ht="18.0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</row>
    <row r="120" ht="18.0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</row>
    <row r="121" ht="18.0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</row>
    <row r="122" ht="18.0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</row>
    <row r="123" ht="18.0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</row>
    <row r="124" ht="18.0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</row>
    <row r="125" ht="18.0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</row>
    <row r="126" ht="18.0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</row>
    <row r="127" ht="18.0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</row>
    <row r="128" ht="18.0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</row>
    <row r="129" ht="18.0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</row>
    <row r="130" ht="18.0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</row>
    <row r="131" ht="18.0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</row>
    <row r="132" ht="18.0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</row>
    <row r="133" ht="18.0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</row>
    <row r="134" ht="18.0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</row>
    <row r="135" ht="18.0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</row>
    <row r="136" ht="18.0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</row>
    <row r="137" ht="18.0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</row>
    <row r="138" ht="18.0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</row>
    <row r="139" ht="18.0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</row>
    <row r="140" ht="18.0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</row>
    <row r="141" ht="18.0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</row>
    <row r="142" ht="18.0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</row>
    <row r="143" ht="18.0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</row>
    <row r="144" ht="18.0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</row>
    <row r="145" ht="18.0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</row>
    <row r="146" ht="18.0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</row>
    <row r="147" ht="18.0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</row>
    <row r="148" ht="18.0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</row>
    <row r="149" ht="18.0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</row>
    <row r="150" ht="18.0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</row>
    <row r="151" ht="18.0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</row>
    <row r="152" ht="18.0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</row>
    <row r="153" ht="18.0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</row>
    <row r="154" ht="18.0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</row>
    <row r="155" ht="18.0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</row>
    <row r="156" ht="18.0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</row>
    <row r="157" ht="18.0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</row>
    <row r="158" ht="18.0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</row>
    <row r="159" ht="18.0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</row>
    <row r="160" ht="18.0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</row>
    <row r="161" ht="18.0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</row>
    <row r="162" ht="18.0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</row>
    <row r="163" ht="18.0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</row>
    <row r="164" ht="18.0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</row>
    <row r="165" ht="18.0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</row>
    <row r="166" ht="18.0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</row>
    <row r="167" ht="18.0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</row>
    <row r="168" ht="18.0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</row>
    <row r="169" ht="18.0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</row>
    <row r="170" ht="18.0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</row>
    <row r="171" ht="18.0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</row>
    <row r="172" ht="18.0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</row>
    <row r="173" ht="18.0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</row>
    <row r="174" ht="18.0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</row>
    <row r="175" ht="18.0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</row>
    <row r="176" ht="18.0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</row>
    <row r="177" ht="18.0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</row>
    <row r="178" ht="18.0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</row>
    <row r="179" ht="18.0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</row>
    <row r="180" ht="18.0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</row>
    <row r="181" ht="18.0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</row>
    <row r="182" ht="18.0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</row>
    <row r="183" ht="18.0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</row>
    <row r="184" ht="18.0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</row>
    <row r="185" ht="18.0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</row>
    <row r="186" ht="18.0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</row>
    <row r="187" ht="18.0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</row>
    <row r="188" ht="18.0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</row>
    <row r="189" ht="18.0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</row>
    <row r="190" ht="18.0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</row>
    <row r="191" ht="18.0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</row>
    <row r="192" ht="18.0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</row>
    <row r="193" ht="18.0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</row>
    <row r="194" ht="18.0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</row>
    <row r="195" ht="18.0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</row>
    <row r="196" ht="18.0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</row>
    <row r="197" ht="18.0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</row>
    <row r="198" ht="18.0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</row>
    <row r="199" ht="18.0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</row>
    <row r="200" ht="18.0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</row>
    <row r="201" ht="18.0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</row>
    <row r="202" ht="18.0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</row>
    <row r="203" ht="18.0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</row>
    <row r="204" ht="18.0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</row>
    <row r="205" ht="18.0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</row>
    <row r="206" ht="18.0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</row>
    <row r="207" ht="18.0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</row>
    <row r="208" ht="18.0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</row>
    <row r="209" ht="18.0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</row>
    <row r="210" ht="18.0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</row>
    <row r="211" ht="18.0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</row>
    <row r="212" ht="18.0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</row>
    <row r="213" ht="18.0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</row>
    <row r="214" ht="18.0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</row>
    <row r="215" ht="18.0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</row>
    <row r="216" ht="18.0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</row>
    <row r="217" ht="18.0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</row>
    <row r="218" ht="18.0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</row>
    <row r="219" ht="18.0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</row>
    <row r="220" ht="18.0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</row>
    <row r="221" ht="18.0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</row>
    <row r="222" ht="18.0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</row>
    <row r="223" ht="18.0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</row>
    <row r="224" ht="18.0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</row>
    <row r="225" ht="18.0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</row>
    <row r="226" ht="18.0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</row>
    <row r="227" ht="18.0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</row>
    <row r="228" ht="18.0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</row>
    <row r="229" ht="18.0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</row>
    <row r="230" ht="18.0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</row>
    <row r="231" ht="18.0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</row>
    <row r="232" ht="18.0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</row>
    <row r="233" ht="18.0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</row>
    <row r="234" ht="18.0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</row>
    <row r="235" ht="18.0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</row>
    <row r="236" ht="18.0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</row>
    <row r="237" ht="18.0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</row>
    <row r="238" ht="18.0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</row>
    <row r="239" ht="18.0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</row>
    <row r="240" ht="18.0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</row>
    <row r="241" ht="18.0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</row>
    <row r="242" ht="18.0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</row>
    <row r="243" ht="18.0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</row>
    <row r="244" ht="18.0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</row>
    <row r="245" ht="18.0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</row>
    <row r="246" ht="18.0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</row>
    <row r="247" ht="18.0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</row>
    <row r="248" ht="18.0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</row>
    <row r="249" ht="18.0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</row>
    <row r="250" ht="18.0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</row>
    <row r="251" ht="18.0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</row>
    <row r="252" ht="18.0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</row>
    <row r="253" ht="18.0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</row>
    <row r="254" ht="18.0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</row>
    <row r="255" ht="18.0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</row>
    <row r="256" ht="18.0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</row>
    <row r="257" ht="18.0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</row>
    <row r="258" ht="18.0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</row>
    <row r="259" ht="18.0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</row>
    <row r="260" ht="18.0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</row>
    <row r="261" ht="18.0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</row>
    <row r="262" ht="18.0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</row>
    <row r="263" ht="18.0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</row>
    <row r="264" ht="18.0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</row>
    <row r="265" ht="18.0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</row>
    <row r="266" ht="18.0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</row>
    <row r="267" ht="18.0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</row>
    <row r="268" ht="18.0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</row>
    <row r="269" ht="18.0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</row>
    <row r="270" ht="18.0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</row>
    <row r="271" ht="18.0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</row>
    <row r="272" ht="18.0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</row>
    <row r="273" ht="18.0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</row>
    <row r="274" ht="18.0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</row>
    <row r="275" ht="18.0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</row>
    <row r="276" ht="18.0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</row>
    <row r="277" ht="18.0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</row>
    <row r="278" ht="18.0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</row>
    <row r="279" ht="18.0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</row>
    <row r="280" ht="18.0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</row>
    <row r="281" ht="18.0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</row>
    <row r="282" ht="18.0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</row>
    <row r="283" ht="18.0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</row>
    <row r="284" ht="18.0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</row>
    <row r="285" ht="18.0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</row>
    <row r="286" ht="18.0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</row>
    <row r="287" ht="18.0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</row>
    <row r="288" ht="18.0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</row>
    <row r="289" ht="18.0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</row>
    <row r="290" ht="18.0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</row>
    <row r="291" ht="18.0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</row>
    <row r="292" ht="18.0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</row>
    <row r="293" ht="18.0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</row>
    <row r="294" ht="18.0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</row>
    <row r="295" ht="18.0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O2"/>
    <mergeCell ref="H3:K3"/>
    <mergeCell ref="L3:O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4" width="9.14"/>
    <col customWidth="1" min="5" max="5" width="46.29"/>
    <col customWidth="1" min="6" max="11" width="4.29"/>
    <col customWidth="1" min="12" max="14" width="11.29"/>
    <col customWidth="1" min="15" max="15" width="19.43"/>
    <col customWidth="1" min="18" max="18" width="12.14"/>
    <col customWidth="1" min="19" max="19" width="39.14"/>
    <col customWidth="1" min="33" max="33" width="9.43"/>
    <col customWidth="1" min="36" max="36" width="9.43"/>
    <col customWidth="1" min="37" max="37" width="26.14"/>
    <col customWidth="1" min="38" max="38" width="16.86"/>
    <col customWidth="1" min="40" max="40" width="9.86"/>
    <col customWidth="1" min="41" max="41" width="12.71"/>
    <col customWidth="1" min="42" max="42" width="9.86"/>
    <col customWidth="1" min="43" max="43" width="12.71"/>
    <col customWidth="1" min="46" max="46" width="11.86"/>
    <col customWidth="1" min="47" max="47" width="25.57"/>
    <col customWidth="1" min="48" max="48" width="27.0"/>
    <col customWidth="1" min="49" max="50" width="13.86"/>
    <col customWidth="1" min="51" max="51" width="16.71"/>
    <col customWidth="1" min="53" max="53" width="12.57"/>
    <col customWidth="1" min="55" max="55" width="11.14"/>
    <col customWidth="1" min="57" max="57" width="19.43"/>
    <col customWidth="1" min="58" max="58" width="18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ht="19.5" customHeight="1">
      <c r="A2" s="1"/>
      <c r="B2" s="9"/>
      <c r="C2" s="10"/>
      <c r="D2" s="12" t="s">
        <v>7</v>
      </c>
      <c r="E2" s="13"/>
      <c r="F2" s="13"/>
      <c r="G2" s="13"/>
      <c r="H2" s="13"/>
      <c r="I2" s="13"/>
      <c r="J2" s="13"/>
      <c r="K2" s="13"/>
      <c r="L2" s="14"/>
      <c r="M2" s="15" t="s">
        <v>8</v>
      </c>
      <c r="N2" s="16"/>
      <c r="O2" s="17"/>
      <c r="P2" s="1"/>
      <c r="Q2" s="1"/>
      <c r="R2" s="18" t="s">
        <v>10</v>
      </c>
      <c r="S2" s="1"/>
      <c r="T2" s="1"/>
      <c r="U2" s="1"/>
      <c r="V2" s="1"/>
      <c r="W2" s="1"/>
      <c r="X2" s="1"/>
      <c r="Y2" s="1"/>
      <c r="Z2" s="1"/>
      <c r="AA2" s="1"/>
      <c r="AB2" s="19" t="s">
        <v>11</v>
      </c>
      <c r="AC2" s="1"/>
      <c r="AD2" s="1"/>
      <c r="AE2" s="1"/>
      <c r="AF2" s="19" t="s">
        <v>11</v>
      </c>
      <c r="AG2" s="1"/>
      <c r="AH2" s="20">
        <f>AL6</f>
        <v>426720.6578</v>
      </c>
      <c r="AI2" s="20">
        <f>AL23</f>
        <v>343531.7562</v>
      </c>
      <c r="AJ2" s="1"/>
      <c r="AK2" s="21" t="s">
        <v>14</v>
      </c>
      <c r="AL2" s="1"/>
      <c r="AM2" s="1"/>
      <c r="AN2" s="1"/>
      <c r="AO2" s="1"/>
      <c r="AP2" s="1"/>
      <c r="AQ2" s="1"/>
      <c r="AR2" s="1"/>
      <c r="AS2" s="1"/>
      <c r="AT2" s="1"/>
      <c r="AU2" s="21" t="s">
        <v>14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9.5" customHeight="1">
      <c r="A3" s="1"/>
      <c r="B3" s="22"/>
      <c r="C3" s="22"/>
      <c r="D3" s="24" t="s">
        <v>16</v>
      </c>
      <c r="E3" s="28">
        <f>SUMIFS('Plan de ventas'!$O$48:$O$60,'Plan de ventas'!$B$48:$B$60,D12)*1000</f>
        <v>101019.3579</v>
      </c>
      <c r="F3" s="29"/>
      <c r="G3" s="29"/>
      <c r="H3" s="29"/>
      <c r="I3" s="29"/>
      <c r="J3" s="29"/>
      <c r="K3" s="29"/>
      <c r="L3" s="29"/>
      <c r="M3" s="30"/>
      <c r="O3" s="31"/>
      <c r="P3" s="1"/>
      <c r="Q3" s="1"/>
      <c r="R3" s="33" t="s">
        <v>20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28</v>
      </c>
      <c r="Y3" s="33" t="s">
        <v>29</v>
      </c>
      <c r="Z3" s="33" t="s">
        <v>30</v>
      </c>
      <c r="AA3" s="33" t="s">
        <v>31</v>
      </c>
      <c r="AB3" s="34" t="s">
        <v>32</v>
      </c>
      <c r="AC3" s="33" t="s">
        <v>33</v>
      </c>
      <c r="AD3" s="33" t="s">
        <v>34</v>
      </c>
      <c r="AE3" s="33" t="s">
        <v>35</v>
      </c>
      <c r="AF3" s="34" t="s">
        <v>37</v>
      </c>
      <c r="AG3" s="35"/>
      <c r="AH3" s="34" t="s">
        <v>32</v>
      </c>
      <c r="AI3" s="34" t="s">
        <v>37</v>
      </c>
      <c r="AJ3" s="35"/>
      <c r="AK3" s="37" t="s">
        <v>38</v>
      </c>
      <c r="AL3" s="38"/>
      <c r="AM3" s="38"/>
      <c r="AN3" s="38"/>
      <c r="AO3" s="38"/>
      <c r="AP3" s="38"/>
      <c r="AQ3" s="38"/>
      <c r="AR3" s="38"/>
      <c r="AS3" s="40"/>
      <c r="AT3" s="1"/>
      <c r="AU3" s="41" t="s">
        <v>40</v>
      </c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43"/>
      <c r="BH3" s="1"/>
      <c r="BI3" s="1"/>
      <c r="BJ3" s="1"/>
      <c r="BK3" s="1"/>
      <c r="BL3" s="1"/>
      <c r="BM3" s="44"/>
      <c r="BN3" s="44"/>
      <c r="BO3" s="44"/>
    </row>
    <row r="4" ht="19.5" customHeight="1">
      <c r="A4" s="1"/>
      <c r="B4" s="45" t="s">
        <v>41</v>
      </c>
      <c r="C4" s="38"/>
      <c r="D4" s="43"/>
      <c r="E4" s="46">
        <v>1.0</v>
      </c>
      <c r="F4" s="47" t="str">
        <f>"Línea: Gourmet     |     Versión n°: 1"&amp;CHAR(10)&amp;CHAR(10)&amp;"Lote = "&amp;E4&amp;" cajas × "&amp;E5&amp;" unid./caja = "&amp;(E4*E5)&amp;" unidades"&amp;CHAR(10)&amp;"Producto terminado = "&amp;TEXT(E8,"#,##0.00")&amp;" kg"&amp;CHAR(10)&amp;"Mezcla a preparar = "&amp;TEXT(E9,"#,##0.00")&amp;" kg   (rendimiento "&amp;TEXT(E7,"0%")&amp;")"</f>
        <v>Línea: Gourmet     |     Versión n°: 1
Lote = 1 cajas × 20 unid./caja = 20 unidades
Producto terminado = 3,00 kg
Mezcla a preparar = 3,41 kg   (rendimiento 88%)</v>
      </c>
      <c r="G4" s="48"/>
      <c r="H4" s="48"/>
      <c r="I4" s="48"/>
      <c r="J4" s="48"/>
      <c r="K4" s="48"/>
      <c r="L4" s="49"/>
      <c r="M4" s="30"/>
      <c r="O4" s="31"/>
      <c r="P4" s="1"/>
      <c r="Q4" s="1"/>
      <c r="R4" s="50"/>
      <c r="S4" s="51" t="s">
        <v>45</v>
      </c>
      <c r="T4" s="52">
        <f>SUMIFS('Plan de ventas'!$P$48:$P$60,'Plan de ventas'!$B$48:$B$60,T3)</f>
        <v>0.2816897441</v>
      </c>
      <c r="U4" s="52">
        <f>SUMIFS('Plan de ventas'!$P$48:$P$60,'Plan de ventas'!$B$48:$B$60,U3)</f>
        <v>0.03661966673</v>
      </c>
      <c r="V4" s="52">
        <f>SUMIFS('Plan de ventas'!$P$48:$P$60,'Plan de ventas'!$B$48:$B$60,V3)</f>
        <v>0.08544635853</v>
      </c>
      <c r="W4" s="52">
        <f>SUMIFS('Plan de ventas'!$P$48:$P$60,'Plan de ventas'!$B$48:$B$60,W3)</f>
        <v>0.2629108973</v>
      </c>
      <c r="X4" s="52">
        <f>SUMIFS('Plan de ventas'!$P$48:$P$60,'Plan de ventas'!$B$48:$B$60,X3)</f>
        <v>0.03661966673</v>
      </c>
      <c r="Y4" s="52">
        <f>SUMIFS('Plan de ventas'!$P$48:$P$60,'Plan de ventas'!$B$48:$B$60,Y3)</f>
        <v>0.08544635853</v>
      </c>
      <c r="Z4" s="52">
        <f>SUMIFS('Plan de ventas'!$P$48:$P$60,'Plan de ventas'!$B$48:$B$60,Z3)</f>
        <v>0.06338019242</v>
      </c>
      <c r="AA4" s="52">
        <f>SUMIFS('Plan de ventas'!$P$48:$P$60,'Plan de ventas'!$B$48:$B$60,AA3)</f>
        <v>0.1478871157</v>
      </c>
      <c r="AB4" s="54">
        <f>SUM(T4:AA4)</f>
        <v>1</v>
      </c>
      <c r="AC4" s="52">
        <f>SUMIFS('Plan de ventas'!$P$48:$P$60,'Plan de ventas'!$B$48:$B$60,AC3)</f>
        <v>0.3684209363</v>
      </c>
      <c r="AD4" s="52">
        <f>SUMIFS('Plan de ventas'!$P$48:$P$60,'Plan de ventas'!$B$48:$B$60,AD3)</f>
        <v>0.4421054393</v>
      </c>
      <c r="AE4" s="52">
        <f>SUMIFS('Plan de ventas'!$P$48:$P$60,'Plan de ventas'!$B$48:$B$60,AE3)</f>
        <v>0.1894736244</v>
      </c>
      <c r="AF4" s="54">
        <f>SUM(AC4:AE4)</f>
        <v>1</v>
      </c>
      <c r="AG4" s="1"/>
      <c r="AH4" s="55"/>
      <c r="AI4" s="55"/>
      <c r="AJ4" s="1"/>
      <c r="AK4" s="57" t="s">
        <v>48</v>
      </c>
      <c r="AL4" s="57" t="s">
        <v>49</v>
      </c>
      <c r="AM4" s="57" t="s">
        <v>50</v>
      </c>
      <c r="AN4" s="58" t="s">
        <v>51</v>
      </c>
      <c r="AO4" s="38"/>
      <c r="AP4" s="38"/>
      <c r="AQ4" s="43"/>
      <c r="AR4" s="59" t="s">
        <v>52</v>
      </c>
      <c r="AS4" s="49"/>
      <c r="AT4" s="1"/>
      <c r="AU4" s="60" t="s">
        <v>53</v>
      </c>
      <c r="AV4" s="60" t="s">
        <v>54</v>
      </c>
      <c r="AW4" s="61" t="s">
        <v>55</v>
      </c>
      <c r="AX4" s="43"/>
      <c r="AY4" s="61" t="s">
        <v>56</v>
      </c>
      <c r="AZ4" s="43"/>
      <c r="BA4" s="61" t="s">
        <v>57</v>
      </c>
      <c r="BB4" s="43"/>
      <c r="BC4" s="61" t="s">
        <v>18</v>
      </c>
      <c r="BD4" s="43"/>
      <c r="BE4" s="60" t="s">
        <v>58</v>
      </c>
      <c r="BF4" s="60" t="s">
        <v>59</v>
      </c>
      <c r="BG4" s="60" t="s">
        <v>60</v>
      </c>
      <c r="BH4" s="1"/>
      <c r="BI4" s="1"/>
      <c r="BJ4" s="1"/>
      <c r="BK4" s="1"/>
      <c r="BL4" s="1"/>
      <c r="BM4" s="63"/>
      <c r="BN4" s="63"/>
      <c r="BO4" s="63"/>
    </row>
    <row r="5" ht="19.5" customHeight="1">
      <c r="A5" s="1"/>
      <c r="B5" s="45" t="s">
        <v>62</v>
      </c>
      <c r="C5" s="38"/>
      <c r="D5" s="43"/>
      <c r="E5" s="46">
        <v>20.0</v>
      </c>
      <c r="F5" s="65"/>
      <c r="L5" s="31"/>
      <c r="M5" s="30"/>
      <c r="O5" s="31"/>
      <c r="P5" s="1"/>
      <c r="Q5" s="1"/>
      <c r="R5" s="66" t="s">
        <v>63</v>
      </c>
      <c r="S5" s="66" t="s">
        <v>64</v>
      </c>
      <c r="T5" s="67">
        <f t="shared" ref="T5:AA5" si="1">SUMIFS($L:$L,$C:$C,T$3,$D:$D,$R5)*100</f>
        <v>26.5</v>
      </c>
      <c r="U5" s="67">
        <f t="shared" si="1"/>
        <v>24</v>
      </c>
      <c r="V5" s="67">
        <f t="shared" si="1"/>
        <v>22</v>
      </c>
      <c r="W5" s="67">
        <f t="shared" si="1"/>
        <v>23.32</v>
      </c>
      <c r="X5" s="67">
        <f t="shared" si="1"/>
        <v>0</v>
      </c>
      <c r="Y5" s="67">
        <f t="shared" si="1"/>
        <v>0</v>
      </c>
      <c r="Z5" s="67">
        <f t="shared" si="1"/>
        <v>24</v>
      </c>
      <c r="AA5" s="67">
        <f t="shared" si="1"/>
        <v>28</v>
      </c>
      <c r="AB5" s="69">
        <f t="shared" ref="AB5:AB29" si="4">SUMPRODUCT($T$4:$AA$4,T5:AA5)</f>
        <v>22.01651609</v>
      </c>
      <c r="AC5" s="67">
        <f t="shared" ref="AC5:AE5" si="2">SUMIFS($L:$L,$C:$C,AC$3,$D:$D,$R5)*100</f>
        <v>0</v>
      </c>
      <c r="AD5" s="67">
        <f t="shared" si="2"/>
        <v>12</v>
      </c>
      <c r="AE5" s="67">
        <f t="shared" si="2"/>
        <v>11</v>
      </c>
      <c r="AF5" s="69">
        <f t="shared" ref="AF5:AF29" si="6">SUMPRODUCT($AC$4:$AE$4,AC5:AE5)</f>
        <v>7.38947514</v>
      </c>
      <c r="AG5" s="1"/>
      <c r="AH5" s="70">
        <f t="shared" ref="AH5:AH29" si="7">AB5/100*$AL$6</f>
        <v>93949.02229</v>
      </c>
      <c r="AI5" s="70">
        <f t="shared" ref="AI5:AI29" si="8">AF5/100*$AL$23</f>
        <v>25385.19372</v>
      </c>
      <c r="AJ5" s="1"/>
      <c r="AK5" s="71"/>
      <c r="AL5" s="71"/>
      <c r="AM5" s="71"/>
      <c r="AN5" s="58" t="s">
        <v>68</v>
      </c>
      <c r="AO5" s="43"/>
      <c r="AP5" s="58" t="s">
        <v>69</v>
      </c>
      <c r="AQ5" s="43"/>
      <c r="AR5" s="72"/>
      <c r="AS5" s="73"/>
      <c r="AT5" s="1"/>
      <c r="AU5" s="74" t="s">
        <v>70</v>
      </c>
      <c r="AV5" s="75"/>
      <c r="AW5" s="76">
        <v>130.0</v>
      </c>
      <c r="AX5" s="77" t="s">
        <v>21</v>
      </c>
      <c r="AY5" s="77" t="s">
        <v>71</v>
      </c>
      <c r="AZ5" s="77" t="s">
        <v>72</v>
      </c>
      <c r="BA5" s="76"/>
      <c r="BB5" s="77" t="s">
        <v>21</v>
      </c>
      <c r="BC5" s="77" t="s">
        <v>73</v>
      </c>
      <c r="BD5" s="77" t="s">
        <v>74</v>
      </c>
      <c r="BE5" s="78">
        <v>1.3E7</v>
      </c>
      <c r="BF5" s="79"/>
      <c r="BG5" s="80"/>
      <c r="BH5" s="1"/>
      <c r="BI5" s="1"/>
      <c r="BJ5" s="1"/>
      <c r="BK5" s="1"/>
      <c r="BL5" s="1"/>
      <c r="BM5" s="81"/>
      <c r="BN5" s="81"/>
      <c r="BO5" s="81"/>
    </row>
    <row r="6" ht="19.5" customHeight="1">
      <c r="A6" s="1"/>
      <c r="B6" s="45" t="s">
        <v>75</v>
      </c>
      <c r="C6" s="38"/>
      <c r="D6" s="43"/>
      <c r="E6" s="46">
        <v>150.0</v>
      </c>
      <c r="F6" s="65"/>
      <c r="L6" s="31"/>
      <c r="M6" s="30"/>
      <c r="O6" s="31"/>
      <c r="P6" s="1"/>
      <c r="Q6" s="1"/>
      <c r="R6" s="66" t="s">
        <v>76</v>
      </c>
      <c r="S6" s="66" t="s">
        <v>77</v>
      </c>
      <c r="T6" s="67">
        <f t="shared" ref="T6:AA6" si="3">SUMIFS($L:$L,$C:$C,T$3,$D:$D,$R6)*100</f>
        <v>0.5</v>
      </c>
      <c r="U6" s="67">
        <f t="shared" si="3"/>
        <v>0.4</v>
      </c>
      <c r="V6" s="67">
        <f t="shared" si="3"/>
        <v>0</v>
      </c>
      <c r="W6" s="67">
        <f t="shared" si="3"/>
        <v>0</v>
      </c>
      <c r="X6" s="67">
        <f t="shared" si="3"/>
        <v>1.5</v>
      </c>
      <c r="Y6" s="67">
        <f t="shared" si="3"/>
        <v>1.5</v>
      </c>
      <c r="Z6" s="67">
        <f t="shared" si="3"/>
        <v>0</v>
      </c>
      <c r="AA6" s="67">
        <f t="shared" si="3"/>
        <v>0.5</v>
      </c>
      <c r="AB6" s="69">
        <f t="shared" si="4"/>
        <v>0.4125353345</v>
      </c>
      <c r="AC6" s="67">
        <f t="shared" ref="AC6:AE6" si="5">SUMIFS($L:$L,$C:$C,AC$3,$D:$D,$R6)*100</f>
        <v>1</v>
      </c>
      <c r="AD6" s="67">
        <f t="shared" si="5"/>
        <v>0.5</v>
      </c>
      <c r="AE6" s="67">
        <f t="shared" si="5"/>
        <v>0.3</v>
      </c>
      <c r="AF6" s="69">
        <f t="shared" si="6"/>
        <v>0.6463157433</v>
      </c>
      <c r="AG6" s="1"/>
      <c r="AH6" s="70">
        <f t="shared" si="7"/>
        <v>1760.373493</v>
      </c>
      <c r="AI6" s="70">
        <f t="shared" si="8"/>
        <v>2220.299823</v>
      </c>
      <c r="AJ6" s="1"/>
      <c r="AK6" s="82" t="s">
        <v>78</v>
      </c>
      <c r="AL6" s="83">
        <f>AR14*(1+AL16)</f>
        <v>426720.6578</v>
      </c>
      <c r="AM6" s="84">
        <v>0.0</v>
      </c>
      <c r="AN6" s="85"/>
      <c r="AO6" s="84">
        <f t="shared" ref="AO6:AO13" si="11">AL6*AN6</f>
        <v>0</v>
      </c>
      <c r="AP6" s="85"/>
      <c r="AQ6" s="84">
        <f t="shared" ref="AQ6:AQ13" si="12">AL6*AP6</f>
        <v>0</v>
      </c>
      <c r="AR6" s="84">
        <f t="shared" ref="AR6:AR13" si="13">AL6+AM6-AO6-AQ6</f>
        <v>426720.6578</v>
      </c>
      <c r="AS6" s="86" t="s">
        <v>79</v>
      </c>
      <c r="AT6" s="1"/>
      <c r="AU6" s="74" t="s">
        <v>80</v>
      </c>
      <c r="AV6" s="75" t="s">
        <v>81</v>
      </c>
      <c r="AW6" s="76"/>
      <c r="AX6" s="77" t="s">
        <v>82</v>
      </c>
      <c r="AY6" s="77"/>
      <c r="AZ6" s="77" t="s">
        <v>72</v>
      </c>
      <c r="BA6" s="76"/>
      <c r="BB6" s="77" t="s">
        <v>21</v>
      </c>
      <c r="BC6" s="77" t="s">
        <v>73</v>
      </c>
      <c r="BD6" s="77" t="s">
        <v>74</v>
      </c>
      <c r="BE6" s="87"/>
      <c r="BF6" s="79"/>
      <c r="BG6" s="80"/>
      <c r="BH6" s="1"/>
      <c r="BI6" s="1"/>
      <c r="BJ6" s="1"/>
      <c r="BK6" s="1"/>
      <c r="BL6" s="1"/>
      <c r="BM6" s="1"/>
      <c r="BN6" s="1"/>
      <c r="BO6" s="1"/>
    </row>
    <row r="7" ht="19.5" customHeight="1">
      <c r="A7" s="1"/>
      <c r="B7" s="45" t="s">
        <v>83</v>
      </c>
      <c r="C7" s="38"/>
      <c r="D7" s="43"/>
      <c r="E7" s="88">
        <v>0.88</v>
      </c>
      <c r="F7" s="65"/>
      <c r="L7" s="31"/>
      <c r="M7" s="30"/>
      <c r="O7" s="31"/>
      <c r="P7" s="1"/>
      <c r="Q7" s="1"/>
      <c r="R7" s="66" t="s">
        <v>84</v>
      </c>
      <c r="S7" s="66" t="s">
        <v>85</v>
      </c>
      <c r="T7" s="67">
        <f t="shared" ref="T7:AA7" si="9">SUMIFS($L:$L,$C:$C,T$3,$D:$D,$R7)*100</f>
        <v>0.5</v>
      </c>
      <c r="U7" s="67">
        <f t="shared" si="9"/>
        <v>0</v>
      </c>
      <c r="V7" s="67">
        <f t="shared" si="9"/>
        <v>0</v>
      </c>
      <c r="W7" s="67">
        <f t="shared" si="9"/>
        <v>0</v>
      </c>
      <c r="X7" s="67">
        <f t="shared" si="9"/>
        <v>0</v>
      </c>
      <c r="Y7" s="67">
        <f t="shared" si="9"/>
        <v>0</v>
      </c>
      <c r="Z7" s="67">
        <f t="shared" si="9"/>
        <v>1.5</v>
      </c>
      <c r="AA7" s="67">
        <f t="shared" si="9"/>
        <v>1</v>
      </c>
      <c r="AB7" s="69">
        <f t="shared" si="4"/>
        <v>0.3838022763</v>
      </c>
      <c r="AC7" s="67">
        <f t="shared" ref="AC7:AE7" si="10">SUMIFS($L:$L,$C:$C,AC$3,$D:$D,$R7)*100</f>
        <v>0</v>
      </c>
      <c r="AD7" s="67">
        <f t="shared" si="10"/>
        <v>0</v>
      </c>
      <c r="AE7" s="67">
        <f t="shared" si="10"/>
        <v>0</v>
      </c>
      <c r="AF7" s="69">
        <f t="shared" si="6"/>
        <v>0</v>
      </c>
      <c r="AG7" s="1"/>
      <c r="AH7" s="70">
        <f t="shared" si="7"/>
        <v>1637.763598</v>
      </c>
      <c r="AI7" s="70">
        <f t="shared" si="8"/>
        <v>0</v>
      </c>
      <c r="AJ7" s="1"/>
      <c r="AK7" s="82" t="s">
        <v>86</v>
      </c>
      <c r="AL7" s="84">
        <f t="shared" ref="AL7:AL13" si="16">AR6</f>
        <v>426720.6578</v>
      </c>
      <c r="AM7" s="84">
        <v>0.0</v>
      </c>
      <c r="AN7" s="85">
        <v>0.03</v>
      </c>
      <c r="AO7" s="84">
        <f t="shared" si="11"/>
        <v>12801.61974</v>
      </c>
      <c r="AP7" s="85">
        <v>0.02</v>
      </c>
      <c r="AQ7" s="84">
        <f t="shared" si="12"/>
        <v>8534.413157</v>
      </c>
      <c r="AR7" s="84">
        <f t="shared" si="13"/>
        <v>405384.6249</v>
      </c>
      <c r="AS7" s="86" t="s">
        <v>79</v>
      </c>
      <c r="AT7" s="1"/>
      <c r="AU7" s="74" t="s">
        <v>87</v>
      </c>
      <c r="AV7" s="75"/>
      <c r="AW7" s="76"/>
      <c r="AX7" s="77" t="s">
        <v>82</v>
      </c>
      <c r="AY7" s="77"/>
      <c r="AZ7" s="77" t="s">
        <v>72</v>
      </c>
      <c r="BA7" s="76"/>
      <c r="BB7" s="77" t="s">
        <v>21</v>
      </c>
      <c r="BC7" s="77" t="s">
        <v>73</v>
      </c>
      <c r="BD7" s="77" t="s">
        <v>74</v>
      </c>
      <c r="BE7" s="87"/>
      <c r="BF7" s="79"/>
      <c r="BG7" s="80"/>
      <c r="BH7" s="1"/>
      <c r="BI7" s="1"/>
      <c r="BJ7" s="1"/>
      <c r="BK7" s="1"/>
      <c r="BL7" s="1"/>
      <c r="BM7" s="1"/>
      <c r="BN7" s="1"/>
      <c r="BO7" s="1"/>
    </row>
    <row r="8" ht="19.5" customHeight="1">
      <c r="A8" s="1"/>
      <c r="B8" s="45" t="s">
        <v>88</v>
      </c>
      <c r="C8" s="38"/>
      <c r="D8" s="43"/>
      <c r="E8" s="92">
        <f>E4*E5*E6/1000</f>
        <v>3</v>
      </c>
      <c r="F8" s="65"/>
      <c r="L8" s="31"/>
      <c r="M8" s="30"/>
      <c r="O8" s="31"/>
      <c r="P8" s="1"/>
      <c r="Q8" s="1"/>
      <c r="R8" s="66" t="s">
        <v>89</v>
      </c>
      <c r="S8" s="66" t="s">
        <v>90</v>
      </c>
      <c r="T8" s="67">
        <f t="shared" ref="T8:AA8" si="14">SUMIFS($L:$L,$C:$C,T$3,$D:$D,$R8)*100</f>
        <v>0.8</v>
      </c>
      <c r="U8" s="67">
        <f t="shared" si="14"/>
        <v>1</v>
      </c>
      <c r="V8" s="67">
        <f t="shared" si="14"/>
        <v>1</v>
      </c>
      <c r="W8" s="67">
        <f t="shared" si="14"/>
        <v>0.432</v>
      </c>
      <c r="X8" s="67">
        <f t="shared" si="14"/>
        <v>1</v>
      </c>
      <c r="Y8" s="67">
        <f t="shared" si="14"/>
        <v>1</v>
      </c>
      <c r="Z8" s="67">
        <f t="shared" si="14"/>
        <v>1</v>
      </c>
      <c r="AA8" s="67">
        <f t="shared" si="14"/>
        <v>1</v>
      </c>
      <c r="AB8" s="69">
        <f t="shared" si="4"/>
        <v>0.7943286615</v>
      </c>
      <c r="AC8" s="67">
        <f t="shared" ref="AC8:AE8" si="15">SUMIFS($L:$L,$C:$C,AC$3,$D:$D,$R8)*100</f>
        <v>1.5</v>
      </c>
      <c r="AD8" s="67">
        <f t="shared" si="15"/>
        <v>1</v>
      </c>
      <c r="AE8" s="67">
        <f t="shared" si="15"/>
        <v>1</v>
      </c>
      <c r="AF8" s="69">
        <f t="shared" si="6"/>
        <v>1.184210468</v>
      </c>
      <c r="AG8" s="1"/>
      <c r="AH8" s="70">
        <f t="shared" si="7"/>
        <v>3389.56449</v>
      </c>
      <c r="AI8" s="70">
        <f t="shared" si="8"/>
        <v>4068.139018</v>
      </c>
      <c r="AJ8" s="1"/>
      <c r="AK8" s="82" t="s">
        <v>92</v>
      </c>
      <c r="AL8" s="84">
        <f t="shared" si="16"/>
        <v>405384.6249</v>
      </c>
      <c r="AM8" s="84">
        <v>0.0</v>
      </c>
      <c r="AN8" s="85"/>
      <c r="AO8" s="84">
        <f t="shared" si="11"/>
        <v>0</v>
      </c>
      <c r="AP8" s="85">
        <v>0.04</v>
      </c>
      <c r="AQ8" s="84">
        <f t="shared" si="12"/>
        <v>16215.385</v>
      </c>
      <c r="AR8" s="84">
        <f t="shared" si="13"/>
        <v>389169.24</v>
      </c>
      <c r="AS8" s="86" t="s">
        <v>79</v>
      </c>
      <c r="AT8" s="1"/>
      <c r="AU8" s="74" t="s">
        <v>94</v>
      </c>
      <c r="AV8" s="75"/>
      <c r="AW8" s="76"/>
      <c r="AX8" s="77" t="s">
        <v>82</v>
      </c>
      <c r="AY8" s="77"/>
      <c r="AZ8" s="77" t="s">
        <v>72</v>
      </c>
      <c r="BA8" s="76"/>
      <c r="BB8" s="77" t="s">
        <v>21</v>
      </c>
      <c r="BC8" s="77" t="s">
        <v>73</v>
      </c>
      <c r="BD8" s="77" t="s">
        <v>74</v>
      </c>
      <c r="BE8" s="87"/>
      <c r="BF8" s="79"/>
      <c r="BG8" s="80"/>
      <c r="BH8" s="1"/>
      <c r="BI8" s="1"/>
      <c r="BJ8" s="1"/>
      <c r="BK8" s="1"/>
      <c r="BL8" s="1"/>
      <c r="BM8" s="1"/>
      <c r="BN8" s="1"/>
      <c r="BO8" s="1"/>
    </row>
    <row r="9" ht="19.5" customHeight="1">
      <c r="A9" s="1"/>
      <c r="B9" s="45" t="s">
        <v>96</v>
      </c>
      <c r="C9" s="38"/>
      <c r="D9" s="43"/>
      <c r="E9" s="92">
        <f>E8/E7</f>
        <v>3.409090909</v>
      </c>
      <c r="F9" s="98"/>
      <c r="G9" s="99"/>
      <c r="H9" s="99"/>
      <c r="I9" s="99"/>
      <c r="J9" s="99"/>
      <c r="K9" s="99"/>
      <c r="L9" s="100"/>
      <c r="M9" s="101"/>
      <c r="N9" s="99"/>
      <c r="O9" s="100"/>
      <c r="P9" s="1"/>
      <c r="Q9" s="1"/>
      <c r="R9" s="66" t="s">
        <v>105</v>
      </c>
      <c r="S9" s="66" t="s">
        <v>106</v>
      </c>
      <c r="T9" s="67">
        <f t="shared" ref="T9:AA9" si="17">SUMIFS($L:$L,$C:$C,T$3,$D:$D,$R9)*100</f>
        <v>0</v>
      </c>
      <c r="U9" s="67">
        <f t="shared" si="17"/>
        <v>0</v>
      </c>
      <c r="V9" s="67">
        <f t="shared" si="17"/>
        <v>0</v>
      </c>
      <c r="W9" s="67">
        <f t="shared" si="17"/>
        <v>0</v>
      </c>
      <c r="X9" s="67">
        <f t="shared" si="17"/>
        <v>0</v>
      </c>
      <c r="Y9" s="67">
        <f t="shared" si="17"/>
        <v>0</v>
      </c>
      <c r="Z9" s="67">
        <f t="shared" si="17"/>
        <v>1</v>
      </c>
      <c r="AA9" s="67">
        <f t="shared" si="17"/>
        <v>1</v>
      </c>
      <c r="AB9" s="69">
        <f t="shared" si="4"/>
        <v>0.2112673081</v>
      </c>
      <c r="AC9" s="67">
        <f t="shared" ref="AC9:AE9" si="18">SUMIFS($L:$L,$C:$C,AC$3,$D:$D,$R9)*100</f>
        <v>0</v>
      </c>
      <c r="AD9" s="67">
        <f t="shared" si="18"/>
        <v>1</v>
      </c>
      <c r="AE9" s="67">
        <f t="shared" si="18"/>
        <v>1</v>
      </c>
      <c r="AF9" s="69">
        <f t="shared" si="6"/>
        <v>0.6315790637</v>
      </c>
      <c r="AG9" s="1"/>
      <c r="AH9" s="70">
        <f t="shared" si="7"/>
        <v>901.5212468</v>
      </c>
      <c r="AI9" s="70">
        <f t="shared" si="8"/>
        <v>2169.674649</v>
      </c>
      <c r="AJ9" s="1"/>
      <c r="AK9" s="82" t="s">
        <v>109</v>
      </c>
      <c r="AL9" s="84">
        <f t="shared" si="16"/>
        <v>389169.24</v>
      </c>
      <c r="AM9" s="84">
        <v>0.0</v>
      </c>
      <c r="AN9" s="85">
        <v>0.03</v>
      </c>
      <c r="AO9" s="84">
        <f t="shared" si="11"/>
        <v>11675.0772</v>
      </c>
      <c r="AP9" s="85">
        <v>0.02</v>
      </c>
      <c r="AQ9" s="84">
        <f t="shared" si="12"/>
        <v>7783.384799</v>
      </c>
      <c r="AR9" s="84">
        <f t="shared" si="13"/>
        <v>369710.778</v>
      </c>
      <c r="AS9" s="86" t="s">
        <v>79</v>
      </c>
      <c r="AT9" s="1"/>
      <c r="AU9" s="74" t="s">
        <v>111</v>
      </c>
      <c r="AV9" s="75"/>
      <c r="AW9" s="76"/>
      <c r="AX9" s="77" t="s">
        <v>82</v>
      </c>
      <c r="AY9" s="77"/>
      <c r="AZ9" s="77" t="s">
        <v>72</v>
      </c>
      <c r="BA9" s="76"/>
      <c r="BB9" s="77" t="s">
        <v>21</v>
      </c>
      <c r="BC9" s="77" t="s">
        <v>73</v>
      </c>
      <c r="BD9" s="77" t="s">
        <v>74</v>
      </c>
      <c r="BE9" s="87"/>
      <c r="BF9" s="79"/>
      <c r="BG9" s="80"/>
      <c r="BH9" s="1"/>
      <c r="BI9" s="1"/>
      <c r="BJ9" s="1"/>
      <c r="BK9" s="1"/>
      <c r="BL9" s="1"/>
      <c r="BM9" s="1"/>
      <c r="BN9" s="1"/>
      <c r="BO9" s="1"/>
    </row>
    <row r="10" ht="19.5" customHeight="1">
      <c r="A10" s="1"/>
      <c r="B10" s="110" t="s">
        <v>113</v>
      </c>
      <c r="C10" s="112" t="s">
        <v>114</v>
      </c>
      <c r="D10" s="112" t="s">
        <v>115</v>
      </c>
      <c r="E10" s="112" t="s">
        <v>116</v>
      </c>
      <c r="F10" s="113" t="s">
        <v>117</v>
      </c>
      <c r="G10" s="38"/>
      <c r="H10" s="38"/>
      <c r="I10" s="38"/>
      <c r="J10" s="38"/>
      <c r="K10" s="40"/>
      <c r="L10" s="112" t="s">
        <v>46</v>
      </c>
      <c r="M10" s="112" t="s">
        <v>120</v>
      </c>
      <c r="N10" s="112" t="s">
        <v>121</v>
      </c>
      <c r="O10" s="112" t="s">
        <v>122</v>
      </c>
      <c r="P10" s="1"/>
      <c r="Q10" s="1"/>
      <c r="R10" s="66" t="s">
        <v>123</v>
      </c>
      <c r="S10" s="66" t="s">
        <v>124</v>
      </c>
      <c r="T10" s="67">
        <f t="shared" ref="T10:AA10" si="19">SUMIFS($L:$L,$C:$C,T$3,$D:$D,$R10)*100</f>
        <v>18</v>
      </c>
      <c r="U10" s="67">
        <f t="shared" si="19"/>
        <v>27</v>
      </c>
      <c r="V10" s="67">
        <f t="shared" si="19"/>
        <v>27</v>
      </c>
      <c r="W10" s="67">
        <f t="shared" si="19"/>
        <v>13.68</v>
      </c>
      <c r="X10" s="67">
        <f t="shared" si="19"/>
        <v>25</v>
      </c>
      <c r="Y10" s="67">
        <f t="shared" si="19"/>
        <v>25</v>
      </c>
      <c r="Z10" s="67">
        <f t="shared" si="19"/>
        <v>22</v>
      </c>
      <c r="AA10" s="67">
        <f t="shared" si="19"/>
        <v>21</v>
      </c>
      <c r="AB10" s="69">
        <f t="shared" si="4"/>
        <v>19.51446344</v>
      </c>
      <c r="AC10" s="67">
        <f t="shared" ref="AC10:AE10" si="20">SUMIFS($L:$L,$C:$C,AC$3,$D:$D,$R10)*100</f>
        <v>16</v>
      </c>
      <c r="AD10" s="67">
        <f t="shared" si="20"/>
        <v>14</v>
      </c>
      <c r="AE10" s="67">
        <f t="shared" si="20"/>
        <v>13</v>
      </c>
      <c r="AF10" s="69">
        <f t="shared" si="6"/>
        <v>14.54736825</v>
      </c>
      <c r="AG10" s="1"/>
      <c r="AH10" s="70">
        <f t="shared" si="7"/>
        <v>83272.24678</v>
      </c>
      <c r="AI10" s="70">
        <f t="shared" si="8"/>
        <v>49974.82962</v>
      </c>
      <c r="AJ10" s="1"/>
      <c r="AK10" s="82" t="s">
        <v>126</v>
      </c>
      <c r="AL10" s="84">
        <f t="shared" si="16"/>
        <v>369710.778</v>
      </c>
      <c r="AM10" s="84">
        <v>0.0</v>
      </c>
      <c r="AN10" s="85"/>
      <c r="AO10" s="84">
        <f t="shared" si="11"/>
        <v>0</v>
      </c>
      <c r="AP10" s="85"/>
      <c r="AQ10" s="84">
        <f t="shared" si="12"/>
        <v>0</v>
      </c>
      <c r="AR10" s="84">
        <f t="shared" si="13"/>
        <v>369710.778</v>
      </c>
      <c r="AS10" s="86" t="s">
        <v>79</v>
      </c>
      <c r="AT10" s="1"/>
      <c r="AU10" s="74" t="s">
        <v>128</v>
      </c>
      <c r="AV10" s="75"/>
      <c r="AW10" s="76"/>
      <c r="AX10" s="77" t="s">
        <v>82</v>
      </c>
      <c r="AY10" s="77"/>
      <c r="AZ10" s="77" t="s">
        <v>72</v>
      </c>
      <c r="BA10" s="76"/>
      <c r="BB10" s="77" t="s">
        <v>21</v>
      </c>
      <c r="BC10" s="77" t="s">
        <v>73</v>
      </c>
      <c r="BD10" s="77" t="s">
        <v>74</v>
      </c>
      <c r="BE10" s="87"/>
      <c r="BF10" s="79"/>
      <c r="BG10" s="80"/>
      <c r="BH10" s="1"/>
      <c r="BI10" s="1"/>
      <c r="BJ10" s="1"/>
      <c r="BK10" s="1"/>
      <c r="BL10" s="1"/>
      <c r="BM10" s="1"/>
      <c r="BN10" s="1"/>
      <c r="BO10" s="1"/>
    </row>
    <row r="11" ht="19.5" customHeight="1">
      <c r="A11" s="1"/>
      <c r="B11" s="117"/>
      <c r="C11" s="118"/>
      <c r="D11" s="118"/>
      <c r="E11" s="118"/>
      <c r="F11" s="119" t="s">
        <v>129</v>
      </c>
      <c r="G11" s="119" t="s">
        <v>131</v>
      </c>
      <c r="H11" s="119" t="s">
        <v>132</v>
      </c>
      <c r="I11" s="119" t="s">
        <v>133</v>
      </c>
      <c r="J11" s="119" t="s">
        <v>134</v>
      </c>
      <c r="K11" s="119" t="s">
        <v>135</v>
      </c>
      <c r="L11" s="118"/>
      <c r="M11" s="118"/>
      <c r="N11" s="118"/>
      <c r="O11" s="118"/>
      <c r="P11" s="1"/>
      <c r="Q11" s="1"/>
      <c r="R11" s="66" t="s">
        <v>136</v>
      </c>
      <c r="S11" s="66" t="s">
        <v>137</v>
      </c>
      <c r="T11" s="67">
        <f t="shared" ref="T11:AA11" si="21">SUMIFS($L:$L,$C:$C,T$3,$D:$D,$R11)*100</f>
        <v>6</v>
      </c>
      <c r="U11" s="67">
        <f t="shared" si="21"/>
        <v>0</v>
      </c>
      <c r="V11" s="67">
        <f t="shared" si="21"/>
        <v>0</v>
      </c>
      <c r="W11" s="67">
        <f t="shared" si="21"/>
        <v>4.32</v>
      </c>
      <c r="X11" s="67">
        <f t="shared" si="21"/>
        <v>0</v>
      </c>
      <c r="Y11" s="67">
        <f t="shared" si="21"/>
        <v>0</v>
      </c>
      <c r="Z11" s="67">
        <f t="shared" si="21"/>
        <v>0</v>
      </c>
      <c r="AA11" s="67">
        <f t="shared" si="21"/>
        <v>6</v>
      </c>
      <c r="AB11" s="69">
        <f t="shared" si="4"/>
        <v>3.713236235</v>
      </c>
      <c r="AC11" s="67">
        <f t="shared" ref="AC11:AE11" si="22">SUMIFS($L:$L,$C:$C,AC$3,$D:$D,$R11)*100</f>
        <v>0</v>
      </c>
      <c r="AD11" s="67">
        <f t="shared" si="22"/>
        <v>0</v>
      </c>
      <c r="AE11" s="67">
        <f t="shared" si="22"/>
        <v>0</v>
      </c>
      <c r="AF11" s="69">
        <f t="shared" si="6"/>
        <v>0</v>
      </c>
      <c r="AG11" s="1"/>
      <c r="AH11" s="70">
        <f t="shared" si="7"/>
        <v>15845.14609</v>
      </c>
      <c r="AI11" s="70">
        <f t="shared" si="8"/>
        <v>0</v>
      </c>
      <c r="AJ11" s="1"/>
      <c r="AK11" s="82" t="s">
        <v>141</v>
      </c>
      <c r="AL11" s="84">
        <f t="shared" si="16"/>
        <v>369710.778</v>
      </c>
      <c r="AM11" s="84">
        <v>0.0</v>
      </c>
      <c r="AN11" s="85"/>
      <c r="AO11" s="84">
        <f t="shared" si="11"/>
        <v>0</v>
      </c>
      <c r="AP11" s="85">
        <v>0.03</v>
      </c>
      <c r="AQ11" s="84">
        <f t="shared" si="12"/>
        <v>11091.32334</v>
      </c>
      <c r="AR11" s="84">
        <f t="shared" si="13"/>
        <v>358619.4546</v>
      </c>
      <c r="AS11" s="86" t="s">
        <v>79</v>
      </c>
      <c r="AT11" s="1"/>
      <c r="AU11" s="74"/>
      <c r="AV11" s="75"/>
      <c r="AW11" s="76"/>
      <c r="AX11" s="77" t="s">
        <v>82</v>
      </c>
      <c r="AY11" s="77"/>
      <c r="AZ11" s="77" t="s">
        <v>72</v>
      </c>
      <c r="BA11" s="76"/>
      <c r="BB11" s="77" t="s">
        <v>21</v>
      </c>
      <c r="BC11" s="77" t="s">
        <v>73</v>
      </c>
      <c r="BD11" s="77" t="s">
        <v>74</v>
      </c>
      <c r="BE11" s="87"/>
      <c r="BF11" s="79"/>
      <c r="BG11" s="80"/>
      <c r="BH11" s="1"/>
      <c r="BI11" s="1"/>
      <c r="BJ11" s="1"/>
      <c r="BK11" s="1"/>
      <c r="BL11" s="1"/>
      <c r="BM11" s="1"/>
      <c r="BN11" s="1"/>
      <c r="BO11" s="1"/>
    </row>
    <row r="12" ht="19.5" customHeight="1">
      <c r="A12" s="1"/>
      <c r="B12" s="122">
        <v>1.0</v>
      </c>
      <c r="C12" s="123" t="s">
        <v>23</v>
      </c>
      <c r="D12" s="124" t="s">
        <v>23</v>
      </c>
      <c r="E12" s="125" t="s">
        <v>143</v>
      </c>
      <c r="F12" s="124" t="s">
        <v>144</v>
      </c>
      <c r="G12" s="126"/>
      <c r="H12" s="126"/>
      <c r="I12" s="126"/>
      <c r="J12" s="126"/>
      <c r="K12" s="126"/>
      <c r="L12" s="127" t="s">
        <v>146</v>
      </c>
      <c r="M12" s="128">
        <f>$E$4</f>
        <v>1</v>
      </c>
      <c r="N12" s="124" t="s">
        <v>147</v>
      </c>
      <c r="O12" s="129" t="s">
        <v>148</v>
      </c>
      <c r="P12" s="1"/>
      <c r="Q12" s="1"/>
      <c r="R12" s="66" t="s">
        <v>149</v>
      </c>
      <c r="S12" s="66" t="s">
        <v>150</v>
      </c>
      <c r="T12" s="67">
        <f t="shared" ref="T12:AA12" si="23">SUMIFS($L:$L,$C:$C,T$3,$D:$D,$R12)*100</f>
        <v>15</v>
      </c>
      <c r="U12" s="67">
        <f t="shared" si="23"/>
        <v>14</v>
      </c>
      <c r="V12" s="67">
        <f t="shared" si="23"/>
        <v>14</v>
      </c>
      <c r="W12" s="67">
        <f t="shared" si="23"/>
        <v>11.16</v>
      </c>
      <c r="X12" s="67">
        <f t="shared" si="23"/>
        <v>6</v>
      </c>
      <c r="Y12" s="67">
        <f t="shared" si="23"/>
        <v>0</v>
      </c>
      <c r="Z12" s="67">
        <f t="shared" si="23"/>
        <v>13</v>
      </c>
      <c r="AA12" s="67">
        <f t="shared" si="23"/>
        <v>15</v>
      </c>
      <c r="AB12" s="69">
        <f t="shared" si="4"/>
        <v>12.13032337</v>
      </c>
      <c r="AC12" s="67">
        <f t="shared" ref="AC12:AE12" si="24">SUMIFS($L:$L,$C:$C,AC$3,$D:$D,$R12)*100</f>
        <v>0</v>
      </c>
      <c r="AD12" s="67">
        <f t="shared" si="24"/>
        <v>0</v>
      </c>
      <c r="AE12" s="67">
        <f t="shared" si="24"/>
        <v>0</v>
      </c>
      <c r="AF12" s="69">
        <f t="shared" si="6"/>
        <v>0</v>
      </c>
      <c r="AG12" s="1"/>
      <c r="AH12" s="70">
        <f t="shared" si="7"/>
        <v>51762.59566</v>
      </c>
      <c r="AI12" s="70">
        <f t="shared" si="8"/>
        <v>0</v>
      </c>
      <c r="AJ12" s="1"/>
      <c r="AK12" s="82" t="s">
        <v>151</v>
      </c>
      <c r="AL12" s="84">
        <f t="shared" si="16"/>
        <v>358619.4546</v>
      </c>
      <c r="AM12" s="84">
        <v>0.0</v>
      </c>
      <c r="AN12" s="85"/>
      <c r="AO12" s="84">
        <f t="shared" si="11"/>
        <v>0</v>
      </c>
      <c r="AP12" s="85"/>
      <c r="AQ12" s="84">
        <f t="shared" si="12"/>
        <v>0</v>
      </c>
      <c r="AR12" s="84">
        <f t="shared" si="13"/>
        <v>358619.4546</v>
      </c>
      <c r="AS12" s="86" t="s">
        <v>79</v>
      </c>
      <c r="AT12" s="1"/>
      <c r="AU12" s="74"/>
      <c r="AV12" s="75"/>
      <c r="AW12" s="76"/>
      <c r="AX12" s="77" t="s">
        <v>82</v>
      </c>
      <c r="AY12" s="77"/>
      <c r="AZ12" s="77" t="s">
        <v>72</v>
      </c>
      <c r="BA12" s="76"/>
      <c r="BB12" s="77" t="s">
        <v>21</v>
      </c>
      <c r="BC12" s="77" t="s">
        <v>73</v>
      </c>
      <c r="BD12" s="77" t="s">
        <v>74</v>
      </c>
      <c r="BE12" s="87"/>
      <c r="BF12" s="79"/>
      <c r="BG12" s="80"/>
      <c r="BH12" s="1"/>
      <c r="BI12" s="1"/>
      <c r="BJ12" s="1"/>
      <c r="BK12" s="1"/>
      <c r="BL12" s="1"/>
      <c r="BM12" s="1"/>
      <c r="BN12" s="1"/>
      <c r="BO12" s="1"/>
    </row>
    <row r="13" ht="19.5" customHeight="1">
      <c r="A13" s="1"/>
      <c r="B13" s="130">
        <v>2.0</v>
      </c>
      <c r="C13" s="131" t="s">
        <v>23</v>
      </c>
      <c r="D13" s="132" t="s">
        <v>63</v>
      </c>
      <c r="E13" s="133" t="s">
        <v>153</v>
      </c>
      <c r="F13" s="134"/>
      <c r="G13" s="135" t="s">
        <v>144</v>
      </c>
      <c r="H13" s="134"/>
      <c r="I13" s="134"/>
      <c r="J13" s="134"/>
      <c r="K13" s="134"/>
      <c r="L13" s="137">
        <v>0.265</v>
      </c>
      <c r="M13" s="138">
        <f t="shared" ref="M13:M29" si="27">$E$9*L13</f>
        <v>0.9034090909</v>
      </c>
      <c r="N13" s="132" t="s">
        <v>157</v>
      </c>
      <c r="O13" s="139"/>
      <c r="P13" s="1"/>
      <c r="Q13" s="1"/>
      <c r="R13" s="66" t="s">
        <v>158</v>
      </c>
      <c r="S13" s="66" t="s">
        <v>159</v>
      </c>
      <c r="T13" s="67">
        <f t="shared" ref="T13:AA13" si="25">SUMIFS($L:$L,$C:$C,T$3,$D:$D,$R13)*100</f>
        <v>2</v>
      </c>
      <c r="U13" s="67">
        <f t="shared" si="25"/>
        <v>0</v>
      </c>
      <c r="V13" s="67">
        <f t="shared" si="25"/>
        <v>4</v>
      </c>
      <c r="W13" s="67">
        <f t="shared" si="25"/>
        <v>0</v>
      </c>
      <c r="X13" s="67">
        <f t="shared" si="25"/>
        <v>0</v>
      </c>
      <c r="Y13" s="67">
        <f t="shared" si="25"/>
        <v>5</v>
      </c>
      <c r="Z13" s="67">
        <f t="shared" si="25"/>
        <v>0</v>
      </c>
      <c r="AA13" s="67">
        <f t="shared" si="25"/>
        <v>0</v>
      </c>
      <c r="AB13" s="69">
        <f t="shared" si="4"/>
        <v>1.332396715</v>
      </c>
      <c r="AC13" s="67">
        <f t="shared" ref="AC13:AE13" si="26">SUMIFS($L:$L,$C:$C,AC$3,$D:$D,$R13)*100</f>
        <v>0</v>
      </c>
      <c r="AD13" s="67">
        <f t="shared" si="26"/>
        <v>6</v>
      </c>
      <c r="AE13" s="67">
        <f t="shared" si="26"/>
        <v>6</v>
      </c>
      <c r="AF13" s="69">
        <f t="shared" si="6"/>
        <v>3.789474382</v>
      </c>
      <c r="AG13" s="1"/>
      <c r="AH13" s="70">
        <f t="shared" si="7"/>
        <v>5685.612027</v>
      </c>
      <c r="AI13" s="70">
        <f t="shared" si="8"/>
        <v>13018.0479</v>
      </c>
      <c r="AJ13" s="1"/>
      <c r="AK13" s="82" t="s">
        <v>161</v>
      </c>
      <c r="AL13" s="84">
        <f t="shared" si="16"/>
        <v>358619.4546</v>
      </c>
      <c r="AM13" s="84">
        <v>0.0</v>
      </c>
      <c r="AN13" s="85"/>
      <c r="AO13" s="84">
        <f t="shared" si="11"/>
        <v>0</v>
      </c>
      <c r="AP13" s="85"/>
      <c r="AQ13" s="84">
        <f t="shared" si="12"/>
        <v>0</v>
      </c>
      <c r="AR13" s="141">
        <f t="shared" si="13"/>
        <v>358619.4546</v>
      </c>
      <c r="AS13" s="86" t="s">
        <v>79</v>
      </c>
      <c r="AT13" s="1"/>
      <c r="AU13" s="74"/>
      <c r="AV13" s="75"/>
      <c r="AW13" s="76"/>
      <c r="AX13" s="77" t="s">
        <v>82</v>
      </c>
      <c r="AY13" s="77"/>
      <c r="AZ13" s="77" t="s">
        <v>72</v>
      </c>
      <c r="BA13" s="76"/>
      <c r="BB13" s="77" t="s">
        <v>21</v>
      </c>
      <c r="BC13" s="77" t="s">
        <v>73</v>
      </c>
      <c r="BD13" s="77" t="s">
        <v>74</v>
      </c>
      <c r="BE13" s="87"/>
      <c r="BF13" s="79"/>
      <c r="BG13" s="80"/>
      <c r="BH13" s="1"/>
      <c r="BI13" s="1"/>
      <c r="BJ13" s="1"/>
      <c r="BK13" s="1"/>
      <c r="BL13" s="1"/>
      <c r="BM13" s="1"/>
      <c r="BN13" s="1"/>
      <c r="BO13" s="1"/>
    </row>
    <row r="14" ht="19.5" customHeight="1">
      <c r="A14" s="1"/>
      <c r="B14" s="130">
        <v>3.0</v>
      </c>
      <c r="C14" s="131" t="s">
        <v>23</v>
      </c>
      <c r="D14" s="132" t="s">
        <v>123</v>
      </c>
      <c r="E14" s="133" t="s">
        <v>163</v>
      </c>
      <c r="F14" s="134"/>
      <c r="G14" s="135" t="s">
        <v>144</v>
      </c>
      <c r="H14" s="134"/>
      <c r="I14" s="134"/>
      <c r="J14" s="134"/>
      <c r="K14" s="134"/>
      <c r="L14" s="137">
        <v>0.18</v>
      </c>
      <c r="M14" s="138">
        <f t="shared" si="27"/>
        <v>0.6136363636</v>
      </c>
      <c r="N14" s="132" t="s">
        <v>157</v>
      </c>
      <c r="O14" s="139"/>
      <c r="P14" s="1"/>
      <c r="Q14" s="1"/>
      <c r="R14" s="66" t="s">
        <v>164</v>
      </c>
      <c r="S14" s="66" t="s">
        <v>165</v>
      </c>
      <c r="T14" s="67">
        <f t="shared" ref="T14:AA14" si="28">SUMIFS($L:$L,$C:$C,T$3,$D:$D,$R14)*100</f>
        <v>4</v>
      </c>
      <c r="U14" s="67">
        <f t="shared" si="28"/>
        <v>6</v>
      </c>
      <c r="V14" s="67">
        <f t="shared" si="28"/>
        <v>6</v>
      </c>
      <c r="W14" s="67">
        <f t="shared" si="28"/>
        <v>3.24</v>
      </c>
      <c r="X14" s="67">
        <f t="shared" si="28"/>
        <v>0</v>
      </c>
      <c r="Y14" s="67">
        <f t="shared" si="28"/>
        <v>0</v>
      </c>
      <c r="Z14" s="67">
        <f t="shared" si="28"/>
        <v>6</v>
      </c>
      <c r="AA14" s="67">
        <f t="shared" si="28"/>
        <v>0</v>
      </c>
      <c r="AB14" s="69">
        <f t="shared" si="4"/>
        <v>3.09126759</v>
      </c>
      <c r="AC14" s="67">
        <f t="shared" ref="AC14:AE14" si="29">SUMIFS($L:$L,$C:$C,AC$3,$D:$D,$R14)*100</f>
        <v>0</v>
      </c>
      <c r="AD14" s="67">
        <f t="shared" si="29"/>
        <v>0</v>
      </c>
      <c r="AE14" s="67">
        <f t="shared" si="29"/>
        <v>0</v>
      </c>
      <c r="AF14" s="69">
        <f t="shared" si="6"/>
        <v>0</v>
      </c>
      <c r="AG14" s="1"/>
      <c r="AH14" s="70">
        <f t="shared" si="7"/>
        <v>13191.07739</v>
      </c>
      <c r="AI14" s="70">
        <f t="shared" si="8"/>
        <v>0</v>
      </c>
      <c r="AJ14" s="1"/>
      <c r="AK14" s="142" t="s">
        <v>168</v>
      </c>
      <c r="AL14" s="143">
        <f t="shared" ref="AL14:AM14" si="30">AL6</f>
        <v>426720.6578</v>
      </c>
      <c r="AM14" s="143">
        <f t="shared" si="30"/>
        <v>0</v>
      </c>
      <c r="AN14" s="144"/>
      <c r="AO14" s="144">
        <f>AO6+AO7+AO8+AO9+AO11</f>
        <v>24476.69693</v>
      </c>
      <c r="AP14" s="144"/>
      <c r="AQ14" s="144">
        <f>AQ6+AQ7+AQ8+AQ9+AQ11</f>
        <v>43624.50629</v>
      </c>
      <c r="AR14" s="145">
        <f>SUMIFS('Plan de ventas'!$O48:$O60,'Plan de ventas'!$B$48:$B$60,"*A*")*1000</f>
        <v>358619.2255</v>
      </c>
      <c r="AS14" s="146" t="s">
        <v>79</v>
      </c>
      <c r="AT14" s="1"/>
      <c r="AU14" s="74"/>
      <c r="AV14" s="75"/>
      <c r="AW14" s="76"/>
      <c r="AX14" s="77" t="s">
        <v>82</v>
      </c>
      <c r="AY14" s="77"/>
      <c r="AZ14" s="77" t="s">
        <v>72</v>
      </c>
      <c r="BA14" s="76"/>
      <c r="BB14" s="77" t="s">
        <v>21</v>
      </c>
      <c r="BC14" s="77" t="s">
        <v>73</v>
      </c>
      <c r="BD14" s="77" t="s">
        <v>74</v>
      </c>
      <c r="BE14" s="87"/>
      <c r="BF14" s="79"/>
      <c r="BG14" s="80"/>
      <c r="BH14" s="1"/>
      <c r="BI14" s="1"/>
      <c r="BJ14" s="1"/>
      <c r="BK14" s="1"/>
      <c r="BL14" s="1"/>
      <c r="BM14" s="1"/>
      <c r="BN14" s="1"/>
      <c r="BO14" s="1"/>
    </row>
    <row r="15" ht="19.5" customHeight="1">
      <c r="A15" s="1"/>
      <c r="B15" s="130">
        <v>4.0</v>
      </c>
      <c r="C15" s="131" t="s">
        <v>23</v>
      </c>
      <c r="D15" s="132" t="s">
        <v>149</v>
      </c>
      <c r="E15" s="133" t="s">
        <v>171</v>
      </c>
      <c r="F15" s="134"/>
      <c r="G15" s="135" t="s">
        <v>144</v>
      </c>
      <c r="H15" s="134"/>
      <c r="I15" s="134"/>
      <c r="J15" s="134"/>
      <c r="K15" s="134"/>
      <c r="L15" s="137">
        <v>0.15</v>
      </c>
      <c r="M15" s="138">
        <f t="shared" si="27"/>
        <v>0.5113636364</v>
      </c>
      <c r="N15" s="132" t="s">
        <v>157</v>
      </c>
      <c r="O15" s="139"/>
      <c r="P15" s="1"/>
      <c r="Q15" s="1"/>
      <c r="R15" s="66" t="s">
        <v>173</v>
      </c>
      <c r="S15" s="66" t="s">
        <v>174</v>
      </c>
      <c r="T15" s="67">
        <f t="shared" ref="T15:AA15" si="31">SUMIFS($L:$L,$C:$C,T$3,$D:$D,$R15)*100</f>
        <v>9</v>
      </c>
      <c r="U15" s="67">
        <f t="shared" si="31"/>
        <v>0</v>
      </c>
      <c r="V15" s="67">
        <f t="shared" si="31"/>
        <v>0</v>
      </c>
      <c r="W15" s="67">
        <f t="shared" si="31"/>
        <v>0</v>
      </c>
      <c r="X15" s="67">
        <f t="shared" si="31"/>
        <v>0</v>
      </c>
      <c r="Y15" s="67">
        <f t="shared" si="31"/>
        <v>0</v>
      </c>
      <c r="Z15" s="67">
        <f t="shared" si="31"/>
        <v>0</v>
      </c>
      <c r="AA15" s="67">
        <f t="shared" si="31"/>
        <v>0</v>
      </c>
      <c r="AB15" s="69">
        <f t="shared" si="4"/>
        <v>2.535207697</v>
      </c>
      <c r="AC15" s="67">
        <f t="shared" ref="AC15:AE15" si="32">SUMIFS($L:$L,$C:$C,AC$3,$D:$D,$R15)*100</f>
        <v>0</v>
      </c>
      <c r="AD15" s="67">
        <f t="shared" si="32"/>
        <v>0</v>
      </c>
      <c r="AE15" s="67">
        <f t="shared" si="32"/>
        <v>9</v>
      </c>
      <c r="AF15" s="69">
        <f t="shared" si="6"/>
        <v>1.705262619</v>
      </c>
      <c r="AG15" s="1"/>
      <c r="AH15" s="70">
        <f t="shared" si="7"/>
        <v>10818.25496</v>
      </c>
      <c r="AI15" s="70">
        <f t="shared" si="8"/>
        <v>5858.118624</v>
      </c>
      <c r="AJ15" s="1"/>
      <c r="AK15" s="1"/>
      <c r="AL15" s="147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ht="19.5" customHeight="1">
      <c r="A16" s="1"/>
      <c r="B16" s="130">
        <v>5.0</v>
      </c>
      <c r="C16" s="131" t="s">
        <v>23</v>
      </c>
      <c r="D16" s="132" t="s">
        <v>177</v>
      </c>
      <c r="E16" s="133" t="s">
        <v>178</v>
      </c>
      <c r="F16" s="134"/>
      <c r="G16" s="135" t="s">
        <v>144</v>
      </c>
      <c r="H16" s="134"/>
      <c r="I16" s="134"/>
      <c r="J16" s="134"/>
      <c r="K16" s="134"/>
      <c r="L16" s="137">
        <v>0.14</v>
      </c>
      <c r="M16" s="138">
        <f t="shared" si="27"/>
        <v>0.4772727273</v>
      </c>
      <c r="N16" s="132" t="s">
        <v>157</v>
      </c>
      <c r="O16" s="139"/>
      <c r="P16" s="1"/>
      <c r="Q16" s="1"/>
      <c r="R16" s="66" t="s">
        <v>180</v>
      </c>
      <c r="S16" s="66" t="s">
        <v>181</v>
      </c>
      <c r="T16" s="67">
        <f t="shared" ref="T16:AA16" si="33">SUMIFS($L:$L,$C:$C,T$3,$D:$D,$R16)*100</f>
        <v>0.3</v>
      </c>
      <c r="U16" s="67">
        <f t="shared" si="33"/>
        <v>0.3</v>
      </c>
      <c r="V16" s="67">
        <f t="shared" si="33"/>
        <v>0.4</v>
      </c>
      <c r="W16" s="67">
        <f t="shared" si="33"/>
        <v>0</v>
      </c>
      <c r="X16" s="67">
        <f t="shared" si="33"/>
        <v>0</v>
      </c>
      <c r="Y16" s="67">
        <f t="shared" si="33"/>
        <v>0</v>
      </c>
      <c r="Z16" s="67">
        <f t="shared" si="33"/>
        <v>0.5</v>
      </c>
      <c r="AA16" s="67">
        <f t="shared" si="33"/>
        <v>0</v>
      </c>
      <c r="AB16" s="69">
        <f t="shared" si="4"/>
        <v>0.1613614629</v>
      </c>
      <c r="AC16" s="67">
        <f t="shared" ref="AC16:AE16" si="34">SUMIFS($L:$L,$C:$C,AC$3,$D:$D,$R16)*100</f>
        <v>0</v>
      </c>
      <c r="AD16" s="67">
        <f t="shared" si="34"/>
        <v>0</v>
      </c>
      <c r="AE16" s="67">
        <f t="shared" si="34"/>
        <v>0</v>
      </c>
      <c r="AF16" s="69">
        <f t="shared" si="6"/>
        <v>0</v>
      </c>
      <c r="AG16" s="1"/>
      <c r="AH16" s="70">
        <f t="shared" si="7"/>
        <v>688.5626959</v>
      </c>
      <c r="AI16" s="70">
        <f t="shared" si="8"/>
        <v>0</v>
      </c>
      <c r="AJ16" s="1"/>
      <c r="AK16" s="35" t="s">
        <v>183</v>
      </c>
      <c r="AL16" s="148">
        <v>0.189899</v>
      </c>
      <c r="AM16" s="1"/>
      <c r="AN16" s="1"/>
      <c r="AO16" s="1"/>
      <c r="AP16" s="1"/>
      <c r="AQ16" s="35" t="s">
        <v>184</v>
      </c>
      <c r="AR16" s="151">
        <f>AR13/AR14-1</f>
        <v>0.000000638792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ht="19.5" customHeight="1">
      <c r="A17" s="1"/>
      <c r="B17" s="130">
        <v>6.0</v>
      </c>
      <c r="C17" s="131" t="s">
        <v>23</v>
      </c>
      <c r="D17" s="132" t="s">
        <v>173</v>
      </c>
      <c r="E17" s="133" t="s">
        <v>186</v>
      </c>
      <c r="F17" s="134"/>
      <c r="G17" s="135" t="s">
        <v>144</v>
      </c>
      <c r="H17" s="134"/>
      <c r="I17" s="134"/>
      <c r="J17" s="134"/>
      <c r="K17" s="134"/>
      <c r="L17" s="137">
        <v>0.09</v>
      </c>
      <c r="M17" s="138">
        <f t="shared" si="27"/>
        <v>0.3068181818</v>
      </c>
      <c r="N17" s="132" t="s">
        <v>157</v>
      </c>
      <c r="O17" s="139"/>
      <c r="P17" s="1"/>
      <c r="Q17" s="1"/>
      <c r="R17" s="66" t="s">
        <v>187</v>
      </c>
      <c r="S17" s="66" t="s">
        <v>188</v>
      </c>
      <c r="T17" s="67">
        <f t="shared" ref="T17:AA17" si="35">SUMIFS($L:$L,$C:$C,T$3,$D:$D,$R17)*100</f>
        <v>2</v>
      </c>
      <c r="U17" s="67">
        <f t="shared" si="35"/>
        <v>0</v>
      </c>
      <c r="V17" s="67">
        <f t="shared" si="35"/>
        <v>0</v>
      </c>
      <c r="W17" s="67">
        <f t="shared" si="35"/>
        <v>0</v>
      </c>
      <c r="X17" s="67">
        <f t="shared" si="35"/>
        <v>0</v>
      </c>
      <c r="Y17" s="67">
        <f t="shared" si="35"/>
        <v>0</v>
      </c>
      <c r="Z17" s="67">
        <f t="shared" si="35"/>
        <v>0</v>
      </c>
      <c r="AA17" s="67">
        <f t="shared" si="35"/>
        <v>0</v>
      </c>
      <c r="AB17" s="69">
        <f t="shared" si="4"/>
        <v>0.5633794882</v>
      </c>
      <c r="AC17" s="67">
        <f t="shared" ref="AC17:AE17" si="36">SUMIFS($L:$L,$C:$C,AC$3,$D:$D,$R17)*100</f>
        <v>0</v>
      </c>
      <c r="AD17" s="67">
        <f t="shared" si="36"/>
        <v>0</v>
      </c>
      <c r="AE17" s="67">
        <f t="shared" si="36"/>
        <v>0</v>
      </c>
      <c r="AF17" s="69">
        <f t="shared" si="6"/>
        <v>0</v>
      </c>
      <c r="AG17" s="1"/>
      <c r="AH17" s="70">
        <f t="shared" si="7"/>
        <v>2404.056658</v>
      </c>
      <c r="AI17" s="70">
        <f t="shared" si="8"/>
        <v>0</v>
      </c>
      <c r="AJ17" s="1"/>
      <c r="AK17" s="153"/>
      <c r="AL17" s="153"/>
      <c r="AM17" s="153"/>
      <c r="AN17" s="153"/>
      <c r="AO17" s="153"/>
      <c r="AP17" s="153"/>
      <c r="AQ17" s="153"/>
      <c r="AR17" s="153"/>
      <c r="AS17" s="153"/>
      <c r="AT17" s="1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</row>
    <row r="18" ht="19.5" customHeight="1">
      <c r="A18" s="1"/>
      <c r="B18" s="130">
        <v>7.0</v>
      </c>
      <c r="C18" s="131" t="s">
        <v>23</v>
      </c>
      <c r="D18" s="132" t="s">
        <v>136</v>
      </c>
      <c r="E18" s="133" t="s">
        <v>197</v>
      </c>
      <c r="F18" s="134"/>
      <c r="G18" s="135" t="s">
        <v>144</v>
      </c>
      <c r="H18" s="134"/>
      <c r="I18" s="134"/>
      <c r="J18" s="134"/>
      <c r="K18" s="134"/>
      <c r="L18" s="137">
        <v>0.06</v>
      </c>
      <c r="M18" s="138">
        <f t="shared" si="27"/>
        <v>0.2045454545</v>
      </c>
      <c r="N18" s="132" t="s">
        <v>157</v>
      </c>
      <c r="O18" s="139"/>
      <c r="P18" s="1"/>
      <c r="Q18" s="1"/>
      <c r="R18" s="66" t="s">
        <v>202</v>
      </c>
      <c r="S18" s="66" t="s">
        <v>203</v>
      </c>
      <c r="T18" s="67">
        <f t="shared" ref="T18:AA18" si="37">SUMIFS($L:$L,$C:$C,T$3,$D:$D,$R18)*100</f>
        <v>0.2</v>
      </c>
      <c r="U18" s="67">
        <f t="shared" si="37"/>
        <v>0</v>
      </c>
      <c r="V18" s="67">
        <f t="shared" si="37"/>
        <v>0</v>
      </c>
      <c r="W18" s="67">
        <f t="shared" si="37"/>
        <v>0</v>
      </c>
      <c r="X18" s="67">
        <f t="shared" si="37"/>
        <v>0</v>
      </c>
      <c r="Y18" s="67">
        <f t="shared" si="37"/>
        <v>0</v>
      </c>
      <c r="Z18" s="67">
        <f t="shared" si="37"/>
        <v>0</v>
      </c>
      <c r="AA18" s="67">
        <f t="shared" si="37"/>
        <v>0</v>
      </c>
      <c r="AB18" s="69">
        <f t="shared" si="4"/>
        <v>0.05633794882</v>
      </c>
      <c r="AC18" s="67">
        <f t="shared" ref="AC18:AE18" si="38">SUMIFS($L:$L,$C:$C,AC$3,$D:$D,$R18)*100</f>
        <v>0</v>
      </c>
      <c r="AD18" s="67">
        <f t="shared" si="38"/>
        <v>0</v>
      </c>
      <c r="AE18" s="67">
        <f t="shared" si="38"/>
        <v>0</v>
      </c>
      <c r="AF18" s="69">
        <f t="shared" si="6"/>
        <v>0</v>
      </c>
      <c r="AG18" s="1"/>
      <c r="AH18" s="70">
        <f t="shared" si="7"/>
        <v>240.4056658</v>
      </c>
      <c r="AI18" s="70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ht="19.5" customHeight="1">
      <c r="A19" s="1"/>
      <c r="B19" s="130">
        <v>8.0</v>
      </c>
      <c r="C19" s="131" t="s">
        <v>23</v>
      </c>
      <c r="D19" s="132" t="s">
        <v>164</v>
      </c>
      <c r="E19" s="133" t="s">
        <v>204</v>
      </c>
      <c r="F19" s="134"/>
      <c r="G19" s="135" t="s">
        <v>144</v>
      </c>
      <c r="H19" s="134"/>
      <c r="I19" s="134"/>
      <c r="J19" s="134"/>
      <c r="K19" s="134"/>
      <c r="L19" s="137">
        <v>0.04</v>
      </c>
      <c r="M19" s="138">
        <f t="shared" si="27"/>
        <v>0.1363636364</v>
      </c>
      <c r="N19" s="132" t="s">
        <v>157</v>
      </c>
      <c r="O19" s="139"/>
      <c r="P19" s="1"/>
      <c r="Q19" s="1"/>
      <c r="R19" s="66" t="s">
        <v>177</v>
      </c>
      <c r="S19" s="66" t="s">
        <v>206</v>
      </c>
      <c r="T19" s="67">
        <f t="shared" ref="T19:AA19" si="39">SUMIFS($L:$L,$C:$C,T$3,$D:$D,$R19)*100</f>
        <v>14</v>
      </c>
      <c r="U19" s="67">
        <f t="shared" si="39"/>
        <v>0</v>
      </c>
      <c r="V19" s="67">
        <f t="shared" si="39"/>
        <v>18</v>
      </c>
      <c r="W19" s="67">
        <f t="shared" si="39"/>
        <v>15.4</v>
      </c>
      <c r="X19" s="67">
        <f t="shared" si="39"/>
        <v>0</v>
      </c>
      <c r="Y19" s="67">
        <f t="shared" si="39"/>
        <v>0</v>
      </c>
      <c r="Z19" s="67">
        <f t="shared" si="39"/>
        <v>0</v>
      </c>
      <c r="AA19" s="67">
        <f t="shared" si="39"/>
        <v>16</v>
      </c>
      <c r="AB19" s="69">
        <f t="shared" si="4"/>
        <v>11.89671254</v>
      </c>
      <c r="AC19" s="67">
        <f t="shared" ref="AC19:AE19" si="40">SUMIFS($L:$L,$C:$C,AC$3,$D:$D,$R19)*100</f>
        <v>4</v>
      </c>
      <c r="AD19" s="67">
        <f t="shared" si="40"/>
        <v>22</v>
      </c>
      <c r="AE19" s="67">
        <f t="shared" si="40"/>
        <v>20</v>
      </c>
      <c r="AF19" s="69">
        <f t="shared" si="6"/>
        <v>14.9894759</v>
      </c>
      <c r="AG19" s="1"/>
      <c r="AH19" s="70">
        <f t="shared" si="7"/>
        <v>50765.73001</v>
      </c>
      <c r="AI19" s="70">
        <f t="shared" si="8"/>
        <v>51493.6098</v>
      </c>
      <c r="AJ19" s="1"/>
      <c r="AK19" s="21" t="s">
        <v>207</v>
      </c>
      <c r="AL19" s="1"/>
      <c r="AM19" s="1"/>
      <c r="AN19" s="1"/>
      <c r="AO19" s="1"/>
      <c r="AP19" s="1"/>
      <c r="AQ19" s="1"/>
      <c r="AR19" s="1"/>
      <c r="AS19" s="1"/>
      <c r="AT19" s="1"/>
      <c r="AU19" s="21" t="s">
        <v>207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ht="19.5" customHeight="1">
      <c r="A20" s="1"/>
      <c r="B20" s="130">
        <v>9.0</v>
      </c>
      <c r="C20" s="131" t="s">
        <v>23</v>
      </c>
      <c r="D20" s="132" t="s">
        <v>158</v>
      </c>
      <c r="E20" s="133" t="s">
        <v>208</v>
      </c>
      <c r="F20" s="134"/>
      <c r="G20" s="135" t="s">
        <v>144</v>
      </c>
      <c r="H20" s="134"/>
      <c r="I20" s="134"/>
      <c r="J20" s="134"/>
      <c r="K20" s="134"/>
      <c r="L20" s="137">
        <v>0.02</v>
      </c>
      <c r="M20" s="138">
        <f t="shared" si="27"/>
        <v>0.06818181818</v>
      </c>
      <c r="N20" s="132" t="s">
        <v>157</v>
      </c>
      <c r="O20" s="139"/>
      <c r="P20" s="1"/>
      <c r="Q20" s="1"/>
      <c r="R20" s="66" t="s">
        <v>209</v>
      </c>
      <c r="S20" s="66" t="s">
        <v>210</v>
      </c>
      <c r="T20" s="67">
        <f t="shared" ref="T20:AA20" si="41">SUMIFS($L:$L,$C:$C,T$3,$D:$D,$R20)*100</f>
        <v>0.5</v>
      </c>
      <c r="U20" s="67">
        <f t="shared" si="41"/>
        <v>0.5</v>
      </c>
      <c r="V20" s="67">
        <f t="shared" si="41"/>
        <v>0.8</v>
      </c>
      <c r="W20" s="67">
        <f t="shared" si="41"/>
        <v>0</v>
      </c>
      <c r="X20" s="67">
        <f t="shared" si="41"/>
        <v>0.5</v>
      </c>
      <c r="Y20" s="67">
        <f t="shared" si="41"/>
        <v>0.5</v>
      </c>
      <c r="Z20" s="67">
        <f t="shared" si="41"/>
        <v>0</v>
      </c>
      <c r="AA20" s="67">
        <f t="shared" si="41"/>
        <v>1</v>
      </c>
      <c r="AB20" s="69">
        <f t="shared" si="4"/>
        <v>0.4364319205</v>
      </c>
      <c r="AC20" s="67">
        <f t="shared" ref="AC20:AE20" si="42">SUMIFS($L:$L,$C:$C,AC$3,$D:$D,$R20)*100</f>
        <v>0</v>
      </c>
      <c r="AD20" s="67">
        <f t="shared" si="42"/>
        <v>0</v>
      </c>
      <c r="AE20" s="67">
        <f t="shared" si="42"/>
        <v>0</v>
      </c>
      <c r="AF20" s="69">
        <f t="shared" si="6"/>
        <v>0</v>
      </c>
      <c r="AG20" s="1"/>
      <c r="AH20" s="70">
        <f t="shared" si="7"/>
        <v>1862.345162</v>
      </c>
      <c r="AI20" s="70">
        <f t="shared" si="8"/>
        <v>0</v>
      </c>
      <c r="AJ20" s="1"/>
      <c r="AK20" s="37" t="s">
        <v>38</v>
      </c>
      <c r="AL20" s="38"/>
      <c r="AM20" s="38"/>
      <c r="AN20" s="38"/>
      <c r="AO20" s="38"/>
      <c r="AP20" s="38"/>
      <c r="AQ20" s="38"/>
      <c r="AR20" s="38"/>
      <c r="AS20" s="40"/>
      <c r="AT20" s="1"/>
      <c r="AU20" s="41" t="s">
        <v>40</v>
      </c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43"/>
      <c r="BH20" s="1"/>
      <c r="BI20" s="1"/>
      <c r="BJ20" s="1"/>
      <c r="BK20" s="1"/>
      <c r="BL20" s="1"/>
      <c r="BM20" s="1"/>
      <c r="BN20" s="1"/>
      <c r="BO20" s="1"/>
    </row>
    <row r="21" ht="19.5" customHeight="1">
      <c r="A21" s="1"/>
      <c r="B21" s="130">
        <v>10.0</v>
      </c>
      <c r="C21" s="131" t="s">
        <v>23</v>
      </c>
      <c r="D21" s="132" t="s">
        <v>187</v>
      </c>
      <c r="E21" s="133" t="s">
        <v>211</v>
      </c>
      <c r="F21" s="134"/>
      <c r="G21" s="135" t="s">
        <v>144</v>
      </c>
      <c r="H21" s="134"/>
      <c r="I21" s="134"/>
      <c r="J21" s="134"/>
      <c r="K21" s="134"/>
      <c r="L21" s="137">
        <v>0.02</v>
      </c>
      <c r="M21" s="138">
        <f t="shared" si="27"/>
        <v>0.06818181818</v>
      </c>
      <c r="N21" s="132" t="s">
        <v>157</v>
      </c>
      <c r="O21" s="139"/>
      <c r="P21" s="1"/>
      <c r="Q21" s="1"/>
      <c r="R21" s="66" t="s">
        <v>212</v>
      </c>
      <c r="S21" s="66" t="s">
        <v>213</v>
      </c>
      <c r="T21" s="67">
        <f t="shared" ref="T21:AA21" si="43">SUMIFS($L:$L,$C:$C,T$3,$D:$D,$R21)*100</f>
        <v>0.3</v>
      </c>
      <c r="U21" s="67">
        <f t="shared" si="43"/>
        <v>0.3</v>
      </c>
      <c r="V21" s="67">
        <f t="shared" si="43"/>
        <v>0.8</v>
      </c>
      <c r="W21" s="67">
        <f t="shared" si="43"/>
        <v>0</v>
      </c>
      <c r="X21" s="67">
        <f t="shared" si="43"/>
        <v>0</v>
      </c>
      <c r="Y21" s="67">
        <f t="shared" si="43"/>
        <v>0</v>
      </c>
      <c r="Z21" s="67">
        <f t="shared" si="43"/>
        <v>0</v>
      </c>
      <c r="AA21" s="67">
        <f t="shared" si="43"/>
        <v>0</v>
      </c>
      <c r="AB21" s="69">
        <f t="shared" si="4"/>
        <v>0.1638499101</v>
      </c>
      <c r="AC21" s="67">
        <f t="shared" ref="AC21:AE21" si="44">SUMIFS($L:$L,$C:$C,AC$3,$D:$D,$R21)*100</f>
        <v>0</v>
      </c>
      <c r="AD21" s="67">
        <f t="shared" si="44"/>
        <v>0</v>
      </c>
      <c r="AE21" s="67">
        <f t="shared" si="44"/>
        <v>0</v>
      </c>
      <c r="AF21" s="69">
        <f t="shared" si="6"/>
        <v>0</v>
      </c>
      <c r="AG21" s="1"/>
      <c r="AH21" s="70">
        <f t="shared" si="7"/>
        <v>699.1814141</v>
      </c>
      <c r="AI21" s="70">
        <f t="shared" si="8"/>
        <v>0</v>
      </c>
      <c r="AJ21" s="1"/>
      <c r="AK21" s="57" t="s">
        <v>48</v>
      </c>
      <c r="AL21" s="57" t="s">
        <v>49</v>
      </c>
      <c r="AM21" s="57" t="s">
        <v>50</v>
      </c>
      <c r="AN21" s="58" t="s">
        <v>51</v>
      </c>
      <c r="AO21" s="38"/>
      <c r="AP21" s="38"/>
      <c r="AQ21" s="43"/>
      <c r="AR21" s="59" t="s">
        <v>52</v>
      </c>
      <c r="AS21" s="49"/>
      <c r="AT21" s="1"/>
      <c r="AU21" s="60" t="s">
        <v>53</v>
      </c>
      <c r="AV21" s="60" t="s">
        <v>54</v>
      </c>
      <c r="AW21" s="61" t="s">
        <v>55</v>
      </c>
      <c r="AX21" s="43"/>
      <c r="AY21" s="61" t="s">
        <v>56</v>
      </c>
      <c r="AZ21" s="43"/>
      <c r="BA21" s="61" t="s">
        <v>57</v>
      </c>
      <c r="BB21" s="43"/>
      <c r="BC21" s="61" t="s">
        <v>18</v>
      </c>
      <c r="BD21" s="43"/>
      <c r="BE21" s="60" t="s">
        <v>58</v>
      </c>
      <c r="BF21" s="60" t="s">
        <v>59</v>
      </c>
      <c r="BG21" s="60" t="s">
        <v>60</v>
      </c>
      <c r="BH21" s="1"/>
      <c r="BI21" s="1"/>
      <c r="BJ21" s="1"/>
      <c r="BK21" s="1"/>
      <c r="BL21" s="1"/>
      <c r="BM21" s="1"/>
      <c r="BN21" s="1"/>
      <c r="BO21" s="1"/>
    </row>
    <row r="22" ht="19.5" customHeight="1">
      <c r="A22" s="1"/>
      <c r="B22" s="130">
        <v>11.0</v>
      </c>
      <c r="C22" s="131" t="s">
        <v>23</v>
      </c>
      <c r="D22" s="132" t="s">
        <v>89</v>
      </c>
      <c r="E22" s="133" t="s">
        <v>214</v>
      </c>
      <c r="F22" s="134"/>
      <c r="G22" s="135" t="s">
        <v>144</v>
      </c>
      <c r="H22" s="134"/>
      <c r="I22" s="134"/>
      <c r="J22" s="134"/>
      <c r="K22" s="134"/>
      <c r="L22" s="137">
        <v>0.008</v>
      </c>
      <c r="M22" s="138">
        <f t="shared" si="27"/>
        <v>0.02727272727</v>
      </c>
      <c r="N22" s="132" t="s">
        <v>157</v>
      </c>
      <c r="O22" s="139"/>
      <c r="P22" s="1"/>
      <c r="Q22" s="1"/>
      <c r="R22" s="66" t="s">
        <v>215</v>
      </c>
      <c r="S22" s="66" t="s">
        <v>216</v>
      </c>
      <c r="T22" s="67">
        <f t="shared" ref="T22:AA22" si="45">SUMIFS($L:$L,$C:$C,T$3,$D:$D,$R22)*100</f>
        <v>0.4</v>
      </c>
      <c r="U22" s="67">
        <f t="shared" si="45"/>
        <v>0</v>
      </c>
      <c r="V22" s="67">
        <f t="shared" si="45"/>
        <v>0</v>
      </c>
      <c r="W22" s="67">
        <f t="shared" si="45"/>
        <v>0.14</v>
      </c>
      <c r="X22" s="67">
        <f t="shared" si="45"/>
        <v>0</v>
      </c>
      <c r="Y22" s="67">
        <f t="shared" si="45"/>
        <v>0</v>
      </c>
      <c r="Z22" s="67">
        <f t="shared" si="45"/>
        <v>0</v>
      </c>
      <c r="AA22" s="67">
        <f t="shared" si="45"/>
        <v>0</v>
      </c>
      <c r="AB22" s="69">
        <f t="shared" si="4"/>
        <v>0.1494834233</v>
      </c>
      <c r="AC22" s="67">
        <f t="shared" ref="AC22:AE22" si="46">SUMIFS($L:$L,$C:$C,AC$3,$D:$D,$R22)*100</f>
        <v>0</v>
      </c>
      <c r="AD22" s="67">
        <f t="shared" si="46"/>
        <v>0</v>
      </c>
      <c r="AE22" s="67">
        <f t="shared" si="46"/>
        <v>0.5</v>
      </c>
      <c r="AF22" s="69">
        <f t="shared" si="6"/>
        <v>0.09473681219</v>
      </c>
      <c r="AG22" s="1"/>
      <c r="AH22" s="70">
        <f t="shared" si="7"/>
        <v>637.8766471</v>
      </c>
      <c r="AI22" s="70">
        <f t="shared" si="8"/>
        <v>325.4510347</v>
      </c>
      <c r="AJ22" s="1"/>
      <c r="AK22" s="71"/>
      <c r="AL22" s="71"/>
      <c r="AM22" s="71"/>
      <c r="AN22" s="58" t="s">
        <v>68</v>
      </c>
      <c r="AO22" s="43"/>
      <c r="AP22" s="58" t="s">
        <v>69</v>
      </c>
      <c r="AQ22" s="43"/>
      <c r="AR22" s="72"/>
      <c r="AS22" s="73"/>
      <c r="AT22" s="1"/>
      <c r="AU22" s="74" t="s">
        <v>217</v>
      </c>
      <c r="AV22" s="75"/>
      <c r="AW22" s="76"/>
      <c r="AX22" s="77" t="s">
        <v>82</v>
      </c>
      <c r="AY22" s="77"/>
      <c r="AZ22" s="77" t="s">
        <v>72</v>
      </c>
      <c r="BA22" s="76"/>
      <c r="BB22" s="77" t="s">
        <v>21</v>
      </c>
      <c r="BC22" s="77" t="s">
        <v>73</v>
      </c>
      <c r="BD22" s="77" t="s">
        <v>74</v>
      </c>
      <c r="BE22" s="78"/>
      <c r="BF22" s="79"/>
      <c r="BG22" s="80"/>
      <c r="BH22" s="1"/>
      <c r="BI22" s="1"/>
      <c r="BJ22" s="1"/>
      <c r="BK22" s="1"/>
      <c r="BL22" s="1"/>
      <c r="BM22" s="1"/>
      <c r="BN22" s="1"/>
      <c r="BO22" s="1"/>
    </row>
    <row r="23" ht="19.5" customHeight="1">
      <c r="A23" s="1"/>
      <c r="B23" s="130">
        <v>12.0</v>
      </c>
      <c r="C23" s="131" t="s">
        <v>23</v>
      </c>
      <c r="D23" s="132" t="s">
        <v>76</v>
      </c>
      <c r="E23" s="133" t="s">
        <v>218</v>
      </c>
      <c r="F23" s="134"/>
      <c r="G23" s="135" t="s">
        <v>144</v>
      </c>
      <c r="H23" s="134"/>
      <c r="I23" s="134"/>
      <c r="J23" s="134"/>
      <c r="K23" s="134"/>
      <c r="L23" s="137">
        <v>0.005</v>
      </c>
      <c r="M23" s="138">
        <f t="shared" si="27"/>
        <v>0.01704545455</v>
      </c>
      <c r="N23" s="132" t="s">
        <v>157</v>
      </c>
      <c r="O23" s="139"/>
      <c r="P23" s="1"/>
      <c r="Q23" s="1"/>
      <c r="R23" s="66" t="s">
        <v>219</v>
      </c>
      <c r="S23" s="66" t="s">
        <v>220</v>
      </c>
      <c r="T23" s="67">
        <f t="shared" ref="T23:AA23" si="47">SUMIFS($L:$L,$C:$C,T$3,$D:$D,$R23)*100</f>
        <v>0</v>
      </c>
      <c r="U23" s="67">
        <f t="shared" si="47"/>
        <v>13</v>
      </c>
      <c r="V23" s="67">
        <f t="shared" si="47"/>
        <v>0</v>
      </c>
      <c r="W23" s="67">
        <f t="shared" si="47"/>
        <v>0</v>
      </c>
      <c r="X23" s="67">
        <f t="shared" si="47"/>
        <v>0</v>
      </c>
      <c r="Y23" s="67">
        <f t="shared" si="47"/>
        <v>0</v>
      </c>
      <c r="Z23" s="67">
        <f t="shared" si="47"/>
        <v>16</v>
      </c>
      <c r="AA23" s="67">
        <f t="shared" si="47"/>
        <v>0</v>
      </c>
      <c r="AB23" s="69">
        <f t="shared" si="4"/>
        <v>1.490138746</v>
      </c>
      <c r="AC23" s="67">
        <f t="shared" ref="AC23:AE23" si="48">SUMIFS($L:$L,$C:$C,AC$3,$D:$D,$R23)*100</f>
        <v>0</v>
      </c>
      <c r="AD23" s="67">
        <f t="shared" si="48"/>
        <v>0</v>
      </c>
      <c r="AE23" s="67">
        <f t="shared" si="48"/>
        <v>0</v>
      </c>
      <c r="AF23" s="69">
        <f t="shared" si="6"/>
        <v>0</v>
      </c>
      <c r="AG23" s="1"/>
      <c r="AH23" s="70">
        <f t="shared" si="7"/>
        <v>6358.729861</v>
      </c>
      <c r="AI23" s="70">
        <f t="shared" si="8"/>
        <v>0</v>
      </c>
      <c r="AJ23" s="1"/>
      <c r="AK23" s="82" t="s">
        <v>222</v>
      </c>
      <c r="AL23" s="83">
        <f>AR32*(1+AL34)</f>
        <v>343531.7562</v>
      </c>
      <c r="AM23" s="84">
        <v>0.0</v>
      </c>
      <c r="AN23" s="85"/>
      <c r="AO23" s="84">
        <f t="shared" ref="AO23:AO29" si="51">AL23*AN23</f>
        <v>0</v>
      </c>
      <c r="AP23" s="85"/>
      <c r="AQ23" s="84">
        <f t="shared" ref="AQ23:AQ29" si="52">AL23*AP23</f>
        <v>0</v>
      </c>
      <c r="AR23" s="84">
        <f t="shared" ref="AR23:AR29" si="53">AL23+AM23-AO23-AQ23</f>
        <v>343531.7562</v>
      </c>
      <c r="AS23" s="86" t="s">
        <v>79</v>
      </c>
      <c r="AT23" s="1"/>
      <c r="AU23" s="74" t="s">
        <v>224</v>
      </c>
      <c r="AV23" s="75"/>
      <c r="AW23" s="76"/>
      <c r="AX23" s="77" t="s">
        <v>82</v>
      </c>
      <c r="AY23" s="77"/>
      <c r="AZ23" s="77" t="s">
        <v>72</v>
      </c>
      <c r="BA23" s="76"/>
      <c r="BB23" s="77" t="s">
        <v>21</v>
      </c>
      <c r="BC23" s="77" t="s">
        <v>73</v>
      </c>
      <c r="BD23" s="77" t="s">
        <v>74</v>
      </c>
      <c r="BE23" s="87"/>
      <c r="BF23" s="79"/>
      <c r="BG23" s="80"/>
      <c r="BH23" s="1"/>
      <c r="BI23" s="1"/>
      <c r="BJ23" s="1"/>
      <c r="BK23" s="1"/>
      <c r="BL23" s="1"/>
      <c r="BM23" s="1"/>
      <c r="BN23" s="1"/>
      <c r="BO23" s="1"/>
    </row>
    <row r="24" ht="19.5" customHeight="1">
      <c r="A24" s="1"/>
      <c r="B24" s="130">
        <v>13.0</v>
      </c>
      <c r="C24" s="131" t="s">
        <v>23</v>
      </c>
      <c r="D24" s="132" t="s">
        <v>84</v>
      </c>
      <c r="E24" s="133" t="s">
        <v>225</v>
      </c>
      <c r="F24" s="134"/>
      <c r="G24" s="135" t="s">
        <v>144</v>
      </c>
      <c r="H24" s="134"/>
      <c r="I24" s="134"/>
      <c r="J24" s="134"/>
      <c r="K24" s="134"/>
      <c r="L24" s="137">
        <v>0.005</v>
      </c>
      <c r="M24" s="138">
        <f t="shared" si="27"/>
        <v>0.01704545455</v>
      </c>
      <c r="N24" s="132" t="s">
        <v>157</v>
      </c>
      <c r="O24" s="139"/>
      <c r="P24" s="1"/>
      <c r="Q24" s="1"/>
      <c r="R24" s="66" t="s">
        <v>226</v>
      </c>
      <c r="S24" s="66" t="s">
        <v>227</v>
      </c>
      <c r="T24" s="67">
        <f t="shared" ref="T24:AA24" si="49">SUMIFS($L:$L,$C:$C,T$3,$D:$D,$R24)*100</f>
        <v>0</v>
      </c>
      <c r="U24" s="67">
        <f t="shared" si="49"/>
        <v>5</v>
      </c>
      <c r="V24" s="67">
        <f t="shared" si="49"/>
        <v>0</v>
      </c>
      <c r="W24" s="67">
        <f t="shared" si="49"/>
        <v>0</v>
      </c>
      <c r="X24" s="67">
        <f t="shared" si="49"/>
        <v>0</v>
      </c>
      <c r="Y24" s="67">
        <f t="shared" si="49"/>
        <v>0</v>
      </c>
      <c r="Z24" s="67">
        <f t="shared" si="49"/>
        <v>0</v>
      </c>
      <c r="AA24" s="67">
        <f t="shared" si="49"/>
        <v>0</v>
      </c>
      <c r="AB24" s="69">
        <f t="shared" si="4"/>
        <v>0.1830983337</v>
      </c>
      <c r="AC24" s="67">
        <f t="shared" ref="AC24:AE24" si="50">SUMIFS($L:$L,$C:$C,AC$3,$D:$D,$R24)*100</f>
        <v>0</v>
      </c>
      <c r="AD24" s="67">
        <f t="shared" si="50"/>
        <v>0</v>
      </c>
      <c r="AE24" s="67">
        <f t="shared" si="50"/>
        <v>0</v>
      </c>
      <c r="AF24" s="69">
        <f t="shared" si="6"/>
        <v>0</v>
      </c>
      <c r="AG24" s="1"/>
      <c r="AH24" s="70">
        <f t="shared" si="7"/>
        <v>781.3184139</v>
      </c>
      <c r="AI24" s="70">
        <f t="shared" si="8"/>
        <v>0</v>
      </c>
      <c r="AJ24" s="1"/>
      <c r="AK24" s="82" t="s">
        <v>228</v>
      </c>
      <c r="AL24" s="84">
        <f t="shared" ref="AL24:AL29" si="56">AR23</f>
        <v>343531.7562</v>
      </c>
      <c r="AM24" s="84">
        <v>0.0</v>
      </c>
      <c r="AN24" s="85"/>
      <c r="AO24" s="84">
        <f t="shared" si="51"/>
        <v>0</v>
      </c>
      <c r="AP24" s="85"/>
      <c r="AQ24" s="84">
        <f t="shared" si="52"/>
        <v>0</v>
      </c>
      <c r="AR24" s="84">
        <f t="shared" si="53"/>
        <v>343531.7562</v>
      </c>
      <c r="AS24" s="86" t="s">
        <v>79</v>
      </c>
      <c r="AT24" s="1"/>
      <c r="AU24" s="74" t="s">
        <v>229</v>
      </c>
      <c r="AV24" s="75"/>
      <c r="AW24" s="76"/>
      <c r="AX24" s="77" t="s">
        <v>82</v>
      </c>
      <c r="AY24" s="77"/>
      <c r="AZ24" s="77" t="s">
        <v>72</v>
      </c>
      <c r="BA24" s="76"/>
      <c r="BB24" s="77" t="s">
        <v>21</v>
      </c>
      <c r="BC24" s="77" t="s">
        <v>73</v>
      </c>
      <c r="BD24" s="77" t="s">
        <v>74</v>
      </c>
      <c r="BE24" s="87"/>
      <c r="BF24" s="79"/>
      <c r="BG24" s="80"/>
      <c r="BH24" s="1"/>
      <c r="BI24" s="1"/>
      <c r="BJ24" s="1"/>
      <c r="BK24" s="1"/>
      <c r="BL24" s="1"/>
      <c r="BM24" s="1"/>
      <c r="BN24" s="1"/>
      <c r="BO24" s="1"/>
    </row>
    <row r="25" ht="19.5" customHeight="1">
      <c r="A25" s="1"/>
      <c r="B25" s="130">
        <v>14.0</v>
      </c>
      <c r="C25" s="131" t="s">
        <v>23</v>
      </c>
      <c r="D25" s="132" t="s">
        <v>209</v>
      </c>
      <c r="E25" s="133" t="s">
        <v>230</v>
      </c>
      <c r="F25" s="134"/>
      <c r="G25" s="135" t="s">
        <v>144</v>
      </c>
      <c r="H25" s="134"/>
      <c r="I25" s="134"/>
      <c r="J25" s="134"/>
      <c r="K25" s="134"/>
      <c r="L25" s="137">
        <v>0.005</v>
      </c>
      <c r="M25" s="138">
        <f t="shared" si="27"/>
        <v>0.01704545455</v>
      </c>
      <c r="N25" s="132" t="s">
        <v>157</v>
      </c>
      <c r="O25" s="139"/>
      <c r="P25" s="1"/>
      <c r="Q25" s="1"/>
      <c r="R25" s="66" t="s">
        <v>231</v>
      </c>
      <c r="S25" s="66" t="s">
        <v>232</v>
      </c>
      <c r="T25" s="67">
        <f t="shared" ref="T25:AA25" si="54">SUMIFS($L:$L,$C:$C,T$3,$D:$D,$R25)*100</f>
        <v>0</v>
      </c>
      <c r="U25" s="67">
        <f t="shared" si="54"/>
        <v>4</v>
      </c>
      <c r="V25" s="67">
        <f t="shared" si="54"/>
        <v>0</v>
      </c>
      <c r="W25" s="67">
        <f t="shared" si="54"/>
        <v>0</v>
      </c>
      <c r="X25" s="67">
        <f t="shared" si="54"/>
        <v>0</v>
      </c>
      <c r="Y25" s="67">
        <f t="shared" si="54"/>
        <v>0</v>
      </c>
      <c r="Z25" s="67">
        <f t="shared" si="54"/>
        <v>6</v>
      </c>
      <c r="AA25" s="67">
        <f t="shared" si="54"/>
        <v>0</v>
      </c>
      <c r="AB25" s="69">
        <f t="shared" si="4"/>
        <v>0.5267598215</v>
      </c>
      <c r="AC25" s="67">
        <f t="shared" ref="AC25:AE25" si="55">SUMIFS($L:$L,$C:$C,AC$3,$D:$D,$R25)*100</f>
        <v>0</v>
      </c>
      <c r="AD25" s="67">
        <f t="shared" si="55"/>
        <v>0</v>
      </c>
      <c r="AE25" s="67">
        <f t="shared" si="55"/>
        <v>0</v>
      </c>
      <c r="AF25" s="69">
        <f t="shared" si="6"/>
        <v>0</v>
      </c>
      <c r="AG25" s="1"/>
      <c r="AH25" s="70">
        <f t="shared" si="7"/>
        <v>2247.792975</v>
      </c>
      <c r="AI25" s="70">
        <f t="shared" si="8"/>
        <v>0</v>
      </c>
      <c r="AJ25" s="1"/>
      <c r="AK25" s="82" t="s">
        <v>233</v>
      </c>
      <c r="AL25" s="84">
        <f t="shared" si="56"/>
        <v>343531.7562</v>
      </c>
      <c r="AM25" s="84">
        <v>0.0</v>
      </c>
      <c r="AN25" s="85"/>
      <c r="AO25" s="84">
        <f t="shared" si="51"/>
        <v>0</v>
      </c>
      <c r="AP25" s="85"/>
      <c r="AQ25" s="84">
        <f t="shared" si="52"/>
        <v>0</v>
      </c>
      <c r="AR25" s="84">
        <f t="shared" si="53"/>
        <v>343531.7562</v>
      </c>
      <c r="AS25" s="86" t="s">
        <v>79</v>
      </c>
      <c r="AT25" s="1"/>
      <c r="AU25" s="74" t="s">
        <v>234</v>
      </c>
      <c r="AV25" s="75"/>
      <c r="AW25" s="76"/>
      <c r="AX25" s="77" t="s">
        <v>82</v>
      </c>
      <c r="AY25" s="77"/>
      <c r="AZ25" s="77" t="s">
        <v>72</v>
      </c>
      <c r="BA25" s="76"/>
      <c r="BB25" s="77" t="s">
        <v>21</v>
      </c>
      <c r="BC25" s="77" t="s">
        <v>73</v>
      </c>
      <c r="BD25" s="77" t="s">
        <v>74</v>
      </c>
      <c r="BE25" s="87"/>
      <c r="BF25" s="79"/>
      <c r="BG25" s="80"/>
      <c r="BH25" s="1"/>
      <c r="BI25" s="1"/>
      <c r="BJ25" s="1"/>
      <c r="BK25" s="1"/>
      <c r="BL25" s="1"/>
      <c r="BM25" s="1"/>
      <c r="BN25" s="1"/>
      <c r="BO25" s="1"/>
    </row>
    <row r="26" ht="19.5" customHeight="1">
      <c r="A26" s="1"/>
      <c r="B26" s="130">
        <v>15.0</v>
      </c>
      <c r="C26" s="131" t="s">
        <v>23</v>
      </c>
      <c r="D26" s="132" t="s">
        <v>215</v>
      </c>
      <c r="E26" s="133" t="s">
        <v>235</v>
      </c>
      <c r="F26" s="134"/>
      <c r="G26" s="135" t="s">
        <v>144</v>
      </c>
      <c r="H26" s="134"/>
      <c r="I26" s="134"/>
      <c r="J26" s="134"/>
      <c r="K26" s="134"/>
      <c r="L26" s="137">
        <v>0.004</v>
      </c>
      <c r="M26" s="138">
        <f t="shared" si="27"/>
        <v>0.01363636364</v>
      </c>
      <c r="N26" s="132" t="s">
        <v>157</v>
      </c>
      <c r="O26" s="139"/>
      <c r="P26" s="1"/>
      <c r="Q26" s="1"/>
      <c r="R26" s="66" t="s">
        <v>236</v>
      </c>
      <c r="S26" s="66" t="s">
        <v>237</v>
      </c>
      <c r="T26" s="67">
        <f t="shared" ref="T26:AA26" si="57">SUMIFS($L:$L,$C:$C,T$3,$D:$D,$R26)*100</f>
        <v>0</v>
      </c>
      <c r="U26" s="67">
        <f t="shared" si="57"/>
        <v>3</v>
      </c>
      <c r="V26" s="67">
        <f t="shared" si="57"/>
        <v>0</v>
      </c>
      <c r="W26" s="67">
        <f t="shared" si="57"/>
        <v>0</v>
      </c>
      <c r="X26" s="67">
        <f t="shared" si="57"/>
        <v>0</v>
      </c>
      <c r="Y26" s="67">
        <f t="shared" si="57"/>
        <v>0</v>
      </c>
      <c r="Z26" s="67">
        <f t="shared" si="57"/>
        <v>0</v>
      </c>
      <c r="AA26" s="67">
        <f t="shared" si="57"/>
        <v>0</v>
      </c>
      <c r="AB26" s="69">
        <f t="shared" si="4"/>
        <v>0.1098590002</v>
      </c>
      <c r="AC26" s="67">
        <f t="shared" ref="AC26:AE26" si="58">SUMIFS($L:$L,$C:$C,AC$3,$D:$D,$R26)*100</f>
        <v>3</v>
      </c>
      <c r="AD26" s="67">
        <f t="shared" si="58"/>
        <v>0</v>
      </c>
      <c r="AE26" s="67">
        <f t="shared" si="58"/>
        <v>0</v>
      </c>
      <c r="AF26" s="69">
        <f t="shared" si="6"/>
        <v>1.105262809</v>
      </c>
      <c r="AG26" s="1"/>
      <c r="AH26" s="70">
        <f t="shared" si="7"/>
        <v>468.7910483</v>
      </c>
      <c r="AI26" s="70">
        <f t="shared" si="8"/>
        <v>3796.928738</v>
      </c>
      <c r="AJ26" s="1"/>
      <c r="AK26" s="82" t="s">
        <v>92</v>
      </c>
      <c r="AL26" s="84">
        <f t="shared" si="56"/>
        <v>343531.7562</v>
      </c>
      <c r="AM26" s="84">
        <v>0.0</v>
      </c>
      <c r="AN26" s="85"/>
      <c r="AO26" s="84">
        <f t="shared" si="51"/>
        <v>0</v>
      </c>
      <c r="AP26" s="85"/>
      <c r="AQ26" s="84">
        <f t="shared" si="52"/>
        <v>0</v>
      </c>
      <c r="AR26" s="84">
        <f t="shared" si="53"/>
        <v>343531.7562</v>
      </c>
      <c r="AS26" s="86" t="s">
        <v>79</v>
      </c>
      <c r="AT26" s="1"/>
      <c r="AU26" s="74" t="s">
        <v>94</v>
      </c>
      <c r="AV26" s="75"/>
      <c r="AW26" s="76"/>
      <c r="AX26" s="77" t="s">
        <v>82</v>
      </c>
      <c r="AY26" s="77"/>
      <c r="AZ26" s="77" t="s">
        <v>72</v>
      </c>
      <c r="BA26" s="76"/>
      <c r="BB26" s="77" t="s">
        <v>21</v>
      </c>
      <c r="BC26" s="77" t="s">
        <v>73</v>
      </c>
      <c r="BD26" s="77" t="s">
        <v>74</v>
      </c>
      <c r="BE26" s="87"/>
      <c r="BF26" s="79"/>
      <c r="BG26" s="80"/>
      <c r="BH26" s="1"/>
      <c r="BI26" s="1"/>
      <c r="BJ26" s="1"/>
      <c r="BK26" s="1"/>
      <c r="BL26" s="1"/>
      <c r="BM26" s="1"/>
      <c r="BN26" s="1"/>
      <c r="BO26" s="1"/>
    </row>
    <row r="27" ht="19.5" customHeight="1">
      <c r="A27" s="1"/>
      <c r="B27" s="130">
        <v>16.0</v>
      </c>
      <c r="C27" s="131" t="s">
        <v>23</v>
      </c>
      <c r="D27" s="132" t="s">
        <v>180</v>
      </c>
      <c r="E27" s="133" t="s">
        <v>238</v>
      </c>
      <c r="F27" s="134"/>
      <c r="G27" s="135" t="s">
        <v>144</v>
      </c>
      <c r="H27" s="134"/>
      <c r="I27" s="134"/>
      <c r="J27" s="134"/>
      <c r="K27" s="134"/>
      <c r="L27" s="137">
        <v>0.003</v>
      </c>
      <c r="M27" s="138">
        <f t="shared" si="27"/>
        <v>0.01022727273</v>
      </c>
      <c r="N27" s="132" t="s">
        <v>157</v>
      </c>
      <c r="O27" s="139"/>
      <c r="P27" s="1"/>
      <c r="Q27" s="1"/>
      <c r="R27" s="66" t="s">
        <v>239</v>
      </c>
      <c r="S27" s="66" t="s">
        <v>240</v>
      </c>
      <c r="T27" s="67">
        <f t="shared" ref="T27:AA27" si="59">SUMIFS($L:$L,$C:$C,T$3,$D:$D,$R27)*100</f>
        <v>0</v>
      </c>
      <c r="U27" s="67">
        <f t="shared" si="59"/>
        <v>1.5</v>
      </c>
      <c r="V27" s="67">
        <f t="shared" si="59"/>
        <v>0</v>
      </c>
      <c r="W27" s="67">
        <f t="shared" si="59"/>
        <v>0</v>
      </c>
      <c r="X27" s="67">
        <f t="shared" si="59"/>
        <v>0</v>
      </c>
      <c r="Y27" s="67">
        <f t="shared" si="59"/>
        <v>0</v>
      </c>
      <c r="Z27" s="67">
        <f t="shared" si="59"/>
        <v>3</v>
      </c>
      <c r="AA27" s="67">
        <f t="shared" si="59"/>
        <v>0</v>
      </c>
      <c r="AB27" s="69">
        <f t="shared" si="4"/>
        <v>0.2450700774</v>
      </c>
      <c r="AC27" s="67">
        <f t="shared" ref="AC27:AE27" si="60">SUMIFS($L:$L,$C:$C,AC$3,$D:$D,$R27)*100</f>
        <v>0</v>
      </c>
      <c r="AD27" s="67">
        <f t="shared" si="60"/>
        <v>0</v>
      </c>
      <c r="AE27" s="67">
        <f t="shared" si="60"/>
        <v>0</v>
      </c>
      <c r="AF27" s="69">
        <f t="shared" si="6"/>
        <v>0</v>
      </c>
      <c r="AG27" s="1"/>
      <c r="AH27" s="70">
        <f t="shared" si="7"/>
        <v>1045.764646</v>
      </c>
      <c r="AI27" s="70">
        <f t="shared" si="8"/>
        <v>0</v>
      </c>
      <c r="AJ27" s="1"/>
      <c r="AK27" s="82" t="s">
        <v>241</v>
      </c>
      <c r="AL27" s="84">
        <f t="shared" si="56"/>
        <v>343531.7562</v>
      </c>
      <c r="AM27" s="84">
        <v>0.0</v>
      </c>
      <c r="AN27" s="85"/>
      <c r="AO27" s="84">
        <f t="shared" si="51"/>
        <v>0</v>
      </c>
      <c r="AP27" s="85"/>
      <c r="AQ27" s="84">
        <f t="shared" si="52"/>
        <v>0</v>
      </c>
      <c r="AR27" s="84">
        <f t="shared" si="53"/>
        <v>343531.7562</v>
      </c>
      <c r="AS27" s="86" t="s">
        <v>79</v>
      </c>
      <c r="AT27" s="1"/>
      <c r="AU27" s="74" t="s">
        <v>128</v>
      </c>
      <c r="AV27" s="75"/>
      <c r="AW27" s="76"/>
      <c r="AX27" s="77" t="s">
        <v>82</v>
      </c>
      <c r="AY27" s="77"/>
      <c r="AZ27" s="77" t="s">
        <v>72</v>
      </c>
      <c r="BA27" s="76"/>
      <c r="BB27" s="77" t="s">
        <v>21</v>
      </c>
      <c r="BC27" s="77" t="s">
        <v>73</v>
      </c>
      <c r="BD27" s="77" t="s">
        <v>74</v>
      </c>
      <c r="BE27" s="87"/>
      <c r="BF27" s="79"/>
      <c r="BG27" s="80"/>
      <c r="BH27" s="1"/>
      <c r="BI27" s="1"/>
      <c r="BJ27" s="1"/>
      <c r="BK27" s="1"/>
      <c r="BL27" s="1"/>
      <c r="BM27" s="1"/>
      <c r="BN27" s="1"/>
      <c r="BO27" s="1"/>
    </row>
    <row r="28" ht="19.5" customHeight="1">
      <c r="A28" s="1"/>
      <c r="B28" s="130">
        <v>17.0</v>
      </c>
      <c r="C28" s="131" t="s">
        <v>23</v>
      </c>
      <c r="D28" s="132" t="s">
        <v>212</v>
      </c>
      <c r="E28" s="133" t="s">
        <v>242</v>
      </c>
      <c r="F28" s="134"/>
      <c r="G28" s="135" t="s">
        <v>144</v>
      </c>
      <c r="H28" s="134"/>
      <c r="I28" s="134"/>
      <c r="J28" s="134"/>
      <c r="K28" s="134"/>
      <c r="L28" s="137">
        <v>0.003</v>
      </c>
      <c r="M28" s="138">
        <f t="shared" si="27"/>
        <v>0.01022727273</v>
      </c>
      <c r="N28" s="132" t="s">
        <v>157</v>
      </c>
      <c r="O28" s="139"/>
      <c r="P28" s="1"/>
      <c r="Q28" s="1"/>
      <c r="R28" s="66" t="s">
        <v>243</v>
      </c>
      <c r="S28" s="66" t="s">
        <v>244</v>
      </c>
      <c r="T28" s="67">
        <f t="shared" ref="T28:AA28" si="61">SUMIFS($L:$L,$C:$C,T$3,$D:$D,$R28)*100</f>
        <v>0</v>
      </c>
      <c r="U28" s="67">
        <f t="shared" si="61"/>
        <v>0</v>
      </c>
      <c r="V28" s="67">
        <f t="shared" si="61"/>
        <v>6</v>
      </c>
      <c r="W28" s="67">
        <f t="shared" si="61"/>
        <v>0</v>
      </c>
      <c r="X28" s="67">
        <f t="shared" si="61"/>
        <v>0</v>
      </c>
      <c r="Y28" s="67">
        <f t="shared" si="61"/>
        <v>0</v>
      </c>
      <c r="Z28" s="67">
        <f t="shared" si="61"/>
        <v>0</v>
      </c>
      <c r="AA28" s="67">
        <f t="shared" si="61"/>
        <v>0</v>
      </c>
      <c r="AB28" s="69">
        <f t="shared" si="4"/>
        <v>0.5126781512</v>
      </c>
      <c r="AC28" s="67">
        <f t="shared" ref="AC28:AE28" si="62">SUMIFS($L:$L,$C:$C,AC$3,$D:$D,$R28)*100</f>
        <v>4</v>
      </c>
      <c r="AD28" s="67">
        <f t="shared" si="62"/>
        <v>5</v>
      </c>
      <c r="AE28" s="67">
        <f t="shared" si="62"/>
        <v>4</v>
      </c>
      <c r="AF28" s="69">
        <f t="shared" si="6"/>
        <v>4.442105439</v>
      </c>
      <c r="AG28" s="1"/>
      <c r="AH28" s="70">
        <f t="shared" si="7"/>
        <v>2187.703579</v>
      </c>
      <c r="AI28" s="70">
        <f t="shared" si="8"/>
        <v>15260.04283</v>
      </c>
      <c r="AJ28" s="1"/>
      <c r="AK28" s="82" t="s">
        <v>109</v>
      </c>
      <c r="AL28" s="84">
        <f t="shared" si="56"/>
        <v>343531.7562</v>
      </c>
      <c r="AM28" s="84">
        <v>0.0</v>
      </c>
      <c r="AN28" s="85"/>
      <c r="AO28" s="84">
        <f t="shared" si="51"/>
        <v>0</v>
      </c>
      <c r="AP28" s="85">
        <v>0.04</v>
      </c>
      <c r="AQ28" s="84">
        <f t="shared" si="52"/>
        <v>13741.27025</v>
      </c>
      <c r="AR28" s="84">
        <f t="shared" si="53"/>
        <v>329790.4859</v>
      </c>
      <c r="AS28" s="86" t="s">
        <v>79</v>
      </c>
      <c r="AT28" s="1"/>
      <c r="AU28" s="74" t="s">
        <v>128</v>
      </c>
      <c r="AV28" s="75"/>
      <c r="AW28" s="76"/>
      <c r="AX28" s="77" t="s">
        <v>82</v>
      </c>
      <c r="AY28" s="77"/>
      <c r="AZ28" s="77" t="s">
        <v>72</v>
      </c>
      <c r="BA28" s="76"/>
      <c r="BB28" s="77" t="s">
        <v>21</v>
      </c>
      <c r="BC28" s="77" t="s">
        <v>73</v>
      </c>
      <c r="BD28" s="77" t="s">
        <v>74</v>
      </c>
      <c r="BE28" s="87"/>
      <c r="BF28" s="79"/>
      <c r="BG28" s="80"/>
      <c r="BH28" s="1"/>
      <c r="BI28" s="1"/>
      <c r="BJ28" s="1"/>
      <c r="BK28" s="1"/>
      <c r="BL28" s="1"/>
      <c r="BM28" s="1"/>
      <c r="BN28" s="1"/>
      <c r="BO28" s="1"/>
    </row>
    <row r="29" ht="19.5" customHeight="1">
      <c r="A29" s="1"/>
      <c r="B29" s="130">
        <v>18.0</v>
      </c>
      <c r="C29" s="131" t="s">
        <v>23</v>
      </c>
      <c r="D29" s="132" t="s">
        <v>202</v>
      </c>
      <c r="E29" s="133" t="s">
        <v>248</v>
      </c>
      <c r="F29" s="134"/>
      <c r="G29" s="135" t="s">
        <v>144</v>
      </c>
      <c r="H29" s="134"/>
      <c r="I29" s="134"/>
      <c r="J29" s="134"/>
      <c r="K29" s="134"/>
      <c r="L29" s="137">
        <v>0.002</v>
      </c>
      <c r="M29" s="138">
        <f t="shared" si="27"/>
        <v>0.006818181818</v>
      </c>
      <c r="N29" s="132" t="s">
        <v>157</v>
      </c>
      <c r="O29" s="139"/>
      <c r="P29" s="1"/>
      <c r="Q29" s="1"/>
      <c r="R29" s="66" t="s">
        <v>250</v>
      </c>
      <c r="S29" s="66" t="s">
        <v>251</v>
      </c>
      <c r="T29" s="67">
        <f t="shared" ref="T29:AA29" si="63">SUMIFS($L:$L,$C:$C,T$3,$D:$D,$R29)*100</f>
        <v>0</v>
      </c>
      <c r="U29" s="67">
        <f t="shared" si="63"/>
        <v>0</v>
      </c>
      <c r="V29" s="67">
        <f t="shared" si="63"/>
        <v>0</v>
      </c>
      <c r="W29" s="67">
        <f t="shared" si="63"/>
        <v>7.92</v>
      </c>
      <c r="X29" s="67">
        <f t="shared" si="63"/>
        <v>0</v>
      </c>
      <c r="Y29" s="67">
        <f t="shared" si="63"/>
        <v>0</v>
      </c>
      <c r="Z29" s="67">
        <f t="shared" si="63"/>
        <v>0</v>
      </c>
      <c r="AA29" s="67">
        <f t="shared" si="63"/>
        <v>0</v>
      </c>
      <c r="AB29" s="69">
        <f t="shared" si="4"/>
        <v>2.082254307</v>
      </c>
      <c r="AC29" s="67">
        <f t="shared" ref="AC29:AE29" si="64">SUMIFS($L:$L,$C:$C,AC$3,$D:$D,$R29)*100</f>
        <v>0</v>
      </c>
      <c r="AD29" s="67">
        <f t="shared" si="64"/>
        <v>0</v>
      </c>
      <c r="AE29" s="67">
        <f t="shared" si="64"/>
        <v>0</v>
      </c>
      <c r="AF29" s="69">
        <f t="shared" si="6"/>
        <v>0</v>
      </c>
      <c r="AG29" s="1"/>
      <c r="AH29" s="70">
        <f t="shared" si="7"/>
        <v>8885.409275</v>
      </c>
      <c r="AI29" s="70">
        <f t="shared" si="8"/>
        <v>0</v>
      </c>
      <c r="AJ29" s="1"/>
      <c r="AK29" s="82" t="s">
        <v>141</v>
      </c>
      <c r="AL29" s="84">
        <f t="shared" si="56"/>
        <v>329790.4859</v>
      </c>
      <c r="AM29" s="84">
        <v>0.0</v>
      </c>
      <c r="AN29" s="85"/>
      <c r="AO29" s="84">
        <f t="shared" si="51"/>
        <v>0</v>
      </c>
      <c r="AP29" s="85">
        <v>0.03</v>
      </c>
      <c r="AQ29" s="84">
        <f t="shared" si="52"/>
        <v>9893.714578</v>
      </c>
      <c r="AR29" s="84">
        <f t="shared" si="53"/>
        <v>319896.7714</v>
      </c>
      <c r="AS29" s="86" t="s">
        <v>79</v>
      </c>
      <c r="AT29" s="1"/>
      <c r="AU29" s="74"/>
      <c r="AV29" s="75"/>
      <c r="AW29" s="76"/>
      <c r="AX29" s="77" t="s">
        <v>82</v>
      </c>
      <c r="AY29" s="77"/>
      <c r="AZ29" s="77" t="s">
        <v>72</v>
      </c>
      <c r="BA29" s="76"/>
      <c r="BB29" s="77" t="s">
        <v>21</v>
      </c>
      <c r="BC29" s="77" t="s">
        <v>73</v>
      </c>
      <c r="BD29" s="77" t="s">
        <v>74</v>
      </c>
      <c r="BE29" s="87"/>
      <c r="BF29" s="79"/>
      <c r="BG29" s="80"/>
      <c r="BH29" s="1"/>
      <c r="BI29" s="1"/>
      <c r="BJ29" s="1"/>
      <c r="BK29" s="1"/>
      <c r="BL29" s="1"/>
      <c r="BM29" s="1"/>
      <c r="BN29" s="1"/>
      <c r="BO29" s="1"/>
    </row>
    <row r="30" ht="19.5" customHeight="1">
      <c r="A30" s="1"/>
      <c r="B30" s="130"/>
      <c r="C30" s="131"/>
      <c r="D30" s="181"/>
      <c r="E30" s="182" t="s">
        <v>256</v>
      </c>
      <c r="F30" s="183"/>
      <c r="G30" s="185"/>
      <c r="H30" s="183"/>
      <c r="I30" s="183"/>
      <c r="J30" s="183"/>
      <c r="K30" s="186"/>
      <c r="L30" s="137"/>
      <c r="M30" s="138"/>
      <c r="N30" s="132"/>
      <c r="O30" s="139"/>
      <c r="P30" s="1"/>
      <c r="Q30" s="1"/>
      <c r="R30" s="66"/>
      <c r="S30" s="66"/>
      <c r="T30" s="67"/>
      <c r="U30" s="67"/>
      <c r="V30" s="67"/>
      <c r="W30" s="67"/>
      <c r="X30" s="67"/>
      <c r="Y30" s="67"/>
      <c r="Z30" s="67"/>
      <c r="AA30" s="67"/>
      <c r="AB30" s="69"/>
      <c r="AC30" s="67"/>
      <c r="AD30" s="67"/>
      <c r="AE30" s="67"/>
      <c r="AF30" s="69"/>
      <c r="AG30" s="1"/>
      <c r="AH30" s="70"/>
      <c r="AI30" s="70"/>
      <c r="AJ30" s="1"/>
      <c r="AK30" s="82"/>
      <c r="AL30" s="84"/>
      <c r="AM30" s="84"/>
      <c r="AN30" s="85"/>
      <c r="AO30" s="84"/>
      <c r="AP30" s="85"/>
      <c r="AQ30" s="84"/>
      <c r="AR30" s="84"/>
      <c r="AS30" s="86"/>
      <c r="AT30" s="1"/>
      <c r="AU30" s="74"/>
      <c r="AV30" s="75"/>
      <c r="AW30" s="76"/>
      <c r="AX30" s="77"/>
      <c r="AY30" s="77"/>
      <c r="AZ30" s="77"/>
      <c r="BA30" s="76"/>
      <c r="BB30" s="77"/>
      <c r="BC30" s="77"/>
      <c r="BD30" s="77"/>
      <c r="BE30" s="87"/>
      <c r="BF30" s="79"/>
      <c r="BG30" s="80"/>
      <c r="BH30" s="1"/>
      <c r="BI30" s="1"/>
      <c r="BJ30" s="1"/>
      <c r="BK30" s="1"/>
      <c r="BL30" s="1"/>
      <c r="BM30" s="1"/>
      <c r="BN30" s="1"/>
      <c r="BO30" s="1"/>
    </row>
    <row r="31" ht="19.5" customHeight="1">
      <c r="A31" s="1"/>
      <c r="B31" s="191"/>
      <c r="C31" s="192"/>
      <c r="D31" s="45" t="s">
        <v>266</v>
      </c>
      <c r="E31" s="38"/>
      <c r="F31" s="38"/>
      <c r="G31" s="38"/>
      <c r="H31" s="38"/>
      <c r="I31" s="38"/>
      <c r="J31" s="38"/>
      <c r="K31" s="43"/>
      <c r="L31" s="194">
        <f t="shared" ref="L31:M31" si="65">L13+L14+L15+L16+L17+L18+L19+L20+L21+L22+L23+L24+L25+L26+L27+L28+L29</f>
        <v>1</v>
      </c>
      <c r="M31" s="197">
        <f t="shared" si="65"/>
        <v>3.409090909</v>
      </c>
      <c r="N31" s="199" t="s">
        <v>157</v>
      </c>
      <c r="O31" s="200"/>
      <c r="P31" s="1"/>
      <c r="Q31" s="1"/>
      <c r="R31" s="66" t="s">
        <v>259</v>
      </c>
      <c r="S31" s="66" t="s">
        <v>260</v>
      </c>
      <c r="T31" s="67">
        <f t="shared" ref="T31:AA31" si="66">SUMIFS($L:$L,$C:$C,T$3,$D:$D,$R31)*100</f>
        <v>0</v>
      </c>
      <c r="U31" s="67">
        <f t="shared" si="66"/>
        <v>0</v>
      </c>
      <c r="V31" s="67">
        <f t="shared" si="66"/>
        <v>0</v>
      </c>
      <c r="W31" s="67">
        <f t="shared" si="66"/>
        <v>0.36</v>
      </c>
      <c r="X31" s="67">
        <f t="shared" si="66"/>
        <v>0</v>
      </c>
      <c r="Y31" s="67">
        <f t="shared" si="66"/>
        <v>0</v>
      </c>
      <c r="Z31" s="67">
        <f t="shared" si="66"/>
        <v>0</v>
      </c>
      <c r="AA31" s="67">
        <f t="shared" si="66"/>
        <v>1</v>
      </c>
      <c r="AB31" s="69">
        <f t="shared" ref="AB31:AB53" si="69">SUMPRODUCT($T$4:$AA$4,T31:AA31)</f>
        <v>0.2425350387</v>
      </c>
      <c r="AC31" s="67">
        <f t="shared" ref="AC31:AE31" si="67">SUMIFS($L:$L,$C:$C,AC$3,$D:$D,$R31)*100</f>
        <v>0</v>
      </c>
      <c r="AD31" s="67">
        <f t="shared" si="67"/>
        <v>0</v>
      </c>
      <c r="AE31" s="67">
        <f t="shared" si="67"/>
        <v>0</v>
      </c>
      <c r="AF31" s="69">
        <f t="shared" ref="AF31:AF53" si="71">SUMPRODUCT($AC$4:$AE$4,AC31:AE31)</f>
        <v>0</v>
      </c>
      <c r="AG31" s="1"/>
      <c r="AH31" s="70">
        <f t="shared" ref="AH31:AH53" si="72">AB31/100*$AL$6</f>
        <v>1034.947113</v>
      </c>
      <c r="AI31" s="70">
        <f t="shared" ref="AI31:AI53" si="73">AF31/100*$AL$23</f>
        <v>0</v>
      </c>
      <c r="AJ31" s="1"/>
      <c r="AK31" s="82" t="s">
        <v>151</v>
      </c>
      <c r="AL31" s="84">
        <f>AR29</f>
        <v>319896.7714</v>
      </c>
      <c r="AM31" s="84">
        <v>0.0</v>
      </c>
      <c r="AN31" s="85"/>
      <c r="AO31" s="84">
        <f>AL31*AN31</f>
        <v>0</v>
      </c>
      <c r="AP31" s="85"/>
      <c r="AQ31" s="84">
        <f>AL31*AP31</f>
        <v>0</v>
      </c>
      <c r="AR31" s="141">
        <f>AL31+AM31-AO31-AQ31</f>
        <v>319896.7714</v>
      </c>
      <c r="AS31" s="86" t="s">
        <v>79</v>
      </c>
      <c r="AT31" s="1"/>
      <c r="AU31" s="74"/>
      <c r="AV31" s="75"/>
      <c r="AW31" s="76"/>
      <c r="AX31" s="77" t="s">
        <v>82</v>
      </c>
      <c r="AY31" s="77"/>
      <c r="AZ31" s="77" t="s">
        <v>72</v>
      </c>
      <c r="BA31" s="76"/>
      <c r="BB31" s="77" t="s">
        <v>21</v>
      </c>
      <c r="BC31" s="77" t="s">
        <v>73</v>
      </c>
      <c r="BD31" s="77" t="s">
        <v>74</v>
      </c>
      <c r="BE31" s="87"/>
      <c r="BF31" s="79"/>
      <c r="BG31" s="80"/>
      <c r="BH31" s="1"/>
      <c r="BI31" s="1"/>
      <c r="BJ31" s="1"/>
      <c r="BK31" s="1"/>
      <c r="BL31" s="1"/>
      <c r="BM31" s="1"/>
      <c r="BN31" s="1"/>
      <c r="BO31" s="1"/>
    </row>
    <row r="32" ht="19.5" customHeight="1">
      <c r="A32" s="1"/>
      <c r="B32" s="208" t="s">
        <v>273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40"/>
      <c r="P32" s="1"/>
      <c r="Q32" s="1"/>
      <c r="R32" s="66" t="s">
        <v>267</v>
      </c>
      <c r="S32" s="66" t="s">
        <v>268</v>
      </c>
      <c r="T32" s="67">
        <f t="shared" ref="T32:AA32" si="68">SUMIFS($L:$L,$C:$C,T$3,$D:$D,$R32)*100</f>
        <v>0</v>
      </c>
      <c r="U32" s="67">
        <f t="shared" si="68"/>
        <v>0</v>
      </c>
      <c r="V32" s="67">
        <f t="shared" si="68"/>
        <v>0</v>
      </c>
      <c r="W32" s="67">
        <f t="shared" si="68"/>
        <v>0.288</v>
      </c>
      <c r="X32" s="67">
        <f t="shared" si="68"/>
        <v>0</v>
      </c>
      <c r="Y32" s="67">
        <f t="shared" si="68"/>
        <v>0</v>
      </c>
      <c r="Z32" s="67">
        <f t="shared" si="68"/>
        <v>0</v>
      </c>
      <c r="AA32" s="67">
        <f t="shared" si="68"/>
        <v>0</v>
      </c>
      <c r="AB32" s="69">
        <f t="shared" si="69"/>
        <v>0.07571833842</v>
      </c>
      <c r="AC32" s="67">
        <f t="shared" ref="AC32:AE32" si="70">SUMIFS($L:$L,$C:$C,AC$3,$D:$D,$R32)*100</f>
        <v>0</v>
      </c>
      <c r="AD32" s="67">
        <f t="shared" si="70"/>
        <v>0</v>
      </c>
      <c r="AE32" s="67">
        <f t="shared" si="70"/>
        <v>0</v>
      </c>
      <c r="AF32" s="69">
        <f t="shared" si="71"/>
        <v>0</v>
      </c>
      <c r="AG32" s="1"/>
      <c r="AH32" s="70">
        <f t="shared" si="72"/>
        <v>323.1057918</v>
      </c>
      <c r="AI32" s="70">
        <f t="shared" si="73"/>
        <v>0</v>
      </c>
      <c r="AJ32" s="1"/>
      <c r="AK32" s="142" t="s">
        <v>168</v>
      </c>
      <c r="AL32" s="143">
        <f t="shared" ref="AL32:AM32" si="74">AL23</f>
        <v>343531.7562</v>
      </c>
      <c r="AM32" s="143">
        <f t="shared" si="74"/>
        <v>0</v>
      </c>
      <c r="AN32" s="144"/>
      <c r="AO32" s="144">
        <f>AO23+AO24+AO25+AO26+AO28</f>
        <v>0</v>
      </c>
      <c r="AP32" s="144"/>
      <c r="AQ32" s="144">
        <f>AQ23+AQ24+AQ25+AQ26+AQ28</f>
        <v>13741.27025</v>
      </c>
      <c r="AR32" s="145">
        <f>SUMIFS('Plan de ventas'!$O48:$O60,'Plan de ventas'!$B$48:$B$60,"*B*")*1000</f>
        <v>319894.7343</v>
      </c>
      <c r="AS32" s="146" t="s">
        <v>79</v>
      </c>
      <c r="AT32" s="1"/>
      <c r="AU32" s="74"/>
      <c r="AV32" s="75"/>
      <c r="AW32" s="76"/>
      <c r="AX32" s="77" t="s">
        <v>82</v>
      </c>
      <c r="AY32" s="77"/>
      <c r="AZ32" s="77" t="s">
        <v>72</v>
      </c>
      <c r="BA32" s="76"/>
      <c r="BB32" s="77" t="s">
        <v>21</v>
      </c>
      <c r="BC32" s="77" t="s">
        <v>73</v>
      </c>
      <c r="BD32" s="77" t="s">
        <v>74</v>
      </c>
      <c r="BE32" s="87"/>
      <c r="BF32" s="79"/>
      <c r="BG32" s="80"/>
      <c r="BH32" s="1"/>
      <c r="BI32" s="1"/>
      <c r="BJ32" s="1"/>
      <c r="BK32" s="1"/>
      <c r="BL32" s="1"/>
      <c r="BM32" s="1"/>
      <c r="BN32" s="1"/>
      <c r="BO32" s="1"/>
    </row>
    <row r="33" ht="19.5" customHeight="1">
      <c r="A33" s="1"/>
      <c r="B33" s="211">
        <v>19.0</v>
      </c>
      <c r="C33" s="131" t="s">
        <v>23</v>
      </c>
      <c r="D33" s="212" t="s">
        <v>276</v>
      </c>
      <c r="E33" s="213" t="s">
        <v>277</v>
      </c>
      <c r="F33" s="214"/>
      <c r="G33" s="215" t="s">
        <v>144</v>
      </c>
      <c r="H33" s="214"/>
      <c r="I33" s="214"/>
      <c r="J33" s="214"/>
      <c r="K33" s="214"/>
      <c r="L33" s="216" t="s">
        <v>146</v>
      </c>
      <c r="M33" s="217">
        <f>$E$4*$E$5</f>
        <v>20</v>
      </c>
      <c r="N33" s="212" t="s">
        <v>278</v>
      </c>
      <c r="O33" s="219" t="s">
        <v>279</v>
      </c>
      <c r="P33" s="1"/>
      <c r="Q33" s="1"/>
      <c r="R33" s="66" t="s">
        <v>274</v>
      </c>
      <c r="S33" s="66" t="s">
        <v>275</v>
      </c>
      <c r="T33" s="67">
        <f t="shared" ref="T33:AA33" si="75">SUMIFS($L:$L,$C:$C,T$3,$D:$D,$R33)*100</f>
        <v>0</v>
      </c>
      <c r="U33" s="67">
        <f t="shared" si="75"/>
        <v>0</v>
      </c>
      <c r="V33" s="67">
        <f t="shared" si="75"/>
        <v>0</v>
      </c>
      <c r="W33" s="67">
        <f t="shared" si="75"/>
        <v>19.6</v>
      </c>
      <c r="X33" s="67">
        <f t="shared" si="75"/>
        <v>0</v>
      </c>
      <c r="Y33" s="67">
        <f t="shared" si="75"/>
        <v>0</v>
      </c>
      <c r="Z33" s="67">
        <f t="shared" si="75"/>
        <v>0</v>
      </c>
      <c r="AA33" s="67">
        <f t="shared" si="75"/>
        <v>0</v>
      </c>
      <c r="AB33" s="69">
        <f t="shared" si="69"/>
        <v>5.153053587</v>
      </c>
      <c r="AC33" s="67">
        <f t="shared" ref="AC33:AE33" si="76">SUMIFS($L:$L,$C:$C,AC$3,$D:$D,$R33)*100</f>
        <v>0</v>
      </c>
      <c r="AD33" s="67">
        <f t="shared" si="76"/>
        <v>0</v>
      </c>
      <c r="AE33" s="67">
        <f t="shared" si="76"/>
        <v>0</v>
      </c>
      <c r="AF33" s="69">
        <f t="shared" si="71"/>
        <v>0</v>
      </c>
      <c r="AG33" s="1"/>
      <c r="AH33" s="70">
        <f t="shared" si="72"/>
        <v>21989.14417</v>
      </c>
      <c r="AI33" s="70">
        <f t="shared" si="73"/>
        <v>0</v>
      </c>
      <c r="AJ33" s="1"/>
      <c r="AK33" s="1"/>
      <c r="AL33" s="147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ht="19.5" customHeight="1">
      <c r="A34" s="1"/>
      <c r="B34" s="211">
        <v>20.0</v>
      </c>
      <c r="C34" s="131" t="s">
        <v>23</v>
      </c>
      <c r="D34" s="212" t="s">
        <v>282</v>
      </c>
      <c r="E34" s="213" t="s">
        <v>283</v>
      </c>
      <c r="F34" s="214"/>
      <c r="G34" s="215" t="s">
        <v>144</v>
      </c>
      <c r="H34" s="214"/>
      <c r="I34" s="214"/>
      <c r="J34" s="214"/>
      <c r="K34" s="214"/>
      <c r="L34" s="216" t="s">
        <v>146</v>
      </c>
      <c r="M34" s="217">
        <f t="shared" ref="M34:M35" si="79">$E$4</f>
        <v>1</v>
      </c>
      <c r="N34" s="212" t="s">
        <v>278</v>
      </c>
      <c r="O34" s="219" t="s">
        <v>284</v>
      </c>
      <c r="P34" s="1"/>
      <c r="Q34" s="1"/>
      <c r="R34" s="66" t="s">
        <v>280</v>
      </c>
      <c r="S34" s="66" t="s">
        <v>281</v>
      </c>
      <c r="T34" s="67">
        <f t="shared" ref="T34:AA34" si="77">SUMIFS($L:$L,$C:$C,T$3,$D:$D,$R34)*100</f>
        <v>0</v>
      </c>
      <c r="U34" s="67">
        <f t="shared" si="77"/>
        <v>0</v>
      </c>
      <c r="V34" s="67">
        <f t="shared" si="77"/>
        <v>0</v>
      </c>
      <c r="W34" s="67">
        <f t="shared" si="77"/>
        <v>0.14</v>
      </c>
      <c r="X34" s="67">
        <f t="shared" si="77"/>
        <v>0</v>
      </c>
      <c r="Y34" s="67">
        <f t="shared" si="77"/>
        <v>0</v>
      </c>
      <c r="Z34" s="67">
        <f t="shared" si="77"/>
        <v>0</v>
      </c>
      <c r="AA34" s="67">
        <f t="shared" si="77"/>
        <v>0</v>
      </c>
      <c r="AB34" s="69">
        <f t="shared" si="69"/>
        <v>0.03680752562</v>
      </c>
      <c r="AC34" s="67">
        <f t="shared" ref="AC34:AE34" si="78">SUMIFS($L:$L,$C:$C,AC$3,$D:$D,$R34)*100</f>
        <v>0</v>
      </c>
      <c r="AD34" s="67">
        <f t="shared" si="78"/>
        <v>0</v>
      </c>
      <c r="AE34" s="67">
        <f t="shared" si="78"/>
        <v>0</v>
      </c>
      <c r="AF34" s="69">
        <f t="shared" si="71"/>
        <v>0</v>
      </c>
      <c r="AG34" s="1"/>
      <c r="AH34" s="70">
        <f t="shared" si="72"/>
        <v>157.0653155</v>
      </c>
      <c r="AI34" s="70">
        <f t="shared" si="73"/>
        <v>0</v>
      </c>
      <c r="AJ34" s="1"/>
      <c r="AK34" s="35" t="s">
        <v>183</v>
      </c>
      <c r="AL34" s="148">
        <v>0.07389</v>
      </c>
      <c r="AM34" s="1"/>
      <c r="AN34" s="1"/>
      <c r="AO34" s="1"/>
      <c r="AP34" s="1"/>
      <c r="AQ34" s="35" t="s">
        <v>184</v>
      </c>
      <c r="AR34" s="151">
        <f>AR31/AR32-1</f>
        <v>0.000006368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ht="19.5" customHeight="1">
      <c r="A35" s="1"/>
      <c r="B35" s="211">
        <v>21.0</v>
      </c>
      <c r="C35" s="131" t="s">
        <v>23</v>
      </c>
      <c r="D35" s="212" t="s">
        <v>291</v>
      </c>
      <c r="E35" s="213" t="s">
        <v>292</v>
      </c>
      <c r="F35" s="214"/>
      <c r="G35" s="215" t="s">
        <v>144</v>
      </c>
      <c r="H35" s="214"/>
      <c r="I35" s="214"/>
      <c r="J35" s="214"/>
      <c r="K35" s="214"/>
      <c r="L35" s="216" t="s">
        <v>146</v>
      </c>
      <c r="M35" s="217">
        <f t="shared" si="79"/>
        <v>1</v>
      </c>
      <c r="N35" s="212" t="s">
        <v>278</v>
      </c>
      <c r="O35" s="219" t="s">
        <v>284</v>
      </c>
      <c r="P35" s="1"/>
      <c r="Q35" s="1"/>
      <c r="R35" s="66" t="s">
        <v>286</v>
      </c>
      <c r="S35" s="66" t="s">
        <v>287</v>
      </c>
      <c r="T35" s="67">
        <f t="shared" ref="T35:AA35" si="80">SUMIFS($L:$L,$C:$C,T$3,$D:$D,$R35)*100</f>
        <v>0</v>
      </c>
      <c r="U35" s="67">
        <f t="shared" si="80"/>
        <v>0</v>
      </c>
      <c r="V35" s="67">
        <f t="shared" si="80"/>
        <v>0</v>
      </c>
      <c r="W35" s="67">
        <f t="shared" si="80"/>
        <v>0</v>
      </c>
      <c r="X35" s="67">
        <f t="shared" si="80"/>
        <v>19</v>
      </c>
      <c r="Y35" s="67">
        <f t="shared" si="80"/>
        <v>19</v>
      </c>
      <c r="Z35" s="67">
        <f t="shared" si="80"/>
        <v>0</v>
      </c>
      <c r="AA35" s="67">
        <f t="shared" si="80"/>
        <v>0</v>
      </c>
      <c r="AB35" s="69">
        <f t="shared" si="69"/>
        <v>2.31925448</v>
      </c>
      <c r="AC35" s="67">
        <f t="shared" ref="AC35:AE35" si="81">SUMIFS($L:$L,$C:$C,AC$3,$D:$D,$R35)*100</f>
        <v>12</v>
      </c>
      <c r="AD35" s="67">
        <f t="shared" si="81"/>
        <v>0</v>
      </c>
      <c r="AE35" s="67">
        <f t="shared" si="81"/>
        <v>0</v>
      </c>
      <c r="AF35" s="69">
        <f t="shared" si="71"/>
        <v>4.421051235</v>
      </c>
      <c r="AG35" s="1"/>
      <c r="AH35" s="70">
        <f t="shared" si="72"/>
        <v>9896.737974</v>
      </c>
      <c r="AI35" s="70">
        <f t="shared" si="73"/>
        <v>15187.71495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66" t="s">
        <v>293</v>
      </c>
      <c r="S36" s="66" t="s">
        <v>294</v>
      </c>
      <c r="T36" s="67">
        <f t="shared" ref="T36:AA36" si="82">SUMIFS($L:$L,$C:$C,T$3,$D:$D,$R36)*100</f>
        <v>0</v>
      </c>
      <c r="U36" s="67">
        <f t="shared" si="82"/>
        <v>0</v>
      </c>
      <c r="V36" s="67">
        <f t="shared" si="82"/>
        <v>0</v>
      </c>
      <c r="W36" s="67">
        <f t="shared" si="82"/>
        <v>0</v>
      </c>
      <c r="X36" s="67">
        <f t="shared" si="82"/>
        <v>15</v>
      </c>
      <c r="Y36" s="67">
        <f t="shared" si="82"/>
        <v>14</v>
      </c>
      <c r="Z36" s="67">
        <f t="shared" si="82"/>
        <v>0</v>
      </c>
      <c r="AA36" s="67">
        <f t="shared" si="82"/>
        <v>0</v>
      </c>
      <c r="AB36" s="69">
        <f t="shared" si="69"/>
        <v>1.74554402</v>
      </c>
      <c r="AC36" s="67">
        <f t="shared" ref="AC36:AE36" si="83">SUMIFS($L:$L,$C:$C,AC$3,$D:$D,$R36)*100</f>
        <v>10</v>
      </c>
      <c r="AD36" s="67">
        <f t="shared" si="83"/>
        <v>6</v>
      </c>
      <c r="AE36" s="67">
        <f t="shared" si="83"/>
        <v>5</v>
      </c>
      <c r="AF36" s="69">
        <f t="shared" si="71"/>
        <v>7.284210121</v>
      </c>
      <c r="AG36" s="1"/>
      <c r="AH36" s="70">
        <f t="shared" si="72"/>
        <v>7448.596927</v>
      </c>
      <c r="AI36" s="70">
        <f t="shared" si="73"/>
        <v>25023.57495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ht="19.5" customHeight="1">
      <c r="A37" s="1"/>
      <c r="B37" s="9"/>
      <c r="C37" s="229"/>
      <c r="D37" s="230" t="s">
        <v>298</v>
      </c>
      <c r="E37" s="13"/>
      <c r="F37" s="13"/>
      <c r="G37" s="13"/>
      <c r="H37" s="13"/>
      <c r="I37" s="13"/>
      <c r="J37" s="13"/>
      <c r="K37" s="13"/>
      <c r="L37" s="14"/>
      <c r="M37" s="15" t="s">
        <v>8</v>
      </c>
      <c r="N37" s="16"/>
      <c r="O37" s="17"/>
      <c r="P37" s="1"/>
      <c r="Q37" s="1"/>
      <c r="R37" s="66" t="s">
        <v>295</v>
      </c>
      <c r="S37" s="66" t="s">
        <v>296</v>
      </c>
      <c r="T37" s="67">
        <f t="shared" ref="T37:AA37" si="84">SUMIFS($L:$L,$C:$C,T$3,$D:$D,$R37)*100</f>
        <v>0</v>
      </c>
      <c r="U37" s="67">
        <f t="shared" si="84"/>
        <v>0</v>
      </c>
      <c r="V37" s="67">
        <f t="shared" si="84"/>
        <v>0</v>
      </c>
      <c r="W37" s="67">
        <f t="shared" si="84"/>
        <v>0</v>
      </c>
      <c r="X37" s="67">
        <f t="shared" si="84"/>
        <v>13</v>
      </c>
      <c r="Y37" s="67">
        <f t="shared" si="84"/>
        <v>0</v>
      </c>
      <c r="Z37" s="67">
        <f t="shared" si="84"/>
        <v>0</v>
      </c>
      <c r="AA37" s="67">
        <f t="shared" si="84"/>
        <v>0</v>
      </c>
      <c r="AB37" s="69">
        <f t="shared" si="69"/>
        <v>0.4760556675</v>
      </c>
      <c r="AC37" s="67">
        <f t="shared" ref="AC37:AE37" si="85">SUMIFS($L:$L,$C:$C,AC$3,$D:$D,$R37)*100</f>
        <v>0</v>
      </c>
      <c r="AD37" s="67">
        <f t="shared" si="85"/>
        <v>0</v>
      </c>
      <c r="AE37" s="67">
        <f t="shared" si="85"/>
        <v>0</v>
      </c>
      <c r="AF37" s="69">
        <f t="shared" si="71"/>
        <v>0</v>
      </c>
      <c r="AG37" s="1"/>
      <c r="AH37" s="70">
        <f t="shared" si="72"/>
        <v>2031.427876</v>
      </c>
      <c r="AI37" s="70">
        <f t="shared" si="73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ht="19.5" customHeight="1">
      <c r="A38" s="1"/>
      <c r="B38" s="22"/>
      <c r="C38" s="22"/>
      <c r="D38" s="24" t="s">
        <v>16</v>
      </c>
      <c r="E38" s="28">
        <f>SUMIFS('Plan de ventas'!$O$48:$O$60,'Plan de ventas'!$B$48:$B$60,D47)*1000</f>
        <v>13132.51652</v>
      </c>
      <c r="F38" s="29"/>
      <c r="G38" s="29"/>
      <c r="H38" s="29"/>
      <c r="I38" s="29"/>
      <c r="J38" s="29"/>
      <c r="K38" s="29"/>
      <c r="L38" s="29"/>
      <c r="M38" s="30"/>
      <c r="O38" s="31"/>
      <c r="P38" s="1"/>
      <c r="Q38" s="1"/>
      <c r="R38" s="66" t="s">
        <v>299</v>
      </c>
      <c r="S38" s="66" t="s">
        <v>300</v>
      </c>
      <c r="T38" s="67">
        <f t="shared" ref="T38:AA38" si="86">SUMIFS($L:$L,$C:$C,T$3,$D:$D,$R38)*100</f>
        <v>0</v>
      </c>
      <c r="U38" s="67">
        <f t="shared" si="86"/>
        <v>0</v>
      </c>
      <c r="V38" s="67">
        <f t="shared" si="86"/>
        <v>0</v>
      </c>
      <c r="W38" s="67">
        <f t="shared" si="86"/>
        <v>0</v>
      </c>
      <c r="X38" s="67">
        <f t="shared" si="86"/>
        <v>8</v>
      </c>
      <c r="Y38" s="67">
        <f t="shared" si="86"/>
        <v>6</v>
      </c>
      <c r="Z38" s="67">
        <f t="shared" si="86"/>
        <v>0</v>
      </c>
      <c r="AA38" s="67">
        <f t="shared" si="86"/>
        <v>0</v>
      </c>
      <c r="AB38" s="69">
        <f t="shared" si="69"/>
        <v>0.805635485</v>
      </c>
      <c r="AC38" s="67">
        <f t="shared" ref="AC38:AE38" si="87">SUMIFS($L:$L,$C:$C,AC$3,$D:$D,$R38)*100</f>
        <v>0</v>
      </c>
      <c r="AD38" s="67">
        <f t="shared" si="87"/>
        <v>0</v>
      </c>
      <c r="AE38" s="67">
        <f t="shared" si="87"/>
        <v>0</v>
      </c>
      <c r="AF38" s="69">
        <f t="shared" si="71"/>
        <v>0</v>
      </c>
      <c r="AG38" s="1"/>
      <c r="AH38" s="70">
        <f t="shared" si="72"/>
        <v>3437.813041</v>
      </c>
      <c r="AI38" s="70">
        <f t="shared" si="73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ht="19.5" customHeight="1">
      <c r="A39" s="1"/>
      <c r="B39" s="45" t="s">
        <v>41</v>
      </c>
      <c r="C39" s="38"/>
      <c r="D39" s="43"/>
      <c r="E39" s="46">
        <v>1.0</v>
      </c>
      <c r="F39" s="47" t="str">
        <f>"Línea: Free     |     Versión n°: 1"&amp;CHAR(10)&amp;CHAR(10)&amp;"Lote = "&amp;E39&amp;" cajas × "&amp;E40&amp;" unid./caja = "&amp;(E39*E40)&amp;" unidades"&amp;CHAR(10)&amp;"Producto terminado = "&amp;TEXT(E43,"#,##0.00")&amp;" kg"&amp;CHAR(10)&amp;"Mezcla a preparar = "&amp;TEXT(E44,"#,##0.00")&amp;" kg   (rendimiento "&amp;TEXT(E42,"0%")&amp;")"</f>
        <v>Línea: Free     |     Versión n°: 1
Lote = 1 cajas × 20 unid./caja = 20 unidades
Producto terminado = 3,00 kg
Mezcla a preparar = 3,41 kg   (rendimiento 88%)</v>
      </c>
      <c r="G39" s="48"/>
      <c r="H39" s="48"/>
      <c r="I39" s="48"/>
      <c r="J39" s="48"/>
      <c r="K39" s="48"/>
      <c r="L39" s="49"/>
      <c r="M39" s="30"/>
      <c r="O39" s="31"/>
      <c r="P39" s="1"/>
      <c r="Q39" s="1"/>
      <c r="R39" s="66" t="s">
        <v>303</v>
      </c>
      <c r="S39" s="66" t="s">
        <v>304</v>
      </c>
      <c r="T39" s="67">
        <f t="shared" ref="T39:AA39" si="88">SUMIFS($L:$L,$C:$C,T$3,$D:$D,$R39)*100</f>
        <v>0</v>
      </c>
      <c r="U39" s="67">
        <f t="shared" si="88"/>
        <v>0</v>
      </c>
      <c r="V39" s="67">
        <f t="shared" si="88"/>
        <v>0</v>
      </c>
      <c r="W39" s="67">
        <f t="shared" si="88"/>
        <v>0</v>
      </c>
      <c r="X39" s="67">
        <f t="shared" si="88"/>
        <v>5</v>
      </c>
      <c r="Y39" s="67">
        <f t="shared" si="88"/>
        <v>0</v>
      </c>
      <c r="Z39" s="67">
        <f t="shared" si="88"/>
        <v>0</v>
      </c>
      <c r="AA39" s="67">
        <f t="shared" si="88"/>
        <v>0</v>
      </c>
      <c r="AB39" s="69">
        <f t="shared" si="69"/>
        <v>0.1830983337</v>
      </c>
      <c r="AC39" s="67">
        <f t="shared" ref="AC39:AE39" si="89">SUMIFS($L:$L,$C:$C,AC$3,$D:$D,$R39)*100</f>
        <v>0</v>
      </c>
      <c r="AD39" s="67">
        <f t="shared" si="89"/>
        <v>0</v>
      </c>
      <c r="AE39" s="67">
        <f t="shared" si="89"/>
        <v>0</v>
      </c>
      <c r="AF39" s="69">
        <f t="shared" si="71"/>
        <v>0</v>
      </c>
      <c r="AG39" s="1"/>
      <c r="AH39" s="70">
        <f t="shared" si="72"/>
        <v>781.3184139</v>
      </c>
      <c r="AI39" s="70">
        <f t="shared" si="73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ht="19.5" customHeight="1">
      <c r="A40" s="1"/>
      <c r="B40" s="45" t="s">
        <v>62</v>
      </c>
      <c r="C40" s="38"/>
      <c r="D40" s="43"/>
      <c r="E40" s="46">
        <v>20.0</v>
      </c>
      <c r="F40" s="65"/>
      <c r="L40" s="31"/>
      <c r="M40" s="30"/>
      <c r="O40" s="31"/>
      <c r="P40" s="1"/>
      <c r="Q40" s="1"/>
      <c r="R40" s="66" t="s">
        <v>305</v>
      </c>
      <c r="S40" s="66" t="s">
        <v>306</v>
      </c>
      <c r="T40" s="67">
        <f t="shared" ref="T40:AA40" si="90">SUMIFS($L:$L,$C:$C,T$3,$D:$D,$R40)*100</f>
        <v>0</v>
      </c>
      <c r="U40" s="67">
        <f t="shared" si="90"/>
        <v>0</v>
      </c>
      <c r="V40" s="67">
        <f t="shared" si="90"/>
        <v>0</v>
      </c>
      <c r="W40" s="67">
        <f t="shared" si="90"/>
        <v>0</v>
      </c>
      <c r="X40" s="67">
        <f t="shared" si="90"/>
        <v>4</v>
      </c>
      <c r="Y40" s="67">
        <f t="shared" si="90"/>
        <v>4</v>
      </c>
      <c r="Z40" s="67">
        <f t="shared" si="90"/>
        <v>0</v>
      </c>
      <c r="AA40" s="67">
        <f t="shared" si="90"/>
        <v>0</v>
      </c>
      <c r="AB40" s="69">
        <f t="shared" si="69"/>
        <v>0.488264101</v>
      </c>
      <c r="AC40" s="67">
        <f t="shared" ref="AC40:AE40" si="91">SUMIFS($L:$L,$C:$C,AC$3,$D:$D,$R40)*100</f>
        <v>0</v>
      </c>
      <c r="AD40" s="67">
        <f t="shared" si="91"/>
        <v>0</v>
      </c>
      <c r="AE40" s="67">
        <f t="shared" si="91"/>
        <v>0</v>
      </c>
      <c r="AF40" s="69">
        <f t="shared" si="71"/>
        <v>0</v>
      </c>
      <c r="AG40" s="1"/>
      <c r="AH40" s="70">
        <f t="shared" si="72"/>
        <v>2083.523784</v>
      </c>
      <c r="AI40" s="70">
        <f t="shared" si="73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ht="19.5" customHeight="1">
      <c r="A41" s="1"/>
      <c r="B41" s="45" t="s">
        <v>75</v>
      </c>
      <c r="C41" s="38"/>
      <c r="D41" s="43"/>
      <c r="E41" s="46">
        <v>150.0</v>
      </c>
      <c r="F41" s="65"/>
      <c r="L41" s="31"/>
      <c r="M41" s="30"/>
      <c r="O41" s="31"/>
      <c r="P41" s="1"/>
      <c r="Q41" s="1"/>
      <c r="R41" s="66" t="s">
        <v>307</v>
      </c>
      <c r="S41" s="66" t="s">
        <v>308</v>
      </c>
      <c r="T41" s="67">
        <f t="shared" ref="T41:AA41" si="92">SUMIFS($L:$L,$C:$C,T$3,$D:$D,$R41)*100</f>
        <v>0</v>
      </c>
      <c r="U41" s="67">
        <f t="shared" si="92"/>
        <v>0</v>
      </c>
      <c r="V41" s="67">
        <f t="shared" si="92"/>
        <v>0</v>
      </c>
      <c r="W41" s="67">
        <f t="shared" si="92"/>
        <v>0</v>
      </c>
      <c r="X41" s="67">
        <f t="shared" si="92"/>
        <v>1</v>
      </c>
      <c r="Y41" s="67">
        <f t="shared" si="92"/>
        <v>1</v>
      </c>
      <c r="Z41" s="67">
        <f t="shared" si="92"/>
        <v>0</v>
      </c>
      <c r="AA41" s="67">
        <f t="shared" si="92"/>
        <v>0</v>
      </c>
      <c r="AB41" s="69">
        <f t="shared" si="69"/>
        <v>0.1220660253</v>
      </c>
      <c r="AC41" s="67">
        <f t="shared" ref="AC41:AE41" si="93">SUMIFS($L:$L,$C:$C,AC$3,$D:$D,$R41)*100</f>
        <v>0</v>
      </c>
      <c r="AD41" s="67">
        <f t="shared" si="93"/>
        <v>0</v>
      </c>
      <c r="AE41" s="67">
        <f t="shared" si="93"/>
        <v>0</v>
      </c>
      <c r="AF41" s="69">
        <f t="shared" si="71"/>
        <v>0</v>
      </c>
      <c r="AG41" s="1"/>
      <c r="AH41" s="70">
        <f t="shared" si="72"/>
        <v>520.880946</v>
      </c>
      <c r="AI41" s="70">
        <f t="shared" si="73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ht="19.5" customHeight="1">
      <c r="A42" s="1"/>
      <c r="B42" s="45" t="s">
        <v>83</v>
      </c>
      <c r="C42" s="38"/>
      <c r="D42" s="43"/>
      <c r="E42" s="88">
        <v>0.88</v>
      </c>
      <c r="F42" s="65"/>
      <c r="L42" s="31"/>
      <c r="M42" s="30"/>
      <c r="O42" s="31"/>
      <c r="P42" s="1"/>
      <c r="Q42" s="1"/>
      <c r="R42" s="66" t="s">
        <v>309</v>
      </c>
      <c r="S42" s="66" t="s">
        <v>310</v>
      </c>
      <c r="T42" s="67">
        <f t="shared" ref="T42:AA42" si="94">SUMIFS($L:$L,$C:$C,T$3,$D:$D,$R42)*100</f>
        <v>0</v>
      </c>
      <c r="U42" s="67">
        <f t="shared" si="94"/>
        <v>0</v>
      </c>
      <c r="V42" s="67">
        <f t="shared" si="94"/>
        <v>0</v>
      </c>
      <c r="W42" s="67">
        <f t="shared" si="94"/>
        <v>0</v>
      </c>
      <c r="X42" s="67">
        <f t="shared" si="94"/>
        <v>1</v>
      </c>
      <c r="Y42" s="67">
        <f t="shared" si="94"/>
        <v>1</v>
      </c>
      <c r="Z42" s="67">
        <f t="shared" si="94"/>
        <v>2</v>
      </c>
      <c r="AA42" s="67">
        <f t="shared" si="94"/>
        <v>2</v>
      </c>
      <c r="AB42" s="69">
        <f t="shared" si="69"/>
        <v>0.5446006414</v>
      </c>
      <c r="AC42" s="67">
        <f t="shared" ref="AC42:AE42" si="95">SUMIFS($L:$L,$C:$C,AC$3,$D:$D,$R42)*100</f>
        <v>0</v>
      </c>
      <c r="AD42" s="67">
        <f t="shared" si="95"/>
        <v>2</v>
      </c>
      <c r="AE42" s="67">
        <f t="shared" si="95"/>
        <v>2</v>
      </c>
      <c r="AF42" s="69">
        <f t="shared" si="71"/>
        <v>1.263158127</v>
      </c>
      <c r="AG42" s="1"/>
      <c r="AH42" s="70">
        <f t="shared" si="72"/>
        <v>2323.92344</v>
      </c>
      <c r="AI42" s="70">
        <f t="shared" si="73"/>
        <v>4339.349299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ht="19.5" customHeight="1">
      <c r="A43" s="1"/>
      <c r="B43" s="45" t="s">
        <v>88</v>
      </c>
      <c r="C43" s="38"/>
      <c r="D43" s="43"/>
      <c r="E43" s="92">
        <f>E39*E40*E41/1000</f>
        <v>3</v>
      </c>
      <c r="F43" s="65"/>
      <c r="L43" s="31"/>
      <c r="M43" s="30"/>
      <c r="O43" s="31"/>
      <c r="P43" s="1"/>
      <c r="Q43" s="1"/>
      <c r="R43" s="66" t="s">
        <v>314</v>
      </c>
      <c r="S43" s="66" t="s">
        <v>315</v>
      </c>
      <c r="T43" s="67">
        <f t="shared" ref="T43:AA43" si="96">SUMIFS($L:$L,$C:$C,T$3,$D:$D,$R43)*100</f>
        <v>0</v>
      </c>
      <c r="U43" s="67">
        <f t="shared" si="96"/>
        <v>0</v>
      </c>
      <c r="V43" s="67">
        <f t="shared" si="96"/>
        <v>0</v>
      </c>
      <c r="W43" s="67">
        <f t="shared" si="96"/>
        <v>0</v>
      </c>
      <c r="X43" s="67">
        <f t="shared" si="96"/>
        <v>0</v>
      </c>
      <c r="Y43" s="67">
        <f t="shared" si="96"/>
        <v>12</v>
      </c>
      <c r="Z43" s="67">
        <f t="shared" si="96"/>
        <v>0</v>
      </c>
      <c r="AA43" s="67">
        <f t="shared" si="96"/>
        <v>0</v>
      </c>
      <c r="AB43" s="69">
        <f t="shared" si="69"/>
        <v>1.025356302</v>
      </c>
      <c r="AC43" s="67">
        <f t="shared" ref="AC43:AE43" si="97">SUMIFS($L:$L,$C:$C,AC$3,$D:$D,$R43)*100</f>
        <v>0</v>
      </c>
      <c r="AD43" s="67">
        <f t="shared" si="97"/>
        <v>0</v>
      </c>
      <c r="AE43" s="67">
        <f t="shared" si="97"/>
        <v>0</v>
      </c>
      <c r="AF43" s="69">
        <f t="shared" si="71"/>
        <v>0</v>
      </c>
      <c r="AG43" s="1"/>
      <c r="AH43" s="70">
        <f t="shared" si="72"/>
        <v>4375.407158</v>
      </c>
      <c r="AI43" s="70">
        <f t="shared" si="73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ht="19.5" customHeight="1">
      <c r="A44" s="1"/>
      <c r="B44" s="45" t="s">
        <v>96</v>
      </c>
      <c r="C44" s="38"/>
      <c r="D44" s="43"/>
      <c r="E44" s="92">
        <f>E43/E42</f>
        <v>3.409090909</v>
      </c>
      <c r="F44" s="98"/>
      <c r="G44" s="99"/>
      <c r="H44" s="99"/>
      <c r="I44" s="99"/>
      <c r="J44" s="99"/>
      <c r="K44" s="99"/>
      <c r="L44" s="100"/>
      <c r="M44" s="101"/>
      <c r="N44" s="99"/>
      <c r="O44" s="100"/>
      <c r="P44" s="1"/>
      <c r="Q44" s="1"/>
      <c r="R44" s="66" t="s">
        <v>316</v>
      </c>
      <c r="S44" s="66" t="s">
        <v>317</v>
      </c>
      <c r="T44" s="67">
        <f t="shared" ref="T44:AA44" si="98">SUMIFS($L:$L,$C:$C,T$3,$D:$D,$R44)*100</f>
        <v>0</v>
      </c>
      <c r="U44" s="67">
        <f t="shared" si="98"/>
        <v>0</v>
      </c>
      <c r="V44" s="67">
        <f t="shared" si="98"/>
        <v>0</v>
      </c>
      <c r="W44" s="67">
        <f t="shared" si="98"/>
        <v>0</v>
      </c>
      <c r="X44" s="67">
        <f t="shared" si="98"/>
        <v>0</v>
      </c>
      <c r="Y44" s="67">
        <f t="shared" si="98"/>
        <v>10</v>
      </c>
      <c r="Z44" s="67">
        <f t="shared" si="98"/>
        <v>0</v>
      </c>
      <c r="AA44" s="67">
        <f t="shared" si="98"/>
        <v>0</v>
      </c>
      <c r="AB44" s="69">
        <f t="shared" si="69"/>
        <v>0.8544635853</v>
      </c>
      <c r="AC44" s="67">
        <f t="shared" ref="AC44:AE44" si="99">SUMIFS($L:$L,$C:$C,AC$3,$D:$D,$R44)*100</f>
        <v>0</v>
      </c>
      <c r="AD44" s="67">
        <f t="shared" si="99"/>
        <v>0</v>
      </c>
      <c r="AE44" s="67">
        <f t="shared" si="99"/>
        <v>0</v>
      </c>
      <c r="AF44" s="69">
        <f t="shared" si="71"/>
        <v>0</v>
      </c>
      <c r="AG44" s="1"/>
      <c r="AH44" s="70">
        <f t="shared" si="72"/>
        <v>3646.172632</v>
      </c>
      <c r="AI44" s="70">
        <f t="shared" si="73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ht="19.5" customHeight="1">
      <c r="A45" s="1"/>
      <c r="B45" s="110" t="s">
        <v>113</v>
      </c>
      <c r="C45" s="233"/>
      <c r="D45" s="112" t="s">
        <v>321</v>
      </c>
      <c r="E45" s="112" t="s">
        <v>116</v>
      </c>
      <c r="F45" s="113" t="s">
        <v>117</v>
      </c>
      <c r="G45" s="38"/>
      <c r="H45" s="38"/>
      <c r="I45" s="38"/>
      <c r="J45" s="38"/>
      <c r="K45" s="40"/>
      <c r="L45" s="112" t="s">
        <v>46</v>
      </c>
      <c r="M45" s="112" t="s">
        <v>120</v>
      </c>
      <c r="N45" s="112" t="s">
        <v>121</v>
      </c>
      <c r="O45" s="112" t="s">
        <v>122</v>
      </c>
      <c r="P45" s="1"/>
      <c r="Q45" s="1"/>
      <c r="R45" s="66" t="s">
        <v>319</v>
      </c>
      <c r="S45" s="66" t="s">
        <v>320</v>
      </c>
      <c r="T45" s="67">
        <f t="shared" ref="T45:AA45" si="100">SUMIFS($L:$L,$C:$C,T$3,$D:$D,$R45)*100</f>
        <v>0</v>
      </c>
      <c r="U45" s="67">
        <f t="shared" si="100"/>
        <v>0</v>
      </c>
      <c r="V45" s="67">
        <f t="shared" si="100"/>
        <v>0</v>
      </c>
      <c r="W45" s="67">
        <f t="shared" si="100"/>
        <v>0</v>
      </c>
      <c r="X45" s="67">
        <f t="shared" si="100"/>
        <v>0</v>
      </c>
      <c r="Y45" s="67">
        <f t="shared" si="100"/>
        <v>0</v>
      </c>
      <c r="Z45" s="67">
        <f t="shared" si="100"/>
        <v>4</v>
      </c>
      <c r="AA45" s="67">
        <f t="shared" si="100"/>
        <v>3</v>
      </c>
      <c r="AB45" s="69">
        <f t="shared" si="69"/>
        <v>0.6971821166</v>
      </c>
      <c r="AC45" s="67">
        <f t="shared" ref="AC45:AE45" si="101">SUMIFS($L:$L,$C:$C,AC$3,$D:$D,$R45)*100</f>
        <v>0</v>
      </c>
      <c r="AD45" s="67">
        <f t="shared" si="101"/>
        <v>2</v>
      </c>
      <c r="AE45" s="67">
        <f t="shared" si="101"/>
        <v>2</v>
      </c>
      <c r="AF45" s="69">
        <f t="shared" si="71"/>
        <v>1.263158127</v>
      </c>
      <c r="AG45" s="1"/>
      <c r="AH45" s="70">
        <f t="shared" si="72"/>
        <v>2975.020114</v>
      </c>
      <c r="AI45" s="70">
        <f t="shared" si="73"/>
        <v>4339.349299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ht="19.5" customHeight="1">
      <c r="A46" s="1"/>
      <c r="B46" s="117"/>
      <c r="C46" s="233"/>
      <c r="D46" s="118"/>
      <c r="E46" s="118"/>
      <c r="F46" s="119" t="s">
        <v>129</v>
      </c>
      <c r="G46" s="119" t="s">
        <v>131</v>
      </c>
      <c r="H46" s="119" t="s">
        <v>132</v>
      </c>
      <c r="I46" s="119" t="s">
        <v>133</v>
      </c>
      <c r="J46" s="119" t="s">
        <v>134</v>
      </c>
      <c r="K46" s="119" t="s">
        <v>135</v>
      </c>
      <c r="L46" s="118"/>
      <c r="M46" s="118"/>
      <c r="N46" s="118"/>
      <c r="O46" s="118"/>
      <c r="P46" s="1"/>
      <c r="Q46" s="1"/>
      <c r="R46" s="66" t="s">
        <v>322</v>
      </c>
      <c r="S46" s="66" t="s">
        <v>323</v>
      </c>
      <c r="T46" s="67">
        <f t="shared" ref="T46:AA46" si="102">SUMIFS($L:$L,$C:$C,T$3,$D:$D,$R46)*100</f>
        <v>0</v>
      </c>
      <c r="U46" s="67">
        <f t="shared" si="102"/>
        <v>0</v>
      </c>
      <c r="V46" s="67">
        <f t="shared" si="102"/>
        <v>0</v>
      </c>
      <c r="W46" s="67">
        <f t="shared" si="102"/>
        <v>0</v>
      </c>
      <c r="X46" s="67">
        <f t="shared" si="102"/>
        <v>0</v>
      </c>
      <c r="Y46" s="67">
        <f t="shared" si="102"/>
        <v>0</v>
      </c>
      <c r="Z46" s="67">
        <f t="shared" si="102"/>
        <v>0</v>
      </c>
      <c r="AA46" s="67">
        <f t="shared" si="102"/>
        <v>0.5</v>
      </c>
      <c r="AB46" s="69">
        <f t="shared" si="69"/>
        <v>0.07394355783</v>
      </c>
      <c r="AC46" s="67">
        <f t="shared" ref="AC46:AE46" si="103">SUMIFS($L:$L,$C:$C,AC$3,$D:$D,$R46)*100</f>
        <v>0</v>
      </c>
      <c r="AD46" s="67">
        <f t="shared" si="103"/>
        <v>1.2</v>
      </c>
      <c r="AE46" s="67">
        <f t="shared" si="103"/>
        <v>0</v>
      </c>
      <c r="AF46" s="69">
        <f t="shared" si="71"/>
        <v>0.5305265272</v>
      </c>
      <c r="AG46" s="1"/>
      <c r="AH46" s="70">
        <f t="shared" si="72"/>
        <v>315.5324364</v>
      </c>
      <c r="AI46" s="70">
        <f t="shared" si="73"/>
        <v>1822.527096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ht="19.5" customHeight="1">
      <c r="A47" s="1"/>
      <c r="B47" s="234">
        <v>1.0</v>
      </c>
      <c r="C47" s="235"/>
      <c r="D47" s="236" t="s">
        <v>24</v>
      </c>
      <c r="E47" s="237" t="s">
        <v>325</v>
      </c>
      <c r="F47" s="124" t="s">
        <v>144</v>
      </c>
      <c r="G47" s="126"/>
      <c r="H47" s="126"/>
      <c r="I47" s="126"/>
      <c r="J47" s="126"/>
      <c r="K47" s="126"/>
      <c r="L47" s="238" t="s">
        <v>146</v>
      </c>
      <c r="M47" s="239">
        <f>$E$39</f>
        <v>1</v>
      </c>
      <c r="N47" s="236" t="s">
        <v>147</v>
      </c>
      <c r="O47" s="240" t="s">
        <v>148</v>
      </c>
      <c r="P47" s="1"/>
      <c r="Q47" s="1"/>
      <c r="R47" s="66" t="s">
        <v>324</v>
      </c>
      <c r="S47" s="66" t="s">
        <v>256</v>
      </c>
      <c r="T47" s="67">
        <f t="shared" ref="T47:AA47" si="104">SUMIFS($L:$L,$C:$C,T$3,$D:$D,$R47)*100</f>
        <v>0</v>
      </c>
      <c r="U47" s="67">
        <f t="shared" si="104"/>
        <v>0</v>
      </c>
      <c r="V47" s="67">
        <f t="shared" si="104"/>
        <v>0</v>
      </c>
      <c r="W47" s="67">
        <f t="shared" si="104"/>
        <v>0</v>
      </c>
      <c r="X47" s="67">
        <f t="shared" si="104"/>
        <v>0</v>
      </c>
      <c r="Y47" s="67">
        <f t="shared" si="104"/>
        <v>0</v>
      </c>
      <c r="Z47" s="67">
        <f t="shared" si="104"/>
        <v>0</v>
      </c>
      <c r="AA47" s="67">
        <f t="shared" si="104"/>
        <v>0</v>
      </c>
      <c r="AB47" s="69">
        <f t="shared" si="69"/>
        <v>0</v>
      </c>
      <c r="AC47" s="67">
        <f t="shared" ref="AC47:AE47" si="105">SUMIFS($L:$L,$C:$C,AC$3,$D:$D,$R47)*100</f>
        <v>38</v>
      </c>
      <c r="AD47" s="67">
        <f t="shared" si="105"/>
        <v>11</v>
      </c>
      <c r="AE47" s="67">
        <f t="shared" si="105"/>
        <v>10</v>
      </c>
      <c r="AF47" s="69">
        <f t="shared" si="71"/>
        <v>20.75789166</v>
      </c>
      <c r="AG47" s="1"/>
      <c r="AH47" s="70">
        <f t="shared" si="72"/>
        <v>0</v>
      </c>
      <c r="AI47" s="70">
        <f t="shared" si="73"/>
        <v>71309.94975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ht="19.5" customHeight="1">
      <c r="A48" s="1"/>
      <c r="B48" s="130">
        <v>2.0</v>
      </c>
      <c r="C48" s="131" t="s">
        <v>24</v>
      </c>
      <c r="D48" s="132" t="s">
        <v>123</v>
      </c>
      <c r="E48" s="133" t="s">
        <v>163</v>
      </c>
      <c r="F48" s="134"/>
      <c r="G48" s="135" t="s">
        <v>144</v>
      </c>
      <c r="H48" s="134"/>
      <c r="I48" s="134"/>
      <c r="J48" s="134"/>
      <c r="K48" s="134"/>
      <c r="L48" s="137">
        <v>0.27</v>
      </c>
      <c r="M48" s="138">
        <f t="shared" ref="M48:M61" si="108">$E$44*L48</f>
        <v>0.9204545455</v>
      </c>
      <c r="N48" s="132" t="s">
        <v>157</v>
      </c>
      <c r="O48" s="139"/>
      <c r="P48" s="1"/>
      <c r="Q48" s="1"/>
      <c r="R48" s="66" t="s">
        <v>326</v>
      </c>
      <c r="S48" s="66" t="s">
        <v>327</v>
      </c>
      <c r="T48" s="67">
        <f t="shared" ref="T48:AA48" si="106">SUMIFS($L:$L,$C:$C,T$3,$D:$D,$R48)*100</f>
        <v>0</v>
      </c>
      <c r="U48" s="67">
        <f t="shared" si="106"/>
        <v>0</v>
      </c>
      <c r="V48" s="67">
        <f t="shared" si="106"/>
        <v>0</v>
      </c>
      <c r="W48" s="67">
        <f t="shared" si="106"/>
        <v>0</v>
      </c>
      <c r="X48" s="67">
        <f t="shared" si="106"/>
        <v>0</v>
      </c>
      <c r="Y48" s="67">
        <f t="shared" si="106"/>
        <v>0</v>
      </c>
      <c r="Z48" s="67">
        <f t="shared" si="106"/>
        <v>0</v>
      </c>
      <c r="AA48" s="67">
        <f t="shared" si="106"/>
        <v>0</v>
      </c>
      <c r="AB48" s="69">
        <f t="shared" si="69"/>
        <v>0</v>
      </c>
      <c r="AC48" s="67">
        <f t="shared" ref="AC48:AE48" si="107">SUMIFS($L:$L,$C:$C,AC$3,$D:$D,$R48)*100</f>
        <v>6</v>
      </c>
      <c r="AD48" s="67">
        <f t="shared" si="107"/>
        <v>0</v>
      </c>
      <c r="AE48" s="67">
        <f t="shared" si="107"/>
        <v>0</v>
      </c>
      <c r="AF48" s="69">
        <f t="shared" si="71"/>
        <v>2.210525618</v>
      </c>
      <c r="AG48" s="1"/>
      <c r="AH48" s="70">
        <f t="shared" si="72"/>
        <v>0</v>
      </c>
      <c r="AI48" s="70">
        <f t="shared" si="73"/>
        <v>7593.857476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ht="19.5" customHeight="1">
      <c r="A49" s="1"/>
      <c r="B49" s="130">
        <v>3.0</v>
      </c>
      <c r="C49" s="131" t="s">
        <v>24</v>
      </c>
      <c r="D49" s="132" t="s">
        <v>63</v>
      </c>
      <c r="E49" s="133" t="s">
        <v>153</v>
      </c>
      <c r="F49" s="134"/>
      <c r="G49" s="135" t="s">
        <v>144</v>
      </c>
      <c r="H49" s="134"/>
      <c r="I49" s="134"/>
      <c r="J49" s="134"/>
      <c r="K49" s="134"/>
      <c r="L49" s="137">
        <v>0.24</v>
      </c>
      <c r="M49" s="138">
        <f t="shared" si="108"/>
        <v>0.8181818182</v>
      </c>
      <c r="N49" s="132" t="s">
        <v>157</v>
      </c>
      <c r="O49" s="139"/>
      <c r="P49" s="1"/>
      <c r="Q49" s="1"/>
      <c r="R49" s="66" t="s">
        <v>328</v>
      </c>
      <c r="S49" s="66" t="s">
        <v>329</v>
      </c>
      <c r="T49" s="67">
        <f t="shared" ref="T49:AA49" si="109">SUMIFS($L:$L,$C:$C,T$3,$D:$D,$R49)*100</f>
        <v>0</v>
      </c>
      <c r="U49" s="67">
        <f t="shared" si="109"/>
        <v>0</v>
      </c>
      <c r="V49" s="67">
        <f t="shared" si="109"/>
        <v>0</v>
      </c>
      <c r="W49" s="67">
        <f t="shared" si="109"/>
        <v>0</v>
      </c>
      <c r="X49" s="67">
        <f t="shared" si="109"/>
        <v>0</v>
      </c>
      <c r="Y49" s="67">
        <f t="shared" si="109"/>
        <v>0</v>
      </c>
      <c r="Z49" s="67">
        <f t="shared" si="109"/>
        <v>0</v>
      </c>
      <c r="AA49" s="67">
        <f t="shared" si="109"/>
        <v>0</v>
      </c>
      <c r="AB49" s="69">
        <f t="shared" si="69"/>
        <v>0</v>
      </c>
      <c r="AC49" s="67">
        <f t="shared" ref="AC49:AE49" si="110">SUMIFS($L:$L,$C:$C,AC$3,$D:$D,$R49)*100</f>
        <v>2.5</v>
      </c>
      <c r="AD49" s="67">
        <f t="shared" si="110"/>
        <v>0</v>
      </c>
      <c r="AE49" s="67">
        <f t="shared" si="110"/>
        <v>0</v>
      </c>
      <c r="AF49" s="69">
        <f t="shared" si="71"/>
        <v>0.9210523407</v>
      </c>
      <c r="AG49" s="1"/>
      <c r="AH49" s="70">
        <f t="shared" si="72"/>
        <v>0</v>
      </c>
      <c r="AI49" s="70">
        <f t="shared" si="73"/>
        <v>3164.107281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ht="19.5" customHeight="1">
      <c r="A50" s="1"/>
      <c r="B50" s="130">
        <v>4.0</v>
      </c>
      <c r="C50" s="131" t="s">
        <v>24</v>
      </c>
      <c r="D50" s="132" t="s">
        <v>149</v>
      </c>
      <c r="E50" s="133" t="s">
        <v>171</v>
      </c>
      <c r="F50" s="134"/>
      <c r="G50" s="135" t="s">
        <v>144</v>
      </c>
      <c r="H50" s="134"/>
      <c r="I50" s="134"/>
      <c r="J50" s="134"/>
      <c r="K50" s="134"/>
      <c r="L50" s="137">
        <v>0.14</v>
      </c>
      <c r="M50" s="138">
        <f t="shared" si="108"/>
        <v>0.4772727273</v>
      </c>
      <c r="N50" s="132" t="s">
        <v>157</v>
      </c>
      <c r="O50" s="139"/>
      <c r="P50" s="1"/>
      <c r="Q50" s="1"/>
      <c r="R50" s="66" t="s">
        <v>330</v>
      </c>
      <c r="S50" s="66" t="s">
        <v>331</v>
      </c>
      <c r="T50" s="67">
        <f t="shared" ref="T50:AA50" si="111">SUMIFS($L:$L,$C:$C,T$3,$D:$D,$R50)*100</f>
        <v>0</v>
      </c>
      <c r="U50" s="67">
        <f t="shared" si="111"/>
        <v>0</v>
      </c>
      <c r="V50" s="67">
        <f t="shared" si="111"/>
        <v>0</v>
      </c>
      <c r="W50" s="67">
        <f t="shared" si="111"/>
        <v>0</v>
      </c>
      <c r="X50" s="67">
        <f t="shared" si="111"/>
        <v>0</v>
      </c>
      <c r="Y50" s="67">
        <f t="shared" si="111"/>
        <v>0</v>
      </c>
      <c r="Z50" s="67">
        <f t="shared" si="111"/>
        <v>0</v>
      </c>
      <c r="AA50" s="67">
        <f t="shared" si="111"/>
        <v>0</v>
      </c>
      <c r="AB50" s="69">
        <f t="shared" si="69"/>
        <v>0</v>
      </c>
      <c r="AC50" s="67">
        <f t="shared" ref="AC50:AE50" si="112">SUMIFS($L:$L,$C:$C,AC$3,$D:$D,$R50)*100</f>
        <v>2</v>
      </c>
      <c r="AD50" s="67">
        <f t="shared" si="112"/>
        <v>0</v>
      </c>
      <c r="AE50" s="67">
        <f t="shared" si="112"/>
        <v>0</v>
      </c>
      <c r="AF50" s="69">
        <f t="shared" si="71"/>
        <v>0.7368418726</v>
      </c>
      <c r="AG50" s="1"/>
      <c r="AH50" s="70">
        <f t="shared" si="72"/>
        <v>0</v>
      </c>
      <c r="AI50" s="70">
        <f t="shared" si="73"/>
        <v>2531.285825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ht="19.5" customHeight="1">
      <c r="A51" s="1"/>
      <c r="B51" s="130">
        <v>5.0</v>
      </c>
      <c r="C51" s="131" t="s">
        <v>24</v>
      </c>
      <c r="D51" s="132" t="s">
        <v>219</v>
      </c>
      <c r="E51" s="133" t="s">
        <v>334</v>
      </c>
      <c r="F51" s="134"/>
      <c r="G51" s="135" t="s">
        <v>144</v>
      </c>
      <c r="H51" s="134"/>
      <c r="I51" s="134"/>
      <c r="J51" s="134"/>
      <c r="K51" s="134"/>
      <c r="L51" s="137">
        <v>0.13</v>
      </c>
      <c r="M51" s="138">
        <f t="shared" si="108"/>
        <v>0.4431818182</v>
      </c>
      <c r="N51" s="132" t="s">
        <v>157</v>
      </c>
      <c r="O51" s="139"/>
      <c r="P51" s="1"/>
      <c r="Q51" s="1"/>
      <c r="R51" s="66" t="s">
        <v>332</v>
      </c>
      <c r="S51" s="66" t="s">
        <v>333</v>
      </c>
      <c r="T51" s="67">
        <f t="shared" ref="T51:AA51" si="113">SUMIFS($L:$L,$C:$C,T$3,$D:$D,$R51)*100</f>
        <v>0</v>
      </c>
      <c r="U51" s="67">
        <f t="shared" si="113"/>
        <v>0</v>
      </c>
      <c r="V51" s="67">
        <f t="shared" si="113"/>
        <v>0</v>
      </c>
      <c r="W51" s="67">
        <f t="shared" si="113"/>
        <v>0</v>
      </c>
      <c r="X51" s="67">
        <f t="shared" si="113"/>
        <v>0</v>
      </c>
      <c r="Y51" s="67">
        <f t="shared" si="113"/>
        <v>0</v>
      </c>
      <c r="Z51" s="67">
        <f t="shared" si="113"/>
        <v>0</v>
      </c>
      <c r="AA51" s="67">
        <f t="shared" si="113"/>
        <v>0</v>
      </c>
      <c r="AB51" s="69">
        <f t="shared" si="69"/>
        <v>0</v>
      </c>
      <c r="AC51" s="67">
        <f t="shared" ref="AC51:AE51" si="114">SUMIFS($L:$L,$C:$C,AC$3,$D:$D,$R51)*100</f>
        <v>0</v>
      </c>
      <c r="AD51" s="67">
        <f t="shared" si="114"/>
        <v>16</v>
      </c>
      <c r="AE51" s="67">
        <f t="shared" si="114"/>
        <v>15</v>
      </c>
      <c r="AF51" s="69">
        <f t="shared" si="71"/>
        <v>9.915791395</v>
      </c>
      <c r="AG51" s="1"/>
      <c r="AH51" s="70">
        <f t="shared" si="72"/>
        <v>0</v>
      </c>
      <c r="AI51" s="70">
        <f t="shared" si="73"/>
        <v>34063.89232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ht="19.5" customHeight="1">
      <c r="A52" s="1"/>
      <c r="B52" s="130">
        <v>6.0</v>
      </c>
      <c r="C52" s="131" t="s">
        <v>24</v>
      </c>
      <c r="D52" s="132" t="s">
        <v>164</v>
      </c>
      <c r="E52" s="133" t="s">
        <v>337</v>
      </c>
      <c r="F52" s="134"/>
      <c r="G52" s="135" t="s">
        <v>144</v>
      </c>
      <c r="H52" s="134"/>
      <c r="I52" s="134"/>
      <c r="J52" s="134"/>
      <c r="K52" s="134"/>
      <c r="L52" s="137">
        <v>0.06</v>
      </c>
      <c r="M52" s="138">
        <f t="shared" si="108"/>
        <v>0.2045454545</v>
      </c>
      <c r="N52" s="132" t="s">
        <v>157</v>
      </c>
      <c r="O52" s="139"/>
      <c r="P52" s="1"/>
      <c r="Q52" s="1"/>
      <c r="R52" s="66" t="s">
        <v>335</v>
      </c>
      <c r="S52" s="66" t="s">
        <v>336</v>
      </c>
      <c r="T52" s="67">
        <f t="shared" ref="T52:AA52" si="115">SUMIFS($L:$L,$C:$C,T$3,$D:$D,$R52)*100</f>
        <v>0</v>
      </c>
      <c r="U52" s="67">
        <f t="shared" si="115"/>
        <v>0</v>
      </c>
      <c r="V52" s="67">
        <f t="shared" si="115"/>
        <v>0</v>
      </c>
      <c r="W52" s="67">
        <f t="shared" si="115"/>
        <v>0</v>
      </c>
      <c r="X52" s="67">
        <f t="shared" si="115"/>
        <v>0</v>
      </c>
      <c r="Y52" s="67">
        <f t="shared" si="115"/>
        <v>0</v>
      </c>
      <c r="Z52" s="67">
        <f t="shared" si="115"/>
        <v>0</v>
      </c>
      <c r="AA52" s="67">
        <f t="shared" si="115"/>
        <v>0</v>
      </c>
      <c r="AB52" s="69">
        <f t="shared" si="69"/>
        <v>0</v>
      </c>
      <c r="AC52" s="67">
        <f t="shared" ref="AC52:AE52" si="116">SUMIFS($L:$L,$C:$C,AC$3,$D:$D,$R52)*100</f>
        <v>0</v>
      </c>
      <c r="AD52" s="67">
        <f t="shared" si="116"/>
        <v>0.3</v>
      </c>
      <c r="AE52" s="67">
        <f t="shared" si="116"/>
        <v>0.2</v>
      </c>
      <c r="AF52" s="69">
        <f t="shared" si="71"/>
        <v>0.1705263567</v>
      </c>
      <c r="AG52" s="1"/>
      <c r="AH52" s="70">
        <f t="shared" si="72"/>
        <v>0</v>
      </c>
      <c r="AI52" s="70">
        <f t="shared" si="73"/>
        <v>585.8121878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ht="19.5" customHeight="1">
      <c r="A53" s="1"/>
      <c r="B53" s="130">
        <v>7.0</v>
      </c>
      <c r="C53" s="131" t="s">
        <v>24</v>
      </c>
      <c r="D53" s="132" t="s">
        <v>226</v>
      </c>
      <c r="E53" s="133" t="s">
        <v>340</v>
      </c>
      <c r="F53" s="134"/>
      <c r="G53" s="135" t="s">
        <v>144</v>
      </c>
      <c r="H53" s="134"/>
      <c r="I53" s="134"/>
      <c r="J53" s="134"/>
      <c r="K53" s="134"/>
      <c r="L53" s="137">
        <v>0.05</v>
      </c>
      <c r="M53" s="138">
        <f t="shared" si="108"/>
        <v>0.1704545455</v>
      </c>
      <c r="N53" s="132" t="s">
        <v>157</v>
      </c>
      <c r="O53" s="139"/>
      <c r="P53" s="1"/>
      <c r="Q53" s="1"/>
      <c r="R53" s="66" t="s">
        <v>338</v>
      </c>
      <c r="S53" s="66" t="s">
        <v>339</v>
      </c>
      <c r="T53" s="67">
        <f t="shared" ref="T53:AA53" si="117">SUMIFS($L:$L,$C:$C,T$3,$D:$D,$R53)*100</f>
        <v>0</v>
      </c>
      <c r="U53" s="67">
        <f t="shared" si="117"/>
        <v>0</v>
      </c>
      <c r="V53" s="67">
        <f t="shared" si="117"/>
        <v>0</v>
      </c>
      <c r="W53" s="67">
        <f t="shared" si="117"/>
        <v>0</v>
      </c>
      <c r="X53" s="67">
        <f t="shared" si="117"/>
        <v>0</v>
      </c>
      <c r="Y53" s="67">
        <f t="shared" si="117"/>
        <v>0</v>
      </c>
      <c r="Z53" s="67">
        <f t="shared" si="117"/>
        <v>0</v>
      </c>
      <c r="AA53" s="67">
        <f t="shared" si="117"/>
        <v>3</v>
      </c>
      <c r="AB53" s="69">
        <f t="shared" si="69"/>
        <v>0.443661347</v>
      </c>
      <c r="AC53" s="67">
        <f t="shared" ref="AC53:AE53" si="118">SUMIFS($L:$L,$C:$C,AC$3,$D:$D,$R53)*100</f>
        <v>0</v>
      </c>
      <c r="AD53" s="67">
        <f t="shared" si="118"/>
        <v>0</v>
      </c>
      <c r="AE53" s="67">
        <f t="shared" si="118"/>
        <v>0</v>
      </c>
      <c r="AF53" s="69">
        <f t="shared" si="71"/>
        <v>0</v>
      </c>
      <c r="AG53" s="1"/>
      <c r="AH53" s="70">
        <f t="shared" si="72"/>
        <v>1893.194618</v>
      </c>
      <c r="AI53" s="70">
        <f t="shared" si="73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ht="19.5" customHeight="1">
      <c r="A54" s="1"/>
      <c r="B54" s="130">
        <v>8.0</v>
      </c>
      <c r="C54" s="131" t="s">
        <v>24</v>
      </c>
      <c r="D54" s="132" t="s">
        <v>231</v>
      </c>
      <c r="E54" s="133" t="s">
        <v>341</v>
      </c>
      <c r="F54" s="134"/>
      <c r="G54" s="135" t="s">
        <v>144</v>
      </c>
      <c r="H54" s="134"/>
      <c r="I54" s="134"/>
      <c r="J54" s="134"/>
      <c r="K54" s="134"/>
      <c r="L54" s="137">
        <v>0.04</v>
      </c>
      <c r="M54" s="138">
        <f t="shared" si="108"/>
        <v>0.1363636364</v>
      </c>
      <c r="N54" s="132" t="s">
        <v>157</v>
      </c>
      <c r="O54" s="139"/>
      <c r="P54" s="1"/>
      <c r="Q54" s="1"/>
      <c r="R54" s="243"/>
      <c r="S54" s="243"/>
      <c r="T54" s="244">
        <f t="shared" ref="T54:AF54" si="119">SUM(T5:T53)</f>
        <v>100</v>
      </c>
      <c r="U54" s="244">
        <f t="shared" si="119"/>
        <v>100</v>
      </c>
      <c r="V54" s="244">
        <f t="shared" si="119"/>
        <v>100</v>
      </c>
      <c r="W54" s="244">
        <f t="shared" si="119"/>
        <v>100</v>
      </c>
      <c r="X54" s="244">
        <f t="shared" si="119"/>
        <v>100</v>
      </c>
      <c r="Y54" s="244">
        <f t="shared" si="119"/>
        <v>100</v>
      </c>
      <c r="Z54" s="244">
        <f t="shared" si="119"/>
        <v>100</v>
      </c>
      <c r="AA54" s="244">
        <f t="shared" si="119"/>
        <v>100</v>
      </c>
      <c r="AB54" s="244">
        <f t="shared" si="119"/>
        <v>100</v>
      </c>
      <c r="AC54" s="244">
        <f t="shared" si="119"/>
        <v>100</v>
      </c>
      <c r="AD54" s="244">
        <f t="shared" si="119"/>
        <v>100</v>
      </c>
      <c r="AE54" s="244">
        <f t="shared" si="119"/>
        <v>100</v>
      </c>
      <c r="AF54" s="244">
        <f t="shared" si="119"/>
        <v>100</v>
      </c>
      <c r="AG54" s="1"/>
      <c r="AH54" s="245">
        <f t="shared" ref="AH54:AI54" si="120">SUM(AH5:AH53)</f>
        <v>426720.6578</v>
      </c>
      <c r="AI54" s="245">
        <f t="shared" si="120"/>
        <v>343531.7562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ht="19.5" customHeight="1">
      <c r="A55" s="1"/>
      <c r="B55" s="130">
        <v>9.0</v>
      </c>
      <c r="C55" s="131" t="s">
        <v>24</v>
      </c>
      <c r="D55" s="132" t="s">
        <v>236</v>
      </c>
      <c r="E55" s="133" t="s">
        <v>342</v>
      </c>
      <c r="F55" s="134"/>
      <c r="G55" s="135" t="s">
        <v>144</v>
      </c>
      <c r="H55" s="134"/>
      <c r="I55" s="134"/>
      <c r="J55" s="134"/>
      <c r="K55" s="134"/>
      <c r="L55" s="137">
        <v>0.03</v>
      </c>
      <c r="M55" s="138">
        <f t="shared" si="108"/>
        <v>0.1022727273</v>
      </c>
      <c r="N55" s="132" t="s">
        <v>157</v>
      </c>
      <c r="O55" s="139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ht="19.5" customHeight="1">
      <c r="A56" s="1"/>
      <c r="B56" s="130">
        <v>10.0</v>
      </c>
      <c r="C56" s="131" t="s">
        <v>24</v>
      </c>
      <c r="D56" s="132" t="s">
        <v>239</v>
      </c>
      <c r="E56" s="133" t="s">
        <v>343</v>
      </c>
      <c r="F56" s="134"/>
      <c r="G56" s="135" t="s">
        <v>144</v>
      </c>
      <c r="H56" s="134"/>
      <c r="I56" s="134"/>
      <c r="J56" s="134"/>
      <c r="K56" s="134"/>
      <c r="L56" s="137">
        <v>0.015</v>
      </c>
      <c r="M56" s="138">
        <f t="shared" si="108"/>
        <v>0.05113636364</v>
      </c>
      <c r="N56" s="132" t="s">
        <v>157</v>
      </c>
      <c r="O56" s="139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ht="19.5" customHeight="1">
      <c r="A57" s="1"/>
      <c r="B57" s="130">
        <v>11.0</v>
      </c>
      <c r="C57" s="131" t="s">
        <v>24</v>
      </c>
      <c r="D57" s="132" t="s">
        <v>89</v>
      </c>
      <c r="E57" s="133" t="s">
        <v>214</v>
      </c>
      <c r="F57" s="134"/>
      <c r="G57" s="135" t="s">
        <v>144</v>
      </c>
      <c r="H57" s="134"/>
      <c r="I57" s="134"/>
      <c r="J57" s="134"/>
      <c r="K57" s="134"/>
      <c r="L57" s="137">
        <v>0.01</v>
      </c>
      <c r="M57" s="138">
        <f t="shared" si="108"/>
        <v>0.03409090909</v>
      </c>
      <c r="N57" s="132" t="s">
        <v>157</v>
      </c>
      <c r="O57" s="139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ht="19.5" customHeight="1">
      <c r="A58" s="1"/>
      <c r="B58" s="130">
        <v>12.0</v>
      </c>
      <c r="C58" s="131" t="s">
        <v>24</v>
      </c>
      <c r="D58" s="132" t="s">
        <v>209</v>
      </c>
      <c r="E58" s="133" t="s">
        <v>230</v>
      </c>
      <c r="F58" s="134"/>
      <c r="G58" s="135" t="s">
        <v>144</v>
      </c>
      <c r="H58" s="134"/>
      <c r="I58" s="134"/>
      <c r="J58" s="134"/>
      <c r="K58" s="134"/>
      <c r="L58" s="137">
        <v>0.005</v>
      </c>
      <c r="M58" s="138">
        <f t="shared" si="108"/>
        <v>0.01704545455</v>
      </c>
      <c r="N58" s="132" t="s">
        <v>157</v>
      </c>
      <c r="O58" s="139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ht="19.5" customHeight="1">
      <c r="A59" s="1"/>
      <c r="B59" s="130">
        <v>13.0</v>
      </c>
      <c r="C59" s="131" t="s">
        <v>24</v>
      </c>
      <c r="D59" s="132" t="s">
        <v>76</v>
      </c>
      <c r="E59" s="133" t="s">
        <v>218</v>
      </c>
      <c r="F59" s="134"/>
      <c r="G59" s="135" t="s">
        <v>144</v>
      </c>
      <c r="H59" s="134"/>
      <c r="I59" s="134"/>
      <c r="J59" s="134"/>
      <c r="K59" s="134"/>
      <c r="L59" s="137">
        <v>0.004</v>
      </c>
      <c r="M59" s="138">
        <f t="shared" si="108"/>
        <v>0.01363636364</v>
      </c>
      <c r="N59" s="132" t="s">
        <v>157</v>
      </c>
      <c r="O59" s="139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ht="19.5" customHeight="1">
      <c r="A60" s="1"/>
      <c r="B60" s="130">
        <v>14.0</v>
      </c>
      <c r="C60" s="131" t="s">
        <v>24</v>
      </c>
      <c r="D60" s="132" t="s">
        <v>180</v>
      </c>
      <c r="E60" s="133" t="s">
        <v>238</v>
      </c>
      <c r="F60" s="134"/>
      <c r="G60" s="135" t="s">
        <v>144</v>
      </c>
      <c r="H60" s="134"/>
      <c r="I60" s="134"/>
      <c r="J60" s="134"/>
      <c r="K60" s="134"/>
      <c r="L60" s="137">
        <v>0.003</v>
      </c>
      <c r="M60" s="138">
        <f t="shared" si="108"/>
        <v>0.01022727273</v>
      </c>
      <c r="N60" s="132" t="s">
        <v>157</v>
      </c>
      <c r="O60" s="139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ht="19.5" customHeight="1">
      <c r="A61" s="1"/>
      <c r="B61" s="130">
        <v>15.0</v>
      </c>
      <c r="C61" s="131" t="s">
        <v>24</v>
      </c>
      <c r="D61" s="132" t="s">
        <v>212</v>
      </c>
      <c r="E61" s="133" t="s">
        <v>242</v>
      </c>
      <c r="F61" s="134"/>
      <c r="G61" s="135" t="s">
        <v>144</v>
      </c>
      <c r="H61" s="134"/>
      <c r="I61" s="134"/>
      <c r="J61" s="134"/>
      <c r="K61" s="134"/>
      <c r="L61" s="137">
        <v>0.003</v>
      </c>
      <c r="M61" s="138">
        <f t="shared" si="108"/>
        <v>0.01022727273</v>
      </c>
      <c r="N61" s="132" t="s">
        <v>157</v>
      </c>
      <c r="O61" s="139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ht="19.5" customHeight="1">
      <c r="A62" s="1"/>
      <c r="B62" s="191"/>
      <c r="C62" s="192"/>
      <c r="D62" s="45" t="s">
        <v>266</v>
      </c>
      <c r="E62" s="38"/>
      <c r="F62" s="38"/>
      <c r="G62" s="38"/>
      <c r="H62" s="38"/>
      <c r="I62" s="38"/>
      <c r="J62" s="38"/>
      <c r="K62" s="43"/>
      <c r="L62" s="194">
        <f t="shared" ref="L62:M62" si="121">L48+L49+L50+L51+L52+L53+L54+L55+L56+L57+L58+L59+L60+L61</f>
        <v>1</v>
      </c>
      <c r="M62" s="197">
        <f t="shared" si="121"/>
        <v>3.409090909</v>
      </c>
      <c r="N62" s="199" t="s">
        <v>157</v>
      </c>
      <c r="O62" s="200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ht="19.5" customHeight="1">
      <c r="A63" s="1"/>
      <c r="B63" s="208" t="s">
        <v>273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4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ht="19.5" customHeight="1">
      <c r="A64" s="1"/>
      <c r="B64" s="211">
        <v>16.0</v>
      </c>
      <c r="C64" s="131" t="s">
        <v>24</v>
      </c>
      <c r="D64" s="212" t="s">
        <v>276</v>
      </c>
      <c r="E64" s="213" t="s">
        <v>277</v>
      </c>
      <c r="F64" s="214"/>
      <c r="G64" s="215" t="s">
        <v>144</v>
      </c>
      <c r="H64" s="214"/>
      <c r="I64" s="214"/>
      <c r="J64" s="214"/>
      <c r="K64" s="214"/>
      <c r="L64" s="216" t="s">
        <v>146</v>
      </c>
      <c r="M64" s="217">
        <f>$E$39*$E$40</f>
        <v>20</v>
      </c>
      <c r="N64" s="212" t="s">
        <v>278</v>
      </c>
      <c r="O64" s="219" t="s">
        <v>279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ht="19.5" customHeight="1">
      <c r="A65" s="1"/>
      <c r="B65" s="211">
        <v>17.0</v>
      </c>
      <c r="C65" s="131" t="s">
        <v>24</v>
      </c>
      <c r="D65" s="212" t="s">
        <v>282</v>
      </c>
      <c r="E65" s="213" t="s">
        <v>283</v>
      </c>
      <c r="F65" s="214"/>
      <c r="G65" s="215" t="s">
        <v>144</v>
      </c>
      <c r="H65" s="214"/>
      <c r="I65" s="214"/>
      <c r="J65" s="214"/>
      <c r="K65" s="214"/>
      <c r="L65" s="216" t="s">
        <v>146</v>
      </c>
      <c r="M65" s="217">
        <f t="shared" ref="M65:M66" si="122">$E$39</f>
        <v>1</v>
      </c>
      <c r="N65" s="212" t="s">
        <v>278</v>
      </c>
      <c r="O65" s="219" t="s">
        <v>284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ht="19.5" customHeight="1">
      <c r="A66" s="1"/>
      <c r="B66" s="211">
        <v>18.0</v>
      </c>
      <c r="C66" s="131" t="s">
        <v>24</v>
      </c>
      <c r="D66" s="212" t="s">
        <v>291</v>
      </c>
      <c r="E66" s="213" t="s">
        <v>292</v>
      </c>
      <c r="F66" s="214"/>
      <c r="G66" s="215" t="s">
        <v>144</v>
      </c>
      <c r="H66" s="214"/>
      <c r="I66" s="214"/>
      <c r="J66" s="214"/>
      <c r="K66" s="214"/>
      <c r="L66" s="216" t="s">
        <v>146</v>
      </c>
      <c r="M66" s="217">
        <f t="shared" si="122"/>
        <v>1</v>
      </c>
      <c r="N66" s="212" t="s">
        <v>278</v>
      </c>
      <c r="O66" s="219" t="s">
        <v>284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ht="19.5" customHeight="1">
      <c r="A68" s="1"/>
      <c r="B68" s="9"/>
      <c r="C68" s="229"/>
      <c r="D68" s="230" t="s">
        <v>344</v>
      </c>
      <c r="E68" s="13"/>
      <c r="F68" s="13"/>
      <c r="G68" s="13"/>
      <c r="H68" s="13"/>
      <c r="I68" s="13"/>
      <c r="J68" s="13"/>
      <c r="K68" s="13"/>
      <c r="L68" s="14"/>
      <c r="M68" s="15" t="s">
        <v>8</v>
      </c>
      <c r="N68" s="16"/>
      <c r="O68" s="17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ht="19.5" customHeight="1">
      <c r="A69" s="1"/>
      <c r="B69" s="22"/>
      <c r="C69" s="22"/>
      <c r="D69" s="24" t="s">
        <v>16</v>
      </c>
      <c r="E69" s="28">
        <f>SUMIFS('Plan de ventas'!$O$48:$O$60,'Plan de ventas'!$B$48:$B$60,D78)*1000</f>
        <v>30642.70692</v>
      </c>
      <c r="F69" s="29"/>
      <c r="G69" s="29"/>
      <c r="H69" s="29"/>
      <c r="I69" s="29"/>
      <c r="J69" s="29"/>
      <c r="K69" s="29"/>
      <c r="L69" s="29"/>
      <c r="M69" s="30"/>
      <c r="O69" s="3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ht="19.5" customHeight="1">
      <c r="A70" s="1"/>
      <c r="B70" s="45" t="s">
        <v>41</v>
      </c>
      <c r="C70" s="38"/>
      <c r="D70" s="43"/>
      <c r="E70" s="46">
        <v>1.0</v>
      </c>
      <c r="F70" s="47" t="str">
        <f>"Línea: Clásicas     |     Versión n°: 1"&amp;CHAR(10)&amp;CHAR(10)&amp;"Lote = "&amp;E70&amp;" cajas × "&amp;E71&amp;" unid./caja = "&amp;(E70*E71)&amp;" unidades"&amp;CHAR(10)&amp;"Producto terminado = "&amp;TEXT(E74,"#,##0.00")&amp;" kg"&amp;CHAR(10)&amp;"Mezcla a preparar = "&amp;TEXT(E75,"#,##0.00")&amp;" kg   (rendimiento "&amp;TEXT(E73,"0%")&amp;")"</f>
        <v>Línea: Clásicas     |     Versión n°: 1
Lote = 1 cajas × 20 unid./caja = 20 unidades
Producto terminado = 3,00 kg
Mezcla a preparar = 3,41 kg   (rendimiento 88%)</v>
      </c>
      <c r="G70" s="48"/>
      <c r="H70" s="48"/>
      <c r="I70" s="48"/>
      <c r="J70" s="48"/>
      <c r="K70" s="48"/>
      <c r="L70" s="49"/>
      <c r="M70" s="30"/>
      <c r="O70" s="3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ht="19.5" customHeight="1">
      <c r="A71" s="1"/>
      <c r="B71" s="45" t="s">
        <v>62</v>
      </c>
      <c r="C71" s="38"/>
      <c r="D71" s="43"/>
      <c r="E71" s="46">
        <v>20.0</v>
      </c>
      <c r="F71" s="65"/>
      <c r="L71" s="31"/>
      <c r="M71" s="30"/>
      <c r="O71" s="3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ht="19.5" customHeight="1">
      <c r="A72" s="1"/>
      <c r="B72" s="45" t="s">
        <v>75</v>
      </c>
      <c r="C72" s="38"/>
      <c r="D72" s="43"/>
      <c r="E72" s="46">
        <v>150.0</v>
      </c>
      <c r="F72" s="65"/>
      <c r="L72" s="31"/>
      <c r="M72" s="30"/>
      <c r="O72" s="3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ht="19.5" customHeight="1">
      <c r="A73" s="1"/>
      <c r="B73" s="45" t="s">
        <v>83</v>
      </c>
      <c r="C73" s="38"/>
      <c r="D73" s="43"/>
      <c r="E73" s="88">
        <v>0.88</v>
      </c>
      <c r="F73" s="65"/>
      <c r="L73" s="31"/>
      <c r="M73" s="30"/>
      <c r="O73" s="3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ht="19.5" customHeight="1">
      <c r="A74" s="1"/>
      <c r="B74" s="45" t="s">
        <v>88</v>
      </c>
      <c r="C74" s="38"/>
      <c r="D74" s="43"/>
      <c r="E74" s="92">
        <f>E70*E71*E72/1000</f>
        <v>3</v>
      </c>
      <c r="F74" s="65"/>
      <c r="L74" s="31"/>
      <c r="M74" s="30"/>
      <c r="O74" s="3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ht="19.5" customHeight="1">
      <c r="A75" s="1"/>
      <c r="B75" s="45" t="s">
        <v>96</v>
      </c>
      <c r="C75" s="38"/>
      <c r="D75" s="43"/>
      <c r="E75" s="92">
        <f>E74/E73</f>
        <v>3.409090909</v>
      </c>
      <c r="F75" s="98"/>
      <c r="G75" s="99"/>
      <c r="H75" s="99"/>
      <c r="I75" s="99"/>
      <c r="J75" s="99"/>
      <c r="K75" s="99"/>
      <c r="L75" s="100"/>
      <c r="M75" s="101"/>
      <c r="N75" s="99"/>
      <c r="O75" s="10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ht="19.5" customHeight="1">
      <c r="A76" s="1"/>
      <c r="B76" s="110" t="s">
        <v>113</v>
      </c>
      <c r="C76" s="233"/>
      <c r="D76" s="112" t="s">
        <v>321</v>
      </c>
      <c r="E76" s="112" t="s">
        <v>116</v>
      </c>
      <c r="F76" s="113" t="s">
        <v>117</v>
      </c>
      <c r="G76" s="38"/>
      <c r="H76" s="38"/>
      <c r="I76" s="38"/>
      <c r="J76" s="38"/>
      <c r="K76" s="40"/>
      <c r="L76" s="112" t="s">
        <v>46</v>
      </c>
      <c r="M76" s="112" t="s">
        <v>120</v>
      </c>
      <c r="N76" s="112" t="s">
        <v>121</v>
      </c>
      <c r="O76" s="112" t="s">
        <v>122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ht="19.5" customHeight="1">
      <c r="A77" s="1"/>
      <c r="B77" s="117"/>
      <c r="C77" s="233"/>
      <c r="D77" s="118"/>
      <c r="E77" s="118"/>
      <c r="F77" s="119" t="s">
        <v>129</v>
      </c>
      <c r="G77" s="119" t="s">
        <v>131</v>
      </c>
      <c r="H77" s="119" t="s">
        <v>132</v>
      </c>
      <c r="I77" s="119" t="s">
        <v>133</v>
      </c>
      <c r="J77" s="119" t="s">
        <v>134</v>
      </c>
      <c r="K77" s="119" t="s">
        <v>135</v>
      </c>
      <c r="L77" s="118"/>
      <c r="M77" s="118"/>
      <c r="N77" s="118"/>
      <c r="O77" s="118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ht="19.5" customHeight="1">
      <c r="A78" s="1"/>
      <c r="B78" s="234">
        <v>1.0</v>
      </c>
      <c r="C78" s="235"/>
      <c r="D78" s="236" t="s">
        <v>25</v>
      </c>
      <c r="E78" s="237" t="s">
        <v>345</v>
      </c>
      <c r="F78" s="124" t="s">
        <v>144</v>
      </c>
      <c r="G78" s="126"/>
      <c r="H78" s="126"/>
      <c r="I78" s="126"/>
      <c r="J78" s="126"/>
      <c r="K78" s="126"/>
      <c r="L78" s="238" t="s">
        <v>146</v>
      </c>
      <c r="M78" s="239">
        <f>$E$70</f>
        <v>1</v>
      </c>
      <c r="N78" s="236" t="s">
        <v>147</v>
      </c>
      <c r="O78" s="240" t="s">
        <v>148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ht="19.5" customHeight="1">
      <c r="A79" s="1"/>
      <c r="B79" s="130">
        <v>2.0</v>
      </c>
      <c r="C79" s="131" t="s">
        <v>25</v>
      </c>
      <c r="D79" s="132" t="s">
        <v>123</v>
      </c>
      <c r="E79" s="133" t="s">
        <v>163</v>
      </c>
      <c r="F79" s="134"/>
      <c r="G79" s="135" t="s">
        <v>144</v>
      </c>
      <c r="H79" s="134"/>
      <c r="I79" s="134"/>
      <c r="J79" s="134"/>
      <c r="K79" s="134"/>
      <c r="L79" s="137">
        <v>0.27</v>
      </c>
      <c r="M79" s="138">
        <f t="shared" ref="M79:M89" si="123">$E$75*L79</f>
        <v>0.9204545455</v>
      </c>
      <c r="N79" s="132" t="s">
        <v>157</v>
      </c>
      <c r="O79" s="139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ht="19.5" customHeight="1">
      <c r="A80" s="1"/>
      <c r="B80" s="130">
        <v>3.0</v>
      </c>
      <c r="C80" s="131" t="s">
        <v>25</v>
      </c>
      <c r="D80" s="132" t="s">
        <v>63</v>
      </c>
      <c r="E80" s="133" t="s">
        <v>153</v>
      </c>
      <c r="F80" s="134"/>
      <c r="G80" s="135" t="s">
        <v>144</v>
      </c>
      <c r="H80" s="134"/>
      <c r="I80" s="134"/>
      <c r="J80" s="134"/>
      <c r="K80" s="134"/>
      <c r="L80" s="137">
        <v>0.22</v>
      </c>
      <c r="M80" s="138">
        <f t="shared" si="123"/>
        <v>0.75</v>
      </c>
      <c r="N80" s="132" t="s">
        <v>157</v>
      </c>
      <c r="O80" s="139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ht="19.5" customHeight="1">
      <c r="A81" s="1"/>
      <c r="B81" s="130">
        <v>4.0</v>
      </c>
      <c r="C81" s="131" t="s">
        <v>25</v>
      </c>
      <c r="D81" s="132" t="s">
        <v>177</v>
      </c>
      <c r="E81" s="133" t="s">
        <v>178</v>
      </c>
      <c r="F81" s="134"/>
      <c r="G81" s="135" t="s">
        <v>144</v>
      </c>
      <c r="H81" s="134"/>
      <c r="I81" s="134"/>
      <c r="J81" s="134"/>
      <c r="K81" s="134"/>
      <c r="L81" s="137">
        <v>0.18</v>
      </c>
      <c r="M81" s="138">
        <f t="shared" si="123"/>
        <v>0.6136363636</v>
      </c>
      <c r="N81" s="132" t="s">
        <v>157</v>
      </c>
      <c r="O81" s="139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ht="19.5" customHeight="1">
      <c r="A82" s="1"/>
      <c r="B82" s="130">
        <v>5.0</v>
      </c>
      <c r="C82" s="131" t="s">
        <v>25</v>
      </c>
      <c r="D82" s="132" t="s">
        <v>149</v>
      </c>
      <c r="E82" s="133" t="s">
        <v>171</v>
      </c>
      <c r="F82" s="134"/>
      <c r="G82" s="135" t="s">
        <v>144</v>
      </c>
      <c r="H82" s="134"/>
      <c r="I82" s="134"/>
      <c r="J82" s="134"/>
      <c r="K82" s="134"/>
      <c r="L82" s="137">
        <v>0.14</v>
      </c>
      <c r="M82" s="138">
        <f t="shared" si="123"/>
        <v>0.4772727273</v>
      </c>
      <c r="N82" s="132" t="s">
        <v>157</v>
      </c>
      <c r="O82" s="13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ht="19.5" customHeight="1">
      <c r="A83" s="1"/>
      <c r="B83" s="130">
        <v>6.0</v>
      </c>
      <c r="C83" s="131" t="s">
        <v>25</v>
      </c>
      <c r="D83" s="132" t="s">
        <v>164</v>
      </c>
      <c r="E83" s="133" t="s">
        <v>337</v>
      </c>
      <c r="F83" s="134"/>
      <c r="G83" s="135" t="s">
        <v>144</v>
      </c>
      <c r="H83" s="134"/>
      <c r="I83" s="134"/>
      <c r="J83" s="134"/>
      <c r="K83" s="134"/>
      <c r="L83" s="137">
        <v>0.06</v>
      </c>
      <c r="M83" s="138">
        <f t="shared" si="123"/>
        <v>0.2045454545</v>
      </c>
      <c r="N83" s="132" t="s">
        <v>157</v>
      </c>
      <c r="O83" s="139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ht="19.5" customHeight="1">
      <c r="A84" s="1"/>
      <c r="B84" s="130">
        <v>7.0</v>
      </c>
      <c r="C84" s="131" t="s">
        <v>25</v>
      </c>
      <c r="D84" s="132" t="s">
        <v>243</v>
      </c>
      <c r="E84" s="133" t="s">
        <v>346</v>
      </c>
      <c r="F84" s="134"/>
      <c r="G84" s="135" t="s">
        <v>144</v>
      </c>
      <c r="H84" s="134"/>
      <c r="I84" s="134"/>
      <c r="J84" s="134"/>
      <c r="K84" s="134"/>
      <c r="L84" s="137">
        <v>0.06</v>
      </c>
      <c r="M84" s="138">
        <f t="shared" si="123"/>
        <v>0.2045454545</v>
      </c>
      <c r="N84" s="132" t="s">
        <v>157</v>
      </c>
      <c r="O84" s="139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ht="19.5" customHeight="1">
      <c r="A85" s="1"/>
      <c r="B85" s="130">
        <v>8.0</v>
      </c>
      <c r="C85" s="131" t="s">
        <v>25</v>
      </c>
      <c r="D85" s="132" t="s">
        <v>158</v>
      </c>
      <c r="E85" s="133" t="s">
        <v>208</v>
      </c>
      <c r="F85" s="134"/>
      <c r="G85" s="135" t="s">
        <v>144</v>
      </c>
      <c r="H85" s="134"/>
      <c r="I85" s="134"/>
      <c r="J85" s="134"/>
      <c r="K85" s="134"/>
      <c r="L85" s="137">
        <v>0.04</v>
      </c>
      <c r="M85" s="138">
        <f t="shared" si="123"/>
        <v>0.1363636364</v>
      </c>
      <c r="N85" s="132" t="s">
        <v>157</v>
      </c>
      <c r="O85" s="139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ht="19.5" customHeight="1">
      <c r="A86" s="1"/>
      <c r="B86" s="130">
        <v>9.0</v>
      </c>
      <c r="C86" s="131" t="s">
        <v>25</v>
      </c>
      <c r="D86" s="132" t="s">
        <v>89</v>
      </c>
      <c r="E86" s="133" t="s">
        <v>214</v>
      </c>
      <c r="F86" s="134"/>
      <c r="G86" s="135" t="s">
        <v>144</v>
      </c>
      <c r="H86" s="134"/>
      <c r="I86" s="134"/>
      <c r="J86" s="134"/>
      <c r="K86" s="134"/>
      <c r="L86" s="137">
        <v>0.01</v>
      </c>
      <c r="M86" s="138">
        <f t="shared" si="123"/>
        <v>0.03409090909</v>
      </c>
      <c r="N86" s="132" t="s">
        <v>157</v>
      </c>
      <c r="O86" s="139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ht="19.5" customHeight="1">
      <c r="A87" s="1"/>
      <c r="B87" s="130">
        <v>10.0</v>
      </c>
      <c r="C87" s="131" t="s">
        <v>25</v>
      </c>
      <c r="D87" s="132" t="s">
        <v>209</v>
      </c>
      <c r="E87" s="133" t="s">
        <v>230</v>
      </c>
      <c r="F87" s="134"/>
      <c r="G87" s="135" t="s">
        <v>144</v>
      </c>
      <c r="H87" s="134"/>
      <c r="I87" s="134"/>
      <c r="J87" s="134"/>
      <c r="K87" s="134"/>
      <c r="L87" s="137">
        <v>0.008</v>
      </c>
      <c r="M87" s="138">
        <f t="shared" si="123"/>
        <v>0.02727272727</v>
      </c>
      <c r="N87" s="132" t="s">
        <v>157</v>
      </c>
      <c r="O87" s="139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ht="19.5" customHeight="1">
      <c r="A88" s="1"/>
      <c r="B88" s="130">
        <v>11.0</v>
      </c>
      <c r="C88" s="131" t="s">
        <v>25</v>
      </c>
      <c r="D88" s="132" t="s">
        <v>212</v>
      </c>
      <c r="E88" s="133" t="s">
        <v>242</v>
      </c>
      <c r="F88" s="134"/>
      <c r="G88" s="135" t="s">
        <v>144</v>
      </c>
      <c r="H88" s="134"/>
      <c r="I88" s="134"/>
      <c r="J88" s="134"/>
      <c r="K88" s="134"/>
      <c r="L88" s="137">
        <v>0.008</v>
      </c>
      <c r="M88" s="138">
        <f t="shared" si="123"/>
        <v>0.02727272727</v>
      </c>
      <c r="N88" s="132" t="s">
        <v>157</v>
      </c>
      <c r="O88" s="139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ht="19.5" customHeight="1">
      <c r="A89" s="1"/>
      <c r="B89" s="130">
        <v>12.0</v>
      </c>
      <c r="C89" s="131" t="s">
        <v>25</v>
      </c>
      <c r="D89" s="132" t="s">
        <v>180</v>
      </c>
      <c r="E89" s="133" t="s">
        <v>238</v>
      </c>
      <c r="F89" s="134"/>
      <c r="G89" s="135" t="s">
        <v>144</v>
      </c>
      <c r="H89" s="134"/>
      <c r="I89" s="134"/>
      <c r="J89" s="134"/>
      <c r="K89" s="134"/>
      <c r="L89" s="137">
        <v>0.004</v>
      </c>
      <c r="M89" s="138">
        <f t="shared" si="123"/>
        <v>0.01363636364</v>
      </c>
      <c r="N89" s="132" t="s">
        <v>157</v>
      </c>
      <c r="O89" s="139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ht="19.5" customHeight="1">
      <c r="A90" s="1"/>
      <c r="B90" s="191"/>
      <c r="C90" s="192"/>
      <c r="D90" s="45" t="s">
        <v>266</v>
      </c>
      <c r="E90" s="38"/>
      <c r="F90" s="38"/>
      <c r="G90" s="38"/>
      <c r="H90" s="38"/>
      <c r="I90" s="38"/>
      <c r="J90" s="38"/>
      <c r="K90" s="43"/>
      <c r="L90" s="194">
        <f t="shared" ref="L90:M90" si="124">L79+L80+L81+L82+L83+L84+L85+L86+L87+L88+L89</f>
        <v>1</v>
      </c>
      <c r="M90" s="197">
        <f t="shared" si="124"/>
        <v>3.409090909</v>
      </c>
      <c r="N90" s="199" t="s">
        <v>157</v>
      </c>
      <c r="O90" s="200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ht="19.5" customHeight="1">
      <c r="A91" s="1"/>
      <c r="B91" s="208" t="s">
        <v>273</v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40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ht="19.5" customHeight="1">
      <c r="A92" s="1"/>
      <c r="B92" s="211">
        <v>13.0</v>
      </c>
      <c r="C92" s="131" t="s">
        <v>25</v>
      </c>
      <c r="D92" s="212" t="s">
        <v>276</v>
      </c>
      <c r="E92" s="213" t="s">
        <v>277</v>
      </c>
      <c r="F92" s="214"/>
      <c r="G92" s="215" t="s">
        <v>144</v>
      </c>
      <c r="H92" s="214"/>
      <c r="I92" s="214"/>
      <c r="J92" s="214"/>
      <c r="K92" s="214"/>
      <c r="L92" s="216" t="s">
        <v>146</v>
      </c>
      <c r="M92" s="217">
        <f>$E$70*$E$71</f>
        <v>20</v>
      </c>
      <c r="N92" s="212" t="s">
        <v>278</v>
      </c>
      <c r="O92" s="219" t="s">
        <v>279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ht="19.5" customHeight="1">
      <c r="A93" s="1"/>
      <c r="B93" s="211">
        <v>14.0</v>
      </c>
      <c r="C93" s="131" t="s">
        <v>25</v>
      </c>
      <c r="D93" s="212" t="s">
        <v>282</v>
      </c>
      <c r="E93" s="213" t="s">
        <v>283</v>
      </c>
      <c r="F93" s="214"/>
      <c r="G93" s="215" t="s">
        <v>144</v>
      </c>
      <c r="H93" s="214"/>
      <c r="I93" s="214"/>
      <c r="J93" s="214"/>
      <c r="K93" s="214"/>
      <c r="L93" s="216" t="s">
        <v>146</v>
      </c>
      <c r="M93" s="217">
        <f t="shared" ref="M93:M94" si="125">$E$70</f>
        <v>1</v>
      </c>
      <c r="N93" s="212" t="s">
        <v>278</v>
      </c>
      <c r="O93" s="219" t="s">
        <v>284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ht="19.5" customHeight="1">
      <c r="A94" s="1"/>
      <c r="B94" s="211">
        <v>15.0</v>
      </c>
      <c r="C94" s="131" t="s">
        <v>25</v>
      </c>
      <c r="D94" s="212" t="s">
        <v>291</v>
      </c>
      <c r="E94" s="213" t="s">
        <v>292</v>
      </c>
      <c r="F94" s="214"/>
      <c r="G94" s="215" t="s">
        <v>144</v>
      </c>
      <c r="H94" s="214"/>
      <c r="I94" s="214"/>
      <c r="J94" s="214"/>
      <c r="K94" s="214"/>
      <c r="L94" s="216" t="s">
        <v>146</v>
      </c>
      <c r="M94" s="217">
        <f t="shared" si="125"/>
        <v>1</v>
      </c>
      <c r="N94" s="212" t="s">
        <v>278</v>
      </c>
      <c r="O94" s="219" t="s">
        <v>284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ht="19.5" customHeight="1">
      <c r="A96" s="1"/>
      <c r="B96" s="246"/>
      <c r="C96" s="247"/>
      <c r="D96" s="248" t="s">
        <v>347</v>
      </c>
      <c r="E96" s="249"/>
      <c r="F96" s="249"/>
      <c r="G96" s="249"/>
      <c r="H96" s="249"/>
      <c r="I96" s="249"/>
      <c r="J96" s="249"/>
      <c r="K96" s="249"/>
      <c r="L96" s="250"/>
      <c r="M96" s="251"/>
      <c r="N96" s="252"/>
      <c r="O96" s="25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ht="19.5" customHeight="1">
      <c r="A97" s="1"/>
      <c r="B97" s="22"/>
      <c r="C97" s="22"/>
      <c r="D97" s="24" t="s">
        <v>16</v>
      </c>
      <c r="E97" s="28">
        <f>SUMIFS('Plan de ventas'!$O$48:$O$60,'Plan de ventas'!$B$48:$B$60,D106)*1000</f>
        <v>94284.90238</v>
      </c>
      <c r="F97" s="29"/>
      <c r="G97" s="29"/>
      <c r="H97" s="29"/>
      <c r="I97" s="29"/>
      <c r="J97" s="29"/>
      <c r="K97" s="29"/>
      <c r="L97" s="29"/>
      <c r="M97" s="30"/>
      <c r="O97" s="25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ht="19.5" customHeight="1">
      <c r="A98" s="1"/>
      <c r="B98" s="255" t="s">
        <v>348</v>
      </c>
      <c r="C98" s="38"/>
      <c r="D98" s="43"/>
      <c r="E98" s="46">
        <v>1.0</v>
      </c>
      <c r="F98" s="47" t="str">
        <f>"Línea: Clásicas     |     Versión n°: 1"&amp;CHAR(10)&amp;CHAR(10)&amp;"Lote = "&amp;E98&amp;" cajas × "&amp;E99&amp;" unid./caja = "&amp;(E98*E99)&amp;" unidades"&amp;CHAR(10)&amp;"Producto terminado = "&amp;TEXT(E102,"#,##0.00")&amp;" kg"&amp;CHAR(10)&amp;"Mezcla a preparar = "&amp;TEXT(E103,"#,##0.00")&amp;" kg   (rendimiento "&amp;TEXT(E101,"0%")&amp;")"</f>
        <v>Línea: Clásicas     |     Versión n°: 1
Lote = 1 cajas × 20 unid./caja = 20 unidades
Producto terminado = 3,00 kg
Mezcla a preparar = 3,53 kg   (rendimiento 85%)</v>
      </c>
      <c r="G98" s="48"/>
      <c r="H98" s="48"/>
      <c r="I98" s="48"/>
      <c r="J98" s="48"/>
      <c r="K98" s="48"/>
      <c r="L98" s="49"/>
      <c r="M98" s="30"/>
      <c r="O98" s="25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ht="19.5" customHeight="1">
      <c r="A99" s="1"/>
      <c r="B99" s="255" t="s">
        <v>62</v>
      </c>
      <c r="C99" s="38"/>
      <c r="D99" s="43"/>
      <c r="E99" s="46">
        <v>20.0</v>
      </c>
      <c r="F99" s="65"/>
      <c r="L99" s="31"/>
      <c r="M99" s="30"/>
      <c r="O99" s="25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ht="19.5" customHeight="1">
      <c r="A100" s="1"/>
      <c r="B100" s="255" t="s">
        <v>75</v>
      </c>
      <c r="C100" s="38"/>
      <c r="D100" s="43"/>
      <c r="E100" s="46">
        <v>150.0</v>
      </c>
      <c r="F100" s="65"/>
      <c r="L100" s="31"/>
      <c r="M100" s="30"/>
      <c r="O100" s="25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ht="19.5" customHeight="1">
      <c r="A101" s="1"/>
      <c r="B101" s="255" t="s">
        <v>83</v>
      </c>
      <c r="C101" s="38"/>
      <c r="D101" s="43"/>
      <c r="E101" s="88">
        <v>0.85</v>
      </c>
      <c r="F101" s="65"/>
      <c r="L101" s="31"/>
      <c r="M101" s="30"/>
      <c r="O101" s="25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ht="19.5" customHeight="1">
      <c r="A102" s="1"/>
      <c r="B102" s="255" t="s">
        <v>88</v>
      </c>
      <c r="C102" s="38"/>
      <c r="D102" s="43"/>
      <c r="E102" s="92">
        <f>E98*E99*E100/1000</f>
        <v>3</v>
      </c>
      <c r="F102" s="65"/>
      <c r="L102" s="31"/>
      <c r="M102" s="30"/>
      <c r="O102" s="25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ht="19.5" customHeight="1">
      <c r="A103" s="1"/>
      <c r="B103" s="255" t="s">
        <v>96</v>
      </c>
      <c r="C103" s="38"/>
      <c r="D103" s="43"/>
      <c r="E103" s="92">
        <f>E102/E101</f>
        <v>3.529411765</v>
      </c>
      <c r="F103" s="98"/>
      <c r="G103" s="99"/>
      <c r="H103" s="99"/>
      <c r="I103" s="99"/>
      <c r="J103" s="99"/>
      <c r="K103" s="99"/>
      <c r="L103" s="100"/>
      <c r="M103" s="101"/>
      <c r="N103" s="99"/>
      <c r="O103" s="256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ht="19.5" customHeight="1">
      <c r="A104" s="1"/>
      <c r="B104" s="257" t="s">
        <v>113</v>
      </c>
      <c r="C104" s="233"/>
      <c r="D104" s="112" t="s">
        <v>321</v>
      </c>
      <c r="E104" s="112" t="s">
        <v>116</v>
      </c>
      <c r="F104" s="113" t="s">
        <v>117</v>
      </c>
      <c r="G104" s="38"/>
      <c r="H104" s="38"/>
      <c r="I104" s="38"/>
      <c r="J104" s="38"/>
      <c r="K104" s="40"/>
      <c r="L104" s="112" t="s">
        <v>46</v>
      </c>
      <c r="M104" s="112" t="s">
        <v>120</v>
      </c>
      <c r="N104" s="112" t="s">
        <v>121</v>
      </c>
      <c r="O104" s="258" t="s">
        <v>122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ht="19.5" customHeight="1">
      <c r="A105" s="1"/>
      <c r="B105" s="259"/>
      <c r="C105" s="233"/>
      <c r="D105" s="118"/>
      <c r="E105" s="118"/>
      <c r="F105" s="119" t="s">
        <v>129</v>
      </c>
      <c r="G105" s="119" t="s">
        <v>131</v>
      </c>
      <c r="H105" s="119" t="s">
        <v>132</v>
      </c>
      <c r="I105" s="119" t="s">
        <v>133</v>
      </c>
      <c r="J105" s="119" t="s">
        <v>134</v>
      </c>
      <c r="K105" s="119" t="s">
        <v>135</v>
      </c>
      <c r="L105" s="118"/>
      <c r="M105" s="118"/>
      <c r="N105" s="118"/>
      <c r="O105" s="260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ht="19.5" customHeight="1">
      <c r="A106" s="1"/>
      <c r="B106" s="261">
        <v>1.0</v>
      </c>
      <c r="C106" s="235"/>
      <c r="D106" s="236" t="s">
        <v>26</v>
      </c>
      <c r="E106" s="237" t="s">
        <v>349</v>
      </c>
      <c r="F106" s="124" t="s">
        <v>144</v>
      </c>
      <c r="G106" s="126"/>
      <c r="H106" s="126"/>
      <c r="I106" s="126"/>
      <c r="J106" s="126"/>
      <c r="K106" s="126"/>
      <c r="L106" s="238" t="s">
        <v>146</v>
      </c>
      <c r="M106" s="239">
        <f>$E$98</f>
        <v>1</v>
      </c>
      <c r="N106" s="236" t="s">
        <v>147</v>
      </c>
      <c r="O106" s="262" t="s">
        <v>148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ht="19.5" customHeight="1">
      <c r="A107" s="1"/>
      <c r="B107" s="263">
        <v>2.0</v>
      </c>
      <c r="C107" s="264"/>
      <c r="D107" s="265" t="s">
        <v>350</v>
      </c>
      <c r="E107" s="266" t="s">
        <v>351</v>
      </c>
      <c r="F107" s="267"/>
      <c r="G107" s="265" t="s">
        <v>144</v>
      </c>
      <c r="H107" s="267"/>
      <c r="I107" s="267"/>
      <c r="J107" s="267"/>
      <c r="K107" s="267"/>
      <c r="L107" s="268"/>
      <c r="M107" s="269">
        <f t="shared" ref="M107:M123" si="126">$E$103*L107</f>
        <v>0</v>
      </c>
      <c r="N107" s="265" t="s">
        <v>157</v>
      </c>
      <c r="O107" s="270" t="s">
        <v>352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ht="19.5" customHeight="1">
      <c r="A108" s="1"/>
      <c r="B108" s="271">
        <v>3.0</v>
      </c>
      <c r="C108" s="131" t="s">
        <v>26</v>
      </c>
      <c r="D108" s="132" t="s">
        <v>63</v>
      </c>
      <c r="E108" s="133" t="s">
        <v>353</v>
      </c>
      <c r="F108" s="134"/>
      <c r="G108" s="134"/>
      <c r="H108" s="135" t="s">
        <v>144</v>
      </c>
      <c r="I108" s="134"/>
      <c r="J108" s="134"/>
      <c r="K108" s="134"/>
      <c r="L108" s="137">
        <v>0.2052</v>
      </c>
      <c r="M108" s="138">
        <f t="shared" si="126"/>
        <v>0.7242352941</v>
      </c>
      <c r="N108" s="132" t="s">
        <v>157</v>
      </c>
      <c r="O108" s="27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ht="19.5" customHeight="1">
      <c r="A109" s="1"/>
      <c r="B109" s="271">
        <v>4.0</v>
      </c>
      <c r="C109" s="131" t="s">
        <v>26</v>
      </c>
      <c r="D109" s="132" t="s">
        <v>123</v>
      </c>
      <c r="E109" s="133" t="s">
        <v>354</v>
      </c>
      <c r="F109" s="134"/>
      <c r="G109" s="134"/>
      <c r="H109" s="135" t="s">
        <v>144</v>
      </c>
      <c r="I109" s="134"/>
      <c r="J109" s="134"/>
      <c r="K109" s="134"/>
      <c r="L109" s="137">
        <v>0.1368</v>
      </c>
      <c r="M109" s="138">
        <f t="shared" si="126"/>
        <v>0.4828235294</v>
      </c>
      <c r="N109" s="132" t="s">
        <v>157</v>
      </c>
      <c r="O109" s="27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ht="19.5" customHeight="1">
      <c r="A110" s="1"/>
      <c r="B110" s="271">
        <v>5.0</v>
      </c>
      <c r="C110" s="131" t="s">
        <v>26</v>
      </c>
      <c r="D110" s="132" t="s">
        <v>149</v>
      </c>
      <c r="E110" s="133" t="s">
        <v>355</v>
      </c>
      <c r="F110" s="134"/>
      <c r="G110" s="134"/>
      <c r="H110" s="135" t="s">
        <v>144</v>
      </c>
      <c r="I110" s="134"/>
      <c r="J110" s="134"/>
      <c r="K110" s="134"/>
      <c r="L110" s="137">
        <v>0.1116</v>
      </c>
      <c r="M110" s="138">
        <f t="shared" si="126"/>
        <v>0.3938823529</v>
      </c>
      <c r="N110" s="132" t="s">
        <v>157</v>
      </c>
      <c r="O110" s="27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ht="19.5" customHeight="1">
      <c r="A111" s="1"/>
      <c r="B111" s="271">
        <v>6.0</v>
      </c>
      <c r="C111" s="131" t="s">
        <v>26</v>
      </c>
      <c r="D111" s="132" t="s">
        <v>177</v>
      </c>
      <c r="E111" s="133" t="s">
        <v>356</v>
      </c>
      <c r="F111" s="134"/>
      <c r="G111" s="134"/>
      <c r="H111" s="135" t="s">
        <v>144</v>
      </c>
      <c r="I111" s="134"/>
      <c r="J111" s="134"/>
      <c r="K111" s="134"/>
      <c r="L111" s="137">
        <v>0.1008</v>
      </c>
      <c r="M111" s="138">
        <f t="shared" si="126"/>
        <v>0.3557647059</v>
      </c>
      <c r="N111" s="132" t="s">
        <v>157</v>
      </c>
      <c r="O111" s="27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ht="19.5" customHeight="1">
      <c r="A112" s="1"/>
      <c r="B112" s="271">
        <v>7.0</v>
      </c>
      <c r="C112" s="131" t="s">
        <v>26</v>
      </c>
      <c r="D112" s="132" t="s">
        <v>250</v>
      </c>
      <c r="E112" s="133" t="s">
        <v>357</v>
      </c>
      <c r="F112" s="134"/>
      <c r="G112" s="134"/>
      <c r="H112" s="135" t="s">
        <v>144</v>
      </c>
      <c r="I112" s="134"/>
      <c r="J112" s="134"/>
      <c r="K112" s="134"/>
      <c r="L112" s="137">
        <v>0.07919999999999999</v>
      </c>
      <c r="M112" s="138">
        <f t="shared" si="126"/>
        <v>0.2795294118</v>
      </c>
      <c r="N112" s="132" t="s">
        <v>157</v>
      </c>
      <c r="O112" s="27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ht="19.5" customHeight="1">
      <c r="A113" s="1"/>
      <c r="B113" s="271">
        <v>8.0</v>
      </c>
      <c r="C113" s="131" t="s">
        <v>26</v>
      </c>
      <c r="D113" s="132" t="s">
        <v>136</v>
      </c>
      <c r="E113" s="133" t="s">
        <v>358</v>
      </c>
      <c r="F113" s="134"/>
      <c r="G113" s="134"/>
      <c r="H113" s="135" t="s">
        <v>144</v>
      </c>
      <c r="I113" s="134"/>
      <c r="J113" s="134"/>
      <c r="K113" s="134"/>
      <c r="L113" s="137">
        <v>0.043199999999999995</v>
      </c>
      <c r="M113" s="138">
        <f t="shared" si="126"/>
        <v>0.1524705882</v>
      </c>
      <c r="N113" s="132" t="s">
        <v>157</v>
      </c>
      <c r="O113" s="27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ht="19.5" customHeight="1">
      <c r="A114" s="1"/>
      <c r="B114" s="271">
        <v>9.0</v>
      </c>
      <c r="C114" s="131" t="s">
        <v>26</v>
      </c>
      <c r="D114" s="132" t="s">
        <v>164</v>
      </c>
      <c r="E114" s="133" t="s">
        <v>359</v>
      </c>
      <c r="F114" s="134"/>
      <c r="G114" s="134"/>
      <c r="H114" s="135" t="s">
        <v>144</v>
      </c>
      <c r="I114" s="134"/>
      <c r="J114" s="134"/>
      <c r="K114" s="134"/>
      <c r="L114" s="137">
        <v>0.0324</v>
      </c>
      <c r="M114" s="138">
        <f t="shared" si="126"/>
        <v>0.1143529412</v>
      </c>
      <c r="N114" s="132" t="s">
        <v>157</v>
      </c>
      <c r="O114" s="27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ht="19.5" customHeight="1">
      <c r="A115" s="1"/>
      <c r="B115" s="271">
        <v>10.0</v>
      </c>
      <c r="C115" s="131" t="s">
        <v>26</v>
      </c>
      <c r="D115" s="132" t="s">
        <v>259</v>
      </c>
      <c r="E115" s="133" t="s">
        <v>360</v>
      </c>
      <c r="F115" s="134"/>
      <c r="G115" s="134"/>
      <c r="H115" s="135" t="s">
        <v>144</v>
      </c>
      <c r="I115" s="134"/>
      <c r="J115" s="134"/>
      <c r="K115" s="134"/>
      <c r="L115" s="137">
        <v>0.0036</v>
      </c>
      <c r="M115" s="138">
        <f t="shared" si="126"/>
        <v>0.01270588235</v>
      </c>
      <c r="N115" s="132" t="s">
        <v>157</v>
      </c>
      <c r="O115" s="27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ht="19.5" customHeight="1">
      <c r="A116" s="1"/>
      <c r="B116" s="271">
        <v>11.0</v>
      </c>
      <c r="C116" s="131" t="s">
        <v>26</v>
      </c>
      <c r="D116" s="132" t="s">
        <v>267</v>
      </c>
      <c r="E116" s="133" t="s">
        <v>361</v>
      </c>
      <c r="F116" s="134"/>
      <c r="G116" s="134"/>
      <c r="H116" s="135" t="s">
        <v>144</v>
      </c>
      <c r="I116" s="134"/>
      <c r="J116" s="134"/>
      <c r="K116" s="134"/>
      <c r="L116" s="137">
        <v>0.0028799999999999997</v>
      </c>
      <c r="M116" s="138">
        <f t="shared" si="126"/>
        <v>0.01016470588</v>
      </c>
      <c r="N116" s="132" t="s">
        <v>157</v>
      </c>
      <c r="O116" s="27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ht="19.5" customHeight="1">
      <c r="A117" s="1"/>
      <c r="B117" s="271">
        <v>12.0</v>
      </c>
      <c r="C117" s="131" t="s">
        <v>26</v>
      </c>
      <c r="D117" s="132" t="s">
        <v>89</v>
      </c>
      <c r="E117" s="133" t="s">
        <v>362</v>
      </c>
      <c r="F117" s="134"/>
      <c r="G117" s="134"/>
      <c r="H117" s="135" t="s">
        <v>144</v>
      </c>
      <c r="I117" s="134"/>
      <c r="J117" s="134"/>
      <c r="K117" s="134"/>
      <c r="L117" s="137">
        <v>0.00432</v>
      </c>
      <c r="M117" s="138">
        <f t="shared" si="126"/>
        <v>0.01524705882</v>
      </c>
      <c r="N117" s="132" t="s">
        <v>157</v>
      </c>
      <c r="O117" s="27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ht="19.5" customHeight="1">
      <c r="A118" s="1"/>
      <c r="B118" s="263">
        <v>13.0</v>
      </c>
      <c r="C118" s="264"/>
      <c r="D118" s="265" t="s">
        <v>363</v>
      </c>
      <c r="E118" s="266" t="s">
        <v>364</v>
      </c>
      <c r="F118" s="267"/>
      <c r="G118" s="265" t="s">
        <v>144</v>
      </c>
      <c r="H118" s="267"/>
      <c r="I118" s="267"/>
      <c r="J118" s="267"/>
      <c r="K118" s="267"/>
      <c r="L118" s="268"/>
      <c r="M118" s="269">
        <f t="shared" si="126"/>
        <v>0</v>
      </c>
      <c r="N118" s="265" t="s">
        <v>157</v>
      </c>
      <c r="O118" s="270" t="s">
        <v>352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ht="19.5" customHeight="1">
      <c r="A119" s="1"/>
      <c r="B119" s="271">
        <v>14.0</v>
      </c>
      <c r="C119" s="131" t="s">
        <v>26</v>
      </c>
      <c r="D119" s="132" t="s">
        <v>274</v>
      </c>
      <c r="E119" s="133" t="s">
        <v>365</v>
      </c>
      <c r="F119" s="134"/>
      <c r="G119" s="134"/>
      <c r="H119" s="135" t="s">
        <v>144</v>
      </c>
      <c r="I119" s="134"/>
      <c r="J119" s="134"/>
      <c r="K119" s="134"/>
      <c r="L119" s="137">
        <v>0.196</v>
      </c>
      <c r="M119" s="138">
        <f t="shared" si="126"/>
        <v>0.6917647059</v>
      </c>
      <c r="N119" s="132" t="s">
        <v>157</v>
      </c>
      <c r="O119" s="272"/>
      <c r="P119" s="1"/>
      <c r="Q119" s="27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ht="19.5" customHeight="1">
      <c r="A120" s="1"/>
      <c r="B120" s="271">
        <v>15.0</v>
      </c>
      <c r="C120" s="131" t="s">
        <v>26</v>
      </c>
      <c r="D120" s="132" t="s">
        <v>177</v>
      </c>
      <c r="E120" s="133" t="s">
        <v>366</v>
      </c>
      <c r="F120" s="134"/>
      <c r="G120" s="134"/>
      <c r="H120" s="135" t="s">
        <v>144</v>
      </c>
      <c r="I120" s="134"/>
      <c r="J120" s="134"/>
      <c r="K120" s="134"/>
      <c r="L120" s="137">
        <v>0.053200000000000004</v>
      </c>
      <c r="M120" s="138">
        <f t="shared" si="126"/>
        <v>0.1877647059</v>
      </c>
      <c r="N120" s="132" t="s">
        <v>157</v>
      </c>
      <c r="O120" s="27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ht="19.5" customHeight="1">
      <c r="A121" s="1"/>
      <c r="B121" s="271">
        <v>16.0</v>
      </c>
      <c r="C121" s="131" t="s">
        <v>26</v>
      </c>
      <c r="D121" s="132" t="s">
        <v>63</v>
      </c>
      <c r="E121" s="133" t="s">
        <v>353</v>
      </c>
      <c r="F121" s="134"/>
      <c r="G121" s="134"/>
      <c r="H121" s="135" t="s">
        <v>144</v>
      </c>
      <c r="I121" s="134"/>
      <c r="J121" s="134"/>
      <c r="K121" s="134"/>
      <c r="L121" s="137">
        <v>0.028000000000000004</v>
      </c>
      <c r="M121" s="138">
        <f t="shared" si="126"/>
        <v>0.09882352941</v>
      </c>
      <c r="N121" s="132" t="s">
        <v>157</v>
      </c>
      <c r="O121" s="27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ht="19.5" customHeight="1">
      <c r="A122" s="1"/>
      <c r="B122" s="271">
        <v>17.0</v>
      </c>
      <c r="C122" s="131" t="s">
        <v>26</v>
      </c>
      <c r="D122" s="132" t="s">
        <v>215</v>
      </c>
      <c r="E122" s="133" t="s">
        <v>367</v>
      </c>
      <c r="F122" s="134"/>
      <c r="G122" s="134"/>
      <c r="H122" s="135" t="s">
        <v>144</v>
      </c>
      <c r="I122" s="134"/>
      <c r="J122" s="134"/>
      <c r="K122" s="134"/>
      <c r="L122" s="137">
        <v>0.0014</v>
      </c>
      <c r="M122" s="138">
        <f t="shared" si="126"/>
        <v>0.004941176471</v>
      </c>
      <c r="N122" s="132" t="s">
        <v>157</v>
      </c>
      <c r="O122" s="27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ht="19.5" customHeight="1">
      <c r="A123" s="1"/>
      <c r="B123" s="271">
        <v>18.0</v>
      </c>
      <c r="C123" s="131" t="s">
        <v>26</v>
      </c>
      <c r="D123" s="132" t="s">
        <v>280</v>
      </c>
      <c r="E123" s="133" t="s">
        <v>368</v>
      </c>
      <c r="F123" s="134"/>
      <c r="G123" s="134"/>
      <c r="H123" s="135" t="s">
        <v>144</v>
      </c>
      <c r="I123" s="134"/>
      <c r="J123" s="134"/>
      <c r="K123" s="134"/>
      <c r="L123" s="137">
        <v>0.0014</v>
      </c>
      <c r="M123" s="138">
        <f t="shared" si="126"/>
        <v>0.004941176471</v>
      </c>
      <c r="N123" s="132" t="s">
        <v>157</v>
      </c>
      <c r="O123" s="27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ht="19.5" customHeight="1">
      <c r="A124" s="1"/>
      <c r="B124" s="274"/>
      <c r="C124" s="192"/>
      <c r="D124" s="45" t="s">
        <v>266</v>
      </c>
      <c r="E124" s="38"/>
      <c r="F124" s="38"/>
      <c r="G124" s="38"/>
      <c r="H124" s="38"/>
      <c r="I124" s="38"/>
      <c r="J124" s="38"/>
      <c r="K124" s="43"/>
      <c r="L124" s="194">
        <f t="shared" ref="L124:M124" si="127">L107+L118</f>
        <v>0</v>
      </c>
      <c r="M124" s="197">
        <f t="shared" si="127"/>
        <v>0</v>
      </c>
      <c r="N124" s="199" t="s">
        <v>157</v>
      </c>
      <c r="O124" s="27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ht="19.5" customHeight="1">
      <c r="A125" s="1"/>
      <c r="B125" s="276" t="s">
        <v>273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277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ht="19.5" customHeight="1">
      <c r="A126" s="1"/>
      <c r="B126" s="278">
        <v>19.0</v>
      </c>
      <c r="C126" s="279"/>
      <c r="D126" s="212" t="s">
        <v>276</v>
      </c>
      <c r="E126" s="213" t="s">
        <v>277</v>
      </c>
      <c r="F126" s="214"/>
      <c r="G126" s="215" t="s">
        <v>144</v>
      </c>
      <c r="H126" s="214"/>
      <c r="I126" s="214"/>
      <c r="J126" s="214"/>
      <c r="K126" s="214"/>
      <c r="L126" s="216" t="s">
        <v>146</v>
      </c>
      <c r="M126" s="217">
        <f>$E$98*$E$99</f>
        <v>20</v>
      </c>
      <c r="N126" s="212" t="s">
        <v>278</v>
      </c>
      <c r="O126" s="280" t="s">
        <v>279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ht="19.5" customHeight="1">
      <c r="A127" s="1"/>
      <c r="B127" s="278">
        <v>20.0</v>
      </c>
      <c r="C127" s="279"/>
      <c r="D127" s="212" t="s">
        <v>282</v>
      </c>
      <c r="E127" s="213" t="s">
        <v>283</v>
      </c>
      <c r="F127" s="214"/>
      <c r="G127" s="215" t="s">
        <v>144</v>
      </c>
      <c r="H127" s="214"/>
      <c r="I127" s="214"/>
      <c r="J127" s="214"/>
      <c r="K127" s="214"/>
      <c r="L127" s="216" t="s">
        <v>146</v>
      </c>
      <c r="M127" s="217">
        <f t="shared" ref="M127:M128" si="128">$E$98</f>
        <v>1</v>
      </c>
      <c r="N127" s="212" t="s">
        <v>278</v>
      </c>
      <c r="O127" s="280" t="s">
        <v>284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ht="19.5" customHeight="1">
      <c r="A128" s="1"/>
      <c r="B128" s="281">
        <v>21.0</v>
      </c>
      <c r="C128" s="282"/>
      <c r="D128" s="283" t="s">
        <v>291</v>
      </c>
      <c r="E128" s="284" t="s">
        <v>292</v>
      </c>
      <c r="F128" s="285"/>
      <c r="G128" s="286" t="s">
        <v>144</v>
      </c>
      <c r="H128" s="285"/>
      <c r="I128" s="285"/>
      <c r="J128" s="285"/>
      <c r="K128" s="285"/>
      <c r="L128" s="287" t="s">
        <v>146</v>
      </c>
      <c r="M128" s="288">
        <f t="shared" si="128"/>
        <v>1</v>
      </c>
      <c r="N128" s="283" t="s">
        <v>278</v>
      </c>
      <c r="O128" s="289" t="s">
        <v>284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ht="19.5" customHeight="1">
      <c r="A130" s="1"/>
      <c r="B130" s="9"/>
      <c r="C130" s="229"/>
      <c r="D130" s="230" t="s">
        <v>369</v>
      </c>
      <c r="E130" s="13"/>
      <c r="F130" s="13"/>
      <c r="G130" s="13"/>
      <c r="H130" s="13"/>
      <c r="I130" s="13"/>
      <c r="J130" s="13"/>
      <c r="K130" s="13"/>
      <c r="L130" s="14"/>
      <c r="M130" s="15" t="s">
        <v>8</v>
      </c>
      <c r="N130" s="16"/>
      <c r="O130" s="17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ht="19.5" customHeight="1">
      <c r="A131" s="1"/>
      <c r="B131" s="22"/>
      <c r="C131" s="22"/>
      <c r="D131" s="24" t="s">
        <v>16</v>
      </c>
      <c r="E131" s="28">
        <f>SUMIFS('Plan de ventas'!$O$48:$O$60,'Plan de ventas'!$B$48:$B$60,D140)*1000</f>
        <v>13132.51652</v>
      </c>
      <c r="F131" s="29"/>
      <c r="G131" s="29"/>
      <c r="H131" s="29"/>
      <c r="I131" s="29"/>
      <c r="J131" s="29"/>
      <c r="K131" s="29"/>
      <c r="L131" s="29"/>
      <c r="M131" s="30"/>
      <c r="O131" s="3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ht="19.5" customHeight="1">
      <c r="A132" s="1"/>
      <c r="B132" s="45" t="s">
        <v>41</v>
      </c>
      <c r="C132" s="38"/>
      <c r="D132" s="43"/>
      <c r="E132" s="46">
        <v>1.0</v>
      </c>
      <c r="F132" s="47" t="str">
        <f>"Línea: Salados     |     Versión n°: 1"&amp;CHAR(10)&amp;CHAR(10)&amp;"Lote = "&amp;E132&amp;" cajas × "&amp;E133&amp;" unid./caja = "&amp;(E132*E133)&amp;" unidades"&amp;CHAR(10)&amp;"Producto terminado = "&amp;TEXT(E136,"#,##0.00")&amp;" kg"&amp;CHAR(10)&amp;"Mezcla a preparar = "&amp;TEXT(E137,"#,##0.00")&amp;" kg   (rendimiento "&amp;TEXT(E135,"0%")&amp;")"</f>
        <v>Línea: Salados     |     Versión n°: 1
Lote = 1 cajas × 20 unid./caja = 20 unidades
Producto terminado = 3,00 kg
Mezcla a preparar = 3,45 kg   (rendimiento 87%)</v>
      </c>
      <c r="G132" s="48"/>
      <c r="H132" s="48"/>
      <c r="I132" s="48"/>
      <c r="J132" s="48"/>
      <c r="K132" s="48"/>
      <c r="L132" s="49"/>
      <c r="M132" s="30"/>
      <c r="O132" s="3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ht="19.5" customHeight="1">
      <c r="A133" s="1"/>
      <c r="B133" s="45" t="s">
        <v>62</v>
      </c>
      <c r="C133" s="38"/>
      <c r="D133" s="43"/>
      <c r="E133" s="46">
        <v>20.0</v>
      </c>
      <c r="F133" s="65"/>
      <c r="L133" s="31"/>
      <c r="M133" s="30"/>
      <c r="O133" s="3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ht="19.5" customHeight="1">
      <c r="A134" s="1"/>
      <c r="B134" s="45" t="s">
        <v>75</v>
      </c>
      <c r="C134" s="38"/>
      <c r="D134" s="43"/>
      <c r="E134" s="46">
        <v>150.0</v>
      </c>
      <c r="F134" s="65"/>
      <c r="L134" s="31"/>
      <c r="M134" s="30"/>
      <c r="O134" s="3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ht="19.5" customHeight="1">
      <c r="A135" s="1"/>
      <c r="B135" s="45" t="s">
        <v>83</v>
      </c>
      <c r="C135" s="38"/>
      <c r="D135" s="43"/>
      <c r="E135" s="88">
        <v>0.87</v>
      </c>
      <c r="F135" s="65"/>
      <c r="L135" s="31"/>
      <c r="M135" s="30"/>
      <c r="O135" s="3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ht="19.5" customHeight="1">
      <c r="A136" s="1"/>
      <c r="B136" s="45" t="s">
        <v>88</v>
      </c>
      <c r="C136" s="38"/>
      <c r="D136" s="43"/>
      <c r="E136" s="92">
        <f>E132*E133*E134/1000</f>
        <v>3</v>
      </c>
      <c r="F136" s="65"/>
      <c r="L136" s="31"/>
      <c r="M136" s="30"/>
      <c r="O136" s="3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ht="19.5" customHeight="1">
      <c r="A137" s="1"/>
      <c r="B137" s="45" t="s">
        <v>96</v>
      </c>
      <c r="C137" s="38"/>
      <c r="D137" s="43"/>
      <c r="E137" s="92">
        <f>E136/E135</f>
        <v>3.448275862</v>
      </c>
      <c r="F137" s="98"/>
      <c r="G137" s="99"/>
      <c r="H137" s="99"/>
      <c r="I137" s="99"/>
      <c r="J137" s="99"/>
      <c r="K137" s="99"/>
      <c r="L137" s="100"/>
      <c r="M137" s="101"/>
      <c r="N137" s="99"/>
      <c r="O137" s="100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ht="19.5" customHeight="1">
      <c r="A138" s="1"/>
      <c r="B138" s="110" t="s">
        <v>113</v>
      </c>
      <c r="C138" s="233"/>
      <c r="D138" s="112" t="s">
        <v>321</v>
      </c>
      <c r="E138" s="112" t="s">
        <v>116</v>
      </c>
      <c r="F138" s="113" t="s">
        <v>117</v>
      </c>
      <c r="G138" s="38"/>
      <c r="H138" s="38"/>
      <c r="I138" s="38"/>
      <c r="J138" s="38"/>
      <c r="K138" s="40"/>
      <c r="L138" s="112" t="s">
        <v>46</v>
      </c>
      <c r="M138" s="112" t="s">
        <v>120</v>
      </c>
      <c r="N138" s="112" t="s">
        <v>121</v>
      </c>
      <c r="O138" s="112" t="s">
        <v>122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ht="19.5" customHeight="1">
      <c r="A139" s="1"/>
      <c r="B139" s="117"/>
      <c r="C139" s="233"/>
      <c r="D139" s="118"/>
      <c r="E139" s="118"/>
      <c r="F139" s="119" t="s">
        <v>129</v>
      </c>
      <c r="G139" s="119" t="s">
        <v>131</v>
      </c>
      <c r="H139" s="119" t="s">
        <v>132</v>
      </c>
      <c r="I139" s="119" t="s">
        <v>133</v>
      </c>
      <c r="J139" s="119" t="s">
        <v>134</v>
      </c>
      <c r="K139" s="119" t="s">
        <v>135</v>
      </c>
      <c r="L139" s="118"/>
      <c r="M139" s="118"/>
      <c r="N139" s="118"/>
      <c r="O139" s="118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ht="19.5" customHeight="1">
      <c r="A140" s="1"/>
      <c r="B140" s="234">
        <v>1.0</v>
      </c>
      <c r="C140" s="235"/>
      <c r="D140" s="236" t="s">
        <v>28</v>
      </c>
      <c r="E140" s="237" t="s">
        <v>370</v>
      </c>
      <c r="F140" s="124" t="s">
        <v>144</v>
      </c>
      <c r="G140" s="126"/>
      <c r="H140" s="126"/>
      <c r="I140" s="126"/>
      <c r="J140" s="126"/>
      <c r="K140" s="126"/>
      <c r="L140" s="238" t="s">
        <v>146</v>
      </c>
      <c r="M140" s="239">
        <f>$E$132</f>
        <v>1</v>
      </c>
      <c r="N140" s="236" t="s">
        <v>147</v>
      </c>
      <c r="O140" s="240" t="s">
        <v>148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ht="19.5" customHeight="1">
      <c r="A141" s="1"/>
      <c r="B141" s="130">
        <v>2.0</v>
      </c>
      <c r="C141" s="131" t="s">
        <v>28</v>
      </c>
      <c r="D141" s="132" t="s">
        <v>123</v>
      </c>
      <c r="E141" s="133" t="s">
        <v>163</v>
      </c>
      <c r="F141" s="134"/>
      <c r="G141" s="135" t="s">
        <v>144</v>
      </c>
      <c r="H141" s="134"/>
      <c r="I141" s="134"/>
      <c r="J141" s="134"/>
      <c r="K141" s="134"/>
      <c r="L141" s="137">
        <v>0.25</v>
      </c>
      <c r="M141" s="138">
        <f t="shared" ref="M141:M153" si="129">$E$137*L141</f>
        <v>0.8620689655</v>
      </c>
      <c r="N141" s="132" t="s">
        <v>157</v>
      </c>
      <c r="O141" s="139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ht="19.5" customHeight="1">
      <c r="A142" s="1"/>
      <c r="B142" s="130">
        <v>3.0</v>
      </c>
      <c r="C142" s="131" t="s">
        <v>28</v>
      </c>
      <c r="D142" s="132" t="s">
        <v>286</v>
      </c>
      <c r="E142" s="133" t="s">
        <v>371</v>
      </c>
      <c r="F142" s="134"/>
      <c r="G142" s="135" t="s">
        <v>144</v>
      </c>
      <c r="H142" s="134"/>
      <c r="I142" s="134"/>
      <c r="J142" s="134"/>
      <c r="K142" s="134"/>
      <c r="L142" s="137">
        <v>0.19</v>
      </c>
      <c r="M142" s="138">
        <f t="shared" si="129"/>
        <v>0.6551724138</v>
      </c>
      <c r="N142" s="132" t="s">
        <v>157</v>
      </c>
      <c r="O142" s="139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ht="19.5" customHeight="1">
      <c r="A143" s="1"/>
      <c r="B143" s="130">
        <v>4.0</v>
      </c>
      <c r="C143" s="131" t="s">
        <v>28</v>
      </c>
      <c r="D143" s="132" t="s">
        <v>293</v>
      </c>
      <c r="E143" s="133" t="s">
        <v>372</v>
      </c>
      <c r="F143" s="134"/>
      <c r="G143" s="135" t="s">
        <v>144</v>
      </c>
      <c r="H143" s="134"/>
      <c r="I143" s="134"/>
      <c r="J143" s="134"/>
      <c r="K143" s="134"/>
      <c r="L143" s="137">
        <v>0.15</v>
      </c>
      <c r="M143" s="138">
        <f t="shared" si="129"/>
        <v>0.5172413793</v>
      </c>
      <c r="N143" s="132" t="s">
        <v>157</v>
      </c>
      <c r="O143" s="139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ht="19.5" customHeight="1">
      <c r="A144" s="1"/>
      <c r="B144" s="130">
        <v>5.0</v>
      </c>
      <c r="C144" s="131" t="s">
        <v>28</v>
      </c>
      <c r="D144" s="132" t="s">
        <v>295</v>
      </c>
      <c r="E144" s="133" t="s">
        <v>373</v>
      </c>
      <c r="F144" s="134"/>
      <c r="G144" s="135" t="s">
        <v>144</v>
      </c>
      <c r="H144" s="134"/>
      <c r="I144" s="134"/>
      <c r="J144" s="134"/>
      <c r="K144" s="134"/>
      <c r="L144" s="137">
        <v>0.13</v>
      </c>
      <c r="M144" s="138">
        <f t="shared" si="129"/>
        <v>0.4482758621</v>
      </c>
      <c r="N144" s="132" t="s">
        <v>157</v>
      </c>
      <c r="O144" s="139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ht="19.5" customHeight="1">
      <c r="A145" s="1"/>
      <c r="B145" s="130">
        <v>6.0</v>
      </c>
      <c r="C145" s="131" t="s">
        <v>28</v>
      </c>
      <c r="D145" s="132" t="s">
        <v>299</v>
      </c>
      <c r="E145" s="133" t="s">
        <v>374</v>
      </c>
      <c r="F145" s="134"/>
      <c r="G145" s="135" t="s">
        <v>144</v>
      </c>
      <c r="H145" s="134"/>
      <c r="I145" s="134"/>
      <c r="J145" s="134"/>
      <c r="K145" s="134"/>
      <c r="L145" s="137">
        <v>0.08</v>
      </c>
      <c r="M145" s="138">
        <f t="shared" si="129"/>
        <v>0.275862069</v>
      </c>
      <c r="N145" s="132" t="s">
        <v>157</v>
      </c>
      <c r="O145" s="13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ht="19.5" customHeight="1">
      <c r="A146" s="1"/>
      <c r="B146" s="130">
        <v>7.0</v>
      </c>
      <c r="C146" s="131" t="s">
        <v>28</v>
      </c>
      <c r="D146" s="132" t="s">
        <v>149</v>
      </c>
      <c r="E146" s="133" t="s">
        <v>171</v>
      </c>
      <c r="F146" s="134"/>
      <c r="G146" s="135" t="s">
        <v>144</v>
      </c>
      <c r="H146" s="134"/>
      <c r="I146" s="134"/>
      <c r="J146" s="134"/>
      <c r="K146" s="134"/>
      <c r="L146" s="137">
        <v>0.06</v>
      </c>
      <c r="M146" s="138">
        <f t="shared" si="129"/>
        <v>0.2068965517</v>
      </c>
      <c r="N146" s="132" t="s">
        <v>157</v>
      </c>
      <c r="O146" s="13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ht="19.5" customHeight="1">
      <c r="A147" s="1"/>
      <c r="B147" s="130">
        <v>8.0</v>
      </c>
      <c r="C147" s="131" t="s">
        <v>28</v>
      </c>
      <c r="D147" s="132" t="s">
        <v>303</v>
      </c>
      <c r="E147" s="133" t="s">
        <v>375</v>
      </c>
      <c r="F147" s="134"/>
      <c r="G147" s="135" t="s">
        <v>144</v>
      </c>
      <c r="H147" s="134"/>
      <c r="I147" s="134"/>
      <c r="J147" s="134"/>
      <c r="K147" s="134"/>
      <c r="L147" s="137">
        <v>0.05</v>
      </c>
      <c r="M147" s="138">
        <f t="shared" si="129"/>
        <v>0.1724137931</v>
      </c>
      <c r="N147" s="132" t="s">
        <v>157</v>
      </c>
      <c r="O147" s="139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ht="19.5" customHeight="1">
      <c r="A148" s="1"/>
      <c r="B148" s="130">
        <v>9.0</v>
      </c>
      <c r="C148" s="131" t="s">
        <v>28</v>
      </c>
      <c r="D148" s="132" t="s">
        <v>305</v>
      </c>
      <c r="E148" s="133" t="s">
        <v>376</v>
      </c>
      <c r="F148" s="134"/>
      <c r="G148" s="135" t="s">
        <v>144</v>
      </c>
      <c r="H148" s="134"/>
      <c r="I148" s="134"/>
      <c r="J148" s="134"/>
      <c r="K148" s="134"/>
      <c r="L148" s="137">
        <v>0.04</v>
      </c>
      <c r="M148" s="138">
        <f t="shared" si="129"/>
        <v>0.1379310345</v>
      </c>
      <c r="N148" s="132" t="s">
        <v>157</v>
      </c>
      <c r="O148" s="139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ht="19.5" customHeight="1">
      <c r="A149" s="1"/>
      <c r="B149" s="130">
        <v>10.0</v>
      </c>
      <c r="C149" s="131" t="s">
        <v>28</v>
      </c>
      <c r="D149" s="132" t="s">
        <v>76</v>
      </c>
      <c r="E149" s="133" t="s">
        <v>218</v>
      </c>
      <c r="F149" s="134"/>
      <c r="G149" s="135" t="s">
        <v>144</v>
      </c>
      <c r="H149" s="134"/>
      <c r="I149" s="134"/>
      <c r="J149" s="134"/>
      <c r="K149" s="134"/>
      <c r="L149" s="137">
        <v>0.015</v>
      </c>
      <c r="M149" s="138">
        <f t="shared" si="129"/>
        <v>0.05172413793</v>
      </c>
      <c r="N149" s="132" t="s">
        <v>157</v>
      </c>
      <c r="O149" s="139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ht="19.5" customHeight="1">
      <c r="A150" s="1"/>
      <c r="B150" s="130">
        <v>11.0</v>
      </c>
      <c r="C150" s="131" t="s">
        <v>28</v>
      </c>
      <c r="D150" s="132" t="s">
        <v>307</v>
      </c>
      <c r="E150" s="133" t="s">
        <v>377</v>
      </c>
      <c r="F150" s="134"/>
      <c r="G150" s="135" t="s">
        <v>144</v>
      </c>
      <c r="H150" s="134"/>
      <c r="I150" s="134"/>
      <c r="J150" s="134"/>
      <c r="K150" s="134"/>
      <c r="L150" s="137">
        <v>0.01</v>
      </c>
      <c r="M150" s="138">
        <f t="shared" si="129"/>
        <v>0.03448275862</v>
      </c>
      <c r="N150" s="132" t="s">
        <v>157</v>
      </c>
      <c r="O150" s="139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ht="19.5" customHeight="1">
      <c r="A151" s="1"/>
      <c r="B151" s="130">
        <v>12.0</v>
      </c>
      <c r="C151" s="131" t="s">
        <v>28</v>
      </c>
      <c r="D151" s="132" t="s">
        <v>89</v>
      </c>
      <c r="E151" s="133" t="s">
        <v>214</v>
      </c>
      <c r="F151" s="134"/>
      <c r="G151" s="135" t="s">
        <v>144</v>
      </c>
      <c r="H151" s="134"/>
      <c r="I151" s="134"/>
      <c r="J151" s="134"/>
      <c r="K151" s="134"/>
      <c r="L151" s="137">
        <v>0.01</v>
      </c>
      <c r="M151" s="138">
        <f t="shared" si="129"/>
        <v>0.03448275862</v>
      </c>
      <c r="N151" s="132" t="s">
        <v>157</v>
      </c>
      <c r="O151" s="139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ht="19.5" customHeight="1">
      <c r="A152" s="1"/>
      <c r="B152" s="130">
        <v>13.0</v>
      </c>
      <c r="C152" s="131" t="s">
        <v>28</v>
      </c>
      <c r="D152" s="132" t="s">
        <v>309</v>
      </c>
      <c r="E152" s="133" t="s">
        <v>378</v>
      </c>
      <c r="F152" s="134"/>
      <c r="G152" s="135" t="s">
        <v>144</v>
      </c>
      <c r="H152" s="134"/>
      <c r="I152" s="134"/>
      <c r="J152" s="134"/>
      <c r="K152" s="134"/>
      <c r="L152" s="137">
        <v>0.01</v>
      </c>
      <c r="M152" s="138">
        <f t="shared" si="129"/>
        <v>0.03448275862</v>
      </c>
      <c r="N152" s="132" t="s">
        <v>157</v>
      </c>
      <c r="O152" s="139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ht="19.5" customHeight="1">
      <c r="A153" s="1"/>
      <c r="B153" s="130">
        <v>14.0</v>
      </c>
      <c r="C153" s="131" t="s">
        <v>28</v>
      </c>
      <c r="D153" s="132" t="s">
        <v>209</v>
      </c>
      <c r="E153" s="133" t="s">
        <v>230</v>
      </c>
      <c r="F153" s="134"/>
      <c r="G153" s="135" t="s">
        <v>144</v>
      </c>
      <c r="H153" s="134"/>
      <c r="I153" s="134"/>
      <c r="J153" s="134"/>
      <c r="K153" s="134"/>
      <c r="L153" s="137">
        <v>0.005</v>
      </c>
      <c r="M153" s="138">
        <f t="shared" si="129"/>
        <v>0.01724137931</v>
      </c>
      <c r="N153" s="132" t="s">
        <v>157</v>
      </c>
      <c r="O153" s="139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ht="19.5" customHeight="1">
      <c r="A154" s="1"/>
      <c r="B154" s="191"/>
      <c r="C154" s="192"/>
      <c r="D154" s="45" t="s">
        <v>266</v>
      </c>
      <c r="E154" s="38"/>
      <c r="F154" s="38"/>
      <c r="G154" s="38"/>
      <c r="H154" s="38"/>
      <c r="I154" s="38"/>
      <c r="J154" s="38"/>
      <c r="K154" s="43"/>
      <c r="L154" s="194">
        <f t="shared" ref="L154:M154" si="130">L141+L142+L143+L144+L145+L146+L147+L148+L149+L150+L151+L152+L153</f>
        <v>1</v>
      </c>
      <c r="M154" s="197">
        <f t="shared" si="130"/>
        <v>3.448275862</v>
      </c>
      <c r="N154" s="199" t="s">
        <v>157</v>
      </c>
      <c r="O154" s="200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ht="19.5" customHeight="1">
      <c r="A155" s="1"/>
      <c r="B155" s="208" t="s">
        <v>273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40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ht="19.5" customHeight="1">
      <c r="A156" s="1"/>
      <c r="B156" s="211">
        <v>15.0</v>
      </c>
      <c r="C156" s="131" t="s">
        <v>28</v>
      </c>
      <c r="D156" s="212" t="s">
        <v>276</v>
      </c>
      <c r="E156" s="213" t="s">
        <v>277</v>
      </c>
      <c r="F156" s="214"/>
      <c r="G156" s="215" t="s">
        <v>144</v>
      </c>
      <c r="H156" s="214"/>
      <c r="I156" s="214"/>
      <c r="J156" s="214"/>
      <c r="K156" s="214"/>
      <c r="L156" s="216" t="s">
        <v>146</v>
      </c>
      <c r="M156" s="217">
        <f>$E$132*$E$133</f>
        <v>20</v>
      </c>
      <c r="N156" s="212" t="s">
        <v>278</v>
      </c>
      <c r="O156" s="219" t="s">
        <v>279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ht="19.5" customHeight="1">
      <c r="A157" s="1"/>
      <c r="B157" s="211">
        <v>16.0</v>
      </c>
      <c r="C157" s="131" t="s">
        <v>28</v>
      </c>
      <c r="D157" s="212" t="s">
        <v>282</v>
      </c>
      <c r="E157" s="213" t="s">
        <v>283</v>
      </c>
      <c r="F157" s="214"/>
      <c r="G157" s="215" t="s">
        <v>144</v>
      </c>
      <c r="H157" s="214"/>
      <c r="I157" s="214"/>
      <c r="J157" s="214"/>
      <c r="K157" s="214"/>
      <c r="L157" s="216" t="s">
        <v>146</v>
      </c>
      <c r="M157" s="217">
        <f t="shared" ref="M157:M158" si="131">$E$132</f>
        <v>1</v>
      </c>
      <c r="N157" s="212" t="s">
        <v>278</v>
      </c>
      <c r="O157" s="219" t="s">
        <v>284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ht="19.5" customHeight="1">
      <c r="A158" s="1"/>
      <c r="B158" s="211">
        <v>17.0</v>
      </c>
      <c r="C158" s="131" t="s">
        <v>28</v>
      </c>
      <c r="D158" s="212" t="s">
        <v>291</v>
      </c>
      <c r="E158" s="213" t="s">
        <v>292</v>
      </c>
      <c r="F158" s="214"/>
      <c r="G158" s="215" t="s">
        <v>144</v>
      </c>
      <c r="H158" s="214"/>
      <c r="I158" s="214"/>
      <c r="J158" s="214"/>
      <c r="K158" s="214"/>
      <c r="L158" s="216" t="s">
        <v>146</v>
      </c>
      <c r="M158" s="217">
        <f t="shared" si="131"/>
        <v>1</v>
      </c>
      <c r="N158" s="212" t="s">
        <v>278</v>
      </c>
      <c r="O158" s="219" t="s">
        <v>284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ht="19.5" customHeight="1">
      <c r="A160" s="1"/>
      <c r="B160" s="9"/>
      <c r="C160" s="229"/>
      <c r="D160" s="230" t="s">
        <v>379</v>
      </c>
      <c r="E160" s="13"/>
      <c r="F160" s="13"/>
      <c r="G160" s="13"/>
      <c r="H160" s="13"/>
      <c r="I160" s="13"/>
      <c r="J160" s="13"/>
      <c r="K160" s="13"/>
      <c r="L160" s="14"/>
      <c r="M160" s="15" t="s">
        <v>8</v>
      </c>
      <c r="N160" s="16"/>
      <c r="O160" s="17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ht="19.5" customHeight="1">
      <c r="A161" s="1"/>
      <c r="B161" s="22"/>
      <c r="C161" s="22"/>
      <c r="D161" s="24" t="s">
        <v>16</v>
      </c>
      <c r="E161" s="28">
        <f>SUMIFS('Plan de ventas'!$O$48:$O$60,'Plan de ventas'!$B$48:$B$60,D170)*1000</f>
        <v>30642.70692</v>
      </c>
      <c r="F161" s="29"/>
      <c r="G161" s="29"/>
      <c r="H161" s="29"/>
      <c r="I161" s="29"/>
      <c r="J161" s="29"/>
      <c r="K161" s="29"/>
      <c r="L161" s="29"/>
      <c r="M161" s="30"/>
      <c r="O161" s="3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ht="19.5" customHeight="1">
      <c r="A162" s="1"/>
      <c r="B162" s="45" t="s">
        <v>41</v>
      </c>
      <c r="C162" s="38"/>
      <c r="D162" s="43"/>
      <c r="E162" s="46">
        <v>1.0</v>
      </c>
      <c r="F162" s="47" t="str">
        <f>"Línea: Salados     |     Versión n°: 1"&amp;CHAR(10)&amp;CHAR(10)&amp;"Lote = "&amp;E162&amp;" cajas × "&amp;E163&amp;" unid./caja = "&amp;(E162*E163)&amp;" unidades"&amp;CHAR(10)&amp;"Producto terminado = "&amp;TEXT(E166,"#,##0.00")&amp;" kg"&amp;CHAR(10)&amp;"Mezcla a preparar = "&amp;TEXT(E167,"#,##0.00")&amp;" kg   (rendimiento "&amp;TEXT(E165,"0%")&amp;")"</f>
        <v>Línea: Salados     |     Versión n°: 1
Lote = 1 cajas × 20 unid./caja = 20 unidades
Producto terminado = 3,00 kg
Mezcla a preparar = 3,45 kg   (rendimiento 87%)</v>
      </c>
      <c r="G162" s="48"/>
      <c r="H162" s="48"/>
      <c r="I162" s="48"/>
      <c r="J162" s="48"/>
      <c r="K162" s="48"/>
      <c r="L162" s="49"/>
      <c r="M162" s="30"/>
      <c r="O162" s="3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ht="19.5" customHeight="1">
      <c r="A163" s="1"/>
      <c r="B163" s="45" t="s">
        <v>62</v>
      </c>
      <c r="C163" s="38"/>
      <c r="D163" s="43"/>
      <c r="E163" s="46">
        <v>20.0</v>
      </c>
      <c r="F163" s="65"/>
      <c r="L163" s="31"/>
      <c r="M163" s="30"/>
      <c r="O163" s="3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ht="19.5" customHeight="1">
      <c r="A164" s="1"/>
      <c r="B164" s="45" t="s">
        <v>75</v>
      </c>
      <c r="C164" s="38"/>
      <c r="D164" s="43"/>
      <c r="E164" s="46">
        <v>150.0</v>
      </c>
      <c r="F164" s="65"/>
      <c r="L164" s="31"/>
      <c r="M164" s="30"/>
      <c r="O164" s="3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ht="19.5" customHeight="1">
      <c r="A165" s="1"/>
      <c r="B165" s="45" t="s">
        <v>83</v>
      </c>
      <c r="C165" s="38"/>
      <c r="D165" s="43"/>
      <c r="E165" s="88">
        <v>0.87</v>
      </c>
      <c r="F165" s="65"/>
      <c r="L165" s="31"/>
      <c r="M165" s="30"/>
      <c r="O165" s="3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ht="19.5" customHeight="1">
      <c r="A166" s="1"/>
      <c r="B166" s="45" t="s">
        <v>88</v>
      </c>
      <c r="C166" s="38"/>
      <c r="D166" s="43"/>
      <c r="E166" s="92">
        <f>E162*E163*E164/1000</f>
        <v>3</v>
      </c>
      <c r="F166" s="65"/>
      <c r="L166" s="31"/>
      <c r="M166" s="30"/>
      <c r="O166" s="3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ht="19.5" customHeight="1">
      <c r="A167" s="1"/>
      <c r="B167" s="45" t="s">
        <v>96</v>
      </c>
      <c r="C167" s="38"/>
      <c r="D167" s="43"/>
      <c r="E167" s="92">
        <f>E166/E165</f>
        <v>3.448275862</v>
      </c>
      <c r="F167" s="98"/>
      <c r="G167" s="99"/>
      <c r="H167" s="99"/>
      <c r="I167" s="99"/>
      <c r="J167" s="99"/>
      <c r="K167" s="99"/>
      <c r="L167" s="100"/>
      <c r="M167" s="101"/>
      <c r="N167" s="99"/>
      <c r="O167" s="100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ht="19.5" customHeight="1">
      <c r="A168" s="1"/>
      <c r="B168" s="110" t="s">
        <v>113</v>
      </c>
      <c r="C168" s="233"/>
      <c r="D168" s="112" t="s">
        <v>321</v>
      </c>
      <c r="E168" s="112" t="s">
        <v>116</v>
      </c>
      <c r="F168" s="113" t="s">
        <v>117</v>
      </c>
      <c r="G168" s="38"/>
      <c r="H168" s="38"/>
      <c r="I168" s="38"/>
      <c r="J168" s="38"/>
      <c r="K168" s="40"/>
      <c r="L168" s="112" t="s">
        <v>46</v>
      </c>
      <c r="M168" s="112" t="s">
        <v>120</v>
      </c>
      <c r="N168" s="112" t="s">
        <v>121</v>
      </c>
      <c r="O168" s="112" t="s">
        <v>122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ht="19.5" customHeight="1">
      <c r="A169" s="1"/>
      <c r="B169" s="117"/>
      <c r="C169" s="233"/>
      <c r="D169" s="118"/>
      <c r="E169" s="118"/>
      <c r="F169" s="119" t="s">
        <v>129</v>
      </c>
      <c r="G169" s="119" t="s">
        <v>131</v>
      </c>
      <c r="H169" s="119" t="s">
        <v>132</v>
      </c>
      <c r="I169" s="119" t="s">
        <v>133</v>
      </c>
      <c r="J169" s="119" t="s">
        <v>134</v>
      </c>
      <c r="K169" s="119" t="s">
        <v>135</v>
      </c>
      <c r="L169" s="118"/>
      <c r="M169" s="118"/>
      <c r="N169" s="118"/>
      <c r="O169" s="118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ht="19.5" customHeight="1">
      <c r="A170" s="1"/>
      <c r="B170" s="234">
        <v>1.0</v>
      </c>
      <c r="C170" s="235"/>
      <c r="D170" s="236" t="s">
        <v>29</v>
      </c>
      <c r="E170" s="237" t="s">
        <v>380</v>
      </c>
      <c r="F170" s="124" t="s">
        <v>144</v>
      </c>
      <c r="G170" s="126"/>
      <c r="H170" s="126"/>
      <c r="I170" s="126"/>
      <c r="J170" s="126"/>
      <c r="K170" s="126"/>
      <c r="L170" s="238" t="s">
        <v>146</v>
      </c>
      <c r="M170" s="239">
        <f>$E$162</f>
        <v>1</v>
      </c>
      <c r="N170" s="236" t="s">
        <v>147</v>
      </c>
      <c r="O170" s="240" t="s">
        <v>148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ht="19.5" customHeight="1">
      <c r="A171" s="1"/>
      <c r="B171" s="130">
        <v>2.0</v>
      </c>
      <c r="C171" s="131" t="s">
        <v>29</v>
      </c>
      <c r="D171" s="132" t="s">
        <v>123</v>
      </c>
      <c r="E171" s="133" t="s">
        <v>163</v>
      </c>
      <c r="F171" s="134"/>
      <c r="G171" s="135" t="s">
        <v>144</v>
      </c>
      <c r="H171" s="134"/>
      <c r="I171" s="134"/>
      <c r="J171" s="134"/>
      <c r="K171" s="134"/>
      <c r="L171" s="137">
        <v>0.25</v>
      </c>
      <c r="M171" s="138">
        <f t="shared" ref="M171:M183" si="132">$E$167*L171</f>
        <v>0.8620689655</v>
      </c>
      <c r="N171" s="132" t="s">
        <v>157</v>
      </c>
      <c r="O171" s="139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ht="19.5" customHeight="1">
      <c r="A172" s="1"/>
      <c r="B172" s="130">
        <v>3.0</v>
      </c>
      <c r="C172" s="131" t="s">
        <v>29</v>
      </c>
      <c r="D172" s="132" t="s">
        <v>286</v>
      </c>
      <c r="E172" s="133" t="s">
        <v>371</v>
      </c>
      <c r="F172" s="134"/>
      <c r="G172" s="135" t="s">
        <v>144</v>
      </c>
      <c r="H172" s="134"/>
      <c r="I172" s="134"/>
      <c r="J172" s="134"/>
      <c r="K172" s="134"/>
      <c r="L172" s="137">
        <v>0.19</v>
      </c>
      <c r="M172" s="138">
        <f t="shared" si="132"/>
        <v>0.6551724138</v>
      </c>
      <c r="N172" s="132" t="s">
        <v>157</v>
      </c>
      <c r="O172" s="139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ht="19.5" customHeight="1">
      <c r="A173" s="1"/>
      <c r="B173" s="130">
        <v>4.0</v>
      </c>
      <c r="C173" s="131" t="s">
        <v>29</v>
      </c>
      <c r="D173" s="132" t="s">
        <v>293</v>
      </c>
      <c r="E173" s="133" t="s">
        <v>372</v>
      </c>
      <c r="F173" s="134"/>
      <c r="G173" s="135" t="s">
        <v>144</v>
      </c>
      <c r="H173" s="134"/>
      <c r="I173" s="134"/>
      <c r="J173" s="134"/>
      <c r="K173" s="134"/>
      <c r="L173" s="137">
        <v>0.14</v>
      </c>
      <c r="M173" s="138">
        <f t="shared" si="132"/>
        <v>0.4827586207</v>
      </c>
      <c r="N173" s="132" t="s">
        <v>157</v>
      </c>
      <c r="O173" s="139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ht="19.5" customHeight="1">
      <c r="A174" s="1"/>
      <c r="B174" s="130">
        <v>5.0</v>
      </c>
      <c r="C174" s="131" t="s">
        <v>29</v>
      </c>
      <c r="D174" s="132" t="s">
        <v>314</v>
      </c>
      <c r="E174" s="133" t="s">
        <v>381</v>
      </c>
      <c r="F174" s="134"/>
      <c r="G174" s="135" t="s">
        <v>144</v>
      </c>
      <c r="H174" s="134"/>
      <c r="I174" s="134"/>
      <c r="J174" s="134"/>
      <c r="K174" s="134"/>
      <c r="L174" s="137">
        <v>0.12</v>
      </c>
      <c r="M174" s="138">
        <f t="shared" si="132"/>
        <v>0.4137931034</v>
      </c>
      <c r="N174" s="132" t="s">
        <v>157</v>
      </c>
      <c r="O174" s="139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ht="19.5" customHeight="1">
      <c r="A175" s="1"/>
      <c r="B175" s="130">
        <v>6.0</v>
      </c>
      <c r="C175" s="131" t="s">
        <v>29</v>
      </c>
      <c r="D175" s="132" t="s">
        <v>316</v>
      </c>
      <c r="E175" s="133" t="s">
        <v>382</v>
      </c>
      <c r="F175" s="134"/>
      <c r="G175" s="135" t="s">
        <v>144</v>
      </c>
      <c r="H175" s="134"/>
      <c r="I175" s="134"/>
      <c r="J175" s="134"/>
      <c r="K175" s="134"/>
      <c r="L175" s="137">
        <v>0.1</v>
      </c>
      <c r="M175" s="138">
        <f t="shared" si="132"/>
        <v>0.3448275862</v>
      </c>
      <c r="N175" s="132" t="s">
        <v>157</v>
      </c>
      <c r="O175" s="139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ht="19.5" customHeight="1">
      <c r="A176" s="1"/>
      <c r="B176" s="130">
        <v>7.0</v>
      </c>
      <c r="C176" s="131" t="s">
        <v>29</v>
      </c>
      <c r="D176" s="132" t="s">
        <v>299</v>
      </c>
      <c r="E176" s="133" t="s">
        <v>374</v>
      </c>
      <c r="F176" s="134"/>
      <c r="G176" s="135" t="s">
        <v>144</v>
      </c>
      <c r="H176" s="134"/>
      <c r="I176" s="134"/>
      <c r="J176" s="134"/>
      <c r="K176" s="134"/>
      <c r="L176" s="137">
        <v>0.06</v>
      </c>
      <c r="M176" s="138">
        <f t="shared" si="132"/>
        <v>0.2068965517</v>
      </c>
      <c r="N176" s="132" t="s">
        <v>157</v>
      </c>
      <c r="O176" s="139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ht="19.5" customHeight="1">
      <c r="A177" s="1"/>
      <c r="B177" s="130">
        <v>8.0</v>
      </c>
      <c r="C177" s="131" t="s">
        <v>29</v>
      </c>
      <c r="D177" s="132" t="s">
        <v>158</v>
      </c>
      <c r="E177" s="133" t="s">
        <v>208</v>
      </c>
      <c r="F177" s="134"/>
      <c r="G177" s="135" t="s">
        <v>144</v>
      </c>
      <c r="H177" s="134"/>
      <c r="I177" s="134"/>
      <c r="J177" s="134"/>
      <c r="K177" s="134"/>
      <c r="L177" s="137">
        <v>0.05</v>
      </c>
      <c r="M177" s="138">
        <f t="shared" si="132"/>
        <v>0.1724137931</v>
      </c>
      <c r="N177" s="132" t="s">
        <v>157</v>
      </c>
      <c r="O177" s="139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ht="19.5" customHeight="1">
      <c r="A178" s="1"/>
      <c r="B178" s="130">
        <v>9.0</v>
      </c>
      <c r="C178" s="131" t="s">
        <v>29</v>
      </c>
      <c r="D178" s="132" t="s">
        <v>305</v>
      </c>
      <c r="E178" s="133" t="s">
        <v>376</v>
      </c>
      <c r="F178" s="134"/>
      <c r="G178" s="135" t="s">
        <v>144</v>
      </c>
      <c r="H178" s="134"/>
      <c r="I178" s="134"/>
      <c r="J178" s="134"/>
      <c r="K178" s="134"/>
      <c r="L178" s="137">
        <v>0.04</v>
      </c>
      <c r="M178" s="138">
        <f t="shared" si="132"/>
        <v>0.1379310345</v>
      </c>
      <c r="N178" s="132" t="s">
        <v>157</v>
      </c>
      <c r="O178" s="139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ht="19.5" customHeight="1">
      <c r="A179" s="1"/>
      <c r="B179" s="130">
        <v>10.0</v>
      </c>
      <c r="C179" s="131" t="s">
        <v>29</v>
      </c>
      <c r="D179" s="132" t="s">
        <v>76</v>
      </c>
      <c r="E179" s="133" t="s">
        <v>218</v>
      </c>
      <c r="F179" s="134"/>
      <c r="G179" s="135" t="s">
        <v>144</v>
      </c>
      <c r="H179" s="134"/>
      <c r="I179" s="134"/>
      <c r="J179" s="134"/>
      <c r="K179" s="134"/>
      <c r="L179" s="137">
        <v>0.015</v>
      </c>
      <c r="M179" s="138">
        <f t="shared" si="132"/>
        <v>0.05172413793</v>
      </c>
      <c r="N179" s="132" t="s">
        <v>157</v>
      </c>
      <c r="O179" s="139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ht="19.5" customHeight="1">
      <c r="A180" s="1"/>
      <c r="B180" s="130">
        <v>11.0</v>
      </c>
      <c r="C180" s="131" t="s">
        <v>29</v>
      </c>
      <c r="D180" s="132" t="s">
        <v>307</v>
      </c>
      <c r="E180" s="133" t="s">
        <v>377</v>
      </c>
      <c r="F180" s="134"/>
      <c r="G180" s="135" t="s">
        <v>144</v>
      </c>
      <c r="H180" s="134"/>
      <c r="I180" s="134"/>
      <c r="J180" s="134"/>
      <c r="K180" s="134"/>
      <c r="L180" s="137">
        <v>0.01</v>
      </c>
      <c r="M180" s="138">
        <f t="shared" si="132"/>
        <v>0.03448275862</v>
      </c>
      <c r="N180" s="132" t="s">
        <v>157</v>
      </c>
      <c r="O180" s="139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ht="19.5" customHeight="1">
      <c r="A181" s="1"/>
      <c r="B181" s="130">
        <v>12.0</v>
      </c>
      <c r="C181" s="131" t="s">
        <v>29</v>
      </c>
      <c r="D181" s="132" t="s">
        <v>89</v>
      </c>
      <c r="E181" s="133" t="s">
        <v>214</v>
      </c>
      <c r="F181" s="134"/>
      <c r="G181" s="135" t="s">
        <v>144</v>
      </c>
      <c r="H181" s="134"/>
      <c r="I181" s="134"/>
      <c r="J181" s="134"/>
      <c r="K181" s="134"/>
      <c r="L181" s="137">
        <v>0.01</v>
      </c>
      <c r="M181" s="138">
        <f t="shared" si="132"/>
        <v>0.03448275862</v>
      </c>
      <c r="N181" s="132" t="s">
        <v>157</v>
      </c>
      <c r="O181" s="139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ht="19.5" customHeight="1">
      <c r="A182" s="1"/>
      <c r="B182" s="130">
        <v>13.0</v>
      </c>
      <c r="C182" s="131" t="s">
        <v>29</v>
      </c>
      <c r="D182" s="132" t="s">
        <v>309</v>
      </c>
      <c r="E182" s="133" t="s">
        <v>378</v>
      </c>
      <c r="F182" s="134"/>
      <c r="G182" s="135" t="s">
        <v>144</v>
      </c>
      <c r="H182" s="134"/>
      <c r="I182" s="134"/>
      <c r="J182" s="134"/>
      <c r="K182" s="134"/>
      <c r="L182" s="137">
        <v>0.01</v>
      </c>
      <c r="M182" s="138">
        <f t="shared" si="132"/>
        <v>0.03448275862</v>
      </c>
      <c r="N182" s="132" t="s">
        <v>157</v>
      </c>
      <c r="O182" s="139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ht="19.5" customHeight="1">
      <c r="A183" s="1"/>
      <c r="B183" s="130">
        <v>14.0</v>
      </c>
      <c r="C183" s="131" t="s">
        <v>29</v>
      </c>
      <c r="D183" s="132" t="s">
        <v>209</v>
      </c>
      <c r="E183" s="133" t="s">
        <v>230</v>
      </c>
      <c r="F183" s="134"/>
      <c r="G183" s="135" t="s">
        <v>144</v>
      </c>
      <c r="H183" s="134"/>
      <c r="I183" s="134"/>
      <c r="J183" s="134"/>
      <c r="K183" s="134"/>
      <c r="L183" s="137">
        <v>0.005</v>
      </c>
      <c r="M183" s="138">
        <f t="shared" si="132"/>
        <v>0.01724137931</v>
      </c>
      <c r="N183" s="132" t="s">
        <v>157</v>
      </c>
      <c r="O183" s="139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ht="19.5" customHeight="1">
      <c r="A184" s="1"/>
      <c r="B184" s="191"/>
      <c r="C184" s="192"/>
      <c r="D184" s="45" t="s">
        <v>266</v>
      </c>
      <c r="E184" s="38"/>
      <c r="F184" s="38"/>
      <c r="G184" s="38"/>
      <c r="H184" s="38"/>
      <c r="I184" s="38"/>
      <c r="J184" s="38"/>
      <c r="K184" s="43"/>
      <c r="L184" s="194">
        <f t="shared" ref="L184:M184" si="133">L171+L172+L173+L174+L175+L176+L177+L178+L179+L180+L181+L182+L183</f>
        <v>1</v>
      </c>
      <c r="M184" s="197">
        <f t="shared" si="133"/>
        <v>3.448275862</v>
      </c>
      <c r="N184" s="199" t="s">
        <v>157</v>
      </c>
      <c r="O184" s="200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ht="19.5" customHeight="1">
      <c r="A185" s="1"/>
      <c r="B185" s="208" t="s">
        <v>273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40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ht="19.5" customHeight="1">
      <c r="A186" s="1"/>
      <c r="B186" s="211">
        <v>15.0</v>
      </c>
      <c r="C186" s="131" t="s">
        <v>29</v>
      </c>
      <c r="D186" s="212" t="s">
        <v>276</v>
      </c>
      <c r="E186" s="213" t="s">
        <v>277</v>
      </c>
      <c r="F186" s="214"/>
      <c r="G186" s="215" t="s">
        <v>144</v>
      </c>
      <c r="H186" s="214"/>
      <c r="I186" s="214"/>
      <c r="J186" s="214"/>
      <c r="K186" s="214"/>
      <c r="L186" s="216" t="s">
        <v>146</v>
      </c>
      <c r="M186" s="217">
        <f>$E$162*$E$163</f>
        <v>20</v>
      </c>
      <c r="N186" s="212" t="s">
        <v>278</v>
      </c>
      <c r="O186" s="219" t="s">
        <v>279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ht="19.5" customHeight="1">
      <c r="A187" s="1"/>
      <c r="B187" s="211">
        <v>16.0</v>
      </c>
      <c r="C187" s="131" t="s">
        <v>29</v>
      </c>
      <c r="D187" s="212" t="s">
        <v>282</v>
      </c>
      <c r="E187" s="213" t="s">
        <v>283</v>
      </c>
      <c r="F187" s="214"/>
      <c r="G187" s="215" t="s">
        <v>144</v>
      </c>
      <c r="H187" s="214"/>
      <c r="I187" s="214"/>
      <c r="J187" s="214"/>
      <c r="K187" s="214"/>
      <c r="L187" s="216" t="s">
        <v>146</v>
      </c>
      <c r="M187" s="217">
        <f t="shared" ref="M187:M188" si="134">$E$162</f>
        <v>1</v>
      </c>
      <c r="N187" s="212" t="s">
        <v>278</v>
      </c>
      <c r="O187" s="219" t="s">
        <v>284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ht="19.5" customHeight="1">
      <c r="A188" s="1"/>
      <c r="B188" s="211">
        <v>17.0</v>
      </c>
      <c r="C188" s="131" t="s">
        <v>29</v>
      </c>
      <c r="D188" s="212" t="s">
        <v>291</v>
      </c>
      <c r="E188" s="213" t="s">
        <v>292</v>
      </c>
      <c r="F188" s="214"/>
      <c r="G188" s="215" t="s">
        <v>144</v>
      </c>
      <c r="H188" s="214"/>
      <c r="I188" s="214"/>
      <c r="J188" s="214"/>
      <c r="K188" s="214"/>
      <c r="L188" s="216" t="s">
        <v>146</v>
      </c>
      <c r="M188" s="217">
        <f t="shared" si="134"/>
        <v>1</v>
      </c>
      <c r="N188" s="212" t="s">
        <v>278</v>
      </c>
      <c r="O188" s="219" t="s">
        <v>284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ht="19.5" customHeight="1">
      <c r="A190" s="1"/>
      <c r="B190" s="9"/>
      <c r="C190" s="229"/>
      <c r="D190" s="230" t="s">
        <v>423</v>
      </c>
      <c r="E190" s="13"/>
      <c r="F190" s="13"/>
      <c r="G190" s="13"/>
      <c r="H190" s="13"/>
      <c r="I190" s="13"/>
      <c r="J190" s="13"/>
      <c r="K190" s="13"/>
      <c r="L190" s="14"/>
      <c r="M190" s="15" t="s">
        <v>8</v>
      </c>
      <c r="N190" s="16"/>
      <c r="O190" s="17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ht="19.5" customHeight="1">
      <c r="A191" s="1"/>
      <c r="B191" s="22"/>
      <c r="C191" s="22"/>
      <c r="D191" s="24" t="s">
        <v>16</v>
      </c>
      <c r="E191" s="28">
        <f>SUMIFS('Plan de ventas'!$O$48:$O$60,'Plan de ventas'!$B$48:$B$60,D200)*1000</f>
        <v>22729.35552</v>
      </c>
      <c r="F191" s="29"/>
      <c r="G191" s="29"/>
      <c r="H191" s="29"/>
      <c r="I191" s="29"/>
      <c r="J191" s="29"/>
      <c r="K191" s="29"/>
      <c r="L191" s="29"/>
      <c r="M191" s="30"/>
      <c r="O191" s="3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ht="19.5" customHeight="1">
      <c r="A192" s="1"/>
      <c r="B192" s="45" t="s">
        <v>41</v>
      </c>
      <c r="C192" s="38"/>
      <c r="D192" s="43"/>
      <c r="E192" s="46">
        <v>1.0</v>
      </c>
      <c r="F192" s="47" t="str">
        <f>"Línea: Free     |     Versión n°: 1"&amp;CHAR(10)&amp;CHAR(10)&amp;"Lote = "&amp;E192&amp;" cajas × "&amp;E193&amp;" unid./caja = "&amp;(E192*E193)&amp;" unidades"&amp;CHAR(10)&amp;"Producto terminado = "&amp;TEXT(E196,"#,##0.00")&amp;" kg"&amp;CHAR(10)&amp;"Mezcla a preparar = "&amp;TEXT(E197,"#,##0.00")&amp;" kg   (rendimiento "&amp;TEXT(E195,"0%")&amp;")"</f>
        <v>Línea: Free     |     Versión n°: 1
Lote = 1 cajas × 20 unid./caja = 20 unidades
Producto terminado = 3,00 kg
Mezcla a preparar = 3,49 kg   (rendimiento 86%)</v>
      </c>
      <c r="G192" s="48"/>
      <c r="H192" s="48"/>
      <c r="I192" s="48"/>
      <c r="J192" s="48"/>
      <c r="K192" s="48"/>
      <c r="L192" s="49"/>
      <c r="M192" s="30"/>
      <c r="O192" s="3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ht="19.5" customHeight="1">
      <c r="A193" s="1"/>
      <c r="B193" s="45" t="s">
        <v>62</v>
      </c>
      <c r="C193" s="38"/>
      <c r="D193" s="43"/>
      <c r="E193" s="46">
        <v>20.0</v>
      </c>
      <c r="F193" s="65"/>
      <c r="L193" s="31"/>
      <c r="M193" s="30"/>
      <c r="O193" s="3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ht="19.5" customHeight="1">
      <c r="A194" s="1"/>
      <c r="B194" s="45" t="s">
        <v>75</v>
      </c>
      <c r="C194" s="38"/>
      <c r="D194" s="43"/>
      <c r="E194" s="46">
        <v>150.0</v>
      </c>
      <c r="F194" s="65"/>
      <c r="L194" s="31"/>
      <c r="M194" s="30"/>
      <c r="O194" s="3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ht="19.5" customHeight="1">
      <c r="A195" s="1"/>
      <c r="B195" s="45" t="s">
        <v>83</v>
      </c>
      <c r="C195" s="38"/>
      <c r="D195" s="43"/>
      <c r="E195" s="88">
        <v>0.86</v>
      </c>
      <c r="F195" s="65"/>
      <c r="L195" s="31"/>
      <c r="M195" s="30"/>
      <c r="O195" s="3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ht="19.5" customHeight="1">
      <c r="A196" s="1"/>
      <c r="B196" s="45" t="s">
        <v>88</v>
      </c>
      <c r="C196" s="38"/>
      <c r="D196" s="43"/>
      <c r="E196" s="92">
        <f>E192*E193*E194/1000</f>
        <v>3</v>
      </c>
      <c r="F196" s="65"/>
      <c r="L196" s="31"/>
      <c r="M196" s="30"/>
      <c r="O196" s="3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ht="19.5" customHeight="1">
      <c r="A197" s="1"/>
      <c r="B197" s="45" t="s">
        <v>96</v>
      </c>
      <c r="C197" s="38"/>
      <c r="D197" s="43"/>
      <c r="E197" s="92">
        <f>E196/E195</f>
        <v>3.488372093</v>
      </c>
      <c r="F197" s="98"/>
      <c r="G197" s="99"/>
      <c r="H197" s="99"/>
      <c r="I197" s="99"/>
      <c r="J197" s="99"/>
      <c r="K197" s="99"/>
      <c r="L197" s="100"/>
      <c r="M197" s="101"/>
      <c r="N197" s="99"/>
      <c r="O197" s="100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ht="19.5" customHeight="1">
      <c r="A198" s="1"/>
      <c r="B198" s="110" t="s">
        <v>113</v>
      </c>
      <c r="C198" s="233"/>
      <c r="D198" s="112" t="s">
        <v>321</v>
      </c>
      <c r="E198" s="112" t="s">
        <v>116</v>
      </c>
      <c r="F198" s="113" t="s">
        <v>117</v>
      </c>
      <c r="G198" s="38"/>
      <c r="H198" s="38"/>
      <c r="I198" s="38"/>
      <c r="J198" s="38"/>
      <c r="K198" s="40"/>
      <c r="L198" s="112" t="s">
        <v>46</v>
      </c>
      <c r="M198" s="112" t="s">
        <v>120</v>
      </c>
      <c r="N198" s="112" t="s">
        <v>121</v>
      </c>
      <c r="O198" s="112" t="s">
        <v>122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ht="19.5" customHeight="1">
      <c r="A199" s="1"/>
      <c r="B199" s="117"/>
      <c r="C199" s="233"/>
      <c r="D199" s="118"/>
      <c r="E199" s="118"/>
      <c r="F199" s="119" t="s">
        <v>129</v>
      </c>
      <c r="G199" s="119" t="s">
        <v>131</v>
      </c>
      <c r="H199" s="119" t="s">
        <v>132</v>
      </c>
      <c r="I199" s="119" t="s">
        <v>133</v>
      </c>
      <c r="J199" s="119" t="s">
        <v>134</v>
      </c>
      <c r="K199" s="119" t="s">
        <v>135</v>
      </c>
      <c r="L199" s="118"/>
      <c r="M199" s="118"/>
      <c r="N199" s="118"/>
      <c r="O199" s="118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ht="19.5" customHeight="1">
      <c r="A200" s="1"/>
      <c r="B200" s="234">
        <v>1.0</v>
      </c>
      <c r="C200" s="235"/>
      <c r="D200" s="236" t="s">
        <v>30</v>
      </c>
      <c r="E200" s="237" t="s">
        <v>439</v>
      </c>
      <c r="F200" s="124" t="s">
        <v>144</v>
      </c>
      <c r="G200" s="126"/>
      <c r="H200" s="126"/>
      <c r="I200" s="126"/>
      <c r="J200" s="126"/>
      <c r="K200" s="126"/>
      <c r="L200" s="238" t="s">
        <v>146</v>
      </c>
      <c r="M200" s="239">
        <f>$E$192</f>
        <v>1</v>
      </c>
      <c r="N200" s="236" t="s">
        <v>147</v>
      </c>
      <c r="O200" s="240" t="s">
        <v>148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ht="19.5" customHeight="1">
      <c r="A201" s="1"/>
      <c r="B201" s="130">
        <v>2.0</v>
      </c>
      <c r="C201" s="131" t="s">
        <v>30</v>
      </c>
      <c r="D201" s="132" t="s">
        <v>63</v>
      </c>
      <c r="E201" s="133" t="s">
        <v>153</v>
      </c>
      <c r="F201" s="134"/>
      <c r="G201" s="135" t="s">
        <v>144</v>
      </c>
      <c r="H201" s="134"/>
      <c r="I201" s="134"/>
      <c r="J201" s="134"/>
      <c r="K201" s="134"/>
      <c r="L201" s="137">
        <v>0.24</v>
      </c>
      <c r="M201" s="138">
        <f t="shared" ref="M201:M213" si="135">$E$197*L201</f>
        <v>0.8372093023</v>
      </c>
      <c r="N201" s="132" t="s">
        <v>157</v>
      </c>
      <c r="O201" s="139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ht="19.5" customHeight="1">
      <c r="A202" s="1"/>
      <c r="B202" s="130">
        <v>3.0</v>
      </c>
      <c r="C202" s="131" t="s">
        <v>30</v>
      </c>
      <c r="D202" s="132" t="s">
        <v>123</v>
      </c>
      <c r="E202" s="133" t="s">
        <v>163</v>
      </c>
      <c r="F202" s="134"/>
      <c r="G202" s="135" t="s">
        <v>144</v>
      </c>
      <c r="H202" s="134"/>
      <c r="I202" s="134"/>
      <c r="J202" s="134"/>
      <c r="K202" s="134"/>
      <c r="L202" s="137">
        <v>0.22</v>
      </c>
      <c r="M202" s="138">
        <f t="shared" si="135"/>
        <v>0.7674418605</v>
      </c>
      <c r="N202" s="132" t="s">
        <v>157</v>
      </c>
      <c r="O202" s="139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ht="19.5" customHeight="1">
      <c r="A203" s="1"/>
      <c r="B203" s="130">
        <v>4.0</v>
      </c>
      <c r="C203" s="131" t="s">
        <v>30</v>
      </c>
      <c r="D203" s="132" t="s">
        <v>219</v>
      </c>
      <c r="E203" s="133" t="s">
        <v>334</v>
      </c>
      <c r="F203" s="134"/>
      <c r="G203" s="135" t="s">
        <v>144</v>
      </c>
      <c r="H203" s="134"/>
      <c r="I203" s="134"/>
      <c r="J203" s="134"/>
      <c r="K203" s="134"/>
      <c r="L203" s="137">
        <v>0.16</v>
      </c>
      <c r="M203" s="138">
        <f t="shared" si="135"/>
        <v>0.5581395349</v>
      </c>
      <c r="N203" s="132" t="s">
        <v>157</v>
      </c>
      <c r="O203" s="139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ht="19.5" customHeight="1">
      <c r="A204" s="1"/>
      <c r="B204" s="130">
        <v>5.0</v>
      </c>
      <c r="C204" s="131" t="s">
        <v>30</v>
      </c>
      <c r="D204" s="132" t="s">
        <v>149</v>
      </c>
      <c r="E204" s="133" t="s">
        <v>171</v>
      </c>
      <c r="F204" s="134"/>
      <c r="G204" s="135" t="s">
        <v>144</v>
      </c>
      <c r="H204" s="134"/>
      <c r="I204" s="134"/>
      <c r="J204" s="134"/>
      <c r="K204" s="134"/>
      <c r="L204" s="137">
        <v>0.13</v>
      </c>
      <c r="M204" s="138">
        <f t="shared" si="135"/>
        <v>0.4534883721</v>
      </c>
      <c r="N204" s="132" t="s">
        <v>157</v>
      </c>
      <c r="O204" s="139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ht="19.5" customHeight="1">
      <c r="A205" s="1"/>
      <c r="B205" s="130">
        <v>6.0</v>
      </c>
      <c r="C205" s="131" t="s">
        <v>30</v>
      </c>
      <c r="D205" s="132" t="s">
        <v>164</v>
      </c>
      <c r="E205" s="133" t="s">
        <v>337</v>
      </c>
      <c r="F205" s="134"/>
      <c r="G205" s="135" t="s">
        <v>144</v>
      </c>
      <c r="H205" s="134"/>
      <c r="I205" s="134"/>
      <c r="J205" s="134"/>
      <c r="K205" s="134"/>
      <c r="L205" s="137">
        <v>0.06</v>
      </c>
      <c r="M205" s="138">
        <f t="shared" si="135"/>
        <v>0.2093023256</v>
      </c>
      <c r="N205" s="132" t="s">
        <v>157</v>
      </c>
      <c r="O205" s="139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ht="19.5" customHeight="1">
      <c r="A206" s="1"/>
      <c r="B206" s="130">
        <v>7.0</v>
      </c>
      <c r="C206" s="131" t="s">
        <v>30</v>
      </c>
      <c r="D206" s="132" t="s">
        <v>231</v>
      </c>
      <c r="E206" s="133" t="s">
        <v>341</v>
      </c>
      <c r="F206" s="134"/>
      <c r="G206" s="135" t="s">
        <v>144</v>
      </c>
      <c r="H206" s="134"/>
      <c r="I206" s="134"/>
      <c r="J206" s="134"/>
      <c r="K206" s="134"/>
      <c r="L206" s="137">
        <v>0.06</v>
      </c>
      <c r="M206" s="138">
        <f t="shared" si="135"/>
        <v>0.2093023256</v>
      </c>
      <c r="N206" s="132" t="s">
        <v>157</v>
      </c>
      <c r="O206" s="139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ht="19.5" customHeight="1">
      <c r="A207" s="1"/>
      <c r="B207" s="130">
        <v>8.0</v>
      </c>
      <c r="C207" s="131" t="s">
        <v>30</v>
      </c>
      <c r="D207" s="132" t="s">
        <v>319</v>
      </c>
      <c r="E207" s="133" t="s">
        <v>459</v>
      </c>
      <c r="F207" s="134"/>
      <c r="G207" s="135" t="s">
        <v>144</v>
      </c>
      <c r="H207" s="134"/>
      <c r="I207" s="134"/>
      <c r="J207" s="134"/>
      <c r="K207" s="134"/>
      <c r="L207" s="137">
        <v>0.04</v>
      </c>
      <c r="M207" s="138">
        <f t="shared" si="135"/>
        <v>0.1395348837</v>
      </c>
      <c r="N207" s="132" t="s">
        <v>157</v>
      </c>
      <c r="O207" s="139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ht="19.5" customHeight="1">
      <c r="A208" s="1"/>
      <c r="B208" s="130">
        <v>9.0</v>
      </c>
      <c r="C208" s="131" t="s">
        <v>30</v>
      </c>
      <c r="D208" s="132" t="s">
        <v>239</v>
      </c>
      <c r="E208" s="133" t="s">
        <v>343</v>
      </c>
      <c r="F208" s="134"/>
      <c r="G208" s="135" t="s">
        <v>144</v>
      </c>
      <c r="H208" s="134"/>
      <c r="I208" s="134"/>
      <c r="J208" s="134"/>
      <c r="K208" s="134"/>
      <c r="L208" s="137">
        <v>0.03</v>
      </c>
      <c r="M208" s="138">
        <f t="shared" si="135"/>
        <v>0.1046511628</v>
      </c>
      <c r="N208" s="132" t="s">
        <v>157</v>
      </c>
      <c r="O208" s="139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ht="19.5" customHeight="1">
      <c r="A209" s="1"/>
      <c r="B209" s="130">
        <v>10.0</v>
      </c>
      <c r="C209" s="131" t="s">
        <v>30</v>
      </c>
      <c r="D209" s="132" t="s">
        <v>309</v>
      </c>
      <c r="E209" s="133" t="s">
        <v>378</v>
      </c>
      <c r="F209" s="134"/>
      <c r="G209" s="135" t="s">
        <v>144</v>
      </c>
      <c r="H209" s="134"/>
      <c r="I209" s="134"/>
      <c r="J209" s="134"/>
      <c r="K209" s="134"/>
      <c r="L209" s="137">
        <v>0.02</v>
      </c>
      <c r="M209" s="138">
        <f t="shared" si="135"/>
        <v>0.06976744186</v>
      </c>
      <c r="N209" s="132" t="s">
        <v>157</v>
      </c>
      <c r="O209" s="139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ht="19.5" customHeight="1">
      <c r="A210" s="1"/>
      <c r="B210" s="130">
        <v>11.0</v>
      </c>
      <c r="C210" s="131" t="s">
        <v>30</v>
      </c>
      <c r="D210" s="132" t="s">
        <v>84</v>
      </c>
      <c r="E210" s="133" t="s">
        <v>225</v>
      </c>
      <c r="F210" s="134"/>
      <c r="G210" s="135" t="s">
        <v>144</v>
      </c>
      <c r="H210" s="134"/>
      <c r="I210" s="134"/>
      <c r="J210" s="134"/>
      <c r="K210" s="134"/>
      <c r="L210" s="137">
        <v>0.015</v>
      </c>
      <c r="M210" s="138">
        <f t="shared" si="135"/>
        <v>0.0523255814</v>
      </c>
      <c r="N210" s="132" t="s">
        <v>157</v>
      </c>
      <c r="O210" s="139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ht="19.5" customHeight="1">
      <c r="A211" s="1"/>
      <c r="B211" s="130">
        <v>12.0</v>
      </c>
      <c r="C211" s="131" t="s">
        <v>30</v>
      </c>
      <c r="D211" s="132" t="s">
        <v>89</v>
      </c>
      <c r="E211" s="133" t="s">
        <v>214</v>
      </c>
      <c r="F211" s="134"/>
      <c r="G211" s="135" t="s">
        <v>144</v>
      </c>
      <c r="H211" s="134"/>
      <c r="I211" s="134"/>
      <c r="J211" s="134"/>
      <c r="K211" s="134"/>
      <c r="L211" s="137">
        <v>0.01</v>
      </c>
      <c r="M211" s="138">
        <f t="shared" si="135"/>
        <v>0.03488372093</v>
      </c>
      <c r="N211" s="132" t="s">
        <v>157</v>
      </c>
      <c r="O211" s="139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ht="19.5" customHeight="1">
      <c r="A212" s="1"/>
      <c r="B212" s="130">
        <v>13.0</v>
      </c>
      <c r="C212" s="131" t="s">
        <v>30</v>
      </c>
      <c r="D212" s="132" t="s">
        <v>105</v>
      </c>
      <c r="E212" s="133" t="s">
        <v>473</v>
      </c>
      <c r="F212" s="134"/>
      <c r="G212" s="135" t="s">
        <v>144</v>
      </c>
      <c r="H212" s="134"/>
      <c r="I212" s="134"/>
      <c r="J212" s="134"/>
      <c r="K212" s="134"/>
      <c r="L212" s="137">
        <v>0.01</v>
      </c>
      <c r="M212" s="138">
        <f t="shared" si="135"/>
        <v>0.03488372093</v>
      </c>
      <c r="N212" s="132" t="s">
        <v>157</v>
      </c>
      <c r="O212" s="139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ht="19.5" customHeight="1">
      <c r="A213" s="1"/>
      <c r="B213" s="130">
        <v>14.0</v>
      </c>
      <c r="C213" s="131" t="s">
        <v>30</v>
      </c>
      <c r="D213" s="132" t="s">
        <v>180</v>
      </c>
      <c r="E213" s="133" t="s">
        <v>238</v>
      </c>
      <c r="F213" s="134"/>
      <c r="G213" s="135" t="s">
        <v>144</v>
      </c>
      <c r="H213" s="134"/>
      <c r="I213" s="134"/>
      <c r="J213" s="134"/>
      <c r="K213" s="134"/>
      <c r="L213" s="137">
        <v>0.005</v>
      </c>
      <c r="M213" s="138">
        <f t="shared" si="135"/>
        <v>0.01744186047</v>
      </c>
      <c r="N213" s="132" t="s">
        <v>157</v>
      </c>
      <c r="O213" s="139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ht="19.5" customHeight="1">
      <c r="A214" s="1"/>
      <c r="B214" s="191"/>
      <c r="C214" s="192"/>
      <c r="D214" s="45" t="s">
        <v>266</v>
      </c>
      <c r="E214" s="38"/>
      <c r="F214" s="38"/>
      <c r="G214" s="38"/>
      <c r="H214" s="38"/>
      <c r="I214" s="38"/>
      <c r="J214" s="38"/>
      <c r="K214" s="43"/>
      <c r="L214" s="194">
        <f t="shared" ref="L214:M214" si="136">L201+L202+L203+L204+L205+L206+L207+L208+L209+L210+L211+L212+L213</f>
        <v>1</v>
      </c>
      <c r="M214" s="197">
        <f t="shared" si="136"/>
        <v>3.488372093</v>
      </c>
      <c r="N214" s="199" t="s">
        <v>157</v>
      </c>
      <c r="O214" s="200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ht="19.5" customHeight="1">
      <c r="A215" s="1"/>
      <c r="B215" s="208" t="s">
        <v>273</v>
      </c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40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ht="19.5" customHeight="1">
      <c r="A216" s="1"/>
      <c r="B216" s="211">
        <v>15.0</v>
      </c>
      <c r="C216" s="131" t="s">
        <v>30</v>
      </c>
      <c r="D216" s="212" t="s">
        <v>276</v>
      </c>
      <c r="E216" s="213" t="s">
        <v>277</v>
      </c>
      <c r="F216" s="214"/>
      <c r="G216" s="215" t="s">
        <v>144</v>
      </c>
      <c r="H216" s="214"/>
      <c r="I216" s="214"/>
      <c r="J216" s="214"/>
      <c r="K216" s="214"/>
      <c r="L216" s="216" t="s">
        <v>146</v>
      </c>
      <c r="M216" s="217">
        <f>$E$192*$E$193</f>
        <v>20</v>
      </c>
      <c r="N216" s="212" t="s">
        <v>278</v>
      </c>
      <c r="O216" s="219" t="s">
        <v>279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ht="19.5" customHeight="1">
      <c r="A217" s="1"/>
      <c r="B217" s="211">
        <v>16.0</v>
      </c>
      <c r="C217" s="131" t="s">
        <v>30</v>
      </c>
      <c r="D217" s="212" t="s">
        <v>282</v>
      </c>
      <c r="E217" s="213" t="s">
        <v>283</v>
      </c>
      <c r="F217" s="214"/>
      <c r="G217" s="215" t="s">
        <v>144</v>
      </c>
      <c r="H217" s="214"/>
      <c r="I217" s="214"/>
      <c r="J217" s="214"/>
      <c r="K217" s="214"/>
      <c r="L217" s="216" t="s">
        <v>146</v>
      </c>
      <c r="M217" s="217">
        <f t="shared" ref="M217:M218" si="137">$E$192</f>
        <v>1</v>
      </c>
      <c r="N217" s="212" t="s">
        <v>278</v>
      </c>
      <c r="O217" s="219" t="s">
        <v>284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ht="19.5" customHeight="1">
      <c r="A218" s="1"/>
      <c r="B218" s="211">
        <v>17.0</v>
      </c>
      <c r="C218" s="131" t="s">
        <v>30</v>
      </c>
      <c r="D218" s="212" t="s">
        <v>291</v>
      </c>
      <c r="E218" s="213" t="s">
        <v>292</v>
      </c>
      <c r="F218" s="214"/>
      <c r="G218" s="215" t="s">
        <v>144</v>
      </c>
      <c r="H218" s="214"/>
      <c r="I218" s="214"/>
      <c r="J218" s="214"/>
      <c r="K218" s="214"/>
      <c r="L218" s="216" t="s">
        <v>146</v>
      </c>
      <c r="M218" s="217">
        <f t="shared" si="137"/>
        <v>1</v>
      </c>
      <c r="N218" s="212" t="s">
        <v>278</v>
      </c>
      <c r="O218" s="219" t="s">
        <v>284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ht="19.5" customHeight="1">
      <c r="A220" s="1"/>
      <c r="B220" s="9"/>
      <c r="C220" s="229"/>
      <c r="D220" s="230" t="s">
        <v>479</v>
      </c>
      <c r="E220" s="13"/>
      <c r="F220" s="13"/>
      <c r="G220" s="13"/>
      <c r="H220" s="13"/>
      <c r="I220" s="13"/>
      <c r="J220" s="13"/>
      <c r="K220" s="13"/>
      <c r="L220" s="14"/>
      <c r="M220" s="15" t="s">
        <v>8</v>
      </c>
      <c r="N220" s="16"/>
      <c r="O220" s="17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ht="19.5" customHeight="1">
      <c r="A221" s="1"/>
      <c r="B221" s="22"/>
      <c r="C221" s="22"/>
      <c r="D221" s="24" t="s">
        <v>16</v>
      </c>
      <c r="E221" s="28">
        <f>SUMIFS('Plan de ventas'!$O$48:$O$60,'Plan de ventas'!$B$48:$B$60,D230)*1000</f>
        <v>53035.16288</v>
      </c>
      <c r="F221" s="29"/>
      <c r="G221" s="29"/>
      <c r="H221" s="29"/>
      <c r="I221" s="29"/>
      <c r="J221" s="29"/>
      <c r="K221" s="29"/>
      <c r="L221" s="29"/>
      <c r="M221" s="30"/>
      <c r="O221" s="3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ht="19.5" customHeight="1">
      <c r="A222" s="1"/>
      <c r="B222" s="45" t="s">
        <v>41</v>
      </c>
      <c r="C222" s="38"/>
      <c r="D222" s="43"/>
      <c r="E222" s="46">
        <v>1.0</v>
      </c>
      <c r="F222" s="47" t="str">
        <f>"Línea: Clásicas     |     Versión n°: 1"&amp;CHAR(10)&amp;CHAR(10)&amp;"Lote = "&amp;E222&amp;" cajas × "&amp;E223&amp;" unid./caja = "&amp;(E222*E223)&amp;" unidades"&amp;CHAR(10)&amp;"Producto terminado = "&amp;TEXT(E226,"#,##0.00")&amp;" kg"&amp;CHAR(10)&amp;"Mezcla a preparar = "&amp;TEXT(E227,"#,##0.00")&amp;" kg   (rendimiento "&amp;TEXT(E225,"0%")&amp;")"</f>
        <v>Línea: Clásicas     |     Versión n°: 1
Lote = 1 cajas × 20 unid./caja = 20 unidades
Producto terminado = 3,00 kg
Mezcla a preparar = 3,41 kg   (rendimiento 88%)</v>
      </c>
      <c r="G222" s="48"/>
      <c r="H222" s="48"/>
      <c r="I222" s="48"/>
      <c r="J222" s="48"/>
      <c r="K222" s="48"/>
      <c r="L222" s="49"/>
      <c r="M222" s="30"/>
      <c r="O222" s="3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ht="19.5" customHeight="1">
      <c r="A223" s="1"/>
      <c r="B223" s="45" t="s">
        <v>62</v>
      </c>
      <c r="C223" s="38"/>
      <c r="D223" s="43"/>
      <c r="E223" s="46">
        <v>20.0</v>
      </c>
      <c r="F223" s="65"/>
      <c r="L223" s="31"/>
      <c r="M223" s="30"/>
      <c r="O223" s="3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ht="19.5" customHeight="1">
      <c r="A224" s="1"/>
      <c r="B224" s="45" t="s">
        <v>75</v>
      </c>
      <c r="C224" s="38"/>
      <c r="D224" s="43"/>
      <c r="E224" s="46">
        <v>150.0</v>
      </c>
      <c r="F224" s="65"/>
      <c r="L224" s="31"/>
      <c r="M224" s="30"/>
      <c r="O224" s="3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ht="19.5" customHeight="1">
      <c r="A225" s="1"/>
      <c r="B225" s="45" t="s">
        <v>83</v>
      </c>
      <c r="C225" s="38"/>
      <c r="D225" s="43"/>
      <c r="E225" s="88">
        <v>0.88</v>
      </c>
      <c r="F225" s="65"/>
      <c r="L225" s="31"/>
      <c r="M225" s="30"/>
      <c r="O225" s="3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ht="19.5" customHeight="1">
      <c r="A226" s="1"/>
      <c r="B226" s="45" t="s">
        <v>88</v>
      </c>
      <c r="C226" s="38"/>
      <c r="D226" s="43"/>
      <c r="E226" s="92">
        <f>E222*E223*E224/1000</f>
        <v>3</v>
      </c>
      <c r="F226" s="65"/>
      <c r="L226" s="31"/>
      <c r="M226" s="30"/>
      <c r="O226" s="3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ht="19.5" customHeight="1">
      <c r="A227" s="1"/>
      <c r="B227" s="45" t="s">
        <v>96</v>
      </c>
      <c r="C227" s="38"/>
      <c r="D227" s="43"/>
      <c r="E227" s="92">
        <f>E226/E225</f>
        <v>3.409090909</v>
      </c>
      <c r="F227" s="98"/>
      <c r="G227" s="99"/>
      <c r="H227" s="99"/>
      <c r="I227" s="99"/>
      <c r="J227" s="99"/>
      <c r="K227" s="99"/>
      <c r="L227" s="100"/>
      <c r="M227" s="101"/>
      <c r="N227" s="99"/>
      <c r="O227" s="100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ht="19.5" customHeight="1">
      <c r="A228" s="1"/>
      <c r="B228" s="110" t="s">
        <v>113</v>
      </c>
      <c r="C228" s="233"/>
      <c r="D228" s="112" t="s">
        <v>321</v>
      </c>
      <c r="E228" s="112" t="s">
        <v>116</v>
      </c>
      <c r="F228" s="113" t="s">
        <v>117</v>
      </c>
      <c r="G228" s="38"/>
      <c r="H228" s="38"/>
      <c r="I228" s="38"/>
      <c r="J228" s="38"/>
      <c r="K228" s="40"/>
      <c r="L228" s="112" t="s">
        <v>46</v>
      </c>
      <c r="M228" s="112" t="s">
        <v>120</v>
      </c>
      <c r="N228" s="112" t="s">
        <v>121</v>
      </c>
      <c r="O228" s="112" t="s">
        <v>122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ht="19.5" customHeight="1">
      <c r="A229" s="1"/>
      <c r="B229" s="117"/>
      <c r="C229" s="233"/>
      <c r="D229" s="118"/>
      <c r="E229" s="118"/>
      <c r="F229" s="119" t="s">
        <v>129</v>
      </c>
      <c r="G229" s="119" t="s">
        <v>131</v>
      </c>
      <c r="H229" s="119" t="s">
        <v>132</v>
      </c>
      <c r="I229" s="119" t="s">
        <v>133</v>
      </c>
      <c r="J229" s="119" t="s">
        <v>134</v>
      </c>
      <c r="K229" s="119" t="s">
        <v>135</v>
      </c>
      <c r="L229" s="118"/>
      <c r="M229" s="118"/>
      <c r="N229" s="118"/>
      <c r="O229" s="118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ht="19.5" customHeight="1">
      <c r="A230" s="1"/>
      <c r="B230" s="234">
        <v>1.0</v>
      </c>
      <c r="C230" s="235"/>
      <c r="D230" s="236" t="s">
        <v>31</v>
      </c>
      <c r="E230" s="237" t="s">
        <v>489</v>
      </c>
      <c r="F230" s="124" t="s">
        <v>144</v>
      </c>
      <c r="G230" s="126"/>
      <c r="H230" s="126"/>
      <c r="I230" s="126"/>
      <c r="J230" s="126"/>
      <c r="K230" s="126"/>
      <c r="L230" s="238" t="s">
        <v>146</v>
      </c>
      <c r="M230" s="239">
        <f>$E$222</f>
        <v>1</v>
      </c>
      <c r="N230" s="236" t="s">
        <v>147</v>
      </c>
      <c r="O230" s="240" t="s">
        <v>148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ht="19.5" customHeight="1">
      <c r="A231" s="1"/>
      <c r="B231" s="130">
        <v>2.0</v>
      </c>
      <c r="C231" s="131" t="s">
        <v>31</v>
      </c>
      <c r="D231" s="132" t="s">
        <v>63</v>
      </c>
      <c r="E231" s="133" t="s">
        <v>153</v>
      </c>
      <c r="F231" s="134"/>
      <c r="G231" s="135" t="s">
        <v>144</v>
      </c>
      <c r="H231" s="134"/>
      <c r="I231" s="134"/>
      <c r="J231" s="134"/>
      <c r="K231" s="134"/>
      <c r="L231" s="137">
        <v>0.28</v>
      </c>
      <c r="M231" s="138">
        <f t="shared" ref="M231:M245" si="138">$E$227*L231</f>
        <v>0.9545454545</v>
      </c>
      <c r="N231" s="132" t="s">
        <v>157</v>
      </c>
      <c r="O231" s="139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ht="19.5" customHeight="1">
      <c r="A232" s="1"/>
      <c r="B232" s="130">
        <v>3.0</v>
      </c>
      <c r="C232" s="131" t="s">
        <v>31</v>
      </c>
      <c r="D232" s="132" t="s">
        <v>123</v>
      </c>
      <c r="E232" s="133" t="s">
        <v>163</v>
      </c>
      <c r="F232" s="134"/>
      <c r="G232" s="135" t="s">
        <v>144</v>
      </c>
      <c r="H232" s="134"/>
      <c r="I232" s="134"/>
      <c r="J232" s="134"/>
      <c r="K232" s="134"/>
      <c r="L232" s="137">
        <v>0.21</v>
      </c>
      <c r="M232" s="138">
        <f t="shared" si="138"/>
        <v>0.7159090909</v>
      </c>
      <c r="N232" s="132" t="s">
        <v>157</v>
      </c>
      <c r="O232" s="139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ht="19.5" customHeight="1">
      <c r="A233" s="1"/>
      <c r="B233" s="130">
        <v>4.0</v>
      </c>
      <c r="C233" s="131" t="s">
        <v>31</v>
      </c>
      <c r="D233" s="132" t="s">
        <v>177</v>
      </c>
      <c r="E233" s="133" t="s">
        <v>178</v>
      </c>
      <c r="F233" s="134"/>
      <c r="G233" s="135" t="s">
        <v>144</v>
      </c>
      <c r="H233" s="134"/>
      <c r="I233" s="134"/>
      <c r="J233" s="134"/>
      <c r="K233" s="134"/>
      <c r="L233" s="137">
        <v>0.16</v>
      </c>
      <c r="M233" s="138">
        <f t="shared" si="138"/>
        <v>0.5454545455</v>
      </c>
      <c r="N233" s="132" t="s">
        <v>157</v>
      </c>
      <c r="O233" s="139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ht="19.5" customHeight="1">
      <c r="A234" s="1"/>
      <c r="B234" s="130">
        <v>5.0</v>
      </c>
      <c r="C234" s="131" t="s">
        <v>31</v>
      </c>
      <c r="D234" s="132" t="s">
        <v>149</v>
      </c>
      <c r="E234" s="133" t="s">
        <v>171</v>
      </c>
      <c r="F234" s="134"/>
      <c r="G234" s="135" t="s">
        <v>144</v>
      </c>
      <c r="H234" s="134"/>
      <c r="I234" s="134"/>
      <c r="J234" s="134"/>
      <c r="K234" s="134"/>
      <c r="L234" s="137">
        <v>0.15</v>
      </c>
      <c r="M234" s="138">
        <f t="shared" si="138"/>
        <v>0.5113636364</v>
      </c>
      <c r="N234" s="132" t="s">
        <v>157</v>
      </c>
      <c r="O234" s="139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ht="19.5" customHeight="1">
      <c r="A235" s="1"/>
      <c r="B235" s="130">
        <v>6.0</v>
      </c>
      <c r="C235" s="131" t="s">
        <v>31</v>
      </c>
      <c r="D235" s="132" t="s">
        <v>136</v>
      </c>
      <c r="E235" s="133" t="s">
        <v>197</v>
      </c>
      <c r="F235" s="134"/>
      <c r="G235" s="135" t="s">
        <v>144</v>
      </c>
      <c r="H235" s="134"/>
      <c r="I235" s="134"/>
      <c r="J235" s="134"/>
      <c r="K235" s="134"/>
      <c r="L235" s="137">
        <v>0.06</v>
      </c>
      <c r="M235" s="138">
        <f t="shared" si="138"/>
        <v>0.2045454545</v>
      </c>
      <c r="N235" s="132" t="s">
        <v>157</v>
      </c>
      <c r="O235" s="139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ht="19.5" customHeight="1">
      <c r="A236" s="1"/>
      <c r="B236" s="130">
        <v>7.0</v>
      </c>
      <c r="C236" s="131" t="s">
        <v>31</v>
      </c>
      <c r="D236" s="132" t="s">
        <v>338</v>
      </c>
      <c r="E236" s="133" t="s">
        <v>496</v>
      </c>
      <c r="F236" s="134"/>
      <c r="G236" s="135" t="s">
        <v>144</v>
      </c>
      <c r="H236" s="134"/>
      <c r="I236" s="134"/>
      <c r="J236" s="134"/>
      <c r="K236" s="134"/>
      <c r="L236" s="137">
        <v>0.03</v>
      </c>
      <c r="M236" s="138">
        <f t="shared" si="138"/>
        <v>0.1022727273</v>
      </c>
      <c r="N236" s="132" t="s">
        <v>157</v>
      </c>
      <c r="O236" s="139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ht="19.5" customHeight="1">
      <c r="A237" s="1"/>
      <c r="B237" s="130">
        <v>8.0</v>
      </c>
      <c r="C237" s="131" t="s">
        <v>31</v>
      </c>
      <c r="D237" s="132" t="s">
        <v>319</v>
      </c>
      <c r="E237" s="133" t="s">
        <v>459</v>
      </c>
      <c r="F237" s="134"/>
      <c r="G237" s="135" t="s">
        <v>144</v>
      </c>
      <c r="H237" s="134"/>
      <c r="I237" s="134"/>
      <c r="J237" s="134"/>
      <c r="K237" s="134"/>
      <c r="L237" s="137">
        <v>0.03</v>
      </c>
      <c r="M237" s="138">
        <f t="shared" si="138"/>
        <v>0.1022727273</v>
      </c>
      <c r="N237" s="132" t="s">
        <v>157</v>
      </c>
      <c r="O237" s="139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ht="19.5" customHeight="1">
      <c r="A238" s="1"/>
      <c r="B238" s="130">
        <v>9.0</v>
      </c>
      <c r="C238" s="131" t="s">
        <v>31</v>
      </c>
      <c r="D238" s="132" t="s">
        <v>309</v>
      </c>
      <c r="E238" s="133" t="s">
        <v>378</v>
      </c>
      <c r="F238" s="134"/>
      <c r="G238" s="135" t="s">
        <v>144</v>
      </c>
      <c r="H238" s="134"/>
      <c r="I238" s="134"/>
      <c r="J238" s="134"/>
      <c r="K238" s="134"/>
      <c r="L238" s="137">
        <v>0.02</v>
      </c>
      <c r="M238" s="138">
        <f t="shared" si="138"/>
        <v>0.06818181818</v>
      </c>
      <c r="N238" s="132" t="s">
        <v>157</v>
      </c>
      <c r="O238" s="139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ht="19.5" customHeight="1">
      <c r="A239" s="1"/>
      <c r="B239" s="130">
        <v>10.0</v>
      </c>
      <c r="C239" s="131" t="s">
        <v>31</v>
      </c>
      <c r="D239" s="132" t="s">
        <v>259</v>
      </c>
      <c r="E239" s="133" t="s">
        <v>497</v>
      </c>
      <c r="F239" s="134"/>
      <c r="G239" s="135" t="s">
        <v>144</v>
      </c>
      <c r="H239" s="134"/>
      <c r="I239" s="134"/>
      <c r="J239" s="134"/>
      <c r="K239" s="134"/>
      <c r="L239" s="137">
        <v>0.01</v>
      </c>
      <c r="M239" s="138">
        <f t="shared" si="138"/>
        <v>0.03409090909</v>
      </c>
      <c r="N239" s="132" t="s">
        <v>157</v>
      </c>
      <c r="O239" s="139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ht="19.5" customHeight="1">
      <c r="A240" s="1"/>
      <c r="B240" s="130">
        <v>11.0</v>
      </c>
      <c r="C240" s="131" t="s">
        <v>31</v>
      </c>
      <c r="D240" s="132" t="s">
        <v>89</v>
      </c>
      <c r="E240" s="133" t="s">
        <v>214</v>
      </c>
      <c r="F240" s="134"/>
      <c r="G240" s="135" t="s">
        <v>144</v>
      </c>
      <c r="H240" s="134"/>
      <c r="I240" s="134"/>
      <c r="J240" s="134"/>
      <c r="K240" s="134"/>
      <c r="L240" s="137">
        <v>0.01</v>
      </c>
      <c r="M240" s="138">
        <f t="shared" si="138"/>
        <v>0.03409090909</v>
      </c>
      <c r="N240" s="132" t="s">
        <v>157</v>
      </c>
      <c r="O240" s="139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ht="19.5" customHeight="1">
      <c r="A241" s="1"/>
      <c r="B241" s="130">
        <v>12.0</v>
      </c>
      <c r="C241" s="131" t="s">
        <v>31</v>
      </c>
      <c r="D241" s="132" t="s">
        <v>105</v>
      </c>
      <c r="E241" s="133" t="s">
        <v>473</v>
      </c>
      <c r="F241" s="134"/>
      <c r="G241" s="135" t="s">
        <v>144</v>
      </c>
      <c r="H241" s="134"/>
      <c r="I241" s="134"/>
      <c r="J241" s="134"/>
      <c r="K241" s="134"/>
      <c r="L241" s="137">
        <v>0.01</v>
      </c>
      <c r="M241" s="138">
        <f t="shared" si="138"/>
        <v>0.03409090909</v>
      </c>
      <c r="N241" s="132" t="s">
        <v>157</v>
      </c>
      <c r="O241" s="139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ht="19.5" customHeight="1">
      <c r="A242" s="1"/>
      <c r="B242" s="130">
        <v>13.0</v>
      </c>
      <c r="C242" s="131" t="s">
        <v>31</v>
      </c>
      <c r="D242" s="132" t="s">
        <v>84</v>
      </c>
      <c r="E242" s="133" t="s">
        <v>225</v>
      </c>
      <c r="F242" s="134"/>
      <c r="G242" s="135" t="s">
        <v>144</v>
      </c>
      <c r="H242" s="134"/>
      <c r="I242" s="134"/>
      <c r="J242" s="134"/>
      <c r="K242" s="134"/>
      <c r="L242" s="137">
        <v>0.01</v>
      </c>
      <c r="M242" s="138">
        <f t="shared" si="138"/>
        <v>0.03409090909</v>
      </c>
      <c r="N242" s="132" t="s">
        <v>157</v>
      </c>
      <c r="O242" s="139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ht="19.5" customHeight="1">
      <c r="A243" s="1"/>
      <c r="B243" s="130">
        <v>14.0</v>
      </c>
      <c r="C243" s="131" t="s">
        <v>31</v>
      </c>
      <c r="D243" s="132" t="s">
        <v>209</v>
      </c>
      <c r="E243" s="133" t="s">
        <v>230</v>
      </c>
      <c r="F243" s="134"/>
      <c r="G243" s="135" t="s">
        <v>144</v>
      </c>
      <c r="H243" s="134"/>
      <c r="I243" s="134"/>
      <c r="J243" s="134"/>
      <c r="K243" s="134"/>
      <c r="L243" s="137">
        <v>0.01</v>
      </c>
      <c r="M243" s="138">
        <f t="shared" si="138"/>
        <v>0.03409090909</v>
      </c>
      <c r="N243" s="132" t="s">
        <v>157</v>
      </c>
      <c r="O243" s="139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ht="19.5" customHeight="1">
      <c r="A244" s="1"/>
      <c r="B244" s="130">
        <v>15.0</v>
      </c>
      <c r="C244" s="131" t="s">
        <v>31</v>
      </c>
      <c r="D244" s="132" t="s">
        <v>76</v>
      </c>
      <c r="E244" s="133" t="s">
        <v>218</v>
      </c>
      <c r="F244" s="134"/>
      <c r="G244" s="135" t="s">
        <v>144</v>
      </c>
      <c r="H244" s="134"/>
      <c r="I244" s="134"/>
      <c r="J244" s="134"/>
      <c r="K244" s="134"/>
      <c r="L244" s="137">
        <v>0.005</v>
      </c>
      <c r="M244" s="138">
        <f t="shared" si="138"/>
        <v>0.01704545455</v>
      </c>
      <c r="N244" s="132" t="s">
        <v>157</v>
      </c>
      <c r="O244" s="139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ht="19.5" customHeight="1">
      <c r="A245" s="1"/>
      <c r="B245" s="130">
        <v>16.0</v>
      </c>
      <c r="C245" s="131" t="s">
        <v>31</v>
      </c>
      <c r="D245" s="132" t="s">
        <v>322</v>
      </c>
      <c r="E245" s="133" t="s">
        <v>498</v>
      </c>
      <c r="F245" s="134"/>
      <c r="G245" s="135" t="s">
        <v>144</v>
      </c>
      <c r="H245" s="134"/>
      <c r="I245" s="134"/>
      <c r="J245" s="134"/>
      <c r="K245" s="134"/>
      <c r="L245" s="137">
        <v>0.005</v>
      </c>
      <c r="M245" s="138">
        <f t="shared" si="138"/>
        <v>0.01704545455</v>
      </c>
      <c r="N245" s="132" t="s">
        <v>157</v>
      </c>
      <c r="O245" s="139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ht="19.5" customHeight="1">
      <c r="A246" s="1"/>
      <c r="B246" s="191"/>
      <c r="C246" s="192"/>
      <c r="D246" s="45" t="s">
        <v>266</v>
      </c>
      <c r="E246" s="38"/>
      <c r="F246" s="38"/>
      <c r="G246" s="38"/>
      <c r="H246" s="38"/>
      <c r="I246" s="38"/>
      <c r="J246" s="38"/>
      <c r="K246" s="43"/>
      <c r="L246" s="194">
        <f t="shared" ref="L246:M246" si="139">L231+L232+L233+L234+L235+L236+L237+L238+L239+L240+L241+L242+L243+L244+L245</f>
        <v>1</v>
      </c>
      <c r="M246" s="197">
        <f t="shared" si="139"/>
        <v>3.409090909</v>
      </c>
      <c r="N246" s="199" t="s">
        <v>157</v>
      </c>
      <c r="O246" s="200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ht="19.5" customHeight="1">
      <c r="A247" s="1"/>
      <c r="B247" s="208" t="s">
        <v>273</v>
      </c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40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ht="19.5" customHeight="1">
      <c r="A248" s="1"/>
      <c r="B248" s="211">
        <v>17.0</v>
      </c>
      <c r="C248" s="131" t="s">
        <v>31</v>
      </c>
      <c r="D248" s="212" t="s">
        <v>276</v>
      </c>
      <c r="E248" s="213" t="s">
        <v>277</v>
      </c>
      <c r="F248" s="214"/>
      <c r="G248" s="215" t="s">
        <v>144</v>
      </c>
      <c r="H248" s="214"/>
      <c r="I248" s="214"/>
      <c r="J248" s="214"/>
      <c r="K248" s="214"/>
      <c r="L248" s="216" t="s">
        <v>146</v>
      </c>
      <c r="M248" s="217">
        <f>$E$222*$E$223</f>
        <v>20</v>
      </c>
      <c r="N248" s="212" t="s">
        <v>278</v>
      </c>
      <c r="O248" s="219" t="s">
        <v>279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ht="19.5" customHeight="1">
      <c r="A249" s="1"/>
      <c r="B249" s="211">
        <v>18.0</v>
      </c>
      <c r="C249" s="131" t="s">
        <v>31</v>
      </c>
      <c r="D249" s="212" t="s">
        <v>282</v>
      </c>
      <c r="E249" s="213" t="s">
        <v>283</v>
      </c>
      <c r="F249" s="214"/>
      <c r="G249" s="215" t="s">
        <v>144</v>
      </c>
      <c r="H249" s="214"/>
      <c r="I249" s="214"/>
      <c r="J249" s="214"/>
      <c r="K249" s="214"/>
      <c r="L249" s="216" t="s">
        <v>146</v>
      </c>
      <c r="M249" s="217">
        <f t="shared" ref="M249:M250" si="140">$E$222</f>
        <v>1</v>
      </c>
      <c r="N249" s="212" t="s">
        <v>278</v>
      </c>
      <c r="O249" s="219" t="s">
        <v>284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ht="19.5" customHeight="1">
      <c r="A250" s="1"/>
      <c r="B250" s="211">
        <v>19.0</v>
      </c>
      <c r="C250" s="131" t="s">
        <v>31</v>
      </c>
      <c r="D250" s="212" t="s">
        <v>291</v>
      </c>
      <c r="E250" s="213" t="s">
        <v>292</v>
      </c>
      <c r="F250" s="214"/>
      <c r="G250" s="215" t="s">
        <v>144</v>
      </c>
      <c r="H250" s="214"/>
      <c r="I250" s="214"/>
      <c r="J250" s="214"/>
      <c r="K250" s="214"/>
      <c r="L250" s="216" t="s">
        <v>146</v>
      </c>
      <c r="M250" s="217">
        <f t="shared" si="140"/>
        <v>1</v>
      </c>
      <c r="N250" s="212" t="s">
        <v>278</v>
      </c>
      <c r="O250" s="219" t="s">
        <v>284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ht="19.5" customHeight="1">
      <c r="A252" s="1"/>
      <c r="B252" s="9"/>
      <c r="C252" s="229"/>
      <c r="D252" s="230" t="s">
        <v>499</v>
      </c>
      <c r="E252" s="13"/>
      <c r="F252" s="13"/>
      <c r="G252" s="13"/>
      <c r="H252" s="13"/>
      <c r="I252" s="13"/>
      <c r="J252" s="13"/>
      <c r="K252" s="13"/>
      <c r="L252" s="14"/>
      <c r="M252" s="15" t="s">
        <v>8</v>
      </c>
      <c r="N252" s="16"/>
      <c r="O252" s="17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ht="19.5" customHeight="1">
      <c r="A253" s="1"/>
      <c r="B253" s="22"/>
      <c r="C253" s="22"/>
      <c r="D253" s="24" t="s">
        <v>16</v>
      </c>
      <c r="E253" s="28">
        <f>SUMIFS('Plan de ventas'!$O$48:$O$60,'Plan de ventas'!$B$48:$B$60,D262)*1000</f>
        <v>117855.9175</v>
      </c>
      <c r="F253" s="29"/>
      <c r="G253" s="29"/>
      <c r="H253" s="29"/>
      <c r="I253" s="29"/>
      <c r="J253" s="29"/>
      <c r="K253" s="29"/>
      <c r="L253" s="29"/>
      <c r="M253" s="30"/>
      <c r="O253" s="3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ht="19.5" customHeight="1">
      <c r="A254" s="1"/>
      <c r="B254" s="45" t="s">
        <v>41</v>
      </c>
      <c r="C254" s="38"/>
      <c r="D254" s="43"/>
      <c r="E254" s="46">
        <v>1.0</v>
      </c>
      <c r="F254" s="47" t="str">
        <f>"Línea: Panificados     |     Versión n°: 1"&amp;CHAR(10)&amp;CHAR(10)&amp;"Lote = "&amp;E254&amp;" cajas × "&amp;E255&amp;" unid./caja = "&amp;(E254*E255)&amp;" unidades"&amp;CHAR(10)&amp;"Producto terminado = "&amp;TEXT(E258,"#,##0.00")&amp;" kg"&amp;CHAR(10)&amp;"Mezcla a preparar = "&amp;TEXT(E259,"#,##0.00")&amp;" kg   (rendimiento "&amp;TEXT(E257,"0%")&amp;")"</f>
        <v>Línea: Panificados     |     Versión n°: 1
Lote = 1 cajas × 12 unid./caja = 12 unidades
Producto terminado = 6,00 kg
Mezcla a preparar = 6,98 kg   (rendimiento 86%)</v>
      </c>
      <c r="G254" s="48"/>
      <c r="H254" s="48"/>
      <c r="I254" s="48"/>
      <c r="J254" s="48"/>
      <c r="K254" s="48"/>
      <c r="L254" s="49"/>
      <c r="M254" s="30"/>
      <c r="O254" s="3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ht="19.5" customHeight="1">
      <c r="A255" s="1"/>
      <c r="B255" s="45" t="s">
        <v>62</v>
      </c>
      <c r="C255" s="38"/>
      <c r="D255" s="43"/>
      <c r="E255" s="46">
        <v>12.0</v>
      </c>
      <c r="F255" s="65"/>
      <c r="L255" s="31"/>
      <c r="M255" s="30"/>
      <c r="O255" s="3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ht="19.5" customHeight="1">
      <c r="A256" s="1"/>
      <c r="B256" s="45" t="s">
        <v>75</v>
      </c>
      <c r="C256" s="38"/>
      <c r="D256" s="43"/>
      <c r="E256" s="46">
        <v>500.0</v>
      </c>
      <c r="F256" s="65"/>
      <c r="L256" s="31"/>
      <c r="M256" s="30"/>
      <c r="O256" s="3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ht="19.5" customHeight="1">
      <c r="A257" s="1"/>
      <c r="B257" s="45" t="s">
        <v>83</v>
      </c>
      <c r="C257" s="38"/>
      <c r="D257" s="43"/>
      <c r="E257" s="88">
        <v>0.86</v>
      </c>
      <c r="F257" s="65"/>
      <c r="L257" s="31"/>
      <c r="M257" s="30"/>
      <c r="O257" s="3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ht="19.5" customHeight="1">
      <c r="A258" s="1"/>
      <c r="B258" s="45" t="s">
        <v>88</v>
      </c>
      <c r="C258" s="38"/>
      <c r="D258" s="43"/>
      <c r="E258" s="92">
        <f>E254*E255*E256/1000</f>
        <v>6</v>
      </c>
      <c r="F258" s="65"/>
      <c r="L258" s="31"/>
      <c r="M258" s="30"/>
      <c r="O258" s="3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ht="19.5" customHeight="1">
      <c r="A259" s="1"/>
      <c r="B259" s="45" t="s">
        <v>96</v>
      </c>
      <c r="C259" s="38"/>
      <c r="D259" s="43"/>
      <c r="E259" s="92">
        <f>E258/E257</f>
        <v>6.976744186</v>
      </c>
      <c r="F259" s="98"/>
      <c r="G259" s="99"/>
      <c r="H259" s="99"/>
      <c r="I259" s="99"/>
      <c r="J259" s="99"/>
      <c r="K259" s="99"/>
      <c r="L259" s="100"/>
      <c r="M259" s="101"/>
      <c r="N259" s="99"/>
      <c r="O259" s="100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ht="19.5" customHeight="1">
      <c r="A260" s="1"/>
      <c r="B260" s="110" t="s">
        <v>113</v>
      </c>
      <c r="C260" s="233"/>
      <c r="D260" s="112" t="s">
        <v>321</v>
      </c>
      <c r="E260" s="112" t="s">
        <v>116</v>
      </c>
      <c r="F260" s="113" t="s">
        <v>117</v>
      </c>
      <c r="G260" s="38"/>
      <c r="H260" s="38"/>
      <c r="I260" s="38"/>
      <c r="J260" s="38"/>
      <c r="K260" s="40"/>
      <c r="L260" s="112" t="s">
        <v>46</v>
      </c>
      <c r="M260" s="112" t="s">
        <v>120</v>
      </c>
      <c r="N260" s="112" t="s">
        <v>121</v>
      </c>
      <c r="O260" s="112" t="s">
        <v>122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ht="19.5" customHeight="1">
      <c r="A261" s="1"/>
      <c r="B261" s="117"/>
      <c r="C261" s="233"/>
      <c r="D261" s="118"/>
      <c r="E261" s="118"/>
      <c r="F261" s="119" t="s">
        <v>129</v>
      </c>
      <c r="G261" s="119" t="s">
        <v>131</v>
      </c>
      <c r="H261" s="119" t="s">
        <v>132</v>
      </c>
      <c r="I261" s="119" t="s">
        <v>133</v>
      </c>
      <c r="J261" s="119" t="s">
        <v>134</v>
      </c>
      <c r="K261" s="119" t="s">
        <v>135</v>
      </c>
      <c r="L261" s="118"/>
      <c r="M261" s="118"/>
      <c r="N261" s="118"/>
      <c r="O261" s="118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ht="19.5" customHeight="1">
      <c r="A262" s="1"/>
      <c r="B262" s="234">
        <v>1.0</v>
      </c>
      <c r="C262" s="235"/>
      <c r="D262" s="236" t="s">
        <v>33</v>
      </c>
      <c r="E262" s="237" t="s">
        <v>500</v>
      </c>
      <c r="F262" s="124" t="s">
        <v>144</v>
      </c>
      <c r="G262" s="126"/>
      <c r="H262" s="126"/>
      <c r="I262" s="126"/>
      <c r="J262" s="126"/>
      <c r="K262" s="126"/>
      <c r="L262" s="238" t="s">
        <v>146</v>
      </c>
      <c r="M262" s="239">
        <f>$E$254</f>
        <v>1</v>
      </c>
      <c r="N262" s="236" t="s">
        <v>147</v>
      </c>
      <c r="O262" s="240" t="s">
        <v>148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ht="19.5" customHeight="1">
      <c r="A263" s="1"/>
      <c r="B263" s="130">
        <v>2.0</v>
      </c>
      <c r="C263" s="131" t="s">
        <v>33</v>
      </c>
      <c r="D263" s="132" t="s">
        <v>324</v>
      </c>
      <c r="E263" s="133" t="s">
        <v>501</v>
      </c>
      <c r="F263" s="134"/>
      <c r="G263" s="135" t="s">
        <v>144</v>
      </c>
      <c r="H263" s="134"/>
      <c r="I263" s="134"/>
      <c r="J263" s="134"/>
      <c r="K263" s="134"/>
      <c r="L263" s="137">
        <v>0.38</v>
      </c>
      <c r="M263" s="138">
        <f t="shared" ref="M263:M274" si="141">$E$259*L263</f>
        <v>2.651162791</v>
      </c>
      <c r="N263" s="132" t="s">
        <v>157</v>
      </c>
      <c r="O263" s="139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ht="19.5" customHeight="1">
      <c r="A264" s="1"/>
      <c r="B264" s="130">
        <v>3.0</v>
      </c>
      <c r="C264" s="131" t="s">
        <v>33</v>
      </c>
      <c r="D264" s="132" t="s">
        <v>123</v>
      </c>
      <c r="E264" s="133" t="s">
        <v>163</v>
      </c>
      <c r="F264" s="134"/>
      <c r="G264" s="135" t="s">
        <v>144</v>
      </c>
      <c r="H264" s="134"/>
      <c r="I264" s="134"/>
      <c r="J264" s="134"/>
      <c r="K264" s="134"/>
      <c r="L264" s="137">
        <v>0.16</v>
      </c>
      <c r="M264" s="138">
        <f t="shared" si="141"/>
        <v>1.11627907</v>
      </c>
      <c r="N264" s="132" t="s">
        <v>157</v>
      </c>
      <c r="O264" s="139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ht="19.5" customHeight="1">
      <c r="A265" s="1"/>
      <c r="B265" s="130">
        <v>4.0</v>
      </c>
      <c r="C265" s="131" t="s">
        <v>33</v>
      </c>
      <c r="D265" s="132" t="s">
        <v>286</v>
      </c>
      <c r="E265" s="133" t="s">
        <v>371</v>
      </c>
      <c r="F265" s="134"/>
      <c r="G265" s="135" t="s">
        <v>144</v>
      </c>
      <c r="H265" s="134"/>
      <c r="I265" s="134"/>
      <c r="J265" s="134"/>
      <c r="K265" s="134"/>
      <c r="L265" s="137">
        <v>0.12</v>
      </c>
      <c r="M265" s="138">
        <f t="shared" si="141"/>
        <v>0.8372093023</v>
      </c>
      <c r="N265" s="132" t="s">
        <v>157</v>
      </c>
      <c r="O265" s="139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ht="19.5" customHeight="1">
      <c r="A266" s="1"/>
      <c r="B266" s="130">
        <v>5.0</v>
      </c>
      <c r="C266" s="131" t="s">
        <v>33</v>
      </c>
      <c r="D266" s="132" t="s">
        <v>293</v>
      </c>
      <c r="E266" s="133" t="s">
        <v>372</v>
      </c>
      <c r="F266" s="134"/>
      <c r="G266" s="135" t="s">
        <v>144</v>
      </c>
      <c r="H266" s="134"/>
      <c r="I266" s="134"/>
      <c r="J266" s="134"/>
      <c r="K266" s="134"/>
      <c r="L266" s="137">
        <v>0.1</v>
      </c>
      <c r="M266" s="138">
        <f t="shared" si="141"/>
        <v>0.6976744186</v>
      </c>
      <c r="N266" s="132" t="s">
        <v>157</v>
      </c>
      <c r="O266" s="139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ht="19.5" customHeight="1">
      <c r="A267" s="1"/>
      <c r="B267" s="130">
        <v>6.0</v>
      </c>
      <c r="C267" s="131" t="s">
        <v>33</v>
      </c>
      <c r="D267" s="132" t="s">
        <v>326</v>
      </c>
      <c r="E267" s="133" t="s">
        <v>502</v>
      </c>
      <c r="F267" s="134"/>
      <c r="G267" s="135" t="s">
        <v>144</v>
      </c>
      <c r="H267" s="134"/>
      <c r="I267" s="134"/>
      <c r="J267" s="134"/>
      <c r="K267" s="134"/>
      <c r="L267" s="137">
        <v>0.06</v>
      </c>
      <c r="M267" s="138">
        <f t="shared" si="141"/>
        <v>0.4186046512</v>
      </c>
      <c r="N267" s="132" t="s">
        <v>157</v>
      </c>
      <c r="O267" s="139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ht="19.5" customHeight="1">
      <c r="A268" s="1"/>
      <c r="B268" s="130">
        <v>7.0</v>
      </c>
      <c r="C268" s="131" t="s">
        <v>33</v>
      </c>
      <c r="D268" s="132" t="s">
        <v>177</v>
      </c>
      <c r="E268" s="133" t="s">
        <v>503</v>
      </c>
      <c r="F268" s="134"/>
      <c r="G268" s="135" t="s">
        <v>144</v>
      </c>
      <c r="H268" s="134"/>
      <c r="I268" s="134"/>
      <c r="J268" s="134"/>
      <c r="K268" s="134"/>
      <c r="L268" s="137">
        <v>0.04</v>
      </c>
      <c r="M268" s="138">
        <f t="shared" si="141"/>
        <v>0.2790697674</v>
      </c>
      <c r="N268" s="132" t="s">
        <v>157</v>
      </c>
      <c r="O268" s="139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ht="19.5" customHeight="1">
      <c r="A269" s="1"/>
      <c r="B269" s="130">
        <v>8.0</v>
      </c>
      <c r="C269" s="131" t="s">
        <v>33</v>
      </c>
      <c r="D269" s="132" t="s">
        <v>243</v>
      </c>
      <c r="E269" s="133" t="s">
        <v>346</v>
      </c>
      <c r="F269" s="134"/>
      <c r="G269" s="135" t="s">
        <v>144</v>
      </c>
      <c r="H269" s="134"/>
      <c r="I269" s="134"/>
      <c r="J269" s="134"/>
      <c r="K269" s="134"/>
      <c r="L269" s="137">
        <v>0.04</v>
      </c>
      <c r="M269" s="138">
        <f t="shared" si="141"/>
        <v>0.2790697674</v>
      </c>
      <c r="N269" s="132" t="s">
        <v>157</v>
      </c>
      <c r="O269" s="139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ht="19.5" customHeight="1">
      <c r="A270" s="1"/>
      <c r="B270" s="130">
        <v>9.0</v>
      </c>
      <c r="C270" s="131" t="s">
        <v>33</v>
      </c>
      <c r="D270" s="132" t="s">
        <v>236</v>
      </c>
      <c r="E270" s="133" t="s">
        <v>342</v>
      </c>
      <c r="F270" s="134"/>
      <c r="G270" s="135" t="s">
        <v>144</v>
      </c>
      <c r="H270" s="134"/>
      <c r="I270" s="134"/>
      <c r="J270" s="134"/>
      <c r="K270" s="134"/>
      <c r="L270" s="137">
        <v>0.03</v>
      </c>
      <c r="M270" s="138">
        <f t="shared" si="141"/>
        <v>0.2093023256</v>
      </c>
      <c r="N270" s="132" t="s">
        <v>157</v>
      </c>
      <c r="O270" s="139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ht="19.5" customHeight="1">
      <c r="A271" s="1"/>
      <c r="B271" s="130">
        <v>10.0</v>
      </c>
      <c r="C271" s="131" t="s">
        <v>33</v>
      </c>
      <c r="D271" s="132" t="s">
        <v>328</v>
      </c>
      <c r="E271" s="133" t="s">
        <v>504</v>
      </c>
      <c r="F271" s="134"/>
      <c r="G271" s="135" t="s">
        <v>144</v>
      </c>
      <c r="H271" s="134"/>
      <c r="I271" s="134"/>
      <c r="J271" s="134"/>
      <c r="K271" s="134"/>
      <c r="L271" s="137">
        <v>0.025</v>
      </c>
      <c r="M271" s="138">
        <f t="shared" si="141"/>
        <v>0.1744186047</v>
      </c>
      <c r="N271" s="132" t="s">
        <v>157</v>
      </c>
      <c r="O271" s="139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ht="19.5" customHeight="1">
      <c r="A272" s="1"/>
      <c r="B272" s="130">
        <v>11.0</v>
      </c>
      <c r="C272" s="131" t="s">
        <v>33</v>
      </c>
      <c r="D272" s="132" t="s">
        <v>330</v>
      </c>
      <c r="E272" s="133" t="s">
        <v>505</v>
      </c>
      <c r="F272" s="134"/>
      <c r="G272" s="135" t="s">
        <v>144</v>
      </c>
      <c r="H272" s="134"/>
      <c r="I272" s="134"/>
      <c r="J272" s="134"/>
      <c r="K272" s="134"/>
      <c r="L272" s="137">
        <v>0.02</v>
      </c>
      <c r="M272" s="138">
        <f t="shared" si="141"/>
        <v>0.1395348837</v>
      </c>
      <c r="N272" s="132" t="s">
        <v>157</v>
      </c>
      <c r="O272" s="139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ht="19.5" customHeight="1">
      <c r="A273" s="1"/>
      <c r="B273" s="130">
        <v>12.0</v>
      </c>
      <c r="C273" s="131" t="s">
        <v>33</v>
      </c>
      <c r="D273" s="132" t="s">
        <v>89</v>
      </c>
      <c r="E273" s="133" t="s">
        <v>214</v>
      </c>
      <c r="F273" s="134"/>
      <c r="G273" s="135" t="s">
        <v>144</v>
      </c>
      <c r="H273" s="134"/>
      <c r="I273" s="134"/>
      <c r="J273" s="134"/>
      <c r="K273" s="134"/>
      <c r="L273" s="137">
        <v>0.015</v>
      </c>
      <c r="M273" s="138">
        <f t="shared" si="141"/>
        <v>0.1046511628</v>
      </c>
      <c r="N273" s="132" t="s">
        <v>157</v>
      </c>
      <c r="O273" s="139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ht="19.5" customHeight="1">
      <c r="A274" s="1"/>
      <c r="B274" s="130">
        <v>13.0</v>
      </c>
      <c r="C274" s="131" t="s">
        <v>33</v>
      </c>
      <c r="D274" s="132" t="s">
        <v>76</v>
      </c>
      <c r="E274" s="133" t="s">
        <v>218</v>
      </c>
      <c r="F274" s="134"/>
      <c r="G274" s="135" t="s">
        <v>144</v>
      </c>
      <c r="H274" s="134"/>
      <c r="I274" s="134"/>
      <c r="J274" s="134"/>
      <c r="K274" s="134"/>
      <c r="L274" s="137">
        <v>0.01</v>
      </c>
      <c r="M274" s="138">
        <f t="shared" si="141"/>
        <v>0.06976744186</v>
      </c>
      <c r="N274" s="132" t="s">
        <v>157</v>
      </c>
      <c r="O274" s="139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ht="19.5" customHeight="1">
      <c r="A275" s="1"/>
      <c r="B275" s="191"/>
      <c r="C275" s="192"/>
      <c r="D275" s="45" t="s">
        <v>266</v>
      </c>
      <c r="E275" s="38"/>
      <c r="F275" s="38"/>
      <c r="G275" s="38"/>
      <c r="H275" s="38"/>
      <c r="I275" s="38"/>
      <c r="J275" s="38"/>
      <c r="K275" s="43"/>
      <c r="L275" s="194">
        <f t="shared" ref="L275:M275" si="142">L263+L264+L265+L266+L267+L268+L269+L270+L271+L272+L273+L274</f>
        <v>1</v>
      </c>
      <c r="M275" s="197">
        <f t="shared" si="142"/>
        <v>6.976744186</v>
      </c>
      <c r="N275" s="199" t="s">
        <v>157</v>
      </c>
      <c r="O275" s="200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ht="19.5" customHeight="1">
      <c r="A276" s="1"/>
      <c r="B276" s="208" t="s">
        <v>273</v>
      </c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40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ht="19.5" customHeight="1">
      <c r="A277" s="1"/>
      <c r="B277" s="211">
        <v>14.0</v>
      </c>
      <c r="C277" s="131" t="s">
        <v>33</v>
      </c>
      <c r="D277" s="212" t="s">
        <v>506</v>
      </c>
      <c r="E277" s="213" t="s">
        <v>507</v>
      </c>
      <c r="F277" s="214"/>
      <c r="G277" s="215" t="s">
        <v>144</v>
      </c>
      <c r="H277" s="214"/>
      <c r="I277" s="214"/>
      <c r="J277" s="214"/>
      <c r="K277" s="214"/>
      <c r="L277" s="216" t="s">
        <v>146</v>
      </c>
      <c r="M277" s="217">
        <f t="shared" ref="M277:M278" si="143">$E$254*$E$255</f>
        <v>12</v>
      </c>
      <c r="N277" s="212" t="s">
        <v>278</v>
      </c>
      <c r="O277" s="219" t="s">
        <v>279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ht="19.5" customHeight="1">
      <c r="A278" s="1"/>
      <c r="B278" s="211">
        <v>15.0</v>
      </c>
      <c r="C278" s="131" t="s">
        <v>33</v>
      </c>
      <c r="D278" s="212" t="s">
        <v>508</v>
      </c>
      <c r="E278" s="213" t="s">
        <v>509</v>
      </c>
      <c r="F278" s="214"/>
      <c r="G278" s="215" t="s">
        <v>144</v>
      </c>
      <c r="H278" s="214"/>
      <c r="I278" s="214"/>
      <c r="J278" s="214"/>
      <c r="K278" s="214"/>
      <c r="L278" s="216" t="s">
        <v>146</v>
      </c>
      <c r="M278" s="217">
        <f t="shared" si="143"/>
        <v>12</v>
      </c>
      <c r="N278" s="212" t="s">
        <v>278</v>
      </c>
      <c r="O278" s="219" t="s">
        <v>279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ht="19.5" customHeight="1">
      <c r="A279" s="1"/>
      <c r="B279" s="211">
        <v>16.0</v>
      </c>
      <c r="C279" s="131" t="s">
        <v>33</v>
      </c>
      <c r="D279" s="212" t="s">
        <v>282</v>
      </c>
      <c r="E279" s="213" t="s">
        <v>283</v>
      </c>
      <c r="F279" s="214"/>
      <c r="G279" s="215" t="s">
        <v>144</v>
      </c>
      <c r="H279" s="214"/>
      <c r="I279" s="214"/>
      <c r="J279" s="214"/>
      <c r="K279" s="214"/>
      <c r="L279" s="216" t="s">
        <v>146</v>
      </c>
      <c r="M279" s="217">
        <f>$E$254</f>
        <v>1</v>
      </c>
      <c r="N279" s="212" t="s">
        <v>278</v>
      </c>
      <c r="O279" s="219" t="s">
        <v>284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ht="19.5" customHeight="1">
      <c r="A281" s="1"/>
      <c r="B281" s="9"/>
      <c r="C281" s="229"/>
      <c r="D281" s="230" t="s">
        <v>510</v>
      </c>
      <c r="E281" s="13"/>
      <c r="F281" s="13"/>
      <c r="G281" s="13"/>
      <c r="H281" s="13"/>
      <c r="I281" s="13"/>
      <c r="J281" s="13"/>
      <c r="K281" s="13"/>
      <c r="L281" s="14"/>
      <c r="M281" s="15" t="s">
        <v>8</v>
      </c>
      <c r="N281" s="16"/>
      <c r="O281" s="17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ht="19.5" customHeight="1">
      <c r="A282" s="1"/>
      <c r="B282" s="22"/>
      <c r="C282" s="22"/>
      <c r="D282" s="24" t="s">
        <v>16</v>
      </c>
      <c r="E282" s="28">
        <f>SUMIFS('Plan de ventas'!$O$48:$O$60,'Plan de ventas'!$B$48:$B$60,D291)*1000</f>
        <v>141427.202</v>
      </c>
      <c r="F282" s="29"/>
      <c r="G282" s="29"/>
      <c r="H282" s="29"/>
      <c r="I282" s="29"/>
      <c r="J282" s="29"/>
      <c r="K282" s="29"/>
      <c r="L282" s="29"/>
      <c r="M282" s="30"/>
      <c r="O282" s="3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ht="19.5" customHeight="1">
      <c r="A283" s="1"/>
      <c r="B283" s="45" t="s">
        <v>41</v>
      </c>
      <c r="C283" s="38"/>
      <c r="D283" s="43"/>
      <c r="E283" s="46">
        <v>1.0</v>
      </c>
      <c r="F283" s="47" t="str">
        <f>"Línea: Budines     |     Versión n°: 1"&amp;CHAR(10)&amp;CHAR(10)&amp;"Lote = "&amp;E283&amp;" cajas × "&amp;E284&amp;" unid./caja = "&amp;(E283*E284)&amp;" unidades"&amp;CHAR(10)&amp;"Producto terminado = "&amp;TEXT(E287,"#,##0.00")&amp;" kg"&amp;CHAR(10)&amp;"Mezcla a preparar = "&amp;TEXT(E288,"#,##0.00")&amp;" kg   (rendimiento "&amp;TEXT(E286,"0%")&amp;")"</f>
        <v>Línea: Budines     |     Versión n°: 1
Lote = 1 cajas × 12 unid./caja = 12 unidades
Producto terminado = 2,40 kg
Mezcla a preparar = 2,82 kg   (rendimiento 85%)</v>
      </c>
      <c r="G283" s="48"/>
      <c r="H283" s="48"/>
      <c r="I283" s="48"/>
      <c r="J283" s="48"/>
      <c r="K283" s="48"/>
      <c r="L283" s="49"/>
      <c r="M283" s="30"/>
      <c r="O283" s="3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ht="19.5" customHeight="1">
      <c r="A284" s="1"/>
      <c r="B284" s="45" t="s">
        <v>62</v>
      </c>
      <c r="C284" s="38"/>
      <c r="D284" s="43"/>
      <c r="E284" s="46">
        <v>12.0</v>
      </c>
      <c r="F284" s="65"/>
      <c r="L284" s="31"/>
      <c r="M284" s="30"/>
      <c r="O284" s="3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ht="19.5" customHeight="1">
      <c r="A285" s="1"/>
      <c r="B285" s="45" t="s">
        <v>75</v>
      </c>
      <c r="C285" s="38"/>
      <c r="D285" s="43"/>
      <c r="E285" s="46">
        <v>200.0</v>
      </c>
      <c r="F285" s="65"/>
      <c r="L285" s="31"/>
      <c r="M285" s="30"/>
      <c r="O285" s="3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ht="19.5" customHeight="1">
      <c r="A286" s="1"/>
      <c r="B286" s="45" t="s">
        <v>83</v>
      </c>
      <c r="C286" s="38"/>
      <c r="D286" s="43"/>
      <c r="E286" s="88">
        <v>0.85</v>
      </c>
      <c r="F286" s="65"/>
      <c r="L286" s="31"/>
      <c r="M286" s="30"/>
      <c r="O286" s="3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ht="19.5" customHeight="1">
      <c r="A287" s="1"/>
      <c r="B287" s="45" t="s">
        <v>88</v>
      </c>
      <c r="C287" s="38"/>
      <c r="D287" s="43"/>
      <c r="E287" s="92">
        <f>E283*E284*E285/1000</f>
        <v>2.4</v>
      </c>
      <c r="F287" s="65"/>
      <c r="L287" s="31"/>
      <c r="M287" s="30"/>
      <c r="O287" s="3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ht="19.5" customHeight="1">
      <c r="A288" s="1"/>
      <c r="B288" s="45" t="s">
        <v>96</v>
      </c>
      <c r="C288" s="38"/>
      <c r="D288" s="43"/>
      <c r="E288" s="92">
        <f>E287/E286</f>
        <v>2.823529412</v>
      </c>
      <c r="F288" s="98"/>
      <c r="G288" s="99"/>
      <c r="H288" s="99"/>
      <c r="I288" s="99"/>
      <c r="J288" s="99"/>
      <c r="K288" s="99"/>
      <c r="L288" s="100"/>
      <c r="M288" s="101"/>
      <c r="N288" s="99"/>
      <c r="O288" s="100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ht="19.5" customHeight="1">
      <c r="A289" s="1"/>
      <c r="B289" s="110" t="s">
        <v>113</v>
      </c>
      <c r="C289" s="233"/>
      <c r="D289" s="112" t="s">
        <v>321</v>
      </c>
      <c r="E289" s="112" t="s">
        <v>116</v>
      </c>
      <c r="F289" s="113" t="s">
        <v>117</v>
      </c>
      <c r="G289" s="38"/>
      <c r="H289" s="38"/>
      <c r="I289" s="38"/>
      <c r="J289" s="38"/>
      <c r="K289" s="40"/>
      <c r="L289" s="112" t="s">
        <v>46</v>
      </c>
      <c r="M289" s="112" t="s">
        <v>120</v>
      </c>
      <c r="N289" s="112" t="s">
        <v>121</v>
      </c>
      <c r="O289" s="112" t="s">
        <v>122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ht="19.5" customHeight="1">
      <c r="A290" s="1"/>
      <c r="B290" s="117"/>
      <c r="C290" s="233"/>
      <c r="D290" s="118"/>
      <c r="E290" s="118"/>
      <c r="F290" s="119" t="s">
        <v>129</v>
      </c>
      <c r="G290" s="119" t="s">
        <v>131</v>
      </c>
      <c r="H290" s="119" t="s">
        <v>132</v>
      </c>
      <c r="I290" s="119" t="s">
        <v>133</v>
      </c>
      <c r="J290" s="119" t="s">
        <v>134</v>
      </c>
      <c r="K290" s="119" t="s">
        <v>135</v>
      </c>
      <c r="L290" s="118"/>
      <c r="M290" s="118"/>
      <c r="N290" s="118"/>
      <c r="O290" s="118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ht="19.5" customHeight="1">
      <c r="A291" s="1"/>
      <c r="B291" s="234">
        <v>1.0</v>
      </c>
      <c r="C291" s="235"/>
      <c r="D291" s="236" t="s">
        <v>34</v>
      </c>
      <c r="E291" s="237" t="s">
        <v>511</v>
      </c>
      <c r="F291" s="124" t="s">
        <v>144</v>
      </c>
      <c r="G291" s="126"/>
      <c r="H291" s="126"/>
      <c r="I291" s="126"/>
      <c r="J291" s="126"/>
      <c r="K291" s="126"/>
      <c r="L291" s="238" t="s">
        <v>146</v>
      </c>
      <c r="M291" s="239">
        <f>$E$283</f>
        <v>1</v>
      </c>
      <c r="N291" s="236" t="s">
        <v>147</v>
      </c>
      <c r="O291" s="240" t="s">
        <v>148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ht="19.5" customHeight="1">
      <c r="A292" s="1"/>
      <c r="B292" s="130">
        <v>2.0</v>
      </c>
      <c r="C292" s="131" t="s">
        <v>34</v>
      </c>
      <c r="D292" s="132" t="s">
        <v>177</v>
      </c>
      <c r="E292" s="133" t="s">
        <v>503</v>
      </c>
      <c r="F292" s="134"/>
      <c r="G292" s="135" t="s">
        <v>144</v>
      </c>
      <c r="H292" s="134"/>
      <c r="I292" s="134"/>
      <c r="J292" s="134"/>
      <c r="K292" s="134"/>
      <c r="L292" s="137">
        <v>0.22</v>
      </c>
      <c r="M292" s="138">
        <f t="shared" ref="M292:M306" si="144">$E$288*L292</f>
        <v>0.6211764706</v>
      </c>
      <c r="N292" s="132" t="s">
        <v>157</v>
      </c>
      <c r="O292" s="139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ht="19.5" customHeight="1">
      <c r="A293" s="1"/>
      <c r="B293" s="130">
        <v>3.0</v>
      </c>
      <c r="C293" s="131" t="s">
        <v>34</v>
      </c>
      <c r="D293" s="132" t="s">
        <v>332</v>
      </c>
      <c r="E293" s="133" t="s">
        <v>512</v>
      </c>
      <c r="F293" s="134"/>
      <c r="G293" s="135" t="s">
        <v>144</v>
      </c>
      <c r="H293" s="134"/>
      <c r="I293" s="134"/>
      <c r="J293" s="134"/>
      <c r="K293" s="134"/>
      <c r="L293" s="137">
        <v>0.16</v>
      </c>
      <c r="M293" s="138">
        <f t="shared" si="144"/>
        <v>0.4517647059</v>
      </c>
      <c r="N293" s="132" t="s">
        <v>157</v>
      </c>
      <c r="O293" s="139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ht="19.5" customHeight="1">
      <c r="A294" s="1"/>
      <c r="B294" s="130">
        <v>4.0</v>
      </c>
      <c r="C294" s="131" t="s">
        <v>34</v>
      </c>
      <c r="D294" s="132" t="s">
        <v>123</v>
      </c>
      <c r="E294" s="133" t="s">
        <v>163</v>
      </c>
      <c r="F294" s="134"/>
      <c r="G294" s="135" t="s">
        <v>144</v>
      </c>
      <c r="H294" s="134"/>
      <c r="I294" s="134"/>
      <c r="J294" s="134"/>
      <c r="K294" s="134"/>
      <c r="L294" s="137">
        <v>0.14</v>
      </c>
      <c r="M294" s="138">
        <f t="shared" si="144"/>
        <v>0.3952941176</v>
      </c>
      <c r="N294" s="132" t="s">
        <v>157</v>
      </c>
      <c r="O294" s="139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ht="19.5" customHeight="1">
      <c r="A295" s="1"/>
      <c r="B295" s="130">
        <v>5.0</v>
      </c>
      <c r="C295" s="131" t="s">
        <v>34</v>
      </c>
      <c r="D295" s="132" t="s">
        <v>63</v>
      </c>
      <c r="E295" s="133" t="s">
        <v>153</v>
      </c>
      <c r="F295" s="134"/>
      <c r="G295" s="135" t="s">
        <v>144</v>
      </c>
      <c r="H295" s="134"/>
      <c r="I295" s="134"/>
      <c r="J295" s="134"/>
      <c r="K295" s="134"/>
      <c r="L295" s="137">
        <v>0.12</v>
      </c>
      <c r="M295" s="138">
        <f t="shared" si="144"/>
        <v>0.3388235294</v>
      </c>
      <c r="N295" s="132" t="s">
        <v>157</v>
      </c>
      <c r="O295" s="139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ht="19.5" customHeight="1">
      <c r="A296" s="1"/>
      <c r="B296" s="130">
        <v>6.0</v>
      </c>
      <c r="C296" s="131" t="s">
        <v>34</v>
      </c>
      <c r="D296" s="132" t="s">
        <v>324</v>
      </c>
      <c r="E296" s="133" t="s">
        <v>501</v>
      </c>
      <c r="F296" s="134"/>
      <c r="G296" s="135" t="s">
        <v>144</v>
      </c>
      <c r="H296" s="134"/>
      <c r="I296" s="134"/>
      <c r="J296" s="134"/>
      <c r="K296" s="134"/>
      <c r="L296" s="137">
        <v>0.11</v>
      </c>
      <c r="M296" s="138">
        <f t="shared" si="144"/>
        <v>0.3105882353</v>
      </c>
      <c r="N296" s="132" t="s">
        <v>157</v>
      </c>
      <c r="O296" s="139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ht="19.5" customHeight="1">
      <c r="A297" s="1"/>
      <c r="B297" s="130">
        <v>7.0</v>
      </c>
      <c r="C297" s="131" t="s">
        <v>34</v>
      </c>
      <c r="D297" s="132" t="s">
        <v>158</v>
      </c>
      <c r="E297" s="133" t="s">
        <v>208</v>
      </c>
      <c r="F297" s="134"/>
      <c r="G297" s="135" t="s">
        <v>144</v>
      </c>
      <c r="H297" s="134"/>
      <c r="I297" s="134"/>
      <c r="J297" s="134"/>
      <c r="K297" s="134"/>
      <c r="L297" s="137">
        <v>0.06</v>
      </c>
      <c r="M297" s="138">
        <f t="shared" si="144"/>
        <v>0.1694117647</v>
      </c>
      <c r="N297" s="132" t="s">
        <v>157</v>
      </c>
      <c r="O297" s="139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ht="19.5" customHeight="1">
      <c r="A298" s="1"/>
      <c r="B298" s="130">
        <v>8.0</v>
      </c>
      <c r="C298" s="131" t="s">
        <v>34</v>
      </c>
      <c r="D298" s="132" t="s">
        <v>293</v>
      </c>
      <c r="E298" s="133" t="s">
        <v>372</v>
      </c>
      <c r="F298" s="134"/>
      <c r="G298" s="135" t="s">
        <v>144</v>
      </c>
      <c r="H298" s="134"/>
      <c r="I298" s="134"/>
      <c r="J298" s="134"/>
      <c r="K298" s="134"/>
      <c r="L298" s="137">
        <v>0.06</v>
      </c>
      <c r="M298" s="138">
        <f t="shared" si="144"/>
        <v>0.1694117647</v>
      </c>
      <c r="N298" s="132" t="s">
        <v>157</v>
      </c>
      <c r="O298" s="139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ht="19.5" customHeight="1">
      <c r="A299" s="1"/>
      <c r="B299" s="130">
        <v>9.0</v>
      </c>
      <c r="C299" s="131" t="s">
        <v>34</v>
      </c>
      <c r="D299" s="132" t="s">
        <v>243</v>
      </c>
      <c r="E299" s="133" t="s">
        <v>346</v>
      </c>
      <c r="F299" s="134"/>
      <c r="G299" s="135" t="s">
        <v>144</v>
      </c>
      <c r="H299" s="134"/>
      <c r="I299" s="134"/>
      <c r="J299" s="134"/>
      <c r="K299" s="134"/>
      <c r="L299" s="137">
        <v>0.05</v>
      </c>
      <c r="M299" s="138">
        <f t="shared" si="144"/>
        <v>0.1411764706</v>
      </c>
      <c r="N299" s="132" t="s">
        <v>157</v>
      </c>
      <c r="O299" s="139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ht="19.5" customHeight="1">
      <c r="A300" s="1"/>
      <c r="B300" s="130">
        <v>10.0</v>
      </c>
      <c r="C300" s="131" t="s">
        <v>34</v>
      </c>
      <c r="D300" s="132" t="s">
        <v>319</v>
      </c>
      <c r="E300" s="133" t="s">
        <v>459</v>
      </c>
      <c r="F300" s="134"/>
      <c r="G300" s="135" t="s">
        <v>144</v>
      </c>
      <c r="H300" s="134"/>
      <c r="I300" s="134"/>
      <c r="J300" s="134"/>
      <c r="K300" s="134"/>
      <c r="L300" s="137">
        <v>0.02</v>
      </c>
      <c r="M300" s="138">
        <f t="shared" si="144"/>
        <v>0.05647058824</v>
      </c>
      <c r="N300" s="132" t="s">
        <v>157</v>
      </c>
      <c r="O300" s="139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ht="19.5" customHeight="1">
      <c r="A301" s="1"/>
      <c r="B301" s="130">
        <v>11.0</v>
      </c>
      <c r="C301" s="131" t="s">
        <v>34</v>
      </c>
      <c r="D301" s="132" t="s">
        <v>309</v>
      </c>
      <c r="E301" s="133" t="s">
        <v>378</v>
      </c>
      <c r="F301" s="134"/>
      <c r="G301" s="135" t="s">
        <v>144</v>
      </c>
      <c r="H301" s="134"/>
      <c r="I301" s="134"/>
      <c r="J301" s="134"/>
      <c r="K301" s="134"/>
      <c r="L301" s="137">
        <v>0.02</v>
      </c>
      <c r="M301" s="138">
        <f t="shared" si="144"/>
        <v>0.05647058824</v>
      </c>
      <c r="N301" s="132" t="s">
        <v>157</v>
      </c>
      <c r="O301" s="139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ht="19.5" customHeight="1">
      <c r="A302" s="1"/>
      <c r="B302" s="130">
        <v>12.0</v>
      </c>
      <c r="C302" s="131" t="s">
        <v>34</v>
      </c>
      <c r="D302" s="132" t="s">
        <v>89</v>
      </c>
      <c r="E302" s="133" t="s">
        <v>214</v>
      </c>
      <c r="F302" s="134"/>
      <c r="G302" s="135" t="s">
        <v>144</v>
      </c>
      <c r="H302" s="134"/>
      <c r="I302" s="134"/>
      <c r="J302" s="134"/>
      <c r="K302" s="134"/>
      <c r="L302" s="137">
        <v>0.01</v>
      </c>
      <c r="M302" s="138">
        <f t="shared" si="144"/>
        <v>0.02823529412</v>
      </c>
      <c r="N302" s="132" t="s">
        <v>157</v>
      </c>
      <c r="O302" s="139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ht="19.5" customHeight="1">
      <c r="A303" s="1"/>
      <c r="B303" s="130">
        <v>13.0</v>
      </c>
      <c r="C303" s="131" t="s">
        <v>34</v>
      </c>
      <c r="D303" s="132" t="s">
        <v>105</v>
      </c>
      <c r="E303" s="133" t="s">
        <v>473</v>
      </c>
      <c r="F303" s="134"/>
      <c r="G303" s="135" t="s">
        <v>144</v>
      </c>
      <c r="H303" s="134"/>
      <c r="I303" s="134"/>
      <c r="J303" s="134"/>
      <c r="K303" s="134"/>
      <c r="L303" s="137">
        <v>0.01</v>
      </c>
      <c r="M303" s="138">
        <f t="shared" si="144"/>
        <v>0.02823529412</v>
      </c>
      <c r="N303" s="132" t="s">
        <v>157</v>
      </c>
      <c r="O303" s="139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ht="19.5" customHeight="1">
      <c r="A304" s="1"/>
      <c r="B304" s="130">
        <v>14.0</v>
      </c>
      <c r="C304" s="131" t="s">
        <v>34</v>
      </c>
      <c r="D304" s="132" t="s">
        <v>322</v>
      </c>
      <c r="E304" s="133" t="s">
        <v>498</v>
      </c>
      <c r="F304" s="134"/>
      <c r="G304" s="135" t="s">
        <v>144</v>
      </c>
      <c r="H304" s="134"/>
      <c r="I304" s="134"/>
      <c r="J304" s="134"/>
      <c r="K304" s="134"/>
      <c r="L304" s="137">
        <v>0.012</v>
      </c>
      <c r="M304" s="138">
        <f t="shared" si="144"/>
        <v>0.03388235294</v>
      </c>
      <c r="N304" s="132" t="s">
        <v>157</v>
      </c>
      <c r="O304" s="139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ht="19.5" customHeight="1">
      <c r="A305" s="1"/>
      <c r="B305" s="130">
        <v>15.0</v>
      </c>
      <c r="C305" s="131" t="s">
        <v>34</v>
      </c>
      <c r="D305" s="132" t="s">
        <v>76</v>
      </c>
      <c r="E305" s="133" t="s">
        <v>218</v>
      </c>
      <c r="F305" s="134"/>
      <c r="G305" s="135" t="s">
        <v>144</v>
      </c>
      <c r="H305" s="134"/>
      <c r="I305" s="134"/>
      <c r="J305" s="134"/>
      <c r="K305" s="134"/>
      <c r="L305" s="137">
        <v>0.005</v>
      </c>
      <c r="M305" s="138">
        <f t="shared" si="144"/>
        <v>0.01411764706</v>
      </c>
      <c r="N305" s="132" t="s">
        <v>157</v>
      </c>
      <c r="O305" s="139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ht="19.5" customHeight="1">
      <c r="A306" s="1"/>
      <c r="B306" s="130">
        <v>16.0</v>
      </c>
      <c r="C306" s="131" t="s">
        <v>34</v>
      </c>
      <c r="D306" s="132" t="s">
        <v>335</v>
      </c>
      <c r="E306" s="133" t="s">
        <v>513</v>
      </c>
      <c r="F306" s="134"/>
      <c r="G306" s="135" t="s">
        <v>144</v>
      </c>
      <c r="H306" s="134"/>
      <c r="I306" s="134"/>
      <c r="J306" s="134"/>
      <c r="K306" s="134"/>
      <c r="L306" s="137">
        <v>0.003</v>
      </c>
      <c r="M306" s="138">
        <f t="shared" si="144"/>
        <v>0.008470588235</v>
      </c>
      <c r="N306" s="132" t="s">
        <v>157</v>
      </c>
      <c r="O306" s="139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ht="19.5" customHeight="1">
      <c r="A307" s="1"/>
      <c r="B307" s="191"/>
      <c r="C307" s="192"/>
      <c r="D307" s="45" t="s">
        <v>266</v>
      </c>
      <c r="E307" s="38"/>
      <c r="F307" s="38"/>
      <c r="G307" s="38"/>
      <c r="H307" s="38"/>
      <c r="I307" s="38"/>
      <c r="J307" s="38"/>
      <c r="K307" s="43"/>
      <c r="L307" s="194">
        <f t="shared" ref="L307:M307" si="145">L292+L293+L294+L295+L296+L297+L298+L299+L300+L301+L302+L303+L304+L305+L306</f>
        <v>1</v>
      </c>
      <c r="M307" s="197">
        <f t="shared" si="145"/>
        <v>2.823529412</v>
      </c>
      <c r="N307" s="199" t="s">
        <v>157</v>
      </c>
      <c r="O307" s="200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ht="19.5" customHeight="1">
      <c r="A308" s="1"/>
      <c r="B308" s="208" t="s">
        <v>273</v>
      </c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40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ht="19.5" customHeight="1">
      <c r="A309" s="1"/>
      <c r="B309" s="211">
        <v>17.0</v>
      </c>
      <c r="C309" s="131" t="s">
        <v>34</v>
      </c>
      <c r="D309" s="212" t="s">
        <v>538</v>
      </c>
      <c r="E309" s="213" t="s">
        <v>540</v>
      </c>
      <c r="F309" s="214"/>
      <c r="G309" s="215" t="s">
        <v>144</v>
      </c>
      <c r="H309" s="214"/>
      <c r="I309" s="214"/>
      <c r="J309" s="214"/>
      <c r="K309" s="214"/>
      <c r="L309" s="216" t="s">
        <v>146</v>
      </c>
      <c r="M309" s="217">
        <f t="shared" ref="M309:M310" si="146">$E$283*$E$284</f>
        <v>12</v>
      </c>
      <c r="N309" s="212" t="s">
        <v>278</v>
      </c>
      <c r="O309" s="219" t="s">
        <v>279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ht="19.5" customHeight="1">
      <c r="A310" s="1"/>
      <c r="B310" s="211">
        <v>18.0</v>
      </c>
      <c r="C310" s="131" t="s">
        <v>34</v>
      </c>
      <c r="D310" s="212" t="s">
        <v>276</v>
      </c>
      <c r="E310" s="213" t="s">
        <v>277</v>
      </c>
      <c r="F310" s="214"/>
      <c r="G310" s="215" t="s">
        <v>144</v>
      </c>
      <c r="H310" s="214"/>
      <c r="I310" s="214"/>
      <c r="J310" s="214"/>
      <c r="K310" s="214"/>
      <c r="L310" s="216" t="s">
        <v>146</v>
      </c>
      <c r="M310" s="217">
        <f t="shared" si="146"/>
        <v>12</v>
      </c>
      <c r="N310" s="212" t="s">
        <v>278</v>
      </c>
      <c r="O310" s="219" t="s">
        <v>279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ht="19.5" customHeight="1">
      <c r="A311" s="1"/>
      <c r="B311" s="211">
        <v>19.0</v>
      </c>
      <c r="C311" s="131" t="s">
        <v>34</v>
      </c>
      <c r="D311" s="212" t="s">
        <v>282</v>
      </c>
      <c r="E311" s="213" t="s">
        <v>283</v>
      </c>
      <c r="F311" s="214"/>
      <c r="G311" s="215" t="s">
        <v>144</v>
      </c>
      <c r="H311" s="214"/>
      <c r="I311" s="214"/>
      <c r="J311" s="214"/>
      <c r="K311" s="214"/>
      <c r="L311" s="216" t="s">
        <v>146</v>
      </c>
      <c r="M311" s="217">
        <f t="shared" ref="M311:M312" si="147">$E$283</f>
        <v>1</v>
      </c>
      <c r="N311" s="212" t="s">
        <v>278</v>
      </c>
      <c r="O311" s="219" t="s">
        <v>284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ht="19.5" customHeight="1">
      <c r="A312" s="1"/>
      <c r="B312" s="211">
        <v>20.0</v>
      </c>
      <c r="C312" s="131" t="s">
        <v>34</v>
      </c>
      <c r="D312" s="212" t="s">
        <v>291</v>
      </c>
      <c r="E312" s="213" t="s">
        <v>292</v>
      </c>
      <c r="F312" s="214"/>
      <c r="G312" s="215" t="s">
        <v>144</v>
      </c>
      <c r="H312" s="214"/>
      <c r="I312" s="214"/>
      <c r="J312" s="214"/>
      <c r="K312" s="214"/>
      <c r="L312" s="216" t="s">
        <v>146</v>
      </c>
      <c r="M312" s="217">
        <f t="shared" si="147"/>
        <v>1</v>
      </c>
      <c r="N312" s="212" t="s">
        <v>278</v>
      </c>
      <c r="O312" s="219" t="s">
        <v>284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ht="19.5" customHeight="1">
      <c r="A314" s="1"/>
      <c r="B314" s="9"/>
      <c r="C314" s="229"/>
      <c r="D314" s="230" t="s">
        <v>553</v>
      </c>
      <c r="E314" s="13"/>
      <c r="F314" s="13"/>
      <c r="G314" s="13"/>
      <c r="H314" s="13"/>
      <c r="I314" s="13"/>
      <c r="J314" s="13"/>
      <c r="K314" s="13"/>
      <c r="L314" s="14"/>
      <c r="M314" s="15" t="s">
        <v>8</v>
      </c>
      <c r="N314" s="16"/>
      <c r="O314" s="17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ht="19.5" customHeight="1">
      <c r="A315" s="1"/>
      <c r="B315" s="22"/>
      <c r="C315" s="22"/>
      <c r="D315" s="24" t="s">
        <v>16</v>
      </c>
      <c r="E315" s="28">
        <f>SUMIFS('Plan de ventas'!$O$48:$O$60,'Plan de ventas'!$B$48:$B$60,D324)*1000</f>
        <v>60611.61472</v>
      </c>
      <c r="F315" s="29"/>
      <c r="G315" s="29"/>
      <c r="H315" s="29"/>
      <c r="I315" s="29"/>
      <c r="J315" s="29"/>
      <c r="K315" s="29"/>
      <c r="L315" s="29"/>
      <c r="M315" s="30"/>
      <c r="O315" s="3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ht="19.5" customHeight="1">
      <c r="A316" s="1"/>
      <c r="B316" s="45" t="s">
        <v>41</v>
      </c>
      <c r="C316" s="38"/>
      <c r="D316" s="43"/>
      <c r="E316" s="46">
        <v>1.0</v>
      </c>
      <c r="F316" s="47" t="str">
        <f>"Línea: Budines     |     Versión n°: 1"&amp;CHAR(10)&amp;CHAR(10)&amp;"Lote = "&amp;E316&amp;" cajas × "&amp;E317&amp;" unid./caja = "&amp;(E316*E317)&amp;" unidades"&amp;CHAR(10)&amp;"Producto terminado = "&amp;TEXT(E320,"#,##0.00")&amp;" kg"&amp;CHAR(10)&amp;"Mezcla a preparar = "&amp;TEXT(E321,"#,##0.00")&amp;" kg   (rendimiento "&amp;TEXT(E319,"0%")&amp;")"</f>
        <v>Línea: Budines     |     Versión n°: 1
Lote = 1 cajas × 12 unid./caja = 12 unidades
Producto terminado = 2,40 kg
Mezcla a preparar = 2,82 kg   (rendimiento 85%)</v>
      </c>
      <c r="G316" s="48"/>
      <c r="H316" s="48"/>
      <c r="I316" s="48"/>
      <c r="J316" s="48"/>
      <c r="K316" s="48"/>
      <c r="L316" s="49"/>
      <c r="M316" s="30"/>
      <c r="O316" s="3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ht="19.5" customHeight="1">
      <c r="A317" s="1"/>
      <c r="B317" s="45" t="s">
        <v>62</v>
      </c>
      <c r="C317" s="38"/>
      <c r="D317" s="43"/>
      <c r="E317" s="46">
        <v>12.0</v>
      </c>
      <c r="F317" s="65"/>
      <c r="L317" s="31"/>
      <c r="M317" s="30"/>
      <c r="O317" s="3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ht="19.5" customHeight="1">
      <c r="A318" s="1"/>
      <c r="B318" s="45" t="s">
        <v>75</v>
      </c>
      <c r="C318" s="38"/>
      <c r="D318" s="43"/>
      <c r="E318" s="46">
        <v>200.0</v>
      </c>
      <c r="F318" s="65"/>
      <c r="L318" s="31"/>
      <c r="M318" s="30"/>
      <c r="O318" s="3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ht="19.5" customHeight="1">
      <c r="A319" s="1"/>
      <c r="B319" s="45" t="s">
        <v>83</v>
      </c>
      <c r="C319" s="38"/>
      <c r="D319" s="43"/>
      <c r="E319" s="88">
        <v>0.85</v>
      </c>
      <c r="F319" s="65"/>
      <c r="L319" s="31"/>
      <c r="M319" s="30"/>
      <c r="O319" s="3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ht="19.5" customHeight="1">
      <c r="A320" s="1"/>
      <c r="B320" s="45" t="s">
        <v>88</v>
      </c>
      <c r="C320" s="38"/>
      <c r="D320" s="43"/>
      <c r="E320" s="92">
        <f>E316*E317*E318/1000</f>
        <v>2.4</v>
      </c>
      <c r="F320" s="65"/>
      <c r="L320" s="31"/>
      <c r="M320" s="30"/>
      <c r="O320" s="3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ht="19.5" customHeight="1">
      <c r="A321" s="1"/>
      <c r="B321" s="45" t="s">
        <v>96</v>
      </c>
      <c r="C321" s="38"/>
      <c r="D321" s="43"/>
      <c r="E321" s="92">
        <f>E320/E319</f>
        <v>2.823529412</v>
      </c>
      <c r="F321" s="98"/>
      <c r="G321" s="99"/>
      <c r="H321" s="99"/>
      <c r="I321" s="99"/>
      <c r="J321" s="99"/>
      <c r="K321" s="99"/>
      <c r="L321" s="100"/>
      <c r="M321" s="101"/>
      <c r="N321" s="99"/>
      <c r="O321" s="100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ht="19.5" customHeight="1">
      <c r="A322" s="1"/>
      <c r="B322" s="110" t="s">
        <v>113</v>
      </c>
      <c r="C322" s="233"/>
      <c r="D322" s="112" t="s">
        <v>321</v>
      </c>
      <c r="E322" s="112" t="s">
        <v>116</v>
      </c>
      <c r="F322" s="113" t="s">
        <v>117</v>
      </c>
      <c r="G322" s="38"/>
      <c r="H322" s="38"/>
      <c r="I322" s="38"/>
      <c r="J322" s="38"/>
      <c r="K322" s="40"/>
      <c r="L322" s="112" t="s">
        <v>46</v>
      </c>
      <c r="M322" s="112" t="s">
        <v>120</v>
      </c>
      <c r="N322" s="112" t="s">
        <v>121</v>
      </c>
      <c r="O322" s="112" t="s">
        <v>122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ht="19.5" customHeight="1">
      <c r="A323" s="1"/>
      <c r="B323" s="117"/>
      <c r="C323" s="233"/>
      <c r="D323" s="118"/>
      <c r="E323" s="118"/>
      <c r="F323" s="119" t="s">
        <v>129</v>
      </c>
      <c r="G323" s="119" t="s">
        <v>131</v>
      </c>
      <c r="H323" s="119" t="s">
        <v>132</v>
      </c>
      <c r="I323" s="119" t="s">
        <v>133</v>
      </c>
      <c r="J323" s="119" t="s">
        <v>134</v>
      </c>
      <c r="K323" s="119" t="s">
        <v>135</v>
      </c>
      <c r="L323" s="118"/>
      <c r="M323" s="118"/>
      <c r="N323" s="118"/>
      <c r="O323" s="118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ht="19.5" customHeight="1">
      <c r="A324" s="1"/>
      <c r="B324" s="234">
        <v>1.0</v>
      </c>
      <c r="C324" s="235"/>
      <c r="D324" s="236" t="s">
        <v>35</v>
      </c>
      <c r="E324" s="237" t="s">
        <v>591</v>
      </c>
      <c r="F324" s="124" t="s">
        <v>144</v>
      </c>
      <c r="G324" s="126"/>
      <c r="H324" s="126"/>
      <c r="I324" s="126"/>
      <c r="J324" s="126"/>
      <c r="K324" s="126"/>
      <c r="L324" s="238" t="s">
        <v>146</v>
      </c>
      <c r="M324" s="239">
        <f>$E$316</f>
        <v>1</v>
      </c>
      <c r="N324" s="236" t="s">
        <v>147</v>
      </c>
      <c r="O324" s="240" t="s">
        <v>148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ht="19.5" customHeight="1">
      <c r="A325" s="1"/>
      <c r="B325" s="130">
        <v>2.0</v>
      </c>
      <c r="C325" s="131" t="s">
        <v>35</v>
      </c>
      <c r="D325" s="132" t="s">
        <v>177</v>
      </c>
      <c r="E325" s="133" t="s">
        <v>503</v>
      </c>
      <c r="F325" s="134"/>
      <c r="G325" s="135" t="s">
        <v>144</v>
      </c>
      <c r="H325" s="134"/>
      <c r="I325" s="134"/>
      <c r="J325" s="134"/>
      <c r="K325" s="134"/>
      <c r="L325" s="137">
        <v>0.2</v>
      </c>
      <c r="M325" s="138">
        <f t="shared" ref="M325:M340" si="148">$E$321*L325</f>
        <v>0.5647058824</v>
      </c>
      <c r="N325" s="132" t="s">
        <v>157</v>
      </c>
      <c r="O325" s="139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ht="19.5" customHeight="1">
      <c r="A326" s="1"/>
      <c r="B326" s="130">
        <v>3.0</v>
      </c>
      <c r="C326" s="131" t="s">
        <v>35</v>
      </c>
      <c r="D326" s="132" t="s">
        <v>332</v>
      </c>
      <c r="E326" s="133" t="s">
        <v>512</v>
      </c>
      <c r="F326" s="134"/>
      <c r="G326" s="135" t="s">
        <v>144</v>
      </c>
      <c r="H326" s="134"/>
      <c r="I326" s="134"/>
      <c r="J326" s="134"/>
      <c r="K326" s="134"/>
      <c r="L326" s="137">
        <v>0.15</v>
      </c>
      <c r="M326" s="138">
        <f t="shared" si="148"/>
        <v>0.4235294118</v>
      </c>
      <c r="N326" s="132" t="s">
        <v>157</v>
      </c>
      <c r="O326" s="139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ht="19.5" customHeight="1">
      <c r="A327" s="1"/>
      <c r="B327" s="130">
        <v>4.0</v>
      </c>
      <c r="C327" s="131" t="s">
        <v>35</v>
      </c>
      <c r="D327" s="132" t="s">
        <v>123</v>
      </c>
      <c r="E327" s="133" t="s">
        <v>163</v>
      </c>
      <c r="F327" s="134"/>
      <c r="G327" s="135" t="s">
        <v>144</v>
      </c>
      <c r="H327" s="134"/>
      <c r="I327" s="134"/>
      <c r="J327" s="134"/>
      <c r="K327" s="134"/>
      <c r="L327" s="137">
        <v>0.13</v>
      </c>
      <c r="M327" s="138">
        <f t="shared" si="148"/>
        <v>0.3670588235</v>
      </c>
      <c r="N327" s="132" t="s">
        <v>157</v>
      </c>
      <c r="O327" s="139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ht="19.5" customHeight="1">
      <c r="A328" s="1"/>
      <c r="B328" s="130">
        <v>5.0</v>
      </c>
      <c r="C328" s="131" t="s">
        <v>35</v>
      </c>
      <c r="D328" s="132" t="s">
        <v>63</v>
      </c>
      <c r="E328" s="133" t="s">
        <v>153</v>
      </c>
      <c r="F328" s="134"/>
      <c r="G328" s="135" t="s">
        <v>144</v>
      </c>
      <c r="H328" s="134"/>
      <c r="I328" s="134"/>
      <c r="J328" s="134"/>
      <c r="K328" s="134"/>
      <c r="L328" s="137">
        <v>0.11</v>
      </c>
      <c r="M328" s="138">
        <f t="shared" si="148"/>
        <v>0.3105882353</v>
      </c>
      <c r="N328" s="132" t="s">
        <v>157</v>
      </c>
      <c r="O328" s="139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ht="19.5" customHeight="1">
      <c r="A329" s="1"/>
      <c r="B329" s="130">
        <v>6.0</v>
      </c>
      <c r="C329" s="131" t="s">
        <v>35</v>
      </c>
      <c r="D329" s="132" t="s">
        <v>324</v>
      </c>
      <c r="E329" s="133" t="s">
        <v>501</v>
      </c>
      <c r="F329" s="134"/>
      <c r="G329" s="135" t="s">
        <v>144</v>
      </c>
      <c r="H329" s="134"/>
      <c r="I329" s="134"/>
      <c r="J329" s="134"/>
      <c r="K329" s="134"/>
      <c r="L329" s="137">
        <v>0.1</v>
      </c>
      <c r="M329" s="138">
        <f t="shared" si="148"/>
        <v>0.2823529412</v>
      </c>
      <c r="N329" s="132" t="s">
        <v>157</v>
      </c>
      <c r="O329" s="139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ht="19.5" customHeight="1">
      <c r="A330" s="1"/>
      <c r="B330" s="130">
        <v>7.0</v>
      </c>
      <c r="C330" s="131" t="s">
        <v>35</v>
      </c>
      <c r="D330" s="132" t="s">
        <v>173</v>
      </c>
      <c r="E330" s="133" t="s">
        <v>186</v>
      </c>
      <c r="F330" s="134"/>
      <c r="G330" s="135" t="s">
        <v>144</v>
      </c>
      <c r="H330" s="134"/>
      <c r="I330" s="134"/>
      <c r="J330" s="134"/>
      <c r="K330" s="134"/>
      <c r="L330" s="137">
        <v>0.09</v>
      </c>
      <c r="M330" s="138">
        <f t="shared" si="148"/>
        <v>0.2541176471</v>
      </c>
      <c r="N330" s="132" t="s">
        <v>157</v>
      </c>
      <c r="O330" s="139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ht="19.5" customHeight="1">
      <c r="A331" s="1"/>
      <c r="B331" s="130">
        <v>8.0</v>
      </c>
      <c r="C331" s="131" t="s">
        <v>35</v>
      </c>
      <c r="D331" s="132" t="s">
        <v>158</v>
      </c>
      <c r="E331" s="133" t="s">
        <v>208</v>
      </c>
      <c r="F331" s="134"/>
      <c r="G331" s="135" t="s">
        <v>144</v>
      </c>
      <c r="H331" s="134"/>
      <c r="I331" s="134"/>
      <c r="J331" s="134"/>
      <c r="K331" s="134"/>
      <c r="L331" s="137">
        <v>0.06</v>
      </c>
      <c r="M331" s="138">
        <f t="shared" si="148"/>
        <v>0.1694117647</v>
      </c>
      <c r="N331" s="132" t="s">
        <v>157</v>
      </c>
      <c r="O331" s="139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ht="19.5" customHeight="1">
      <c r="A332" s="1"/>
      <c r="B332" s="130">
        <v>9.0</v>
      </c>
      <c r="C332" s="131" t="s">
        <v>35</v>
      </c>
      <c r="D332" s="132" t="s">
        <v>293</v>
      </c>
      <c r="E332" s="133" t="s">
        <v>372</v>
      </c>
      <c r="F332" s="134"/>
      <c r="G332" s="135" t="s">
        <v>144</v>
      </c>
      <c r="H332" s="134"/>
      <c r="I332" s="134"/>
      <c r="J332" s="134"/>
      <c r="K332" s="134"/>
      <c r="L332" s="137">
        <v>0.05</v>
      </c>
      <c r="M332" s="138">
        <f t="shared" si="148"/>
        <v>0.1411764706</v>
      </c>
      <c r="N332" s="132" t="s">
        <v>157</v>
      </c>
      <c r="O332" s="139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ht="19.5" customHeight="1">
      <c r="A333" s="1"/>
      <c r="B333" s="130">
        <v>10.0</v>
      </c>
      <c r="C333" s="131" t="s">
        <v>35</v>
      </c>
      <c r="D333" s="132" t="s">
        <v>243</v>
      </c>
      <c r="E333" s="133" t="s">
        <v>346</v>
      </c>
      <c r="F333" s="134"/>
      <c r="G333" s="135" t="s">
        <v>144</v>
      </c>
      <c r="H333" s="134"/>
      <c r="I333" s="134"/>
      <c r="J333" s="134"/>
      <c r="K333" s="134"/>
      <c r="L333" s="137">
        <v>0.04</v>
      </c>
      <c r="M333" s="138">
        <f t="shared" si="148"/>
        <v>0.1129411765</v>
      </c>
      <c r="N333" s="132" t="s">
        <v>157</v>
      </c>
      <c r="O333" s="139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ht="19.5" customHeight="1">
      <c r="A334" s="1"/>
      <c r="B334" s="130">
        <v>11.0</v>
      </c>
      <c r="C334" s="131" t="s">
        <v>35</v>
      </c>
      <c r="D334" s="132" t="s">
        <v>319</v>
      </c>
      <c r="E334" s="133" t="s">
        <v>459</v>
      </c>
      <c r="F334" s="134"/>
      <c r="G334" s="135" t="s">
        <v>144</v>
      </c>
      <c r="H334" s="134"/>
      <c r="I334" s="134"/>
      <c r="J334" s="134"/>
      <c r="K334" s="134"/>
      <c r="L334" s="137">
        <v>0.02</v>
      </c>
      <c r="M334" s="138">
        <f t="shared" si="148"/>
        <v>0.05647058824</v>
      </c>
      <c r="N334" s="132" t="s">
        <v>157</v>
      </c>
      <c r="O334" s="139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ht="19.5" customHeight="1">
      <c r="A335" s="1"/>
      <c r="B335" s="130">
        <v>12.0</v>
      </c>
      <c r="C335" s="131" t="s">
        <v>35</v>
      </c>
      <c r="D335" s="132" t="s">
        <v>309</v>
      </c>
      <c r="E335" s="133" t="s">
        <v>378</v>
      </c>
      <c r="F335" s="134"/>
      <c r="G335" s="135" t="s">
        <v>144</v>
      </c>
      <c r="H335" s="134"/>
      <c r="I335" s="134"/>
      <c r="J335" s="134"/>
      <c r="K335" s="134"/>
      <c r="L335" s="137">
        <v>0.02</v>
      </c>
      <c r="M335" s="138">
        <f t="shared" si="148"/>
        <v>0.05647058824</v>
      </c>
      <c r="N335" s="132" t="s">
        <v>157</v>
      </c>
      <c r="O335" s="139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ht="19.5" customHeight="1">
      <c r="A336" s="1"/>
      <c r="B336" s="130">
        <v>13.0</v>
      </c>
      <c r="C336" s="131" t="s">
        <v>35</v>
      </c>
      <c r="D336" s="132" t="s">
        <v>89</v>
      </c>
      <c r="E336" s="133" t="s">
        <v>214</v>
      </c>
      <c r="F336" s="134"/>
      <c r="G336" s="135" t="s">
        <v>144</v>
      </c>
      <c r="H336" s="134"/>
      <c r="I336" s="134"/>
      <c r="J336" s="134"/>
      <c r="K336" s="134"/>
      <c r="L336" s="137">
        <v>0.01</v>
      </c>
      <c r="M336" s="138">
        <f t="shared" si="148"/>
        <v>0.02823529412</v>
      </c>
      <c r="N336" s="132" t="s">
        <v>157</v>
      </c>
      <c r="O336" s="139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ht="19.5" customHeight="1">
      <c r="A337" s="1"/>
      <c r="B337" s="130">
        <v>14.0</v>
      </c>
      <c r="C337" s="131" t="s">
        <v>35</v>
      </c>
      <c r="D337" s="132" t="s">
        <v>105</v>
      </c>
      <c r="E337" s="133" t="s">
        <v>473</v>
      </c>
      <c r="F337" s="134"/>
      <c r="G337" s="135" t="s">
        <v>144</v>
      </c>
      <c r="H337" s="134"/>
      <c r="I337" s="134"/>
      <c r="J337" s="134"/>
      <c r="K337" s="134"/>
      <c r="L337" s="137">
        <v>0.01</v>
      </c>
      <c r="M337" s="138">
        <f t="shared" si="148"/>
        <v>0.02823529412</v>
      </c>
      <c r="N337" s="132" t="s">
        <v>157</v>
      </c>
      <c r="O337" s="139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ht="19.5" customHeight="1">
      <c r="A338" s="1"/>
      <c r="B338" s="130">
        <v>15.0</v>
      </c>
      <c r="C338" s="131" t="s">
        <v>35</v>
      </c>
      <c r="D338" s="132" t="s">
        <v>215</v>
      </c>
      <c r="E338" s="133" t="s">
        <v>235</v>
      </c>
      <c r="F338" s="134"/>
      <c r="G338" s="135" t="s">
        <v>144</v>
      </c>
      <c r="H338" s="134"/>
      <c r="I338" s="134"/>
      <c r="J338" s="134"/>
      <c r="K338" s="134"/>
      <c r="L338" s="137">
        <v>0.005</v>
      </c>
      <c r="M338" s="138">
        <f t="shared" si="148"/>
        <v>0.01411764706</v>
      </c>
      <c r="N338" s="132" t="s">
        <v>157</v>
      </c>
      <c r="O338" s="139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ht="19.5" customHeight="1">
      <c r="A339" s="1"/>
      <c r="B339" s="130">
        <v>16.0</v>
      </c>
      <c r="C339" s="131" t="s">
        <v>35</v>
      </c>
      <c r="D339" s="132" t="s">
        <v>76</v>
      </c>
      <c r="E339" s="133" t="s">
        <v>218</v>
      </c>
      <c r="F339" s="134"/>
      <c r="G339" s="135" t="s">
        <v>144</v>
      </c>
      <c r="H339" s="134"/>
      <c r="I339" s="134"/>
      <c r="J339" s="134"/>
      <c r="K339" s="134"/>
      <c r="L339" s="137">
        <v>0.003</v>
      </c>
      <c r="M339" s="138">
        <f t="shared" si="148"/>
        <v>0.008470588235</v>
      </c>
      <c r="N339" s="132" t="s">
        <v>157</v>
      </c>
      <c r="O339" s="139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ht="19.5" customHeight="1">
      <c r="A340" s="1"/>
      <c r="B340" s="130">
        <v>17.0</v>
      </c>
      <c r="C340" s="131" t="s">
        <v>35</v>
      </c>
      <c r="D340" s="132" t="s">
        <v>335</v>
      </c>
      <c r="E340" s="133" t="s">
        <v>513</v>
      </c>
      <c r="F340" s="134"/>
      <c r="G340" s="135" t="s">
        <v>144</v>
      </c>
      <c r="H340" s="134"/>
      <c r="I340" s="134"/>
      <c r="J340" s="134"/>
      <c r="K340" s="134"/>
      <c r="L340" s="137">
        <v>0.002</v>
      </c>
      <c r="M340" s="138">
        <f t="shared" si="148"/>
        <v>0.005647058824</v>
      </c>
      <c r="N340" s="132" t="s">
        <v>157</v>
      </c>
      <c r="O340" s="139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ht="19.5" customHeight="1">
      <c r="A341" s="1"/>
      <c r="B341" s="191"/>
      <c r="C341" s="192"/>
      <c r="D341" s="45" t="s">
        <v>266</v>
      </c>
      <c r="E341" s="38"/>
      <c r="F341" s="38"/>
      <c r="G341" s="38"/>
      <c r="H341" s="38"/>
      <c r="I341" s="38"/>
      <c r="J341" s="38"/>
      <c r="K341" s="43"/>
      <c r="L341" s="194">
        <f t="shared" ref="L341:M341" si="149">L325+L326+L327+L328+L329+L330+L331+L332+L333+L334+L335+L336+L337+L338+L339+L340</f>
        <v>1</v>
      </c>
      <c r="M341" s="197">
        <f t="shared" si="149"/>
        <v>2.823529412</v>
      </c>
      <c r="N341" s="199" t="s">
        <v>157</v>
      </c>
      <c r="O341" s="200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ht="19.5" customHeight="1">
      <c r="A342" s="1"/>
      <c r="B342" s="208" t="s">
        <v>273</v>
      </c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40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ht="19.5" customHeight="1">
      <c r="A343" s="1"/>
      <c r="B343" s="211">
        <v>18.0</v>
      </c>
      <c r="C343" s="131" t="s">
        <v>35</v>
      </c>
      <c r="D343" s="212" t="s">
        <v>538</v>
      </c>
      <c r="E343" s="213" t="s">
        <v>540</v>
      </c>
      <c r="F343" s="214"/>
      <c r="G343" s="215" t="s">
        <v>144</v>
      </c>
      <c r="H343" s="214"/>
      <c r="I343" s="214"/>
      <c r="J343" s="214"/>
      <c r="K343" s="214"/>
      <c r="L343" s="216" t="s">
        <v>146</v>
      </c>
      <c r="M343" s="217">
        <f t="shared" ref="M343:M344" si="150">$E$316*$E$317</f>
        <v>12</v>
      </c>
      <c r="N343" s="212" t="s">
        <v>278</v>
      </c>
      <c r="O343" s="219" t="s">
        <v>279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ht="19.5" customHeight="1">
      <c r="A344" s="1"/>
      <c r="B344" s="211">
        <v>19.0</v>
      </c>
      <c r="C344" s="131" t="s">
        <v>35</v>
      </c>
      <c r="D344" s="212" t="s">
        <v>276</v>
      </c>
      <c r="E344" s="213" t="s">
        <v>277</v>
      </c>
      <c r="F344" s="214"/>
      <c r="G344" s="215" t="s">
        <v>144</v>
      </c>
      <c r="H344" s="214"/>
      <c r="I344" s="214"/>
      <c r="J344" s="214"/>
      <c r="K344" s="214"/>
      <c r="L344" s="216" t="s">
        <v>146</v>
      </c>
      <c r="M344" s="217">
        <f t="shared" si="150"/>
        <v>12</v>
      </c>
      <c r="N344" s="212" t="s">
        <v>278</v>
      </c>
      <c r="O344" s="219" t="s">
        <v>279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ht="19.5" customHeight="1">
      <c r="A345" s="1"/>
      <c r="B345" s="211">
        <v>20.0</v>
      </c>
      <c r="C345" s="131" t="s">
        <v>35</v>
      </c>
      <c r="D345" s="212" t="s">
        <v>282</v>
      </c>
      <c r="E345" s="213" t="s">
        <v>283</v>
      </c>
      <c r="F345" s="214"/>
      <c r="G345" s="215" t="s">
        <v>144</v>
      </c>
      <c r="H345" s="214"/>
      <c r="I345" s="214"/>
      <c r="J345" s="214"/>
      <c r="K345" s="214"/>
      <c r="L345" s="216" t="s">
        <v>146</v>
      </c>
      <c r="M345" s="217">
        <f t="shared" ref="M345:M346" si="151">$E$316</f>
        <v>1</v>
      </c>
      <c r="N345" s="212" t="s">
        <v>278</v>
      </c>
      <c r="O345" s="219" t="s">
        <v>284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ht="19.5" customHeight="1">
      <c r="A346" s="1"/>
      <c r="B346" s="211">
        <v>21.0</v>
      </c>
      <c r="C346" s="131" t="s">
        <v>35</v>
      </c>
      <c r="D346" s="212" t="s">
        <v>291</v>
      </c>
      <c r="E346" s="213" t="s">
        <v>292</v>
      </c>
      <c r="F346" s="214"/>
      <c r="G346" s="215" t="s">
        <v>144</v>
      </c>
      <c r="H346" s="214"/>
      <c r="I346" s="214"/>
      <c r="J346" s="214"/>
      <c r="K346" s="214"/>
      <c r="L346" s="216" t="s">
        <v>146</v>
      </c>
      <c r="M346" s="217">
        <f t="shared" si="151"/>
        <v>1</v>
      </c>
      <c r="N346" s="212" t="s">
        <v>278</v>
      </c>
      <c r="O346" s="219" t="s">
        <v>284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</sheetData>
  <mergeCells count="236">
    <mergeCell ref="AM21:AM22"/>
    <mergeCell ref="AN21:AQ21"/>
    <mergeCell ref="AN22:AO22"/>
    <mergeCell ref="AP22:AQ22"/>
    <mergeCell ref="AN4:AQ4"/>
    <mergeCell ref="AR4:AS5"/>
    <mergeCell ref="AN5:AO5"/>
    <mergeCell ref="AP5:AQ5"/>
    <mergeCell ref="AK20:AS20"/>
    <mergeCell ref="AK21:AK22"/>
    <mergeCell ref="AL21:AL22"/>
    <mergeCell ref="AR21:AS22"/>
    <mergeCell ref="AL4:AL5"/>
    <mergeCell ref="AM4:AM5"/>
    <mergeCell ref="AW4:AX4"/>
    <mergeCell ref="AY4:AZ4"/>
    <mergeCell ref="BA4:BB4"/>
    <mergeCell ref="BC4:BD4"/>
    <mergeCell ref="AU20:BG20"/>
    <mergeCell ref="AW21:AX21"/>
    <mergeCell ref="AY21:AZ21"/>
    <mergeCell ref="BA21:BB21"/>
    <mergeCell ref="BC21:BD21"/>
    <mergeCell ref="B5:D5"/>
    <mergeCell ref="B6:D6"/>
    <mergeCell ref="D2:L2"/>
    <mergeCell ref="M2:O9"/>
    <mergeCell ref="AK3:AS3"/>
    <mergeCell ref="AU3:BG3"/>
    <mergeCell ref="B4:D4"/>
    <mergeCell ref="F4:L9"/>
    <mergeCell ref="AK4:AK5"/>
    <mergeCell ref="B9:D9"/>
    <mergeCell ref="L10:L11"/>
    <mergeCell ref="M10:M11"/>
    <mergeCell ref="N10:N11"/>
    <mergeCell ref="O10:O11"/>
    <mergeCell ref="B7:D7"/>
    <mergeCell ref="B8:D8"/>
    <mergeCell ref="B10:B11"/>
    <mergeCell ref="C10:C11"/>
    <mergeCell ref="D10:D11"/>
    <mergeCell ref="E10:E11"/>
    <mergeCell ref="F10:K10"/>
    <mergeCell ref="B41:D41"/>
    <mergeCell ref="B42:D42"/>
    <mergeCell ref="F45:K45"/>
    <mergeCell ref="L45:L46"/>
    <mergeCell ref="M45:M46"/>
    <mergeCell ref="N45:N46"/>
    <mergeCell ref="O45:O46"/>
    <mergeCell ref="D31:K31"/>
    <mergeCell ref="B32:O32"/>
    <mergeCell ref="D37:L37"/>
    <mergeCell ref="M37:O44"/>
    <mergeCell ref="B39:D39"/>
    <mergeCell ref="F39:L44"/>
    <mergeCell ref="B40:D40"/>
    <mergeCell ref="B43:D43"/>
    <mergeCell ref="B44:D44"/>
    <mergeCell ref="B45:B46"/>
    <mergeCell ref="D45:D46"/>
    <mergeCell ref="E45:E46"/>
    <mergeCell ref="D62:K62"/>
    <mergeCell ref="B63:O63"/>
    <mergeCell ref="F76:K76"/>
    <mergeCell ref="L76:L77"/>
    <mergeCell ref="M76:M77"/>
    <mergeCell ref="N76:N77"/>
    <mergeCell ref="O76:O77"/>
    <mergeCell ref="D68:L68"/>
    <mergeCell ref="M68:O75"/>
    <mergeCell ref="B70:D70"/>
    <mergeCell ref="F70:L75"/>
    <mergeCell ref="B71:D71"/>
    <mergeCell ref="B72:D72"/>
    <mergeCell ref="B73:D73"/>
    <mergeCell ref="B74:D74"/>
    <mergeCell ref="B75:D75"/>
    <mergeCell ref="B76:B77"/>
    <mergeCell ref="D76:D77"/>
    <mergeCell ref="E76:E77"/>
    <mergeCell ref="D90:K90"/>
    <mergeCell ref="B91:O91"/>
    <mergeCell ref="B166:D166"/>
    <mergeCell ref="B167:D167"/>
    <mergeCell ref="B168:B169"/>
    <mergeCell ref="D168:D169"/>
    <mergeCell ref="E168:E169"/>
    <mergeCell ref="M168:M169"/>
    <mergeCell ref="N168:N169"/>
    <mergeCell ref="O168:O169"/>
    <mergeCell ref="D160:L160"/>
    <mergeCell ref="M160:O167"/>
    <mergeCell ref="B162:D162"/>
    <mergeCell ref="F162:L167"/>
    <mergeCell ref="B163:D163"/>
    <mergeCell ref="B164:D164"/>
    <mergeCell ref="B165:D165"/>
    <mergeCell ref="F104:K104"/>
    <mergeCell ref="L104:L105"/>
    <mergeCell ref="M104:M105"/>
    <mergeCell ref="N104:N105"/>
    <mergeCell ref="O104:O105"/>
    <mergeCell ref="D96:L96"/>
    <mergeCell ref="M96:O103"/>
    <mergeCell ref="B98:D98"/>
    <mergeCell ref="F98:L103"/>
    <mergeCell ref="B99:D99"/>
    <mergeCell ref="B100:D100"/>
    <mergeCell ref="B101:D101"/>
    <mergeCell ref="B102:D102"/>
    <mergeCell ref="B103:D103"/>
    <mergeCell ref="B104:B105"/>
    <mergeCell ref="D104:D105"/>
    <mergeCell ref="E104:E105"/>
    <mergeCell ref="D124:K124"/>
    <mergeCell ref="B125:O125"/>
    <mergeCell ref="F138:K138"/>
    <mergeCell ref="L138:L139"/>
    <mergeCell ref="M138:M139"/>
    <mergeCell ref="N138:N139"/>
    <mergeCell ref="O138:O139"/>
    <mergeCell ref="D130:L130"/>
    <mergeCell ref="M130:O137"/>
    <mergeCell ref="B132:D132"/>
    <mergeCell ref="F132:L137"/>
    <mergeCell ref="B133:D133"/>
    <mergeCell ref="B134:D134"/>
    <mergeCell ref="B135:D135"/>
    <mergeCell ref="B136:D136"/>
    <mergeCell ref="B137:D137"/>
    <mergeCell ref="B138:B139"/>
    <mergeCell ref="D138:D139"/>
    <mergeCell ref="E138:E139"/>
    <mergeCell ref="D154:K154"/>
    <mergeCell ref="B155:O155"/>
    <mergeCell ref="B192:D192"/>
    <mergeCell ref="B193:D193"/>
    <mergeCell ref="B194:D194"/>
    <mergeCell ref="B195:D195"/>
    <mergeCell ref="F198:K198"/>
    <mergeCell ref="L198:L199"/>
    <mergeCell ref="M198:M199"/>
    <mergeCell ref="N198:N199"/>
    <mergeCell ref="O198:O199"/>
    <mergeCell ref="F168:K168"/>
    <mergeCell ref="L168:L169"/>
    <mergeCell ref="D184:K184"/>
    <mergeCell ref="B185:O185"/>
    <mergeCell ref="D190:L190"/>
    <mergeCell ref="M190:O197"/>
    <mergeCell ref="F192:L197"/>
    <mergeCell ref="B196:D196"/>
    <mergeCell ref="B197:D197"/>
    <mergeCell ref="B198:B199"/>
    <mergeCell ref="D198:D199"/>
    <mergeCell ref="E198:E199"/>
    <mergeCell ref="D214:K214"/>
    <mergeCell ref="B215:O215"/>
    <mergeCell ref="F228:K228"/>
    <mergeCell ref="L228:L229"/>
    <mergeCell ref="M228:M229"/>
    <mergeCell ref="N228:N229"/>
    <mergeCell ref="O228:O229"/>
    <mergeCell ref="D220:L220"/>
    <mergeCell ref="M220:O227"/>
    <mergeCell ref="B222:D222"/>
    <mergeCell ref="F222:L227"/>
    <mergeCell ref="B223:D223"/>
    <mergeCell ref="B224:D224"/>
    <mergeCell ref="B225:D225"/>
    <mergeCell ref="B226:D226"/>
    <mergeCell ref="B227:D227"/>
    <mergeCell ref="B228:B229"/>
    <mergeCell ref="D228:D229"/>
    <mergeCell ref="E228:E229"/>
    <mergeCell ref="D246:K246"/>
    <mergeCell ref="B247:O247"/>
    <mergeCell ref="B320:D320"/>
    <mergeCell ref="B321:D321"/>
    <mergeCell ref="B322:B323"/>
    <mergeCell ref="D322:D323"/>
    <mergeCell ref="E322:E323"/>
    <mergeCell ref="M322:M323"/>
    <mergeCell ref="N322:N323"/>
    <mergeCell ref="O322:O323"/>
    <mergeCell ref="D314:L314"/>
    <mergeCell ref="M314:O321"/>
    <mergeCell ref="B316:D316"/>
    <mergeCell ref="F316:L321"/>
    <mergeCell ref="B317:D317"/>
    <mergeCell ref="B318:D318"/>
    <mergeCell ref="B319:D319"/>
    <mergeCell ref="F260:K260"/>
    <mergeCell ref="L260:L261"/>
    <mergeCell ref="M260:M261"/>
    <mergeCell ref="N260:N261"/>
    <mergeCell ref="O260:O261"/>
    <mergeCell ref="D252:L252"/>
    <mergeCell ref="M252:O259"/>
    <mergeCell ref="B254:D254"/>
    <mergeCell ref="F254:L259"/>
    <mergeCell ref="B255:D255"/>
    <mergeCell ref="B256:D256"/>
    <mergeCell ref="B257:D257"/>
    <mergeCell ref="B258:D258"/>
    <mergeCell ref="B259:D259"/>
    <mergeCell ref="B260:B261"/>
    <mergeCell ref="D260:D261"/>
    <mergeCell ref="E260:E261"/>
    <mergeCell ref="D275:K275"/>
    <mergeCell ref="B276:O276"/>
    <mergeCell ref="F289:K289"/>
    <mergeCell ref="L289:L290"/>
    <mergeCell ref="M289:M290"/>
    <mergeCell ref="N289:N290"/>
    <mergeCell ref="O289:O290"/>
    <mergeCell ref="D281:L281"/>
    <mergeCell ref="M281:O288"/>
    <mergeCell ref="B283:D283"/>
    <mergeCell ref="F283:L288"/>
    <mergeCell ref="B284:D284"/>
    <mergeCell ref="B285:D285"/>
    <mergeCell ref="B286:D286"/>
    <mergeCell ref="B287:D287"/>
    <mergeCell ref="B288:D288"/>
    <mergeCell ref="B289:B290"/>
    <mergeCell ref="D289:D290"/>
    <mergeCell ref="E289:E290"/>
    <mergeCell ref="D307:K307"/>
    <mergeCell ref="B308:O308"/>
    <mergeCell ref="F322:K322"/>
    <mergeCell ref="L322:L323"/>
    <mergeCell ref="D341:K341"/>
    <mergeCell ref="B342:O342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4" width="9.14"/>
    <col customWidth="1" min="5" max="5" width="46.29"/>
    <col customWidth="1" min="6" max="11" width="4.29"/>
    <col customWidth="1" min="12" max="14" width="11.29"/>
    <col customWidth="1" min="15" max="15" width="19.43"/>
    <col customWidth="1" min="18" max="18" width="12.14"/>
    <col customWidth="1" min="19" max="19" width="39.14"/>
    <col customWidth="1" min="33" max="33" width="9.43"/>
    <col customWidth="1" min="36" max="36" width="9.43"/>
    <col customWidth="1" min="37" max="37" width="26.14"/>
    <col customWidth="1" min="38" max="38" width="16.86"/>
    <col customWidth="1" min="40" max="40" width="9.86"/>
    <col customWidth="1" min="41" max="41" width="12.71"/>
    <col customWidth="1" min="42" max="42" width="9.86"/>
    <col customWidth="1" min="43" max="43" width="12.71"/>
    <col customWidth="1" min="46" max="46" width="11.86"/>
    <col customWidth="1" min="47" max="47" width="25.57"/>
    <col customWidth="1" min="48" max="48" width="27.0"/>
    <col customWidth="1" min="49" max="50" width="13.86"/>
    <col customWidth="1" min="51" max="51" width="16.71"/>
    <col customWidth="1" min="53" max="53" width="12.57"/>
    <col customWidth="1" min="55" max="55" width="11.14"/>
    <col customWidth="1" min="57" max="57" width="19.43"/>
    <col customWidth="1" min="58" max="58" width="18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ht="19.5" customHeight="1">
      <c r="A2" s="1"/>
      <c r="B2" s="9"/>
      <c r="C2" s="10"/>
      <c r="D2" s="12" t="s">
        <v>7</v>
      </c>
      <c r="E2" s="13"/>
      <c r="F2" s="13"/>
      <c r="G2" s="13"/>
      <c r="H2" s="13"/>
      <c r="I2" s="13"/>
      <c r="J2" s="13"/>
      <c r="K2" s="13"/>
      <c r="L2" s="14"/>
      <c r="M2" s="15" t="s">
        <v>8</v>
      </c>
      <c r="N2" s="16"/>
      <c r="O2" s="17"/>
      <c r="P2" s="1"/>
      <c r="Q2" s="1"/>
      <c r="R2" s="18" t="s">
        <v>10</v>
      </c>
      <c r="S2" s="1"/>
      <c r="T2" s="1"/>
      <c r="U2" s="1"/>
      <c r="V2" s="1"/>
      <c r="W2" s="1"/>
      <c r="X2" s="1"/>
      <c r="Y2" s="1"/>
      <c r="Z2" s="1"/>
      <c r="AA2" s="1"/>
      <c r="AB2" s="19" t="s">
        <v>11</v>
      </c>
      <c r="AC2" s="1"/>
      <c r="AD2" s="1"/>
      <c r="AE2" s="1"/>
      <c r="AF2" s="19" t="s">
        <v>11</v>
      </c>
      <c r="AG2" s="1"/>
      <c r="AH2" s="20">
        <f>AL6</f>
        <v>431449.2375</v>
      </c>
      <c r="AI2" s="20">
        <f>AL23</f>
        <v>395371.0719</v>
      </c>
      <c r="AJ2" s="1"/>
      <c r="AK2" s="21" t="s">
        <v>14</v>
      </c>
      <c r="AL2" s="1"/>
      <c r="AM2" s="1"/>
      <c r="AN2" s="1"/>
      <c r="AO2" s="1"/>
      <c r="AP2" s="1"/>
      <c r="AQ2" s="1"/>
      <c r="AR2" s="1"/>
      <c r="AS2" s="1"/>
      <c r="AT2" s="1"/>
      <c r="AU2" s="21" t="s">
        <v>14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9.5" customHeight="1">
      <c r="A3" s="1"/>
      <c r="B3" s="22"/>
      <c r="C3" s="22"/>
      <c r="D3" s="24" t="s">
        <v>16</v>
      </c>
      <c r="E3" s="28">
        <f>SUMIFS('Plan de ventas'!$O$48:$O$60,'Plan de ventas'!$B$48:$B$60,D12)*1000</f>
        <v>101019.3579</v>
      </c>
      <c r="F3" s="29"/>
      <c r="G3" s="29"/>
      <c r="H3" s="29"/>
      <c r="I3" s="29"/>
      <c r="J3" s="29"/>
      <c r="K3" s="29"/>
      <c r="L3" s="29"/>
      <c r="M3" s="30"/>
      <c r="O3" s="31"/>
      <c r="P3" s="1"/>
      <c r="Q3" s="1"/>
      <c r="R3" s="33" t="s">
        <v>20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28</v>
      </c>
      <c r="Y3" s="33" t="s">
        <v>29</v>
      </c>
      <c r="Z3" s="33" t="s">
        <v>30</v>
      </c>
      <c r="AA3" s="33" t="s">
        <v>31</v>
      </c>
      <c r="AB3" s="34" t="s">
        <v>32</v>
      </c>
      <c r="AC3" s="33" t="s">
        <v>33</v>
      </c>
      <c r="AD3" s="33" t="s">
        <v>34</v>
      </c>
      <c r="AE3" s="33" t="s">
        <v>35</v>
      </c>
      <c r="AF3" s="34" t="s">
        <v>37</v>
      </c>
      <c r="AG3" s="35"/>
      <c r="AH3" s="34" t="s">
        <v>32</v>
      </c>
      <c r="AI3" s="34" t="s">
        <v>37</v>
      </c>
      <c r="AJ3" s="35"/>
      <c r="AK3" s="37" t="s">
        <v>38</v>
      </c>
      <c r="AL3" s="38"/>
      <c r="AM3" s="38"/>
      <c r="AN3" s="38"/>
      <c r="AO3" s="38"/>
      <c r="AP3" s="38"/>
      <c r="AQ3" s="38"/>
      <c r="AR3" s="38"/>
      <c r="AS3" s="40"/>
      <c r="AT3" s="1"/>
      <c r="AU3" s="41" t="s">
        <v>40</v>
      </c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43"/>
      <c r="BH3" s="1"/>
      <c r="BI3" s="1"/>
      <c r="BJ3" s="1"/>
      <c r="BK3" s="1"/>
      <c r="BL3" s="1"/>
      <c r="BM3" s="44"/>
      <c r="BN3" s="44"/>
      <c r="BO3" s="44"/>
    </row>
    <row r="4" ht="19.5" customHeight="1">
      <c r="A4" s="1"/>
      <c r="B4" s="45" t="s">
        <v>41</v>
      </c>
      <c r="C4" s="38"/>
      <c r="D4" s="43"/>
      <c r="E4" s="46">
        <v>1.0</v>
      </c>
      <c r="F4" s="47" t="str">
        <f>"Línea: Gourmet     |     Versión n°: 1"&amp;CHAR(10)&amp;CHAR(10)&amp;"Lote = "&amp;E4&amp;" cajas × "&amp;E5&amp;" unid./caja = "&amp;(E4*E5)&amp;" unidades"&amp;CHAR(10)&amp;"Producto terminado = "&amp;TEXT(E8,"#,##0.00")&amp;" kg"&amp;CHAR(10)&amp;"Mezcla a preparar = "&amp;TEXT(E9,"#,##0.00")&amp;" kg   (rendimiento "&amp;TEXT(E7,"0%")&amp;")"</f>
        <v>Línea: Gourmet     |     Versión n°: 1
Lote = 1 cajas × 20 unid./caja = 20 unidades
Producto terminado = 3,00 kg
Mezcla a preparar = 3,41 kg   (rendimiento 88%)</v>
      </c>
      <c r="G4" s="48"/>
      <c r="H4" s="48"/>
      <c r="I4" s="48"/>
      <c r="J4" s="48"/>
      <c r="K4" s="48"/>
      <c r="L4" s="49"/>
      <c r="M4" s="30"/>
      <c r="O4" s="31"/>
      <c r="P4" s="1"/>
      <c r="Q4" s="1"/>
      <c r="R4" s="50"/>
      <c r="S4" s="51" t="s">
        <v>45</v>
      </c>
      <c r="T4" s="52">
        <f>SUMIFS('Plan de ventas'!$P$48:$P$60,'Plan de ventas'!$B$48:$B$60,T3)</f>
        <v>0.2816897441</v>
      </c>
      <c r="U4" s="52">
        <f>SUMIFS('Plan de ventas'!$P$48:$P$60,'Plan de ventas'!$B$48:$B$60,U3)</f>
        <v>0.03661966673</v>
      </c>
      <c r="V4" s="52">
        <f>SUMIFS('Plan de ventas'!$P$48:$P$60,'Plan de ventas'!$B$48:$B$60,V3)</f>
        <v>0.08544635853</v>
      </c>
      <c r="W4" s="52">
        <f>SUMIFS('Plan de ventas'!$P$48:$P$60,'Plan de ventas'!$B$48:$B$60,W3)</f>
        <v>0.2629108973</v>
      </c>
      <c r="X4" s="52">
        <f>SUMIFS('Plan de ventas'!$P$48:$P$60,'Plan de ventas'!$B$48:$B$60,X3)</f>
        <v>0.03661966673</v>
      </c>
      <c r="Y4" s="52">
        <f>SUMIFS('Plan de ventas'!$P$48:$P$60,'Plan de ventas'!$B$48:$B$60,Y3)</f>
        <v>0.08544635853</v>
      </c>
      <c r="Z4" s="52">
        <f>SUMIFS('Plan de ventas'!$P$48:$P$60,'Plan de ventas'!$B$48:$B$60,Z3)</f>
        <v>0.06338019242</v>
      </c>
      <c r="AA4" s="52">
        <f>SUMIFS('Plan de ventas'!$P$48:$P$60,'Plan de ventas'!$B$48:$B$60,AA3)</f>
        <v>0.1478871157</v>
      </c>
      <c r="AB4" s="54">
        <f>SUM(T4:AA4)</f>
        <v>1</v>
      </c>
      <c r="AC4" s="52">
        <f>SUMIFS('Plan de ventas'!$P$48:$P$60,'Plan de ventas'!$B$48:$B$60,AC3)</f>
        <v>0.3684209363</v>
      </c>
      <c r="AD4" s="52">
        <f>SUMIFS('Plan de ventas'!$P$48:$P$60,'Plan de ventas'!$B$48:$B$60,AD3)</f>
        <v>0.4421054393</v>
      </c>
      <c r="AE4" s="52">
        <f>SUMIFS('Plan de ventas'!$P$48:$P$60,'Plan de ventas'!$B$48:$B$60,AE3)</f>
        <v>0.1894736244</v>
      </c>
      <c r="AF4" s="54">
        <f>SUM(AC4:AE4)</f>
        <v>1</v>
      </c>
      <c r="AG4" s="1"/>
      <c r="AH4" s="55"/>
      <c r="AI4" s="55"/>
      <c r="AJ4" s="1"/>
      <c r="AK4" s="57" t="s">
        <v>48</v>
      </c>
      <c r="AL4" s="57" t="s">
        <v>49</v>
      </c>
      <c r="AM4" s="57" t="s">
        <v>50</v>
      </c>
      <c r="AN4" s="58" t="s">
        <v>51</v>
      </c>
      <c r="AO4" s="38"/>
      <c r="AP4" s="38"/>
      <c r="AQ4" s="43"/>
      <c r="AR4" s="59" t="s">
        <v>52</v>
      </c>
      <c r="AS4" s="49"/>
      <c r="AT4" s="1"/>
      <c r="AU4" s="60" t="s">
        <v>53</v>
      </c>
      <c r="AV4" s="60" t="s">
        <v>54</v>
      </c>
      <c r="AW4" s="61" t="s">
        <v>55</v>
      </c>
      <c r="AX4" s="43"/>
      <c r="AY4" s="61" t="s">
        <v>56</v>
      </c>
      <c r="AZ4" s="43"/>
      <c r="BA4" s="61" t="s">
        <v>57</v>
      </c>
      <c r="BB4" s="43"/>
      <c r="BC4" s="61" t="s">
        <v>18</v>
      </c>
      <c r="BD4" s="43"/>
      <c r="BE4" s="60" t="s">
        <v>58</v>
      </c>
      <c r="BF4" s="60" t="s">
        <v>59</v>
      </c>
      <c r="BG4" s="60" t="s">
        <v>60</v>
      </c>
      <c r="BH4" s="1"/>
      <c r="BI4" s="1"/>
      <c r="BJ4" s="1"/>
      <c r="BK4" s="1"/>
      <c r="BL4" s="1"/>
      <c r="BM4" s="63"/>
      <c r="BN4" s="63"/>
      <c r="BO4" s="63"/>
    </row>
    <row r="5" ht="19.5" customHeight="1">
      <c r="A5" s="1"/>
      <c r="B5" s="45" t="s">
        <v>62</v>
      </c>
      <c r="C5" s="38"/>
      <c r="D5" s="43"/>
      <c r="E5" s="46">
        <v>20.0</v>
      </c>
      <c r="F5" s="65"/>
      <c r="L5" s="31"/>
      <c r="M5" s="30"/>
      <c r="O5" s="31"/>
      <c r="P5" s="1"/>
      <c r="Q5" s="1"/>
      <c r="R5" s="66" t="s">
        <v>63</v>
      </c>
      <c r="S5" s="66" t="s">
        <v>64</v>
      </c>
      <c r="T5" s="67">
        <f t="shared" ref="T5:AA5" si="1">SUMIFS($L:$L,$C:$C,T$3,$D:$D,$R5)*100</f>
        <v>24.645</v>
      </c>
      <c r="U5" s="67">
        <f t="shared" si="1"/>
        <v>22.32</v>
      </c>
      <c r="V5" s="67">
        <f t="shared" si="1"/>
        <v>20.46</v>
      </c>
      <c r="W5" s="67">
        <f t="shared" si="1"/>
        <v>21.6876</v>
      </c>
      <c r="X5" s="67">
        <f t="shared" si="1"/>
        <v>0</v>
      </c>
      <c r="Y5" s="67">
        <f t="shared" si="1"/>
        <v>0</v>
      </c>
      <c r="Z5" s="67">
        <f t="shared" si="1"/>
        <v>22.32</v>
      </c>
      <c r="AA5" s="67">
        <f t="shared" si="1"/>
        <v>26.04</v>
      </c>
      <c r="AB5" s="69">
        <f t="shared" ref="AB5:AB53" si="4">SUMPRODUCT($T$4:$AA$4,T5:AA5)</f>
        <v>20.47535996</v>
      </c>
      <c r="AC5" s="67">
        <f t="shared" ref="AC5:AE5" si="2">SUMIFS($L:$L,$C:$C,AC$3,$D:$D,$R5)*100</f>
        <v>0</v>
      </c>
      <c r="AD5" s="67">
        <f t="shared" si="2"/>
        <v>10.68</v>
      </c>
      <c r="AE5" s="67">
        <f t="shared" si="2"/>
        <v>9.79</v>
      </c>
      <c r="AF5" s="69">
        <f t="shared" ref="AF5:AF53" si="6">SUMPRODUCT($AC$4:$AE$4,AC5:AE5)</f>
        <v>6.576632875</v>
      </c>
      <c r="AG5" s="1"/>
      <c r="AH5" s="70">
        <f t="shared" ref="AH5:AH53" si="7">AB5/100*$AL$6</f>
        <v>88340.78443</v>
      </c>
      <c r="AI5" s="70">
        <f t="shared" ref="AI5:AI53" si="8">AF5/100*$AL$23</f>
        <v>26002.10389</v>
      </c>
      <c r="AJ5" s="1"/>
      <c r="AK5" s="71"/>
      <c r="AL5" s="71"/>
      <c r="AM5" s="71"/>
      <c r="AN5" s="58" t="s">
        <v>68</v>
      </c>
      <c r="AO5" s="43"/>
      <c r="AP5" s="58" t="s">
        <v>69</v>
      </c>
      <c r="AQ5" s="43"/>
      <c r="AR5" s="72"/>
      <c r="AS5" s="73"/>
      <c r="AT5" s="1"/>
      <c r="AU5" s="74" t="s">
        <v>70</v>
      </c>
      <c r="AV5" s="75"/>
      <c r="AW5" s="76">
        <v>130.0</v>
      </c>
      <c r="AX5" s="77" t="s">
        <v>21</v>
      </c>
      <c r="AY5" s="77" t="s">
        <v>71</v>
      </c>
      <c r="AZ5" s="77" t="s">
        <v>72</v>
      </c>
      <c r="BA5" s="76"/>
      <c r="BB5" s="77" t="s">
        <v>21</v>
      </c>
      <c r="BC5" s="77" t="s">
        <v>73</v>
      </c>
      <c r="BD5" s="77" t="s">
        <v>74</v>
      </c>
      <c r="BE5" s="78">
        <v>1.3E7</v>
      </c>
      <c r="BF5" s="79"/>
      <c r="BG5" s="80"/>
      <c r="BH5" s="1"/>
      <c r="BI5" s="1"/>
      <c r="BJ5" s="1"/>
      <c r="BK5" s="1"/>
      <c r="BL5" s="1"/>
      <c r="BM5" s="81"/>
      <c r="BN5" s="81"/>
      <c r="BO5" s="81"/>
    </row>
    <row r="6" ht="19.5" customHeight="1">
      <c r="A6" s="1"/>
      <c r="B6" s="45" t="s">
        <v>75</v>
      </c>
      <c r="C6" s="38"/>
      <c r="D6" s="43"/>
      <c r="E6" s="46">
        <v>150.0</v>
      </c>
      <c r="F6" s="65"/>
      <c r="L6" s="31"/>
      <c r="M6" s="30"/>
      <c r="O6" s="31"/>
      <c r="P6" s="1"/>
      <c r="Q6" s="1"/>
      <c r="R6" s="66" t="s">
        <v>76</v>
      </c>
      <c r="S6" s="66" t="s">
        <v>77</v>
      </c>
      <c r="T6" s="67">
        <f t="shared" ref="T6:AA6" si="3">SUMIFS($L:$L,$C:$C,T$3,$D:$D,$R6)*100</f>
        <v>0.465</v>
      </c>
      <c r="U6" s="67">
        <f t="shared" si="3"/>
        <v>0.372</v>
      </c>
      <c r="V6" s="67">
        <f t="shared" si="3"/>
        <v>0</v>
      </c>
      <c r="W6" s="67">
        <f t="shared" si="3"/>
        <v>0</v>
      </c>
      <c r="X6" s="67">
        <f t="shared" si="3"/>
        <v>1.395</v>
      </c>
      <c r="Y6" s="67">
        <f t="shared" si="3"/>
        <v>1.395</v>
      </c>
      <c r="Z6" s="67">
        <f t="shared" si="3"/>
        <v>0</v>
      </c>
      <c r="AA6" s="67">
        <f t="shared" si="3"/>
        <v>0.465</v>
      </c>
      <c r="AB6" s="69">
        <f t="shared" si="4"/>
        <v>0.383657861</v>
      </c>
      <c r="AC6" s="67">
        <f t="shared" ref="AC6:AE6" si="5">SUMIFS($L:$L,$C:$C,AC$3,$D:$D,$R6)*100</f>
        <v>0.85</v>
      </c>
      <c r="AD6" s="67">
        <f t="shared" si="5"/>
        <v>0.445</v>
      </c>
      <c r="AE6" s="67">
        <f t="shared" si="5"/>
        <v>0.267</v>
      </c>
      <c r="AF6" s="69">
        <f t="shared" si="6"/>
        <v>0.5604841741</v>
      </c>
      <c r="AG6" s="1"/>
      <c r="AH6" s="70">
        <f t="shared" si="7"/>
        <v>1655.288916</v>
      </c>
      <c r="AI6" s="70">
        <f t="shared" si="8"/>
        <v>2215.992287</v>
      </c>
      <c r="AJ6" s="1"/>
      <c r="AK6" s="82" t="s">
        <v>78</v>
      </c>
      <c r="AL6" s="20">
        <f t="shared" ref="AL6:AL13" si="11">+AR6/(1-AN6-AP6)</f>
        <v>431449.2375</v>
      </c>
      <c r="AM6" s="84">
        <v>0.0</v>
      </c>
      <c r="AN6" s="85"/>
      <c r="AO6" s="84"/>
      <c r="AP6" s="85"/>
      <c r="AQ6" s="84"/>
      <c r="AR6" s="84">
        <f t="shared" ref="AR6:AR10" si="12">+AL7</f>
        <v>431449.2375</v>
      </c>
      <c r="AS6" s="86" t="s">
        <v>79</v>
      </c>
      <c r="AT6" s="89">
        <f t="shared" ref="AT6:AT12" si="13">+AL6-AO6-AQ6</f>
        <v>431449.2375</v>
      </c>
      <c r="AU6" s="74" t="s">
        <v>80</v>
      </c>
      <c r="AV6" s="75"/>
      <c r="AW6" s="76"/>
      <c r="AX6" s="77" t="s">
        <v>82</v>
      </c>
      <c r="AY6" s="77"/>
      <c r="AZ6" s="77" t="s">
        <v>72</v>
      </c>
      <c r="BA6" s="76"/>
      <c r="BB6" s="77" t="s">
        <v>21</v>
      </c>
      <c r="BC6" s="77" t="s">
        <v>73</v>
      </c>
      <c r="BD6" s="77" t="s">
        <v>74</v>
      </c>
      <c r="BE6" s="87"/>
      <c r="BF6" s="79"/>
      <c r="BG6" s="80"/>
      <c r="BH6" s="1"/>
      <c r="BI6" s="1"/>
      <c r="BJ6" s="1"/>
      <c r="BK6" s="1"/>
      <c r="BL6" s="1"/>
      <c r="BM6" s="1"/>
      <c r="BN6" s="1"/>
      <c r="BO6" s="1"/>
    </row>
    <row r="7" ht="19.5" customHeight="1">
      <c r="A7" s="1"/>
      <c r="B7" s="45" t="s">
        <v>83</v>
      </c>
      <c r="C7" s="38"/>
      <c r="D7" s="43"/>
      <c r="E7" s="88">
        <v>0.88</v>
      </c>
      <c r="F7" s="65"/>
      <c r="L7" s="31"/>
      <c r="M7" s="30"/>
      <c r="O7" s="31"/>
      <c r="P7" s="1"/>
      <c r="Q7" s="1"/>
      <c r="R7" s="66" t="s">
        <v>84</v>
      </c>
      <c r="S7" s="66" t="s">
        <v>85</v>
      </c>
      <c r="T7" s="67">
        <f t="shared" ref="T7:AA7" si="9">SUMIFS($L:$L,$C:$C,T$3,$D:$D,$R7)*100</f>
        <v>0.465</v>
      </c>
      <c r="U7" s="67">
        <f t="shared" si="9"/>
        <v>0</v>
      </c>
      <c r="V7" s="67">
        <f t="shared" si="9"/>
        <v>0</v>
      </c>
      <c r="W7" s="67">
        <f t="shared" si="9"/>
        <v>0</v>
      </c>
      <c r="X7" s="67">
        <f t="shared" si="9"/>
        <v>0</v>
      </c>
      <c r="Y7" s="67">
        <f t="shared" si="9"/>
        <v>0</v>
      </c>
      <c r="Z7" s="67">
        <f t="shared" si="9"/>
        <v>1.395</v>
      </c>
      <c r="AA7" s="67">
        <f t="shared" si="9"/>
        <v>0.93</v>
      </c>
      <c r="AB7" s="69">
        <f t="shared" si="4"/>
        <v>0.356936117</v>
      </c>
      <c r="AC7" s="67">
        <f t="shared" ref="AC7:AE7" si="10">SUMIFS($L:$L,$C:$C,AC$3,$D:$D,$R7)*100</f>
        <v>0</v>
      </c>
      <c r="AD7" s="67">
        <f t="shared" si="10"/>
        <v>0</v>
      </c>
      <c r="AE7" s="67">
        <f t="shared" si="10"/>
        <v>0</v>
      </c>
      <c r="AF7" s="69">
        <f t="shared" si="6"/>
        <v>0</v>
      </c>
      <c r="AG7" s="1"/>
      <c r="AH7" s="70">
        <f t="shared" si="7"/>
        <v>1539.998155</v>
      </c>
      <c r="AI7" s="70">
        <f t="shared" si="8"/>
        <v>0</v>
      </c>
      <c r="AJ7" s="1"/>
      <c r="AK7" s="82" t="s">
        <v>86</v>
      </c>
      <c r="AL7" s="84">
        <f t="shared" si="11"/>
        <v>431449.2375</v>
      </c>
      <c r="AM7" s="84">
        <v>0.0</v>
      </c>
      <c r="AN7" s="85">
        <v>0.01</v>
      </c>
      <c r="AO7" s="84">
        <f>+AN7*AL7</f>
        <v>4314.492375</v>
      </c>
      <c r="AP7" s="85">
        <v>0.01</v>
      </c>
      <c r="AQ7" s="84">
        <f t="shared" ref="AQ7:AQ9" si="16">+AP7*AL7</f>
        <v>4314.492375</v>
      </c>
      <c r="AR7" s="84">
        <f t="shared" si="12"/>
        <v>422820.2527</v>
      </c>
      <c r="AS7" s="86" t="s">
        <v>79</v>
      </c>
      <c r="AT7" s="89">
        <f t="shared" si="13"/>
        <v>422820.2527</v>
      </c>
      <c r="AU7" s="74" t="s">
        <v>87</v>
      </c>
      <c r="AV7" s="75"/>
      <c r="AW7" s="76"/>
      <c r="AX7" s="77" t="s">
        <v>82</v>
      </c>
      <c r="AY7" s="77"/>
      <c r="AZ7" s="77" t="s">
        <v>72</v>
      </c>
      <c r="BA7" s="76"/>
      <c r="BB7" s="77" t="s">
        <v>21</v>
      </c>
      <c r="BC7" s="77" t="s">
        <v>73</v>
      </c>
      <c r="BD7" s="77" t="s">
        <v>74</v>
      </c>
      <c r="BE7" s="87"/>
      <c r="BF7" s="79"/>
      <c r="BG7" s="80"/>
      <c r="BH7" s="1"/>
      <c r="BI7" s="1"/>
      <c r="BJ7" s="1"/>
      <c r="BK7" s="1"/>
      <c r="BL7" s="1"/>
      <c r="BM7" s="1"/>
      <c r="BN7" s="1"/>
      <c r="BO7" s="1"/>
    </row>
    <row r="8" ht="19.5" customHeight="1">
      <c r="A8" s="1"/>
      <c r="B8" s="45" t="s">
        <v>88</v>
      </c>
      <c r="C8" s="38"/>
      <c r="D8" s="43"/>
      <c r="E8" s="92">
        <f>E4*E5*E6/1000</f>
        <v>3</v>
      </c>
      <c r="F8" s="65"/>
      <c r="L8" s="31"/>
      <c r="M8" s="30"/>
      <c r="O8" s="31"/>
      <c r="P8" s="1"/>
      <c r="Q8" s="1"/>
      <c r="R8" s="66" t="s">
        <v>89</v>
      </c>
      <c r="S8" s="66" t="s">
        <v>90</v>
      </c>
      <c r="T8" s="67">
        <f t="shared" ref="T8:AA8" si="14">SUMIFS($L:$L,$C:$C,T$3,$D:$D,$R8)*100</f>
        <v>0.744</v>
      </c>
      <c r="U8" s="67">
        <f t="shared" si="14"/>
        <v>0.93</v>
      </c>
      <c r="V8" s="67">
        <f t="shared" si="14"/>
        <v>0.93</v>
      </c>
      <c r="W8" s="67">
        <f t="shared" si="14"/>
        <v>0.40176</v>
      </c>
      <c r="X8" s="67">
        <f t="shared" si="14"/>
        <v>0.93</v>
      </c>
      <c r="Y8" s="67">
        <f t="shared" si="14"/>
        <v>0.93</v>
      </c>
      <c r="Z8" s="67">
        <f t="shared" si="14"/>
        <v>0.93</v>
      </c>
      <c r="AA8" s="67">
        <f t="shared" si="14"/>
        <v>0.93</v>
      </c>
      <c r="AB8" s="69">
        <f t="shared" si="4"/>
        <v>0.7387256552</v>
      </c>
      <c r="AC8" s="67">
        <f t="shared" ref="AC8:AE8" si="15">SUMIFS($L:$L,$C:$C,AC$3,$D:$D,$R8)*100</f>
        <v>1.275</v>
      </c>
      <c r="AD8" s="67">
        <f t="shared" si="15"/>
        <v>0.89</v>
      </c>
      <c r="AE8" s="67">
        <f t="shared" si="15"/>
        <v>0.89</v>
      </c>
      <c r="AF8" s="69">
        <f t="shared" si="6"/>
        <v>1.03184206</v>
      </c>
      <c r="AG8" s="1"/>
      <c r="AH8" s="70">
        <f t="shared" si="7"/>
        <v>3187.226206</v>
      </c>
      <c r="AI8" s="70">
        <f t="shared" si="8"/>
        <v>4079.605015</v>
      </c>
      <c r="AJ8" s="1"/>
      <c r="AK8" s="82" t="s">
        <v>92</v>
      </c>
      <c r="AL8" s="84">
        <f t="shared" si="11"/>
        <v>422820.2527</v>
      </c>
      <c r="AM8" s="84">
        <v>0.0</v>
      </c>
      <c r="AN8" s="85"/>
      <c r="AO8" s="84"/>
      <c r="AP8" s="85">
        <v>0.07</v>
      </c>
      <c r="AQ8" s="84">
        <f t="shared" si="16"/>
        <v>29597.41769</v>
      </c>
      <c r="AR8" s="84">
        <f t="shared" si="12"/>
        <v>393222.835</v>
      </c>
      <c r="AS8" s="86" t="s">
        <v>79</v>
      </c>
      <c r="AT8" s="89">
        <f t="shared" si="13"/>
        <v>393222.835</v>
      </c>
      <c r="AU8" s="74" t="s">
        <v>94</v>
      </c>
      <c r="AV8" s="75"/>
      <c r="AW8" s="76"/>
      <c r="AX8" s="77" t="s">
        <v>82</v>
      </c>
      <c r="AY8" s="77"/>
      <c r="AZ8" s="77" t="s">
        <v>72</v>
      </c>
      <c r="BA8" s="76"/>
      <c r="BB8" s="77" t="s">
        <v>21</v>
      </c>
      <c r="BC8" s="77" t="s">
        <v>73</v>
      </c>
      <c r="BD8" s="77" t="s">
        <v>74</v>
      </c>
      <c r="BE8" s="87"/>
      <c r="BF8" s="79"/>
      <c r="BG8" s="80"/>
      <c r="BH8" s="1"/>
      <c r="BI8" s="1"/>
      <c r="BJ8" s="1"/>
      <c r="BK8" s="1"/>
      <c r="BL8" s="1"/>
      <c r="BM8" s="1"/>
      <c r="BN8" s="1"/>
      <c r="BO8" s="1"/>
    </row>
    <row r="9" ht="19.5" customHeight="1">
      <c r="A9" s="1"/>
      <c r="B9" s="45" t="s">
        <v>96</v>
      </c>
      <c r="C9" s="38"/>
      <c r="D9" s="43"/>
      <c r="E9" s="92">
        <f>E8/E7</f>
        <v>3.409090909</v>
      </c>
      <c r="F9" s="98"/>
      <c r="G9" s="99"/>
      <c r="H9" s="99"/>
      <c r="I9" s="99"/>
      <c r="J9" s="99"/>
      <c r="K9" s="99"/>
      <c r="L9" s="100"/>
      <c r="M9" s="101"/>
      <c r="N9" s="99"/>
      <c r="O9" s="100"/>
      <c r="P9" s="1"/>
      <c r="Q9" s="1"/>
      <c r="R9" s="66" t="s">
        <v>105</v>
      </c>
      <c r="S9" s="66" t="s">
        <v>106</v>
      </c>
      <c r="T9" s="67">
        <f t="shared" ref="T9:AA9" si="17">SUMIFS($L:$L,$C:$C,T$3,$D:$D,$R9)*100</f>
        <v>0</v>
      </c>
      <c r="U9" s="67">
        <f t="shared" si="17"/>
        <v>0</v>
      </c>
      <c r="V9" s="67">
        <f t="shared" si="17"/>
        <v>0</v>
      </c>
      <c r="W9" s="67">
        <f t="shared" si="17"/>
        <v>0</v>
      </c>
      <c r="X9" s="67">
        <f t="shared" si="17"/>
        <v>0</v>
      </c>
      <c r="Y9" s="67">
        <f t="shared" si="17"/>
        <v>0</v>
      </c>
      <c r="Z9" s="67">
        <f t="shared" si="17"/>
        <v>0.93</v>
      </c>
      <c r="AA9" s="67">
        <f t="shared" si="17"/>
        <v>0.93</v>
      </c>
      <c r="AB9" s="69">
        <f t="shared" si="4"/>
        <v>0.1964785965</v>
      </c>
      <c r="AC9" s="67">
        <f t="shared" ref="AC9:AE9" si="18">SUMIFS($L:$L,$C:$C,AC$3,$D:$D,$R9)*100</f>
        <v>0</v>
      </c>
      <c r="AD9" s="67">
        <f t="shared" si="18"/>
        <v>0.89</v>
      </c>
      <c r="AE9" s="67">
        <f t="shared" si="18"/>
        <v>0.89</v>
      </c>
      <c r="AF9" s="69">
        <f t="shared" si="6"/>
        <v>0.5621053667</v>
      </c>
      <c r="AG9" s="1"/>
      <c r="AH9" s="70">
        <f t="shared" si="7"/>
        <v>847.7054064</v>
      </c>
      <c r="AI9" s="70">
        <f t="shared" si="8"/>
        <v>2222.402014</v>
      </c>
      <c r="AJ9" s="1"/>
      <c r="AK9" s="82" t="s">
        <v>109</v>
      </c>
      <c r="AL9" s="84">
        <f t="shared" si="11"/>
        <v>393222.835</v>
      </c>
      <c r="AM9" s="84">
        <v>0.0</v>
      </c>
      <c r="AN9" s="85">
        <v>0.04</v>
      </c>
      <c r="AO9" s="84">
        <f>+AN9*AL9</f>
        <v>15728.9134</v>
      </c>
      <c r="AP9" s="85">
        <v>0.01</v>
      </c>
      <c r="AQ9" s="84">
        <f t="shared" si="16"/>
        <v>3932.22835</v>
      </c>
      <c r="AR9" s="84">
        <f t="shared" si="12"/>
        <v>373561.6933</v>
      </c>
      <c r="AS9" s="86" t="s">
        <v>79</v>
      </c>
      <c r="AT9" s="89">
        <f t="shared" si="13"/>
        <v>373561.6933</v>
      </c>
      <c r="AU9" s="74" t="s">
        <v>111</v>
      </c>
      <c r="AV9" s="75"/>
      <c r="AW9" s="76"/>
      <c r="AX9" s="77" t="s">
        <v>82</v>
      </c>
      <c r="AY9" s="77"/>
      <c r="AZ9" s="77" t="s">
        <v>72</v>
      </c>
      <c r="BA9" s="76"/>
      <c r="BB9" s="77" t="s">
        <v>21</v>
      </c>
      <c r="BC9" s="77" t="s">
        <v>73</v>
      </c>
      <c r="BD9" s="77" t="s">
        <v>74</v>
      </c>
      <c r="BE9" s="87"/>
      <c r="BF9" s="79"/>
      <c r="BG9" s="80"/>
      <c r="BH9" s="1"/>
      <c r="BI9" s="1"/>
      <c r="BJ9" s="1"/>
      <c r="BK9" s="1"/>
      <c r="BL9" s="1"/>
      <c r="BM9" s="1"/>
      <c r="BN9" s="1"/>
      <c r="BO9" s="1"/>
    </row>
    <row r="10" ht="19.5" customHeight="1">
      <c r="A10" s="1"/>
      <c r="B10" s="110" t="s">
        <v>113</v>
      </c>
      <c r="C10" s="112" t="s">
        <v>114</v>
      </c>
      <c r="D10" s="112" t="s">
        <v>115</v>
      </c>
      <c r="E10" s="112" t="s">
        <v>116</v>
      </c>
      <c r="F10" s="113" t="s">
        <v>117</v>
      </c>
      <c r="G10" s="38"/>
      <c r="H10" s="38"/>
      <c r="I10" s="38"/>
      <c r="J10" s="38"/>
      <c r="K10" s="40"/>
      <c r="L10" s="112" t="s">
        <v>46</v>
      </c>
      <c r="M10" s="112" t="s">
        <v>120</v>
      </c>
      <c r="N10" s="112" t="s">
        <v>121</v>
      </c>
      <c r="O10" s="112" t="s">
        <v>122</v>
      </c>
      <c r="P10" s="1"/>
      <c r="Q10" s="1"/>
      <c r="R10" s="66" t="s">
        <v>123</v>
      </c>
      <c r="S10" s="66" t="s">
        <v>124</v>
      </c>
      <c r="T10" s="67">
        <f t="shared" ref="T10:AA10" si="19">SUMIFS($L:$L,$C:$C,T$3,$D:$D,$R10)*100</f>
        <v>16.74</v>
      </c>
      <c r="U10" s="67">
        <f t="shared" si="19"/>
        <v>25.11</v>
      </c>
      <c r="V10" s="67">
        <f t="shared" si="19"/>
        <v>25.11</v>
      </c>
      <c r="W10" s="67">
        <f t="shared" si="19"/>
        <v>12.7224</v>
      </c>
      <c r="X10" s="67">
        <f t="shared" si="19"/>
        <v>23.25</v>
      </c>
      <c r="Y10" s="67">
        <f t="shared" si="19"/>
        <v>23.25</v>
      </c>
      <c r="Z10" s="67">
        <f t="shared" si="19"/>
        <v>20.46</v>
      </c>
      <c r="AA10" s="67">
        <f t="shared" si="19"/>
        <v>19.53</v>
      </c>
      <c r="AB10" s="69">
        <f t="shared" si="4"/>
        <v>18.148451</v>
      </c>
      <c r="AC10" s="67">
        <f t="shared" ref="AC10:AE10" si="20">SUMIFS($L:$L,$C:$C,AC$3,$D:$D,$R10)*100</f>
        <v>13.6</v>
      </c>
      <c r="AD10" s="67">
        <f t="shared" si="20"/>
        <v>12.46</v>
      </c>
      <c r="AE10" s="67">
        <f t="shared" si="20"/>
        <v>11.57</v>
      </c>
      <c r="AF10" s="69">
        <f t="shared" si="6"/>
        <v>12.71136834</v>
      </c>
      <c r="AG10" s="1"/>
      <c r="AH10" s="70">
        <f t="shared" si="7"/>
        <v>78301.35346</v>
      </c>
      <c r="AI10" s="70">
        <f t="shared" si="8"/>
        <v>50257.07327</v>
      </c>
      <c r="AJ10" s="1"/>
      <c r="AK10" s="82" t="s">
        <v>126</v>
      </c>
      <c r="AL10" s="84">
        <f t="shared" si="11"/>
        <v>373561.6933</v>
      </c>
      <c r="AM10" s="84">
        <v>0.0</v>
      </c>
      <c r="AN10" s="85"/>
      <c r="AO10" s="84"/>
      <c r="AP10" s="85"/>
      <c r="AQ10" s="84"/>
      <c r="AR10" s="84">
        <f t="shared" si="12"/>
        <v>373561.6933</v>
      </c>
      <c r="AS10" s="86" t="s">
        <v>79</v>
      </c>
      <c r="AT10" s="89">
        <f t="shared" si="13"/>
        <v>373561.6933</v>
      </c>
      <c r="AU10" s="74" t="s">
        <v>128</v>
      </c>
      <c r="AV10" s="75"/>
      <c r="AW10" s="76"/>
      <c r="AX10" s="77" t="s">
        <v>82</v>
      </c>
      <c r="AY10" s="77"/>
      <c r="AZ10" s="77" t="s">
        <v>72</v>
      </c>
      <c r="BA10" s="76"/>
      <c r="BB10" s="77" t="s">
        <v>21</v>
      </c>
      <c r="BC10" s="77" t="s">
        <v>73</v>
      </c>
      <c r="BD10" s="77" t="s">
        <v>74</v>
      </c>
      <c r="BE10" s="87"/>
      <c r="BF10" s="79"/>
      <c r="BG10" s="80"/>
      <c r="BH10" s="1"/>
      <c r="BI10" s="1"/>
      <c r="BJ10" s="1"/>
      <c r="BK10" s="1"/>
      <c r="BL10" s="1"/>
      <c r="BM10" s="1"/>
      <c r="BN10" s="1"/>
      <c r="BO10" s="1"/>
    </row>
    <row r="11" ht="19.5" customHeight="1">
      <c r="A11" s="1"/>
      <c r="B11" s="117"/>
      <c r="C11" s="118"/>
      <c r="D11" s="118"/>
      <c r="E11" s="118"/>
      <c r="F11" s="119" t="s">
        <v>129</v>
      </c>
      <c r="G11" s="119" t="s">
        <v>131</v>
      </c>
      <c r="H11" s="119" t="s">
        <v>132</v>
      </c>
      <c r="I11" s="119" t="s">
        <v>133</v>
      </c>
      <c r="J11" s="119" t="s">
        <v>134</v>
      </c>
      <c r="K11" s="119" t="s">
        <v>135</v>
      </c>
      <c r="L11" s="118"/>
      <c r="M11" s="118"/>
      <c r="N11" s="118"/>
      <c r="O11" s="118"/>
      <c r="P11" s="1"/>
      <c r="Q11" s="1"/>
      <c r="R11" s="66" t="s">
        <v>136</v>
      </c>
      <c r="S11" s="66" t="s">
        <v>137</v>
      </c>
      <c r="T11" s="67">
        <f t="shared" ref="T11:AA11" si="21">SUMIFS($L:$L,$C:$C,T$3,$D:$D,$R11)*100</f>
        <v>5.58</v>
      </c>
      <c r="U11" s="67">
        <f t="shared" si="21"/>
        <v>0</v>
      </c>
      <c r="V11" s="67">
        <f t="shared" si="21"/>
        <v>0</v>
      </c>
      <c r="W11" s="67">
        <f t="shared" si="21"/>
        <v>4.0176</v>
      </c>
      <c r="X11" s="67">
        <f t="shared" si="21"/>
        <v>0</v>
      </c>
      <c r="Y11" s="67">
        <f t="shared" si="21"/>
        <v>0</v>
      </c>
      <c r="Z11" s="67">
        <f t="shared" si="21"/>
        <v>0</v>
      </c>
      <c r="AA11" s="67">
        <f t="shared" si="21"/>
        <v>5.58</v>
      </c>
      <c r="AB11" s="69">
        <f t="shared" si="4"/>
        <v>3.453309698</v>
      </c>
      <c r="AC11" s="67">
        <f t="shared" ref="AC11:AE11" si="22">SUMIFS($L:$L,$C:$C,AC$3,$D:$D,$R11)*100</f>
        <v>0</v>
      </c>
      <c r="AD11" s="67">
        <f t="shared" si="22"/>
        <v>0</v>
      </c>
      <c r="AE11" s="67">
        <f t="shared" si="22"/>
        <v>0</v>
      </c>
      <c r="AF11" s="69">
        <f t="shared" si="6"/>
        <v>0</v>
      </c>
      <c r="AG11" s="1"/>
      <c r="AH11" s="70">
        <f t="shared" si="7"/>
        <v>14899.27836</v>
      </c>
      <c r="AI11" s="70">
        <f t="shared" si="8"/>
        <v>0</v>
      </c>
      <c r="AJ11" s="1"/>
      <c r="AK11" s="82" t="s">
        <v>141</v>
      </c>
      <c r="AL11" s="84">
        <f t="shared" si="11"/>
        <v>373561.6933</v>
      </c>
      <c r="AM11" s="84">
        <v>0.0</v>
      </c>
      <c r="AN11" s="85">
        <v>0.04</v>
      </c>
      <c r="AO11" s="84">
        <f>+AN11*AL11</f>
        <v>14942.46773</v>
      </c>
      <c r="AP11" s="85"/>
      <c r="AQ11" s="84"/>
      <c r="AR11" s="84">
        <f>+AR12</f>
        <v>358619.2255</v>
      </c>
      <c r="AS11" s="86" t="s">
        <v>79</v>
      </c>
      <c r="AT11" s="89">
        <f t="shared" si="13"/>
        <v>358619.2255</v>
      </c>
      <c r="AU11" s="74"/>
      <c r="AV11" s="75"/>
      <c r="AW11" s="76"/>
      <c r="AX11" s="77" t="s">
        <v>82</v>
      </c>
      <c r="AY11" s="77"/>
      <c r="AZ11" s="77" t="s">
        <v>72</v>
      </c>
      <c r="BA11" s="76"/>
      <c r="BB11" s="77" t="s">
        <v>21</v>
      </c>
      <c r="BC11" s="77" t="s">
        <v>73</v>
      </c>
      <c r="BD11" s="77" t="s">
        <v>74</v>
      </c>
      <c r="BE11" s="87"/>
      <c r="BF11" s="79"/>
      <c r="BG11" s="80"/>
      <c r="BH11" s="1"/>
      <c r="BI11" s="1"/>
      <c r="BJ11" s="1"/>
      <c r="BK11" s="1"/>
      <c r="BL11" s="1"/>
      <c r="BM11" s="1"/>
      <c r="BN11" s="1"/>
      <c r="BO11" s="1"/>
    </row>
    <row r="12" ht="19.5" customHeight="1">
      <c r="A12" s="1"/>
      <c r="B12" s="122">
        <v>1.0</v>
      </c>
      <c r="C12" s="123" t="s">
        <v>23</v>
      </c>
      <c r="D12" s="124" t="s">
        <v>23</v>
      </c>
      <c r="E12" s="125" t="s">
        <v>143</v>
      </c>
      <c r="F12" s="124" t="s">
        <v>144</v>
      </c>
      <c r="G12" s="126"/>
      <c r="H12" s="126"/>
      <c r="I12" s="126"/>
      <c r="J12" s="126"/>
      <c r="K12" s="126"/>
      <c r="L12" s="127" t="s">
        <v>146</v>
      </c>
      <c r="M12" s="128">
        <f>$E$4</f>
        <v>1</v>
      </c>
      <c r="N12" s="124" t="s">
        <v>147</v>
      </c>
      <c r="O12" s="129" t="s">
        <v>148</v>
      </c>
      <c r="P12" s="1"/>
      <c r="Q12" s="1"/>
      <c r="R12" s="66" t="s">
        <v>149</v>
      </c>
      <c r="S12" s="66" t="s">
        <v>150</v>
      </c>
      <c r="T12" s="67">
        <f t="shared" ref="T12:AA12" si="23">SUMIFS($L:$L,$C:$C,T$3,$D:$D,$R12)*100</f>
        <v>13.95</v>
      </c>
      <c r="U12" s="67">
        <f t="shared" si="23"/>
        <v>13.02</v>
      </c>
      <c r="V12" s="67">
        <f t="shared" si="23"/>
        <v>13.02</v>
      </c>
      <c r="W12" s="67">
        <f t="shared" si="23"/>
        <v>10.3788</v>
      </c>
      <c r="X12" s="67">
        <f t="shared" si="23"/>
        <v>5.58</v>
      </c>
      <c r="Y12" s="67">
        <f t="shared" si="23"/>
        <v>0</v>
      </c>
      <c r="Z12" s="67">
        <f t="shared" si="23"/>
        <v>12.09</v>
      </c>
      <c r="AA12" s="67">
        <f t="shared" si="23"/>
        <v>13.95</v>
      </c>
      <c r="AB12" s="69">
        <f t="shared" si="4"/>
        <v>11.28120073</v>
      </c>
      <c r="AC12" s="67">
        <f t="shared" ref="AC12:AE12" si="24">SUMIFS($L:$L,$C:$C,AC$3,$D:$D,$R12)*100</f>
        <v>0</v>
      </c>
      <c r="AD12" s="67">
        <f t="shared" si="24"/>
        <v>0</v>
      </c>
      <c r="AE12" s="67">
        <f t="shared" si="24"/>
        <v>0</v>
      </c>
      <c r="AF12" s="69">
        <f t="shared" si="6"/>
        <v>0</v>
      </c>
      <c r="AG12" s="1"/>
      <c r="AH12" s="70">
        <f t="shared" si="7"/>
        <v>48672.65453</v>
      </c>
      <c r="AI12" s="70">
        <f t="shared" si="8"/>
        <v>0</v>
      </c>
      <c r="AJ12" s="1"/>
      <c r="AK12" s="82" t="s">
        <v>151</v>
      </c>
      <c r="AL12" s="84">
        <f t="shared" si="11"/>
        <v>358619.2255</v>
      </c>
      <c r="AM12" s="84">
        <v>0.0</v>
      </c>
      <c r="AN12" s="85"/>
      <c r="AO12" s="84"/>
      <c r="AP12" s="85"/>
      <c r="AQ12" s="84"/>
      <c r="AR12" s="84">
        <f>+AL13</f>
        <v>358619.2255</v>
      </c>
      <c r="AS12" s="86" t="s">
        <v>79</v>
      </c>
      <c r="AT12" s="89">
        <f t="shared" si="13"/>
        <v>358619.2255</v>
      </c>
      <c r="AU12" s="74"/>
      <c r="AV12" s="75"/>
      <c r="AW12" s="76"/>
      <c r="AX12" s="77" t="s">
        <v>82</v>
      </c>
      <c r="AY12" s="77"/>
      <c r="AZ12" s="77" t="s">
        <v>72</v>
      </c>
      <c r="BA12" s="76"/>
      <c r="BB12" s="77" t="s">
        <v>21</v>
      </c>
      <c r="BC12" s="77" t="s">
        <v>73</v>
      </c>
      <c r="BD12" s="77" t="s">
        <v>74</v>
      </c>
      <c r="BE12" s="87"/>
      <c r="BF12" s="79"/>
      <c r="BG12" s="80"/>
      <c r="BH12" s="1"/>
      <c r="BI12" s="1"/>
      <c r="BJ12" s="1"/>
      <c r="BK12" s="1"/>
      <c r="BL12" s="1"/>
      <c r="BM12" s="1"/>
      <c r="BN12" s="1"/>
      <c r="BO12" s="1"/>
    </row>
    <row r="13" ht="19.5" customHeight="1">
      <c r="A13" s="1"/>
      <c r="B13" s="130">
        <v>2.0</v>
      </c>
      <c r="C13" s="131" t="s">
        <v>23</v>
      </c>
      <c r="D13" s="132" t="s">
        <v>63</v>
      </c>
      <c r="E13" s="133" t="s">
        <v>153</v>
      </c>
      <c r="F13" s="134"/>
      <c r="G13" s="135" t="s">
        <v>144</v>
      </c>
      <c r="H13" s="134"/>
      <c r="I13" s="134"/>
      <c r="J13" s="134"/>
      <c r="K13" s="134"/>
      <c r="L13" s="137">
        <f t="shared" ref="L13:L29" si="27">+M13/$M$31</f>
        <v>0.24645</v>
      </c>
      <c r="M13" s="138">
        <v>0.9034090909090909</v>
      </c>
      <c r="N13" s="132" t="s">
        <v>157</v>
      </c>
      <c r="O13" s="139"/>
      <c r="P13" s="1"/>
      <c r="Q13" s="1"/>
      <c r="R13" s="66" t="s">
        <v>158</v>
      </c>
      <c r="S13" s="66" t="s">
        <v>159</v>
      </c>
      <c r="T13" s="67">
        <f t="shared" ref="T13:AA13" si="25">SUMIFS($L:$L,$C:$C,T$3,$D:$D,$R13)*100</f>
        <v>1.86</v>
      </c>
      <c r="U13" s="67">
        <f t="shared" si="25"/>
        <v>0</v>
      </c>
      <c r="V13" s="67">
        <f t="shared" si="25"/>
        <v>3.72</v>
      </c>
      <c r="W13" s="67">
        <f t="shared" si="25"/>
        <v>0</v>
      </c>
      <c r="X13" s="67">
        <f t="shared" si="25"/>
        <v>0</v>
      </c>
      <c r="Y13" s="67">
        <f t="shared" si="25"/>
        <v>4.65</v>
      </c>
      <c r="Z13" s="67">
        <f t="shared" si="25"/>
        <v>0</v>
      </c>
      <c r="AA13" s="67">
        <f t="shared" si="25"/>
        <v>0</v>
      </c>
      <c r="AB13" s="69">
        <f t="shared" si="4"/>
        <v>1.239128945</v>
      </c>
      <c r="AC13" s="67">
        <f t="shared" ref="AC13:AE13" si="26">SUMIFS($L:$L,$C:$C,AC$3,$D:$D,$R13)*100</f>
        <v>0</v>
      </c>
      <c r="AD13" s="67">
        <f t="shared" si="26"/>
        <v>5.34</v>
      </c>
      <c r="AE13" s="67">
        <f t="shared" si="26"/>
        <v>5.34</v>
      </c>
      <c r="AF13" s="69">
        <f t="shared" si="6"/>
        <v>3.3726322</v>
      </c>
      <c r="AG13" s="1"/>
      <c r="AH13" s="70">
        <f t="shared" si="7"/>
        <v>5346.212384</v>
      </c>
      <c r="AI13" s="70">
        <f t="shared" si="8"/>
        <v>13334.41208</v>
      </c>
      <c r="AJ13" s="1"/>
      <c r="AK13" s="82" t="s">
        <v>161</v>
      </c>
      <c r="AL13" s="84">
        <f t="shared" si="11"/>
        <v>358619.2255</v>
      </c>
      <c r="AM13" s="84">
        <v>0.0</v>
      </c>
      <c r="AN13" s="85"/>
      <c r="AO13" s="84"/>
      <c r="AP13" s="85"/>
      <c r="AQ13" s="84"/>
      <c r="AR13" s="141">
        <f>+AR14</f>
        <v>358619.2255</v>
      </c>
      <c r="AS13" s="86" t="s">
        <v>79</v>
      </c>
      <c r="AT13" s="1"/>
      <c r="AU13" s="74"/>
      <c r="AV13" s="75"/>
      <c r="AW13" s="76"/>
      <c r="AX13" s="77" t="s">
        <v>82</v>
      </c>
      <c r="AY13" s="77"/>
      <c r="AZ13" s="77" t="s">
        <v>72</v>
      </c>
      <c r="BA13" s="76"/>
      <c r="BB13" s="77" t="s">
        <v>21</v>
      </c>
      <c r="BC13" s="77" t="s">
        <v>73</v>
      </c>
      <c r="BD13" s="77" t="s">
        <v>74</v>
      </c>
      <c r="BE13" s="87"/>
      <c r="BF13" s="79"/>
      <c r="BG13" s="80"/>
      <c r="BH13" s="1"/>
      <c r="BI13" s="1"/>
      <c r="BJ13" s="1"/>
      <c r="BK13" s="1"/>
      <c r="BL13" s="1"/>
      <c r="BM13" s="1"/>
      <c r="BN13" s="1"/>
      <c r="BO13" s="1"/>
    </row>
    <row r="14" ht="19.5" customHeight="1">
      <c r="A14" s="1"/>
      <c r="B14" s="130">
        <v>3.0</v>
      </c>
      <c r="C14" s="131" t="s">
        <v>23</v>
      </c>
      <c r="D14" s="132" t="s">
        <v>123</v>
      </c>
      <c r="E14" s="133" t="s">
        <v>163</v>
      </c>
      <c r="F14" s="134"/>
      <c r="G14" s="135" t="s">
        <v>144</v>
      </c>
      <c r="H14" s="134"/>
      <c r="I14" s="134"/>
      <c r="J14" s="134"/>
      <c r="K14" s="134"/>
      <c r="L14" s="137">
        <f t="shared" si="27"/>
        <v>0.1674</v>
      </c>
      <c r="M14" s="138">
        <v>0.6136363636363636</v>
      </c>
      <c r="N14" s="132" t="s">
        <v>157</v>
      </c>
      <c r="O14" s="139"/>
      <c r="P14" s="1"/>
      <c r="Q14" s="1"/>
      <c r="R14" s="66" t="s">
        <v>164</v>
      </c>
      <c r="S14" s="66" t="s">
        <v>165</v>
      </c>
      <c r="T14" s="67">
        <f t="shared" ref="T14:AA14" si="28">SUMIFS($L:$L,$C:$C,T$3,$D:$D,$R14)*100</f>
        <v>3.72</v>
      </c>
      <c r="U14" s="67">
        <f t="shared" si="28"/>
        <v>5.58</v>
      </c>
      <c r="V14" s="67">
        <f t="shared" si="28"/>
        <v>5.58</v>
      </c>
      <c r="W14" s="67">
        <f t="shared" si="28"/>
        <v>3.0132</v>
      </c>
      <c r="X14" s="67">
        <f t="shared" si="28"/>
        <v>0</v>
      </c>
      <c r="Y14" s="67">
        <f t="shared" si="28"/>
        <v>0</v>
      </c>
      <c r="Z14" s="67">
        <f t="shared" si="28"/>
        <v>5.58</v>
      </c>
      <c r="AA14" s="67">
        <f t="shared" si="28"/>
        <v>0</v>
      </c>
      <c r="AB14" s="69">
        <f t="shared" si="4"/>
        <v>2.874878858</v>
      </c>
      <c r="AC14" s="67">
        <f t="shared" ref="AC14:AE14" si="29">SUMIFS($L:$L,$C:$C,AC$3,$D:$D,$R14)*100</f>
        <v>0</v>
      </c>
      <c r="AD14" s="67">
        <f t="shared" si="29"/>
        <v>0</v>
      </c>
      <c r="AE14" s="67">
        <f t="shared" si="29"/>
        <v>0</v>
      </c>
      <c r="AF14" s="69">
        <f t="shared" si="6"/>
        <v>0</v>
      </c>
      <c r="AG14" s="1"/>
      <c r="AH14" s="70">
        <f t="shared" si="7"/>
        <v>12403.64291</v>
      </c>
      <c r="AI14" s="70">
        <f t="shared" si="8"/>
        <v>0</v>
      </c>
      <c r="AJ14" s="1"/>
      <c r="AK14" s="142" t="s">
        <v>168</v>
      </c>
      <c r="AL14" s="143">
        <f>+AR14+AO14+AQ14</f>
        <v>431449.2375</v>
      </c>
      <c r="AM14" s="143">
        <f>AM6</f>
        <v>0</v>
      </c>
      <c r="AN14" s="144"/>
      <c r="AO14" s="144">
        <f>AO6+AO7+AO8+AO9+AO11</f>
        <v>34985.87351</v>
      </c>
      <c r="AP14" s="144"/>
      <c r="AQ14" s="144">
        <f>AQ6+AQ7+AQ8+AQ9+AQ11</f>
        <v>37844.13841</v>
      </c>
      <c r="AR14" s="145">
        <f>SUMIFS('Plan de ventas'!$O48:$O60,'Plan de ventas'!$B$48:$B$60,"*A*")*1000</f>
        <v>358619.2255</v>
      </c>
      <c r="AS14" s="146" t="s">
        <v>79</v>
      </c>
      <c r="AT14" s="1"/>
      <c r="AU14" s="74"/>
      <c r="AV14" s="75"/>
      <c r="AW14" s="76"/>
      <c r="AX14" s="77" t="s">
        <v>82</v>
      </c>
      <c r="AY14" s="77"/>
      <c r="AZ14" s="77" t="s">
        <v>72</v>
      </c>
      <c r="BA14" s="76"/>
      <c r="BB14" s="77" t="s">
        <v>21</v>
      </c>
      <c r="BC14" s="77" t="s">
        <v>73</v>
      </c>
      <c r="BD14" s="77" t="s">
        <v>74</v>
      </c>
      <c r="BE14" s="87"/>
      <c r="BF14" s="79"/>
      <c r="BG14" s="80"/>
      <c r="BH14" s="1"/>
      <c r="BI14" s="1"/>
      <c r="BJ14" s="1"/>
      <c r="BK14" s="1"/>
      <c r="BL14" s="1"/>
      <c r="BM14" s="1"/>
      <c r="BN14" s="1"/>
      <c r="BO14" s="1"/>
    </row>
    <row r="15" ht="19.5" customHeight="1">
      <c r="A15" s="1"/>
      <c r="B15" s="130">
        <v>4.0</v>
      </c>
      <c r="C15" s="131" t="s">
        <v>23</v>
      </c>
      <c r="D15" s="132" t="s">
        <v>149</v>
      </c>
      <c r="E15" s="133" t="s">
        <v>171</v>
      </c>
      <c r="F15" s="134"/>
      <c r="G15" s="135" t="s">
        <v>144</v>
      </c>
      <c r="H15" s="134"/>
      <c r="I15" s="134"/>
      <c r="J15" s="134"/>
      <c r="K15" s="134"/>
      <c r="L15" s="137">
        <f t="shared" si="27"/>
        <v>0.1395</v>
      </c>
      <c r="M15" s="138">
        <v>0.5113636363636364</v>
      </c>
      <c r="N15" s="132" t="s">
        <v>157</v>
      </c>
      <c r="O15" s="139"/>
      <c r="P15" s="1"/>
      <c r="Q15" s="1"/>
      <c r="R15" s="66" t="s">
        <v>173</v>
      </c>
      <c r="S15" s="66" t="s">
        <v>174</v>
      </c>
      <c r="T15" s="67">
        <f t="shared" ref="T15:AA15" si="30">SUMIFS($L:$L,$C:$C,T$3,$D:$D,$R15)*100</f>
        <v>8.37</v>
      </c>
      <c r="U15" s="67">
        <f t="shared" si="30"/>
        <v>0</v>
      </c>
      <c r="V15" s="67">
        <f t="shared" si="30"/>
        <v>0</v>
      </c>
      <c r="W15" s="67">
        <f t="shared" si="30"/>
        <v>0</v>
      </c>
      <c r="X15" s="67">
        <f t="shared" si="30"/>
        <v>0</v>
      </c>
      <c r="Y15" s="67">
        <f t="shared" si="30"/>
        <v>0</v>
      </c>
      <c r="Z15" s="67">
        <f t="shared" si="30"/>
        <v>0</v>
      </c>
      <c r="AA15" s="67">
        <f t="shared" si="30"/>
        <v>0</v>
      </c>
      <c r="AB15" s="69">
        <f t="shared" si="4"/>
        <v>2.357743158</v>
      </c>
      <c r="AC15" s="67">
        <f t="shared" ref="AC15:AE15" si="31">SUMIFS($L:$L,$C:$C,AC$3,$D:$D,$R15)*100</f>
        <v>0</v>
      </c>
      <c r="AD15" s="67">
        <f t="shared" si="31"/>
        <v>0</v>
      </c>
      <c r="AE15" s="67">
        <f t="shared" si="31"/>
        <v>8.01</v>
      </c>
      <c r="AF15" s="69">
        <f t="shared" si="6"/>
        <v>1.517683731</v>
      </c>
      <c r="AG15" s="1"/>
      <c r="AH15" s="70">
        <f t="shared" si="7"/>
        <v>10172.46488</v>
      </c>
      <c r="AI15" s="70">
        <f t="shared" si="8"/>
        <v>6000.482436</v>
      </c>
      <c r="AJ15" s="1"/>
      <c r="AK15" s="1"/>
      <c r="AL15" s="89"/>
      <c r="AM15" s="1"/>
      <c r="AN15" s="1"/>
      <c r="AO15" s="89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ht="19.5" customHeight="1">
      <c r="A16" s="1"/>
      <c r="B16" s="130">
        <v>5.0</v>
      </c>
      <c r="C16" s="131" t="s">
        <v>23</v>
      </c>
      <c r="D16" s="132" t="s">
        <v>177</v>
      </c>
      <c r="E16" s="133" t="s">
        <v>178</v>
      </c>
      <c r="F16" s="134"/>
      <c r="G16" s="135" t="s">
        <v>144</v>
      </c>
      <c r="H16" s="134"/>
      <c r="I16" s="134"/>
      <c r="J16" s="134"/>
      <c r="K16" s="134"/>
      <c r="L16" s="137">
        <f t="shared" si="27"/>
        <v>0.1302</v>
      </c>
      <c r="M16" s="138">
        <v>0.47727272727272735</v>
      </c>
      <c r="N16" s="132" t="s">
        <v>157</v>
      </c>
      <c r="O16" s="139"/>
      <c r="P16" s="1"/>
      <c r="Q16" s="1"/>
      <c r="R16" s="66" t="s">
        <v>180</v>
      </c>
      <c r="S16" s="66" t="s">
        <v>181</v>
      </c>
      <c r="T16" s="67">
        <f t="shared" ref="T16:AA16" si="32">SUMIFS($L:$L,$C:$C,T$3,$D:$D,$R16)*100</f>
        <v>0.279</v>
      </c>
      <c r="U16" s="67">
        <f t="shared" si="32"/>
        <v>0.279</v>
      </c>
      <c r="V16" s="67">
        <f t="shared" si="32"/>
        <v>0.372</v>
      </c>
      <c r="W16" s="67">
        <f t="shared" si="32"/>
        <v>0</v>
      </c>
      <c r="X16" s="67">
        <f t="shared" si="32"/>
        <v>0</v>
      </c>
      <c r="Y16" s="67">
        <f t="shared" si="32"/>
        <v>0</v>
      </c>
      <c r="Z16" s="67">
        <f t="shared" si="32"/>
        <v>0.465</v>
      </c>
      <c r="AA16" s="67">
        <f t="shared" si="32"/>
        <v>0</v>
      </c>
      <c r="AB16" s="69">
        <f t="shared" si="4"/>
        <v>0.1500661605</v>
      </c>
      <c r="AC16" s="67">
        <f t="shared" ref="AC16:AE16" si="33">SUMIFS($L:$L,$C:$C,AC$3,$D:$D,$R16)*100</f>
        <v>0</v>
      </c>
      <c r="AD16" s="67">
        <f t="shared" si="33"/>
        <v>0</v>
      </c>
      <c r="AE16" s="67">
        <f t="shared" si="33"/>
        <v>0</v>
      </c>
      <c r="AF16" s="69">
        <f t="shared" si="6"/>
        <v>0</v>
      </c>
      <c r="AG16" s="1"/>
      <c r="AH16" s="70">
        <f t="shared" si="7"/>
        <v>647.459305</v>
      </c>
      <c r="AI16" s="70">
        <f t="shared" si="8"/>
        <v>0</v>
      </c>
      <c r="AJ16" s="1"/>
      <c r="AK16" s="35" t="s">
        <v>183</v>
      </c>
      <c r="AL16" s="148">
        <v>0.18</v>
      </c>
      <c r="AM16" s="1"/>
      <c r="AN16" s="1"/>
      <c r="AO16" s="1"/>
      <c r="AP16" s="1"/>
      <c r="AQ16" s="35" t="s">
        <v>184</v>
      </c>
      <c r="AR16" s="151">
        <f>AR13/AR14-1</f>
        <v>0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ht="19.5" customHeight="1">
      <c r="A17" s="1"/>
      <c r="B17" s="130">
        <v>6.0</v>
      </c>
      <c r="C17" s="131" t="s">
        <v>23</v>
      </c>
      <c r="D17" s="132" t="s">
        <v>173</v>
      </c>
      <c r="E17" s="133" t="s">
        <v>186</v>
      </c>
      <c r="F17" s="134"/>
      <c r="G17" s="135" t="s">
        <v>144</v>
      </c>
      <c r="H17" s="134"/>
      <c r="I17" s="134"/>
      <c r="J17" s="134"/>
      <c r="K17" s="134"/>
      <c r="L17" s="137">
        <f t="shared" si="27"/>
        <v>0.0837</v>
      </c>
      <c r="M17" s="138">
        <v>0.3068181818181818</v>
      </c>
      <c r="N17" s="132" t="s">
        <v>157</v>
      </c>
      <c r="O17" s="139"/>
      <c r="P17" s="1"/>
      <c r="Q17" s="1"/>
      <c r="R17" s="66" t="s">
        <v>187</v>
      </c>
      <c r="S17" s="66" t="s">
        <v>188</v>
      </c>
      <c r="T17" s="67">
        <f t="shared" ref="T17:AA17" si="34">SUMIFS($L:$L,$C:$C,T$3,$D:$D,$R17)*100</f>
        <v>1.86</v>
      </c>
      <c r="U17" s="67">
        <f t="shared" si="34"/>
        <v>0</v>
      </c>
      <c r="V17" s="67">
        <f t="shared" si="34"/>
        <v>0</v>
      </c>
      <c r="W17" s="67">
        <f t="shared" si="34"/>
        <v>0</v>
      </c>
      <c r="X17" s="67">
        <f t="shared" si="34"/>
        <v>0</v>
      </c>
      <c r="Y17" s="67">
        <f t="shared" si="34"/>
        <v>0</v>
      </c>
      <c r="Z17" s="67">
        <f t="shared" si="34"/>
        <v>0</v>
      </c>
      <c r="AA17" s="67">
        <f t="shared" si="34"/>
        <v>0</v>
      </c>
      <c r="AB17" s="69">
        <f t="shared" si="4"/>
        <v>0.523942924</v>
      </c>
      <c r="AC17" s="67">
        <f t="shared" ref="AC17:AE17" si="35">SUMIFS($L:$L,$C:$C,AC$3,$D:$D,$R17)*100</f>
        <v>0</v>
      </c>
      <c r="AD17" s="67">
        <f t="shared" si="35"/>
        <v>0</v>
      </c>
      <c r="AE17" s="67">
        <f t="shared" si="35"/>
        <v>0</v>
      </c>
      <c r="AF17" s="69">
        <f t="shared" si="6"/>
        <v>0</v>
      </c>
      <c r="AG17" s="1"/>
      <c r="AH17" s="70">
        <f t="shared" si="7"/>
        <v>2260.54775</v>
      </c>
      <c r="AI17" s="70">
        <f t="shared" si="8"/>
        <v>0</v>
      </c>
      <c r="AJ17" s="1"/>
      <c r="AK17" s="153"/>
      <c r="AL17" s="153"/>
      <c r="AM17" s="153"/>
      <c r="AN17" s="153"/>
      <c r="AO17" s="153"/>
      <c r="AP17" s="153"/>
      <c r="AQ17" s="153"/>
      <c r="AR17" s="153"/>
      <c r="AS17" s="153"/>
      <c r="AT17" s="1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</row>
    <row r="18" ht="19.5" customHeight="1">
      <c r="A18" s="1"/>
      <c r="B18" s="130">
        <v>7.0</v>
      </c>
      <c r="C18" s="131" t="s">
        <v>23</v>
      </c>
      <c r="D18" s="132" t="s">
        <v>136</v>
      </c>
      <c r="E18" s="133" t="s">
        <v>197</v>
      </c>
      <c r="F18" s="134"/>
      <c r="G18" s="135" t="s">
        <v>144</v>
      </c>
      <c r="H18" s="134"/>
      <c r="I18" s="134"/>
      <c r="J18" s="134"/>
      <c r="K18" s="134"/>
      <c r="L18" s="137">
        <f t="shared" si="27"/>
        <v>0.0558</v>
      </c>
      <c r="M18" s="138">
        <v>0.20454545454545453</v>
      </c>
      <c r="N18" s="132" t="s">
        <v>157</v>
      </c>
      <c r="O18" s="139"/>
      <c r="P18" s="1"/>
      <c r="Q18" s="1"/>
      <c r="R18" s="66" t="s">
        <v>202</v>
      </c>
      <c r="S18" s="66" t="s">
        <v>203</v>
      </c>
      <c r="T18" s="67">
        <f t="shared" ref="T18:AA18" si="36">SUMIFS($L:$L,$C:$C,T$3,$D:$D,$R18)*100</f>
        <v>0.186</v>
      </c>
      <c r="U18" s="67">
        <f t="shared" si="36"/>
        <v>0</v>
      </c>
      <c r="V18" s="67">
        <f t="shared" si="36"/>
        <v>0</v>
      </c>
      <c r="W18" s="67">
        <f t="shared" si="36"/>
        <v>0</v>
      </c>
      <c r="X18" s="67">
        <f t="shared" si="36"/>
        <v>0</v>
      </c>
      <c r="Y18" s="67">
        <f t="shared" si="36"/>
        <v>0</v>
      </c>
      <c r="Z18" s="67">
        <f t="shared" si="36"/>
        <v>0</v>
      </c>
      <c r="AA18" s="67">
        <f t="shared" si="36"/>
        <v>0</v>
      </c>
      <c r="AB18" s="69">
        <f t="shared" si="4"/>
        <v>0.0523942924</v>
      </c>
      <c r="AC18" s="67">
        <f t="shared" ref="AC18:AE18" si="37">SUMIFS($L:$L,$C:$C,AC$3,$D:$D,$R18)*100</f>
        <v>0</v>
      </c>
      <c r="AD18" s="67">
        <f t="shared" si="37"/>
        <v>0</v>
      </c>
      <c r="AE18" s="67">
        <f t="shared" si="37"/>
        <v>0</v>
      </c>
      <c r="AF18" s="69">
        <f t="shared" si="6"/>
        <v>0</v>
      </c>
      <c r="AG18" s="1"/>
      <c r="AH18" s="70">
        <f t="shared" si="7"/>
        <v>226.054775</v>
      </c>
      <c r="AI18" s="70">
        <f t="shared" si="8"/>
        <v>0</v>
      </c>
      <c r="AJ18" s="1"/>
      <c r="AK18" s="1"/>
      <c r="AL18" s="147">
        <v>0.09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ht="19.5" customHeight="1">
      <c r="A19" s="1"/>
      <c r="B19" s="130">
        <v>8.0</v>
      </c>
      <c r="C19" s="131" t="s">
        <v>23</v>
      </c>
      <c r="D19" s="132" t="s">
        <v>164</v>
      </c>
      <c r="E19" s="133" t="s">
        <v>204</v>
      </c>
      <c r="F19" s="134"/>
      <c r="G19" s="135" t="s">
        <v>144</v>
      </c>
      <c r="H19" s="134"/>
      <c r="I19" s="134"/>
      <c r="J19" s="134"/>
      <c r="K19" s="134"/>
      <c r="L19" s="137">
        <f t="shared" si="27"/>
        <v>0.0372</v>
      </c>
      <c r="M19" s="138">
        <v>0.13636363636363638</v>
      </c>
      <c r="N19" s="132" t="s">
        <v>157</v>
      </c>
      <c r="O19" s="139"/>
      <c r="P19" s="1"/>
      <c r="Q19" s="1"/>
      <c r="R19" s="66" t="s">
        <v>177</v>
      </c>
      <c r="S19" s="66" t="s">
        <v>206</v>
      </c>
      <c r="T19" s="67">
        <f t="shared" ref="T19:AA19" si="38">SUMIFS($L:$L,$C:$C,T$3,$D:$D,$R19)*100</f>
        <v>13.02</v>
      </c>
      <c r="U19" s="67">
        <f t="shared" si="38"/>
        <v>0</v>
      </c>
      <c r="V19" s="67">
        <f t="shared" si="38"/>
        <v>16.74</v>
      </c>
      <c r="W19" s="67">
        <f t="shared" si="38"/>
        <v>14.322</v>
      </c>
      <c r="X19" s="67">
        <f t="shared" si="38"/>
        <v>0</v>
      </c>
      <c r="Y19" s="67">
        <f t="shared" si="38"/>
        <v>0</v>
      </c>
      <c r="Z19" s="67">
        <f t="shared" si="38"/>
        <v>0</v>
      </c>
      <c r="AA19" s="67">
        <f t="shared" si="38"/>
        <v>14.88</v>
      </c>
      <c r="AB19" s="69">
        <f t="shared" si="4"/>
        <v>11.06394266</v>
      </c>
      <c r="AC19" s="67">
        <f t="shared" ref="AC19:AE19" si="39">SUMIFS($L:$L,$C:$C,AC$3,$D:$D,$R19)*100</f>
        <v>3.4</v>
      </c>
      <c r="AD19" s="67">
        <f t="shared" si="39"/>
        <v>19.58</v>
      </c>
      <c r="AE19" s="67">
        <f t="shared" si="39"/>
        <v>17.8</v>
      </c>
      <c r="AF19" s="69">
        <f t="shared" si="6"/>
        <v>13.2816862</v>
      </c>
      <c r="AG19" s="1"/>
      <c r="AH19" s="70">
        <f t="shared" si="7"/>
        <v>47735.29625</v>
      </c>
      <c r="AI19" s="70">
        <f t="shared" si="8"/>
        <v>52511.94509</v>
      </c>
      <c r="AJ19" s="1"/>
      <c r="AK19" s="21" t="s">
        <v>207</v>
      </c>
      <c r="AL19" s="1"/>
      <c r="AM19" s="1"/>
      <c r="AN19" s="1"/>
      <c r="AO19" s="1"/>
      <c r="AP19" s="1"/>
      <c r="AQ19" s="1"/>
      <c r="AR19" s="1"/>
      <c r="AS19" s="1"/>
      <c r="AT19" s="1"/>
      <c r="AU19" s="21" t="s">
        <v>207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ht="19.5" customHeight="1">
      <c r="A20" s="1"/>
      <c r="B20" s="130">
        <v>9.0</v>
      </c>
      <c r="C20" s="131" t="s">
        <v>23</v>
      </c>
      <c r="D20" s="132" t="s">
        <v>158</v>
      </c>
      <c r="E20" s="133" t="s">
        <v>208</v>
      </c>
      <c r="F20" s="134"/>
      <c r="G20" s="135" t="s">
        <v>144</v>
      </c>
      <c r="H20" s="134"/>
      <c r="I20" s="134"/>
      <c r="J20" s="134"/>
      <c r="K20" s="134"/>
      <c r="L20" s="137">
        <f t="shared" si="27"/>
        <v>0.0186</v>
      </c>
      <c r="M20" s="138">
        <v>0.06818181818181819</v>
      </c>
      <c r="N20" s="132" t="s">
        <v>157</v>
      </c>
      <c r="O20" s="139"/>
      <c r="P20" s="1"/>
      <c r="Q20" s="1"/>
      <c r="R20" s="66" t="s">
        <v>209</v>
      </c>
      <c r="S20" s="66" t="s">
        <v>210</v>
      </c>
      <c r="T20" s="67">
        <f t="shared" ref="T20:AA20" si="40">SUMIFS($L:$L,$C:$C,T$3,$D:$D,$R20)*100</f>
        <v>0.465</v>
      </c>
      <c r="U20" s="67">
        <f t="shared" si="40"/>
        <v>0.465</v>
      </c>
      <c r="V20" s="67">
        <f t="shared" si="40"/>
        <v>0.744</v>
      </c>
      <c r="W20" s="67">
        <f t="shared" si="40"/>
        <v>0</v>
      </c>
      <c r="X20" s="67">
        <f t="shared" si="40"/>
        <v>0.465</v>
      </c>
      <c r="Y20" s="67">
        <f t="shared" si="40"/>
        <v>0.465</v>
      </c>
      <c r="Z20" s="67">
        <f t="shared" si="40"/>
        <v>0</v>
      </c>
      <c r="AA20" s="67">
        <f t="shared" si="40"/>
        <v>0.93</v>
      </c>
      <c r="AB20" s="69">
        <f t="shared" si="4"/>
        <v>0.4058816861</v>
      </c>
      <c r="AC20" s="67">
        <f t="shared" ref="AC20:AE20" si="41">SUMIFS($L:$L,$C:$C,AC$3,$D:$D,$R20)*100</f>
        <v>0</v>
      </c>
      <c r="AD20" s="67">
        <f t="shared" si="41"/>
        <v>0</v>
      </c>
      <c r="AE20" s="67">
        <f t="shared" si="41"/>
        <v>0</v>
      </c>
      <c r="AF20" s="69">
        <f t="shared" si="6"/>
        <v>0</v>
      </c>
      <c r="AG20" s="1"/>
      <c r="AH20" s="70">
        <f t="shared" si="7"/>
        <v>1751.17344</v>
      </c>
      <c r="AI20" s="70">
        <f t="shared" si="8"/>
        <v>0</v>
      </c>
      <c r="AJ20" s="1"/>
      <c r="AK20" s="37" t="s">
        <v>38</v>
      </c>
      <c r="AL20" s="38"/>
      <c r="AM20" s="38"/>
      <c r="AN20" s="38"/>
      <c r="AO20" s="38"/>
      <c r="AP20" s="38"/>
      <c r="AQ20" s="38"/>
      <c r="AR20" s="38"/>
      <c r="AS20" s="40"/>
      <c r="AT20" s="1"/>
      <c r="AU20" s="41" t="s">
        <v>40</v>
      </c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43"/>
      <c r="BH20" s="1"/>
      <c r="BI20" s="1"/>
      <c r="BJ20" s="1"/>
      <c r="BK20" s="1"/>
      <c r="BL20" s="1"/>
      <c r="BM20" s="1"/>
      <c r="BN20" s="1"/>
      <c r="BO20" s="1"/>
    </row>
    <row r="21" ht="19.5" customHeight="1">
      <c r="A21" s="1"/>
      <c r="B21" s="130">
        <v>10.0</v>
      </c>
      <c r="C21" s="131" t="s">
        <v>23</v>
      </c>
      <c r="D21" s="132" t="s">
        <v>187</v>
      </c>
      <c r="E21" s="133" t="s">
        <v>211</v>
      </c>
      <c r="F21" s="134"/>
      <c r="G21" s="135" t="s">
        <v>144</v>
      </c>
      <c r="H21" s="134"/>
      <c r="I21" s="134"/>
      <c r="J21" s="134"/>
      <c r="K21" s="134"/>
      <c r="L21" s="137">
        <f t="shared" si="27"/>
        <v>0.0186</v>
      </c>
      <c r="M21" s="138">
        <v>0.06818181818181819</v>
      </c>
      <c r="N21" s="132" t="s">
        <v>157</v>
      </c>
      <c r="O21" s="139"/>
      <c r="P21" s="1"/>
      <c r="Q21" s="1"/>
      <c r="R21" s="66" t="s">
        <v>212</v>
      </c>
      <c r="S21" s="66" t="s">
        <v>213</v>
      </c>
      <c r="T21" s="67">
        <f t="shared" ref="T21:AA21" si="42">SUMIFS($L:$L,$C:$C,T$3,$D:$D,$R21)*100</f>
        <v>0.279</v>
      </c>
      <c r="U21" s="67">
        <f t="shared" si="42"/>
        <v>0.279</v>
      </c>
      <c r="V21" s="67">
        <f t="shared" si="42"/>
        <v>0.744</v>
      </c>
      <c r="W21" s="67">
        <f t="shared" si="42"/>
        <v>0</v>
      </c>
      <c r="X21" s="67">
        <f t="shared" si="42"/>
        <v>0</v>
      </c>
      <c r="Y21" s="67">
        <f t="shared" si="42"/>
        <v>0</v>
      </c>
      <c r="Z21" s="67">
        <f t="shared" si="42"/>
        <v>0</v>
      </c>
      <c r="AA21" s="67">
        <f t="shared" si="42"/>
        <v>0</v>
      </c>
      <c r="AB21" s="69">
        <f t="shared" si="4"/>
        <v>0.1523804164</v>
      </c>
      <c r="AC21" s="67">
        <f t="shared" ref="AC21:AE21" si="43">SUMIFS($L:$L,$C:$C,AC$3,$D:$D,$R21)*100</f>
        <v>0</v>
      </c>
      <c r="AD21" s="67">
        <f t="shared" si="43"/>
        <v>0</v>
      </c>
      <c r="AE21" s="67">
        <f t="shared" si="43"/>
        <v>0</v>
      </c>
      <c r="AF21" s="69">
        <f t="shared" si="6"/>
        <v>0</v>
      </c>
      <c r="AG21" s="1"/>
      <c r="AH21" s="70">
        <f t="shared" si="7"/>
        <v>657.4441444</v>
      </c>
      <c r="AI21" s="70">
        <f t="shared" si="8"/>
        <v>0</v>
      </c>
      <c r="AJ21" s="1"/>
      <c r="AK21" s="57" t="s">
        <v>48</v>
      </c>
      <c r="AL21" s="57" t="s">
        <v>49</v>
      </c>
      <c r="AM21" s="57" t="s">
        <v>50</v>
      </c>
      <c r="AN21" s="58" t="s">
        <v>51</v>
      </c>
      <c r="AO21" s="38"/>
      <c r="AP21" s="38"/>
      <c r="AQ21" s="43"/>
      <c r="AR21" s="59" t="s">
        <v>52</v>
      </c>
      <c r="AS21" s="49"/>
      <c r="AT21" s="1"/>
      <c r="AU21" s="60" t="s">
        <v>53</v>
      </c>
      <c r="AV21" s="60" t="s">
        <v>54</v>
      </c>
      <c r="AW21" s="61" t="s">
        <v>55</v>
      </c>
      <c r="AX21" s="43"/>
      <c r="AY21" s="61" t="s">
        <v>56</v>
      </c>
      <c r="AZ21" s="43"/>
      <c r="BA21" s="61" t="s">
        <v>57</v>
      </c>
      <c r="BB21" s="43"/>
      <c r="BC21" s="61" t="s">
        <v>18</v>
      </c>
      <c r="BD21" s="43"/>
      <c r="BE21" s="60" t="s">
        <v>58</v>
      </c>
      <c r="BF21" s="60" t="s">
        <v>59</v>
      </c>
      <c r="BG21" s="60" t="s">
        <v>60</v>
      </c>
      <c r="BH21" s="1"/>
      <c r="BI21" s="1"/>
      <c r="BJ21" s="1"/>
      <c r="BK21" s="1"/>
      <c r="BL21" s="1"/>
      <c r="BM21" s="1"/>
      <c r="BN21" s="1"/>
      <c r="BO21" s="1"/>
    </row>
    <row r="22" ht="19.5" customHeight="1">
      <c r="A22" s="1"/>
      <c r="B22" s="130">
        <v>11.0</v>
      </c>
      <c r="C22" s="131" t="s">
        <v>23</v>
      </c>
      <c r="D22" s="132" t="s">
        <v>89</v>
      </c>
      <c r="E22" s="133" t="s">
        <v>214</v>
      </c>
      <c r="F22" s="134"/>
      <c r="G22" s="135" t="s">
        <v>144</v>
      </c>
      <c r="H22" s="134"/>
      <c r="I22" s="134"/>
      <c r="J22" s="134"/>
      <c r="K22" s="134"/>
      <c r="L22" s="137">
        <f t="shared" si="27"/>
        <v>0.00744</v>
      </c>
      <c r="M22" s="138">
        <v>0.027272727272727275</v>
      </c>
      <c r="N22" s="132" t="s">
        <v>157</v>
      </c>
      <c r="O22" s="139"/>
      <c r="P22" s="1"/>
      <c r="Q22" s="1"/>
      <c r="R22" s="66" t="s">
        <v>215</v>
      </c>
      <c r="S22" s="66" t="s">
        <v>216</v>
      </c>
      <c r="T22" s="67">
        <f t="shared" ref="T22:AA22" si="44">SUMIFS($L:$L,$C:$C,T$3,$D:$D,$R22)*100</f>
        <v>0.372</v>
      </c>
      <c r="U22" s="67">
        <f t="shared" si="44"/>
        <v>0</v>
      </c>
      <c r="V22" s="67">
        <f t="shared" si="44"/>
        <v>0</v>
      </c>
      <c r="W22" s="67">
        <f t="shared" si="44"/>
        <v>0.1302</v>
      </c>
      <c r="X22" s="67">
        <f t="shared" si="44"/>
        <v>0</v>
      </c>
      <c r="Y22" s="67">
        <f t="shared" si="44"/>
        <v>0</v>
      </c>
      <c r="Z22" s="67">
        <f t="shared" si="44"/>
        <v>0</v>
      </c>
      <c r="AA22" s="67">
        <f t="shared" si="44"/>
        <v>0</v>
      </c>
      <c r="AB22" s="69">
        <f t="shared" si="4"/>
        <v>0.1390195836</v>
      </c>
      <c r="AC22" s="67">
        <f t="shared" ref="AC22:AE22" si="45">SUMIFS($L:$L,$C:$C,AC$3,$D:$D,$R22)*100</f>
        <v>0</v>
      </c>
      <c r="AD22" s="67">
        <f t="shared" si="45"/>
        <v>0</v>
      </c>
      <c r="AE22" s="67">
        <f t="shared" si="45"/>
        <v>0.445</v>
      </c>
      <c r="AF22" s="69">
        <f t="shared" si="6"/>
        <v>0.08431576285</v>
      </c>
      <c r="AG22" s="1"/>
      <c r="AH22" s="70">
        <f t="shared" si="7"/>
        <v>599.7989335</v>
      </c>
      <c r="AI22" s="70">
        <f t="shared" si="8"/>
        <v>333.3601353</v>
      </c>
      <c r="AJ22" s="1"/>
      <c r="AK22" s="71"/>
      <c r="AL22" s="71"/>
      <c r="AM22" s="71"/>
      <c r="AN22" s="58" t="s">
        <v>68</v>
      </c>
      <c r="AO22" s="43"/>
      <c r="AP22" s="58" t="s">
        <v>69</v>
      </c>
      <c r="AQ22" s="43"/>
      <c r="AR22" s="72"/>
      <c r="AS22" s="73"/>
      <c r="AT22" s="1"/>
      <c r="AU22" s="74" t="s">
        <v>217</v>
      </c>
      <c r="AV22" s="75"/>
      <c r="AW22" s="76"/>
      <c r="AX22" s="77" t="s">
        <v>82</v>
      </c>
      <c r="AY22" s="77"/>
      <c r="AZ22" s="77" t="s">
        <v>72</v>
      </c>
      <c r="BA22" s="76"/>
      <c r="BB22" s="77" t="s">
        <v>21</v>
      </c>
      <c r="BC22" s="77" t="s">
        <v>73</v>
      </c>
      <c r="BD22" s="77" t="s">
        <v>74</v>
      </c>
      <c r="BE22" s="78"/>
      <c r="BF22" s="79"/>
      <c r="BG22" s="80"/>
      <c r="BH22" s="1"/>
      <c r="BI22" s="1"/>
      <c r="BJ22" s="1"/>
      <c r="BK22" s="1"/>
      <c r="BL22" s="1"/>
      <c r="BM22" s="1"/>
      <c r="BN22" s="1"/>
      <c r="BO22" s="1"/>
    </row>
    <row r="23" ht="19.5" customHeight="1">
      <c r="A23" s="1"/>
      <c r="B23" s="130">
        <v>12.0</v>
      </c>
      <c r="C23" s="131" t="s">
        <v>23</v>
      </c>
      <c r="D23" s="132" t="s">
        <v>76</v>
      </c>
      <c r="E23" s="133" t="s">
        <v>218</v>
      </c>
      <c r="F23" s="134"/>
      <c r="G23" s="135" t="s">
        <v>144</v>
      </c>
      <c r="H23" s="134"/>
      <c r="I23" s="134"/>
      <c r="J23" s="134"/>
      <c r="K23" s="134"/>
      <c r="L23" s="137">
        <f t="shared" si="27"/>
        <v>0.00465</v>
      </c>
      <c r="M23" s="138">
        <v>0.017045454545454548</v>
      </c>
      <c r="N23" s="132" t="s">
        <v>157</v>
      </c>
      <c r="O23" s="139"/>
      <c r="P23" s="1"/>
      <c r="Q23" s="1"/>
      <c r="R23" s="66" t="s">
        <v>219</v>
      </c>
      <c r="S23" s="66" t="s">
        <v>220</v>
      </c>
      <c r="T23" s="67">
        <f t="shared" ref="T23:AA23" si="46">SUMIFS($L:$L,$C:$C,T$3,$D:$D,$R23)*100</f>
        <v>0</v>
      </c>
      <c r="U23" s="67">
        <f t="shared" si="46"/>
        <v>12.09</v>
      </c>
      <c r="V23" s="67">
        <f t="shared" si="46"/>
        <v>0</v>
      </c>
      <c r="W23" s="67">
        <f t="shared" si="46"/>
        <v>0</v>
      </c>
      <c r="X23" s="67">
        <f t="shared" si="46"/>
        <v>0</v>
      </c>
      <c r="Y23" s="67">
        <f t="shared" si="46"/>
        <v>0</v>
      </c>
      <c r="Z23" s="67">
        <f t="shared" si="46"/>
        <v>14.88</v>
      </c>
      <c r="AA23" s="67">
        <f t="shared" si="46"/>
        <v>0</v>
      </c>
      <c r="AB23" s="69">
        <f t="shared" si="4"/>
        <v>1.385829034</v>
      </c>
      <c r="AC23" s="67">
        <f t="shared" ref="AC23:AE23" si="47">SUMIFS($L:$L,$C:$C,AC$3,$D:$D,$R23)*100</f>
        <v>0</v>
      </c>
      <c r="AD23" s="67">
        <f t="shared" si="47"/>
        <v>0</v>
      </c>
      <c r="AE23" s="67">
        <f t="shared" si="47"/>
        <v>0</v>
      </c>
      <c r="AF23" s="69">
        <f t="shared" si="6"/>
        <v>0</v>
      </c>
      <c r="AG23" s="1"/>
      <c r="AH23" s="70">
        <f t="shared" si="7"/>
        <v>5979.1488</v>
      </c>
      <c r="AI23" s="70">
        <f t="shared" si="8"/>
        <v>0</v>
      </c>
      <c r="AJ23" s="1"/>
      <c r="AK23" s="82" t="s">
        <v>222</v>
      </c>
      <c r="AL23" s="20">
        <f t="shared" ref="AL23:AL30" si="50">+AR23/(1-AN23-AP23)</f>
        <v>395371.0719</v>
      </c>
      <c r="AM23" s="84">
        <v>0.0</v>
      </c>
      <c r="AN23" s="85"/>
      <c r="AO23" s="84">
        <f t="shared" ref="AO23:AO30" si="51">AL23*AN23</f>
        <v>0</v>
      </c>
      <c r="AP23" s="85"/>
      <c r="AQ23" s="84">
        <f t="shared" ref="AQ23:AQ30" si="52">AL23*AP23</f>
        <v>0</v>
      </c>
      <c r="AR23" s="84">
        <f t="shared" ref="AR23:AR29" si="53">+AL24</f>
        <v>395371.0719</v>
      </c>
      <c r="AS23" s="86" t="s">
        <v>79</v>
      </c>
      <c r="AT23" s="1"/>
      <c r="AU23" s="74" t="s">
        <v>224</v>
      </c>
      <c r="AV23" s="75"/>
      <c r="AW23" s="76"/>
      <c r="AX23" s="77" t="s">
        <v>82</v>
      </c>
      <c r="AY23" s="77"/>
      <c r="AZ23" s="77" t="s">
        <v>72</v>
      </c>
      <c r="BA23" s="76"/>
      <c r="BB23" s="77" t="s">
        <v>21</v>
      </c>
      <c r="BC23" s="77" t="s">
        <v>73</v>
      </c>
      <c r="BD23" s="77" t="s">
        <v>74</v>
      </c>
      <c r="BE23" s="87"/>
      <c r="BF23" s="79"/>
      <c r="BG23" s="80"/>
      <c r="BH23" s="1"/>
      <c r="BI23" s="1"/>
      <c r="BJ23" s="1"/>
      <c r="BK23" s="1"/>
      <c r="BL23" s="1"/>
      <c r="BM23" s="1"/>
      <c r="BN23" s="1"/>
      <c r="BO23" s="1"/>
    </row>
    <row r="24" ht="19.5" customHeight="1">
      <c r="A24" s="1"/>
      <c r="B24" s="130">
        <v>13.0</v>
      </c>
      <c r="C24" s="131" t="s">
        <v>23</v>
      </c>
      <c r="D24" s="132" t="s">
        <v>84</v>
      </c>
      <c r="E24" s="133" t="s">
        <v>225</v>
      </c>
      <c r="F24" s="134"/>
      <c r="G24" s="135" t="s">
        <v>144</v>
      </c>
      <c r="H24" s="134"/>
      <c r="I24" s="134"/>
      <c r="J24" s="134"/>
      <c r="K24" s="134"/>
      <c r="L24" s="137">
        <f t="shared" si="27"/>
        <v>0.00465</v>
      </c>
      <c r="M24" s="138">
        <v>0.017045454545454548</v>
      </c>
      <c r="N24" s="132" t="s">
        <v>157</v>
      </c>
      <c r="O24" s="139"/>
      <c r="P24" s="1"/>
      <c r="Q24" s="1"/>
      <c r="R24" s="66" t="s">
        <v>226</v>
      </c>
      <c r="S24" s="66" t="s">
        <v>227</v>
      </c>
      <c r="T24" s="67">
        <f t="shared" ref="T24:AA24" si="48">SUMIFS($L:$L,$C:$C,T$3,$D:$D,$R24)*100</f>
        <v>0</v>
      </c>
      <c r="U24" s="67">
        <f t="shared" si="48"/>
        <v>4.65</v>
      </c>
      <c r="V24" s="67">
        <f t="shared" si="48"/>
        <v>0</v>
      </c>
      <c r="W24" s="67">
        <f t="shared" si="48"/>
        <v>0</v>
      </c>
      <c r="X24" s="67">
        <f t="shared" si="48"/>
        <v>0</v>
      </c>
      <c r="Y24" s="67">
        <f t="shared" si="48"/>
        <v>0</v>
      </c>
      <c r="Z24" s="67">
        <f t="shared" si="48"/>
        <v>0</v>
      </c>
      <c r="AA24" s="67">
        <f t="shared" si="48"/>
        <v>0</v>
      </c>
      <c r="AB24" s="69">
        <f t="shared" si="4"/>
        <v>0.1702814503</v>
      </c>
      <c r="AC24" s="67">
        <f t="shared" ref="AC24:AE24" si="49">SUMIFS($L:$L,$C:$C,AC$3,$D:$D,$R24)*100</f>
        <v>0</v>
      </c>
      <c r="AD24" s="67">
        <f t="shared" si="49"/>
        <v>0</v>
      </c>
      <c r="AE24" s="67">
        <f t="shared" si="49"/>
        <v>0</v>
      </c>
      <c r="AF24" s="69">
        <f t="shared" si="6"/>
        <v>0</v>
      </c>
      <c r="AG24" s="1"/>
      <c r="AH24" s="70">
        <f t="shared" si="7"/>
        <v>734.6780189</v>
      </c>
      <c r="AI24" s="70">
        <f t="shared" si="8"/>
        <v>0</v>
      </c>
      <c r="AJ24" s="1"/>
      <c r="AK24" s="82" t="s">
        <v>228</v>
      </c>
      <c r="AL24" s="84">
        <f t="shared" si="50"/>
        <v>395371.0719</v>
      </c>
      <c r="AM24" s="84">
        <v>0.0</v>
      </c>
      <c r="AN24" s="85"/>
      <c r="AO24" s="84">
        <f t="shared" si="51"/>
        <v>0</v>
      </c>
      <c r="AP24" s="85"/>
      <c r="AQ24" s="84">
        <f t="shared" si="52"/>
        <v>0</v>
      </c>
      <c r="AR24" s="84">
        <f t="shared" si="53"/>
        <v>395371.0719</v>
      </c>
      <c r="AS24" s="86" t="s">
        <v>79</v>
      </c>
      <c r="AT24" s="1"/>
      <c r="AU24" s="74" t="s">
        <v>229</v>
      </c>
      <c r="AV24" s="75"/>
      <c r="AW24" s="76"/>
      <c r="AX24" s="77" t="s">
        <v>82</v>
      </c>
      <c r="AY24" s="77"/>
      <c r="AZ24" s="77" t="s">
        <v>72</v>
      </c>
      <c r="BA24" s="76"/>
      <c r="BB24" s="77" t="s">
        <v>21</v>
      </c>
      <c r="BC24" s="77" t="s">
        <v>73</v>
      </c>
      <c r="BD24" s="77" t="s">
        <v>74</v>
      </c>
      <c r="BE24" s="87"/>
      <c r="BF24" s="79"/>
      <c r="BG24" s="80"/>
      <c r="BH24" s="1"/>
      <c r="BI24" s="1"/>
      <c r="BJ24" s="1"/>
      <c r="BK24" s="1"/>
      <c r="BL24" s="1"/>
      <c r="BM24" s="1"/>
      <c r="BN24" s="1"/>
      <c r="BO24" s="1"/>
    </row>
    <row r="25" ht="19.5" customHeight="1">
      <c r="A25" s="1"/>
      <c r="B25" s="130">
        <v>14.0</v>
      </c>
      <c r="C25" s="131" t="s">
        <v>23</v>
      </c>
      <c r="D25" s="132" t="s">
        <v>209</v>
      </c>
      <c r="E25" s="133" t="s">
        <v>230</v>
      </c>
      <c r="F25" s="134"/>
      <c r="G25" s="135" t="s">
        <v>144</v>
      </c>
      <c r="H25" s="134"/>
      <c r="I25" s="134"/>
      <c r="J25" s="134"/>
      <c r="K25" s="134"/>
      <c r="L25" s="137">
        <f t="shared" si="27"/>
        <v>0.00465</v>
      </c>
      <c r="M25" s="138">
        <v>0.017045454545454548</v>
      </c>
      <c r="N25" s="132" t="s">
        <v>157</v>
      </c>
      <c r="O25" s="139"/>
      <c r="P25" s="1"/>
      <c r="Q25" s="1"/>
      <c r="R25" s="66" t="s">
        <v>231</v>
      </c>
      <c r="S25" s="66" t="s">
        <v>232</v>
      </c>
      <c r="T25" s="67">
        <f t="shared" ref="T25:AA25" si="54">SUMIFS($L:$L,$C:$C,T$3,$D:$D,$R25)*100</f>
        <v>0</v>
      </c>
      <c r="U25" s="67">
        <f t="shared" si="54"/>
        <v>3.72</v>
      </c>
      <c r="V25" s="67">
        <f t="shared" si="54"/>
        <v>0</v>
      </c>
      <c r="W25" s="67">
        <f t="shared" si="54"/>
        <v>0</v>
      </c>
      <c r="X25" s="67">
        <f t="shared" si="54"/>
        <v>0</v>
      </c>
      <c r="Y25" s="67">
        <f t="shared" si="54"/>
        <v>0</v>
      </c>
      <c r="Z25" s="67">
        <f t="shared" si="54"/>
        <v>5.58</v>
      </c>
      <c r="AA25" s="67">
        <f t="shared" si="54"/>
        <v>0</v>
      </c>
      <c r="AB25" s="69">
        <f t="shared" si="4"/>
        <v>0.489886634</v>
      </c>
      <c r="AC25" s="67">
        <f t="shared" ref="AC25:AE25" si="55">SUMIFS($L:$L,$C:$C,AC$3,$D:$D,$R25)*100</f>
        <v>0</v>
      </c>
      <c r="AD25" s="67">
        <f t="shared" si="55"/>
        <v>0</v>
      </c>
      <c r="AE25" s="67">
        <f t="shared" si="55"/>
        <v>0</v>
      </c>
      <c r="AF25" s="69">
        <f t="shared" si="6"/>
        <v>0</v>
      </c>
      <c r="AG25" s="1"/>
      <c r="AH25" s="70">
        <f t="shared" si="7"/>
        <v>2113.612147</v>
      </c>
      <c r="AI25" s="70">
        <f t="shared" si="8"/>
        <v>0</v>
      </c>
      <c r="AJ25" s="1"/>
      <c r="AK25" s="82" t="s">
        <v>233</v>
      </c>
      <c r="AL25" s="84">
        <f t="shared" si="50"/>
        <v>395371.0719</v>
      </c>
      <c r="AM25" s="84">
        <v>0.0</v>
      </c>
      <c r="AN25" s="85"/>
      <c r="AO25" s="84">
        <f t="shared" si="51"/>
        <v>0</v>
      </c>
      <c r="AP25" s="85"/>
      <c r="AQ25" s="84">
        <f t="shared" si="52"/>
        <v>0</v>
      </c>
      <c r="AR25" s="84">
        <f t="shared" si="53"/>
        <v>395371.0719</v>
      </c>
      <c r="AS25" s="86" t="s">
        <v>79</v>
      </c>
      <c r="AT25" s="1"/>
      <c r="AU25" s="74" t="s">
        <v>234</v>
      </c>
      <c r="AV25" s="75"/>
      <c r="AW25" s="76"/>
      <c r="AX25" s="77" t="s">
        <v>82</v>
      </c>
      <c r="AY25" s="77"/>
      <c r="AZ25" s="77" t="s">
        <v>72</v>
      </c>
      <c r="BA25" s="76"/>
      <c r="BB25" s="77" t="s">
        <v>21</v>
      </c>
      <c r="BC25" s="77" t="s">
        <v>73</v>
      </c>
      <c r="BD25" s="77" t="s">
        <v>74</v>
      </c>
      <c r="BE25" s="87"/>
      <c r="BF25" s="79"/>
      <c r="BG25" s="80"/>
      <c r="BH25" s="1"/>
      <c r="BI25" s="1"/>
      <c r="BJ25" s="1"/>
      <c r="BK25" s="1"/>
      <c r="BL25" s="1"/>
      <c r="BM25" s="1"/>
      <c r="BN25" s="1"/>
      <c r="BO25" s="1"/>
    </row>
    <row r="26" ht="19.5" customHeight="1">
      <c r="A26" s="1"/>
      <c r="B26" s="130">
        <v>15.0</v>
      </c>
      <c r="C26" s="131" t="s">
        <v>23</v>
      </c>
      <c r="D26" s="132" t="s">
        <v>215</v>
      </c>
      <c r="E26" s="133" t="s">
        <v>235</v>
      </c>
      <c r="F26" s="134"/>
      <c r="G26" s="135" t="s">
        <v>144</v>
      </c>
      <c r="H26" s="134"/>
      <c r="I26" s="134"/>
      <c r="J26" s="134"/>
      <c r="K26" s="134"/>
      <c r="L26" s="137">
        <f t="shared" si="27"/>
        <v>0.00372</v>
      </c>
      <c r="M26" s="138">
        <v>0.013636363636363637</v>
      </c>
      <c r="N26" s="132" t="s">
        <v>157</v>
      </c>
      <c r="O26" s="139"/>
      <c r="P26" s="1"/>
      <c r="Q26" s="1"/>
      <c r="R26" s="66" t="s">
        <v>236</v>
      </c>
      <c r="S26" s="66" t="s">
        <v>237</v>
      </c>
      <c r="T26" s="67">
        <f t="shared" ref="T26:AA26" si="56">SUMIFS($L:$L,$C:$C,T$3,$D:$D,$R26)*100</f>
        <v>0</v>
      </c>
      <c r="U26" s="67">
        <f t="shared" si="56"/>
        <v>2.79</v>
      </c>
      <c r="V26" s="67">
        <f t="shared" si="56"/>
        <v>0</v>
      </c>
      <c r="W26" s="67">
        <f t="shared" si="56"/>
        <v>0</v>
      </c>
      <c r="X26" s="67">
        <f t="shared" si="56"/>
        <v>0</v>
      </c>
      <c r="Y26" s="67">
        <f t="shared" si="56"/>
        <v>0</v>
      </c>
      <c r="Z26" s="67">
        <f t="shared" si="56"/>
        <v>0</v>
      </c>
      <c r="AA26" s="67">
        <f t="shared" si="56"/>
        <v>0</v>
      </c>
      <c r="AB26" s="69">
        <f t="shared" si="4"/>
        <v>0.1021688702</v>
      </c>
      <c r="AC26" s="67">
        <f t="shared" ref="AC26:AE26" si="57">SUMIFS($L:$L,$C:$C,AC$3,$D:$D,$R26)*100</f>
        <v>2.55</v>
      </c>
      <c r="AD26" s="67">
        <f t="shared" si="57"/>
        <v>0</v>
      </c>
      <c r="AE26" s="67">
        <f t="shared" si="57"/>
        <v>0</v>
      </c>
      <c r="AF26" s="69">
        <f t="shared" si="6"/>
        <v>0.9394733875</v>
      </c>
      <c r="AG26" s="1"/>
      <c r="AH26" s="70">
        <f t="shared" si="7"/>
        <v>440.8068113</v>
      </c>
      <c r="AI26" s="70">
        <f t="shared" si="8"/>
        <v>3714.406002</v>
      </c>
      <c r="AJ26" s="1"/>
      <c r="AK26" s="82" t="s">
        <v>92</v>
      </c>
      <c r="AL26" s="84">
        <f t="shared" si="50"/>
        <v>395371.0719</v>
      </c>
      <c r="AM26" s="84">
        <v>0.0</v>
      </c>
      <c r="AN26" s="85"/>
      <c r="AO26" s="84">
        <f t="shared" si="51"/>
        <v>0</v>
      </c>
      <c r="AP26" s="85">
        <v>0.13</v>
      </c>
      <c r="AQ26" s="84">
        <f t="shared" si="52"/>
        <v>51398.23935</v>
      </c>
      <c r="AR26" s="84">
        <f t="shared" si="53"/>
        <v>343972.8325</v>
      </c>
      <c r="AS26" s="86" t="s">
        <v>79</v>
      </c>
      <c r="AT26" s="1"/>
      <c r="AU26" s="74" t="s">
        <v>94</v>
      </c>
      <c r="AV26" s="75"/>
      <c r="AW26" s="76"/>
      <c r="AX26" s="77" t="s">
        <v>82</v>
      </c>
      <c r="AY26" s="77"/>
      <c r="AZ26" s="77" t="s">
        <v>72</v>
      </c>
      <c r="BA26" s="76"/>
      <c r="BB26" s="77" t="s">
        <v>21</v>
      </c>
      <c r="BC26" s="77" t="s">
        <v>73</v>
      </c>
      <c r="BD26" s="77" t="s">
        <v>74</v>
      </c>
      <c r="BE26" s="87"/>
      <c r="BF26" s="79"/>
      <c r="BG26" s="80"/>
      <c r="BH26" s="1"/>
      <c r="BI26" s="1"/>
      <c r="BJ26" s="1"/>
      <c r="BK26" s="1"/>
      <c r="BL26" s="1"/>
      <c r="BM26" s="1"/>
      <c r="BN26" s="1"/>
      <c r="BO26" s="1"/>
    </row>
    <row r="27" ht="19.5" customHeight="1">
      <c r="A27" s="1"/>
      <c r="B27" s="130">
        <v>16.0</v>
      </c>
      <c r="C27" s="131" t="s">
        <v>23</v>
      </c>
      <c r="D27" s="132" t="s">
        <v>180</v>
      </c>
      <c r="E27" s="133" t="s">
        <v>238</v>
      </c>
      <c r="F27" s="134"/>
      <c r="G27" s="135" t="s">
        <v>144</v>
      </c>
      <c r="H27" s="134"/>
      <c r="I27" s="134"/>
      <c r="J27" s="134"/>
      <c r="K27" s="134"/>
      <c r="L27" s="137">
        <f t="shared" si="27"/>
        <v>0.00279</v>
      </c>
      <c r="M27" s="138">
        <v>0.010227272727272727</v>
      </c>
      <c r="N27" s="132" t="s">
        <v>157</v>
      </c>
      <c r="O27" s="139"/>
      <c r="P27" s="1"/>
      <c r="Q27" s="1"/>
      <c r="R27" s="66" t="s">
        <v>239</v>
      </c>
      <c r="S27" s="66" t="s">
        <v>240</v>
      </c>
      <c r="T27" s="67">
        <f t="shared" ref="T27:AA27" si="58">SUMIFS($L:$L,$C:$C,T$3,$D:$D,$R27)*100</f>
        <v>0</v>
      </c>
      <c r="U27" s="67">
        <f t="shared" si="58"/>
        <v>1.395</v>
      </c>
      <c r="V27" s="67">
        <f t="shared" si="58"/>
        <v>0</v>
      </c>
      <c r="W27" s="67">
        <f t="shared" si="58"/>
        <v>0</v>
      </c>
      <c r="X27" s="67">
        <f t="shared" si="58"/>
        <v>0</v>
      </c>
      <c r="Y27" s="67">
        <f t="shared" si="58"/>
        <v>0</v>
      </c>
      <c r="Z27" s="67">
        <f t="shared" si="58"/>
        <v>2.79</v>
      </c>
      <c r="AA27" s="67">
        <f t="shared" si="58"/>
        <v>0</v>
      </c>
      <c r="AB27" s="69">
        <f t="shared" si="4"/>
        <v>0.227915172</v>
      </c>
      <c r="AC27" s="67">
        <f t="shared" ref="AC27:AE27" si="59">SUMIFS($L:$L,$C:$C,AC$3,$D:$D,$R27)*100</f>
        <v>0</v>
      </c>
      <c r="AD27" s="67">
        <f t="shared" si="59"/>
        <v>0</v>
      </c>
      <c r="AE27" s="67">
        <f t="shared" si="59"/>
        <v>0</v>
      </c>
      <c r="AF27" s="69">
        <f t="shared" si="6"/>
        <v>0</v>
      </c>
      <c r="AG27" s="1"/>
      <c r="AH27" s="70">
        <f t="shared" si="7"/>
        <v>983.3382714</v>
      </c>
      <c r="AI27" s="70">
        <f t="shared" si="8"/>
        <v>0</v>
      </c>
      <c r="AJ27" s="1"/>
      <c r="AK27" s="82" t="s">
        <v>241</v>
      </c>
      <c r="AL27" s="84">
        <f t="shared" si="50"/>
        <v>343972.8325</v>
      </c>
      <c r="AM27" s="84">
        <v>0.0</v>
      </c>
      <c r="AN27" s="85"/>
      <c r="AO27" s="84">
        <f t="shared" si="51"/>
        <v>0</v>
      </c>
      <c r="AP27" s="85"/>
      <c r="AQ27" s="84">
        <f t="shared" si="52"/>
        <v>0</v>
      </c>
      <c r="AR27" s="84">
        <f t="shared" si="53"/>
        <v>343972.8325</v>
      </c>
      <c r="AS27" s="86" t="s">
        <v>79</v>
      </c>
      <c r="AT27" s="1"/>
      <c r="AU27" s="74" t="s">
        <v>128</v>
      </c>
      <c r="AV27" s="75"/>
      <c r="AW27" s="76"/>
      <c r="AX27" s="77" t="s">
        <v>82</v>
      </c>
      <c r="AY27" s="77"/>
      <c r="AZ27" s="77" t="s">
        <v>72</v>
      </c>
      <c r="BA27" s="76"/>
      <c r="BB27" s="77" t="s">
        <v>21</v>
      </c>
      <c r="BC27" s="77" t="s">
        <v>73</v>
      </c>
      <c r="BD27" s="77" t="s">
        <v>74</v>
      </c>
      <c r="BE27" s="87"/>
      <c r="BF27" s="79"/>
      <c r="BG27" s="80"/>
      <c r="BH27" s="1"/>
      <c r="BI27" s="1"/>
      <c r="BJ27" s="1"/>
      <c r="BK27" s="1"/>
      <c r="BL27" s="1"/>
      <c r="BM27" s="1"/>
      <c r="BN27" s="1"/>
      <c r="BO27" s="1"/>
    </row>
    <row r="28" ht="19.5" customHeight="1">
      <c r="A28" s="1"/>
      <c r="B28" s="130">
        <v>17.0</v>
      </c>
      <c r="C28" s="131" t="s">
        <v>23</v>
      </c>
      <c r="D28" s="132" t="s">
        <v>212</v>
      </c>
      <c r="E28" s="133" t="s">
        <v>242</v>
      </c>
      <c r="F28" s="134"/>
      <c r="G28" s="135" t="s">
        <v>144</v>
      </c>
      <c r="H28" s="134"/>
      <c r="I28" s="134"/>
      <c r="J28" s="134"/>
      <c r="K28" s="134"/>
      <c r="L28" s="137">
        <f t="shared" si="27"/>
        <v>0.00279</v>
      </c>
      <c r="M28" s="138">
        <v>0.010227272727272727</v>
      </c>
      <c r="N28" s="132" t="s">
        <v>157</v>
      </c>
      <c r="O28" s="139"/>
      <c r="P28" s="1"/>
      <c r="Q28" s="1"/>
      <c r="R28" s="66" t="s">
        <v>243</v>
      </c>
      <c r="S28" s="66" t="s">
        <v>244</v>
      </c>
      <c r="T28" s="67">
        <f t="shared" ref="T28:AA28" si="60">SUMIFS($L:$L,$C:$C,T$3,$D:$D,$R28)*100</f>
        <v>0</v>
      </c>
      <c r="U28" s="67">
        <f t="shared" si="60"/>
        <v>0</v>
      </c>
      <c r="V28" s="67">
        <f t="shared" si="60"/>
        <v>5.58</v>
      </c>
      <c r="W28" s="67">
        <f t="shared" si="60"/>
        <v>0</v>
      </c>
      <c r="X28" s="67">
        <f t="shared" si="60"/>
        <v>0</v>
      </c>
      <c r="Y28" s="67">
        <f t="shared" si="60"/>
        <v>0</v>
      </c>
      <c r="Z28" s="67">
        <f t="shared" si="60"/>
        <v>0</v>
      </c>
      <c r="AA28" s="67">
        <f t="shared" si="60"/>
        <v>0</v>
      </c>
      <c r="AB28" s="69">
        <f t="shared" si="4"/>
        <v>0.4767906806</v>
      </c>
      <c r="AC28" s="67">
        <f t="shared" ref="AC28:AE28" si="61">SUMIFS($L:$L,$C:$C,AC$3,$D:$D,$R28)*100</f>
        <v>3.4</v>
      </c>
      <c r="AD28" s="67">
        <f t="shared" si="61"/>
        <v>4.45</v>
      </c>
      <c r="AE28" s="67">
        <f t="shared" si="61"/>
        <v>3.56</v>
      </c>
      <c r="AF28" s="69">
        <f t="shared" si="6"/>
        <v>3.894526491</v>
      </c>
      <c r="AG28" s="1"/>
      <c r="AH28" s="70">
        <f t="shared" si="7"/>
        <v>2057.109756</v>
      </c>
      <c r="AI28" s="70">
        <f t="shared" si="8"/>
        <v>15397.83113</v>
      </c>
      <c r="AJ28" s="1"/>
      <c r="AK28" s="82" t="s">
        <v>109</v>
      </c>
      <c r="AL28" s="84">
        <f t="shared" si="50"/>
        <v>343972.8325</v>
      </c>
      <c r="AM28" s="84">
        <v>0.0</v>
      </c>
      <c r="AN28" s="85"/>
      <c r="AO28" s="84">
        <f t="shared" si="51"/>
        <v>0</v>
      </c>
      <c r="AP28" s="85">
        <v>0.07</v>
      </c>
      <c r="AQ28" s="84">
        <f t="shared" si="52"/>
        <v>24078.09828</v>
      </c>
      <c r="AR28" s="84">
        <f t="shared" si="53"/>
        <v>319894.7343</v>
      </c>
      <c r="AS28" s="86" t="s">
        <v>79</v>
      </c>
      <c r="AT28" s="1"/>
      <c r="AU28" s="74" t="s">
        <v>128</v>
      </c>
      <c r="AV28" s="75"/>
      <c r="AW28" s="76"/>
      <c r="AX28" s="77" t="s">
        <v>82</v>
      </c>
      <c r="AY28" s="77"/>
      <c r="AZ28" s="77" t="s">
        <v>72</v>
      </c>
      <c r="BA28" s="76"/>
      <c r="BB28" s="77" t="s">
        <v>21</v>
      </c>
      <c r="BC28" s="77" t="s">
        <v>73</v>
      </c>
      <c r="BD28" s="77" t="s">
        <v>74</v>
      </c>
      <c r="BE28" s="87"/>
      <c r="BF28" s="79"/>
      <c r="BG28" s="80"/>
      <c r="BH28" s="1"/>
      <c r="BI28" s="1"/>
      <c r="BJ28" s="1"/>
      <c r="BK28" s="1"/>
      <c r="BL28" s="1"/>
      <c r="BM28" s="1"/>
      <c r="BN28" s="1"/>
      <c r="BO28" s="1"/>
    </row>
    <row r="29" ht="19.5" customHeight="1">
      <c r="A29" s="1"/>
      <c r="B29" s="130">
        <v>18.0</v>
      </c>
      <c r="C29" s="131" t="s">
        <v>23</v>
      </c>
      <c r="D29" s="132" t="s">
        <v>202</v>
      </c>
      <c r="E29" s="133" t="s">
        <v>248</v>
      </c>
      <c r="F29" s="134"/>
      <c r="G29" s="135" t="s">
        <v>144</v>
      </c>
      <c r="H29" s="134"/>
      <c r="I29" s="134"/>
      <c r="J29" s="134"/>
      <c r="K29" s="134"/>
      <c r="L29" s="137">
        <f t="shared" si="27"/>
        <v>0.00186</v>
      </c>
      <c r="M29" s="138">
        <v>0.006818181818181819</v>
      </c>
      <c r="N29" s="132" t="s">
        <v>157</v>
      </c>
      <c r="O29" s="139"/>
      <c r="P29" s="168">
        <f>3.41*1.07-3.41</f>
        <v>0.2387</v>
      </c>
      <c r="Q29" s="1"/>
      <c r="R29" s="66" t="s">
        <v>250</v>
      </c>
      <c r="S29" s="66" t="s">
        <v>251</v>
      </c>
      <c r="T29" s="67">
        <f t="shared" ref="T29:AA29" si="62">SUMIFS($L:$L,$C:$C,T$3,$D:$D,$R29)*100</f>
        <v>0</v>
      </c>
      <c r="U29" s="67">
        <f t="shared" si="62"/>
        <v>0</v>
      </c>
      <c r="V29" s="67">
        <f t="shared" si="62"/>
        <v>0</v>
      </c>
      <c r="W29" s="67">
        <f t="shared" si="62"/>
        <v>7.3656</v>
      </c>
      <c r="X29" s="67">
        <f t="shared" si="62"/>
        <v>0</v>
      </c>
      <c r="Y29" s="67">
        <f t="shared" si="62"/>
        <v>0</v>
      </c>
      <c r="Z29" s="67">
        <f t="shared" si="62"/>
        <v>0</v>
      </c>
      <c r="AA29" s="67">
        <f t="shared" si="62"/>
        <v>0</v>
      </c>
      <c r="AB29" s="69">
        <f t="shared" si="4"/>
        <v>1.936496505</v>
      </c>
      <c r="AC29" s="67">
        <f t="shared" ref="AC29:AE29" si="63">SUMIFS($L:$L,$C:$C,AC$3,$D:$D,$R29)*100</f>
        <v>0</v>
      </c>
      <c r="AD29" s="67">
        <f t="shared" si="63"/>
        <v>0</v>
      </c>
      <c r="AE29" s="67">
        <f t="shared" si="63"/>
        <v>0</v>
      </c>
      <c r="AF29" s="69">
        <f t="shared" si="6"/>
        <v>0</v>
      </c>
      <c r="AG29" s="1"/>
      <c r="AH29" s="70">
        <f t="shared" si="7"/>
        <v>8354.999405</v>
      </c>
      <c r="AI29" s="70">
        <f t="shared" si="8"/>
        <v>0</v>
      </c>
      <c r="AJ29" s="1"/>
      <c r="AK29" s="82" t="s">
        <v>141</v>
      </c>
      <c r="AL29" s="84">
        <f t="shared" si="50"/>
        <v>319894.7343</v>
      </c>
      <c r="AM29" s="84">
        <v>0.0</v>
      </c>
      <c r="AN29" s="85"/>
      <c r="AO29" s="84">
        <f t="shared" si="51"/>
        <v>0</v>
      </c>
      <c r="AP29" s="85"/>
      <c r="AQ29" s="84">
        <f t="shared" si="52"/>
        <v>0</v>
      </c>
      <c r="AR29" s="84">
        <f t="shared" si="53"/>
        <v>319894.7343</v>
      </c>
      <c r="AS29" s="86" t="s">
        <v>79</v>
      </c>
      <c r="AT29" s="1"/>
      <c r="AU29" s="74"/>
      <c r="AV29" s="75"/>
      <c r="AW29" s="76"/>
      <c r="AX29" s="77" t="s">
        <v>82</v>
      </c>
      <c r="AY29" s="77"/>
      <c r="AZ29" s="77" t="s">
        <v>72</v>
      </c>
      <c r="BA29" s="76"/>
      <c r="BB29" s="77" t="s">
        <v>21</v>
      </c>
      <c r="BC29" s="77" t="s">
        <v>73</v>
      </c>
      <c r="BD29" s="77" t="s">
        <v>74</v>
      </c>
      <c r="BE29" s="87"/>
      <c r="BF29" s="79"/>
      <c r="BG29" s="80"/>
      <c r="BH29" s="1"/>
      <c r="BI29" s="1"/>
      <c r="BJ29" s="1"/>
      <c r="BK29" s="1"/>
      <c r="BL29" s="1"/>
      <c r="BM29" s="1"/>
      <c r="BN29" s="1"/>
      <c r="BO29" s="1"/>
    </row>
    <row r="30" ht="19.5" customHeight="1">
      <c r="A30" s="1"/>
      <c r="B30" s="130"/>
      <c r="C30" s="131"/>
      <c r="D30" s="181"/>
      <c r="E30" s="182" t="s">
        <v>256</v>
      </c>
      <c r="F30" s="183"/>
      <c r="G30" s="185"/>
      <c r="H30" s="183"/>
      <c r="I30" s="183"/>
      <c r="J30" s="183"/>
      <c r="K30" s="186"/>
      <c r="L30" s="187">
        <f>+M30/M31</f>
        <v>0.07</v>
      </c>
      <c r="M30" s="188">
        <f>+M31*0.07</f>
        <v>0.2565982405</v>
      </c>
      <c r="N30" s="132"/>
      <c r="O30" s="139"/>
      <c r="P30" s="1"/>
      <c r="Q30" s="1"/>
      <c r="R30" s="66" t="s">
        <v>259</v>
      </c>
      <c r="S30" s="66" t="s">
        <v>260</v>
      </c>
      <c r="T30" s="67">
        <f t="shared" ref="T30:AA30" si="64">SUMIFS($L:$L,$C:$C,T$3,$D:$D,$R30)*100</f>
        <v>0</v>
      </c>
      <c r="U30" s="67">
        <f t="shared" si="64"/>
        <v>0</v>
      </c>
      <c r="V30" s="67">
        <f t="shared" si="64"/>
        <v>0</v>
      </c>
      <c r="W30" s="67">
        <f t="shared" si="64"/>
        <v>0.3348</v>
      </c>
      <c r="X30" s="67">
        <f t="shared" si="64"/>
        <v>0</v>
      </c>
      <c r="Y30" s="67">
        <f t="shared" si="64"/>
        <v>0</v>
      </c>
      <c r="Z30" s="67">
        <f t="shared" si="64"/>
        <v>0</v>
      </c>
      <c r="AA30" s="67">
        <f t="shared" si="64"/>
        <v>0.93</v>
      </c>
      <c r="AB30" s="69">
        <f t="shared" si="4"/>
        <v>0.225557586</v>
      </c>
      <c r="AC30" s="67">
        <f t="shared" ref="AC30:AE30" si="65">SUMIFS($L:$L,$C:$C,AC$3,$D:$D,$R30)*100</f>
        <v>0</v>
      </c>
      <c r="AD30" s="67">
        <f t="shared" si="65"/>
        <v>0</v>
      </c>
      <c r="AE30" s="67">
        <f t="shared" si="65"/>
        <v>0</v>
      </c>
      <c r="AF30" s="69">
        <f t="shared" si="6"/>
        <v>0</v>
      </c>
      <c r="AG30" s="1"/>
      <c r="AH30" s="70">
        <f t="shared" si="7"/>
        <v>973.1664847</v>
      </c>
      <c r="AI30" s="70">
        <f t="shared" si="8"/>
        <v>0</v>
      </c>
      <c r="AJ30" s="1"/>
      <c r="AK30" s="82" t="s">
        <v>151</v>
      </c>
      <c r="AL30" s="84">
        <f t="shared" si="50"/>
        <v>319894.7343</v>
      </c>
      <c r="AM30" s="84">
        <v>0.0</v>
      </c>
      <c r="AN30" s="85"/>
      <c r="AO30" s="84">
        <f t="shared" si="51"/>
        <v>0</v>
      </c>
      <c r="AP30" s="85"/>
      <c r="AQ30" s="84">
        <f t="shared" si="52"/>
        <v>0</v>
      </c>
      <c r="AR30" s="141">
        <f>+AR31</f>
        <v>319894.7343</v>
      </c>
      <c r="AS30" s="86" t="s">
        <v>79</v>
      </c>
      <c r="AT30" s="1"/>
      <c r="AU30" s="74"/>
      <c r="AV30" s="75"/>
      <c r="AW30" s="76"/>
      <c r="AX30" s="77" t="s">
        <v>82</v>
      </c>
      <c r="AY30" s="77"/>
      <c r="AZ30" s="77" t="s">
        <v>72</v>
      </c>
      <c r="BA30" s="76"/>
      <c r="BB30" s="77" t="s">
        <v>21</v>
      </c>
      <c r="BC30" s="77" t="s">
        <v>73</v>
      </c>
      <c r="BD30" s="77" t="s">
        <v>74</v>
      </c>
      <c r="BE30" s="87"/>
      <c r="BF30" s="79"/>
      <c r="BG30" s="80"/>
      <c r="BH30" s="1"/>
      <c r="BI30" s="1"/>
      <c r="BJ30" s="1"/>
      <c r="BK30" s="1"/>
      <c r="BL30" s="1"/>
      <c r="BM30" s="1"/>
      <c r="BN30" s="1"/>
      <c r="BO30" s="1"/>
    </row>
    <row r="31" ht="19.5" customHeight="1">
      <c r="A31" s="1"/>
      <c r="B31" s="191"/>
      <c r="C31" s="192"/>
      <c r="D31" s="45" t="s">
        <v>266</v>
      </c>
      <c r="E31" s="38"/>
      <c r="F31" s="38"/>
      <c r="G31" s="38"/>
      <c r="H31" s="38"/>
      <c r="I31" s="38"/>
      <c r="J31" s="38"/>
      <c r="K31" s="43"/>
      <c r="L31" s="194">
        <f>+SUM(L13:L30)</f>
        <v>1</v>
      </c>
      <c r="M31" s="197">
        <f>+SUM(M13:M29)/0.93</f>
        <v>3.66568915</v>
      </c>
      <c r="N31" s="199" t="s">
        <v>157</v>
      </c>
      <c r="O31" s="200"/>
      <c r="P31" s="1"/>
      <c r="Q31" s="1"/>
      <c r="R31" s="66" t="s">
        <v>267</v>
      </c>
      <c r="S31" s="66" t="s">
        <v>268</v>
      </c>
      <c r="T31" s="67">
        <f t="shared" ref="T31:AA31" si="66">SUMIFS($L:$L,$C:$C,T$3,$D:$D,$R31)*100</f>
        <v>0</v>
      </c>
      <c r="U31" s="67">
        <f t="shared" si="66"/>
        <v>0</v>
      </c>
      <c r="V31" s="67">
        <f t="shared" si="66"/>
        <v>0</v>
      </c>
      <c r="W31" s="67">
        <f t="shared" si="66"/>
        <v>0.26784</v>
      </c>
      <c r="X31" s="67">
        <f t="shared" si="66"/>
        <v>0</v>
      </c>
      <c r="Y31" s="67">
        <f t="shared" si="66"/>
        <v>0</v>
      </c>
      <c r="Z31" s="67">
        <f t="shared" si="66"/>
        <v>0</v>
      </c>
      <c r="AA31" s="67">
        <f t="shared" si="66"/>
        <v>0</v>
      </c>
      <c r="AB31" s="69">
        <f t="shared" si="4"/>
        <v>0.07041805474</v>
      </c>
      <c r="AC31" s="67">
        <f t="shared" ref="AC31:AE31" si="67">SUMIFS($L:$L,$C:$C,AC$3,$D:$D,$R31)*100</f>
        <v>0</v>
      </c>
      <c r="AD31" s="67">
        <f t="shared" si="67"/>
        <v>0</v>
      </c>
      <c r="AE31" s="67">
        <f t="shared" si="67"/>
        <v>0</v>
      </c>
      <c r="AF31" s="69">
        <f t="shared" si="6"/>
        <v>0</v>
      </c>
      <c r="AG31" s="1"/>
      <c r="AH31" s="70">
        <f t="shared" si="7"/>
        <v>303.8181602</v>
      </c>
      <c r="AI31" s="70">
        <f t="shared" si="8"/>
        <v>0</v>
      </c>
      <c r="AJ31" s="1"/>
      <c r="AK31" s="142" t="s">
        <v>168</v>
      </c>
      <c r="AL31" s="143">
        <f>+AQ31+AR31</f>
        <v>395371.0719</v>
      </c>
      <c r="AM31" s="143">
        <f>AM23</f>
        <v>0</v>
      </c>
      <c r="AN31" s="144"/>
      <c r="AO31" s="144">
        <f>AO23+AO24+AO25+AO26+AO28</f>
        <v>0</v>
      </c>
      <c r="AP31" s="144"/>
      <c r="AQ31" s="144">
        <f>AQ23+AQ24+AQ25+AQ26+AQ28</f>
        <v>75476.33762</v>
      </c>
      <c r="AR31" s="145">
        <f>SUMIFS('Plan de ventas'!$O48:$O60,'Plan de ventas'!$B$48:$B$60,"*B*")*1000</f>
        <v>319894.7343</v>
      </c>
      <c r="AS31" s="146" t="s">
        <v>79</v>
      </c>
      <c r="AT31" s="1"/>
      <c r="AU31" s="74"/>
      <c r="AV31" s="75"/>
      <c r="AW31" s="76"/>
      <c r="AX31" s="77" t="s">
        <v>82</v>
      </c>
      <c r="AY31" s="77"/>
      <c r="AZ31" s="77" t="s">
        <v>72</v>
      </c>
      <c r="BA31" s="76"/>
      <c r="BB31" s="77" t="s">
        <v>21</v>
      </c>
      <c r="BC31" s="77" t="s">
        <v>73</v>
      </c>
      <c r="BD31" s="77" t="s">
        <v>74</v>
      </c>
      <c r="BE31" s="87"/>
      <c r="BF31" s="79"/>
      <c r="BG31" s="80"/>
      <c r="BH31" s="1"/>
      <c r="BI31" s="1"/>
      <c r="BJ31" s="1"/>
      <c r="BK31" s="1"/>
      <c r="BL31" s="1"/>
      <c r="BM31" s="1"/>
      <c r="BN31" s="1"/>
      <c r="BO31" s="1"/>
    </row>
    <row r="32" ht="19.5" customHeight="1">
      <c r="A32" s="1"/>
      <c r="B32" s="208" t="s">
        <v>273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40"/>
      <c r="P32" s="1"/>
      <c r="Q32" s="1"/>
      <c r="R32" s="66" t="s">
        <v>274</v>
      </c>
      <c r="S32" s="66" t="s">
        <v>275</v>
      </c>
      <c r="T32" s="67">
        <f t="shared" ref="T32:AA32" si="68">SUMIFS($L:$L,$C:$C,T$3,$D:$D,$R32)*100</f>
        <v>0</v>
      </c>
      <c r="U32" s="67">
        <f t="shared" si="68"/>
        <v>0</v>
      </c>
      <c r="V32" s="67">
        <f t="shared" si="68"/>
        <v>0</v>
      </c>
      <c r="W32" s="67">
        <f t="shared" si="68"/>
        <v>18.228</v>
      </c>
      <c r="X32" s="67">
        <f t="shared" si="68"/>
        <v>0</v>
      </c>
      <c r="Y32" s="67">
        <f t="shared" si="68"/>
        <v>0</v>
      </c>
      <c r="Z32" s="67">
        <f t="shared" si="68"/>
        <v>0</v>
      </c>
      <c r="AA32" s="67">
        <f t="shared" si="68"/>
        <v>0</v>
      </c>
      <c r="AB32" s="69">
        <f t="shared" si="4"/>
        <v>4.792339836</v>
      </c>
      <c r="AC32" s="67">
        <f t="shared" ref="AC32:AE32" si="69">SUMIFS($L:$L,$C:$C,AC$3,$D:$D,$R32)*100</f>
        <v>0</v>
      </c>
      <c r="AD32" s="67">
        <f t="shared" si="69"/>
        <v>0</v>
      </c>
      <c r="AE32" s="67">
        <f t="shared" si="69"/>
        <v>0</v>
      </c>
      <c r="AF32" s="69">
        <f t="shared" si="6"/>
        <v>0</v>
      </c>
      <c r="AG32" s="1"/>
      <c r="AH32" s="70">
        <f t="shared" si="7"/>
        <v>20676.51368</v>
      </c>
      <c r="AI32" s="70">
        <f t="shared" si="8"/>
        <v>0</v>
      </c>
      <c r="AJ32" s="1"/>
      <c r="AK32" s="1"/>
      <c r="AL32" s="147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ht="19.5" customHeight="1">
      <c r="A33" s="1"/>
      <c r="B33" s="211">
        <v>19.0</v>
      </c>
      <c r="C33" s="131" t="s">
        <v>23</v>
      </c>
      <c r="D33" s="212" t="s">
        <v>276</v>
      </c>
      <c r="E33" s="213" t="s">
        <v>277</v>
      </c>
      <c r="F33" s="214"/>
      <c r="G33" s="215" t="s">
        <v>144</v>
      </c>
      <c r="H33" s="214"/>
      <c r="I33" s="214"/>
      <c r="J33" s="214"/>
      <c r="K33" s="214"/>
      <c r="L33" s="216" t="s">
        <v>146</v>
      </c>
      <c r="M33" s="217">
        <f>$E$4*$E$5</f>
        <v>20</v>
      </c>
      <c r="N33" s="212" t="s">
        <v>278</v>
      </c>
      <c r="O33" s="219" t="s">
        <v>279</v>
      </c>
      <c r="P33" s="1"/>
      <c r="Q33" s="1"/>
      <c r="R33" s="66" t="s">
        <v>280</v>
      </c>
      <c r="S33" s="66" t="s">
        <v>281</v>
      </c>
      <c r="T33" s="67">
        <f t="shared" ref="T33:AA33" si="70">SUMIFS($L:$L,$C:$C,T$3,$D:$D,$R33)*100</f>
        <v>0</v>
      </c>
      <c r="U33" s="67">
        <f t="shared" si="70"/>
        <v>0</v>
      </c>
      <c r="V33" s="67">
        <f t="shared" si="70"/>
        <v>0</v>
      </c>
      <c r="W33" s="67">
        <f t="shared" si="70"/>
        <v>0.1302</v>
      </c>
      <c r="X33" s="67">
        <f t="shared" si="70"/>
        <v>0</v>
      </c>
      <c r="Y33" s="67">
        <f t="shared" si="70"/>
        <v>0</v>
      </c>
      <c r="Z33" s="67">
        <f t="shared" si="70"/>
        <v>0</v>
      </c>
      <c r="AA33" s="67">
        <f t="shared" si="70"/>
        <v>0</v>
      </c>
      <c r="AB33" s="69">
        <f t="shared" si="4"/>
        <v>0.03423099883</v>
      </c>
      <c r="AC33" s="67">
        <f t="shared" ref="AC33:AE33" si="71">SUMIFS($L:$L,$C:$C,AC$3,$D:$D,$R33)*100</f>
        <v>0</v>
      </c>
      <c r="AD33" s="67">
        <f t="shared" si="71"/>
        <v>0</v>
      </c>
      <c r="AE33" s="67">
        <f t="shared" si="71"/>
        <v>0</v>
      </c>
      <c r="AF33" s="69">
        <f t="shared" si="6"/>
        <v>0</v>
      </c>
      <c r="AG33" s="1"/>
      <c r="AH33" s="70">
        <f t="shared" si="7"/>
        <v>147.6893834</v>
      </c>
      <c r="AI33" s="70">
        <f t="shared" si="8"/>
        <v>0</v>
      </c>
      <c r="AJ33" s="1"/>
      <c r="AK33" s="35" t="s">
        <v>183</v>
      </c>
      <c r="AL33" s="148">
        <v>0.07389</v>
      </c>
      <c r="AM33" s="1"/>
      <c r="AN33" s="1"/>
      <c r="AO33" s="1"/>
      <c r="AP33" s="1"/>
      <c r="AQ33" s="35" t="s">
        <v>184</v>
      </c>
      <c r="AR33" s="151">
        <f>AR30/AR31-1</f>
        <v>0</v>
      </c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ht="19.5" customHeight="1">
      <c r="A34" s="1"/>
      <c r="B34" s="211">
        <v>20.0</v>
      </c>
      <c r="C34" s="131" t="s">
        <v>23</v>
      </c>
      <c r="D34" s="212" t="s">
        <v>282</v>
      </c>
      <c r="E34" s="213" t="s">
        <v>283</v>
      </c>
      <c r="F34" s="214"/>
      <c r="G34" s="215" t="s">
        <v>144</v>
      </c>
      <c r="H34" s="214"/>
      <c r="I34" s="214"/>
      <c r="J34" s="214"/>
      <c r="K34" s="214"/>
      <c r="L34" s="216" t="s">
        <v>146</v>
      </c>
      <c r="M34" s="217">
        <f t="shared" ref="M34:M35" si="74">$E$4</f>
        <v>1</v>
      </c>
      <c r="N34" s="212" t="s">
        <v>278</v>
      </c>
      <c r="O34" s="219" t="s">
        <v>284</v>
      </c>
      <c r="P34" s="1"/>
      <c r="Q34" s="1"/>
      <c r="R34" s="66" t="s">
        <v>286</v>
      </c>
      <c r="S34" s="66" t="s">
        <v>287</v>
      </c>
      <c r="T34" s="67">
        <f t="shared" ref="T34:AA34" si="72">SUMIFS($L:$L,$C:$C,T$3,$D:$D,$R34)*100</f>
        <v>0</v>
      </c>
      <c r="U34" s="67">
        <f t="shared" si="72"/>
        <v>0</v>
      </c>
      <c r="V34" s="67">
        <f t="shared" si="72"/>
        <v>0</v>
      </c>
      <c r="W34" s="67">
        <f t="shared" si="72"/>
        <v>0</v>
      </c>
      <c r="X34" s="67">
        <f t="shared" si="72"/>
        <v>17.67</v>
      </c>
      <c r="Y34" s="67">
        <f t="shared" si="72"/>
        <v>17.67</v>
      </c>
      <c r="Z34" s="67">
        <f t="shared" si="72"/>
        <v>0</v>
      </c>
      <c r="AA34" s="67">
        <f t="shared" si="72"/>
        <v>0</v>
      </c>
      <c r="AB34" s="69">
        <f t="shared" si="4"/>
        <v>2.156906666</v>
      </c>
      <c r="AC34" s="67">
        <f t="shared" ref="AC34:AE34" si="73">SUMIFS($L:$L,$C:$C,AC$3,$D:$D,$R34)*100</f>
        <v>10.2</v>
      </c>
      <c r="AD34" s="67">
        <f t="shared" si="73"/>
        <v>0</v>
      </c>
      <c r="AE34" s="67">
        <f t="shared" si="73"/>
        <v>0</v>
      </c>
      <c r="AF34" s="69">
        <f t="shared" si="6"/>
        <v>3.75789355</v>
      </c>
      <c r="AG34" s="1"/>
      <c r="AH34" s="70">
        <f t="shared" si="7"/>
        <v>9305.957364</v>
      </c>
      <c r="AI34" s="70">
        <f t="shared" si="8"/>
        <v>14857.62401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ht="19.5" customHeight="1">
      <c r="A35" s="1"/>
      <c r="B35" s="211">
        <v>21.0</v>
      </c>
      <c r="C35" s="131" t="s">
        <v>23</v>
      </c>
      <c r="D35" s="212" t="s">
        <v>291</v>
      </c>
      <c r="E35" s="213" t="s">
        <v>292</v>
      </c>
      <c r="F35" s="214"/>
      <c r="G35" s="215" t="s">
        <v>144</v>
      </c>
      <c r="H35" s="214"/>
      <c r="I35" s="214"/>
      <c r="J35" s="214"/>
      <c r="K35" s="214"/>
      <c r="L35" s="216" t="s">
        <v>146</v>
      </c>
      <c r="M35" s="217">
        <f t="shared" si="74"/>
        <v>1</v>
      </c>
      <c r="N35" s="212" t="s">
        <v>278</v>
      </c>
      <c r="O35" s="219" t="s">
        <v>284</v>
      </c>
      <c r="P35" s="1"/>
      <c r="Q35" s="1"/>
      <c r="R35" s="66" t="s">
        <v>293</v>
      </c>
      <c r="S35" s="66" t="s">
        <v>294</v>
      </c>
      <c r="T35" s="67">
        <f t="shared" ref="T35:AA35" si="75">SUMIFS($L:$L,$C:$C,T$3,$D:$D,$R35)*100</f>
        <v>0</v>
      </c>
      <c r="U35" s="67">
        <f t="shared" si="75"/>
        <v>0</v>
      </c>
      <c r="V35" s="67">
        <f t="shared" si="75"/>
        <v>0</v>
      </c>
      <c r="W35" s="67">
        <f t="shared" si="75"/>
        <v>0</v>
      </c>
      <c r="X35" s="67">
        <f t="shared" si="75"/>
        <v>13.95</v>
      </c>
      <c r="Y35" s="67">
        <f t="shared" si="75"/>
        <v>13.02</v>
      </c>
      <c r="Z35" s="67">
        <f t="shared" si="75"/>
        <v>0</v>
      </c>
      <c r="AA35" s="67">
        <f t="shared" si="75"/>
        <v>0</v>
      </c>
      <c r="AB35" s="69">
        <f t="shared" si="4"/>
        <v>1.623355939</v>
      </c>
      <c r="AC35" s="67">
        <f t="shared" ref="AC35:AE35" si="76">SUMIFS($L:$L,$C:$C,AC$3,$D:$D,$R35)*100</f>
        <v>8.5</v>
      </c>
      <c r="AD35" s="67">
        <f t="shared" si="76"/>
        <v>5.34</v>
      </c>
      <c r="AE35" s="67">
        <f t="shared" si="76"/>
        <v>4.45</v>
      </c>
      <c r="AF35" s="69">
        <f t="shared" si="6"/>
        <v>6.335578633</v>
      </c>
      <c r="AG35" s="1"/>
      <c r="AH35" s="70">
        <f t="shared" si="7"/>
        <v>7003.95682</v>
      </c>
      <c r="AI35" s="70">
        <f t="shared" si="8"/>
        <v>25049.04515</v>
      </c>
      <c r="AJ35" s="1"/>
      <c r="AK35" s="1"/>
      <c r="AL35" s="147">
        <v>0.07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66" t="s">
        <v>295</v>
      </c>
      <c r="S36" s="66" t="s">
        <v>296</v>
      </c>
      <c r="T36" s="67">
        <f t="shared" ref="T36:AA36" si="77">SUMIFS($L:$L,$C:$C,T$3,$D:$D,$R36)*100</f>
        <v>0</v>
      </c>
      <c r="U36" s="67">
        <f t="shared" si="77"/>
        <v>0</v>
      </c>
      <c r="V36" s="67">
        <f t="shared" si="77"/>
        <v>0</v>
      </c>
      <c r="W36" s="67">
        <f t="shared" si="77"/>
        <v>0</v>
      </c>
      <c r="X36" s="67">
        <f t="shared" si="77"/>
        <v>12.09</v>
      </c>
      <c r="Y36" s="67">
        <f t="shared" si="77"/>
        <v>0</v>
      </c>
      <c r="Z36" s="67">
        <f t="shared" si="77"/>
        <v>0</v>
      </c>
      <c r="AA36" s="67">
        <f t="shared" si="77"/>
        <v>0</v>
      </c>
      <c r="AB36" s="69">
        <f t="shared" si="4"/>
        <v>0.4427317708</v>
      </c>
      <c r="AC36" s="67">
        <f t="shared" ref="AC36:AE36" si="78">SUMIFS($L:$L,$C:$C,AC$3,$D:$D,$R36)*100</f>
        <v>0</v>
      </c>
      <c r="AD36" s="67">
        <f t="shared" si="78"/>
        <v>0</v>
      </c>
      <c r="AE36" s="67">
        <f t="shared" si="78"/>
        <v>0</v>
      </c>
      <c r="AF36" s="69">
        <f t="shared" si="6"/>
        <v>0</v>
      </c>
      <c r="AG36" s="1"/>
      <c r="AH36" s="70">
        <f t="shared" si="7"/>
        <v>1910.162849</v>
      </c>
      <c r="AI36" s="70">
        <f t="shared" si="8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ht="19.5" customHeight="1">
      <c r="A37" s="1"/>
      <c r="B37" s="9"/>
      <c r="C37" s="229"/>
      <c r="D37" s="230" t="s">
        <v>298</v>
      </c>
      <c r="E37" s="13"/>
      <c r="F37" s="13"/>
      <c r="G37" s="13"/>
      <c r="H37" s="13"/>
      <c r="I37" s="13"/>
      <c r="J37" s="13"/>
      <c r="K37" s="13"/>
      <c r="L37" s="14"/>
      <c r="M37" s="15" t="s">
        <v>8</v>
      </c>
      <c r="N37" s="16"/>
      <c r="O37" s="17"/>
      <c r="P37" s="1"/>
      <c r="Q37" s="1"/>
      <c r="R37" s="66" t="s">
        <v>299</v>
      </c>
      <c r="S37" s="66" t="s">
        <v>300</v>
      </c>
      <c r="T37" s="67">
        <f t="shared" ref="T37:AA37" si="79">SUMIFS($L:$L,$C:$C,T$3,$D:$D,$R37)*100</f>
        <v>0</v>
      </c>
      <c r="U37" s="67">
        <f t="shared" si="79"/>
        <v>0</v>
      </c>
      <c r="V37" s="67">
        <f t="shared" si="79"/>
        <v>0</v>
      </c>
      <c r="W37" s="67">
        <f t="shared" si="79"/>
        <v>0</v>
      </c>
      <c r="X37" s="67">
        <f t="shared" si="79"/>
        <v>7.44</v>
      </c>
      <c r="Y37" s="67">
        <f t="shared" si="79"/>
        <v>5.58</v>
      </c>
      <c r="Z37" s="67">
        <f t="shared" si="79"/>
        <v>0</v>
      </c>
      <c r="AA37" s="67">
        <f t="shared" si="79"/>
        <v>0</v>
      </c>
      <c r="AB37" s="69">
        <f t="shared" si="4"/>
        <v>0.7492410011</v>
      </c>
      <c r="AC37" s="67">
        <f t="shared" ref="AC37:AE37" si="80">SUMIFS($L:$L,$C:$C,AC$3,$D:$D,$R37)*100</f>
        <v>0</v>
      </c>
      <c r="AD37" s="67">
        <f t="shared" si="80"/>
        <v>0</v>
      </c>
      <c r="AE37" s="67">
        <f t="shared" si="80"/>
        <v>0</v>
      </c>
      <c r="AF37" s="69">
        <f t="shared" si="6"/>
        <v>0</v>
      </c>
      <c r="AG37" s="1"/>
      <c r="AH37" s="70">
        <f t="shared" si="7"/>
        <v>3232.594586</v>
      </c>
      <c r="AI37" s="70">
        <f t="shared" si="8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ht="19.5" customHeight="1">
      <c r="A38" s="1"/>
      <c r="B38" s="22"/>
      <c r="C38" s="22"/>
      <c r="D38" s="24" t="s">
        <v>16</v>
      </c>
      <c r="E38" s="28">
        <f>SUMIFS('Plan de ventas'!$O$48:$O$60,'Plan de ventas'!$B$48:$B$60,D47)*1000</f>
        <v>13132.51652</v>
      </c>
      <c r="F38" s="29"/>
      <c r="G38" s="29"/>
      <c r="H38" s="29"/>
      <c r="I38" s="29"/>
      <c r="J38" s="29"/>
      <c r="K38" s="29"/>
      <c r="L38" s="29"/>
      <c r="M38" s="30"/>
      <c r="O38" s="31"/>
      <c r="P38" s="1"/>
      <c r="Q38" s="1"/>
      <c r="R38" s="66" t="s">
        <v>303</v>
      </c>
      <c r="S38" s="66" t="s">
        <v>304</v>
      </c>
      <c r="T38" s="67">
        <f t="shared" ref="T38:AA38" si="81">SUMIFS($L:$L,$C:$C,T$3,$D:$D,$R38)*100</f>
        <v>0</v>
      </c>
      <c r="U38" s="67">
        <f t="shared" si="81"/>
        <v>0</v>
      </c>
      <c r="V38" s="67">
        <f t="shared" si="81"/>
        <v>0</v>
      </c>
      <c r="W38" s="67">
        <f t="shared" si="81"/>
        <v>0</v>
      </c>
      <c r="X38" s="67">
        <f t="shared" si="81"/>
        <v>4.65</v>
      </c>
      <c r="Y38" s="67">
        <f t="shared" si="81"/>
        <v>0</v>
      </c>
      <c r="Z38" s="67">
        <f t="shared" si="81"/>
        <v>0</v>
      </c>
      <c r="AA38" s="67">
        <f t="shared" si="81"/>
        <v>0</v>
      </c>
      <c r="AB38" s="69">
        <f t="shared" si="4"/>
        <v>0.1702814503</v>
      </c>
      <c r="AC38" s="67">
        <f t="shared" ref="AC38:AE38" si="82">SUMIFS($L:$L,$C:$C,AC$3,$D:$D,$R38)*100</f>
        <v>0</v>
      </c>
      <c r="AD38" s="67">
        <f t="shared" si="82"/>
        <v>0</v>
      </c>
      <c r="AE38" s="67">
        <f t="shared" si="82"/>
        <v>0</v>
      </c>
      <c r="AF38" s="69">
        <f t="shared" si="6"/>
        <v>0</v>
      </c>
      <c r="AG38" s="1"/>
      <c r="AH38" s="70">
        <f t="shared" si="7"/>
        <v>734.6780189</v>
      </c>
      <c r="AI38" s="70">
        <f t="shared" si="8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ht="19.5" customHeight="1">
      <c r="A39" s="1"/>
      <c r="B39" s="45" t="s">
        <v>41</v>
      </c>
      <c r="C39" s="38"/>
      <c r="D39" s="43"/>
      <c r="E39" s="46">
        <v>1.0</v>
      </c>
      <c r="F39" s="47" t="str">
        <f>"Línea: Free     |     Versión n°: 1"&amp;CHAR(10)&amp;CHAR(10)&amp;"Lote = "&amp;E39&amp;" cajas × "&amp;E40&amp;" unid./caja = "&amp;(E39*E40)&amp;" unidades"&amp;CHAR(10)&amp;"Producto terminado = "&amp;TEXT(E43,"#,##0.00")&amp;" kg"&amp;CHAR(10)&amp;"Mezcla a preparar = "&amp;TEXT(E44,"#,##0.00")&amp;" kg   (rendimiento "&amp;TEXT(E42,"0%")&amp;")"</f>
        <v>Línea: Free     |     Versión n°: 1
Lote = 1 cajas × 20 unid./caja = 20 unidades
Producto terminado = 3,00 kg
Mezcla a preparar = 3,41 kg   (rendimiento 88%)</v>
      </c>
      <c r="G39" s="48"/>
      <c r="H39" s="48"/>
      <c r="I39" s="48"/>
      <c r="J39" s="48"/>
      <c r="K39" s="48"/>
      <c r="L39" s="49"/>
      <c r="M39" s="30"/>
      <c r="O39" s="31"/>
      <c r="P39" s="1"/>
      <c r="Q39" s="1"/>
      <c r="R39" s="66" t="s">
        <v>305</v>
      </c>
      <c r="S39" s="66" t="s">
        <v>306</v>
      </c>
      <c r="T39" s="67">
        <f t="shared" ref="T39:AA39" si="83">SUMIFS($L:$L,$C:$C,T$3,$D:$D,$R39)*100</f>
        <v>0</v>
      </c>
      <c r="U39" s="67">
        <f t="shared" si="83"/>
        <v>0</v>
      </c>
      <c r="V39" s="67">
        <f t="shared" si="83"/>
        <v>0</v>
      </c>
      <c r="W39" s="67">
        <f t="shared" si="83"/>
        <v>0</v>
      </c>
      <c r="X39" s="67">
        <f t="shared" si="83"/>
        <v>3.72</v>
      </c>
      <c r="Y39" s="67">
        <f t="shared" si="83"/>
        <v>3.72</v>
      </c>
      <c r="Z39" s="67">
        <f t="shared" si="83"/>
        <v>0</v>
      </c>
      <c r="AA39" s="67">
        <f t="shared" si="83"/>
        <v>0</v>
      </c>
      <c r="AB39" s="69">
        <f t="shared" si="4"/>
        <v>0.454085614</v>
      </c>
      <c r="AC39" s="67">
        <f t="shared" ref="AC39:AE39" si="84">SUMIFS($L:$L,$C:$C,AC$3,$D:$D,$R39)*100</f>
        <v>0</v>
      </c>
      <c r="AD39" s="67">
        <f t="shared" si="84"/>
        <v>0</v>
      </c>
      <c r="AE39" s="67">
        <f t="shared" si="84"/>
        <v>0</v>
      </c>
      <c r="AF39" s="69">
        <f t="shared" si="6"/>
        <v>0</v>
      </c>
      <c r="AG39" s="1"/>
      <c r="AH39" s="70">
        <f t="shared" si="7"/>
        <v>1959.148919</v>
      </c>
      <c r="AI39" s="70">
        <f t="shared" si="8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ht="19.5" customHeight="1">
      <c r="A40" s="1"/>
      <c r="B40" s="45" t="s">
        <v>62</v>
      </c>
      <c r="C40" s="38"/>
      <c r="D40" s="43"/>
      <c r="E40" s="46">
        <v>20.0</v>
      </c>
      <c r="F40" s="65"/>
      <c r="L40" s="31"/>
      <c r="M40" s="30"/>
      <c r="O40" s="31"/>
      <c r="P40" s="1"/>
      <c r="Q40" s="1"/>
      <c r="R40" s="66" t="s">
        <v>307</v>
      </c>
      <c r="S40" s="66" t="s">
        <v>308</v>
      </c>
      <c r="T40" s="67">
        <f t="shared" ref="T40:AA40" si="85">SUMIFS($L:$L,$C:$C,T$3,$D:$D,$R40)*100</f>
        <v>0</v>
      </c>
      <c r="U40" s="67">
        <f t="shared" si="85"/>
        <v>0</v>
      </c>
      <c r="V40" s="67">
        <f t="shared" si="85"/>
        <v>0</v>
      </c>
      <c r="W40" s="67">
        <f t="shared" si="85"/>
        <v>0</v>
      </c>
      <c r="X40" s="67">
        <f t="shared" si="85"/>
        <v>0.93</v>
      </c>
      <c r="Y40" s="67">
        <f t="shared" si="85"/>
        <v>0.93</v>
      </c>
      <c r="Z40" s="67">
        <f t="shared" si="85"/>
        <v>0</v>
      </c>
      <c r="AA40" s="67">
        <f t="shared" si="85"/>
        <v>0</v>
      </c>
      <c r="AB40" s="69">
        <f t="shared" si="4"/>
        <v>0.1135214035</v>
      </c>
      <c r="AC40" s="67">
        <f t="shared" ref="AC40:AE40" si="86">SUMIFS($L:$L,$C:$C,AC$3,$D:$D,$R40)*100</f>
        <v>0</v>
      </c>
      <c r="AD40" s="67">
        <f t="shared" si="86"/>
        <v>0</v>
      </c>
      <c r="AE40" s="67">
        <f t="shared" si="86"/>
        <v>0</v>
      </c>
      <c r="AF40" s="69">
        <f t="shared" si="6"/>
        <v>0</v>
      </c>
      <c r="AG40" s="1"/>
      <c r="AH40" s="70">
        <f t="shared" si="7"/>
        <v>489.7872297</v>
      </c>
      <c r="AI40" s="70">
        <f t="shared" si="8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ht="19.5" customHeight="1">
      <c r="A41" s="1"/>
      <c r="B41" s="45" t="s">
        <v>75</v>
      </c>
      <c r="C41" s="38"/>
      <c r="D41" s="43"/>
      <c r="E41" s="46">
        <v>150.0</v>
      </c>
      <c r="F41" s="65"/>
      <c r="L41" s="31"/>
      <c r="M41" s="30"/>
      <c r="O41" s="31"/>
      <c r="P41" s="1"/>
      <c r="Q41" s="1"/>
      <c r="R41" s="66" t="s">
        <v>309</v>
      </c>
      <c r="S41" s="66" t="s">
        <v>310</v>
      </c>
      <c r="T41" s="67">
        <f t="shared" ref="T41:AA41" si="87">SUMIFS($L:$L,$C:$C,T$3,$D:$D,$R41)*100</f>
        <v>0</v>
      </c>
      <c r="U41" s="67">
        <f t="shared" si="87"/>
        <v>0</v>
      </c>
      <c r="V41" s="67">
        <f t="shared" si="87"/>
        <v>0</v>
      </c>
      <c r="W41" s="67">
        <f t="shared" si="87"/>
        <v>0</v>
      </c>
      <c r="X41" s="67">
        <f t="shared" si="87"/>
        <v>0.93</v>
      </c>
      <c r="Y41" s="67">
        <f t="shared" si="87"/>
        <v>0.93</v>
      </c>
      <c r="Z41" s="67">
        <f t="shared" si="87"/>
        <v>1.86</v>
      </c>
      <c r="AA41" s="67">
        <f t="shared" si="87"/>
        <v>1.86</v>
      </c>
      <c r="AB41" s="69">
        <f t="shared" si="4"/>
        <v>0.5064785965</v>
      </c>
      <c r="AC41" s="67">
        <f t="shared" ref="AC41:AE41" si="88">SUMIFS($L:$L,$C:$C,AC$3,$D:$D,$R41)*100</f>
        <v>0</v>
      </c>
      <c r="AD41" s="67">
        <f t="shared" si="88"/>
        <v>1.78</v>
      </c>
      <c r="AE41" s="67">
        <f t="shared" si="88"/>
        <v>1.78</v>
      </c>
      <c r="AF41" s="69">
        <f t="shared" si="6"/>
        <v>1.124210733</v>
      </c>
      <c r="AG41" s="1"/>
      <c r="AH41" s="70">
        <f t="shared" si="7"/>
        <v>2185.198042</v>
      </c>
      <c r="AI41" s="70">
        <f t="shared" si="8"/>
        <v>4444.804027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ht="19.5" customHeight="1">
      <c r="A42" s="1"/>
      <c r="B42" s="45" t="s">
        <v>83</v>
      </c>
      <c r="C42" s="38"/>
      <c r="D42" s="43"/>
      <c r="E42" s="88">
        <v>0.88</v>
      </c>
      <c r="F42" s="65"/>
      <c r="L42" s="31"/>
      <c r="M42" s="30"/>
      <c r="O42" s="31"/>
      <c r="P42" s="1"/>
      <c r="Q42" s="1"/>
      <c r="R42" s="66" t="s">
        <v>314</v>
      </c>
      <c r="S42" s="66" t="s">
        <v>315</v>
      </c>
      <c r="T42" s="67">
        <f t="shared" ref="T42:AA42" si="89">SUMIFS($L:$L,$C:$C,T$3,$D:$D,$R42)*100</f>
        <v>0</v>
      </c>
      <c r="U42" s="67">
        <f t="shared" si="89"/>
        <v>0</v>
      </c>
      <c r="V42" s="67">
        <f t="shared" si="89"/>
        <v>0</v>
      </c>
      <c r="W42" s="67">
        <f t="shared" si="89"/>
        <v>0</v>
      </c>
      <c r="X42" s="67">
        <f t="shared" si="89"/>
        <v>0</v>
      </c>
      <c r="Y42" s="67">
        <f t="shared" si="89"/>
        <v>11.16</v>
      </c>
      <c r="Z42" s="67">
        <f t="shared" si="89"/>
        <v>0</v>
      </c>
      <c r="AA42" s="67">
        <f t="shared" si="89"/>
        <v>0</v>
      </c>
      <c r="AB42" s="69">
        <f t="shared" si="4"/>
        <v>0.9535813612</v>
      </c>
      <c r="AC42" s="67">
        <f t="shared" ref="AC42:AE42" si="90">SUMIFS($L:$L,$C:$C,AC$3,$D:$D,$R42)*100</f>
        <v>0</v>
      </c>
      <c r="AD42" s="67">
        <f t="shared" si="90"/>
        <v>0</v>
      </c>
      <c r="AE42" s="67">
        <f t="shared" si="90"/>
        <v>0</v>
      </c>
      <c r="AF42" s="69">
        <f t="shared" si="6"/>
        <v>0</v>
      </c>
      <c r="AG42" s="1"/>
      <c r="AH42" s="70">
        <f t="shared" si="7"/>
        <v>4114.219511</v>
      </c>
      <c r="AI42" s="70">
        <f t="shared" si="8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ht="19.5" customHeight="1">
      <c r="A43" s="1"/>
      <c r="B43" s="45" t="s">
        <v>88</v>
      </c>
      <c r="C43" s="38"/>
      <c r="D43" s="43"/>
      <c r="E43" s="92">
        <f>E39*E40*E41/1000</f>
        <v>3</v>
      </c>
      <c r="F43" s="65"/>
      <c r="L43" s="31"/>
      <c r="M43" s="30"/>
      <c r="O43" s="31"/>
      <c r="P43" s="1"/>
      <c r="Q43" s="1"/>
      <c r="R43" s="66" t="s">
        <v>316</v>
      </c>
      <c r="S43" s="66" t="s">
        <v>317</v>
      </c>
      <c r="T43" s="67">
        <f t="shared" ref="T43:AA43" si="91">SUMIFS($L:$L,$C:$C,T$3,$D:$D,$R43)*100</f>
        <v>0</v>
      </c>
      <c r="U43" s="67">
        <f t="shared" si="91"/>
        <v>0</v>
      </c>
      <c r="V43" s="67">
        <f t="shared" si="91"/>
        <v>0</v>
      </c>
      <c r="W43" s="67">
        <f t="shared" si="91"/>
        <v>0</v>
      </c>
      <c r="X43" s="67">
        <f t="shared" si="91"/>
        <v>0</v>
      </c>
      <c r="Y43" s="67">
        <f t="shared" si="91"/>
        <v>9.3</v>
      </c>
      <c r="Z43" s="67">
        <f t="shared" si="91"/>
        <v>0</v>
      </c>
      <c r="AA43" s="67">
        <f t="shared" si="91"/>
        <v>0</v>
      </c>
      <c r="AB43" s="69">
        <f t="shared" si="4"/>
        <v>0.7946511343</v>
      </c>
      <c r="AC43" s="67">
        <f t="shared" ref="AC43:AE43" si="92">SUMIFS($L:$L,$C:$C,AC$3,$D:$D,$R43)*100</f>
        <v>0</v>
      </c>
      <c r="AD43" s="67">
        <f t="shared" si="92"/>
        <v>0</v>
      </c>
      <c r="AE43" s="67">
        <f t="shared" si="92"/>
        <v>0</v>
      </c>
      <c r="AF43" s="69">
        <f t="shared" si="6"/>
        <v>0</v>
      </c>
      <c r="AG43" s="1"/>
      <c r="AH43" s="70">
        <f t="shared" si="7"/>
        <v>3428.516259</v>
      </c>
      <c r="AI43" s="70">
        <f t="shared" si="8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ht="19.5" customHeight="1">
      <c r="A44" s="1"/>
      <c r="B44" s="45" t="s">
        <v>96</v>
      </c>
      <c r="C44" s="38"/>
      <c r="D44" s="43"/>
      <c r="E44" s="92">
        <f>E43/E42</f>
        <v>3.409090909</v>
      </c>
      <c r="F44" s="98"/>
      <c r="G44" s="99"/>
      <c r="H44" s="99"/>
      <c r="I44" s="99"/>
      <c r="J44" s="99"/>
      <c r="K44" s="99"/>
      <c r="L44" s="100"/>
      <c r="M44" s="101"/>
      <c r="N44" s="99"/>
      <c r="O44" s="100"/>
      <c r="P44" s="1"/>
      <c r="Q44" s="1"/>
      <c r="R44" s="66" t="s">
        <v>319</v>
      </c>
      <c r="S44" s="66" t="s">
        <v>320</v>
      </c>
      <c r="T44" s="67">
        <f t="shared" ref="T44:AA44" si="93">SUMIFS($L:$L,$C:$C,T$3,$D:$D,$R44)*100</f>
        <v>0</v>
      </c>
      <c r="U44" s="67">
        <f t="shared" si="93"/>
        <v>0</v>
      </c>
      <c r="V44" s="67">
        <f t="shared" si="93"/>
        <v>0</v>
      </c>
      <c r="W44" s="67">
        <f t="shared" si="93"/>
        <v>0</v>
      </c>
      <c r="X44" s="67">
        <f t="shared" si="93"/>
        <v>0</v>
      </c>
      <c r="Y44" s="67">
        <f t="shared" si="93"/>
        <v>0</v>
      </c>
      <c r="Z44" s="67">
        <f t="shared" si="93"/>
        <v>3.72</v>
      </c>
      <c r="AA44" s="67">
        <f t="shared" si="93"/>
        <v>2.79</v>
      </c>
      <c r="AB44" s="69">
        <f t="shared" si="4"/>
        <v>0.6483793685</v>
      </c>
      <c r="AC44" s="67">
        <f t="shared" ref="AC44:AE44" si="94">SUMIFS($L:$L,$C:$C,AC$3,$D:$D,$R44)*100</f>
        <v>0</v>
      </c>
      <c r="AD44" s="67">
        <f t="shared" si="94"/>
        <v>1.78</v>
      </c>
      <c r="AE44" s="67">
        <f t="shared" si="94"/>
        <v>1.78</v>
      </c>
      <c r="AF44" s="69">
        <f t="shared" si="6"/>
        <v>1.124210733</v>
      </c>
      <c r="AG44" s="1"/>
      <c r="AH44" s="70">
        <f t="shared" si="7"/>
        <v>2797.427841</v>
      </c>
      <c r="AI44" s="70">
        <f t="shared" si="8"/>
        <v>4444.804027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ht="19.5" customHeight="1">
      <c r="A45" s="1"/>
      <c r="B45" s="110" t="s">
        <v>113</v>
      </c>
      <c r="C45" s="233"/>
      <c r="D45" s="112" t="s">
        <v>321</v>
      </c>
      <c r="E45" s="112" t="s">
        <v>116</v>
      </c>
      <c r="F45" s="113" t="s">
        <v>117</v>
      </c>
      <c r="G45" s="38"/>
      <c r="H45" s="38"/>
      <c r="I45" s="38"/>
      <c r="J45" s="38"/>
      <c r="K45" s="40"/>
      <c r="L45" s="112" t="s">
        <v>46</v>
      </c>
      <c r="M45" s="112" t="s">
        <v>120</v>
      </c>
      <c r="N45" s="112" t="s">
        <v>121</v>
      </c>
      <c r="O45" s="112" t="s">
        <v>122</v>
      </c>
      <c r="P45" s="1"/>
      <c r="Q45" s="1"/>
      <c r="R45" s="66" t="s">
        <v>322</v>
      </c>
      <c r="S45" s="66" t="s">
        <v>323</v>
      </c>
      <c r="T45" s="67">
        <f t="shared" ref="T45:AA45" si="95">SUMIFS($L:$L,$C:$C,T$3,$D:$D,$R45)*100</f>
        <v>0</v>
      </c>
      <c r="U45" s="67">
        <f t="shared" si="95"/>
        <v>0</v>
      </c>
      <c r="V45" s="67">
        <f t="shared" si="95"/>
        <v>0</v>
      </c>
      <c r="W45" s="67">
        <f t="shared" si="95"/>
        <v>0</v>
      </c>
      <c r="X45" s="67">
        <f t="shared" si="95"/>
        <v>0</v>
      </c>
      <c r="Y45" s="67">
        <f t="shared" si="95"/>
        <v>0</v>
      </c>
      <c r="Z45" s="67">
        <f t="shared" si="95"/>
        <v>0</v>
      </c>
      <c r="AA45" s="67">
        <f t="shared" si="95"/>
        <v>0.465</v>
      </c>
      <c r="AB45" s="69">
        <f t="shared" si="4"/>
        <v>0.06876750878</v>
      </c>
      <c r="AC45" s="67">
        <f t="shared" ref="AC45:AE45" si="96">SUMIFS($L:$L,$C:$C,AC$3,$D:$D,$R45)*100</f>
        <v>0</v>
      </c>
      <c r="AD45" s="67">
        <f t="shared" si="96"/>
        <v>1.068</v>
      </c>
      <c r="AE45" s="67">
        <f t="shared" si="96"/>
        <v>0</v>
      </c>
      <c r="AF45" s="69">
        <f t="shared" si="6"/>
        <v>0.4721686092</v>
      </c>
      <c r="AG45" s="1"/>
      <c r="AH45" s="70">
        <f t="shared" si="7"/>
        <v>296.6968922</v>
      </c>
      <c r="AI45" s="70">
        <f t="shared" si="8"/>
        <v>1866.818091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ht="19.5" customHeight="1">
      <c r="A46" s="1"/>
      <c r="B46" s="117"/>
      <c r="C46" s="233"/>
      <c r="D46" s="118"/>
      <c r="E46" s="118"/>
      <c r="F46" s="119" t="s">
        <v>129</v>
      </c>
      <c r="G46" s="119" t="s">
        <v>131</v>
      </c>
      <c r="H46" s="119" t="s">
        <v>132</v>
      </c>
      <c r="I46" s="119" t="s">
        <v>133</v>
      </c>
      <c r="J46" s="119" t="s">
        <v>134</v>
      </c>
      <c r="K46" s="119" t="s">
        <v>135</v>
      </c>
      <c r="L46" s="118"/>
      <c r="M46" s="118"/>
      <c r="N46" s="118"/>
      <c r="O46" s="118"/>
      <c r="P46" s="1"/>
      <c r="Q46" s="1"/>
      <c r="R46" s="66" t="s">
        <v>324</v>
      </c>
      <c r="S46" s="66" t="s">
        <v>256</v>
      </c>
      <c r="T46" s="67">
        <f t="shared" ref="T46:AA46" si="97">SUMIFS($L:$L,$C:$C,T$3,$D:$D,$R46)*100</f>
        <v>0</v>
      </c>
      <c r="U46" s="67">
        <f t="shared" si="97"/>
        <v>0</v>
      </c>
      <c r="V46" s="67">
        <f t="shared" si="97"/>
        <v>0</v>
      </c>
      <c r="W46" s="67">
        <f t="shared" si="97"/>
        <v>0</v>
      </c>
      <c r="X46" s="67">
        <f t="shared" si="97"/>
        <v>0</v>
      </c>
      <c r="Y46" s="67">
        <f t="shared" si="97"/>
        <v>0</v>
      </c>
      <c r="Z46" s="67">
        <f t="shared" si="97"/>
        <v>0</v>
      </c>
      <c r="AA46" s="67">
        <f t="shared" si="97"/>
        <v>0</v>
      </c>
      <c r="AB46" s="69">
        <f t="shared" si="4"/>
        <v>0</v>
      </c>
      <c r="AC46" s="67">
        <f t="shared" ref="AC46:AE46" si="98">SUMIFS($L:$L,$C:$C,AC$3,$D:$D,$R46)*100</f>
        <v>32.3</v>
      </c>
      <c r="AD46" s="67">
        <f t="shared" si="98"/>
        <v>9.79</v>
      </c>
      <c r="AE46" s="67">
        <f t="shared" si="98"/>
        <v>8.9</v>
      </c>
      <c r="AF46" s="69">
        <f t="shared" si="6"/>
        <v>17.91452375</v>
      </c>
      <c r="AG46" s="1"/>
      <c r="AH46" s="70">
        <f t="shared" si="7"/>
        <v>0</v>
      </c>
      <c r="AI46" s="70">
        <f t="shared" si="8"/>
        <v>70828.84458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ht="19.5" customHeight="1">
      <c r="A47" s="1"/>
      <c r="B47" s="234">
        <v>1.0</v>
      </c>
      <c r="C47" s="235"/>
      <c r="D47" s="236" t="s">
        <v>24</v>
      </c>
      <c r="E47" s="237" t="s">
        <v>325</v>
      </c>
      <c r="F47" s="124" t="s">
        <v>144</v>
      </c>
      <c r="G47" s="126"/>
      <c r="H47" s="126"/>
      <c r="I47" s="126"/>
      <c r="J47" s="126"/>
      <c r="K47" s="126"/>
      <c r="L47" s="238" t="s">
        <v>146</v>
      </c>
      <c r="M47" s="239">
        <f>$E$39</f>
        <v>1</v>
      </c>
      <c r="N47" s="236" t="s">
        <v>147</v>
      </c>
      <c r="O47" s="240" t="s">
        <v>148</v>
      </c>
      <c r="P47" s="1"/>
      <c r="Q47" s="1"/>
      <c r="R47" s="66" t="s">
        <v>326</v>
      </c>
      <c r="S47" s="66" t="s">
        <v>327</v>
      </c>
      <c r="T47" s="67">
        <f t="shared" ref="T47:AA47" si="99">SUMIFS($L:$L,$C:$C,T$3,$D:$D,$R47)*100</f>
        <v>0</v>
      </c>
      <c r="U47" s="67">
        <f t="shared" si="99"/>
        <v>0</v>
      </c>
      <c r="V47" s="67">
        <f t="shared" si="99"/>
        <v>0</v>
      </c>
      <c r="W47" s="67">
        <f t="shared" si="99"/>
        <v>0</v>
      </c>
      <c r="X47" s="67">
        <f t="shared" si="99"/>
        <v>0</v>
      </c>
      <c r="Y47" s="67">
        <f t="shared" si="99"/>
        <v>0</v>
      </c>
      <c r="Z47" s="67">
        <f t="shared" si="99"/>
        <v>0</v>
      </c>
      <c r="AA47" s="67">
        <f t="shared" si="99"/>
        <v>0</v>
      </c>
      <c r="AB47" s="69">
        <f t="shared" si="4"/>
        <v>0</v>
      </c>
      <c r="AC47" s="67">
        <f t="shared" ref="AC47:AE47" si="100">SUMIFS($L:$L,$C:$C,AC$3,$D:$D,$R47)*100</f>
        <v>5.1</v>
      </c>
      <c r="AD47" s="67">
        <f t="shared" si="100"/>
        <v>0</v>
      </c>
      <c r="AE47" s="67">
        <f t="shared" si="100"/>
        <v>0</v>
      </c>
      <c r="AF47" s="69">
        <f t="shared" si="6"/>
        <v>1.878946775</v>
      </c>
      <c r="AG47" s="1"/>
      <c r="AH47" s="70">
        <f t="shared" si="7"/>
        <v>0</v>
      </c>
      <c r="AI47" s="70">
        <f t="shared" si="8"/>
        <v>7428.812005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ht="19.5" customHeight="1">
      <c r="A48" s="1"/>
      <c r="B48" s="130">
        <v>2.0</v>
      </c>
      <c r="C48" s="131" t="s">
        <v>24</v>
      </c>
      <c r="D48" s="132" t="s">
        <v>123</v>
      </c>
      <c r="E48" s="133" t="s">
        <v>163</v>
      </c>
      <c r="F48" s="134"/>
      <c r="G48" s="135" t="s">
        <v>144</v>
      </c>
      <c r="H48" s="134"/>
      <c r="I48" s="134"/>
      <c r="J48" s="134"/>
      <c r="K48" s="134"/>
      <c r="L48" s="137">
        <f t="shared" ref="L48:L61" si="103">+M48/$M$63</f>
        <v>0.2511</v>
      </c>
      <c r="M48" s="138">
        <v>0.9204545454545455</v>
      </c>
      <c r="N48" s="132" t="s">
        <v>157</v>
      </c>
      <c r="O48" s="139"/>
      <c r="P48" s="1"/>
      <c r="Q48" s="1"/>
      <c r="R48" s="66" t="s">
        <v>328</v>
      </c>
      <c r="S48" s="66" t="s">
        <v>329</v>
      </c>
      <c r="T48" s="67">
        <f t="shared" ref="T48:AA48" si="101">SUMIFS($L:$L,$C:$C,T$3,$D:$D,$R48)*100</f>
        <v>0</v>
      </c>
      <c r="U48" s="67">
        <f t="shared" si="101"/>
        <v>0</v>
      </c>
      <c r="V48" s="67">
        <f t="shared" si="101"/>
        <v>0</v>
      </c>
      <c r="W48" s="67">
        <f t="shared" si="101"/>
        <v>0</v>
      </c>
      <c r="X48" s="67">
        <f t="shared" si="101"/>
        <v>0</v>
      </c>
      <c r="Y48" s="67">
        <f t="shared" si="101"/>
        <v>0</v>
      </c>
      <c r="Z48" s="67">
        <f t="shared" si="101"/>
        <v>0</v>
      </c>
      <c r="AA48" s="67">
        <f t="shared" si="101"/>
        <v>0</v>
      </c>
      <c r="AB48" s="69">
        <f t="shared" si="4"/>
        <v>0</v>
      </c>
      <c r="AC48" s="67">
        <f t="shared" ref="AC48:AE48" si="102">SUMIFS($L:$L,$C:$C,AC$3,$D:$D,$R48)*100</f>
        <v>2.125</v>
      </c>
      <c r="AD48" s="67">
        <f t="shared" si="102"/>
        <v>0</v>
      </c>
      <c r="AE48" s="67">
        <f t="shared" si="102"/>
        <v>0</v>
      </c>
      <c r="AF48" s="69">
        <f t="shared" si="6"/>
        <v>0.7828944896</v>
      </c>
      <c r="AG48" s="1"/>
      <c r="AH48" s="70">
        <f t="shared" si="7"/>
        <v>0</v>
      </c>
      <c r="AI48" s="70">
        <f t="shared" si="8"/>
        <v>3095.338335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ht="19.5" customHeight="1">
      <c r="A49" s="1"/>
      <c r="B49" s="130">
        <v>3.0</v>
      </c>
      <c r="C49" s="131" t="s">
        <v>24</v>
      </c>
      <c r="D49" s="132" t="s">
        <v>63</v>
      </c>
      <c r="E49" s="133" t="s">
        <v>153</v>
      </c>
      <c r="F49" s="134"/>
      <c r="G49" s="135" t="s">
        <v>144</v>
      </c>
      <c r="H49" s="134"/>
      <c r="I49" s="134"/>
      <c r="J49" s="134"/>
      <c r="K49" s="134"/>
      <c r="L49" s="137">
        <f t="shared" si="103"/>
        <v>0.2232</v>
      </c>
      <c r="M49" s="138">
        <v>0.8181818181818181</v>
      </c>
      <c r="N49" s="132" t="s">
        <v>157</v>
      </c>
      <c r="O49" s="139"/>
      <c r="P49" s="1"/>
      <c r="Q49" s="1"/>
      <c r="R49" s="66" t="s">
        <v>330</v>
      </c>
      <c r="S49" s="66" t="s">
        <v>331</v>
      </c>
      <c r="T49" s="67">
        <f t="shared" ref="T49:AA49" si="104">SUMIFS($L:$L,$C:$C,T$3,$D:$D,$R49)*100</f>
        <v>0</v>
      </c>
      <c r="U49" s="67">
        <f t="shared" si="104"/>
        <v>0</v>
      </c>
      <c r="V49" s="67">
        <f t="shared" si="104"/>
        <v>0</v>
      </c>
      <c r="W49" s="67">
        <f t="shared" si="104"/>
        <v>0</v>
      </c>
      <c r="X49" s="67">
        <f t="shared" si="104"/>
        <v>0</v>
      </c>
      <c r="Y49" s="67">
        <f t="shared" si="104"/>
        <v>0</v>
      </c>
      <c r="Z49" s="67">
        <f t="shared" si="104"/>
        <v>0</v>
      </c>
      <c r="AA49" s="67">
        <f t="shared" si="104"/>
        <v>0</v>
      </c>
      <c r="AB49" s="69">
        <f t="shared" si="4"/>
        <v>0</v>
      </c>
      <c r="AC49" s="67">
        <f t="shared" ref="AC49:AE49" si="105">SUMIFS($L:$L,$C:$C,AC$3,$D:$D,$R49)*100</f>
        <v>1.7</v>
      </c>
      <c r="AD49" s="67">
        <f t="shared" si="105"/>
        <v>0</v>
      </c>
      <c r="AE49" s="67">
        <f t="shared" si="105"/>
        <v>0</v>
      </c>
      <c r="AF49" s="69">
        <f t="shared" si="6"/>
        <v>0.6263155917</v>
      </c>
      <c r="AG49" s="1"/>
      <c r="AH49" s="70">
        <f t="shared" si="7"/>
        <v>0</v>
      </c>
      <c r="AI49" s="70">
        <f t="shared" si="8"/>
        <v>2476.270668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ht="19.5" customHeight="1">
      <c r="A50" s="1"/>
      <c r="B50" s="130">
        <v>4.0</v>
      </c>
      <c r="C50" s="131" t="s">
        <v>24</v>
      </c>
      <c r="D50" s="132" t="s">
        <v>149</v>
      </c>
      <c r="E50" s="133" t="s">
        <v>171</v>
      </c>
      <c r="F50" s="134"/>
      <c r="G50" s="135" t="s">
        <v>144</v>
      </c>
      <c r="H50" s="134"/>
      <c r="I50" s="134"/>
      <c r="J50" s="134"/>
      <c r="K50" s="134"/>
      <c r="L50" s="137">
        <f t="shared" si="103"/>
        <v>0.1302</v>
      </c>
      <c r="M50" s="138">
        <v>0.47727272727272735</v>
      </c>
      <c r="N50" s="132" t="s">
        <v>157</v>
      </c>
      <c r="O50" s="139"/>
      <c r="P50" s="1"/>
      <c r="Q50" s="1"/>
      <c r="R50" s="66" t="s">
        <v>332</v>
      </c>
      <c r="S50" s="66" t="s">
        <v>333</v>
      </c>
      <c r="T50" s="67">
        <f t="shared" ref="T50:AA50" si="106">SUMIFS($L:$L,$C:$C,T$3,$D:$D,$R50)*100</f>
        <v>0</v>
      </c>
      <c r="U50" s="67">
        <f t="shared" si="106"/>
        <v>0</v>
      </c>
      <c r="V50" s="67">
        <f t="shared" si="106"/>
        <v>0</v>
      </c>
      <c r="W50" s="67">
        <f t="shared" si="106"/>
        <v>0</v>
      </c>
      <c r="X50" s="67">
        <f t="shared" si="106"/>
        <v>0</v>
      </c>
      <c r="Y50" s="67">
        <f t="shared" si="106"/>
        <v>0</v>
      </c>
      <c r="Z50" s="67">
        <f t="shared" si="106"/>
        <v>0</v>
      </c>
      <c r="AA50" s="67">
        <f t="shared" si="106"/>
        <v>0</v>
      </c>
      <c r="AB50" s="69">
        <f t="shared" si="4"/>
        <v>0</v>
      </c>
      <c r="AC50" s="67">
        <f t="shared" ref="AC50:AE50" si="107">SUMIFS($L:$L,$C:$C,AC$3,$D:$D,$R50)*100</f>
        <v>0</v>
      </c>
      <c r="AD50" s="67">
        <f t="shared" si="107"/>
        <v>14.24</v>
      </c>
      <c r="AE50" s="67">
        <f t="shared" si="107"/>
        <v>13.35</v>
      </c>
      <c r="AF50" s="69">
        <f t="shared" si="6"/>
        <v>8.825054342</v>
      </c>
      <c r="AG50" s="1"/>
      <c r="AH50" s="70">
        <f t="shared" si="7"/>
        <v>0</v>
      </c>
      <c r="AI50" s="70">
        <f t="shared" si="8"/>
        <v>34891.71195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ht="19.5" customHeight="1">
      <c r="A51" s="1"/>
      <c r="B51" s="130">
        <v>5.0</v>
      </c>
      <c r="C51" s="131" t="s">
        <v>24</v>
      </c>
      <c r="D51" s="132" t="s">
        <v>219</v>
      </c>
      <c r="E51" s="133" t="s">
        <v>334</v>
      </c>
      <c r="F51" s="134"/>
      <c r="G51" s="135" t="s">
        <v>144</v>
      </c>
      <c r="H51" s="134"/>
      <c r="I51" s="134"/>
      <c r="J51" s="134"/>
      <c r="K51" s="134"/>
      <c r="L51" s="137">
        <f t="shared" si="103"/>
        <v>0.1209</v>
      </c>
      <c r="M51" s="138">
        <v>0.44318181818181823</v>
      </c>
      <c r="N51" s="132" t="s">
        <v>157</v>
      </c>
      <c r="O51" s="139"/>
      <c r="P51" s="1"/>
      <c r="Q51" s="1"/>
      <c r="R51" s="66" t="s">
        <v>335</v>
      </c>
      <c r="S51" s="66" t="s">
        <v>336</v>
      </c>
      <c r="T51" s="67">
        <f t="shared" ref="T51:AA51" si="108">SUMIFS($L:$L,$C:$C,T$3,$D:$D,$R51)*100</f>
        <v>0</v>
      </c>
      <c r="U51" s="67">
        <f t="shared" si="108"/>
        <v>0</v>
      </c>
      <c r="V51" s="67">
        <f t="shared" si="108"/>
        <v>0</v>
      </c>
      <c r="W51" s="67">
        <f t="shared" si="108"/>
        <v>0</v>
      </c>
      <c r="X51" s="67">
        <f t="shared" si="108"/>
        <v>0</v>
      </c>
      <c r="Y51" s="67">
        <f t="shared" si="108"/>
        <v>0</v>
      </c>
      <c r="Z51" s="67">
        <f t="shared" si="108"/>
        <v>0</v>
      </c>
      <c r="AA51" s="67">
        <f t="shared" si="108"/>
        <v>0</v>
      </c>
      <c r="AB51" s="69">
        <f t="shared" si="4"/>
        <v>0</v>
      </c>
      <c r="AC51" s="67">
        <f t="shared" ref="AC51:AE51" si="109">SUMIFS($L:$L,$C:$C,AC$3,$D:$D,$R51)*100</f>
        <v>0</v>
      </c>
      <c r="AD51" s="67">
        <f t="shared" si="109"/>
        <v>0.267</v>
      </c>
      <c r="AE51" s="67">
        <f t="shared" si="109"/>
        <v>0.178</v>
      </c>
      <c r="AF51" s="69">
        <f t="shared" si="6"/>
        <v>0.1517684574</v>
      </c>
      <c r="AG51" s="1"/>
      <c r="AH51" s="70">
        <f t="shared" si="7"/>
        <v>0</v>
      </c>
      <c r="AI51" s="70">
        <f t="shared" si="8"/>
        <v>600.048577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ht="19.5" customHeight="1">
      <c r="A52" s="1"/>
      <c r="B52" s="130">
        <v>6.0</v>
      </c>
      <c r="C52" s="131" t="s">
        <v>24</v>
      </c>
      <c r="D52" s="132" t="s">
        <v>164</v>
      </c>
      <c r="E52" s="133" t="s">
        <v>337</v>
      </c>
      <c r="F52" s="134"/>
      <c r="G52" s="135" t="s">
        <v>144</v>
      </c>
      <c r="H52" s="134"/>
      <c r="I52" s="134"/>
      <c r="J52" s="134"/>
      <c r="K52" s="134"/>
      <c r="L52" s="137">
        <f t="shared" si="103"/>
        <v>0.0558</v>
      </c>
      <c r="M52" s="138">
        <v>0.20454545454545453</v>
      </c>
      <c r="N52" s="132" t="s">
        <v>157</v>
      </c>
      <c r="O52" s="139"/>
      <c r="P52" s="1"/>
      <c r="Q52" s="1"/>
      <c r="R52" s="66" t="s">
        <v>338</v>
      </c>
      <c r="S52" s="66" t="s">
        <v>339</v>
      </c>
      <c r="T52" s="67">
        <f t="shared" ref="T52:AA52" si="110">SUMIFS($L:$L,$C:$C,T$3,$D:$D,$R52)*100</f>
        <v>0</v>
      </c>
      <c r="U52" s="67">
        <f t="shared" si="110"/>
        <v>0</v>
      </c>
      <c r="V52" s="67">
        <f t="shared" si="110"/>
        <v>0</v>
      </c>
      <c r="W52" s="67">
        <f t="shared" si="110"/>
        <v>0</v>
      </c>
      <c r="X52" s="67">
        <f t="shared" si="110"/>
        <v>0</v>
      </c>
      <c r="Y52" s="67">
        <f t="shared" si="110"/>
        <v>0</v>
      </c>
      <c r="Z52" s="67">
        <f t="shared" si="110"/>
        <v>0</v>
      </c>
      <c r="AA52" s="67">
        <f t="shared" si="110"/>
        <v>2.79</v>
      </c>
      <c r="AB52" s="69">
        <f t="shared" si="4"/>
        <v>0.4126050527</v>
      </c>
      <c r="AC52" s="67">
        <f t="shared" ref="AC52:AE52" si="111">SUMIFS($L:$L,$C:$C,AC$3,$D:$D,$R52)*100</f>
        <v>0</v>
      </c>
      <c r="AD52" s="67">
        <f t="shared" si="111"/>
        <v>0</v>
      </c>
      <c r="AE52" s="67">
        <f t="shared" si="111"/>
        <v>0</v>
      </c>
      <c r="AF52" s="69">
        <f t="shared" si="6"/>
        <v>0</v>
      </c>
      <c r="AG52" s="1"/>
      <c r="AH52" s="70">
        <f t="shared" si="7"/>
        <v>1780.181353</v>
      </c>
      <c r="AI52" s="70">
        <f t="shared" si="8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ht="19.5" customHeight="1">
      <c r="A53" s="1"/>
      <c r="B53" s="130">
        <v>7.0</v>
      </c>
      <c r="C53" s="131" t="s">
        <v>24</v>
      </c>
      <c r="D53" s="132" t="s">
        <v>226</v>
      </c>
      <c r="E53" s="133" t="s">
        <v>340</v>
      </c>
      <c r="F53" s="134"/>
      <c r="G53" s="135" t="s">
        <v>144</v>
      </c>
      <c r="H53" s="134"/>
      <c r="I53" s="134"/>
      <c r="J53" s="134"/>
      <c r="K53" s="134"/>
      <c r="L53" s="137">
        <f t="shared" si="103"/>
        <v>0.0465</v>
      </c>
      <c r="M53" s="138">
        <v>0.17045454545454547</v>
      </c>
      <c r="N53" s="132" t="s">
        <v>157</v>
      </c>
      <c r="O53" s="139"/>
      <c r="P53" s="1"/>
      <c r="Q53" s="1"/>
      <c r="S53" s="241" t="s">
        <v>256</v>
      </c>
      <c r="T53" s="242">
        <v>7.0</v>
      </c>
      <c r="U53" s="242">
        <v>7.0</v>
      </c>
      <c r="V53" s="242">
        <v>7.0</v>
      </c>
      <c r="W53" s="242">
        <v>7.0</v>
      </c>
      <c r="X53" s="242">
        <v>7.0</v>
      </c>
      <c r="Y53" s="242">
        <v>7.0</v>
      </c>
      <c r="Z53" s="242">
        <v>7.0</v>
      </c>
      <c r="AA53" s="242">
        <v>7.0</v>
      </c>
      <c r="AB53" s="69">
        <f t="shared" si="4"/>
        <v>7</v>
      </c>
      <c r="AC53" s="242">
        <v>15.0</v>
      </c>
      <c r="AD53" s="242">
        <v>11.0</v>
      </c>
      <c r="AE53" s="242">
        <v>11.0</v>
      </c>
      <c r="AF53" s="69">
        <f t="shared" si="6"/>
        <v>12.47368375</v>
      </c>
      <c r="AG53" s="1"/>
      <c r="AH53" s="70">
        <f t="shared" si="7"/>
        <v>30201.44662</v>
      </c>
      <c r="AI53" s="70">
        <f t="shared" si="8"/>
        <v>49317.33713</v>
      </c>
      <c r="BH53" s="1"/>
      <c r="BI53" s="1"/>
      <c r="BJ53" s="1"/>
      <c r="BK53" s="1"/>
      <c r="BL53" s="1"/>
      <c r="BM53" s="1"/>
      <c r="BN53" s="1"/>
      <c r="BO53" s="1"/>
    </row>
    <row r="54" ht="19.5" customHeight="1">
      <c r="A54" s="1"/>
      <c r="B54" s="130">
        <v>8.0</v>
      </c>
      <c r="C54" s="131" t="s">
        <v>24</v>
      </c>
      <c r="D54" s="132" t="s">
        <v>231</v>
      </c>
      <c r="E54" s="133" t="s">
        <v>341</v>
      </c>
      <c r="F54" s="134"/>
      <c r="G54" s="135" t="s">
        <v>144</v>
      </c>
      <c r="H54" s="134"/>
      <c r="I54" s="134"/>
      <c r="J54" s="134"/>
      <c r="K54" s="134"/>
      <c r="L54" s="137">
        <f t="shared" si="103"/>
        <v>0.0372</v>
      </c>
      <c r="M54" s="138">
        <v>0.13636363636363638</v>
      </c>
      <c r="N54" s="132" t="s">
        <v>157</v>
      </c>
      <c r="O54" s="139"/>
      <c r="P54" s="1"/>
      <c r="Q54" s="1"/>
      <c r="R54" s="243"/>
      <c r="S54" s="243"/>
      <c r="T54" s="244">
        <f t="shared" ref="T54:AF54" si="112">+SUM(T5:T53)</f>
        <v>100</v>
      </c>
      <c r="U54" s="244">
        <f t="shared" si="112"/>
        <v>100</v>
      </c>
      <c r="V54" s="244">
        <f t="shared" si="112"/>
        <v>100</v>
      </c>
      <c r="W54" s="244">
        <f t="shared" si="112"/>
        <v>100</v>
      </c>
      <c r="X54" s="244">
        <f t="shared" si="112"/>
        <v>100</v>
      </c>
      <c r="Y54" s="244">
        <f t="shared" si="112"/>
        <v>100</v>
      </c>
      <c r="Z54" s="244">
        <f t="shared" si="112"/>
        <v>100</v>
      </c>
      <c r="AA54" s="244">
        <f t="shared" si="112"/>
        <v>100</v>
      </c>
      <c r="AB54" s="244">
        <f t="shared" si="112"/>
        <v>100</v>
      </c>
      <c r="AC54" s="244">
        <f t="shared" si="112"/>
        <v>100</v>
      </c>
      <c r="AD54" s="244">
        <f t="shared" si="112"/>
        <v>100</v>
      </c>
      <c r="AE54" s="244">
        <f t="shared" si="112"/>
        <v>100</v>
      </c>
      <c r="AF54" s="244">
        <f t="shared" si="112"/>
        <v>100</v>
      </c>
      <c r="AG54" s="1"/>
      <c r="AH54" s="245">
        <f t="shared" ref="AH54:AI54" si="113">SUM(AH5:AH53)</f>
        <v>431449.2375</v>
      </c>
      <c r="AI54" s="245">
        <f t="shared" si="113"/>
        <v>395371.0719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ht="19.5" customHeight="1">
      <c r="A55" s="1"/>
      <c r="B55" s="130">
        <v>9.0</v>
      </c>
      <c r="C55" s="131" t="s">
        <v>24</v>
      </c>
      <c r="D55" s="132" t="s">
        <v>236</v>
      </c>
      <c r="E55" s="133" t="s">
        <v>342</v>
      </c>
      <c r="F55" s="134"/>
      <c r="G55" s="135" t="s">
        <v>144</v>
      </c>
      <c r="H55" s="134"/>
      <c r="I55" s="134"/>
      <c r="J55" s="134"/>
      <c r="K55" s="134"/>
      <c r="L55" s="137">
        <f t="shared" si="103"/>
        <v>0.0279</v>
      </c>
      <c r="M55" s="138">
        <v>0.10227272727272727</v>
      </c>
      <c r="N55" s="132" t="s">
        <v>157</v>
      </c>
      <c r="O55" s="139"/>
      <c r="P55" s="1"/>
      <c r="Q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ht="19.5" customHeight="1">
      <c r="A56" s="1"/>
      <c r="B56" s="130">
        <v>10.0</v>
      </c>
      <c r="C56" s="131" t="s">
        <v>24</v>
      </c>
      <c r="D56" s="132" t="s">
        <v>239</v>
      </c>
      <c r="E56" s="133" t="s">
        <v>343</v>
      </c>
      <c r="F56" s="134"/>
      <c r="G56" s="135" t="s">
        <v>144</v>
      </c>
      <c r="H56" s="134"/>
      <c r="I56" s="134"/>
      <c r="J56" s="134"/>
      <c r="K56" s="134"/>
      <c r="L56" s="137">
        <f t="shared" si="103"/>
        <v>0.01395</v>
      </c>
      <c r="M56" s="138">
        <v>0.05113636363636363</v>
      </c>
      <c r="N56" s="132" t="s">
        <v>157</v>
      </c>
      <c r="O56" s="139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ht="19.5" customHeight="1">
      <c r="A57" s="1"/>
      <c r="B57" s="130">
        <v>11.0</v>
      </c>
      <c r="C57" s="131" t="s">
        <v>24</v>
      </c>
      <c r="D57" s="132" t="s">
        <v>89</v>
      </c>
      <c r="E57" s="133" t="s">
        <v>214</v>
      </c>
      <c r="F57" s="134"/>
      <c r="G57" s="135" t="s">
        <v>144</v>
      </c>
      <c r="H57" s="134"/>
      <c r="I57" s="134"/>
      <c r="J57" s="134"/>
      <c r="K57" s="134"/>
      <c r="L57" s="137">
        <f t="shared" si="103"/>
        <v>0.0093</v>
      </c>
      <c r="M57" s="138">
        <v>0.034090909090909095</v>
      </c>
      <c r="N57" s="132" t="s">
        <v>157</v>
      </c>
      <c r="O57" s="139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ht="19.5" customHeight="1">
      <c r="A58" s="1"/>
      <c r="B58" s="130">
        <v>12.0</v>
      </c>
      <c r="C58" s="131" t="s">
        <v>24</v>
      </c>
      <c r="D58" s="132" t="s">
        <v>209</v>
      </c>
      <c r="E58" s="133" t="s">
        <v>230</v>
      </c>
      <c r="F58" s="134"/>
      <c r="G58" s="135" t="s">
        <v>144</v>
      </c>
      <c r="H58" s="134"/>
      <c r="I58" s="134"/>
      <c r="J58" s="134"/>
      <c r="K58" s="134"/>
      <c r="L58" s="137">
        <f t="shared" si="103"/>
        <v>0.00465</v>
      </c>
      <c r="M58" s="138">
        <v>0.017045454545454548</v>
      </c>
      <c r="N58" s="132" t="s">
        <v>157</v>
      </c>
      <c r="O58" s="139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ht="19.5" customHeight="1">
      <c r="A59" s="1"/>
      <c r="B59" s="130">
        <v>13.0</v>
      </c>
      <c r="C59" s="131" t="s">
        <v>24</v>
      </c>
      <c r="D59" s="132" t="s">
        <v>76</v>
      </c>
      <c r="E59" s="133" t="s">
        <v>218</v>
      </c>
      <c r="F59" s="134"/>
      <c r="G59" s="135" t="s">
        <v>144</v>
      </c>
      <c r="H59" s="134"/>
      <c r="I59" s="134"/>
      <c r="J59" s="134"/>
      <c r="K59" s="134"/>
      <c r="L59" s="137">
        <f t="shared" si="103"/>
        <v>0.00372</v>
      </c>
      <c r="M59" s="138">
        <v>0.013636363636363637</v>
      </c>
      <c r="N59" s="132" t="s">
        <v>157</v>
      </c>
      <c r="O59" s="139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ht="19.5" customHeight="1">
      <c r="A60" s="1"/>
      <c r="B60" s="130">
        <v>14.0</v>
      </c>
      <c r="C60" s="131" t="s">
        <v>24</v>
      </c>
      <c r="D60" s="132" t="s">
        <v>180</v>
      </c>
      <c r="E60" s="133" t="s">
        <v>238</v>
      </c>
      <c r="F60" s="134"/>
      <c r="G60" s="135" t="s">
        <v>144</v>
      </c>
      <c r="H60" s="134"/>
      <c r="I60" s="134"/>
      <c r="J60" s="134"/>
      <c r="K60" s="134"/>
      <c r="L60" s="137">
        <f t="shared" si="103"/>
        <v>0.00279</v>
      </c>
      <c r="M60" s="138">
        <v>0.010227272727272727</v>
      </c>
      <c r="N60" s="132" t="s">
        <v>157</v>
      </c>
      <c r="O60" s="139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ht="19.5" customHeight="1">
      <c r="A61" s="1"/>
      <c r="B61" s="130">
        <v>15.0</v>
      </c>
      <c r="C61" s="131" t="s">
        <v>24</v>
      </c>
      <c r="D61" s="132" t="s">
        <v>212</v>
      </c>
      <c r="E61" s="133" t="s">
        <v>242</v>
      </c>
      <c r="F61" s="134"/>
      <c r="G61" s="135" t="s">
        <v>144</v>
      </c>
      <c r="H61" s="134"/>
      <c r="I61" s="134"/>
      <c r="J61" s="134"/>
      <c r="K61" s="134"/>
      <c r="L61" s="137">
        <f t="shared" si="103"/>
        <v>0.00279</v>
      </c>
      <c r="M61" s="138">
        <v>0.010227272727272727</v>
      </c>
      <c r="N61" s="132" t="s">
        <v>157</v>
      </c>
      <c r="O61" s="139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ht="19.5" customHeight="1">
      <c r="A62" s="1"/>
      <c r="B62" s="130"/>
      <c r="C62" s="131"/>
      <c r="D62" s="181"/>
      <c r="E62" s="182" t="s">
        <v>256</v>
      </c>
      <c r="F62" s="183"/>
      <c r="G62" s="185"/>
      <c r="H62" s="183"/>
      <c r="I62" s="183"/>
      <c r="J62" s="183"/>
      <c r="K62" s="186"/>
      <c r="L62" s="137">
        <v>0.07</v>
      </c>
      <c r="M62" s="138">
        <f>+M63*0.07</f>
        <v>0.2565982405</v>
      </c>
      <c r="N62" s="132"/>
      <c r="O62" s="139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ht="19.5" customHeight="1">
      <c r="A63" s="1"/>
      <c r="B63" s="191"/>
      <c r="C63" s="192"/>
      <c r="D63" s="45" t="s">
        <v>266</v>
      </c>
      <c r="E63" s="38"/>
      <c r="F63" s="38"/>
      <c r="G63" s="38"/>
      <c r="H63" s="38"/>
      <c r="I63" s="38"/>
      <c r="J63" s="38"/>
      <c r="K63" s="43"/>
      <c r="L63" s="194">
        <f>+SUM(L48:L62)</f>
        <v>1</v>
      </c>
      <c r="M63" s="197">
        <f>+SUM(M48:M61)/0.93</f>
        <v>3.66568915</v>
      </c>
      <c r="N63" s="199" t="s">
        <v>157</v>
      </c>
      <c r="O63" s="20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ht="19.5" customHeight="1">
      <c r="A64" s="1"/>
      <c r="B64" s="208" t="s">
        <v>273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40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ht="19.5" customHeight="1">
      <c r="A65" s="1"/>
      <c r="B65" s="211">
        <v>16.0</v>
      </c>
      <c r="C65" s="131" t="s">
        <v>24</v>
      </c>
      <c r="D65" s="212" t="s">
        <v>276</v>
      </c>
      <c r="E65" s="213" t="s">
        <v>277</v>
      </c>
      <c r="F65" s="214"/>
      <c r="G65" s="215" t="s">
        <v>144</v>
      </c>
      <c r="H65" s="214"/>
      <c r="I65" s="214"/>
      <c r="J65" s="214"/>
      <c r="K65" s="214"/>
      <c r="L65" s="216" t="s">
        <v>146</v>
      </c>
      <c r="M65" s="217">
        <f>$E$39*$E$40</f>
        <v>20</v>
      </c>
      <c r="N65" s="212" t="s">
        <v>278</v>
      </c>
      <c r="O65" s="219" t="s">
        <v>279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ht="19.5" customHeight="1">
      <c r="A66" s="1"/>
      <c r="B66" s="211">
        <v>17.0</v>
      </c>
      <c r="C66" s="131" t="s">
        <v>24</v>
      </c>
      <c r="D66" s="212" t="s">
        <v>282</v>
      </c>
      <c r="E66" s="213" t="s">
        <v>283</v>
      </c>
      <c r="F66" s="214"/>
      <c r="G66" s="215" t="s">
        <v>144</v>
      </c>
      <c r="H66" s="214"/>
      <c r="I66" s="214"/>
      <c r="J66" s="214"/>
      <c r="K66" s="214"/>
      <c r="L66" s="216" t="s">
        <v>146</v>
      </c>
      <c r="M66" s="217">
        <f t="shared" ref="M66:M67" si="114">$E$39</f>
        <v>1</v>
      </c>
      <c r="N66" s="212" t="s">
        <v>278</v>
      </c>
      <c r="O66" s="219" t="s">
        <v>284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ht="19.5" customHeight="1">
      <c r="A67" s="1"/>
      <c r="B67" s="211">
        <v>18.0</v>
      </c>
      <c r="C67" s="131" t="s">
        <v>24</v>
      </c>
      <c r="D67" s="212" t="s">
        <v>291</v>
      </c>
      <c r="E67" s="213" t="s">
        <v>292</v>
      </c>
      <c r="F67" s="214"/>
      <c r="G67" s="215" t="s">
        <v>144</v>
      </c>
      <c r="H67" s="214"/>
      <c r="I67" s="214"/>
      <c r="J67" s="214"/>
      <c r="K67" s="214"/>
      <c r="L67" s="216" t="s">
        <v>146</v>
      </c>
      <c r="M67" s="217">
        <f t="shared" si="114"/>
        <v>1</v>
      </c>
      <c r="N67" s="212" t="s">
        <v>278</v>
      </c>
      <c r="O67" s="219" t="s">
        <v>284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ht="19.5" customHeight="1">
      <c r="A69" s="1"/>
      <c r="B69" s="9"/>
      <c r="C69" s="229"/>
      <c r="D69" s="230" t="s">
        <v>344</v>
      </c>
      <c r="E69" s="13"/>
      <c r="F69" s="13"/>
      <c r="G69" s="13"/>
      <c r="H69" s="13"/>
      <c r="I69" s="13"/>
      <c r="J69" s="13"/>
      <c r="K69" s="13"/>
      <c r="L69" s="14"/>
      <c r="M69" s="15" t="s">
        <v>8</v>
      </c>
      <c r="N69" s="16"/>
      <c r="O69" s="1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ht="19.5" customHeight="1">
      <c r="A70" s="1"/>
      <c r="B70" s="22"/>
      <c r="C70" s="22"/>
      <c r="D70" s="24" t="s">
        <v>16</v>
      </c>
      <c r="E70" s="28">
        <f>SUMIFS('Plan de ventas'!$O$48:$O$60,'Plan de ventas'!$B$48:$B$60,D79)*1000</f>
        <v>30642.70692</v>
      </c>
      <c r="F70" s="29"/>
      <c r="G70" s="29"/>
      <c r="H70" s="29"/>
      <c r="I70" s="29"/>
      <c r="J70" s="29"/>
      <c r="K70" s="29"/>
      <c r="L70" s="29"/>
      <c r="M70" s="30"/>
      <c r="O70" s="3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ht="19.5" customHeight="1">
      <c r="A71" s="1"/>
      <c r="B71" s="45" t="s">
        <v>41</v>
      </c>
      <c r="C71" s="38"/>
      <c r="D71" s="43"/>
      <c r="E71" s="46">
        <v>1.0</v>
      </c>
      <c r="F71" s="47" t="str">
        <f>"Línea: Clásicas     |     Versión n°: 1"&amp;CHAR(10)&amp;CHAR(10)&amp;"Lote = "&amp;E71&amp;" cajas × "&amp;E72&amp;" unid./caja = "&amp;(E71*E72)&amp;" unidades"&amp;CHAR(10)&amp;"Producto terminado = "&amp;TEXT(E75,"#,##0.00")&amp;" kg"&amp;CHAR(10)&amp;"Mezcla a preparar = "&amp;TEXT(E76,"#,##0.00")&amp;" kg   (rendimiento "&amp;TEXT(E74,"0%")&amp;")"</f>
        <v>Línea: Clásicas     |     Versión n°: 1
Lote = 1 cajas × 20 unid./caja = 20 unidades
Producto terminado = 3,00 kg
Mezcla a preparar = 3,41 kg   (rendimiento 88%)</v>
      </c>
      <c r="G71" s="48"/>
      <c r="H71" s="48"/>
      <c r="I71" s="48"/>
      <c r="J71" s="48"/>
      <c r="K71" s="48"/>
      <c r="L71" s="49"/>
      <c r="M71" s="30"/>
      <c r="O71" s="3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ht="19.5" customHeight="1">
      <c r="A72" s="1"/>
      <c r="B72" s="45" t="s">
        <v>62</v>
      </c>
      <c r="C72" s="38"/>
      <c r="D72" s="43"/>
      <c r="E72" s="46">
        <v>20.0</v>
      </c>
      <c r="F72" s="65"/>
      <c r="L72" s="31"/>
      <c r="M72" s="30"/>
      <c r="O72" s="3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ht="19.5" customHeight="1">
      <c r="A73" s="1"/>
      <c r="B73" s="45" t="s">
        <v>75</v>
      </c>
      <c r="C73" s="38"/>
      <c r="D73" s="43"/>
      <c r="E73" s="46">
        <v>150.0</v>
      </c>
      <c r="F73" s="65"/>
      <c r="L73" s="31"/>
      <c r="M73" s="30"/>
      <c r="O73" s="3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ht="19.5" customHeight="1">
      <c r="A74" s="1"/>
      <c r="B74" s="45" t="s">
        <v>83</v>
      </c>
      <c r="C74" s="38"/>
      <c r="D74" s="43"/>
      <c r="E74" s="88">
        <v>0.88</v>
      </c>
      <c r="F74" s="65"/>
      <c r="L74" s="31"/>
      <c r="M74" s="30"/>
      <c r="O74" s="3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ht="19.5" customHeight="1">
      <c r="A75" s="1"/>
      <c r="B75" s="45" t="s">
        <v>88</v>
      </c>
      <c r="C75" s="38"/>
      <c r="D75" s="43"/>
      <c r="E75" s="92">
        <f>E71*E72*E73/1000</f>
        <v>3</v>
      </c>
      <c r="F75" s="65"/>
      <c r="L75" s="31"/>
      <c r="M75" s="30"/>
      <c r="O75" s="3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ht="19.5" customHeight="1">
      <c r="A76" s="1"/>
      <c r="B76" s="45" t="s">
        <v>96</v>
      </c>
      <c r="C76" s="38"/>
      <c r="D76" s="43"/>
      <c r="E76" s="92">
        <f>E75/E74</f>
        <v>3.409090909</v>
      </c>
      <c r="F76" s="98"/>
      <c r="G76" s="99"/>
      <c r="H76" s="99"/>
      <c r="I76" s="99"/>
      <c r="J76" s="99"/>
      <c r="K76" s="99"/>
      <c r="L76" s="100"/>
      <c r="M76" s="101"/>
      <c r="N76" s="99"/>
      <c r="O76" s="10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ht="19.5" customHeight="1">
      <c r="A77" s="1"/>
      <c r="B77" s="110" t="s">
        <v>113</v>
      </c>
      <c r="C77" s="233"/>
      <c r="D77" s="112" t="s">
        <v>321</v>
      </c>
      <c r="E77" s="112" t="s">
        <v>116</v>
      </c>
      <c r="F77" s="113" t="s">
        <v>117</v>
      </c>
      <c r="G77" s="38"/>
      <c r="H77" s="38"/>
      <c r="I77" s="38"/>
      <c r="J77" s="38"/>
      <c r="K77" s="40"/>
      <c r="L77" s="112" t="s">
        <v>46</v>
      </c>
      <c r="M77" s="112" t="s">
        <v>120</v>
      </c>
      <c r="N77" s="112" t="s">
        <v>121</v>
      </c>
      <c r="O77" s="112" t="s">
        <v>122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ht="19.5" customHeight="1">
      <c r="A78" s="1"/>
      <c r="B78" s="117"/>
      <c r="C78" s="233"/>
      <c r="D78" s="118"/>
      <c r="E78" s="118"/>
      <c r="F78" s="119" t="s">
        <v>129</v>
      </c>
      <c r="G78" s="119" t="s">
        <v>131</v>
      </c>
      <c r="H78" s="119" t="s">
        <v>132</v>
      </c>
      <c r="I78" s="119" t="s">
        <v>133</v>
      </c>
      <c r="J78" s="119" t="s">
        <v>134</v>
      </c>
      <c r="K78" s="119" t="s">
        <v>135</v>
      </c>
      <c r="L78" s="118"/>
      <c r="M78" s="118"/>
      <c r="N78" s="118"/>
      <c r="O78" s="11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ht="19.5" customHeight="1">
      <c r="A79" s="1"/>
      <c r="B79" s="234">
        <v>1.0</v>
      </c>
      <c r="C79" s="235"/>
      <c r="D79" s="236" t="s">
        <v>25</v>
      </c>
      <c r="E79" s="237" t="s">
        <v>345</v>
      </c>
      <c r="F79" s="124" t="s">
        <v>144</v>
      </c>
      <c r="G79" s="126"/>
      <c r="H79" s="126"/>
      <c r="I79" s="126"/>
      <c r="J79" s="126"/>
      <c r="K79" s="126"/>
      <c r="L79" s="238" t="s">
        <v>146</v>
      </c>
      <c r="M79" s="239">
        <f>$E$71</f>
        <v>1</v>
      </c>
      <c r="N79" s="236" t="s">
        <v>147</v>
      </c>
      <c r="O79" s="240" t="s">
        <v>148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ht="19.5" customHeight="1">
      <c r="A80" s="1"/>
      <c r="B80" s="130">
        <v>2.0</v>
      </c>
      <c r="C80" s="131" t="s">
        <v>25</v>
      </c>
      <c r="D80" s="132" t="s">
        <v>123</v>
      </c>
      <c r="E80" s="133" t="s">
        <v>163</v>
      </c>
      <c r="F80" s="134"/>
      <c r="G80" s="135" t="s">
        <v>144</v>
      </c>
      <c r="H80" s="134"/>
      <c r="I80" s="134"/>
      <c r="J80" s="134"/>
      <c r="K80" s="134"/>
      <c r="L80" s="137">
        <f t="shared" ref="L80:L91" si="115">+M80/$M$92</f>
        <v>0.2511</v>
      </c>
      <c r="M80" s="138">
        <v>0.9204545454545455</v>
      </c>
      <c r="N80" s="132" t="s">
        <v>157</v>
      </c>
      <c r="O80" s="139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ht="19.5" customHeight="1">
      <c r="A81" s="1"/>
      <c r="B81" s="130">
        <v>3.0</v>
      </c>
      <c r="C81" s="131" t="s">
        <v>25</v>
      </c>
      <c r="D81" s="132" t="s">
        <v>63</v>
      </c>
      <c r="E81" s="133" t="s">
        <v>153</v>
      </c>
      <c r="F81" s="134"/>
      <c r="G81" s="135" t="s">
        <v>144</v>
      </c>
      <c r="H81" s="134"/>
      <c r="I81" s="134"/>
      <c r="J81" s="134"/>
      <c r="K81" s="134"/>
      <c r="L81" s="137">
        <f t="shared" si="115"/>
        <v>0.2046</v>
      </c>
      <c r="M81" s="138">
        <v>0.75</v>
      </c>
      <c r="N81" s="132" t="s">
        <v>157</v>
      </c>
      <c r="O81" s="139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ht="19.5" customHeight="1">
      <c r="A82" s="1"/>
      <c r="B82" s="130">
        <v>4.0</v>
      </c>
      <c r="C82" s="131" t="s">
        <v>25</v>
      </c>
      <c r="D82" s="132" t="s">
        <v>177</v>
      </c>
      <c r="E82" s="133" t="s">
        <v>178</v>
      </c>
      <c r="F82" s="134"/>
      <c r="G82" s="135" t="s">
        <v>144</v>
      </c>
      <c r="H82" s="134"/>
      <c r="I82" s="134"/>
      <c r="J82" s="134"/>
      <c r="K82" s="134"/>
      <c r="L82" s="137">
        <f t="shared" si="115"/>
        <v>0.1674</v>
      </c>
      <c r="M82" s="138">
        <v>0.6136363636363636</v>
      </c>
      <c r="N82" s="132" t="s">
        <v>157</v>
      </c>
      <c r="O82" s="13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ht="19.5" customHeight="1">
      <c r="A83" s="1"/>
      <c r="B83" s="130">
        <v>5.0</v>
      </c>
      <c r="C83" s="131" t="s">
        <v>25</v>
      </c>
      <c r="D83" s="132" t="s">
        <v>149</v>
      </c>
      <c r="E83" s="133" t="s">
        <v>171</v>
      </c>
      <c r="F83" s="134"/>
      <c r="G83" s="135" t="s">
        <v>144</v>
      </c>
      <c r="H83" s="134"/>
      <c r="I83" s="134"/>
      <c r="J83" s="134"/>
      <c r="K83" s="134"/>
      <c r="L83" s="137">
        <f t="shared" si="115"/>
        <v>0.1302</v>
      </c>
      <c r="M83" s="138">
        <v>0.47727272727272735</v>
      </c>
      <c r="N83" s="132" t="s">
        <v>157</v>
      </c>
      <c r="O83" s="139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ht="19.5" customHeight="1">
      <c r="A84" s="1"/>
      <c r="B84" s="130">
        <v>6.0</v>
      </c>
      <c r="C84" s="131" t="s">
        <v>25</v>
      </c>
      <c r="D84" s="132" t="s">
        <v>164</v>
      </c>
      <c r="E84" s="133" t="s">
        <v>337</v>
      </c>
      <c r="F84" s="134"/>
      <c r="G84" s="135" t="s">
        <v>144</v>
      </c>
      <c r="H84" s="134"/>
      <c r="I84" s="134"/>
      <c r="J84" s="134"/>
      <c r="K84" s="134"/>
      <c r="L84" s="137">
        <f t="shared" si="115"/>
        <v>0.0558</v>
      </c>
      <c r="M84" s="138">
        <v>0.20454545454545453</v>
      </c>
      <c r="N84" s="132" t="s">
        <v>157</v>
      </c>
      <c r="O84" s="139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ht="19.5" customHeight="1">
      <c r="A85" s="1"/>
      <c r="B85" s="130">
        <v>7.0</v>
      </c>
      <c r="C85" s="131" t="s">
        <v>25</v>
      </c>
      <c r="D85" s="132" t="s">
        <v>243</v>
      </c>
      <c r="E85" s="133" t="s">
        <v>346</v>
      </c>
      <c r="F85" s="134"/>
      <c r="G85" s="135" t="s">
        <v>144</v>
      </c>
      <c r="H85" s="134"/>
      <c r="I85" s="134"/>
      <c r="J85" s="134"/>
      <c r="K85" s="134"/>
      <c r="L85" s="137">
        <f t="shared" si="115"/>
        <v>0.0558</v>
      </c>
      <c r="M85" s="138">
        <v>0.20454545454545453</v>
      </c>
      <c r="N85" s="132" t="s">
        <v>157</v>
      </c>
      <c r="O85" s="139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ht="19.5" customHeight="1">
      <c r="A86" s="1"/>
      <c r="B86" s="130">
        <v>8.0</v>
      </c>
      <c r="C86" s="131" t="s">
        <v>25</v>
      </c>
      <c r="D86" s="132" t="s">
        <v>158</v>
      </c>
      <c r="E86" s="133" t="s">
        <v>208</v>
      </c>
      <c r="F86" s="134"/>
      <c r="G86" s="135" t="s">
        <v>144</v>
      </c>
      <c r="H86" s="134"/>
      <c r="I86" s="134"/>
      <c r="J86" s="134"/>
      <c r="K86" s="134"/>
      <c r="L86" s="137">
        <f t="shared" si="115"/>
        <v>0.0372</v>
      </c>
      <c r="M86" s="138">
        <v>0.13636363636363638</v>
      </c>
      <c r="N86" s="132" t="s">
        <v>157</v>
      </c>
      <c r="O86" s="139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ht="19.5" customHeight="1">
      <c r="A87" s="1"/>
      <c r="B87" s="130">
        <v>9.0</v>
      </c>
      <c r="C87" s="131" t="s">
        <v>25</v>
      </c>
      <c r="D87" s="132" t="s">
        <v>89</v>
      </c>
      <c r="E87" s="133" t="s">
        <v>214</v>
      </c>
      <c r="F87" s="134"/>
      <c r="G87" s="135" t="s">
        <v>144</v>
      </c>
      <c r="H87" s="134"/>
      <c r="I87" s="134"/>
      <c r="J87" s="134"/>
      <c r="K87" s="134"/>
      <c r="L87" s="137">
        <f t="shared" si="115"/>
        <v>0.0093</v>
      </c>
      <c r="M87" s="138">
        <v>0.034090909090909095</v>
      </c>
      <c r="N87" s="132" t="s">
        <v>157</v>
      </c>
      <c r="O87" s="139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ht="19.5" customHeight="1">
      <c r="A88" s="1"/>
      <c r="B88" s="130">
        <v>10.0</v>
      </c>
      <c r="C88" s="131" t="s">
        <v>25</v>
      </c>
      <c r="D88" s="132" t="s">
        <v>209</v>
      </c>
      <c r="E88" s="133" t="s">
        <v>230</v>
      </c>
      <c r="F88" s="134"/>
      <c r="G88" s="135" t="s">
        <v>144</v>
      </c>
      <c r="H88" s="134"/>
      <c r="I88" s="134"/>
      <c r="J88" s="134"/>
      <c r="K88" s="134"/>
      <c r="L88" s="137">
        <f t="shared" si="115"/>
        <v>0.00744</v>
      </c>
      <c r="M88" s="138">
        <v>0.027272727272727275</v>
      </c>
      <c r="N88" s="132" t="s">
        <v>157</v>
      </c>
      <c r="O88" s="139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ht="19.5" customHeight="1">
      <c r="A89" s="1"/>
      <c r="B89" s="130">
        <v>11.0</v>
      </c>
      <c r="C89" s="131" t="s">
        <v>25</v>
      </c>
      <c r="D89" s="132" t="s">
        <v>212</v>
      </c>
      <c r="E89" s="133" t="s">
        <v>242</v>
      </c>
      <c r="F89" s="134"/>
      <c r="G89" s="135" t="s">
        <v>144</v>
      </c>
      <c r="H89" s="134"/>
      <c r="I89" s="134"/>
      <c r="J89" s="134"/>
      <c r="K89" s="134"/>
      <c r="L89" s="137">
        <f t="shared" si="115"/>
        <v>0.00744</v>
      </c>
      <c r="M89" s="138">
        <v>0.027272727272727275</v>
      </c>
      <c r="N89" s="132" t="s">
        <v>157</v>
      </c>
      <c r="O89" s="139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ht="19.5" customHeight="1">
      <c r="A90" s="1"/>
      <c r="B90" s="130">
        <v>12.0</v>
      </c>
      <c r="C90" s="131" t="s">
        <v>25</v>
      </c>
      <c r="D90" s="132" t="s">
        <v>180</v>
      </c>
      <c r="E90" s="133" t="s">
        <v>238</v>
      </c>
      <c r="F90" s="134"/>
      <c r="G90" s="135" t="s">
        <v>144</v>
      </c>
      <c r="H90" s="134"/>
      <c r="I90" s="134"/>
      <c r="J90" s="134"/>
      <c r="K90" s="134"/>
      <c r="L90" s="137">
        <f t="shared" si="115"/>
        <v>0.00372</v>
      </c>
      <c r="M90" s="138">
        <v>0.013636363636363637</v>
      </c>
      <c r="N90" s="132" t="s">
        <v>157</v>
      </c>
      <c r="O90" s="139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ht="19.5" customHeight="1">
      <c r="A91" s="1"/>
      <c r="B91" s="130"/>
      <c r="C91" s="131"/>
      <c r="D91" s="181"/>
      <c r="E91" s="182" t="s">
        <v>256</v>
      </c>
      <c r="F91" s="183"/>
      <c r="G91" s="185"/>
      <c r="H91" s="183"/>
      <c r="I91" s="183"/>
      <c r="J91" s="183"/>
      <c r="K91" s="186"/>
      <c r="L91" s="137">
        <f t="shared" si="115"/>
        <v>0.07</v>
      </c>
      <c r="M91" s="138">
        <f>+M92*0.07</f>
        <v>0.2565982405</v>
      </c>
      <c r="N91" s="132"/>
      <c r="O91" s="139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ht="19.5" customHeight="1">
      <c r="A92" s="1"/>
      <c r="B92" s="191"/>
      <c r="C92" s="192"/>
      <c r="D92" s="45" t="s">
        <v>266</v>
      </c>
      <c r="E92" s="38"/>
      <c r="F92" s="38"/>
      <c r="G92" s="38"/>
      <c r="H92" s="38"/>
      <c r="I92" s="38"/>
      <c r="J92" s="38"/>
      <c r="K92" s="43"/>
      <c r="L92" s="194">
        <f>+SUM(L80:L91)</f>
        <v>1</v>
      </c>
      <c r="M92" s="197">
        <f>+SUM(M80:M90)/0.93</f>
        <v>3.66568915</v>
      </c>
      <c r="N92" s="199" t="s">
        <v>157</v>
      </c>
      <c r="O92" s="200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ht="19.5" customHeight="1">
      <c r="A93" s="1"/>
      <c r="B93" s="208" t="s">
        <v>273</v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40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ht="19.5" customHeight="1">
      <c r="A94" s="1"/>
      <c r="B94" s="211">
        <v>13.0</v>
      </c>
      <c r="C94" s="131" t="s">
        <v>25</v>
      </c>
      <c r="D94" s="212" t="s">
        <v>276</v>
      </c>
      <c r="E94" s="213" t="s">
        <v>277</v>
      </c>
      <c r="F94" s="214"/>
      <c r="G94" s="215" t="s">
        <v>144</v>
      </c>
      <c r="H94" s="214"/>
      <c r="I94" s="214"/>
      <c r="J94" s="214"/>
      <c r="K94" s="214"/>
      <c r="L94" s="216" t="s">
        <v>146</v>
      </c>
      <c r="M94" s="217">
        <f>$E$71*$E$72</f>
        <v>20</v>
      </c>
      <c r="N94" s="212" t="s">
        <v>278</v>
      </c>
      <c r="O94" s="219" t="s">
        <v>279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ht="19.5" customHeight="1">
      <c r="A95" s="1"/>
      <c r="B95" s="211">
        <v>14.0</v>
      </c>
      <c r="C95" s="131" t="s">
        <v>25</v>
      </c>
      <c r="D95" s="212" t="s">
        <v>282</v>
      </c>
      <c r="E95" s="213" t="s">
        <v>283</v>
      </c>
      <c r="F95" s="214"/>
      <c r="G95" s="215" t="s">
        <v>144</v>
      </c>
      <c r="H95" s="214"/>
      <c r="I95" s="214"/>
      <c r="J95" s="214"/>
      <c r="K95" s="214"/>
      <c r="L95" s="216" t="s">
        <v>146</v>
      </c>
      <c r="M95" s="217">
        <f t="shared" ref="M95:M96" si="116">$E$71</f>
        <v>1</v>
      </c>
      <c r="N95" s="212" t="s">
        <v>278</v>
      </c>
      <c r="O95" s="219" t="s">
        <v>284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ht="19.5" customHeight="1">
      <c r="A96" s="1"/>
      <c r="B96" s="211">
        <v>15.0</v>
      </c>
      <c r="C96" s="131" t="s">
        <v>25</v>
      </c>
      <c r="D96" s="212" t="s">
        <v>291</v>
      </c>
      <c r="E96" s="213" t="s">
        <v>292</v>
      </c>
      <c r="F96" s="214"/>
      <c r="G96" s="215" t="s">
        <v>144</v>
      </c>
      <c r="H96" s="214"/>
      <c r="I96" s="214"/>
      <c r="J96" s="214"/>
      <c r="K96" s="214"/>
      <c r="L96" s="216" t="s">
        <v>146</v>
      </c>
      <c r="M96" s="217">
        <f t="shared" si="116"/>
        <v>1</v>
      </c>
      <c r="N96" s="212" t="s">
        <v>278</v>
      </c>
      <c r="O96" s="219" t="s">
        <v>284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ht="19.5" customHeight="1">
      <c r="A98" s="1"/>
      <c r="B98" s="246"/>
      <c r="C98" s="247"/>
      <c r="D98" s="248" t="s">
        <v>347</v>
      </c>
      <c r="E98" s="249"/>
      <c r="F98" s="249"/>
      <c r="G98" s="249"/>
      <c r="H98" s="249"/>
      <c r="I98" s="249"/>
      <c r="J98" s="249"/>
      <c r="K98" s="249"/>
      <c r="L98" s="250"/>
      <c r="M98" s="251"/>
      <c r="N98" s="252"/>
      <c r="O98" s="253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ht="19.5" customHeight="1">
      <c r="A99" s="1"/>
      <c r="B99" s="22"/>
      <c r="C99" s="22"/>
      <c r="D99" s="24" t="s">
        <v>16</v>
      </c>
      <c r="E99" s="28">
        <f>SUMIFS('Plan de ventas'!$O$48:$O$60,'Plan de ventas'!$B$48:$B$60,D108)*1000</f>
        <v>94284.90238</v>
      </c>
      <c r="F99" s="29"/>
      <c r="G99" s="29"/>
      <c r="H99" s="29"/>
      <c r="I99" s="29"/>
      <c r="J99" s="29"/>
      <c r="K99" s="29"/>
      <c r="L99" s="29"/>
      <c r="M99" s="30"/>
      <c r="O99" s="25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ht="19.5" customHeight="1">
      <c r="A100" s="1"/>
      <c r="B100" s="255" t="s">
        <v>348</v>
      </c>
      <c r="C100" s="38"/>
      <c r="D100" s="43"/>
      <c r="E100" s="46">
        <v>1.0</v>
      </c>
      <c r="F100" s="47" t="str">
        <f>"Línea: Clásicas     |     Versión n°: 1"&amp;CHAR(10)&amp;CHAR(10)&amp;"Lote = "&amp;E100&amp;" cajas × "&amp;E101&amp;" unid./caja = "&amp;(E100*E101)&amp;" unidades"&amp;CHAR(10)&amp;"Producto terminado = "&amp;TEXT(E104,"#,##0.00")&amp;" kg"&amp;CHAR(10)&amp;"Mezcla a preparar = "&amp;TEXT(E105,"#,##0.00")&amp;" kg   (rendimiento "&amp;TEXT(E103,"0%")&amp;")"</f>
        <v>Línea: Clásicas     |     Versión n°: 1
Lote = 1 cajas × 20 unid./caja = 20 unidades
Producto terminado = 3,00 kg
Mezcla a preparar = 3,53 kg   (rendimiento 85%)</v>
      </c>
      <c r="G100" s="48"/>
      <c r="H100" s="48"/>
      <c r="I100" s="48"/>
      <c r="J100" s="48"/>
      <c r="K100" s="48"/>
      <c r="L100" s="49"/>
      <c r="M100" s="30"/>
      <c r="O100" s="25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ht="19.5" customHeight="1">
      <c r="A101" s="1"/>
      <c r="B101" s="255" t="s">
        <v>62</v>
      </c>
      <c r="C101" s="38"/>
      <c r="D101" s="43"/>
      <c r="E101" s="46">
        <v>20.0</v>
      </c>
      <c r="F101" s="65"/>
      <c r="L101" s="31"/>
      <c r="M101" s="30"/>
      <c r="O101" s="25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ht="19.5" customHeight="1">
      <c r="A102" s="1"/>
      <c r="B102" s="255" t="s">
        <v>75</v>
      </c>
      <c r="C102" s="38"/>
      <c r="D102" s="43"/>
      <c r="E102" s="46">
        <v>150.0</v>
      </c>
      <c r="F102" s="65"/>
      <c r="L102" s="31"/>
      <c r="M102" s="30"/>
      <c r="O102" s="25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ht="19.5" customHeight="1">
      <c r="A103" s="1"/>
      <c r="B103" s="255" t="s">
        <v>83</v>
      </c>
      <c r="C103" s="38"/>
      <c r="D103" s="43"/>
      <c r="E103" s="88">
        <v>0.85</v>
      </c>
      <c r="F103" s="65"/>
      <c r="L103" s="31"/>
      <c r="M103" s="30"/>
      <c r="O103" s="254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ht="19.5" customHeight="1">
      <c r="A104" s="1"/>
      <c r="B104" s="255" t="s">
        <v>88</v>
      </c>
      <c r="C104" s="38"/>
      <c r="D104" s="43"/>
      <c r="E104" s="92">
        <f>E100*E101*E102/1000</f>
        <v>3</v>
      </c>
      <c r="F104" s="65"/>
      <c r="L104" s="31"/>
      <c r="M104" s="30"/>
      <c r="O104" s="254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ht="19.5" customHeight="1">
      <c r="A105" s="1"/>
      <c r="B105" s="255" t="s">
        <v>96</v>
      </c>
      <c r="C105" s="38"/>
      <c r="D105" s="43"/>
      <c r="E105" s="92">
        <f>E104/E103</f>
        <v>3.529411765</v>
      </c>
      <c r="F105" s="98"/>
      <c r="G105" s="99"/>
      <c r="H105" s="99"/>
      <c r="I105" s="99"/>
      <c r="J105" s="99"/>
      <c r="K105" s="99"/>
      <c r="L105" s="100"/>
      <c r="M105" s="101"/>
      <c r="N105" s="99"/>
      <c r="O105" s="256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ht="19.5" customHeight="1">
      <c r="A106" s="1"/>
      <c r="B106" s="257" t="s">
        <v>113</v>
      </c>
      <c r="C106" s="233"/>
      <c r="D106" s="112" t="s">
        <v>321</v>
      </c>
      <c r="E106" s="112" t="s">
        <v>116</v>
      </c>
      <c r="F106" s="113" t="s">
        <v>117</v>
      </c>
      <c r="G106" s="38"/>
      <c r="H106" s="38"/>
      <c r="I106" s="38"/>
      <c r="J106" s="38"/>
      <c r="K106" s="40"/>
      <c r="L106" s="112" t="s">
        <v>46</v>
      </c>
      <c r="M106" s="112" t="s">
        <v>120</v>
      </c>
      <c r="N106" s="112" t="s">
        <v>121</v>
      </c>
      <c r="O106" s="258" t="s">
        <v>122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ht="19.5" customHeight="1">
      <c r="A107" s="1"/>
      <c r="B107" s="259"/>
      <c r="C107" s="233"/>
      <c r="D107" s="118"/>
      <c r="E107" s="118"/>
      <c r="F107" s="119" t="s">
        <v>129</v>
      </c>
      <c r="G107" s="119" t="s">
        <v>131</v>
      </c>
      <c r="H107" s="119" t="s">
        <v>132</v>
      </c>
      <c r="I107" s="119" t="s">
        <v>133</v>
      </c>
      <c r="J107" s="119" t="s">
        <v>134</v>
      </c>
      <c r="K107" s="119" t="s">
        <v>135</v>
      </c>
      <c r="L107" s="118"/>
      <c r="M107" s="118"/>
      <c r="N107" s="118"/>
      <c r="O107" s="260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ht="19.5" customHeight="1">
      <c r="A108" s="1"/>
      <c r="B108" s="261">
        <v>1.0</v>
      </c>
      <c r="C108" s="235"/>
      <c r="D108" s="236" t="s">
        <v>26</v>
      </c>
      <c r="E108" s="237" t="s">
        <v>349</v>
      </c>
      <c r="F108" s="124" t="s">
        <v>144</v>
      </c>
      <c r="G108" s="126"/>
      <c r="H108" s="126"/>
      <c r="I108" s="126"/>
      <c r="J108" s="126"/>
      <c r="K108" s="126"/>
      <c r="L108" s="238" t="s">
        <v>146</v>
      </c>
      <c r="M108" s="239">
        <f>$E$100</f>
        <v>1</v>
      </c>
      <c r="N108" s="236" t="s">
        <v>147</v>
      </c>
      <c r="O108" s="262" t="s">
        <v>148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ht="19.5" customHeight="1">
      <c r="A109" s="1"/>
      <c r="B109" s="263">
        <v>2.0</v>
      </c>
      <c r="C109" s="264"/>
      <c r="D109" s="265" t="s">
        <v>350</v>
      </c>
      <c r="E109" s="266" t="s">
        <v>351</v>
      </c>
      <c r="F109" s="267"/>
      <c r="G109" s="265" t="s">
        <v>144</v>
      </c>
      <c r="H109" s="267"/>
      <c r="I109" s="267"/>
      <c r="J109" s="267"/>
      <c r="K109" s="267"/>
      <c r="L109" s="268"/>
      <c r="M109" s="269">
        <f>$E$105*L109</f>
        <v>0</v>
      </c>
      <c r="N109" s="265" t="s">
        <v>157</v>
      </c>
      <c r="O109" s="270" t="s">
        <v>352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ht="19.5" customHeight="1">
      <c r="A110" s="1"/>
      <c r="B110" s="271">
        <v>3.0</v>
      </c>
      <c r="C110" s="131" t="s">
        <v>26</v>
      </c>
      <c r="D110" s="132" t="s">
        <v>63</v>
      </c>
      <c r="E110" s="133" t="s">
        <v>353</v>
      </c>
      <c r="F110" s="134"/>
      <c r="G110" s="134"/>
      <c r="H110" s="135" t="s">
        <v>144</v>
      </c>
      <c r="I110" s="134"/>
      <c r="J110" s="134"/>
      <c r="K110" s="134"/>
      <c r="L110" s="137">
        <f t="shared" ref="L110:L126" si="117">+M110/$M$127</f>
        <v>0.190836</v>
      </c>
      <c r="M110" s="138">
        <v>0.724235294117647</v>
      </c>
      <c r="N110" s="132" t="s">
        <v>157</v>
      </c>
      <c r="O110" s="27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ht="19.5" customHeight="1">
      <c r="A111" s="1"/>
      <c r="B111" s="271">
        <v>4.0</v>
      </c>
      <c r="C111" s="131" t="s">
        <v>26</v>
      </c>
      <c r="D111" s="132" t="s">
        <v>123</v>
      </c>
      <c r="E111" s="133" t="s">
        <v>354</v>
      </c>
      <c r="F111" s="134"/>
      <c r="G111" s="134"/>
      <c r="H111" s="135" t="s">
        <v>144</v>
      </c>
      <c r="I111" s="134"/>
      <c r="J111" s="134"/>
      <c r="K111" s="134"/>
      <c r="L111" s="137">
        <f t="shared" si="117"/>
        <v>0.127224</v>
      </c>
      <c r="M111" s="138">
        <v>0.4828235294117647</v>
      </c>
      <c r="N111" s="132" t="s">
        <v>157</v>
      </c>
      <c r="O111" s="27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ht="19.5" customHeight="1">
      <c r="A112" s="1"/>
      <c r="B112" s="271">
        <v>5.0</v>
      </c>
      <c r="C112" s="131" t="s">
        <v>26</v>
      </c>
      <c r="D112" s="132" t="s">
        <v>149</v>
      </c>
      <c r="E112" s="133" t="s">
        <v>355</v>
      </c>
      <c r="F112" s="134"/>
      <c r="G112" s="134"/>
      <c r="H112" s="135" t="s">
        <v>144</v>
      </c>
      <c r="I112" s="134"/>
      <c r="J112" s="134"/>
      <c r="K112" s="134"/>
      <c r="L112" s="137">
        <f t="shared" si="117"/>
        <v>0.103788</v>
      </c>
      <c r="M112" s="138">
        <v>0.39388235294117646</v>
      </c>
      <c r="N112" s="132" t="s">
        <v>157</v>
      </c>
      <c r="O112" s="27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ht="19.5" customHeight="1">
      <c r="A113" s="1"/>
      <c r="B113" s="271">
        <v>6.0</v>
      </c>
      <c r="C113" s="131" t="s">
        <v>26</v>
      </c>
      <c r="D113" s="132" t="s">
        <v>177</v>
      </c>
      <c r="E113" s="133" t="s">
        <v>356</v>
      </c>
      <c r="F113" s="134"/>
      <c r="G113" s="134"/>
      <c r="H113" s="135" t="s">
        <v>144</v>
      </c>
      <c r="I113" s="134"/>
      <c r="J113" s="134"/>
      <c r="K113" s="134"/>
      <c r="L113" s="137">
        <f t="shared" si="117"/>
        <v>0.093744</v>
      </c>
      <c r="M113" s="138">
        <v>0.3557647058823529</v>
      </c>
      <c r="N113" s="132" t="s">
        <v>157</v>
      </c>
      <c r="O113" s="27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ht="19.5" customHeight="1">
      <c r="A114" s="1"/>
      <c r="B114" s="271">
        <v>7.0</v>
      </c>
      <c r="C114" s="131" t="s">
        <v>26</v>
      </c>
      <c r="D114" s="132" t="s">
        <v>250</v>
      </c>
      <c r="E114" s="133" t="s">
        <v>357</v>
      </c>
      <c r="F114" s="134"/>
      <c r="G114" s="134"/>
      <c r="H114" s="135" t="s">
        <v>144</v>
      </c>
      <c r="I114" s="134"/>
      <c r="J114" s="134"/>
      <c r="K114" s="134"/>
      <c r="L114" s="137">
        <f t="shared" si="117"/>
        <v>0.073656</v>
      </c>
      <c r="M114" s="138">
        <v>0.27952941176470586</v>
      </c>
      <c r="N114" s="132" t="s">
        <v>157</v>
      </c>
      <c r="O114" s="27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ht="19.5" customHeight="1">
      <c r="A115" s="1"/>
      <c r="B115" s="271">
        <v>8.0</v>
      </c>
      <c r="C115" s="131" t="s">
        <v>26</v>
      </c>
      <c r="D115" s="132" t="s">
        <v>136</v>
      </c>
      <c r="E115" s="133" t="s">
        <v>358</v>
      </c>
      <c r="F115" s="134"/>
      <c r="G115" s="134"/>
      <c r="H115" s="135" t="s">
        <v>144</v>
      </c>
      <c r="I115" s="134"/>
      <c r="J115" s="134"/>
      <c r="K115" s="134"/>
      <c r="L115" s="137">
        <f t="shared" si="117"/>
        <v>0.040176</v>
      </c>
      <c r="M115" s="138">
        <v>0.1524705882352941</v>
      </c>
      <c r="N115" s="132" t="s">
        <v>157</v>
      </c>
      <c r="O115" s="27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ht="19.5" customHeight="1">
      <c r="A116" s="1"/>
      <c r="B116" s="271">
        <v>9.0</v>
      </c>
      <c r="C116" s="131" t="s">
        <v>26</v>
      </c>
      <c r="D116" s="132" t="s">
        <v>164</v>
      </c>
      <c r="E116" s="133" t="s">
        <v>359</v>
      </c>
      <c r="F116" s="134"/>
      <c r="G116" s="134"/>
      <c r="H116" s="135" t="s">
        <v>144</v>
      </c>
      <c r="I116" s="134"/>
      <c r="J116" s="134"/>
      <c r="K116" s="134"/>
      <c r="L116" s="137">
        <f t="shared" si="117"/>
        <v>0.030132</v>
      </c>
      <c r="M116" s="138">
        <v>0.11435294117647057</v>
      </c>
      <c r="N116" s="132" t="s">
        <v>157</v>
      </c>
      <c r="O116" s="27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ht="19.5" customHeight="1">
      <c r="A117" s="1"/>
      <c r="B117" s="271">
        <v>10.0</v>
      </c>
      <c r="C117" s="131" t="s">
        <v>26</v>
      </c>
      <c r="D117" s="132" t="s">
        <v>259</v>
      </c>
      <c r="E117" s="133" t="s">
        <v>360</v>
      </c>
      <c r="F117" s="134"/>
      <c r="G117" s="134"/>
      <c r="H117" s="135" t="s">
        <v>144</v>
      </c>
      <c r="I117" s="134"/>
      <c r="J117" s="134"/>
      <c r="K117" s="134"/>
      <c r="L117" s="137">
        <f t="shared" si="117"/>
        <v>0.003348</v>
      </c>
      <c r="M117" s="138">
        <v>0.012705882352941176</v>
      </c>
      <c r="N117" s="132" t="s">
        <v>157</v>
      </c>
      <c r="O117" s="27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ht="19.5" customHeight="1">
      <c r="A118" s="1"/>
      <c r="B118" s="271">
        <v>11.0</v>
      </c>
      <c r="C118" s="131" t="s">
        <v>26</v>
      </c>
      <c r="D118" s="132" t="s">
        <v>267</v>
      </c>
      <c r="E118" s="133" t="s">
        <v>361</v>
      </c>
      <c r="F118" s="134"/>
      <c r="G118" s="134"/>
      <c r="H118" s="135" t="s">
        <v>144</v>
      </c>
      <c r="I118" s="134"/>
      <c r="J118" s="134"/>
      <c r="K118" s="134"/>
      <c r="L118" s="137">
        <f t="shared" si="117"/>
        <v>0.0026784</v>
      </c>
      <c r="M118" s="138">
        <v>0.01016470588235294</v>
      </c>
      <c r="N118" s="132" t="s">
        <v>157</v>
      </c>
      <c r="O118" s="27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ht="19.5" customHeight="1">
      <c r="A119" s="1"/>
      <c r="B119" s="271">
        <v>12.0</v>
      </c>
      <c r="C119" s="131" t="s">
        <v>26</v>
      </c>
      <c r="D119" s="132" t="s">
        <v>89</v>
      </c>
      <c r="E119" s="133" t="s">
        <v>362</v>
      </c>
      <c r="F119" s="134"/>
      <c r="G119" s="134"/>
      <c r="H119" s="135" t="s">
        <v>144</v>
      </c>
      <c r="I119" s="134"/>
      <c r="J119" s="134"/>
      <c r="K119" s="134"/>
      <c r="L119" s="137">
        <f t="shared" si="117"/>
        <v>0.0040176</v>
      </c>
      <c r="M119" s="138">
        <v>0.015247058823529412</v>
      </c>
      <c r="N119" s="132" t="s">
        <v>157</v>
      </c>
      <c r="O119" s="27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ht="19.5" customHeight="1">
      <c r="A120" s="1"/>
      <c r="B120" s="263">
        <v>13.0</v>
      </c>
      <c r="C120" s="264"/>
      <c r="D120" s="265" t="s">
        <v>363</v>
      </c>
      <c r="E120" s="266" t="s">
        <v>364</v>
      </c>
      <c r="F120" s="267"/>
      <c r="G120" s="265" t="s">
        <v>144</v>
      </c>
      <c r="H120" s="267"/>
      <c r="I120" s="267"/>
      <c r="J120" s="267"/>
      <c r="K120" s="267"/>
      <c r="L120" s="137">
        <f t="shared" si="117"/>
        <v>0</v>
      </c>
      <c r="M120" s="269">
        <v>0.0</v>
      </c>
      <c r="N120" s="265" t="s">
        <v>157</v>
      </c>
      <c r="O120" s="270" t="s">
        <v>352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ht="19.5" customHeight="1">
      <c r="A121" s="1"/>
      <c r="B121" s="271">
        <v>14.0</v>
      </c>
      <c r="C121" s="131" t="s">
        <v>26</v>
      </c>
      <c r="D121" s="132" t="s">
        <v>274</v>
      </c>
      <c r="E121" s="133" t="s">
        <v>365</v>
      </c>
      <c r="F121" s="134"/>
      <c r="G121" s="134"/>
      <c r="H121" s="135" t="s">
        <v>144</v>
      </c>
      <c r="I121" s="134"/>
      <c r="J121" s="134"/>
      <c r="K121" s="134"/>
      <c r="L121" s="137">
        <f t="shared" si="117"/>
        <v>0.18228</v>
      </c>
      <c r="M121" s="138">
        <v>0.691764705882353</v>
      </c>
      <c r="N121" s="132" t="s">
        <v>157</v>
      </c>
      <c r="O121" s="272"/>
      <c r="P121" s="1"/>
      <c r="Q121" s="27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ht="19.5" customHeight="1">
      <c r="A122" s="1"/>
      <c r="B122" s="271">
        <v>15.0</v>
      </c>
      <c r="C122" s="131" t="s">
        <v>26</v>
      </c>
      <c r="D122" s="132" t="s">
        <v>177</v>
      </c>
      <c r="E122" s="133" t="s">
        <v>366</v>
      </c>
      <c r="F122" s="134"/>
      <c r="G122" s="134"/>
      <c r="H122" s="135" t="s">
        <v>144</v>
      </c>
      <c r="I122" s="134"/>
      <c r="J122" s="134"/>
      <c r="K122" s="134"/>
      <c r="L122" s="137">
        <f t="shared" si="117"/>
        <v>0.049476</v>
      </c>
      <c r="M122" s="138">
        <v>0.18776470588235294</v>
      </c>
      <c r="N122" s="132" t="s">
        <v>157</v>
      </c>
      <c r="O122" s="27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ht="19.5" customHeight="1">
      <c r="A123" s="1"/>
      <c r="B123" s="271">
        <v>16.0</v>
      </c>
      <c r="C123" s="131" t="s">
        <v>26</v>
      </c>
      <c r="D123" s="132" t="s">
        <v>63</v>
      </c>
      <c r="E123" s="133" t="s">
        <v>353</v>
      </c>
      <c r="F123" s="134"/>
      <c r="G123" s="134"/>
      <c r="H123" s="135" t="s">
        <v>144</v>
      </c>
      <c r="I123" s="134"/>
      <c r="J123" s="134"/>
      <c r="K123" s="134"/>
      <c r="L123" s="137">
        <f t="shared" si="117"/>
        <v>0.02604</v>
      </c>
      <c r="M123" s="138">
        <v>0.09882352941176471</v>
      </c>
      <c r="N123" s="132" t="s">
        <v>157</v>
      </c>
      <c r="O123" s="27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ht="19.5" customHeight="1">
      <c r="A124" s="1"/>
      <c r="B124" s="271">
        <v>17.0</v>
      </c>
      <c r="C124" s="131" t="s">
        <v>26</v>
      </c>
      <c r="D124" s="132" t="s">
        <v>215</v>
      </c>
      <c r="E124" s="133" t="s">
        <v>367</v>
      </c>
      <c r="F124" s="134"/>
      <c r="G124" s="134"/>
      <c r="H124" s="135" t="s">
        <v>144</v>
      </c>
      <c r="I124" s="134"/>
      <c r="J124" s="134"/>
      <c r="K124" s="134"/>
      <c r="L124" s="137">
        <f t="shared" si="117"/>
        <v>0.001302</v>
      </c>
      <c r="M124" s="138">
        <v>0.004941176470588235</v>
      </c>
      <c r="N124" s="132" t="s">
        <v>157</v>
      </c>
      <c r="O124" s="27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ht="19.5" customHeight="1">
      <c r="A125" s="1"/>
      <c r="B125" s="271">
        <v>18.0</v>
      </c>
      <c r="C125" s="131" t="s">
        <v>26</v>
      </c>
      <c r="D125" s="132" t="s">
        <v>280</v>
      </c>
      <c r="E125" s="133" t="s">
        <v>368</v>
      </c>
      <c r="F125" s="134"/>
      <c r="G125" s="134"/>
      <c r="H125" s="135" t="s">
        <v>144</v>
      </c>
      <c r="I125" s="134"/>
      <c r="J125" s="134"/>
      <c r="K125" s="134"/>
      <c r="L125" s="137">
        <f t="shared" si="117"/>
        <v>0.001302</v>
      </c>
      <c r="M125" s="138">
        <v>0.004941176470588235</v>
      </c>
      <c r="N125" s="132" t="s">
        <v>157</v>
      </c>
      <c r="O125" s="27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ht="19.5" customHeight="1">
      <c r="A126" s="1"/>
      <c r="B126" s="271"/>
      <c r="C126" s="131"/>
      <c r="D126" s="181"/>
      <c r="E126" s="182" t="s">
        <v>256</v>
      </c>
      <c r="F126" s="183"/>
      <c r="G126" s="183"/>
      <c r="H126" s="185"/>
      <c r="I126" s="183"/>
      <c r="J126" s="183"/>
      <c r="K126" s="186"/>
      <c r="L126" s="137">
        <f t="shared" si="117"/>
        <v>0.07</v>
      </c>
      <c r="M126" s="138">
        <v>0.2656546489563568</v>
      </c>
      <c r="N126" s="132"/>
      <c r="O126" s="27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ht="19.5" customHeight="1">
      <c r="A127" s="1"/>
      <c r="B127" s="274"/>
      <c r="C127" s="192"/>
      <c r="D127" s="45" t="s">
        <v>266</v>
      </c>
      <c r="E127" s="38"/>
      <c r="F127" s="38"/>
      <c r="G127" s="38"/>
      <c r="H127" s="38"/>
      <c r="I127" s="38"/>
      <c r="J127" s="38"/>
      <c r="K127" s="43"/>
      <c r="L127" s="194">
        <f>+SUM(L110:L126)</f>
        <v>1</v>
      </c>
      <c r="M127" s="197">
        <f>+(SUM(M110:M125)-M120)/0.93</f>
        <v>3.795066414</v>
      </c>
      <c r="N127" s="199" t="s">
        <v>157</v>
      </c>
      <c r="O127" s="275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ht="19.5" customHeight="1">
      <c r="A128" s="1"/>
      <c r="B128" s="276" t="s">
        <v>273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277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ht="19.5" customHeight="1">
      <c r="A129" s="1"/>
      <c r="B129" s="278">
        <v>19.0</v>
      </c>
      <c r="C129" s="279"/>
      <c r="D129" s="212" t="s">
        <v>276</v>
      </c>
      <c r="E129" s="213" t="s">
        <v>277</v>
      </c>
      <c r="F129" s="214"/>
      <c r="G129" s="215" t="s">
        <v>144</v>
      </c>
      <c r="H129" s="214"/>
      <c r="I129" s="214"/>
      <c r="J129" s="214"/>
      <c r="K129" s="214"/>
      <c r="L129" s="216" t="s">
        <v>146</v>
      </c>
      <c r="M129" s="217">
        <f>$E$100*$E$101</f>
        <v>20</v>
      </c>
      <c r="N129" s="212" t="s">
        <v>278</v>
      </c>
      <c r="O129" s="280" t="s">
        <v>279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ht="19.5" customHeight="1">
      <c r="A130" s="1"/>
      <c r="B130" s="278">
        <v>20.0</v>
      </c>
      <c r="C130" s="279"/>
      <c r="D130" s="212" t="s">
        <v>282</v>
      </c>
      <c r="E130" s="213" t="s">
        <v>283</v>
      </c>
      <c r="F130" s="214"/>
      <c r="G130" s="215" t="s">
        <v>144</v>
      </c>
      <c r="H130" s="214"/>
      <c r="I130" s="214"/>
      <c r="J130" s="214"/>
      <c r="K130" s="214"/>
      <c r="L130" s="216" t="s">
        <v>146</v>
      </c>
      <c r="M130" s="217">
        <f t="shared" ref="M130:M131" si="118">$E$100</f>
        <v>1</v>
      </c>
      <c r="N130" s="212" t="s">
        <v>278</v>
      </c>
      <c r="O130" s="280" t="s">
        <v>284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ht="19.5" customHeight="1">
      <c r="A131" s="1"/>
      <c r="B131" s="281">
        <v>21.0</v>
      </c>
      <c r="C131" s="282"/>
      <c r="D131" s="283" t="s">
        <v>291</v>
      </c>
      <c r="E131" s="284" t="s">
        <v>292</v>
      </c>
      <c r="F131" s="285"/>
      <c r="G131" s="286" t="s">
        <v>144</v>
      </c>
      <c r="H131" s="285"/>
      <c r="I131" s="285"/>
      <c r="J131" s="285"/>
      <c r="K131" s="285"/>
      <c r="L131" s="287" t="s">
        <v>146</v>
      </c>
      <c r="M131" s="288">
        <f t="shared" si="118"/>
        <v>1</v>
      </c>
      <c r="N131" s="283" t="s">
        <v>278</v>
      </c>
      <c r="O131" s="289" t="s">
        <v>284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ht="19.5" customHeight="1">
      <c r="A133" s="1"/>
      <c r="B133" s="9"/>
      <c r="C133" s="229"/>
      <c r="D133" s="230" t="s">
        <v>369</v>
      </c>
      <c r="E133" s="13"/>
      <c r="F133" s="13"/>
      <c r="G133" s="13"/>
      <c r="H133" s="13"/>
      <c r="I133" s="13"/>
      <c r="J133" s="13"/>
      <c r="K133" s="13"/>
      <c r="L133" s="14"/>
      <c r="M133" s="15" t="s">
        <v>8</v>
      </c>
      <c r="N133" s="16"/>
      <c r="O133" s="17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ht="19.5" customHeight="1">
      <c r="A134" s="1"/>
      <c r="B134" s="22"/>
      <c r="C134" s="22"/>
      <c r="D134" s="24" t="s">
        <v>16</v>
      </c>
      <c r="E134" s="28">
        <f>SUMIFS('Plan de ventas'!$O$48:$O$60,'Plan de ventas'!$B$48:$B$60,D143)*1000</f>
        <v>13132.51652</v>
      </c>
      <c r="F134" s="29"/>
      <c r="G134" s="29"/>
      <c r="H134" s="29"/>
      <c r="I134" s="29"/>
      <c r="J134" s="29"/>
      <c r="K134" s="29"/>
      <c r="L134" s="29"/>
      <c r="M134" s="30"/>
      <c r="O134" s="3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ht="19.5" customHeight="1">
      <c r="A135" s="1"/>
      <c r="B135" s="45" t="s">
        <v>41</v>
      </c>
      <c r="C135" s="38"/>
      <c r="D135" s="43"/>
      <c r="E135" s="46">
        <v>1.0</v>
      </c>
      <c r="F135" s="47" t="str">
        <f>"Línea: Salados     |     Versión n°: 1"&amp;CHAR(10)&amp;CHAR(10)&amp;"Lote = "&amp;E135&amp;" cajas × "&amp;E136&amp;" unid./caja = "&amp;(E135*E136)&amp;" unidades"&amp;CHAR(10)&amp;"Producto terminado = "&amp;TEXT(E139,"#,##0.00")&amp;" kg"&amp;CHAR(10)&amp;"Mezcla a preparar = "&amp;TEXT(E140,"#,##0.00")&amp;" kg   (rendimiento "&amp;TEXT(E138,"0%")&amp;")"</f>
        <v>Línea: Salados     |     Versión n°: 1
Lote = 1 cajas × 20 unid./caja = 20 unidades
Producto terminado = 3,00 kg
Mezcla a preparar = 3,45 kg   (rendimiento 87%)</v>
      </c>
      <c r="G135" s="48"/>
      <c r="H135" s="48"/>
      <c r="I135" s="48"/>
      <c r="J135" s="48"/>
      <c r="K135" s="48"/>
      <c r="L135" s="49"/>
      <c r="M135" s="30"/>
      <c r="O135" s="3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ht="19.5" customHeight="1">
      <c r="A136" s="1"/>
      <c r="B136" s="45" t="s">
        <v>62</v>
      </c>
      <c r="C136" s="38"/>
      <c r="D136" s="43"/>
      <c r="E136" s="46">
        <v>20.0</v>
      </c>
      <c r="F136" s="65"/>
      <c r="L136" s="31"/>
      <c r="M136" s="30"/>
      <c r="O136" s="3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ht="19.5" customHeight="1">
      <c r="A137" s="1"/>
      <c r="B137" s="45" t="s">
        <v>75</v>
      </c>
      <c r="C137" s="38"/>
      <c r="D137" s="43"/>
      <c r="E137" s="46">
        <v>150.0</v>
      </c>
      <c r="F137" s="65"/>
      <c r="L137" s="31"/>
      <c r="M137" s="30"/>
      <c r="O137" s="3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ht="19.5" customHeight="1">
      <c r="A138" s="1"/>
      <c r="B138" s="45" t="s">
        <v>83</v>
      </c>
      <c r="C138" s="38"/>
      <c r="D138" s="43"/>
      <c r="E138" s="88">
        <v>0.87</v>
      </c>
      <c r="F138" s="65"/>
      <c r="L138" s="31"/>
      <c r="M138" s="30"/>
      <c r="O138" s="3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ht="19.5" customHeight="1">
      <c r="A139" s="1"/>
      <c r="B139" s="45" t="s">
        <v>88</v>
      </c>
      <c r="C139" s="38"/>
      <c r="D139" s="43"/>
      <c r="E139" s="92">
        <f>E135*E136*E137/1000</f>
        <v>3</v>
      </c>
      <c r="F139" s="65"/>
      <c r="L139" s="31"/>
      <c r="M139" s="30"/>
      <c r="O139" s="3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ht="19.5" customHeight="1">
      <c r="A140" s="1"/>
      <c r="B140" s="45" t="s">
        <v>96</v>
      </c>
      <c r="C140" s="38"/>
      <c r="D140" s="43"/>
      <c r="E140" s="92">
        <f>E139/E138</f>
        <v>3.448275862</v>
      </c>
      <c r="F140" s="98"/>
      <c r="G140" s="99"/>
      <c r="H140" s="99"/>
      <c r="I140" s="99"/>
      <c r="J140" s="99"/>
      <c r="K140" s="99"/>
      <c r="L140" s="100"/>
      <c r="M140" s="101"/>
      <c r="N140" s="99"/>
      <c r="O140" s="100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ht="19.5" customHeight="1">
      <c r="A141" s="1"/>
      <c r="B141" s="110" t="s">
        <v>113</v>
      </c>
      <c r="C141" s="233"/>
      <c r="D141" s="112" t="s">
        <v>321</v>
      </c>
      <c r="E141" s="112" t="s">
        <v>116</v>
      </c>
      <c r="F141" s="113" t="s">
        <v>117</v>
      </c>
      <c r="G141" s="38"/>
      <c r="H141" s="38"/>
      <c r="I141" s="38"/>
      <c r="J141" s="38"/>
      <c r="K141" s="40"/>
      <c r="L141" s="112" t="s">
        <v>46</v>
      </c>
      <c r="M141" s="112" t="s">
        <v>120</v>
      </c>
      <c r="N141" s="112" t="s">
        <v>121</v>
      </c>
      <c r="O141" s="112" t="s">
        <v>122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ht="19.5" customHeight="1">
      <c r="A142" s="1"/>
      <c r="B142" s="117"/>
      <c r="C142" s="233"/>
      <c r="D142" s="118"/>
      <c r="E142" s="118"/>
      <c r="F142" s="119" t="s">
        <v>129</v>
      </c>
      <c r="G142" s="119" t="s">
        <v>131</v>
      </c>
      <c r="H142" s="119" t="s">
        <v>132</v>
      </c>
      <c r="I142" s="119" t="s">
        <v>133</v>
      </c>
      <c r="J142" s="119" t="s">
        <v>134</v>
      </c>
      <c r="K142" s="119" t="s">
        <v>135</v>
      </c>
      <c r="L142" s="118"/>
      <c r="M142" s="118"/>
      <c r="N142" s="118"/>
      <c r="O142" s="118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ht="19.5" customHeight="1">
      <c r="A143" s="1"/>
      <c r="B143" s="234">
        <v>1.0</v>
      </c>
      <c r="C143" s="235"/>
      <c r="D143" s="236" t="s">
        <v>28</v>
      </c>
      <c r="E143" s="237" t="s">
        <v>370</v>
      </c>
      <c r="F143" s="124" t="s">
        <v>144</v>
      </c>
      <c r="G143" s="126"/>
      <c r="H143" s="126"/>
      <c r="I143" s="126"/>
      <c r="J143" s="126"/>
      <c r="K143" s="126"/>
      <c r="L143" s="238" t="s">
        <v>146</v>
      </c>
      <c r="M143" s="239">
        <f>$E$135</f>
        <v>1</v>
      </c>
      <c r="N143" s="236" t="s">
        <v>147</v>
      </c>
      <c r="O143" s="240" t="s">
        <v>148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ht="19.5" customHeight="1">
      <c r="A144" s="1"/>
      <c r="B144" s="130">
        <v>2.0</v>
      </c>
      <c r="C144" s="131" t="s">
        <v>28</v>
      </c>
      <c r="D144" s="132" t="s">
        <v>123</v>
      </c>
      <c r="E144" s="133" t="s">
        <v>163</v>
      </c>
      <c r="F144" s="134"/>
      <c r="G144" s="135" t="s">
        <v>144</v>
      </c>
      <c r="H144" s="134"/>
      <c r="I144" s="134"/>
      <c r="J144" s="134"/>
      <c r="K144" s="134"/>
      <c r="L144" s="137">
        <f t="shared" ref="L144:L157" si="119">+M144/$M$158</f>
        <v>0.2325</v>
      </c>
      <c r="M144" s="138">
        <v>0.8620689655172414</v>
      </c>
      <c r="N144" s="132" t="s">
        <v>157</v>
      </c>
      <c r="O144" s="139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ht="19.5" customHeight="1">
      <c r="A145" s="1"/>
      <c r="B145" s="130">
        <v>3.0</v>
      </c>
      <c r="C145" s="131" t="s">
        <v>28</v>
      </c>
      <c r="D145" s="132" t="s">
        <v>286</v>
      </c>
      <c r="E145" s="133" t="s">
        <v>371</v>
      </c>
      <c r="F145" s="134"/>
      <c r="G145" s="135" t="s">
        <v>144</v>
      </c>
      <c r="H145" s="134"/>
      <c r="I145" s="134"/>
      <c r="J145" s="134"/>
      <c r="K145" s="134"/>
      <c r="L145" s="137">
        <f t="shared" si="119"/>
        <v>0.1767</v>
      </c>
      <c r="M145" s="138">
        <v>0.6551724137931035</v>
      </c>
      <c r="N145" s="132" t="s">
        <v>157</v>
      </c>
      <c r="O145" s="13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ht="19.5" customHeight="1">
      <c r="A146" s="1"/>
      <c r="B146" s="130">
        <v>4.0</v>
      </c>
      <c r="C146" s="131" t="s">
        <v>28</v>
      </c>
      <c r="D146" s="132" t="s">
        <v>293</v>
      </c>
      <c r="E146" s="133" t="s">
        <v>372</v>
      </c>
      <c r="F146" s="134"/>
      <c r="G146" s="135" t="s">
        <v>144</v>
      </c>
      <c r="H146" s="134"/>
      <c r="I146" s="134"/>
      <c r="J146" s="134"/>
      <c r="K146" s="134"/>
      <c r="L146" s="137">
        <f t="shared" si="119"/>
        <v>0.1395</v>
      </c>
      <c r="M146" s="138">
        <v>0.5172413793103449</v>
      </c>
      <c r="N146" s="132" t="s">
        <v>157</v>
      </c>
      <c r="O146" s="13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ht="19.5" customHeight="1">
      <c r="A147" s="1"/>
      <c r="B147" s="130">
        <v>5.0</v>
      </c>
      <c r="C147" s="131" t="s">
        <v>28</v>
      </c>
      <c r="D147" s="132" t="s">
        <v>295</v>
      </c>
      <c r="E147" s="133" t="s">
        <v>373</v>
      </c>
      <c r="F147" s="134"/>
      <c r="G147" s="135" t="s">
        <v>144</v>
      </c>
      <c r="H147" s="134"/>
      <c r="I147" s="134"/>
      <c r="J147" s="134"/>
      <c r="K147" s="134"/>
      <c r="L147" s="137">
        <f t="shared" si="119"/>
        <v>0.1209</v>
      </c>
      <c r="M147" s="138">
        <v>0.4482758620689656</v>
      </c>
      <c r="N147" s="132" t="s">
        <v>157</v>
      </c>
      <c r="O147" s="139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ht="19.5" customHeight="1">
      <c r="A148" s="1"/>
      <c r="B148" s="130">
        <v>6.0</v>
      </c>
      <c r="C148" s="131" t="s">
        <v>28</v>
      </c>
      <c r="D148" s="132" t="s">
        <v>299</v>
      </c>
      <c r="E148" s="133" t="s">
        <v>374</v>
      </c>
      <c r="F148" s="134"/>
      <c r="G148" s="135" t="s">
        <v>144</v>
      </c>
      <c r="H148" s="134"/>
      <c r="I148" s="134"/>
      <c r="J148" s="134"/>
      <c r="K148" s="134"/>
      <c r="L148" s="137">
        <f t="shared" si="119"/>
        <v>0.0744</v>
      </c>
      <c r="M148" s="138">
        <v>0.2758620689655173</v>
      </c>
      <c r="N148" s="132" t="s">
        <v>157</v>
      </c>
      <c r="O148" s="139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ht="19.5" customHeight="1">
      <c r="A149" s="1"/>
      <c r="B149" s="130">
        <v>7.0</v>
      </c>
      <c r="C149" s="131" t="s">
        <v>28</v>
      </c>
      <c r="D149" s="132" t="s">
        <v>149</v>
      </c>
      <c r="E149" s="133" t="s">
        <v>171</v>
      </c>
      <c r="F149" s="134"/>
      <c r="G149" s="135" t="s">
        <v>144</v>
      </c>
      <c r="H149" s="134"/>
      <c r="I149" s="134"/>
      <c r="J149" s="134"/>
      <c r="K149" s="134"/>
      <c r="L149" s="137">
        <f t="shared" si="119"/>
        <v>0.0558</v>
      </c>
      <c r="M149" s="138">
        <v>0.20689655172413793</v>
      </c>
      <c r="N149" s="132" t="s">
        <v>157</v>
      </c>
      <c r="O149" s="139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ht="19.5" customHeight="1">
      <c r="A150" s="1"/>
      <c r="B150" s="130">
        <v>8.0</v>
      </c>
      <c r="C150" s="131" t="s">
        <v>28</v>
      </c>
      <c r="D150" s="132" t="s">
        <v>303</v>
      </c>
      <c r="E150" s="133" t="s">
        <v>375</v>
      </c>
      <c r="F150" s="134"/>
      <c r="G150" s="135" t="s">
        <v>144</v>
      </c>
      <c r="H150" s="134"/>
      <c r="I150" s="134"/>
      <c r="J150" s="134"/>
      <c r="K150" s="134"/>
      <c r="L150" s="137">
        <f t="shared" si="119"/>
        <v>0.0465</v>
      </c>
      <c r="M150" s="138">
        <v>0.1724137931034483</v>
      </c>
      <c r="N150" s="132" t="s">
        <v>157</v>
      </c>
      <c r="O150" s="139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ht="19.5" customHeight="1">
      <c r="A151" s="1"/>
      <c r="B151" s="130">
        <v>9.0</v>
      </c>
      <c r="C151" s="131" t="s">
        <v>28</v>
      </c>
      <c r="D151" s="132" t="s">
        <v>305</v>
      </c>
      <c r="E151" s="133" t="s">
        <v>376</v>
      </c>
      <c r="F151" s="134"/>
      <c r="G151" s="135" t="s">
        <v>144</v>
      </c>
      <c r="H151" s="134"/>
      <c r="I151" s="134"/>
      <c r="J151" s="134"/>
      <c r="K151" s="134"/>
      <c r="L151" s="137">
        <f t="shared" si="119"/>
        <v>0.0372</v>
      </c>
      <c r="M151" s="138">
        <v>0.13793103448275865</v>
      </c>
      <c r="N151" s="132" t="s">
        <v>157</v>
      </c>
      <c r="O151" s="139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ht="19.5" customHeight="1">
      <c r="A152" s="1"/>
      <c r="B152" s="130">
        <v>10.0</v>
      </c>
      <c r="C152" s="131" t="s">
        <v>28</v>
      </c>
      <c r="D152" s="132" t="s">
        <v>76</v>
      </c>
      <c r="E152" s="133" t="s">
        <v>218</v>
      </c>
      <c r="F152" s="134"/>
      <c r="G152" s="135" t="s">
        <v>144</v>
      </c>
      <c r="H152" s="134"/>
      <c r="I152" s="134"/>
      <c r="J152" s="134"/>
      <c r="K152" s="134"/>
      <c r="L152" s="137">
        <f t="shared" si="119"/>
        <v>0.01395</v>
      </c>
      <c r="M152" s="138">
        <v>0.05172413793103448</v>
      </c>
      <c r="N152" s="132" t="s">
        <v>157</v>
      </c>
      <c r="O152" s="139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ht="19.5" customHeight="1">
      <c r="A153" s="1"/>
      <c r="B153" s="130">
        <v>11.0</v>
      </c>
      <c r="C153" s="131" t="s">
        <v>28</v>
      </c>
      <c r="D153" s="132" t="s">
        <v>307</v>
      </c>
      <c r="E153" s="133" t="s">
        <v>377</v>
      </c>
      <c r="F153" s="134"/>
      <c r="G153" s="135" t="s">
        <v>144</v>
      </c>
      <c r="H153" s="134"/>
      <c r="I153" s="134"/>
      <c r="J153" s="134"/>
      <c r="K153" s="134"/>
      <c r="L153" s="137">
        <f t="shared" si="119"/>
        <v>0.0093</v>
      </c>
      <c r="M153" s="138">
        <v>0.03448275862068966</v>
      </c>
      <c r="N153" s="132" t="s">
        <v>157</v>
      </c>
      <c r="O153" s="139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ht="19.5" customHeight="1">
      <c r="A154" s="1"/>
      <c r="B154" s="130">
        <v>12.0</v>
      </c>
      <c r="C154" s="131" t="s">
        <v>28</v>
      </c>
      <c r="D154" s="132" t="s">
        <v>89</v>
      </c>
      <c r="E154" s="133" t="s">
        <v>214</v>
      </c>
      <c r="F154" s="134"/>
      <c r="G154" s="135" t="s">
        <v>144</v>
      </c>
      <c r="H154" s="134"/>
      <c r="I154" s="134"/>
      <c r="J154" s="134"/>
      <c r="K154" s="134"/>
      <c r="L154" s="137">
        <f t="shared" si="119"/>
        <v>0.0093</v>
      </c>
      <c r="M154" s="138">
        <v>0.03448275862068966</v>
      </c>
      <c r="N154" s="132" t="s">
        <v>157</v>
      </c>
      <c r="O154" s="139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ht="19.5" customHeight="1">
      <c r="A155" s="1"/>
      <c r="B155" s="130">
        <v>13.0</v>
      </c>
      <c r="C155" s="131" t="s">
        <v>28</v>
      </c>
      <c r="D155" s="132" t="s">
        <v>309</v>
      </c>
      <c r="E155" s="133" t="s">
        <v>378</v>
      </c>
      <c r="F155" s="134"/>
      <c r="G155" s="135" t="s">
        <v>144</v>
      </c>
      <c r="H155" s="134"/>
      <c r="I155" s="134"/>
      <c r="J155" s="134"/>
      <c r="K155" s="134"/>
      <c r="L155" s="137">
        <f t="shared" si="119"/>
        <v>0.0093</v>
      </c>
      <c r="M155" s="138">
        <v>0.03448275862068966</v>
      </c>
      <c r="N155" s="132" t="s">
        <v>157</v>
      </c>
      <c r="O155" s="139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ht="19.5" customHeight="1">
      <c r="A156" s="1"/>
      <c r="B156" s="130">
        <v>14.0</v>
      </c>
      <c r="C156" s="131" t="s">
        <v>28</v>
      </c>
      <c r="D156" s="132" t="s">
        <v>209</v>
      </c>
      <c r="E156" s="133" t="s">
        <v>230</v>
      </c>
      <c r="F156" s="134"/>
      <c r="G156" s="135" t="s">
        <v>144</v>
      </c>
      <c r="H156" s="134"/>
      <c r="I156" s="134"/>
      <c r="J156" s="134"/>
      <c r="K156" s="134"/>
      <c r="L156" s="137">
        <f t="shared" si="119"/>
        <v>0.00465</v>
      </c>
      <c r="M156" s="138">
        <v>0.01724137931034483</v>
      </c>
      <c r="N156" s="132" t="s">
        <v>157</v>
      </c>
      <c r="O156" s="139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ht="19.5" customHeight="1">
      <c r="A157" s="1"/>
      <c r="B157" s="130"/>
      <c r="C157" s="131"/>
      <c r="D157" s="181"/>
      <c r="E157" s="182" t="s">
        <v>256</v>
      </c>
      <c r="F157" s="183"/>
      <c r="G157" s="185"/>
      <c r="H157" s="183"/>
      <c r="I157" s="183"/>
      <c r="J157" s="183"/>
      <c r="K157" s="186"/>
      <c r="L157" s="137">
        <f t="shared" si="119"/>
        <v>0.07</v>
      </c>
      <c r="M157" s="138">
        <v>0.2595476455320727</v>
      </c>
      <c r="N157" s="132"/>
      <c r="O157" s="139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ht="19.5" customHeight="1">
      <c r="A158" s="1"/>
      <c r="B158" s="191"/>
      <c r="C158" s="192"/>
      <c r="D158" s="45" t="s">
        <v>266</v>
      </c>
      <c r="E158" s="38"/>
      <c r="F158" s="38"/>
      <c r="G158" s="38"/>
      <c r="H158" s="38"/>
      <c r="I158" s="38"/>
      <c r="J158" s="38"/>
      <c r="K158" s="43"/>
      <c r="L158" s="194">
        <f>+SUM(L144:L157)</f>
        <v>1</v>
      </c>
      <c r="M158" s="197">
        <f>+SUM(M144:M156)/0.93</f>
        <v>3.707823508</v>
      </c>
      <c r="N158" s="199" t="s">
        <v>157</v>
      </c>
      <c r="O158" s="200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ht="19.5" customHeight="1">
      <c r="A159" s="1"/>
      <c r="B159" s="208" t="s">
        <v>273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40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ht="19.5" customHeight="1">
      <c r="A160" s="1"/>
      <c r="B160" s="211">
        <v>15.0</v>
      </c>
      <c r="C160" s="131" t="s">
        <v>28</v>
      </c>
      <c r="D160" s="212" t="s">
        <v>276</v>
      </c>
      <c r="E160" s="213" t="s">
        <v>277</v>
      </c>
      <c r="F160" s="214"/>
      <c r="G160" s="215" t="s">
        <v>144</v>
      </c>
      <c r="H160" s="214"/>
      <c r="I160" s="214"/>
      <c r="J160" s="214"/>
      <c r="K160" s="214"/>
      <c r="L160" s="216" t="s">
        <v>146</v>
      </c>
      <c r="M160" s="217">
        <f>$E$135*$E$136</f>
        <v>20</v>
      </c>
      <c r="N160" s="212" t="s">
        <v>278</v>
      </c>
      <c r="O160" s="219" t="s">
        <v>279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ht="19.5" customHeight="1">
      <c r="A161" s="1"/>
      <c r="B161" s="211">
        <v>16.0</v>
      </c>
      <c r="C161" s="131" t="s">
        <v>28</v>
      </c>
      <c r="D161" s="212" t="s">
        <v>282</v>
      </c>
      <c r="E161" s="213" t="s">
        <v>283</v>
      </c>
      <c r="F161" s="214"/>
      <c r="G161" s="215" t="s">
        <v>144</v>
      </c>
      <c r="H161" s="214"/>
      <c r="I161" s="214"/>
      <c r="J161" s="214"/>
      <c r="K161" s="214"/>
      <c r="L161" s="216" t="s">
        <v>146</v>
      </c>
      <c r="M161" s="217">
        <f t="shared" ref="M161:M162" si="120">$E$135</f>
        <v>1</v>
      </c>
      <c r="N161" s="212" t="s">
        <v>278</v>
      </c>
      <c r="O161" s="219" t="s">
        <v>284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ht="19.5" customHeight="1">
      <c r="A162" s="1"/>
      <c r="B162" s="211">
        <v>17.0</v>
      </c>
      <c r="C162" s="131" t="s">
        <v>28</v>
      </c>
      <c r="D162" s="212" t="s">
        <v>291</v>
      </c>
      <c r="E162" s="213" t="s">
        <v>292</v>
      </c>
      <c r="F162" s="214"/>
      <c r="G162" s="215" t="s">
        <v>144</v>
      </c>
      <c r="H162" s="214"/>
      <c r="I162" s="214"/>
      <c r="J162" s="214"/>
      <c r="K162" s="214"/>
      <c r="L162" s="216" t="s">
        <v>146</v>
      </c>
      <c r="M162" s="217">
        <f t="shared" si="120"/>
        <v>1</v>
      </c>
      <c r="N162" s="212" t="s">
        <v>278</v>
      </c>
      <c r="O162" s="219" t="s">
        <v>284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ht="19.5" customHeight="1">
      <c r="A164" s="1"/>
      <c r="B164" s="9"/>
      <c r="C164" s="229"/>
      <c r="D164" s="230" t="s">
        <v>379</v>
      </c>
      <c r="E164" s="13"/>
      <c r="F164" s="13"/>
      <c r="G164" s="13"/>
      <c r="H164" s="13"/>
      <c r="I164" s="13"/>
      <c r="J164" s="13"/>
      <c r="K164" s="13"/>
      <c r="L164" s="14"/>
      <c r="M164" s="15" t="s">
        <v>8</v>
      </c>
      <c r="N164" s="16"/>
      <c r="O164" s="17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ht="19.5" customHeight="1">
      <c r="A165" s="1"/>
      <c r="B165" s="22"/>
      <c r="C165" s="22"/>
      <c r="D165" s="24" t="s">
        <v>16</v>
      </c>
      <c r="E165" s="28">
        <f>SUMIFS('Plan de ventas'!$O$48:$O$60,'Plan de ventas'!$B$48:$B$60,D174)*1000</f>
        <v>30642.70692</v>
      </c>
      <c r="F165" s="29"/>
      <c r="G165" s="29"/>
      <c r="H165" s="29"/>
      <c r="I165" s="29"/>
      <c r="J165" s="29"/>
      <c r="K165" s="29"/>
      <c r="L165" s="29"/>
      <c r="M165" s="30"/>
      <c r="O165" s="3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ht="19.5" customHeight="1">
      <c r="A166" s="1"/>
      <c r="B166" s="45" t="s">
        <v>41</v>
      </c>
      <c r="C166" s="38"/>
      <c r="D166" s="43"/>
      <c r="E166" s="46">
        <v>1.0</v>
      </c>
      <c r="F166" s="47" t="str">
        <f>"Línea: Salados     |     Versión n°: 1"&amp;CHAR(10)&amp;CHAR(10)&amp;"Lote = "&amp;E166&amp;" cajas × "&amp;E167&amp;" unid./caja = "&amp;(E166*E167)&amp;" unidades"&amp;CHAR(10)&amp;"Producto terminado = "&amp;TEXT(E170,"#,##0.00")&amp;" kg"&amp;CHAR(10)&amp;"Mezcla a preparar = "&amp;TEXT(E171,"#,##0.00")&amp;" kg   (rendimiento "&amp;TEXT(E169,"0%")&amp;")"</f>
        <v>Línea: Salados     |     Versión n°: 1
Lote = 1 cajas × 20 unid./caja = 20 unidades
Producto terminado = 3,00 kg
Mezcla a preparar = 3,45 kg   (rendimiento 87%)</v>
      </c>
      <c r="G166" s="48"/>
      <c r="H166" s="48"/>
      <c r="I166" s="48"/>
      <c r="J166" s="48"/>
      <c r="K166" s="48"/>
      <c r="L166" s="49"/>
      <c r="M166" s="30"/>
      <c r="O166" s="3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ht="19.5" customHeight="1">
      <c r="A167" s="1"/>
      <c r="B167" s="45" t="s">
        <v>62</v>
      </c>
      <c r="C167" s="38"/>
      <c r="D167" s="43"/>
      <c r="E167" s="46">
        <v>20.0</v>
      </c>
      <c r="F167" s="65"/>
      <c r="L167" s="31"/>
      <c r="M167" s="30"/>
      <c r="O167" s="3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ht="19.5" customHeight="1">
      <c r="A168" s="1"/>
      <c r="B168" s="45" t="s">
        <v>75</v>
      </c>
      <c r="C168" s="38"/>
      <c r="D168" s="43"/>
      <c r="E168" s="46">
        <v>150.0</v>
      </c>
      <c r="F168" s="65"/>
      <c r="L168" s="31"/>
      <c r="M168" s="30"/>
      <c r="O168" s="3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ht="19.5" customHeight="1">
      <c r="A169" s="1"/>
      <c r="B169" s="45" t="s">
        <v>83</v>
      </c>
      <c r="C169" s="38"/>
      <c r="D169" s="43"/>
      <c r="E169" s="88">
        <v>0.87</v>
      </c>
      <c r="F169" s="65"/>
      <c r="L169" s="31"/>
      <c r="M169" s="30"/>
      <c r="O169" s="3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ht="19.5" customHeight="1">
      <c r="A170" s="1"/>
      <c r="B170" s="45" t="s">
        <v>88</v>
      </c>
      <c r="C170" s="38"/>
      <c r="D170" s="43"/>
      <c r="E170" s="92">
        <f>E166*E167*E168/1000</f>
        <v>3</v>
      </c>
      <c r="F170" s="65"/>
      <c r="L170" s="31"/>
      <c r="M170" s="30"/>
      <c r="O170" s="3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ht="19.5" customHeight="1">
      <c r="A171" s="1"/>
      <c r="B171" s="45" t="s">
        <v>96</v>
      </c>
      <c r="C171" s="38"/>
      <c r="D171" s="43"/>
      <c r="E171" s="92">
        <f>E170/E169</f>
        <v>3.448275862</v>
      </c>
      <c r="F171" s="98"/>
      <c r="G171" s="99"/>
      <c r="H171" s="99"/>
      <c r="I171" s="99"/>
      <c r="J171" s="99"/>
      <c r="K171" s="99"/>
      <c r="L171" s="100"/>
      <c r="M171" s="101"/>
      <c r="N171" s="99"/>
      <c r="O171" s="100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ht="19.5" customHeight="1">
      <c r="A172" s="1"/>
      <c r="B172" s="110" t="s">
        <v>113</v>
      </c>
      <c r="C172" s="233"/>
      <c r="D172" s="112" t="s">
        <v>321</v>
      </c>
      <c r="E172" s="112" t="s">
        <v>116</v>
      </c>
      <c r="F172" s="113" t="s">
        <v>117</v>
      </c>
      <c r="G172" s="38"/>
      <c r="H172" s="38"/>
      <c r="I172" s="38"/>
      <c r="J172" s="38"/>
      <c r="K172" s="40"/>
      <c r="L172" s="112" t="s">
        <v>46</v>
      </c>
      <c r="M172" s="112" t="s">
        <v>120</v>
      </c>
      <c r="N172" s="112" t="s">
        <v>121</v>
      </c>
      <c r="O172" s="112" t="s">
        <v>122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ht="19.5" customHeight="1">
      <c r="A173" s="1"/>
      <c r="B173" s="117"/>
      <c r="C173" s="233"/>
      <c r="D173" s="118"/>
      <c r="E173" s="118"/>
      <c r="F173" s="119" t="s">
        <v>129</v>
      </c>
      <c r="G173" s="119" t="s">
        <v>131</v>
      </c>
      <c r="H173" s="119" t="s">
        <v>132</v>
      </c>
      <c r="I173" s="119" t="s">
        <v>133</v>
      </c>
      <c r="J173" s="119" t="s">
        <v>134</v>
      </c>
      <c r="K173" s="119" t="s">
        <v>135</v>
      </c>
      <c r="L173" s="118"/>
      <c r="M173" s="118"/>
      <c r="N173" s="118"/>
      <c r="O173" s="118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ht="19.5" customHeight="1">
      <c r="A174" s="1"/>
      <c r="B174" s="234">
        <v>1.0</v>
      </c>
      <c r="C174" s="235"/>
      <c r="D174" s="236" t="s">
        <v>29</v>
      </c>
      <c r="E174" s="237" t="s">
        <v>380</v>
      </c>
      <c r="F174" s="124" t="s">
        <v>144</v>
      </c>
      <c r="G174" s="126"/>
      <c r="H174" s="126"/>
      <c r="I174" s="126"/>
      <c r="J174" s="126"/>
      <c r="K174" s="126"/>
      <c r="L174" s="238" t="s">
        <v>146</v>
      </c>
      <c r="M174" s="239">
        <f>$E$166</f>
        <v>1</v>
      </c>
      <c r="N174" s="236" t="s">
        <v>147</v>
      </c>
      <c r="O174" s="240" t="s">
        <v>148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ht="19.5" customHeight="1">
      <c r="A175" s="1"/>
      <c r="B175" s="130">
        <v>2.0</v>
      </c>
      <c r="C175" s="131" t="s">
        <v>29</v>
      </c>
      <c r="D175" s="132" t="s">
        <v>123</v>
      </c>
      <c r="E175" s="133" t="s">
        <v>163</v>
      </c>
      <c r="F175" s="134"/>
      <c r="G175" s="135" t="s">
        <v>144</v>
      </c>
      <c r="H175" s="134"/>
      <c r="I175" s="134"/>
      <c r="J175" s="134"/>
      <c r="K175" s="134"/>
      <c r="L175" s="137">
        <f t="shared" ref="L175:L188" si="121">+M175/$M$189</f>
        <v>0.2325</v>
      </c>
      <c r="M175" s="138">
        <v>0.8620689655172414</v>
      </c>
      <c r="N175" s="132" t="s">
        <v>157</v>
      </c>
      <c r="O175" s="139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ht="19.5" customHeight="1">
      <c r="A176" s="1"/>
      <c r="B176" s="130">
        <v>3.0</v>
      </c>
      <c r="C176" s="131" t="s">
        <v>29</v>
      </c>
      <c r="D176" s="132" t="s">
        <v>286</v>
      </c>
      <c r="E176" s="133" t="s">
        <v>371</v>
      </c>
      <c r="F176" s="134"/>
      <c r="G176" s="135" t="s">
        <v>144</v>
      </c>
      <c r="H176" s="134"/>
      <c r="I176" s="134"/>
      <c r="J176" s="134"/>
      <c r="K176" s="134"/>
      <c r="L176" s="137">
        <f t="shared" si="121"/>
        <v>0.1767</v>
      </c>
      <c r="M176" s="138">
        <v>0.6551724137931035</v>
      </c>
      <c r="N176" s="132" t="s">
        <v>157</v>
      </c>
      <c r="O176" s="139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ht="19.5" customHeight="1">
      <c r="A177" s="1"/>
      <c r="B177" s="130">
        <v>4.0</v>
      </c>
      <c r="C177" s="131" t="s">
        <v>29</v>
      </c>
      <c r="D177" s="132" t="s">
        <v>293</v>
      </c>
      <c r="E177" s="133" t="s">
        <v>372</v>
      </c>
      <c r="F177" s="134"/>
      <c r="G177" s="135" t="s">
        <v>144</v>
      </c>
      <c r="H177" s="134"/>
      <c r="I177" s="134"/>
      <c r="J177" s="134"/>
      <c r="K177" s="134"/>
      <c r="L177" s="137">
        <f t="shared" si="121"/>
        <v>0.1302</v>
      </c>
      <c r="M177" s="138">
        <v>0.48275862068965525</v>
      </c>
      <c r="N177" s="132" t="s">
        <v>157</v>
      </c>
      <c r="O177" s="139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ht="19.5" customHeight="1">
      <c r="A178" s="1"/>
      <c r="B178" s="130">
        <v>5.0</v>
      </c>
      <c r="C178" s="131" t="s">
        <v>29</v>
      </c>
      <c r="D178" s="132" t="s">
        <v>314</v>
      </c>
      <c r="E178" s="133" t="s">
        <v>381</v>
      </c>
      <c r="F178" s="134"/>
      <c r="G178" s="135" t="s">
        <v>144</v>
      </c>
      <c r="H178" s="134"/>
      <c r="I178" s="134"/>
      <c r="J178" s="134"/>
      <c r="K178" s="134"/>
      <c r="L178" s="137">
        <f t="shared" si="121"/>
        <v>0.1116</v>
      </c>
      <c r="M178" s="138">
        <v>0.41379310344827586</v>
      </c>
      <c r="N178" s="132" t="s">
        <v>157</v>
      </c>
      <c r="O178" s="139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ht="19.5" customHeight="1">
      <c r="A179" s="1"/>
      <c r="B179" s="130">
        <v>6.0</v>
      </c>
      <c r="C179" s="131" t="s">
        <v>29</v>
      </c>
      <c r="D179" s="132" t="s">
        <v>316</v>
      </c>
      <c r="E179" s="133" t="s">
        <v>382</v>
      </c>
      <c r="F179" s="134"/>
      <c r="G179" s="135" t="s">
        <v>144</v>
      </c>
      <c r="H179" s="134"/>
      <c r="I179" s="134"/>
      <c r="J179" s="134"/>
      <c r="K179" s="134"/>
      <c r="L179" s="137">
        <f t="shared" si="121"/>
        <v>0.093</v>
      </c>
      <c r="M179" s="138">
        <v>0.3448275862068966</v>
      </c>
      <c r="N179" s="132" t="s">
        <v>157</v>
      </c>
      <c r="O179" s="139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ht="19.5" customHeight="1">
      <c r="A180" s="1"/>
      <c r="B180" s="130">
        <v>7.0</v>
      </c>
      <c r="C180" s="131" t="s">
        <v>29</v>
      </c>
      <c r="D180" s="132" t="s">
        <v>299</v>
      </c>
      <c r="E180" s="133" t="s">
        <v>374</v>
      </c>
      <c r="F180" s="134"/>
      <c r="G180" s="135" t="s">
        <v>144</v>
      </c>
      <c r="H180" s="134"/>
      <c r="I180" s="134"/>
      <c r="J180" s="134"/>
      <c r="K180" s="134"/>
      <c r="L180" s="137">
        <f t="shared" si="121"/>
        <v>0.0558</v>
      </c>
      <c r="M180" s="138">
        <v>0.20689655172413793</v>
      </c>
      <c r="N180" s="132" t="s">
        <v>157</v>
      </c>
      <c r="O180" s="139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ht="19.5" customHeight="1">
      <c r="A181" s="1"/>
      <c r="B181" s="130">
        <v>8.0</v>
      </c>
      <c r="C181" s="131" t="s">
        <v>29</v>
      </c>
      <c r="D181" s="132" t="s">
        <v>158</v>
      </c>
      <c r="E181" s="133" t="s">
        <v>208</v>
      </c>
      <c r="F181" s="134"/>
      <c r="G181" s="135" t="s">
        <v>144</v>
      </c>
      <c r="H181" s="134"/>
      <c r="I181" s="134"/>
      <c r="J181" s="134"/>
      <c r="K181" s="134"/>
      <c r="L181" s="137">
        <f t="shared" si="121"/>
        <v>0.0465</v>
      </c>
      <c r="M181" s="138">
        <v>0.1724137931034483</v>
      </c>
      <c r="N181" s="132" t="s">
        <v>157</v>
      </c>
      <c r="O181" s="139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ht="19.5" customHeight="1">
      <c r="A182" s="1"/>
      <c r="B182" s="130">
        <v>9.0</v>
      </c>
      <c r="C182" s="131" t="s">
        <v>29</v>
      </c>
      <c r="D182" s="132" t="s">
        <v>305</v>
      </c>
      <c r="E182" s="133" t="s">
        <v>376</v>
      </c>
      <c r="F182" s="134"/>
      <c r="G182" s="135" t="s">
        <v>144</v>
      </c>
      <c r="H182" s="134"/>
      <c r="I182" s="134"/>
      <c r="J182" s="134"/>
      <c r="K182" s="134"/>
      <c r="L182" s="137">
        <f t="shared" si="121"/>
        <v>0.0372</v>
      </c>
      <c r="M182" s="138">
        <v>0.13793103448275865</v>
      </c>
      <c r="N182" s="132" t="s">
        <v>157</v>
      </c>
      <c r="O182" s="139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ht="19.5" customHeight="1">
      <c r="A183" s="1"/>
      <c r="B183" s="130">
        <v>10.0</v>
      </c>
      <c r="C183" s="131" t="s">
        <v>29</v>
      </c>
      <c r="D183" s="132" t="s">
        <v>76</v>
      </c>
      <c r="E183" s="133" t="s">
        <v>218</v>
      </c>
      <c r="F183" s="134"/>
      <c r="G183" s="135" t="s">
        <v>144</v>
      </c>
      <c r="H183" s="134"/>
      <c r="I183" s="134"/>
      <c r="J183" s="134"/>
      <c r="K183" s="134"/>
      <c r="L183" s="137">
        <f t="shared" si="121"/>
        <v>0.01395</v>
      </c>
      <c r="M183" s="138">
        <v>0.05172413793103448</v>
      </c>
      <c r="N183" s="132" t="s">
        <v>157</v>
      </c>
      <c r="O183" s="139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ht="19.5" customHeight="1">
      <c r="A184" s="1"/>
      <c r="B184" s="130">
        <v>11.0</v>
      </c>
      <c r="C184" s="131" t="s">
        <v>29</v>
      </c>
      <c r="D184" s="132" t="s">
        <v>307</v>
      </c>
      <c r="E184" s="133" t="s">
        <v>377</v>
      </c>
      <c r="F184" s="134"/>
      <c r="G184" s="135" t="s">
        <v>144</v>
      </c>
      <c r="H184" s="134"/>
      <c r="I184" s="134"/>
      <c r="J184" s="134"/>
      <c r="K184" s="134"/>
      <c r="L184" s="137">
        <f t="shared" si="121"/>
        <v>0.0093</v>
      </c>
      <c r="M184" s="138">
        <v>0.03448275862068966</v>
      </c>
      <c r="N184" s="132" t="s">
        <v>157</v>
      </c>
      <c r="O184" s="139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ht="19.5" customHeight="1">
      <c r="A185" s="1"/>
      <c r="B185" s="130">
        <v>12.0</v>
      </c>
      <c r="C185" s="131" t="s">
        <v>29</v>
      </c>
      <c r="D185" s="132" t="s">
        <v>89</v>
      </c>
      <c r="E185" s="133" t="s">
        <v>214</v>
      </c>
      <c r="F185" s="134"/>
      <c r="G185" s="135" t="s">
        <v>144</v>
      </c>
      <c r="H185" s="134"/>
      <c r="I185" s="134"/>
      <c r="J185" s="134"/>
      <c r="K185" s="134"/>
      <c r="L185" s="137">
        <f t="shared" si="121"/>
        <v>0.0093</v>
      </c>
      <c r="M185" s="138">
        <v>0.03448275862068966</v>
      </c>
      <c r="N185" s="132" t="s">
        <v>157</v>
      </c>
      <c r="O185" s="139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ht="19.5" customHeight="1">
      <c r="A186" s="1"/>
      <c r="B186" s="130">
        <v>13.0</v>
      </c>
      <c r="C186" s="131" t="s">
        <v>29</v>
      </c>
      <c r="D186" s="132" t="s">
        <v>309</v>
      </c>
      <c r="E186" s="133" t="s">
        <v>378</v>
      </c>
      <c r="F186" s="134"/>
      <c r="G186" s="135" t="s">
        <v>144</v>
      </c>
      <c r="H186" s="134"/>
      <c r="I186" s="134"/>
      <c r="J186" s="134"/>
      <c r="K186" s="134"/>
      <c r="L186" s="137">
        <f t="shared" si="121"/>
        <v>0.0093</v>
      </c>
      <c r="M186" s="138">
        <v>0.03448275862068966</v>
      </c>
      <c r="N186" s="132" t="s">
        <v>157</v>
      </c>
      <c r="O186" s="139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ht="19.5" customHeight="1">
      <c r="A187" s="1"/>
      <c r="B187" s="130">
        <v>14.0</v>
      </c>
      <c r="C187" s="131" t="s">
        <v>29</v>
      </c>
      <c r="D187" s="132" t="s">
        <v>209</v>
      </c>
      <c r="E187" s="133" t="s">
        <v>230</v>
      </c>
      <c r="F187" s="134"/>
      <c r="G187" s="135" t="s">
        <v>144</v>
      </c>
      <c r="H187" s="134"/>
      <c r="I187" s="134"/>
      <c r="J187" s="134"/>
      <c r="K187" s="134"/>
      <c r="L187" s="137">
        <f t="shared" si="121"/>
        <v>0.00465</v>
      </c>
      <c r="M187" s="138">
        <v>0.01724137931034483</v>
      </c>
      <c r="N187" s="132" t="s">
        <v>157</v>
      </c>
      <c r="O187" s="139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ht="19.5" customHeight="1">
      <c r="A188" s="1"/>
      <c r="B188" s="130"/>
      <c r="C188" s="131"/>
      <c r="D188" s="181"/>
      <c r="E188" s="182" t="s">
        <v>256</v>
      </c>
      <c r="F188" s="183"/>
      <c r="G188" s="185"/>
      <c r="H188" s="183"/>
      <c r="I188" s="183"/>
      <c r="J188" s="183"/>
      <c r="K188" s="186"/>
      <c r="L188" s="137">
        <f t="shared" si="121"/>
        <v>0.07</v>
      </c>
      <c r="M188" s="138">
        <f>+M189*0.07</f>
        <v>0.2595476455</v>
      </c>
      <c r="N188" s="132"/>
      <c r="O188" s="139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ht="19.5" customHeight="1">
      <c r="A189" s="1"/>
      <c r="B189" s="191"/>
      <c r="C189" s="192"/>
      <c r="D189" s="45" t="s">
        <v>266</v>
      </c>
      <c r="E189" s="38"/>
      <c r="F189" s="38"/>
      <c r="G189" s="38"/>
      <c r="H189" s="38"/>
      <c r="I189" s="38"/>
      <c r="J189" s="38"/>
      <c r="K189" s="43"/>
      <c r="L189" s="194">
        <f>+SUM(L175:L188)</f>
        <v>1</v>
      </c>
      <c r="M189" s="197">
        <f>+SUM(M175:M187)/0.93</f>
        <v>3.707823508</v>
      </c>
      <c r="N189" s="199" t="s">
        <v>157</v>
      </c>
      <c r="O189" s="200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ht="19.5" customHeight="1">
      <c r="A190" s="1"/>
      <c r="B190" s="208" t="s">
        <v>273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40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ht="19.5" customHeight="1">
      <c r="A191" s="1"/>
      <c r="B191" s="211">
        <v>15.0</v>
      </c>
      <c r="C191" s="131" t="s">
        <v>29</v>
      </c>
      <c r="D191" s="212" t="s">
        <v>276</v>
      </c>
      <c r="E191" s="213" t="s">
        <v>277</v>
      </c>
      <c r="F191" s="214"/>
      <c r="G191" s="215" t="s">
        <v>144</v>
      </c>
      <c r="H191" s="214"/>
      <c r="I191" s="214"/>
      <c r="J191" s="214"/>
      <c r="K191" s="214"/>
      <c r="L191" s="216" t="s">
        <v>146</v>
      </c>
      <c r="M191" s="217">
        <f>$E$166*$E$167</f>
        <v>20</v>
      </c>
      <c r="N191" s="212" t="s">
        <v>278</v>
      </c>
      <c r="O191" s="219" t="s">
        <v>279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ht="19.5" customHeight="1">
      <c r="A192" s="1"/>
      <c r="B192" s="211">
        <v>16.0</v>
      </c>
      <c r="C192" s="131" t="s">
        <v>29</v>
      </c>
      <c r="D192" s="212" t="s">
        <v>282</v>
      </c>
      <c r="E192" s="213" t="s">
        <v>283</v>
      </c>
      <c r="F192" s="214"/>
      <c r="G192" s="215" t="s">
        <v>144</v>
      </c>
      <c r="H192" s="214"/>
      <c r="I192" s="214"/>
      <c r="J192" s="214"/>
      <c r="K192" s="214"/>
      <c r="L192" s="216" t="s">
        <v>146</v>
      </c>
      <c r="M192" s="217">
        <f t="shared" ref="M192:M193" si="122">$E$166</f>
        <v>1</v>
      </c>
      <c r="N192" s="212" t="s">
        <v>278</v>
      </c>
      <c r="O192" s="219" t="s">
        <v>284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ht="19.5" customHeight="1">
      <c r="A193" s="1"/>
      <c r="B193" s="211">
        <v>17.0</v>
      </c>
      <c r="C193" s="131" t="s">
        <v>29</v>
      </c>
      <c r="D193" s="212" t="s">
        <v>291</v>
      </c>
      <c r="E193" s="213" t="s">
        <v>292</v>
      </c>
      <c r="F193" s="214"/>
      <c r="G193" s="215" t="s">
        <v>144</v>
      </c>
      <c r="H193" s="214"/>
      <c r="I193" s="214"/>
      <c r="J193" s="214"/>
      <c r="K193" s="214"/>
      <c r="L193" s="216" t="s">
        <v>146</v>
      </c>
      <c r="M193" s="217">
        <f t="shared" si="122"/>
        <v>1</v>
      </c>
      <c r="N193" s="212" t="s">
        <v>278</v>
      </c>
      <c r="O193" s="219" t="s">
        <v>284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ht="19.5" customHeight="1">
      <c r="A195" s="1"/>
      <c r="B195" s="9"/>
      <c r="C195" s="229"/>
      <c r="D195" s="230" t="s">
        <v>423</v>
      </c>
      <c r="E195" s="13"/>
      <c r="F195" s="13"/>
      <c r="G195" s="13"/>
      <c r="H195" s="13"/>
      <c r="I195" s="13"/>
      <c r="J195" s="13"/>
      <c r="K195" s="13"/>
      <c r="L195" s="14"/>
      <c r="M195" s="15" t="s">
        <v>8</v>
      </c>
      <c r="N195" s="16"/>
      <c r="O195" s="17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ht="19.5" customHeight="1">
      <c r="A196" s="1"/>
      <c r="B196" s="22"/>
      <c r="C196" s="22"/>
      <c r="D196" s="24" t="s">
        <v>16</v>
      </c>
      <c r="E196" s="28">
        <f>SUMIFS('Plan de ventas'!$O$48:$O$60,'Plan de ventas'!$B$48:$B$60,D205)*1000</f>
        <v>22729.35552</v>
      </c>
      <c r="F196" s="29"/>
      <c r="G196" s="29"/>
      <c r="H196" s="29"/>
      <c r="I196" s="29"/>
      <c r="J196" s="29"/>
      <c r="K196" s="29"/>
      <c r="L196" s="29"/>
      <c r="M196" s="30"/>
      <c r="O196" s="3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ht="19.5" customHeight="1">
      <c r="A197" s="1"/>
      <c r="B197" s="45" t="s">
        <v>41</v>
      </c>
      <c r="C197" s="38"/>
      <c r="D197" s="43"/>
      <c r="E197" s="46">
        <v>1.0</v>
      </c>
      <c r="F197" s="47" t="str">
        <f>"Línea: Free     |     Versión n°: 1"&amp;CHAR(10)&amp;CHAR(10)&amp;"Lote = "&amp;E197&amp;" cajas × "&amp;E198&amp;" unid./caja = "&amp;(E197*E198)&amp;" unidades"&amp;CHAR(10)&amp;"Producto terminado = "&amp;TEXT(E201,"#,##0.00")&amp;" kg"&amp;CHAR(10)&amp;"Mezcla a preparar = "&amp;TEXT(E202,"#,##0.00")&amp;" kg   (rendimiento "&amp;TEXT(E200,"0%")&amp;")"</f>
        <v>Línea: Free     |     Versión n°: 1
Lote = 1 cajas × 20 unid./caja = 20 unidades
Producto terminado = 3,00 kg
Mezcla a preparar = 3,49 kg   (rendimiento 86%)</v>
      </c>
      <c r="G197" s="48"/>
      <c r="H197" s="48"/>
      <c r="I197" s="48"/>
      <c r="J197" s="48"/>
      <c r="K197" s="48"/>
      <c r="L197" s="49"/>
      <c r="M197" s="30"/>
      <c r="O197" s="3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ht="19.5" customHeight="1">
      <c r="A198" s="1"/>
      <c r="B198" s="45" t="s">
        <v>62</v>
      </c>
      <c r="C198" s="38"/>
      <c r="D198" s="43"/>
      <c r="E198" s="46">
        <v>20.0</v>
      </c>
      <c r="F198" s="65"/>
      <c r="L198" s="31"/>
      <c r="M198" s="30"/>
      <c r="O198" s="3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ht="19.5" customHeight="1">
      <c r="A199" s="1"/>
      <c r="B199" s="45" t="s">
        <v>75</v>
      </c>
      <c r="C199" s="38"/>
      <c r="D199" s="43"/>
      <c r="E199" s="46">
        <v>150.0</v>
      </c>
      <c r="F199" s="65"/>
      <c r="L199" s="31"/>
      <c r="M199" s="30"/>
      <c r="O199" s="3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ht="19.5" customHeight="1">
      <c r="A200" s="1"/>
      <c r="B200" s="45" t="s">
        <v>83</v>
      </c>
      <c r="C200" s="38"/>
      <c r="D200" s="43"/>
      <c r="E200" s="88">
        <v>0.86</v>
      </c>
      <c r="F200" s="65"/>
      <c r="L200" s="31"/>
      <c r="M200" s="30"/>
      <c r="O200" s="3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ht="19.5" customHeight="1">
      <c r="A201" s="1"/>
      <c r="B201" s="45" t="s">
        <v>88</v>
      </c>
      <c r="C201" s="38"/>
      <c r="D201" s="43"/>
      <c r="E201" s="92">
        <f>E197*E198*E199/1000</f>
        <v>3</v>
      </c>
      <c r="F201" s="65"/>
      <c r="L201" s="31"/>
      <c r="M201" s="30"/>
      <c r="O201" s="3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ht="19.5" customHeight="1">
      <c r="A202" s="1"/>
      <c r="B202" s="45" t="s">
        <v>96</v>
      </c>
      <c r="C202" s="38"/>
      <c r="D202" s="43"/>
      <c r="E202" s="92">
        <f>E201/E200</f>
        <v>3.488372093</v>
      </c>
      <c r="F202" s="98"/>
      <c r="G202" s="99"/>
      <c r="H202" s="99"/>
      <c r="I202" s="99"/>
      <c r="J202" s="99"/>
      <c r="K202" s="99"/>
      <c r="L202" s="100"/>
      <c r="M202" s="101"/>
      <c r="N202" s="99"/>
      <c r="O202" s="100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ht="19.5" customHeight="1">
      <c r="A203" s="1"/>
      <c r="B203" s="110" t="s">
        <v>113</v>
      </c>
      <c r="C203" s="233"/>
      <c r="D203" s="112" t="s">
        <v>321</v>
      </c>
      <c r="E203" s="112" t="s">
        <v>116</v>
      </c>
      <c r="F203" s="113" t="s">
        <v>117</v>
      </c>
      <c r="G203" s="38"/>
      <c r="H203" s="38"/>
      <c r="I203" s="38"/>
      <c r="J203" s="38"/>
      <c r="K203" s="40"/>
      <c r="L203" s="112" t="s">
        <v>46</v>
      </c>
      <c r="M203" s="112" t="s">
        <v>120</v>
      </c>
      <c r="N203" s="112" t="s">
        <v>121</v>
      </c>
      <c r="O203" s="112" t="s">
        <v>122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ht="19.5" customHeight="1">
      <c r="A204" s="1"/>
      <c r="B204" s="117"/>
      <c r="C204" s="233"/>
      <c r="D204" s="118"/>
      <c r="E204" s="118"/>
      <c r="F204" s="119" t="s">
        <v>129</v>
      </c>
      <c r="G204" s="119" t="s">
        <v>131</v>
      </c>
      <c r="H204" s="119" t="s">
        <v>132</v>
      </c>
      <c r="I204" s="119" t="s">
        <v>133</v>
      </c>
      <c r="J204" s="119" t="s">
        <v>134</v>
      </c>
      <c r="K204" s="119" t="s">
        <v>135</v>
      </c>
      <c r="L204" s="118"/>
      <c r="M204" s="118"/>
      <c r="N204" s="118"/>
      <c r="O204" s="118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ht="19.5" customHeight="1">
      <c r="A205" s="1"/>
      <c r="B205" s="234">
        <v>1.0</v>
      </c>
      <c r="C205" s="235"/>
      <c r="D205" s="236" t="s">
        <v>30</v>
      </c>
      <c r="E205" s="237" t="s">
        <v>439</v>
      </c>
      <c r="F205" s="124" t="s">
        <v>144</v>
      </c>
      <c r="G205" s="126"/>
      <c r="H205" s="126"/>
      <c r="I205" s="126"/>
      <c r="J205" s="126"/>
      <c r="K205" s="126"/>
      <c r="L205" s="238" t="s">
        <v>146</v>
      </c>
      <c r="M205" s="239">
        <f>$E$197</f>
        <v>1</v>
      </c>
      <c r="N205" s="236" t="s">
        <v>147</v>
      </c>
      <c r="O205" s="240" t="s">
        <v>148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ht="19.5" customHeight="1">
      <c r="A206" s="1"/>
      <c r="B206" s="130">
        <v>2.0</v>
      </c>
      <c r="C206" s="131" t="s">
        <v>30</v>
      </c>
      <c r="D206" s="132" t="s">
        <v>63</v>
      </c>
      <c r="E206" s="133" t="s">
        <v>153</v>
      </c>
      <c r="F206" s="134"/>
      <c r="G206" s="135" t="s">
        <v>144</v>
      </c>
      <c r="H206" s="134"/>
      <c r="I206" s="134"/>
      <c r="J206" s="134"/>
      <c r="K206" s="134"/>
      <c r="L206" s="137">
        <f t="shared" ref="L206:L219" si="123">+M206/$M$220</f>
        <v>0.2232</v>
      </c>
      <c r="M206" s="138">
        <v>0.8372093023255813</v>
      </c>
      <c r="N206" s="132" t="s">
        <v>157</v>
      </c>
      <c r="O206" s="139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ht="19.5" customHeight="1">
      <c r="A207" s="1"/>
      <c r="B207" s="130">
        <v>3.0</v>
      </c>
      <c r="C207" s="131" t="s">
        <v>30</v>
      </c>
      <c r="D207" s="132" t="s">
        <v>123</v>
      </c>
      <c r="E207" s="133" t="s">
        <v>163</v>
      </c>
      <c r="F207" s="134"/>
      <c r="G207" s="135" t="s">
        <v>144</v>
      </c>
      <c r="H207" s="134"/>
      <c r="I207" s="134"/>
      <c r="J207" s="134"/>
      <c r="K207" s="134"/>
      <c r="L207" s="137">
        <f t="shared" si="123"/>
        <v>0.2046</v>
      </c>
      <c r="M207" s="138">
        <v>0.7674418604651163</v>
      </c>
      <c r="N207" s="132" t="s">
        <v>157</v>
      </c>
      <c r="O207" s="139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ht="19.5" customHeight="1">
      <c r="A208" s="1"/>
      <c r="B208" s="130">
        <v>4.0</v>
      </c>
      <c r="C208" s="131" t="s">
        <v>30</v>
      </c>
      <c r="D208" s="132" t="s">
        <v>219</v>
      </c>
      <c r="E208" s="133" t="s">
        <v>334</v>
      </c>
      <c r="F208" s="134"/>
      <c r="G208" s="135" t="s">
        <v>144</v>
      </c>
      <c r="H208" s="134"/>
      <c r="I208" s="134"/>
      <c r="J208" s="134"/>
      <c r="K208" s="134"/>
      <c r="L208" s="137">
        <f t="shared" si="123"/>
        <v>0.1488</v>
      </c>
      <c r="M208" s="138">
        <v>0.5581395348837209</v>
      </c>
      <c r="N208" s="132" t="s">
        <v>157</v>
      </c>
      <c r="O208" s="139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ht="19.5" customHeight="1">
      <c r="A209" s="1"/>
      <c r="B209" s="130">
        <v>5.0</v>
      </c>
      <c r="C209" s="131" t="s">
        <v>30</v>
      </c>
      <c r="D209" s="132" t="s">
        <v>149</v>
      </c>
      <c r="E209" s="133" t="s">
        <v>171</v>
      </c>
      <c r="F209" s="134"/>
      <c r="G209" s="135" t="s">
        <v>144</v>
      </c>
      <c r="H209" s="134"/>
      <c r="I209" s="134"/>
      <c r="J209" s="134"/>
      <c r="K209" s="134"/>
      <c r="L209" s="137">
        <f t="shared" si="123"/>
        <v>0.1209</v>
      </c>
      <c r="M209" s="138">
        <v>0.4534883720930233</v>
      </c>
      <c r="N209" s="132" t="s">
        <v>157</v>
      </c>
      <c r="O209" s="139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ht="19.5" customHeight="1">
      <c r="A210" s="1"/>
      <c r="B210" s="130">
        <v>6.0</v>
      </c>
      <c r="C210" s="131" t="s">
        <v>30</v>
      </c>
      <c r="D210" s="132" t="s">
        <v>164</v>
      </c>
      <c r="E210" s="133" t="s">
        <v>337</v>
      </c>
      <c r="F210" s="134"/>
      <c r="G210" s="135" t="s">
        <v>144</v>
      </c>
      <c r="H210" s="134"/>
      <c r="I210" s="134"/>
      <c r="J210" s="134"/>
      <c r="K210" s="134"/>
      <c r="L210" s="137">
        <f t="shared" si="123"/>
        <v>0.0558</v>
      </c>
      <c r="M210" s="138">
        <v>0.20930232558139533</v>
      </c>
      <c r="N210" s="132" t="s">
        <v>157</v>
      </c>
      <c r="O210" s="139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ht="19.5" customHeight="1">
      <c r="A211" s="1"/>
      <c r="B211" s="130">
        <v>7.0</v>
      </c>
      <c r="C211" s="131" t="s">
        <v>30</v>
      </c>
      <c r="D211" s="132" t="s">
        <v>231</v>
      </c>
      <c r="E211" s="133" t="s">
        <v>341</v>
      </c>
      <c r="F211" s="134"/>
      <c r="G211" s="135" t="s">
        <v>144</v>
      </c>
      <c r="H211" s="134"/>
      <c r="I211" s="134"/>
      <c r="J211" s="134"/>
      <c r="K211" s="134"/>
      <c r="L211" s="137">
        <f t="shared" si="123"/>
        <v>0.0558</v>
      </c>
      <c r="M211" s="138">
        <v>0.20930232558139533</v>
      </c>
      <c r="N211" s="132" t="s">
        <v>157</v>
      </c>
      <c r="O211" s="139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ht="19.5" customHeight="1">
      <c r="A212" s="1"/>
      <c r="B212" s="130">
        <v>8.0</v>
      </c>
      <c r="C212" s="131" t="s">
        <v>30</v>
      </c>
      <c r="D212" s="132" t="s">
        <v>319</v>
      </c>
      <c r="E212" s="133" t="s">
        <v>459</v>
      </c>
      <c r="F212" s="134"/>
      <c r="G212" s="135" t="s">
        <v>144</v>
      </c>
      <c r="H212" s="134"/>
      <c r="I212" s="134"/>
      <c r="J212" s="134"/>
      <c r="K212" s="134"/>
      <c r="L212" s="137">
        <f t="shared" si="123"/>
        <v>0.0372</v>
      </c>
      <c r="M212" s="138">
        <v>0.13953488372093023</v>
      </c>
      <c r="N212" s="132" t="s">
        <v>157</v>
      </c>
      <c r="O212" s="139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ht="19.5" customHeight="1">
      <c r="A213" s="1"/>
      <c r="B213" s="130">
        <v>9.0</v>
      </c>
      <c r="C213" s="131" t="s">
        <v>30</v>
      </c>
      <c r="D213" s="132" t="s">
        <v>239</v>
      </c>
      <c r="E213" s="133" t="s">
        <v>343</v>
      </c>
      <c r="F213" s="134"/>
      <c r="G213" s="135" t="s">
        <v>144</v>
      </c>
      <c r="H213" s="134"/>
      <c r="I213" s="134"/>
      <c r="J213" s="134"/>
      <c r="K213" s="134"/>
      <c r="L213" s="137">
        <f t="shared" si="123"/>
        <v>0.0279</v>
      </c>
      <c r="M213" s="138">
        <v>0.10465116279069767</v>
      </c>
      <c r="N213" s="132" t="s">
        <v>157</v>
      </c>
      <c r="O213" s="139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ht="19.5" customHeight="1">
      <c r="A214" s="1"/>
      <c r="B214" s="130">
        <v>10.0</v>
      </c>
      <c r="C214" s="131" t="s">
        <v>30</v>
      </c>
      <c r="D214" s="132" t="s">
        <v>309</v>
      </c>
      <c r="E214" s="133" t="s">
        <v>378</v>
      </c>
      <c r="F214" s="134"/>
      <c r="G214" s="135" t="s">
        <v>144</v>
      </c>
      <c r="H214" s="134"/>
      <c r="I214" s="134"/>
      <c r="J214" s="134"/>
      <c r="K214" s="134"/>
      <c r="L214" s="137">
        <f t="shared" si="123"/>
        <v>0.0186</v>
      </c>
      <c r="M214" s="138">
        <v>0.06976744186046512</v>
      </c>
      <c r="N214" s="132" t="s">
        <v>157</v>
      </c>
      <c r="O214" s="139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ht="19.5" customHeight="1">
      <c r="A215" s="1"/>
      <c r="B215" s="130">
        <v>11.0</v>
      </c>
      <c r="C215" s="131" t="s">
        <v>30</v>
      </c>
      <c r="D215" s="132" t="s">
        <v>84</v>
      </c>
      <c r="E215" s="133" t="s">
        <v>225</v>
      </c>
      <c r="F215" s="134"/>
      <c r="G215" s="135" t="s">
        <v>144</v>
      </c>
      <c r="H215" s="134"/>
      <c r="I215" s="134"/>
      <c r="J215" s="134"/>
      <c r="K215" s="134"/>
      <c r="L215" s="137">
        <f t="shared" si="123"/>
        <v>0.01395</v>
      </c>
      <c r="M215" s="138">
        <v>0.05232558139534883</v>
      </c>
      <c r="N215" s="132" t="s">
        <v>157</v>
      </c>
      <c r="O215" s="139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ht="19.5" customHeight="1">
      <c r="A216" s="1"/>
      <c r="B216" s="130">
        <v>12.0</v>
      </c>
      <c r="C216" s="131" t="s">
        <v>30</v>
      </c>
      <c r="D216" s="132" t="s">
        <v>89</v>
      </c>
      <c r="E216" s="133" t="s">
        <v>214</v>
      </c>
      <c r="F216" s="134"/>
      <c r="G216" s="135" t="s">
        <v>144</v>
      </c>
      <c r="H216" s="134"/>
      <c r="I216" s="134"/>
      <c r="J216" s="134"/>
      <c r="K216" s="134"/>
      <c r="L216" s="137">
        <f t="shared" si="123"/>
        <v>0.0093</v>
      </c>
      <c r="M216" s="138">
        <v>0.03488372093023256</v>
      </c>
      <c r="N216" s="132" t="s">
        <v>157</v>
      </c>
      <c r="O216" s="139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ht="19.5" customHeight="1">
      <c r="A217" s="1"/>
      <c r="B217" s="130">
        <v>13.0</v>
      </c>
      <c r="C217" s="131" t="s">
        <v>30</v>
      </c>
      <c r="D217" s="132" t="s">
        <v>105</v>
      </c>
      <c r="E217" s="133" t="s">
        <v>473</v>
      </c>
      <c r="F217" s="134"/>
      <c r="G217" s="135" t="s">
        <v>144</v>
      </c>
      <c r="H217" s="134"/>
      <c r="I217" s="134"/>
      <c r="J217" s="134"/>
      <c r="K217" s="134"/>
      <c r="L217" s="137">
        <f t="shared" si="123"/>
        <v>0.0093</v>
      </c>
      <c r="M217" s="138">
        <v>0.03488372093023256</v>
      </c>
      <c r="N217" s="132" t="s">
        <v>157</v>
      </c>
      <c r="O217" s="139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ht="19.5" customHeight="1">
      <c r="A218" s="1"/>
      <c r="B218" s="130">
        <v>14.0</v>
      </c>
      <c r="C218" s="131" t="s">
        <v>30</v>
      </c>
      <c r="D218" s="132" t="s">
        <v>180</v>
      </c>
      <c r="E218" s="133" t="s">
        <v>238</v>
      </c>
      <c r="F218" s="134"/>
      <c r="G218" s="135" t="s">
        <v>144</v>
      </c>
      <c r="H218" s="134"/>
      <c r="I218" s="134"/>
      <c r="J218" s="134"/>
      <c r="K218" s="134"/>
      <c r="L218" s="137">
        <f t="shared" si="123"/>
        <v>0.00465</v>
      </c>
      <c r="M218" s="138">
        <v>0.01744186046511628</v>
      </c>
      <c r="N218" s="132" t="s">
        <v>157</v>
      </c>
      <c r="O218" s="139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ht="19.5" customHeight="1">
      <c r="A219" s="1"/>
      <c r="B219" s="130"/>
      <c r="C219" s="131"/>
      <c r="D219" s="181"/>
      <c r="E219" s="182" t="s">
        <v>256</v>
      </c>
      <c r="F219" s="183"/>
      <c r="G219" s="185"/>
      <c r="H219" s="183"/>
      <c r="I219" s="183"/>
      <c r="J219" s="183"/>
      <c r="K219" s="186"/>
      <c r="L219" s="137">
        <f t="shared" si="123"/>
        <v>0.07</v>
      </c>
      <c r="M219" s="138">
        <f>+M220*0.07</f>
        <v>0.2625656414</v>
      </c>
      <c r="N219" s="132"/>
      <c r="O219" s="139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ht="19.5" customHeight="1">
      <c r="A220" s="1"/>
      <c r="B220" s="191"/>
      <c r="C220" s="192"/>
      <c r="D220" s="45" t="s">
        <v>266</v>
      </c>
      <c r="E220" s="38"/>
      <c r="F220" s="38"/>
      <c r="G220" s="38"/>
      <c r="H220" s="38"/>
      <c r="I220" s="38"/>
      <c r="J220" s="38"/>
      <c r="K220" s="43"/>
      <c r="L220" s="194">
        <f>+SUM(L206:L219)</f>
        <v>1</v>
      </c>
      <c r="M220" s="197">
        <f>+SUM(M206:M218)/0.93</f>
        <v>3.750937734</v>
      </c>
      <c r="N220" s="199" t="s">
        <v>157</v>
      </c>
      <c r="O220" s="200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ht="19.5" customHeight="1">
      <c r="A221" s="1"/>
      <c r="B221" s="208" t="s">
        <v>273</v>
      </c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40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ht="19.5" customHeight="1">
      <c r="A222" s="1"/>
      <c r="B222" s="211">
        <v>15.0</v>
      </c>
      <c r="C222" s="131" t="s">
        <v>30</v>
      </c>
      <c r="D222" s="212" t="s">
        <v>276</v>
      </c>
      <c r="E222" s="213" t="s">
        <v>277</v>
      </c>
      <c r="F222" s="214"/>
      <c r="G222" s="215" t="s">
        <v>144</v>
      </c>
      <c r="H222" s="214"/>
      <c r="I222" s="214"/>
      <c r="J222" s="214"/>
      <c r="K222" s="214"/>
      <c r="L222" s="216" t="s">
        <v>146</v>
      </c>
      <c r="M222" s="217">
        <f>$E$197*$E$198</f>
        <v>20</v>
      </c>
      <c r="N222" s="212" t="s">
        <v>278</v>
      </c>
      <c r="O222" s="219" t="s">
        <v>279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ht="19.5" customHeight="1">
      <c r="A223" s="1"/>
      <c r="B223" s="211">
        <v>16.0</v>
      </c>
      <c r="C223" s="131" t="s">
        <v>30</v>
      </c>
      <c r="D223" s="212" t="s">
        <v>282</v>
      </c>
      <c r="E223" s="213" t="s">
        <v>283</v>
      </c>
      <c r="F223" s="214"/>
      <c r="G223" s="215" t="s">
        <v>144</v>
      </c>
      <c r="H223" s="214"/>
      <c r="I223" s="214"/>
      <c r="J223" s="214"/>
      <c r="K223" s="214"/>
      <c r="L223" s="216" t="s">
        <v>146</v>
      </c>
      <c r="M223" s="217">
        <f t="shared" ref="M223:M224" si="124">$E$197</f>
        <v>1</v>
      </c>
      <c r="N223" s="212" t="s">
        <v>278</v>
      </c>
      <c r="O223" s="219" t="s">
        <v>284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ht="19.5" customHeight="1">
      <c r="A224" s="1"/>
      <c r="B224" s="211">
        <v>17.0</v>
      </c>
      <c r="C224" s="131" t="s">
        <v>30</v>
      </c>
      <c r="D224" s="212" t="s">
        <v>291</v>
      </c>
      <c r="E224" s="213" t="s">
        <v>292</v>
      </c>
      <c r="F224" s="214"/>
      <c r="G224" s="215" t="s">
        <v>144</v>
      </c>
      <c r="H224" s="214"/>
      <c r="I224" s="214"/>
      <c r="J224" s="214"/>
      <c r="K224" s="214"/>
      <c r="L224" s="216" t="s">
        <v>146</v>
      </c>
      <c r="M224" s="217">
        <f t="shared" si="124"/>
        <v>1</v>
      </c>
      <c r="N224" s="212" t="s">
        <v>278</v>
      </c>
      <c r="O224" s="219" t="s">
        <v>284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ht="19.5" customHeight="1">
      <c r="A226" s="1"/>
      <c r="B226" s="9"/>
      <c r="C226" s="229"/>
      <c r="D226" s="230" t="s">
        <v>479</v>
      </c>
      <c r="E226" s="13"/>
      <c r="F226" s="13"/>
      <c r="G226" s="13"/>
      <c r="H226" s="13"/>
      <c r="I226" s="13"/>
      <c r="J226" s="13"/>
      <c r="K226" s="13"/>
      <c r="L226" s="14"/>
      <c r="M226" s="15" t="s">
        <v>8</v>
      </c>
      <c r="N226" s="16"/>
      <c r="O226" s="17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ht="19.5" customHeight="1">
      <c r="A227" s="1"/>
      <c r="B227" s="22"/>
      <c r="C227" s="22"/>
      <c r="D227" s="24" t="s">
        <v>16</v>
      </c>
      <c r="E227" s="28">
        <f>SUMIFS('Plan de ventas'!$O$48:$O$60,'Plan de ventas'!$B$48:$B$60,D236)*1000</f>
        <v>53035.16288</v>
      </c>
      <c r="F227" s="29"/>
      <c r="G227" s="29"/>
      <c r="H227" s="29"/>
      <c r="I227" s="29"/>
      <c r="J227" s="29"/>
      <c r="K227" s="29"/>
      <c r="L227" s="29"/>
      <c r="M227" s="30"/>
      <c r="O227" s="3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ht="19.5" customHeight="1">
      <c r="A228" s="1"/>
      <c r="B228" s="45" t="s">
        <v>41</v>
      </c>
      <c r="C228" s="38"/>
      <c r="D228" s="43"/>
      <c r="E228" s="46">
        <v>1.0</v>
      </c>
      <c r="F228" s="47" t="str">
        <f>"Línea: Clásicas     |     Versión n°: 1"&amp;CHAR(10)&amp;CHAR(10)&amp;"Lote = "&amp;E228&amp;" cajas × "&amp;E229&amp;" unid./caja = "&amp;(E228*E229)&amp;" unidades"&amp;CHAR(10)&amp;"Producto terminado = "&amp;TEXT(E232,"#,##0.00")&amp;" kg"&amp;CHAR(10)&amp;"Mezcla a preparar = "&amp;TEXT(E233,"#,##0.00")&amp;" kg   (rendimiento "&amp;TEXT(E231,"0%")&amp;")"</f>
        <v>Línea: Clásicas     |     Versión n°: 1
Lote = 1 cajas × 20 unid./caja = 20 unidades
Producto terminado = 3,00 kg
Mezcla a preparar = 3,41 kg   (rendimiento 88%)</v>
      </c>
      <c r="G228" s="48"/>
      <c r="H228" s="48"/>
      <c r="I228" s="48"/>
      <c r="J228" s="48"/>
      <c r="K228" s="48"/>
      <c r="L228" s="49"/>
      <c r="M228" s="30"/>
      <c r="O228" s="3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ht="19.5" customHeight="1">
      <c r="A229" s="1"/>
      <c r="B229" s="45" t="s">
        <v>62</v>
      </c>
      <c r="C229" s="38"/>
      <c r="D229" s="43"/>
      <c r="E229" s="46">
        <v>20.0</v>
      </c>
      <c r="F229" s="65"/>
      <c r="L229" s="31"/>
      <c r="M229" s="30"/>
      <c r="O229" s="3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ht="19.5" customHeight="1">
      <c r="A230" s="1"/>
      <c r="B230" s="45" t="s">
        <v>75</v>
      </c>
      <c r="C230" s="38"/>
      <c r="D230" s="43"/>
      <c r="E230" s="46">
        <v>150.0</v>
      </c>
      <c r="F230" s="65"/>
      <c r="L230" s="31"/>
      <c r="M230" s="30"/>
      <c r="O230" s="3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ht="19.5" customHeight="1">
      <c r="A231" s="1"/>
      <c r="B231" s="45" t="s">
        <v>83</v>
      </c>
      <c r="C231" s="38"/>
      <c r="D231" s="43"/>
      <c r="E231" s="88">
        <v>0.88</v>
      </c>
      <c r="F231" s="65"/>
      <c r="L231" s="31"/>
      <c r="M231" s="30"/>
      <c r="O231" s="3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ht="19.5" customHeight="1">
      <c r="A232" s="1"/>
      <c r="B232" s="45" t="s">
        <v>88</v>
      </c>
      <c r="C232" s="38"/>
      <c r="D232" s="43"/>
      <c r="E232" s="92">
        <f>E228*E229*E230/1000</f>
        <v>3</v>
      </c>
      <c r="F232" s="65"/>
      <c r="L232" s="31"/>
      <c r="M232" s="30"/>
      <c r="O232" s="3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ht="19.5" customHeight="1">
      <c r="A233" s="1"/>
      <c r="B233" s="45" t="s">
        <v>96</v>
      </c>
      <c r="C233" s="38"/>
      <c r="D233" s="43"/>
      <c r="E233" s="92">
        <f>E232/E231</f>
        <v>3.409090909</v>
      </c>
      <c r="F233" s="98"/>
      <c r="G233" s="99"/>
      <c r="H233" s="99"/>
      <c r="I233" s="99"/>
      <c r="J233" s="99"/>
      <c r="K233" s="99"/>
      <c r="L233" s="100"/>
      <c r="M233" s="101"/>
      <c r="N233" s="99"/>
      <c r="O233" s="100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ht="19.5" customHeight="1">
      <c r="A234" s="1"/>
      <c r="B234" s="110" t="s">
        <v>113</v>
      </c>
      <c r="C234" s="233"/>
      <c r="D234" s="112" t="s">
        <v>321</v>
      </c>
      <c r="E234" s="112" t="s">
        <v>116</v>
      </c>
      <c r="F234" s="113" t="s">
        <v>117</v>
      </c>
      <c r="G234" s="38"/>
      <c r="H234" s="38"/>
      <c r="I234" s="38"/>
      <c r="J234" s="38"/>
      <c r="K234" s="40"/>
      <c r="L234" s="112" t="s">
        <v>46</v>
      </c>
      <c r="M234" s="112" t="s">
        <v>120</v>
      </c>
      <c r="N234" s="112" t="s">
        <v>121</v>
      </c>
      <c r="O234" s="112" t="s">
        <v>122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ht="19.5" customHeight="1">
      <c r="A235" s="1"/>
      <c r="B235" s="117"/>
      <c r="C235" s="233"/>
      <c r="D235" s="118"/>
      <c r="E235" s="118"/>
      <c r="F235" s="119" t="s">
        <v>129</v>
      </c>
      <c r="G235" s="119" t="s">
        <v>131</v>
      </c>
      <c r="H235" s="119" t="s">
        <v>132</v>
      </c>
      <c r="I235" s="119" t="s">
        <v>133</v>
      </c>
      <c r="J235" s="119" t="s">
        <v>134</v>
      </c>
      <c r="K235" s="119" t="s">
        <v>135</v>
      </c>
      <c r="L235" s="118"/>
      <c r="M235" s="118"/>
      <c r="N235" s="118"/>
      <c r="O235" s="118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ht="19.5" customHeight="1">
      <c r="A236" s="1"/>
      <c r="B236" s="234">
        <v>1.0</v>
      </c>
      <c r="C236" s="235"/>
      <c r="D236" s="236" t="s">
        <v>31</v>
      </c>
      <c r="E236" s="237" t="s">
        <v>489</v>
      </c>
      <c r="F236" s="124" t="s">
        <v>144</v>
      </c>
      <c r="G236" s="126"/>
      <c r="H236" s="126"/>
      <c r="I236" s="126"/>
      <c r="J236" s="126"/>
      <c r="K236" s="126"/>
      <c r="L236" s="238" t="s">
        <v>146</v>
      </c>
      <c r="M236" s="239">
        <f>$E$228</f>
        <v>1</v>
      </c>
      <c r="N236" s="236" t="s">
        <v>147</v>
      </c>
      <c r="O236" s="240" t="s">
        <v>148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ht="19.5" customHeight="1">
      <c r="A237" s="1"/>
      <c r="B237" s="130">
        <v>2.0</v>
      </c>
      <c r="C237" s="131" t="s">
        <v>31</v>
      </c>
      <c r="D237" s="132" t="s">
        <v>63</v>
      </c>
      <c r="E237" s="133" t="s">
        <v>153</v>
      </c>
      <c r="F237" s="134"/>
      <c r="G237" s="135" t="s">
        <v>144</v>
      </c>
      <c r="H237" s="134"/>
      <c r="I237" s="134"/>
      <c r="J237" s="134"/>
      <c r="K237" s="134"/>
      <c r="L237" s="137">
        <f t="shared" ref="L237:L252" si="125">+M237/$M$253</f>
        <v>0.2604</v>
      </c>
      <c r="M237" s="138">
        <v>0.9545454545454547</v>
      </c>
      <c r="N237" s="132" t="s">
        <v>157</v>
      </c>
      <c r="O237" s="139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ht="19.5" customHeight="1">
      <c r="A238" s="1"/>
      <c r="B238" s="130">
        <v>3.0</v>
      </c>
      <c r="C238" s="131" t="s">
        <v>31</v>
      </c>
      <c r="D238" s="132" t="s">
        <v>123</v>
      </c>
      <c r="E238" s="133" t="s">
        <v>163</v>
      </c>
      <c r="F238" s="134"/>
      <c r="G238" s="135" t="s">
        <v>144</v>
      </c>
      <c r="H238" s="134"/>
      <c r="I238" s="134"/>
      <c r="J238" s="134"/>
      <c r="K238" s="134"/>
      <c r="L238" s="137">
        <f t="shared" si="125"/>
        <v>0.1953</v>
      </c>
      <c r="M238" s="138">
        <v>0.7159090909090909</v>
      </c>
      <c r="N238" s="132" t="s">
        <v>157</v>
      </c>
      <c r="O238" s="139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ht="19.5" customHeight="1">
      <c r="A239" s="1"/>
      <c r="B239" s="130">
        <v>4.0</v>
      </c>
      <c r="C239" s="131" t="s">
        <v>31</v>
      </c>
      <c r="D239" s="132" t="s">
        <v>177</v>
      </c>
      <c r="E239" s="133" t="s">
        <v>178</v>
      </c>
      <c r="F239" s="134"/>
      <c r="G239" s="135" t="s">
        <v>144</v>
      </c>
      <c r="H239" s="134"/>
      <c r="I239" s="134"/>
      <c r="J239" s="134"/>
      <c r="K239" s="134"/>
      <c r="L239" s="137">
        <f t="shared" si="125"/>
        <v>0.1488</v>
      </c>
      <c r="M239" s="138">
        <v>0.5454545454545455</v>
      </c>
      <c r="N239" s="132" t="s">
        <v>157</v>
      </c>
      <c r="O239" s="139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ht="19.5" customHeight="1">
      <c r="A240" s="1"/>
      <c r="B240" s="130">
        <v>5.0</v>
      </c>
      <c r="C240" s="131" t="s">
        <v>31</v>
      </c>
      <c r="D240" s="132" t="s">
        <v>149</v>
      </c>
      <c r="E240" s="133" t="s">
        <v>171</v>
      </c>
      <c r="F240" s="134"/>
      <c r="G240" s="135" t="s">
        <v>144</v>
      </c>
      <c r="H240" s="134"/>
      <c r="I240" s="134"/>
      <c r="J240" s="134"/>
      <c r="K240" s="134"/>
      <c r="L240" s="137">
        <f t="shared" si="125"/>
        <v>0.1395</v>
      </c>
      <c r="M240" s="138">
        <v>0.5113636363636364</v>
      </c>
      <c r="N240" s="132" t="s">
        <v>157</v>
      </c>
      <c r="O240" s="139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ht="19.5" customHeight="1">
      <c r="A241" s="1"/>
      <c r="B241" s="130">
        <v>6.0</v>
      </c>
      <c r="C241" s="131" t="s">
        <v>31</v>
      </c>
      <c r="D241" s="132" t="s">
        <v>136</v>
      </c>
      <c r="E241" s="133" t="s">
        <v>197</v>
      </c>
      <c r="F241" s="134"/>
      <c r="G241" s="135" t="s">
        <v>144</v>
      </c>
      <c r="H241" s="134"/>
      <c r="I241" s="134"/>
      <c r="J241" s="134"/>
      <c r="K241" s="134"/>
      <c r="L241" s="137">
        <f t="shared" si="125"/>
        <v>0.0558</v>
      </c>
      <c r="M241" s="138">
        <v>0.20454545454545453</v>
      </c>
      <c r="N241" s="132" t="s">
        <v>157</v>
      </c>
      <c r="O241" s="139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ht="19.5" customHeight="1">
      <c r="A242" s="1"/>
      <c r="B242" s="130">
        <v>7.0</v>
      </c>
      <c r="C242" s="131" t="s">
        <v>31</v>
      </c>
      <c r="D242" s="132" t="s">
        <v>338</v>
      </c>
      <c r="E242" s="133" t="s">
        <v>496</v>
      </c>
      <c r="F242" s="134"/>
      <c r="G242" s="135" t="s">
        <v>144</v>
      </c>
      <c r="H242" s="134"/>
      <c r="I242" s="134"/>
      <c r="J242" s="134"/>
      <c r="K242" s="134"/>
      <c r="L242" s="137">
        <f t="shared" si="125"/>
        <v>0.0279</v>
      </c>
      <c r="M242" s="138">
        <v>0.10227272727272727</v>
      </c>
      <c r="N242" s="132" t="s">
        <v>157</v>
      </c>
      <c r="O242" s="139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ht="19.5" customHeight="1">
      <c r="A243" s="1"/>
      <c r="B243" s="130">
        <v>8.0</v>
      </c>
      <c r="C243" s="131" t="s">
        <v>31</v>
      </c>
      <c r="D243" s="132" t="s">
        <v>319</v>
      </c>
      <c r="E243" s="133" t="s">
        <v>459</v>
      </c>
      <c r="F243" s="134"/>
      <c r="G243" s="135" t="s">
        <v>144</v>
      </c>
      <c r="H243" s="134"/>
      <c r="I243" s="134"/>
      <c r="J243" s="134"/>
      <c r="K243" s="134"/>
      <c r="L243" s="137">
        <f t="shared" si="125"/>
        <v>0.0279</v>
      </c>
      <c r="M243" s="138">
        <v>0.10227272727272727</v>
      </c>
      <c r="N243" s="132" t="s">
        <v>157</v>
      </c>
      <c r="O243" s="139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ht="19.5" customHeight="1">
      <c r="A244" s="1"/>
      <c r="B244" s="130">
        <v>9.0</v>
      </c>
      <c r="C244" s="131" t="s">
        <v>31</v>
      </c>
      <c r="D244" s="132" t="s">
        <v>309</v>
      </c>
      <c r="E244" s="133" t="s">
        <v>378</v>
      </c>
      <c r="F244" s="134"/>
      <c r="G244" s="135" t="s">
        <v>144</v>
      </c>
      <c r="H244" s="134"/>
      <c r="I244" s="134"/>
      <c r="J244" s="134"/>
      <c r="K244" s="134"/>
      <c r="L244" s="137">
        <f t="shared" si="125"/>
        <v>0.0186</v>
      </c>
      <c r="M244" s="138">
        <v>0.06818181818181819</v>
      </c>
      <c r="N244" s="132" t="s">
        <v>157</v>
      </c>
      <c r="O244" s="139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ht="19.5" customHeight="1">
      <c r="A245" s="1"/>
      <c r="B245" s="130">
        <v>10.0</v>
      </c>
      <c r="C245" s="131" t="s">
        <v>31</v>
      </c>
      <c r="D245" s="132" t="s">
        <v>259</v>
      </c>
      <c r="E245" s="133" t="s">
        <v>497</v>
      </c>
      <c r="F245" s="134"/>
      <c r="G245" s="135" t="s">
        <v>144</v>
      </c>
      <c r="H245" s="134"/>
      <c r="I245" s="134"/>
      <c r="J245" s="134"/>
      <c r="K245" s="134"/>
      <c r="L245" s="137">
        <f t="shared" si="125"/>
        <v>0.0093</v>
      </c>
      <c r="M245" s="138">
        <v>0.034090909090909095</v>
      </c>
      <c r="N245" s="132" t="s">
        <v>157</v>
      </c>
      <c r="O245" s="139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ht="19.5" customHeight="1">
      <c r="A246" s="1"/>
      <c r="B246" s="130">
        <v>11.0</v>
      </c>
      <c r="C246" s="131" t="s">
        <v>31</v>
      </c>
      <c r="D246" s="132" t="s">
        <v>89</v>
      </c>
      <c r="E246" s="133" t="s">
        <v>214</v>
      </c>
      <c r="F246" s="134"/>
      <c r="G246" s="135" t="s">
        <v>144</v>
      </c>
      <c r="H246" s="134"/>
      <c r="I246" s="134"/>
      <c r="J246" s="134"/>
      <c r="K246" s="134"/>
      <c r="L246" s="137">
        <f t="shared" si="125"/>
        <v>0.0093</v>
      </c>
      <c r="M246" s="138">
        <v>0.034090909090909095</v>
      </c>
      <c r="N246" s="132" t="s">
        <v>157</v>
      </c>
      <c r="O246" s="139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ht="19.5" customHeight="1">
      <c r="A247" s="1"/>
      <c r="B247" s="130">
        <v>12.0</v>
      </c>
      <c r="C247" s="131" t="s">
        <v>31</v>
      </c>
      <c r="D247" s="132" t="s">
        <v>105</v>
      </c>
      <c r="E247" s="133" t="s">
        <v>473</v>
      </c>
      <c r="F247" s="134"/>
      <c r="G247" s="135" t="s">
        <v>144</v>
      </c>
      <c r="H247" s="134"/>
      <c r="I247" s="134"/>
      <c r="J247" s="134"/>
      <c r="K247" s="134"/>
      <c r="L247" s="137">
        <f t="shared" si="125"/>
        <v>0.0093</v>
      </c>
      <c r="M247" s="138">
        <v>0.034090909090909095</v>
      </c>
      <c r="N247" s="132" t="s">
        <v>157</v>
      </c>
      <c r="O247" s="139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ht="19.5" customHeight="1">
      <c r="A248" s="1"/>
      <c r="B248" s="130">
        <v>13.0</v>
      </c>
      <c r="C248" s="131" t="s">
        <v>31</v>
      </c>
      <c r="D248" s="132" t="s">
        <v>84</v>
      </c>
      <c r="E248" s="133" t="s">
        <v>225</v>
      </c>
      <c r="F248" s="134"/>
      <c r="G248" s="135" t="s">
        <v>144</v>
      </c>
      <c r="H248" s="134"/>
      <c r="I248" s="134"/>
      <c r="J248" s="134"/>
      <c r="K248" s="134"/>
      <c r="L248" s="137">
        <f t="shared" si="125"/>
        <v>0.0093</v>
      </c>
      <c r="M248" s="138">
        <v>0.034090909090909095</v>
      </c>
      <c r="N248" s="132" t="s">
        <v>157</v>
      </c>
      <c r="O248" s="139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ht="19.5" customHeight="1">
      <c r="A249" s="1"/>
      <c r="B249" s="130">
        <v>14.0</v>
      </c>
      <c r="C249" s="131" t="s">
        <v>31</v>
      </c>
      <c r="D249" s="132" t="s">
        <v>209</v>
      </c>
      <c r="E249" s="133" t="s">
        <v>230</v>
      </c>
      <c r="F249" s="134"/>
      <c r="G249" s="135" t="s">
        <v>144</v>
      </c>
      <c r="H249" s="134"/>
      <c r="I249" s="134"/>
      <c r="J249" s="134"/>
      <c r="K249" s="134"/>
      <c r="L249" s="137">
        <f t="shared" si="125"/>
        <v>0.0093</v>
      </c>
      <c r="M249" s="138">
        <v>0.034090909090909095</v>
      </c>
      <c r="N249" s="132" t="s">
        <v>157</v>
      </c>
      <c r="O249" s="139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ht="19.5" customHeight="1">
      <c r="A250" s="1"/>
      <c r="B250" s="130">
        <v>15.0</v>
      </c>
      <c r="C250" s="131" t="s">
        <v>31</v>
      </c>
      <c r="D250" s="132" t="s">
        <v>76</v>
      </c>
      <c r="E250" s="133" t="s">
        <v>218</v>
      </c>
      <c r="F250" s="134"/>
      <c r="G250" s="135" t="s">
        <v>144</v>
      </c>
      <c r="H250" s="134"/>
      <c r="I250" s="134"/>
      <c r="J250" s="134"/>
      <c r="K250" s="134"/>
      <c r="L250" s="137">
        <f t="shared" si="125"/>
        <v>0.00465</v>
      </c>
      <c r="M250" s="138">
        <v>0.017045454545454548</v>
      </c>
      <c r="N250" s="132" t="s">
        <v>157</v>
      </c>
      <c r="O250" s="139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ht="19.5" customHeight="1">
      <c r="A251" s="1"/>
      <c r="B251" s="130">
        <v>16.0</v>
      </c>
      <c r="C251" s="131" t="s">
        <v>31</v>
      </c>
      <c r="D251" s="132" t="s">
        <v>322</v>
      </c>
      <c r="E251" s="133" t="s">
        <v>498</v>
      </c>
      <c r="F251" s="134"/>
      <c r="G251" s="135" t="s">
        <v>144</v>
      </c>
      <c r="H251" s="134"/>
      <c r="I251" s="134"/>
      <c r="J251" s="134"/>
      <c r="K251" s="134"/>
      <c r="L251" s="137">
        <f t="shared" si="125"/>
        <v>0.00465</v>
      </c>
      <c r="M251" s="138">
        <v>0.017045454545454548</v>
      </c>
      <c r="N251" s="132" t="s">
        <v>157</v>
      </c>
      <c r="O251" s="139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ht="19.5" customHeight="1">
      <c r="A252" s="1"/>
      <c r="B252" s="130"/>
      <c r="C252" s="131"/>
      <c r="D252" s="181"/>
      <c r="E252" s="182" t="s">
        <v>256</v>
      </c>
      <c r="F252" s="183"/>
      <c r="G252" s="185"/>
      <c r="H252" s="183"/>
      <c r="I252" s="183"/>
      <c r="J252" s="183"/>
      <c r="K252" s="186"/>
      <c r="L252" s="137">
        <f t="shared" si="125"/>
        <v>0.07</v>
      </c>
      <c r="M252" s="138">
        <v>0.25659824046920826</v>
      </c>
      <c r="N252" s="132"/>
      <c r="O252" s="139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ht="19.5" customHeight="1">
      <c r="A253" s="1"/>
      <c r="B253" s="191"/>
      <c r="C253" s="192"/>
      <c r="D253" s="45" t="s">
        <v>266</v>
      </c>
      <c r="E253" s="38"/>
      <c r="F253" s="38"/>
      <c r="G253" s="38"/>
      <c r="H253" s="38"/>
      <c r="I253" s="38"/>
      <c r="J253" s="38"/>
      <c r="K253" s="43"/>
      <c r="L253" s="194">
        <f>+SUM(L237:L252)</f>
        <v>1</v>
      </c>
      <c r="M253" s="197">
        <f>+SUM(M237:M251)/0.93</f>
        <v>3.66568915</v>
      </c>
      <c r="N253" s="199" t="s">
        <v>157</v>
      </c>
      <c r="O253" s="200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ht="19.5" customHeight="1">
      <c r="A254" s="1"/>
      <c r="B254" s="208" t="s">
        <v>273</v>
      </c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40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ht="19.5" customHeight="1">
      <c r="A255" s="1"/>
      <c r="B255" s="211">
        <v>17.0</v>
      </c>
      <c r="C255" s="131" t="s">
        <v>31</v>
      </c>
      <c r="D255" s="212" t="s">
        <v>276</v>
      </c>
      <c r="E255" s="213" t="s">
        <v>277</v>
      </c>
      <c r="F255" s="214"/>
      <c r="G255" s="215" t="s">
        <v>144</v>
      </c>
      <c r="H255" s="214"/>
      <c r="I255" s="214"/>
      <c r="J255" s="214"/>
      <c r="K255" s="214"/>
      <c r="L255" s="216" t="s">
        <v>146</v>
      </c>
      <c r="M255" s="217">
        <f>$E$228*$E$229</f>
        <v>20</v>
      </c>
      <c r="N255" s="212" t="s">
        <v>278</v>
      </c>
      <c r="O255" s="219" t="s">
        <v>279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ht="19.5" customHeight="1">
      <c r="A256" s="1"/>
      <c r="B256" s="211">
        <v>18.0</v>
      </c>
      <c r="C256" s="131" t="s">
        <v>31</v>
      </c>
      <c r="D256" s="212" t="s">
        <v>282</v>
      </c>
      <c r="E256" s="213" t="s">
        <v>283</v>
      </c>
      <c r="F256" s="214"/>
      <c r="G256" s="215" t="s">
        <v>144</v>
      </c>
      <c r="H256" s="214"/>
      <c r="I256" s="214"/>
      <c r="J256" s="214"/>
      <c r="K256" s="214"/>
      <c r="L256" s="216" t="s">
        <v>146</v>
      </c>
      <c r="M256" s="217">
        <f t="shared" ref="M256:M257" si="126">$E$228</f>
        <v>1</v>
      </c>
      <c r="N256" s="212" t="s">
        <v>278</v>
      </c>
      <c r="O256" s="219" t="s">
        <v>284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ht="19.5" customHeight="1">
      <c r="A257" s="1"/>
      <c r="B257" s="211">
        <v>19.0</v>
      </c>
      <c r="C257" s="131" t="s">
        <v>31</v>
      </c>
      <c r="D257" s="212" t="s">
        <v>291</v>
      </c>
      <c r="E257" s="213" t="s">
        <v>292</v>
      </c>
      <c r="F257" s="214"/>
      <c r="G257" s="215" t="s">
        <v>144</v>
      </c>
      <c r="H257" s="214"/>
      <c r="I257" s="214"/>
      <c r="J257" s="214"/>
      <c r="K257" s="214"/>
      <c r="L257" s="216" t="s">
        <v>146</v>
      </c>
      <c r="M257" s="217">
        <f t="shared" si="126"/>
        <v>1</v>
      </c>
      <c r="N257" s="212" t="s">
        <v>278</v>
      </c>
      <c r="O257" s="219" t="s">
        <v>284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ht="19.5" customHeight="1">
      <c r="A259" s="1"/>
      <c r="B259" s="9"/>
      <c r="C259" s="229"/>
      <c r="D259" s="230" t="s">
        <v>499</v>
      </c>
      <c r="E259" s="13"/>
      <c r="F259" s="13"/>
      <c r="G259" s="13"/>
      <c r="H259" s="13"/>
      <c r="I259" s="13"/>
      <c r="J259" s="13"/>
      <c r="K259" s="13"/>
      <c r="L259" s="14"/>
      <c r="M259" s="15" t="s">
        <v>8</v>
      </c>
      <c r="N259" s="16"/>
      <c r="O259" s="17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ht="19.5" customHeight="1">
      <c r="A260" s="1"/>
      <c r="B260" s="22"/>
      <c r="C260" s="22"/>
      <c r="D260" s="24" t="s">
        <v>16</v>
      </c>
      <c r="E260" s="28">
        <f>SUMIFS('Plan de ventas'!$O$48:$O$60,'Plan de ventas'!$B$48:$B$60,D269)*1000</f>
        <v>117855.9175</v>
      </c>
      <c r="F260" s="29"/>
      <c r="G260" s="29"/>
      <c r="H260" s="29"/>
      <c r="I260" s="29"/>
      <c r="J260" s="29"/>
      <c r="K260" s="29"/>
      <c r="L260" s="29"/>
      <c r="M260" s="30"/>
      <c r="O260" s="3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ht="19.5" customHeight="1">
      <c r="A261" s="1"/>
      <c r="B261" s="45" t="s">
        <v>41</v>
      </c>
      <c r="C261" s="38"/>
      <c r="D261" s="43"/>
      <c r="E261" s="46">
        <v>1.0</v>
      </c>
      <c r="F261" s="47" t="str">
        <f>"Línea: Panificados     |     Versión n°: 1"&amp;CHAR(10)&amp;CHAR(10)&amp;"Lote = "&amp;E261&amp;" cajas × "&amp;E262&amp;" unid./caja = "&amp;(E261*E262)&amp;" unidades"&amp;CHAR(10)&amp;"Producto terminado = "&amp;TEXT(E265,"#,##0.00")&amp;" kg"&amp;CHAR(10)&amp;"Mezcla a preparar = "&amp;TEXT(E266,"#,##0.00")&amp;" kg   (rendimiento "&amp;TEXT(E264,"0%")&amp;")"</f>
        <v>Línea: Panificados     |     Versión n°: 1
Lote = 1 cajas × 12 unid./caja = 12 unidades
Producto terminado = 6,00 kg
Mezcla a preparar = 6,98 kg   (rendimiento 86%)</v>
      </c>
      <c r="G261" s="48"/>
      <c r="H261" s="48"/>
      <c r="I261" s="48"/>
      <c r="J261" s="48"/>
      <c r="K261" s="48"/>
      <c r="L261" s="49"/>
      <c r="M261" s="30"/>
      <c r="O261" s="3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ht="19.5" customHeight="1">
      <c r="A262" s="1"/>
      <c r="B262" s="45" t="s">
        <v>62</v>
      </c>
      <c r="C262" s="38"/>
      <c r="D262" s="43"/>
      <c r="E262" s="46">
        <v>12.0</v>
      </c>
      <c r="F262" s="65"/>
      <c r="L262" s="31"/>
      <c r="M262" s="30"/>
      <c r="O262" s="3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ht="19.5" customHeight="1">
      <c r="A263" s="1"/>
      <c r="B263" s="45" t="s">
        <v>75</v>
      </c>
      <c r="C263" s="38"/>
      <c r="D263" s="43"/>
      <c r="E263" s="46">
        <v>500.0</v>
      </c>
      <c r="F263" s="65"/>
      <c r="L263" s="31"/>
      <c r="M263" s="30"/>
      <c r="O263" s="3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ht="19.5" customHeight="1">
      <c r="A264" s="1"/>
      <c r="B264" s="45" t="s">
        <v>83</v>
      </c>
      <c r="C264" s="38"/>
      <c r="D264" s="43"/>
      <c r="E264" s="88">
        <v>0.86</v>
      </c>
      <c r="F264" s="65"/>
      <c r="L264" s="31"/>
      <c r="M264" s="30"/>
      <c r="O264" s="3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ht="19.5" customHeight="1">
      <c r="A265" s="1"/>
      <c r="B265" s="45" t="s">
        <v>88</v>
      </c>
      <c r="C265" s="38"/>
      <c r="D265" s="43"/>
      <c r="E265" s="92">
        <f>E261*E262*E263/1000</f>
        <v>6</v>
      </c>
      <c r="F265" s="65"/>
      <c r="L265" s="31"/>
      <c r="M265" s="30"/>
      <c r="O265" s="3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ht="19.5" customHeight="1">
      <c r="A266" s="1"/>
      <c r="B266" s="45" t="s">
        <v>96</v>
      </c>
      <c r="C266" s="38"/>
      <c r="D266" s="43"/>
      <c r="E266" s="92">
        <f>E265/E264</f>
        <v>6.976744186</v>
      </c>
      <c r="F266" s="98"/>
      <c r="G266" s="99"/>
      <c r="H266" s="99"/>
      <c r="I266" s="99"/>
      <c r="J266" s="99"/>
      <c r="K266" s="99"/>
      <c r="L266" s="100"/>
      <c r="M266" s="101"/>
      <c r="N266" s="99"/>
      <c r="O266" s="100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ht="19.5" customHeight="1">
      <c r="A267" s="1"/>
      <c r="B267" s="110" t="s">
        <v>113</v>
      </c>
      <c r="C267" s="233"/>
      <c r="D267" s="112" t="s">
        <v>321</v>
      </c>
      <c r="E267" s="112" t="s">
        <v>116</v>
      </c>
      <c r="F267" s="113" t="s">
        <v>117</v>
      </c>
      <c r="G267" s="38"/>
      <c r="H267" s="38"/>
      <c r="I267" s="38"/>
      <c r="J267" s="38"/>
      <c r="K267" s="40"/>
      <c r="L267" s="112" t="s">
        <v>46</v>
      </c>
      <c r="M267" s="112" t="s">
        <v>120</v>
      </c>
      <c r="N267" s="112" t="s">
        <v>121</v>
      </c>
      <c r="O267" s="112" t="s">
        <v>122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ht="19.5" customHeight="1">
      <c r="A268" s="1"/>
      <c r="B268" s="117"/>
      <c r="C268" s="233"/>
      <c r="D268" s="118"/>
      <c r="E268" s="118"/>
      <c r="F268" s="119" t="s">
        <v>129</v>
      </c>
      <c r="G268" s="119" t="s">
        <v>131</v>
      </c>
      <c r="H268" s="119" t="s">
        <v>132</v>
      </c>
      <c r="I268" s="119" t="s">
        <v>133</v>
      </c>
      <c r="J268" s="119" t="s">
        <v>134</v>
      </c>
      <c r="K268" s="119" t="s">
        <v>135</v>
      </c>
      <c r="L268" s="118"/>
      <c r="M268" s="118"/>
      <c r="N268" s="118"/>
      <c r="O268" s="118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ht="19.5" customHeight="1">
      <c r="A269" s="1"/>
      <c r="B269" s="234">
        <v>1.0</v>
      </c>
      <c r="C269" s="235"/>
      <c r="D269" s="236" t="s">
        <v>33</v>
      </c>
      <c r="E269" s="237" t="s">
        <v>500</v>
      </c>
      <c r="F269" s="124" t="s">
        <v>144</v>
      </c>
      <c r="G269" s="126"/>
      <c r="H269" s="126"/>
      <c r="I269" s="126"/>
      <c r="J269" s="126"/>
      <c r="K269" s="126"/>
      <c r="L269" s="238" t="s">
        <v>146</v>
      </c>
      <c r="M269" s="239">
        <f>$E$261</f>
        <v>1</v>
      </c>
      <c r="N269" s="236" t="s">
        <v>147</v>
      </c>
      <c r="O269" s="240" t="s">
        <v>148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ht="19.5" customHeight="1">
      <c r="A270" s="1"/>
      <c r="B270" s="130">
        <v>2.0</v>
      </c>
      <c r="C270" s="131" t="s">
        <v>33</v>
      </c>
      <c r="D270" s="132" t="s">
        <v>324</v>
      </c>
      <c r="E270" s="133" t="s">
        <v>501</v>
      </c>
      <c r="F270" s="134"/>
      <c r="G270" s="135" t="s">
        <v>144</v>
      </c>
      <c r="H270" s="134"/>
      <c r="I270" s="134"/>
      <c r="J270" s="134"/>
      <c r="K270" s="134"/>
      <c r="L270" s="137">
        <f t="shared" ref="L270:L282" si="127">+M270/$M$283</f>
        <v>0.323</v>
      </c>
      <c r="M270" s="138">
        <v>2.6511627906976742</v>
      </c>
      <c r="N270" s="132" t="s">
        <v>157</v>
      </c>
      <c r="O270" s="139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ht="19.5" customHeight="1">
      <c r="A271" s="1"/>
      <c r="B271" s="130">
        <v>3.0</v>
      </c>
      <c r="C271" s="131" t="s">
        <v>33</v>
      </c>
      <c r="D271" s="132" t="s">
        <v>123</v>
      </c>
      <c r="E271" s="133" t="s">
        <v>163</v>
      </c>
      <c r="F271" s="134"/>
      <c r="G271" s="135" t="s">
        <v>144</v>
      </c>
      <c r="H271" s="134"/>
      <c r="I271" s="134"/>
      <c r="J271" s="134"/>
      <c r="K271" s="134"/>
      <c r="L271" s="137">
        <f t="shared" si="127"/>
        <v>0.136</v>
      </c>
      <c r="M271" s="138">
        <v>1.1162790697674418</v>
      </c>
      <c r="N271" s="132" t="s">
        <v>157</v>
      </c>
      <c r="O271" s="139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ht="19.5" customHeight="1">
      <c r="A272" s="1"/>
      <c r="B272" s="130">
        <v>4.0</v>
      </c>
      <c r="C272" s="131" t="s">
        <v>33</v>
      </c>
      <c r="D272" s="132" t="s">
        <v>286</v>
      </c>
      <c r="E272" s="133" t="s">
        <v>371</v>
      </c>
      <c r="F272" s="134"/>
      <c r="G272" s="135" t="s">
        <v>144</v>
      </c>
      <c r="H272" s="134"/>
      <c r="I272" s="134"/>
      <c r="J272" s="134"/>
      <c r="K272" s="134"/>
      <c r="L272" s="137">
        <f t="shared" si="127"/>
        <v>0.102</v>
      </c>
      <c r="M272" s="138">
        <v>0.8372093023255813</v>
      </c>
      <c r="N272" s="132" t="s">
        <v>157</v>
      </c>
      <c r="O272" s="139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ht="19.5" customHeight="1">
      <c r="A273" s="1"/>
      <c r="B273" s="130">
        <v>5.0</v>
      </c>
      <c r="C273" s="131" t="s">
        <v>33</v>
      </c>
      <c r="D273" s="132" t="s">
        <v>293</v>
      </c>
      <c r="E273" s="133" t="s">
        <v>372</v>
      </c>
      <c r="F273" s="134"/>
      <c r="G273" s="135" t="s">
        <v>144</v>
      </c>
      <c r="H273" s="134"/>
      <c r="I273" s="134"/>
      <c r="J273" s="134"/>
      <c r="K273" s="134"/>
      <c r="L273" s="137">
        <f t="shared" si="127"/>
        <v>0.085</v>
      </c>
      <c r="M273" s="138">
        <v>0.6976744186046512</v>
      </c>
      <c r="N273" s="132" t="s">
        <v>157</v>
      </c>
      <c r="O273" s="139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ht="19.5" customHeight="1">
      <c r="A274" s="1"/>
      <c r="B274" s="130">
        <v>6.0</v>
      </c>
      <c r="C274" s="131" t="s">
        <v>33</v>
      </c>
      <c r="D274" s="132" t="s">
        <v>326</v>
      </c>
      <c r="E274" s="133" t="s">
        <v>502</v>
      </c>
      <c r="F274" s="134"/>
      <c r="G274" s="135" t="s">
        <v>144</v>
      </c>
      <c r="H274" s="134"/>
      <c r="I274" s="134"/>
      <c r="J274" s="134"/>
      <c r="K274" s="134"/>
      <c r="L274" s="137">
        <f t="shared" si="127"/>
        <v>0.051</v>
      </c>
      <c r="M274" s="138">
        <v>0.41860465116279066</v>
      </c>
      <c r="N274" s="132" t="s">
        <v>157</v>
      </c>
      <c r="O274" s="139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ht="19.5" customHeight="1">
      <c r="A275" s="1"/>
      <c r="B275" s="130">
        <v>7.0</v>
      </c>
      <c r="C275" s="131" t="s">
        <v>33</v>
      </c>
      <c r="D275" s="132" t="s">
        <v>177</v>
      </c>
      <c r="E275" s="133" t="s">
        <v>503</v>
      </c>
      <c r="F275" s="134"/>
      <c r="G275" s="135" t="s">
        <v>144</v>
      </c>
      <c r="H275" s="134"/>
      <c r="I275" s="134"/>
      <c r="J275" s="134"/>
      <c r="K275" s="134"/>
      <c r="L275" s="137">
        <f t="shared" si="127"/>
        <v>0.034</v>
      </c>
      <c r="M275" s="138">
        <v>0.27906976744186046</v>
      </c>
      <c r="N275" s="132" t="s">
        <v>157</v>
      </c>
      <c r="O275" s="139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ht="19.5" customHeight="1">
      <c r="A276" s="1"/>
      <c r="B276" s="130">
        <v>8.0</v>
      </c>
      <c r="C276" s="131" t="s">
        <v>33</v>
      </c>
      <c r="D276" s="132" t="s">
        <v>243</v>
      </c>
      <c r="E276" s="133" t="s">
        <v>346</v>
      </c>
      <c r="F276" s="134"/>
      <c r="G276" s="135" t="s">
        <v>144</v>
      </c>
      <c r="H276" s="134"/>
      <c r="I276" s="134"/>
      <c r="J276" s="134"/>
      <c r="K276" s="134"/>
      <c r="L276" s="137">
        <f t="shared" si="127"/>
        <v>0.034</v>
      </c>
      <c r="M276" s="138">
        <v>0.27906976744186046</v>
      </c>
      <c r="N276" s="132" t="s">
        <v>157</v>
      </c>
      <c r="O276" s="139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ht="19.5" customHeight="1">
      <c r="A277" s="1"/>
      <c r="B277" s="130">
        <v>9.0</v>
      </c>
      <c r="C277" s="131" t="s">
        <v>33</v>
      </c>
      <c r="D277" s="132" t="s">
        <v>236</v>
      </c>
      <c r="E277" s="133" t="s">
        <v>342</v>
      </c>
      <c r="F277" s="134"/>
      <c r="G277" s="135" t="s">
        <v>144</v>
      </c>
      <c r="H277" s="134"/>
      <c r="I277" s="134"/>
      <c r="J277" s="134"/>
      <c r="K277" s="134"/>
      <c r="L277" s="137">
        <f t="shared" si="127"/>
        <v>0.0255</v>
      </c>
      <c r="M277" s="138">
        <v>0.20930232558139533</v>
      </c>
      <c r="N277" s="132" t="s">
        <v>157</v>
      </c>
      <c r="O277" s="139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ht="19.5" customHeight="1">
      <c r="A278" s="1"/>
      <c r="B278" s="130">
        <v>10.0</v>
      </c>
      <c r="C278" s="131" t="s">
        <v>33</v>
      </c>
      <c r="D278" s="132" t="s">
        <v>328</v>
      </c>
      <c r="E278" s="133" t="s">
        <v>504</v>
      </c>
      <c r="F278" s="134"/>
      <c r="G278" s="135" t="s">
        <v>144</v>
      </c>
      <c r="H278" s="134"/>
      <c r="I278" s="134"/>
      <c r="J278" s="134"/>
      <c r="K278" s="134"/>
      <c r="L278" s="137">
        <f t="shared" si="127"/>
        <v>0.02125</v>
      </c>
      <c r="M278" s="138">
        <v>0.1744186046511628</v>
      </c>
      <c r="N278" s="132" t="s">
        <v>157</v>
      </c>
      <c r="O278" s="139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ht="19.5" customHeight="1">
      <c r="A279" s="1"/>
      <c r="B279" s="130">
        <v>11.0</v>
      </c>
      <c r="C279" s="131" t="s">
        <v>33</v>
      </c>
      <c r="D279" s="132" t="s">
        <v>330</v>
      </c>
      <c r="E279" s="133" t="s">
        <v>505</v>
      </c>
      <c r="F279" s="134"/>
      <c r="G279" s="135" t="s">
        <v>144</v>
      </c>
      <c r="H279" s="134"/>
      <c r="I279" s="134"/>
      <c r="J279" s="134"/>
      <c r="K279" s="134"/>
      <c r="L279" s="137">
        <f t="shared" si="127"/>
        <v>0.017</v>
      </c>
      <c r="M279" s="138">
        <v>0.13953488372093023</v>
      </c>
      <c r="N279" s="132" t="s">
        <v>157</v>
      </c>
      <c r="O279" s="139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ht="19.5" customHeight="1">
      <c r="A280" s="1"/>
      <c r="B280" s="130">
        <v>12.0</v>
      </c>
      <c r="C280" s="131" t="s">
        <v>33</v>
      </c>
      <c r="D280" s="132" t="s">
        <v>89</v>
      </c>
      <c r="E280" s="133" t="s">
        <v>214</v>
      </c>
      <c r="F280" s="134"/>
      <c r="G280" s="135" t="s">
        <v>144</v>
      </c>
      <c r="H280" s="134"/>
      <c r="I280" s="134"/>
      <c r="J280" s="134"/>
      <c r="K280" s="134"/>
      <c r="L280" s="137">
        <f t="shared" si="127"/>
        <v>0.01275</v>
      </c>
      <c r="M280" s="138">
        <v>0.10465116279069767</v>
      </c>
      <c r="N280" s="132" t="s">
        <v>157</v>
      </c>
      <c r="O280" s="139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ht="19.5" customHeight="1">
      <c r="A281" s="1"/>
      <c r="B281" s="130">
        <v>13.0</v>
      </c>
      <c r="C281" s="131" t="s">
        <v>33</v>
      </c>
      <c r="D281" s="132" t="s">
        <v>76</v>
      </c>
      <c r="E281" s="133" t="s">
        <v>218</v>
      </c>
      <c r="F281" s="134"/>
      <c r="G281" s="135" t="s">
        <v>144</v>
      </c>
      <c r="H281" s="134"/>
      <c r="I281" s="134"/>
      <c r="J281" s="134"/>
      <c r="K281" s="134"/>
      <c r="L281" s="137">
        <f t="shared" si="127"/>
        <v>0.0085</v>
      </c>
      <c r="M281" s="138">
        <v>0.06976744186046512</v>
      </c>
      <c r="N281" s="132" t="s">
        <v>157</v>
      </c>
      <c r="O281" s="139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ht="19.5" customHeight="1">
      <c r="A282" s="1"/>
      <c r="B282" s="130"/>
      <c r="C282" s="131"/>
      <c r="D282" s="181"/>
      <c r="E282" s="182" t="s">
        <v>256</v>
      </c>
      <c r="F282" s="183"/>
      <c r="G282" s="185"/>
      <c r="H282" s="183"/>
      <c r="I282" s="183"/>
      <c r="J282" s="183"/>
      <c r="K282" s="186"/>
      <c r="L282" s="137">
        <f t="shared" si="127"/>
        <v>0.15</v>
      </c>
      <c r="M282" s="138">
        <v>1.2311901504787963</v>
      </c>
      <c r="N282" s="132"/>
      <c r="O282" s="139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ht="19.5" customHeight="1">
      <c r="A283" s="1"/>
      <c r="B283" s="191"/>
      <c r="C283" s="192"/>
      <c r="D283" s="45" t="s">
        <v>266</v>
      </c>
      <c r="E283" s="38"/>
      <c r="F283" s="38"/>
      <c r="G283" s="38"/>
      <c r="H283" s="38"/>
      <c r="I283" s="38"/>
      <c r="J283" s="38"/>
      <c r="K283" s="43"/>
      <c r="L283" s="194">
        <f>+SUM(L270:L282)</f>
        <v>1</v>
      </c>
      <c r="M283" s="197">
        <f>+SUM(M270:M281)/0.85</f>
        <v>8.207934337</v>
      </c>
      <c r="N283" s="199" t="s">
        <v>157</v>
      </c>
      <c r="O283" s="200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ht="19.5" customHeight="1">
      <c r="A284" s="1"/>
      <c r="B284" s="208" t="s">
        <v>273</v>
      </c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40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ht="19.5" customHeight="1">
      <c r="A285" s="1"/>
      <c r="B285" s="211">
        <v>14.0</v>
      </c>
      <c r="C285" s="131" t="s">
        <v>33</v>
      </c>
      <c r="D285" s="212" t="s">
        <v>506</v>
      </c>
      <c r="E285" s="213" t="s">
        <v>507</v>
      </c>
      <c r="F285" s="214"/>
      <c r="G285" s="215" t="s">
        <v>144</v>
      </c>
      <c r="H285" s="214"/>
      <c r="I285" s="214"/>
      <c r="J285" s="214"/>
      <c r="K285" s="214"/>
      <c r="L285" s="216" t="s">
        <v>146</v>
      </c>
      <c r="M285" s="217">
        <f t="shared" ref="M285:M286" si="128">$E$261*$E$262</f>
        <v>12</v>
      </c>
      <c r="N285" s="212" t="s">
        <v>278</v>
      </c>
      <c r="O285" s="219" t="s">
        <v>279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ht="19.5" customHeight="1">
      <c r="A286" s="1"/>
      <c r="B286" s="211">
        <v>15.0</v>
      </c>
      <c r="C286" s="131" t="s">
        <v>33</v>
      </c>
      <c r="D286" s="212" t="s">
        <v>508</v>
      </c>
      <c r="E286" s="213" t="s">
        <v>509</v>
      </c>
      <c r="F286" s="214"/>
      <c r="G286" s="215" t="s">
        <v>144</v>
      </c>
      <c r="H286" s="214"/>
      <c r="I286" s="214"/>
      <c r="J286" s="214"/>
      <c r="K286" s="214"/>
      <c r="L286" s="216" t="s">
        <v>146</v>
      </c>
      <c r="M286" s="217">
        <f t="shared" si="128"/>
        <v>12</v>
      </c>
      <c r="N286" s="212" t="s">
        <v>278</v>
      </c>
      <c r="O286" s="219" t="s">
        <v>279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ht="19.5" customHeight="1">
      <c r="A287" s="1"/>
      <c r="B287" s="211">
        <v>16.0</v>
      </c>
      <c r="C287" s="131" t="s">
        <v>33</v>
      </c>
      <c r="D287" s="212" t="s">
        <v>282</v>
      </c>
      <c r="E287" s="213" t="s">
        <v>283</v>
      </c>
      <c r="F287" s="214"/>
      <c r="G287" s="215" t="s">
        <v>144</v>
      </c>
      <c r="H287" s="214"/>
      <c r="I287" s="214"/>
      <c r="J287" s="214"/>
      <c r="K287" s="214"/>
      <c r="L287" s="216" t="s">
        <v>146</v>
      </c>
      <c r="M287" s="217">
        <f>$E$261</f>
        <v>1</v>
      </c>
      <c r="N287" s="212" t="s">
        <v>278</v>
      </c>
      <c r="O287" s="219" t="s">
        <v>284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ht="19.5" customHeight="1">
      <c r="A289" s="1"/>
      <c r="B289" s="9"/>
      <c r="C289" s="229"/>
      <c r="D289" s="230" t="s">
        <v>510</v>
      </c>
      <c r="E289" s="13"/>
      <c r="F289" s="13"/>
      <c r="G289" s="13"/>
      <c r="H289" s="13"/>
      <c r="I289" s="13"/>
      <c r="J289" s="13"/>
      <c r="K289" s="13"/>
      <c r="L289" s="14"/>
      <c r="M289" s="15" t="s">
        <v>8</v>
      </c>
      <c r="N289" s="16"/>
      <c r="O289" s="17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ht="19.5" customHeight="1">
      <c r="A290" s="1"/>
      <c r="B290" s="22"/>
      <c r="C290" s="22"/>
      <c r="D290" s="24" t="s">
        <v>16</v>
      </c>
      <c r="E290" s="28">
        <f>SUMIFS('Plan de ventas'!$O$48:$O$60,'Plan de ventas'!$B$48:$B$60,D299)*1000</f>
        <v>141427.202</v>
      </c>
      <c r="F290" s="29"/>
      <c r="G290" s="29"/>
      <c r="H290" s="29"/>
      <c r="I290" s="29"/>
      <c r="J290" s="29"/>
      <c r="K290" s="29"/>
      <c r="L290" s="29"/>
      <c r="M290" s="30"/>
      <c r="O290" s="3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ht="19.5" customHeight="1">
      <c r="A291" s="1"/>
      <c r="B291" s="45" t="s">
        <v>41</v>
      </c>
      <c r="C291" s="38"/>
      <c r="D291" s="43"/>
      <c r="E291" s="46">
        <v>1.0</v>
      </c>
      <c r="F291" s="47" t="str">
        <f>"Línea: Budines     |     Versión n°: 1"&amp;CHAR(10)&amp;CHAR(10)&amp;"Lote = "&amp;E291&amp;" cajas × "&amp;E292&amp;" unid./caja = "&amp;(E291*E292)&amp;" unidades"&amp;CHAR(10)&amp;"Producto terminado = "&amp;TEXT(E295,"#,##0.00")&amp;" kg"&amp;CHAR(10)&amp;"Mezcla a preparar = "&amp;TEXT(E296,"#,##0.00")&amp;" kg   (rendimiento "&amp;TEXT(E294,"0%")&amp;")"</f>
        <v>Línea: Budines     |     Versión n°: 1
Lote = 1 cajas × 12 unid./caja = 12 unidades
Producto terminado = 2,40 kg
Mezcla a preparar = 2,82 kg   (rendimiento 85%)</v>
      </c>
      <c r="G291" s="48"/>
      <c r="H291" s="48"/>
      <c r="I291" s="48"/>
      <c r="J291" s="48"/>
      <c r="K291" s="48"/>
      <c r="L291" s="49"/>
      <c r="M291" s="30"/>
      <c r="O291" s="3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ht="19.5" customHeight="1">
      <c r="A292" s="1"/>
      <c r="B292" s="45" t="s">
        <v>62</v>
      </c>
      <c r="C292" s="38"/>
      <c r="D292" s="43"/>
      <c r="E292" s="46">
        <v>12.0</v>
      </c>
      <c r="F292" s="65"/>
      <c r="L292" s="31"/>
      <c r="M292" s="30"/>
      <c r="O292" s="3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ht="19.5" customHeight="1">
      <c r="A293" s="1"/>
      <c r="B293" s="45" t="s">
        <v>75</v>
      </c>
      <c r="C293" s="38"/>
      <c r="D293" s="43"/>
      <c r="E293" s="46">
        <v>200.0</v>
      </c>
      <c r="F293" s="65"/>
      <c r="L293" s="31"/>
      <c r="M293" s="30"/>
      <c r="O293" s="3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ht="19.5" customHeight="1">
      <c r="A294" s="1"/>
      <c r="B294" s="45" t="s">
        <v>83</v>
      </c>
      <c r="C294" s="38"/>
      <c r="D294" s="43"/>
      <c r="E294" s="88">
        <v>0.85</v>
      </c>
      <c r="F294" s="65"/>
      <c r="L294" s="31"/>
      <c r="M294" s="30"/>
      <c r="O294" s="3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ht="19.5" customHeight="1">
      <c r="A295" s="1"/>
      <c r="B295" s="45" t="s">
        <v>88</v>
      </c>
      <c r="C295" s="38"/>
      <c r="D295" s="43"/>
      <c r="E295" s="92">
        <f>E291*E292*E293/1000</f>
        <v>2.4</v>
      </c>
      <c r="F295" s="65"/>
      <c r="L295" s="31"/>
      <c r="M295" s="30"/>
      <c r="O295" s="3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ht="19.5" customHeight="1">
      <c r="A296" s="1"/>
      <c r="B296" s="45" t="s">
        <v>96</v>
      </c>
      <c r="C296" s="38"/>
      <c r="D296" s="43"/>
      <c r="E296" s="92">
        <f>E295/E294</f>
        <v>2.823529412</v>
      </c>
      <c r="F296" s="98"/>
      <c r="G296" s="99"/>
      <c r="H296" s="99"/>
      <c r="I296" s="99"/>
      <c r="J296" s="99"/>
      <c r="K296" s="99"/>
      <c r="L296" s="100"/>
      <c r="M296" s="101"/>
      <c r="N296" s="99"/>
      <c r="O296" s="100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ht="19.5" customHeight="1">
      <c r="A297" s="1"/>
      <c r="B297" s="110" t="s">
        <v>113</v>
      </c>
      <c r="C297" s="233"/>
      <c r="D297" s="112" t="s">
        <v>321</v>
      </c>
      <c r="E297" s="112" t="s">
        <v>116</v>
      </c>
      <c r="F297" s="113" t="s">
        <v>117</v>
      </c>
      <c r="G297" s="38"/>
      <c r="H297" s="38"/>
      <c r="I297" s="38"/>
      <c r="J297" s="38"/>
      <c r="K297" s="40"/>
      <c r="L297" s="112" t="s">
        <v>46</v>
      </c>
      <c r="M297" s="112" t="s">
        <v>120</v>
      </c>
      <c r="N297" s="112" t="s">
        <v>121</v>
      </c>
      <c r="O297" s="112" t="s">
        <v>122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ht="19.5" customHeight="1">
      <c r="A298" s="1"/>
      <c r="B298" s="117"/>
      <c r="C298" s="233"/>
      <c r="D298" s="118"/>
      <c r="E298" s="118"/>
      <c r="F298" s="119" t="s">
        <v>129</v>
      </c>
      <c r="G298" s="119" t="s">
        <v>131</v>
      </c>
      <c r="H298" s="119" t="s">
        <v>132</v>
      </c>
      <c r="I298" s="119" t="s">
        <v>133</v>
      </c>
      <c r="J298" s="119" t="s">
        <v>134</v>
      </c>
      <c r="K298" s="119" t="s">
        <v>135</v>
      </c>
      <c r="L298" s="118"/>
      <c r="M298" s="118"/>
      <c r="N298" s="118"/>
      <c r="O298" s="118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ht="19.5" customHeight="1">
      <c r="A299" s="1"/>
      <c r="B299" s="234">
        <v>1.0</v>
      </c>
      <c r="C299" s="235"/>
      <c r="D299" s="236" t="s">
        <v>34</v>
      </c>
      <c r="E299" s="237" t="s">
        <v>511</v>
      </c>
      <c r="F299" s="124" t="s">
        <v>144</v>
      </c>
      <c r="G299" s="126"/>
      <c r="H299" s="126"/>
      <c r="I299" s="126"/>
      <c r="J299" s="126"/>
      <c r="K299" s="126"/>
      <c r="L299" s="238" t="s">
        <v>146</v>
      </c>
      <c r="M299" s="239">
        <f>$E$291</f>
        <v>1</v>
      </c>
      <c r="N299" s="236" t="s">
        <v>147</v>
      </c>
      <c r="O299" s="240" t="s">
        <v>148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ht="19.5" customHeight="1">
      <c r="A300" s="1"/>
      <c r="B300" s="130">
        <v>2.0</v>
      </c>
      <c r="C300" s="131" t="s">
        <v>34</v>
      </c>
      <c r="D300" s="132" t="s">
        <v>177</v>
      </c>
      <c r="E300" s="133" t="s">
        <v>503</v>
      </c>
      <c r="F300" s="134"/>
      <c r="G300" s="135" t="s">
        <v>144</v>
      </c>
      <c r="H300" s="134"/>
      <c r="I300" s="134"/>
      <c r="J300" s="134"/>
      <c r="K300" s="134"/>
      <c r="L300" s="137">
        <f t="shared" ref="L300:L315" si="129">+M300/$M$316</f>
        <v>0.1958</v>
      </c>
      <c r="M300" s="138">
        <v>0.6211764705882353</v>
      </c>
      <c r="N300" s="132" t="s">
        <v>157</v>
      </c>
      <c r="O300" s="139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ht="19.5" customHeight="1">
      <c r="A301" s="1"/>
      <c r="B301" s="130">
        <v>3.0</v>
      </c>
      <c r="C301" s="131" t="s">
        <v>34</v>
      </c>
      <c r="D301" s="132" t="s">
        <v>332</v>
      </c>
      <c r="E301" s="133" t="s">
        <v>512</v>
      </c>
      <c r="F301" s="134"/>
      <c r="G301" s="135" t="s">
        <v>144</v>
      </c>
      <c r="H301" s="134"/>
      <c r="I301" s="134"/>
      <c r="J301" s="134"/>
      <c r="K301" s="134"/>
      <c r="L301" s="137">
        <f t="shared" si="129"/>
        <v>0.1424</v>
      </c>
      <c r="M301" s="138">
        <v>0.45176470588235296</v>
      </c>
      <c r="N301" s="132" t="s">
        <v>157</v>
      </c>
      <c r="O301" s="139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ht="19.5" customHeight="1">
      <c r="A302" s="1"/>
      <c r="B302" s="130">
        <v>4.0</v>
      </c>
      <c r="C302" s="131" t="s">
        <v>34</v>
      </c>
      <c r="D302" s="132" t="s">
        <v>123</v>
      </c>
      <c r="E302" s="133" t="s">
        <v>163</v>
      </c>
      <c r="F302" s="134"/>
      <c r="G302" s="135" t="s">
        <v>144</v>
      </c>
      <c r="H302" s="134"/>
      <c r="I302" s="134"/>
      <c r="J302" s="134"/>
      <c r="K302" s="134"/>
      <c r="L302" s="137">
        <f t="shared" si="129"/>
        <v>0.1246</v>
      </c>
      <c r="M302" s="138">
        <v>0.3952941176470589</v>
      </c>
      <c r="N302" s="132" t="s">
        <v>157</v>
      </c>
      <c r="O302" s="139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ht="19.5" customHeight="1">
      <c r="A303" s="1"/>
      <c r="B303" s="130">
        <v>5.0</v>
      </c>
      <c r="C303" s="131" t="s">
        <v>34</v>
      </c>
      <c r="D303" s="132" t="s">
        <v>63</v>
      </c>
      <c r="E303" s="133" t="s">
        <v>153</v>
      </c>
      <c r="F303" s="134"/>
      <c r="G303" s="135" t="s">
        <v>144</v>
      </c>
      <c r="H303" s="134"/>
      <c r="I303" s="134"/>
      <c r="J303" s="134"/>
      <c r="K303" s="134"/>
      <c r="L303" s="137">
        <f t="shared" si="129"/>
        <v>0.1068</v>
      </c>
      <c r="M303" s="138">
        <v>0.3388235294117647</v>
      </c>
      <c r="N303" s="132" t="s">
        <v>157</v>
      </c>
      <c r="O303" s="139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ht="19.5" customHeight="1">
      <c r="A304" s="1"/>
      <c r="B304" s="130">
        <v>6.0</v>
      </c>
      <c r="C304" s="131" t="s">
        <v>34</v>
      </c>
      <c r="D304" s="132" t="s">
        <v>324</v>
      </c>
      <c r="E304" s="133" t="s">
        <v>501</v>
      </c>
      <c r="F304" s="134"/>
      <c r="G304" s="135" t="s">
        <v>144</v>
      </c>
      <c r="H304" s="134"/>
      <c r="I304" s="134"/>
      <c r="J304" s="134"/>
      <c r="K304" s="134"/>
      <c r="L304" s="137">
        <f t="shared" si="129"/>
        <v>0.0979</v>
      </c>
      <c r="M304" s="138">
        <v>0.31058823529411766</v>
      </c>
      <c r="N304" s="132" t="s">
        <v>157</v>
      </c>
      <c r="O304" s="139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ht="19.5" customHeight="1">
      <c r="A305" s="1"/>
      <c r="B305" s="130">
        <v>7.0</v>
      </c>
      <c r="C305" s="131" t="s">
        <v>34</v>
      </c>
      <c r="D305" s="132" t="s">
        <v>158</v>
      </c>
      <c r="E305" s="133" t="s">
        <v>208</v>
      </c>
      <c r="F305" s="134"/>
      <c r="G305" s="135" t="s">
        <v>144</v>
      </c>
      <c r="H305" s="134"/>
      <c r="I305" s="134"/>
      <c r="J305" s="134"/>
      <c r="K305" s="134"/>
      <c r="L305" s="137">
        <f t="shared" si="129"/>
        <v>0.0534</v>
      </c>
      <c r="M305" s="138">
        <v>0.16941176470588235</v>
      </c>
      <c r="N305" s="132" t="s">
        <v>157</v>
      </c>
      <c r="O305" s="139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ht="19.5" customHeight="1">
      <c r="A306" s="1"/>
      <c r="B306" s="130">
        <v>8.0</v>
      </c>
      <c r="C306" s="131" t="s">
        <v>34</v>
      </c>
      <c r="D306" s="132" t="s">
        <v>293</v>
      </c>
      <c r="E306" s="133" t="s">
        <v>372</v>
      </c>
      <c r="F306" s="134"/>
      <c r="G306" s="135" t="s">
        <v>144</v>
      </c>
      <c r="H306" s="134"/>
      <c r="I306" s="134"/>
      <c r="J306" s="134"/>
      <c r="K306" s="134"/>
      <c r="L306" s="137">
        <f t="shared" si="129"/>
        <v>0.0534</v>
      </c>
      <c r="M306" s="138">
        <v>0.16941176470588235</v>
      </c>
      <c r="N306" s="132" t="s">
        <v>157</v>
      </c>
      <c r="O306" s="139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ht="19.5" customHeight="1">
      <c r="A307" s="1"/>
      <c r="B307" s="130">
        <v>9.0</v>
      </c>
      <c r="C307" s="131" t="s">
        <v>34</v>
      </c>
      <c r="D307" s="132" t="s">
        <v>243</v>
      </c>
      <c r="E307" s="133" t="s">
        <v>346</v>
      </c>
      <c r="F307" s="134"/>
      <c r="G307" s="135" t="s">
        <v>144</v>
      </c>
      <c r="H307" s="134"/>
      <c r="I307" s="134"/>
      <c r="J307" s="134"/>
      <c r="K307" s="134"/>
      <c r="L307" s="137">
        <f t="shared" si="129"/>
        <v>0.0445</v>
      </c>
      <c r="M307" s="138">
        <v>0.14117647058823532</v>
      </c>
      <c r="N307" s="132" t="s">
        <v>157</v>
      </c>
      <c r="O307" s="139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ht="19.5" customHeight="1">
      <c r="A308" s="1"/>
      <c r="B308" s="130">
        <v>10.0</v>
      </c>
      <c r="C308" s="131" t="s">
        <v>34</v>
      </c>
      <c r="D308" s="132" t="s">
        <v>319</v>
      </c>
      <c r="E308" s="133" t="s">
        <v>459</v>
      </c>
      <c r="F308" s="134"/>
      <c r="G308" s="135" t="s">
        <v>144</v>
      </c>
      <c r="H308" s="134"/>
      <c r="I308" s="134"/>
      <c r="J308" s="134"/>
      <c r="K308" s="134"/>
      <c r="L308" s="137">
        <f t="shared" si="129"/>
        <v>0.0178</v>
      </c>
      <c r="M308" s="138">
        <v>0.05647058823529412</v>
      </c>
      <c r="N308" s="132" t="s">
        <v>157</v>
      </c>
      <c r="O308" s="139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ht="19.5" customHeight="1">
      <c r="A309" s="1"/>
      <c r="B309" s="130">
        <v>11.0</v>
      </c>
      <c r="C309" s="131" t="s">
        <v>34</v>
      </c>
      <c r="D309" s="132" t="s">
        <v>309</v>
      </c>
      <c r="E309" s="133" t="s">
        <v>378</v>
      </c>
      <c r="F309" s="134"/>
      <c r="G309" s="135" t="s">
        <v>144</v>
      </c>
      <c r="H309" s="134"/>
      <c r="I309" s="134"/>
      <c r="J309" s="134"/>
      <c r="K309" s="134"/>
      <c r="L309" s="137">
        <f t="shared" si="129"/>
        <v>0.0178</v>
      </c>
      <c r="M309" s="138">
        <v>0.05647058823529412</v>
      </c>
      <c r="N309" s="132" t="s">
        <v>157</v>
      </c>
      <c r="O309" s="139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ht="19.5" customHeight="1">
      <c r="A310" s="1"/>
      <c r="B310" s="130">
        <v>12.0</v>
      </c>
      <c r="C310" s="131" t="s">
        <v>34</v>
      </c>
      <c r="D310" s="132" t="s">
        <v>89</v>
      </c>
      <c r="E310" s="133" t="s">
        <v>214</v>
      </c>
      <c r="F310" s="134"/>
      <c r="G310" s="135" t="s">
        <v>144</v>
      </c>
      <c r="H310" s="134"/>
      <c r="I310" s="134"/>
      <c r="J310" s="134"/>
      <c r="K310" s="134"/>
      <c r="L310" s="137">
        <f t="shared" si="129"/>
        <v>0.0089</v>
      </c>
      <c r="M310" s="138">
        <v>0.02823529411764706</v>
      </c>
      <c r="N310" s="132" t="s">
        <v>157</v>
      </c>
      <c r="O310" s="139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ht="19.5" customHeight="1">
      <c r="A311" s="1"/>
      <c r="B311" s="130">
        <v>13.0</v>
      </c>
      <c r="C311" s="131" t="s">
        <v>34</v>
      </c>
      <c r="D311" s="132" t="s">
        <v>105</v>
      </c>
      <c r="E311" s="133" t="s">
        <v>473</v>
      </c>
      <c r="F311" s="134"/>
      <c r="G311" s="135" t="s">
        <v>144</v>
      </c>
      <c r="H311" s="134"/>
      <c r="I311" s="134"/>
      <c r="J311" s="134"/>
      <c r="K311" s="134"/>
      <c r="L311" s="137">
        <f t="shared" si="129"/>
        <v>0.0089</v>
      </c>
      <c r="M311" s="138">
        <v>0.02823529411764706</v>
      </c>
      <c r="N311" s="132" t="s">
        <v>157</v>
      </c>
      <c r="O311" s="139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ht="19.5" customHeight="1">
      <c r="A312" s="1"/>
      <c r="B312" s="130">
        <v>14.0</v>
      </c>
      <c r="C312" s="131" t="s">
        <v>34</v>
      </c>
      <c r="D312" s="132" t="s">
        <v>322</v>
      </c>
      <c r="E312" s="133" t="s">
        <v>498</v>
      </c>
      <c r="F312" s="134"/>
      <c r="G312" s="135" t="s">
        <v>144</v>
      </c>
      <c r="H312" s="134"/>
      <c r="I312" s="134"/>
      <c r="J312" s="134"/>
      <c r="K312" s="134"/>
      <c r="L312" s="137">
        <f t="shared" si="129"/>
        <v>0.01068</v>
      </c>
      <c r="M312" s="138">
        <v>0.033882352941176475</v>
      </c>
      <c r="N312" s="132" t="s">
        <v>157</v>
      </c>
      <c r="O312" s="139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ht="19.5" customHeight="1">
      <c r="A313" s="1"/>
      <c r="B313" s="130">
        <v>15.0</v>
      </c>
      <c r="C313" s="131" t="s">
        <v>34</v>
      </c>
      <c r="D313" s="132" t="s">
        <v>76</v>
      </c>
      <c r="E313" s="133" t="s">
        <v>218</v>
      </c>
      <c r="F313" s="134"/>
      <c r="G313" s="135" t="s">
        <v>144</v>
      </c>
      <c r="H313" s="134"/>
      <c r="I313" s="134"/>
      <c r="J313" s="134"/>
      <c r="K313" s="134"/>
      <c r="L313" s="137">
        <f t="shared" si="129"/>
        <v>0.00445</v>
      </c>
      <c r="M313" s="138">
        <v>0.01411764705882353</v>
      </c>
      <c r="N313" s="132" t="s">
        <v>157</v>
      </c>
      <c r="O313" s="139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ht="19.5" customHeight="1">
      <c r="A314" s="1"/>
      <c r="B314" s="130">
        <v>16.0</v>
      </c>
      <c r="C314" s="131" t="s">
        <v>34</v>
      </c>
      <c r="D314" s="132" t="s">
        <v>335</v>
      </c>
      <c r="E314" s="133" t="s">
        <v>513</v>
      </c>
      <c r="F314" s="134"/>
      <c r="G314" s="135" t="s">
        <v>144</v>
      </c>
      <c r="H314" s="134"/>
      <c r="I314" s="134"/>
      <c r="J314" s="134"/>
      <c r="K314" s="134"/>
      <c r="L314" s="137">
        <f t="shared" si="129"/>
        <v>0.00267</v>
      </c>
      <c r="M314" s="138">
        <v>0.008470588235294119</v>
      </c>
      <c r="N314" s="132" t="s">
        <v>157</v>
      </c>
      <c r="O314" s="139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ht="19.5" customHeight="1">
      <c r="A315" s="1"/>
      <c r="B315" s="130"/>
      <c r="C315" s="131"/>
      <c r="D315" s="181"/>
      <c r="E315" s="182" t="s">
        <v>256</v>
      </c>
      <c r="F315" s="183"/>
      <c r="G315" s="185"/>
      <c r="H315" s="183"/>
      <c r="I315" s="183"/>
      <c r="J315" s="183"/>
      <c r="K315" s="186"/>
      <c r="L315" s="137">
        <f t="shared" si="129"/>
        <v>0.11</v>
      </c>
      <c r="M315" s="138">
        <v>0.3489755452742896</v>
      </c>
      <c r="N315" s="132"/>
      <c r="O315" s="139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ht="19.5" customHeight="1">
      <c r="A316" s="1"/>
      <c r="B316" s="191"/>
      <c r="C316" s="192"/>
      <c r="D316" s="45" t="s">
        <v>266</v>
      </c>
      <c r="E316" s="38"/>
      <c r="F316" s="38"/>
      <c r="G316" s="38"/>
      <c r="H316" s="38"/>
      <c r="I316" s="38"/>
      <c r="J316" s="38"/>
      <c r="K316" s="43"/>
      <c r="L316" s="194">
        <f>+SUM(L300:L315)</f>
        <v>1</v>
      </c>
      <c r="M316" s="197">
        <f>+SUM(M300:M314)/0.89</f>
        <v>3.172504957</v>
      </c>
      <c r="N316" s="199" t="s">
        <v>157</v>
      </c>
      <c r="O316" s="200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ht="19.5" customHeight="1">
      <c r="A317" s="1"/>
      <c r="B317" s="208" t="s">
        <v>273</v>
      </c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40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ht="19.5" customHeight="1">
      <c r="A318" s="1"/>
      <c r="B318" s="211">
        <v>17.0</v>
      </c>
      <c r="C318" s="131" t="s">
        <v>34</v>
      </c>
      <c r="D318" s="212" t="s">
        <v>538</v>
      </c>
      <c r="E318" s="213" t="s">
        <v>540</v>
      </c>
      <c r="F318" s="214"/>
      <c r="G318" s="215" t="s">
        <v>144</v>
      </c>
      <c r="H318" s="214"/>
      <c r="I318" s="214"/>
      <c r="J318" s="214"/>
      <c r="K318" s="214"/>
      <c r="L318" s="216" t="s">
        <v>146</v>
      </c>
      <c r="M318" s="217">
        <f t="shared" ref="M318:M319" si="130">$E$291*$E$292</f>
        <v>12</v>
      </c>
      <c r="N318" s="212" t="s">
        <v>278</v>
      </c>
      <c r="O318" s="219" t="s">
        <v>279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ht="19.5" customHeight="1">
      <c r="A319" s="1"/>
      <c r="B319" s="211">
        <v>18.0</v>
      </c>
      <c r="C319" s="131" t="s">
        <v>34</v>
      </c>
      <c r="D319" s="212" t="s">
        <v>276</v>
      </c>
      <c r="E319" s="213" t="s">
        <v>277</v>
      </c>
      <c r="F319" s="214"/>
      <c r="G319" s="215" t="s">
        <v>144</v>
      </c>
      <c r="H319" s="214"/>
      <c r="I319" s="214"/>
      <c r="J319" s="214"/>
      <c r="K319" s="214"/>
      <c r="L319" s="216" t="s">
        <v>146</v>
      </c>
      <c r="M319" s="217">
        <f t="shared" si="130"/>
        <v>12</v>
      </c>
      <c r="N319" s="212" t="s">
        <v>278</v>
      </c>
      <c r="O319" s="219" t="s">
        <v>279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ht="19.5" customHeight="1">
      <c r="A320" s="1"/>
      <c r="B320" s="211">
        <v>19.0</v>
      </c>
      <c r="C320" s="131" t="s">
        <v>34</v>
      </c>
      <c r="D320" s="212" t="s">
        <v>282</v>
      </c>
      <c r="E320" s="213" t="s">
        <v>283</v>
      </c>
      <c r="F320" s="214"/>
      <c r="G320" s="215" t="s">
        <v>144</v>
      </c>
      <c r="H320" s="214"/>
      <c r="I320" s="214"/>
      <c r="J320" s="214"/>
      <c r="K320" s="214"/>
      <c r="L320" s="216" t="s">
        <v>146</v>
      </c>
      <c r="M320" s="217">
        <f t="shared" ref="M320:M321" si="131">$E$291</f>
        <v>1</v>
      </c>
      <c r="N320" s="212" t="s">
        <v>278</v>
      </c>
      <c r="O320" s="219" t="s">
        <v>284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ht="19.5" customHeight="1">
      <c r="A321" s="1"/>
      <c r="B321" s="211">
        <v>20.0</v>
      </c>
      <c r="C321" s="131" t="s">
        <v>34</v>
      </c>
      <c r="D321" s="212" t="s">
        <v>291</v>
      </c>
      <c r="E321" s="213" t="s">
        <v>292</v>
      </c>
      <c r="F321" s="214"/>
      <c r="G321" s="215" t="s">
        <v>144</v>
      </c>
      <c r="H321" s="214"/>
      <c r="I321" s="214"/>
      <c r="J321" s="214"/>
      <c r="K321" s="214"/>
      <c r="L321" s="216" t="s">
        <v>146</v>
      </c>
      <c r="M321" s="217">
        <f t="shared" si="131"/>
        <v>1</v>
      </c>
      <c r="N321" s="212" t="s">
        <v>278</v>
      </c>
      <c r="O321" s="219" t="s">
        <v>284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ht="19.5" customHeight="1">
      <c r="A323" s="1"/>
      <c r="B323" s="9"/>
      <c r="C323" s="229"/>
      <c r="D323" s="230" t="s">
        <v>553</v>
      </c>
      <c r="E323" s="13"/>
      <c r="F323" s="13"/>
      <c r="G323" s="13"/>
      <c r="H323" s="13"/>
      <c r="I323" s="13"/>
      <c r="J323" s="13"/>
      <c r="K323" s="13"/>
      <c r="L323" s="14"/>
      <c r="M323" s="15" t="s">
        <v>8</v>
      </c>
      <c r="N323" s="16"/>
      <c r="O323" s="17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ht="19.5" customHeight="1">
      <c r="A324" s="1"/>
      <c r="B324" s="22"/>
      <c r="C324" s="22"/>
      <c r="D324" s="24" t="s">
        <v>16</v>
      </c>
      <c r="E324" s="28">
        <f>SUMIFS('Plan de ventas'!$O$48:$O$60,'Plan de ventas'!$B$48:$B$60,D333)*1000</f>
        <v>60611.61472</v>
      </c>
      <c r="F324" s="29"/>
      <c r="G324" s="29"/>
      <c r="H324" s="29"/>
      <c r="I324" s="29"/>
      <c r="J324" s="29"/>
      <c r="K324" s="29"/>
      <c r="L324" s="29"/>
      <c r="M324" s="30"/>
      <c r="O324" s="3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ht="19.5" customHeight="1">
      <c r="A325" s="1"/>
      <c r="B325" s="45" t="s">
        <v>41</v>
      </c>
      <c r="C325" s="38"/>
      <c r="D325" s="43"/>
      <c r="E325" s="46">
        <v>1.0</v>
      </c>
      <c r="F325" s="47" t="str">
        <f>"Línea: Budines     |     Versión n°: 1"&amp;CHAR(10)&amp;CHAR(10)&amp;"Lote = "&amp;E325&amp;" cajas × "&amp;E326&amp;" unid./caja = "&amp;(E325*E326)&amp;" unidades"&amp;CHAR(10)&amp;"Producto terminado = "&amp;TEXT(E329,"#,##0.00")&amp;" kg"&amp;CHAR(10)&amp;"Mezcla a preparar = "&amp;TEXT(E330,"#,##0.00")&amp;" kg   (rendimiento "&amp;TEXT(E328,"0%")&amp;")"</f>
        <v>Línea: Budines     |     Versión n°: 1
Lote = 1 cajas × 12 unid./caja = 12 unidades
Producto terminado = 2,40 kg
Mezcla a preparar = 2,82 kg   (rendimiento 85%)</v>
      </c>
      <c r="G325" s="48"/>
      <c r="H325" s="48"/>
      <c r="I325" s="48"/>
      <c r="J325" s="48"/>
      <c r="K325" s="48"/>
      <c r="L325" s="49"/>
      <c r="M325" s="30"/>
      <c r="O325" s="3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ht="19.5" customHeight="1">
      <c r="A326" s="1"/>
      <c r="B326" s="45" t="s">
        <v>62</v>
      </c>
      <c r="C326" s="38"/>
      <c r="D326" s="43"/>
      <c r="E326" s="46">
        <v>12.0</v>
      </c>
      <c r="F326" s="65"/>
      <c r="L326" s="31"/>
      <c r="M326" s="30"/>
      <c r="O326" s="3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ht="19.5" customHeight="1">
      <c r="A327" s="1"/>
      <c r="B327" s="45" t="s">
        <v>75</v>
      </c>
      <c r="C327" s="38"/>
      <c r="D327" s="43"/>
      <c r="E327" s="46">
        <v>200.0</v>
      </c>
      <c r="F327" s="65"/>
      <c r="L327" s="31"/>
      <c r="M327" s="30"/>
      <c r="O327" s="3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ht="19.5" customHeight="1">
      <c r="A328" s="1"/>
      <c r="B328" s="45" t="s">
        <v>83</v>
      </c>
      <c r="C328" s="38"/>
      <c r="D328" s="43"/>
      <c r="E328" s="88">
        <v>0.85</v>
      </c>
      <c r="F328" s="65"/>
      <c r="L328" s="31"/>
      <c r="M328" s="30"/>
      <c r="O328" s="3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ht="19.5" customHeight="1">
      <c r="A329" s="1"/>
      <c r="B329" s="45" t="s">
        <v>88</v>
      </c>
      <c r="C329" s="38"/>
      <c r="D329" s="43"/>
      <c r="E329" s="92">
        <f>E325*E326*E327/1000</f>
        <v>2.4</v>
      </c>
      <c r="F329" s="65"/>
      <c r="L329" s="31"/>
      <c r="M329" s="30"/>
      <c r="O329" s="3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ht="19.5" customHeight="1">
      <c r="A330" s="1"/>
      <c r="B330" s="45" t="s">
        <v>96</v>
      </c>
      <c r="C330" s="38"/>
      <c r="D330" s="43"/>
      <c r="E330" s="92">
        <f>E329/E328</f>
        <v>2.823529412</v>
      </c>
      <c r="F330" s="98"/>
      <c r="G330" s="99"/>
      <c r="H330" s="99"/>
      <c r="I330" s="99"/>
      <c r="J330" s="99"/>
      <c r="K330" s="99"/>
      <c r="L330" s="100"/>
      <c r="M330" s="101"/>
      <c r="N330" s="99"/>
      <c r="O330" s="100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ht="19.5" customHeight="1">
      <c r="A331" s="1"/>
      <c r="B331" s="110" t="s">
        <v>113</v>
      </c>
      <c r="C331" s="233"/>
      <c r="D331" s="112" t="s">
        <v>321</v>
      </c>
      <c r="E331" s="112" t="s">
        <v>116</v>
      </c>
      <c r="F331" s="113" t="s">
        <v>117</v>
      </c>
      <c r="G331" s="38"/>
      <c r="H331" s="38"/>
      <c r="I331" s="38"/>
      <c r="J331" s="38"/>
      <c r="K331" s="40"/>
      <c r="L331" s="112" t="s">
        <v>46</v>
      </c>
      <c r="M331" s="112" t="s">
        <v>120</v>
      </c>
      <c r="N331" s="112" t="s">
        <v>121</v>
      </c>
      <c r="O331" s="112" t="s">
        <v>122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ht="19.5" customHeight="1">
      <c r="A332" s="1"/>
      <c r="B332" s="117"/>
      <c r="C332" s="233"/>
      <c r="D332" s="118"/>
      <c r="E332" s="118"/>
      <c r="F332" s="119" t="s">
        <v>129</v>
      </c>
      <c r="G332" s="119" t="s">
        <v>131</v>
      </c>
      <c r="H332" s="119" t="s">
        <v>132</v>
      </c>
      <c r="I332" s="119" t="s">
        <v>133</v>
      </c>
      <c r="J332" s="119" t="s">
        <v>134</v>
      </c>
      <c r="K332" s="119" t="s">
        <v>135</v>
      </c>
      <c r="L332" s="118"/>
      <c r="M332" s="118"/>
      <c r="N332" s="118"/>
      <c r="O332" s="118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ht="19.5" customHeight="1">
      <c r="A333" s="1"/>
      <c r="B333" s="234">
        <v>1.0</v>
      </c>
      <c r="C333" s="235"/>
      <c r="D333" s="236" t="s">
        <v>35</v>
      </c>
      <c r="E333" s="237" t="s">
        <v>591</v>
      </c>
      <c r="F333" s="124" t="s">
        <v>144</v>
      </c>
      <c r="G333" s="126"/>
      <c r="H333" s="126"/>
      <c r="I333" s="126"/>
      <c r="J333" s="126"/>
      <c r="K333" s="126"/>
      <c r="L333" s="238" t="s">
        <v>146</v>
      </c>
      <c r="M333" s="239">
        <f>$E$325</f>
        <v>1</v>
      </c>
      <c r="N333" s="236" t="s">
        <v>147</v>
      </c>
      <c r="O333" s="240" t="s">
        <v>148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ht="19.5" customHeight="1">
      <c r="A334" s="1"/>
      <c r="B334" s="130">
        <v>2.0</v>
      </c>
      <c r="C334" s="131" t="s">
        <v>35</v>
      </c>
      <c r="D334" s="132" t="s">
        <v>177</v>
      </c>
      <c r="E334" s="133" t="s">
        <v>503</v>
      </c>
      <c r="F334" s="134"/>
      <c r="G334" s="135" t="s">
        <v>144</v>
      </c>
      <c r="H334" s="134"/>
      <c r="I334" s="134"/>
      <c r="J334" s="134"/>
      <c r="K334" s="134"/>
      <c r="L334" s="137">
        <f t="shared" ref="L334:L350" si="132">+M334/$M$351</f>
        <v>0.178</v>
      </c>
      <c r="M334" s="138">
        <v>0.5647058823529413</v>
      </c>
      <c r="N334" s="132" t="s">
        <v>157</v>
      </c>
      <c r="O334" s="139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ht="19.5" customHeight="1">
      <c r="A335" s="1"/>
      <c r="B335" s="130">
        <v>3.0</v>
      </c>
      <c r="C335" s="131" t="s">
        <v>35</v>
      </c>
      <c r="D335" s="132" t="s">
        <v>332</v>
      </c>
      <c r="E335" s="133" t="s">
        <v>512</v>
      </c>
      <c r="F335" s="134"/>
      <c r="G335" s="135" t="s">
        <v>144</v>
      </c>
      <c r="H335" s="134"/>
      <c r="I335" s="134"/>
      <c r="J335" s="134"/>
      <c r="K335" s="134"/>
      <c r="L335" s="137">
        <f t="shared" si="132"/>
        <v>0.1335</v>
      </c>
      <c r="M335" s="138">
        <v>0.4235294117647059</v>
      </c>
      <c r="N335" s="132" t="s">
        <v>157</v>
      </c>
      <c r="O335" s="139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ht="19.5" customHeight="1">
      <c r="A336" s="1"/>
      <c r="B336" s="130">
        <v>4.0</v>
      </c>
      <c r="C336" s="131" t="s">
        <v>35</v>
      </c>
      <c r="D336" s="132" t="s">
        <v>123</v>
      </c>
      <c r="E336" s="133" t="s">
        <v>163</v>
      </c>
      <c r="F336" s="134"/>
      <c r="G336" s="135" t="s">
        <v>144</v>
      </c>
      <c r="H336" s="134"/>
      <c r="I336" s="134"/>
      <c r="J336" s="134"/>
      <c r="K336" s="134"/>
      <c r="L336" s="137">
        <f t="shared" si="132"/>
        <v>0.1157</v>
      </c>
      <c r="M336" s="138">
        <v>0.3670588235294118</v>
      </c>
      <c r="N336" s="132" t="s">
        <v>157</v>
      </c>
      <c r="O336" s="139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ht="19.5" customHeight="1">
      <c r="A337" s="1"/>
      <c r="B337" s="130">
        <v>5.0</v>
      </c>
      <c r="C337" s="131" t="s">
        <v>35</v>
      </c>
      <c r="D337" s="132" t="s">
        <v>63</v>
      </c>
      <c r="E337" s="133" t="s">
        <v>153</v>
      </c>
      <c r="F337" s="134"/>
      <c r="G337" s="135" t="s">
        <v>144</v>
      </c>
      <c r="H337" s="134"/>
      <c r="I337" s="134"/>
      <c r="J337" s="134"/>
      <c r="K337" s="134"/>
      <c r="L337" s="137">
        <f t="shared" si="132"/>
        <v>0.0979</v>
      </c>
      <c r="M337" s="138">
        <v>0.31058823529411766</v>
      </c>
      <c r="N337" s="132" t="s">
        <v>157</v>
      </c>
      <c r="O337" s="139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ht="19.5" customHeight="1">
      <c r="A338" s="1"/>
      <c r="B338" s="130">
        <v>6.0</v>
      </c>
      <c r="C338" s="131" t="s">
        <v>35</v>
      </c>
      <c r="D338" s="132" t="s">
        <v>324</v>
      </c>
      <c r="E338" s="133" t="s">
        <v>501</v>
      </c>
      <c r="F338" s="134"/>
      <c r="G338" s="135" t="s">
        <v>144</v>
      </c>
      <c r="H338" s="134"/>
      <c r="I338" s="134"/>
      <c r="J338" s="134"/>
      <c r="K338" s="134"/>
      <c r="L338" s="137">
        <f t="shared" si="132"/>
        <v>0.089</v>
      </c>
      <c r="M338" s="138">
        <v>0.28235294117647064</v>
      </c>
      <c r="N338" s="132" t="s">
        <v>157</v>
      </c>
      <c r="O338" s="139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ht="19.5" customHeight="1">
      <c r="A339" s="1"/>
      <c r="B339" s="130">
        <v>7.0</v>
      </c>
      <c r="C339" s="131" t="s">
        <v>35</v>
      </c>
      <c r="D339" s="132" t="s">
        <v>173</v>
      </c>
      <c r="E339" s="133" t="s">
        <v>186</v>
      </c>
      <c r="F339" s="134"/>
      <c r="G339" s="135" t="s">
        <v>144</v>
      </c>
      <c r="H339" s="134"/>
      <c r="I339" s="134"/>
      <c r="J339" s="134"/>
      <c r="K339" s="134"/>
      <c r="L339" s="137">
        <f t="shared" si="132"/>
        <v>0.0801</v>
      </c>
      <c r="M339" s="138">
        <v>0.25411764705882356</v>
      </c>
      <c r="N339" s="132" t="s">
        <v>157</v>
      </c>
      <c r="O339" s="139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ht="19.5" customHeight="1">
      <c r="A340" s="1"/>
      <c r="B340" s="130">
        <v>8.0</v>
      </c>
      <c r="C340" s="131" t="s">
        <v>35</v>
      </c>
      <c r="D340" s="132" t="s">
        <v>158</v>
      </c>
      <c r="E340" s="133" t="s">
        <v>208</v>
      </c>
      <c r="F340" s="134"/>
      <c r="G340" s="135" t="s">
        <v>144</v>
      </c>
      <c r="H340" s="134"/>
      <c r="I340" s="134"/>
      <c r="J340" s="134"/>
      <c r="K340" s="134"/>
      <c r="L340" s="137">
        <f t="shared" si="132"/>
        <v>0.0534</v>
      </c>
      <c r="M340" s="138">
        <v>0.16941176470588235</v>
      </c>
      <c r="N340" s="132" t="s">
        <v>157</v>
      </c>
      <c r="O340" s="139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ht="19.5" customHeight="1">
      <c r="A341" s="1"/>
      <c r="B341" s="130">
        <v>9.0</v>
      </c>
      <c r="C341" s="131" t="s">
        <v>35</v>
      </c>
      <c r="D341" s="132" t="s">
        <v>293</v>
      </c>
      <c r="E341" s="133" t="s">
        <v>372</v>
      </c>
      <c r="F341" s="134"/>
      <c r="G341" s="135" t="s">
        <v>144</v>
      </c>
      <c r="H341" s="134"/>
      <c r="I341" s="134"/>
      <c r="J341" s="134"/>
      <c r="K341" s="134"/>
      <c r="L341" s="137">
        <f t="shared" si="132"/>
        <v>0.0445</v>
      </c>
      <c r="M341" s="138">
        <v>0.14117647058823532</v>
      </c>
      <c r="N341" s="132" t="s">
        <v>157</v>
      </c>
      <c r="O341" s="139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ht="19.5" customHeight="1">
      <c r="A342" s="1"/>
      <c r="B342" s="130">
        <v>10.0</v>
      </c>
      <c r="C342" s="131" t="s">
        <v>35</v>
      </c>
      <c r="D342" s="132" t="s">
        <v>243</v>
      </c>
      <c r="E342" s="133" t="s">
        <v>346</v>
      </c>
      <c r="F342" s="134"/>
      <c r="G342" s="135" t="s">
        <v>144</v>
      </c>
      <c r="H342" s="134"/>
      <c r="I342" s="134"/>
      <c r="J342" s="134"/>
      <c r="K342" s="134"/>
      <c r="L342" s="137">
        <f t="shared" si="132"/>
        <v>0.0356</v>
      </c>
      <c r="M342" s="138">
        <v>0.11294117647058824</v>
      </c>
      <c r="N342" s="132" t="s">
        <v>157</v>
      </c>
      <c r="O342" s="139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ht="19.5" customHeight="1">
      <c r="A343" s="1"/>
      <c r="B343" s="130">
        <v>11.0</v>
      </c>
      <c r="C343" s="131" t="s">
        <v>35</v>
      </c>
      <c r="D343" s="132" t="s">
        <v>319</v>
      </c>
      <c r="E343" s="133" t="s">
        <v>459</v>
      </c>
      <c r="F343" s="134"/>
      <c r="G343" s="135" t="s">
        <v>144</v>
      </c>
      <c r="H343" s="134"/>
      <c r="I343" s="134"/>
      <c r="J343" s="134"/>
      <c r="K343" s="134"/>
      <c r="L343" s="137">
        <f t="shared" si="132"/>
        <v>0.0178</v>
      </c>
      <c r="M343" s="138">
        <v>0.05647058823529412</v>
      </c>
      <c r="N343" s="132" t="s">
        <v>157</v>
      </c>
      <c r="O343" s="139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ht="19.5" customHeight="1">
      <c r="A344" s="1"/>
      <c r="B344" s="130">
        <v>12.0</v>
      </c>
      <c r="C344" s="131" t="s">
        <v>35</v>
      </c>
      <c r="D344" s="132" t="s">
        <v>309</v>
      </c>
      <c r="E344" s="133" t="s">
        <v>378</v>
      </c>
      <c r="F344" s="134"/>
      <c r="G344" s="135" t="s">
        <v>144</v>
      </c>
      <c r="H344" s="134"/>
      <c r="I344" s="134"/>
      <c r="J344" s="134"/>
      <c r="K344" s="134"/>
      <c r="L344" s="137">
        <f t="shared" si="132"/>
        <v>0.0178</v>
      </c>
      <c r="M344" s="138">
        <v>0.05647058823529412</v>
      </c>
      <c r="N344" s="132" t="s">
        <v>157</v>
      </c>
      <c r="O344" s="139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ht="19.5" customHeight="1">
      <c r="A345" s="1"/>
      <c r="B345" s="130">
        <v>13.0</v>
      </c>
      <c r="C345" s="131" t="s">
        <v>35</v>
      </c>
      <c r="D345" s="132" t="s">
        <v>89</v>
      </c>
      <c r="E345" s="133" t="s">
        <v>214</v>
      </c>
      <c r="F345" s="134"/>
      <c r="G345" s="135" t="s">
        <v>144</v>
      </c>
      <c r="H345" s="134"/>
      <c r="I345" s="134"/>
      <c r="J345" s="134"/>
      <c r="K345" s="134"/>
      <c r="L345" s="137">
        <f t="shared" si="132"/>
        <v>0.0089</v>
      </c>
      <c r="M345" s="138">
        <v>0.02823529411764706</v>
      </c>
      <c r="N345" s="132" t="s">
        <v>157</v>
      </c>
      <c r="O345" s="139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ht="19.5" customHeight="1">
      <c r="A346" s="1"/>
      <c r="B346" s="130">
        <v>14.0</v>
      </c>
      <c r="C346" s="131" t="s">
        <v>35</v>
      </c>
      <c r="D346" s="132" t="s">
        <v>105</v>
      </c>
      <c r="E346" s="133" t="s">
        <v>473</v>
      </c>
      <c r="F346" s="134"/>
      <c r="G346" s="135" t="s">
        <v>144</v>
      </c>
      <c r="H346" s="134"/>
      <c r="I346" s="134"/>
      <c r="J346" s="134"/>
      <c r="K346" s="134"/>
      <c r="L346" s="137">
        <f t="shared" si="132"/>
        <v>0.0089</v>
      </c>
      <c r="M346" s="138">
        <v>0.02823529411764706</v>
      </c>
      <c r="N346" s="132" t="s">
        <v>157</v>
      </c>
      <c r="O346" s="139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ht="19.5" customHeight="1">
      <c r="A347" s="1"/>
      <c r="B347" s="130">
        <v>15.0</v>
      </c>
      <c r="C347" s="131" t="s">
        <v>35</v>
      </c>
      <c r="D347" s="132" t="s">
        <v>215</v>
      </c>
      <c r="E347" s="133" t="s">
        <v>235</v>
      </c>
      <c r="F347" s="134"/>
      <c r="G347" s="135" t="s">
        <v>144</v>
      </c>
      <c r="H347" s="134"/>
      <c r="I347" s="134"/>
      <c r="J347" s="134"/>
      <c r="K347" s="134"/>
      <c r="L347" s="137">
        <f t="shared" si="132"/>
        <v>0.00445</v>
      </c>
      <c r="M347" s="138">
        <v>0.01411764705882353</v>
      </c>
      <c r="N347" s="132" t="s">
        <v>157</v>
      </c>
      <c r="O347" s="139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ht="19.5" customHeight="1">
      <c r="A348" s="1"/>
      <c r="B348" s="130">
        <v>16.0</v>
      </c>
      <c r="C348" s="131" t="s">
        <v>35</v>
      </c>
      <c r="D348" s="132" t="s">
        <v>76</v>
      </c>
      <c r="E348" s="133" t="s">
        <v>218</v>
      </c>
      <c r="F348" s="134"/>
      <c r="G348" s="135" t="s">
        <v>144</v>
      </c>
      <c r="H348" s="134"/>
      <c r="I348" s="134"/>
      <c r="J348" s="134"/>
      <c r="K348" s="134"/>
      <c r="L348" s="137">
        <f t="shared" si="132"/>
        <v>0.00267</v>
      </c>
      <c r="M348" s="138">
        <v>0.008470588235294119</v>
      </c>
      <c r="N348" s="132" t="s">
        <v>157</v>
      </c>
      <c r="O348" s="139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ht="19.5" customHeight="1">
      <c r="A349" s="1"/>
      <c r="B349" s="130">
        <v>17.0</v>
      </c>
      <c r="C349" s="131" t="s">
        <v>35</v>
      </c>
      <c r="D349" s="132" t="s">
        <v>335</v>
      </c>
      <c r="E349" s="133" t="s">
        <v>513</v>
      </c>
      <c r="F349" s="134"/>
      <c r="G349" s="135" t="s">
        <v>144</v>
      </c>
      <c r="H349" s="134"/>
      <c r="I349" s="134"/>
      <c r="J349" s="134"/>
      <c r="K349" s="134"/>
      <c r="L349" s="137">
        <f t="shared" si="132"/>
        <v>0.00178</v>
      </c>
      <c r="M349" s="138">
        <v>0.005647058823529412</v>
      </c>
      <c r="N349" s="132" t="s">
        <v>157</v>
      </c>
      <c r="O349" s="139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ht="19.5" customHeight="1">
      <c r="A350" s="1"/>
      <c r="B350" s="130"/>
      <c r="C350" s="131"/>
      <c r="D350" s="181"/>
      <c r="E350" s="182" t="s">
        <v>256</v>
      </c>
      <c r="F350" s="183"/>
      <c r="G350" s="185"/>
      <c r="H350" s="183"/>
      <c r="I350" s="183"/>
      <c r="J350" s="183"/>
      <c r="K350" s="186"/>
      <c r="L350" s="137">
        <f t="shared" si="132"/>
        <v>0.11</v>
      </c>
      <c r="M350" s="138">
        <v>0.3489755452742896</v>
      </c>
      <c r="N350" s="132"/>
      <c r="O350" s="139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ht="19.5" customHeight="1">
      <c r="A351" s="1"/>
      <c r="B351" s="191"/>
      <c r="C351" s="192"/>
      <c r="D351" s="45" t="s">
        <v>266</v>
      </c>
      <c r="E351" s="38"/>
      <c r="F351" s="38"/>
      <c r="G351" s="38"/>
      <c r="H351" s="38"/>
      <c r="I351" s="38"/>
      <c r="J351" s="38"/>
      <c r="K351" s="43"/>
      <c r="L351" s="194">
        <f>+SUM(L334:L350)</f>
        <v>1</v>
      </c>
      <c r="M351" s="197">
        <f>+SUM(M334:M349)/0.89</f>
        <v>3.172504957</v>
      </c>
      <c r="N351" s="199" t="s">
        <v>157</v>
      </c>
      <c r="O351" s="200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ht="19.5" customHeight="1">
      <c r="A352" s="1"/>
      <c r="B352" s="208" t="s">
        <v>273</v>
      </c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40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ht="19.5" customHeight="1">
      <c r="A353" s="1"/>
      <c r="B353" s="211">
        <v>18.0</v>
      </c>
      <c r="C353" s="131" t="s">
        <v>35</v>
      </c>
      <c r="D353" s="212" t="s">
        <v>538</v>
      </c>
      <c r="E353" s="213" t="s">
        <v>540</v>
      </c>
      <c r="F353" s="214"/>
      <c r="G353" s="215" t="s">
        <v>144</v>
      </c>
      <c r="H353" s="214"/>
      <c r="I353" s="214"/>
      <c r="J353" s="214"/>
      <c r="K353" s="214"/>
      <c r="L353" s="216" t="s">
        <v>146</v>
      </c>
      <c r="M353" s="217">
        <f t="shared" ref="M353:M354" si="133">$E$325*$E$326</f>
        <v>12</v>
      </c>
      <c r="N353" s="212" t="s">
        <v>278</v>
      </c>
      <c r="O353" s="219" t="s">
        <v>279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ht="19.5" customHeight="1">
      <c r="A354" s="1"/>
      <c r="B354" s="211">
        <v>19.0</v>
      </c>
      <c r="C354" s="131" t="s">
        <v>35</v>
      </c>
      <c r="D354" s="212" t="s">
        <v>276</v>
      </c>
      <c r="E354" s="213" t="s">
        <v>277</v>
      </c>
      <c r="F354" s="214"/>
      <c r="G354" s="215" t="s">
        <v>144</v>
      </c>
      <c r="H354" s="214"/>
      <c r="I354" s="214"/>
      <c r="J354" s="214"/>
      <c r="K354" s="214"/>
      <c r="L354" s="216" t="s">
        <v>146</v>
      </c>
      <c r="M354" s="217">
        <f t="shared" si="133"/>
        <v>12</v>
      </c>
      <c r="N354" s="212" t="s">
        <v>278</v>
      </c>
      <c r="O354" s="219" t="s">
        <v>279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ht="19.5" customHeight="1">
      <c r="A355" s="1"/>
      <c r="B355" s="211">
        <v>20.0</v>
      </c>
      <c r="C355" s="131" t="s">
        <v>35</v>
      </c>
      <c r="D355" s="212" t="s">
        <v>282</v>
      </c>
      <c r="E355" s="213" t="s">
        <v>283</v>
      </c>
      <c r="F355" s="214"/>
      <c r="G355" s="215" t="s">
        <v>144</v>
      </c>
      <c r="H355" s="214"/>
      <c r="I355" s="214"/>
      <c r="J355" s="214"/>
      <c r="K355" s="214"/>
      <c r="L355" s="216" t="s">
        <v>146</v>
      </c>
      <c r="M355" s="217">
        <f t="shared" ref="M355:M356" si="134">$E$325</f>
        <v>1</v>
      </c>
      <c r="N355" s="212" t="s">
        <v>278</v>
      </c>
      <c r="O355" s="219" t="s">
        <v>284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ht="19.5" customHeight="1">
      <c r="A356" s="1"/>
      <c r="B356" s="211">
        <v>21.0</v>
      </c>
      <c r="C356" s="131" t="s">
        <v>35</v>
      </c>
      <c r="D356" s="212" t="s">
        <v>291</v>
      </c>
      <c r="E356" s="213" t="s">
        <v>292</v>
      </c>
      <c r="F356" s="214"/>
      <c r="G356" s="215" t="s">
        <v>144</v>
      </c>
      <c r="H356" s="214"/>
      <c r="I356" s="214"/>
      <c r="J356" s="214"/>
      <c r="K356" s="214"/>
      <c r="L356" s="216" t="s">
        <v>146</v>
      </c>
      <c r="M356" s="217">
        <f t="shared" si="134"/>
        <v>1</v>
      </c>
      <c r="N356" s="212" t="s">
        <v>278</v>
      </c>
      <c r="O356" s="219" t="s">
        <v>284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</sheetData>
  <mergeCells count="236">
    <mergeCell ref="AM21:AM22"/>
    <mergeCell ref="AN21:AQ21"/>
    <mergeCell ref="AN22:AO22"/>
    <mergeCell ref="AP22:AQ22"/>
    <mergeCell ref="AN4:AQ4"/>
    <mergeCell ref="AR4:AS5"/>
    <mergeCell ref="AN5:AO5"/>
    <mergeCell ref="AP5:AQ5"/>
    <mergeCell ref="AK20:AS20"/>
    <mergeCell ref="AK21:AK22"/>
    <mergeCell ref="AL21:AL22"/>
    <mergeCell ref="AR21:AS22"/>
    <mergeCell ref="AL4:AL5"/>
    <mergeCell ref="AM4:AM5"/>
    <mergeCell ref="AW4:AX4"/>
    <mergeCell ref="AY4:AZ4"/>
    <mergeCell ref="BA4:BB4"/>
    <mergeCell ref="BC4:BD4"/>
    <mergeCell ref="AU20:BG20"/>
    <mergeCell ref="AW21:AX21"/>
    <mergeCell ref="AY21:AZ21"/>
    <mergeCell ref="BA21:BB21"/>
    <mergeCell ref="BC21:BD21"/>
    <mergeCell ref="B5:D5"/>
    <mergeCell ref="B6:D6"/>
    <mergeCell ref="D2:L2"/>
    <mergeCell ref="M2:O9"/>
    <mergeCell ref="AK3:AS3"/>
    <mergeCell ref="AU3:BG3"/>
    <mergeCell ref="B4:D4"/>
    <mergeCell ref="F4:L9"/>
    <mergeCell ref="AK4:AK5"/>
    <mergeCell ref="B9:D9"/>
    <mergeCell ref="L10:L11"/>
    <mergeCell ref="M10:M11"/>
    <mergeCell ref="N10:N11"/>
    <mergeCell ref="O10:O11"/>
    <mergeCell ref="B7:D7"/>
    <mergeCell ref="B8:D8"/>
    <mergeCell ref="B10:B11"/>
    <mergeCell ref="C10:C11"/>
    <mergeCell ref="D10:D11"/>
    <mergeCell ref="E10:E11"/>
    <mergeCell ref="F10:K10"/>
    <mergeCell ref="B41:D41"/>
    <mergeCell ref="B42:D42"/>
    <mergeCell ref="F45:K45"/>
    <mergeCell ref="L45:L46"/>
    <mergeCell ref="M45:M46"/>
    <mergeCell ref="N45:N46"/>
    <mergeCell ref="O45:O46"/>
    <mergeCell ref="D31:K31"/>
    <mergeCell ref="B32:O32"/>
    <mergeCell ref="D37:L37"/>
    <mergeCell ref="M37:O44"/>
    <mergeCell ref="B39:D39"/>
    <mergeCell ref="F39:L44"/>
    <mergeCell ref="B40:D40"/>
    <mergeCell ref="B43:D43"/>
    <mergeCell ref="B44:D44"/>
    <mergeCell ref="B45:B46"/>
    <mergeCell ref="D45:D46"/>
    <mergeCell ref="E45:E46"/>
    <mergeCell ref="D63:K63"/>
    <mergeCell ref="B64:O64"/>
    <mergeCell ref="F77:K77"/>
    <mergeCell ref="L77:L78"/>
    <mergeCell ref="M77:M78"/>
    <mergeCell ref="N77:N78"/>
    <mergeCell ref="O77:O78"/>
    <mergeCell ref="D69:L69"/>
    <mergeCell ref="M69:O76"/>
    <mergeCell ref="B71:D71"/>
    <mergeCell ref="F71:L76"/>
    <mergeCell ref="B72:D72"/>
    <mergeCell ref="B73:D73"/>
    <mergeCell ref="B74:D74"/>
    <mergeCell ref="B75:D75"/>
    <mergeCell ref="B76:D76"/>
    <mergeCell ref="B77:B78"/>
    <mergeCell ref="D77:D78"/>
    <mergeCell ref="E77:E78"/>
    <mergeCell ref="D92:K92"/>
    <mergeCell ref="B93:O93"/>
    <mergeCell ref="B170:D170"/>
    <mergeCell ref="B171:D171"/>
    <mergeCell ref="B172:B173"/>
    <mergeCell ref="D172:D173"/>
    <mergeCell ref="E172:E173"/>
    <mergeCell ref="M172:M173"/>
    <mergeCell ref="N172:N173"/>
    <mergeCell ref="O172:O173"/>
    <mergeCell ref="D164:L164"/>
    <mergeCell ref="M164:O171"/>
    <mergeCell ref="B166:D166"/>
    <mergeCell ref="F166:L171"/>
    <mergeCell ref="B167:D167"/>
    <mergeCell ref="B168:D168"/>
    <mergeCell ref="B169:D169"/>
    <mergeCell ref="F106:K106"/>
    <mergeCell ref="L106:L107"/>
    <mergeCell ref="M106:M107"/>
    <mergeCell ref="N106:N107"/>
    <mergeCell ref="O106:O107"/>
    <mergeCell ref="D98:L98"/>
    <mergeCell ref="M98:O105"/>
    <mergeCell ref="B100:D100"/>
    <mergeCell ref="F100:L105"/>
    <mergeCell ref="B101:D101"/>
    <mergeCell ref="B102:D102"/>
    <mergeCell ref="B103:D103"/>
    <mergeCell ref="B104:D104"/>
    <mergeCell ref="B105:D105"/>
    <mergeCell ref="B106:B107"/>
    <mergeCell ref="D106:D107"/>
    <mergeCell ref="E106:E107"/>
    <mergeCell ref="D127:K127"/>
    <mergeCell ref="B128:O128"/>
    <mergeCell ref="F141:K141"/>
    <mergeCell ref="L141:L142"/>
    <mergeCell ref="M141:M142"/>
    <mergeCell ref="N141:N142"/>
    <mergeCell ref="O141:O142"/>
    <mergeCell ref="D133:L133"/>
    <mergeCell ref="M133:O140"/>
    <mergeCell ref="B135:D135"/>
    <mergeCell ref="F135:L140"/>
    <mergeCell ref="B136:D136"/>
    <mergeCell ref="B137:D137"/>
    <mergeCell ref="B138:D138"/>
    <mergeCell ref="B139:D139"/>
    <mergeCell ref="B140:D140"/>
    <mergeCell ref="B141:B142"/>
    <mergeCell ref="D141:D142"/>
    <mergeCell ref="E141:E142"/>
    <mergeCell ref="D158:K158"/>
    <mergeCell ref="B159:O159"/>
    <mergeCell ref="B197:D197"/>
    <mergeCell ref="B198:D198"/>
    <mergeCell ref="B199:D199"/>
    <mergeCell ref="B200:D200"/>
    <mergeCell ref="F203:K203"/>
    <mergeCell ref="L203:L204"/>
    <mergeCell ref="M203:M204"/>
    <mergeCell ref="N203:N204"/>
    <mergeCell ref="O203:O204"/>
    <mergeCell ref="F172:K172"/>
    <mergeCell ref="L172:L173"/>
    <mergeCell ref="D189:K189"/>
    <mergeCell ref="B190:O190"/>
    <mergeCell ref="D195:L195"/>
    <mergeCell ref="M195:O202"/>
    <mergeCell ref="F197:L202"/>
    <mergeCell ref="B201:D201"/>
    <mergeCell ref="B202:D202"/>
    <mergeCell ref="B203:B204"/>
    <mergeCell ref="D203:D204"/>
    <mergeCell ref="E203:E204"/>
    <mergeCell ref="D220:K220"/>
    <mergeCell ref="B221:O221"/>
    <mergeCell ref="F234:K234"/>
    <mergeCell ref="L234:L235"/>
    <mergeCell ref="M234:M235"/>
    <mergeCell ref="N234:N235"/>
    <mergeCell ref="O234:O235"/>
    <mergeCell ref="D226:L226"/>
    <mergeCell ref="M226:O233"/>
    <mergeCell ref="B228:D228"/>
    <mergeCell ref="F228:L233"/>
    <mergeCell ref="B229:D229"/>
    <mergeCell ref="B230:D230"/>
    <mergeCell ref="B231:D231"/>
    <mergeCell ref="B232:D232"/>
    <mergeCell ref="B233:D233"/>
    <mergeCell ref="B234:B235"/>
    <mergeCell ref="D234:D235"/>
    <mergeCell ref="E234:E235"/>
    <mergeCell ref="D253:K253"/>
    <mergeCell ref="B254:O254"/>
    <mergeCell ref="B329:D329"/>
    <mergeCell ref="B330:D330"/>
    <mergeCell ref="B331:B332"/>
    <mergeCell ref="D331:D332"/>
    <mergeCell ref="E331:E332"/>
    <mergeCell ref="M331:M332"/>
    <mergeCell ref="N331:N332"/>
    <mergeCell ref="O331:O332"/>
    <mergeCell ref="D323:L323"/>
    <mergeCell ref="M323:O330"/>
    <mergeCell ref="B325:D325"/>
    <mergeCell ref="F325:L330"/>
    <mergeCell ref="B326:D326"/>
    <mergeCell ref="B327:D327"/>
    <mergeCell ref="B328:D328"/>
    <mergeCell ref="F267:K267"/>
    <mergeCell ref="L267:L268"/>
    <mergeCell ref="M267:M268"/>
    <mergeCell ref="N267:N268"/>
    <mergeCell ref="O267:O268"/>
    <mergeCell ref="D259:L259"/>
    <mergeCell ref="M259:O266"/>
    <mergeCell ref="B261:D261"/>
    <mergeCell ref="F261:L266"/>
    <mergeCell ref="B262:D262"/>
    <mergeCell ref="B263:D263"/>
    <mergeCell ref="B264:D264"/>
    <mergeCell ref="B265:D265"/>
    <mergeCell ref="B266:D266"/>
    <mergeCell ref="B267:B268"/>
    <mergeCell ref="D267:D268"/>
    <mergeCell ref="E267:E268"/>
    <mergeCell ref="D283:K283"/>
    <mergeCell ref="B284:O284"/>
    <mergeCell ref="F297:K297"/>
    <mergeCell ref="L297:L298"/>
    <mergeCell ref="M297:M298"/>
    <mergeCell ref="N297:N298"/>
    <mergeCell ref="O297:O298"/>
    <mergeCell ref="D289:L289"/>
    <mergeCell ref="M289:O296"/>
    <mergeCell ref="B291:D291"/>
    <mergeCell ref="F291:L296"/>
    <mergeCell ref="B292:D292"/>
    <mergeCell ref="B293:D293"/>
    <mergeCell ref="B294:D294"/>
    <mergeCell ref="B295:D295"/>
    <mergeCell ref="B296:D296"/>
    <mergeCell ref="B297:B298"/>
    <mergeCell ref="D297:D298"/>
    <mergeCell ref="E297:E298"/>
    <mergeCell ref="D316:K316"/>
    <mergeCell ref="B317:O317"/>
    <mergeCell ref="F331:K331"/>
    <mergeCell ref="L331:L332"/>
    <mergeCell ref="D351:K351"/>
    <mergeCell ref="B352:O35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57"/>
    <col customWidth="1" min="3" max="3" width="11.14"/>
    <col customWidth="1" min="4" max="4" width="3.71"/>
    <col customWidth="1" min="5" max="5" width="9.57"/>
    <col customWidth="1" min="6" max="6" width="4.43"/>
    <col customWidth="1" min="7" max="7" width="9.57"/>
    <col customWidth="1" min="8" max="8" width="10.43"/>
    <col customWidth="1" min="9" max="9" width="7.71"/>
    <col customWidth="1" min="10" max="11" width="10.71"/>
    <col customWidth="1" min="12" max="12" width="20.71"/>
    <col customWidth="1" min="13" max="13" width="21.86"/>
    <col customWidth="1" min="14" max="14" width="15.57"/>
    <col customWidth="1" min="15" max="15" width="18.57"/>
    <col customWidth="1" min="16" max="16" width="24.43"/>
    <col customWidth="1" min="17" max="17" width="17.57"/>
    <col customWidth="1" min="18" max="18" width="16.14"/>
    <col customWidth="1" min="19" max="19" width="6.86"/>
    <col customWidth="1" min="20" max="20" width="8.43"/>
    <col customWidth="1" min="21" max="21" width="3.43"/>
    <col customWidth="1" min="22" max="23" width="10.71"/>
    <col customWidth="1" min="24" max="24" width="17.43"/>
    <col customWidth="1" min="25" max="25" width="12.29"/>
    <col customWidth="1" min="26" max="26" width="17.43"/>
    <col customWidth="1" min="27" max="27" width="13.14"/>
    <col customWidth="1" min="28" max="28" width="19.29"/>
    <col customWidth="1" min="29" max="30" width="14.57"/>
  </cols>
  <sheetData>
    <row r="1">
      <c r="A1" s="157" t="s">
        <v>14</v>
      </c>
      <c r="B1" s="158"/>
      <c r="C1" s="158"/>
      <c r="D1" s="158"/>
      <c r="E1" s="158"/>
      <c r="F1" s="158"/>
      <c r="G1" s="158"/>
      <c r="H1" s="158"/>
      <c r="I1" s="158"/>
      <c r="J1" s="160"/>
      <c r="K1" s="160"/>
      <c r="L1" s="160"/>
      <c r="M1" s="160"/>
      <c r="N1" s="160"/>
      <c r="O1" s="160"/>
      <c r="P1" s="160"/>
      <c r="Q1" s="160"/>
      <c r="R1" s="161" t="s">
        <v>245</v>
      </c>
      <c r="S1" s="162">
        <f>52*5-11-10</f>
        <v>239</v>
      </c>
      <c r="T1" s="161" t="s">
        <v>246</v>
      </c>
      <c r="U1" s="163">
        <v>2.0</v>
      </c>
      <c r="V1" s="160"/>
      <c r="W1" s="160"/>
      <c r="X1" s="160"/>
      <c r="Y1" s="160"/>
      <c r="Z1" s="160"/>
      <c r="AA1" s="160"/>
      <c r="AB1" s="160"/>
      <c r="AC1" s="160"/>
      <c r="AD1" s="160"/>
    </row>
    <row r="2">
      <c r="A2" s="164" t="s">
        <v>38</v>
      </c>
      <c r="B2" s="38"/>
      <c r="C2" s="38"/>
      <c r="D2" s="38"/>
      <c r="E2" s="38"/>
      <c r="F2" s="38"/>
      <c r="G2" s="38"/>
      <c r="H2" s="38"/>
      <c r="I2" s="40"/>
      <c r="J2" s="160"/>
      <c r="K2" s="160"/>
      <c r="L2" s="157" t="s">
        <v>14</v>
      </c>
      <c r="M2" s="160"/>
      <c r="N2" s="160"/>
      <c r="O2" s="160"/>
      <c r="P2" s="160"/>
      <c r="Q2" s="160"/>
      <c r="R2" s="165" t="s">
        <v>247</v>
      </c>
      <c r="S2" s="166">
        <f>+U2*U1*S1</f>
        <v>3824</v>
      </c>
      <c r="T2" s="165" t="s">
        <v>249</v>
      </c>
      <c r="U2" s="166">
        <v>8.0</v>
      </c>
      <c r="V2" s="160"/>
      <c r="W2" s="160"/>
      <c r="X2" s="160"/>
      <c r="Y2" s="160"/>
      <c r="Z2" s="160"/>
      <c r="AA2" s="160"/>
      <c r="AB2" s="160"/>
      <c r="AC2" s="160"/>
      <c r="AD2" s="160"/>
    </row>
    <row r="3">
      <c r="A3" s="167" t="s">
        <v>48</v>
      </c>
      <c r="B3" s="167" t="s">
        <v>49</v>
      </c>
      <c r="C3" s="167" t="s">
        <v>50</v>
      </c>
      <c r="D3" s="164" t="s">
        <v>51</v>
      </c>
      <c r="E3" s="38"/>
      <c r="F3" s="38"/>
      <c r="G3" s="43"/>
      <c r="H3" s="169" t="s">
        <v>52</v>
      </c>
      <c r="I3" s="49"/>
      <c r="J3" s="160"/>
      <c r="K3" s="160"/>
      <c r="L3" s="167" t="s">
        <v>48</v>
      </c>
      <c r="M3" s="170" t="s">
        <v>252</v>
      </c>
      <c r="N3" s="170" t="s">
        <v>253</v>
      </c>
      <c r="O3" s="170" t="s">
        <v>254</v>
      </c>
      <c r="P3" s="170" t="s">
        <v>255</v>
      </c>
      <c r="Q3" s="171"/>
      <c r="R3" s="160"/>
      <c r="S3" s="160"/>
      <c r="T3" s="172"/>
      <c r="U3" s="160"/>
      <c r="V3" s="160"/>
      <c r="W3" s="160"/>
      <c r="X3" s="160"/>
      <c r="Y3" s="160"/>
      <c r="Z3" s="160"/>
      <c r="AA3" s="160"/>
      <c r="AB3" s="160"/>
      <c r="AC3" s="160"/>
      <c r="AD3" s="160"/>
    </row>
    <row r="4">
      <c r="A4" s="71"/>
      <c r="B4" s="71"/>
      <c r="C4" s="71"/>
      <c r="D4" s="164" t="s">
        <v>68</v>
      </c>
      <c r="E4" s="43"/>
      <c r="F4" s="164" t="s">
        <v>69</v>
      </c>
      <c r="G4" s="43"/>
      <c r="H4" s="72"/>
      <c r="I4" s="73"/>
      <c r="J4" s="160"/>
      <c r="K4" s="160"/>
      <c r="L4" s="71"/>
      <c r="M4" s="173"/>
      <c r="N4" s="173"/>
      <c r="O4" s="173"/>
      <c r="P4" s="173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</row>
    <row r="5">
      <c r="A5" s="175" t="s">
        <v>78</v>
      </c>
      <c r="B5" s="176">
        <v>431449.2374505479</v>
      </c>
      <c r="C5" s="177">
        <v>0.0</v>
      </c>
      <c r="D5" s="178"/>
      <c r="E5" s="177"/>
      <c r="F5" s="178"/>
      <c r="G5" s="177"/>
      <c r="H5" s="177">
        <v>431449.2374505479</v>
      </c>
      <c r="I5" s="179" t="s">
        <v>79</v>
      </c>
      <c r="J5" s="160"/>
      <c r="K5" s="160"/>
      <c r="L5" s="180" t="s">
        <v>78</v>
      </c>
      <c r="M5" s="177">
        <v>431449.2374505479</v>
      </c>
      <c r="N5" s="177">
        <f t="shared" ref="N5:N9" si="1">+$S$2</f>
        <v>3824</v>
      </c>
      <c r="O5" s="177">
        <f t="shared" ref="O5:O9" si="2">+M5/N5</f>
        <v>112.8266834</v>
      </c>
      <c r="P5" s="184" t="s">
        <v>257</v>
      </c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>
      <c r="A6" s="175" t="s">
        <v>86</v>
      </c>
      <c r="B6" s="177">
        <v>431449.2374505479</v>
      </c>
      <c r="C6" s="177">
        <v>0.0</v>
      </c>
      <c r="D6" s="178">
        <v>0.01</v>
      </c>
      <c r="E6" s="177">
        <v>4314.492374505479</v>
      </c>
      <c r="F6" s="178">
        <v>0.01</v>
      </c>
      <c r="G6" s="177">
        <v>4314.492374505479</v>
      </c>
      <c r="H6" s="177">
        <v>422820.252701537</v>
      </c>
      <c r="I6" s="179" t="s">
        <v>79</v>
      </c>
      <c r="J6" s="160"/>
      <c r="K6" s="160"/>
      <c r="L6" s="180" t="s">
        <v>86</v>
      </c>
      <c r="M6" s="177">
        <v>422820.252701537</v>
      </c>
      <c r="N6" s="177">
        <f t="shared" si="1"/>
        <v>3824</v>
      </c>
      <c r="O6" s="177">
        <f t="shared" si="2"/>
        <v>110.5701498</v>
      </c>
      <c r="P6" s="184" t="s">
        <v>258</v>
      </c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</row>
    <row r="7">
      <c r="A7" s="175" t="s">
        <v>92</v>
      </c>
      <c r="B7" s="177">
        <v>422820.252701537</v>
      </c>
      <c r="C7" s="177">
        <v>0.0</v>
      </c>
      <c r="D7" s="178"/>
      <c r="E7" s="177"/>
      <c r="F7" s="178">
        <v>0.07</v>
      </c>
      <c r="G7" s="177">
        <v>29597.41768910759</v>
      </c>
      <c r="H7" s="177">
        <v>393222.8350124294</v>
      </c>
      <c r="I7" s="179" t="s">
        <v>79</v>
      </c>
      <c r="J7" s="160"/>
      <c r="K7" s="160"/>
      <c r="L7" s="180" t="s">
        <v>92</v>
      </c>
      <c r="M7" s="177">
        <v>393222.8350124294</v>
      </c>
      <c r="N7" s="177">
        <f t="shared" si="1"/>
        <v>3824</v>
      </c>
      <c r="O7" s="177">
        <f t="shared" si="2"/>
        <v>102.8302393</v>
      </c>
      <c r="P7" s="184" t="s">
        <v>262</v>
      </c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</row>
    <row r="8" ht="18.75" customHeight="1">
      <c r="A8" s="189" t="s">
        <v>109</v>
      </c>
      <c r="B8" s="177">
        <v>393222.8350124294</v>
      </c>
      <c r="C8" s="177">
        <v>0.0</v>
      </c>
      <c r="D8" s="178">
        <v>0.04</v>
      </c>
      <c r="E8" s="177">
        <v>15728.913400497177</v>
      </c>
      <c r="F8" s="178">
        <v>0.01</v>
      </c>
      <c r="G8" s="177">
        <v>3932.228350124294</v>
      </c>
      <c r="H8" s="177">
        <v>373561.6932618079</v>
      </c>
      <c r="I8" s="179" t="s">
        <v>79</v>
      </c>
      <c r="J8" s="160"/>
      <c r="K8" s="160"/>
      <c r="L8" s="180" t="s">
        <v>109</v>
      </c>
      <c r="M8" s="177">
        <v>373561.6932618079</v>
      </c>
      <c r="N8" s="177">
        <f t="shared" si="1"/>
        <v>3824</v>
      </c>
      <c r="O8" s="177">
        <f t="shared" si="2"/>
        <v>97.68872732</v>
      </c>
      <c r="P8" s="184" t="s">
        <v>262</v>
      </c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90"/>
    </row>
    <row r="9" ht="18.75" customHeight="1">
      <c r="A9" s="175" t="s">
        <v>263</v>
      </c>
      <c r="B9" s="177">
        <v>373561.6932618079</v>
      </c>
      <c r="C9" s="177">
        <v>0.0</v>
      </c>
      <c r="D9" s="178">
        <v>0.04</v>
      </c>
      <c r="E9" s="177">
        <v>14942.467730472315</v>
      </c>
      <c r="F9" s="178"/>
      <c r="G9" s="177"/>
      <c r="H9" s="177">
        <v>358619.22553133557</v>
      </c>
      <c r="I9" s="179" t="s">
        <v>79</v>
      </c>
      <c r="J9" s="160"/>
      <c r="K9" s="160"/>
      <c r="L9" s="180" t="s">
        <v>264</v>
      </c>
      <c r="M9" s="177">
        <v>358619.22553133557</v>
      </c>
      <c r="N9" s="177">
        <f t="shared" si="1"/>
        <v>3824</v>
      </c>
      <c r="O9" s="177">
        <f t="shared" si="2"/>
        <v>93.78117822</v>
      </c>
      <c r="P9" s="184" t="s">
        <v>265</v>
      </c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90"/>
    </row>
    <row r="10" ht="18.75" customHeight="1">
      <c r="A10" s="189" t="s">
        <v>161</v>
      </c>
      <c r="B10" s="177">
        <v>358619.22553133557</v>
      </c>
      <c r="C10" s="177">
        <v>0.0</v>
      </c>
      <c r="D10" s="178"/>
      <c r="E10" s="177"/>
      <c r="F10" s="178"/>
      <c r="G10" s="177"/>
      <c r="H10" s="193">
        <v>358619.22553133557</v>
      </c>
      <c r="I10" s="179" t="s">
        <v>79</v>
      </c>
      <c r="J10" s="160"/>
      <c r="K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90"/>
    </row>
    <row r="11" ht="18.75" customHeight="1">
      <c r="A11" s="195" t="s">
        <v>168</v>
      </c>
      <c r="B11" s="196">
        <v>431449.2374505479</v>
      </c>
      <c r="C11" s="196">
        <v>0.0</v>
      </c>
      <c r="D11" s="198"/>
      <c r="E11" s="198">
        <v>34985.87350547497</v>
      </c>
      <c r="F11" s="198"/>
      <c r="G11" s="198">
        <v>37844.13841373736</v>
      </c>
      <c r="H11" s="201">
        <v>358619.22553133557</v>
      </c>
      <c r="I11" s="195" t="s">
        <v>79</v>
      </c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90"/>
    </row>
    <row r="12" ht="18.75" customHeight="1"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90"/>
    </row>
    <row r="13"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57" t="s">
        <v>207</v>
      </c>
      <c r="Y13" s="160"/>
      <c r="Z13" s="160"/>
      <c r="AA13" s="160"/>
      <c r="AB13" s="160"/>
      <c r="AC13" s="160"/>
      <c r="AD13" s="160"/>
    </row>
    <row r="14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202" t="s">
        <v>48</v>
      </c>
      <c r="Y14" s="202" t="s">
        <v>252</v>
      </c>
      <c r="Z14" s="202" t="s">
        <v>269</v>
      </c>
      <c r="AA14" s="202" t="s">
        <v>253</v>
      </c>
      <c r="AB14" s="202" t="s">
        <v>270</v>
      </c>
      <c r="AC14" s="202" t="s">
        <v>271</v>
      </c>
      <c r="AD14" s="160"/>
    </row>
    <row r="15">
      <c r="A15" s="160"/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204"/>
      <c r="Y15" s="204"/>
      <c r="Z15" s="204"/>
      <c r="AA15" s="204"/>
      <c r="AB15" s="204"/>
      <c r="AC15" s="204"/>
      <c r="AD15" s="160"/>
    </row>
    <row r="16">
      <c r="A16" s="160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205" t="s">
        <v>222</v>
      </c>
      <c r="Y16" s="206">
        <f t="shared" ref="Y16:Y19" si="3">M22</f>
        <v>395371.0719</v>
      </c>
      <c r="Z16" s="207">
        <v>136.2</v>
      </c>
      <c r="AA16" s="206">
        <f t="shared" ref="AA16:AA20" si="4">+$S$2</f>
        <v>3824</v>
      </c>
      <c r="AB16" s="206">
        <f t="shared" ref="AB16:AB20" si="5">AA16*Z16</f>
        <v>520828.8</v>
      </c>
      <c r="AC16" s="206">
        <f t="shared" ref="AC16:AC20" si="6">ROUNDUP(Y16/AB16,0)</f>
        <v>1</v>
      </c>
      <c r="AD16" s="210">
        <f t="shared" ref="AD16:AD20" si="7">Y16/(AB16*AC16)</f>
        <v>0.7591190654</v>
      </c>
    </row>
    <row r="17">
      <c r="A17" s="160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205" t="s">
        <v>228</v>
      </c>
      <c r="Y17" s="206">
        <f t="shared" si="3"/>
        <v>395371.0719</v>
      </c>
      <c r="Z17" s="207">
        <v>108.0</v>
      </c>
      <c r="AA17" s="206">
        <f t="shared" si="4"/>
        <v>3824</v>
      </c>
      <c r="AB17" s="206">
        <f t="shared" si="5"/>
        <v>412992</v>
      </c>
      <c r="AC17" s="206">
        <f t="shared" si="6"/>
        <v>1</v>
      </c>
      <c r="AD17" s="210">
        <f t="shared" si="7"/>
        <v>0.957333488</v>
      </c>
    </row>
    <row r="18">
      <c r="A18" s="157" t="s">
        <v>207</v>
      </c>
      <c r="B18" s="158"/>
      <c r="C18" s="158"/>
      <c r="D18" s="158"/>
      <c r="E18" s="158"/>
      <c r="F18" s="158"/>
      <c r="G18" s="158"/>
      <c r="H18" s="158"/>
      <c r="I18" s="158"/>
      <c r="J18" s="160"/>
      <c r="K18" s="160"/>
      <c r="Q18" s="160"/>
      <c r="R18" s="160"/>
      <c r="S18" s="160"/>
      <c r="T18" s="160"/>
      <c r="U18" s="160"/>
      <c r="V18" s="160"/>
      <c r="W18" s="160"/>
      <c r="X18" s="205" t="s">
        <v>233</v>
      </c>
      <c r="Y18" s="206">
        <f t="shared" si="3"/>
        <v>395371.0719</v>
      </c>
      <c r="Z18" s="207">
        <v>38.0</v>
      </c>
      <c r="AA18" s="206">
        <f t="shared" si="4"/>
        <v>3824</v>
      </c>
      <c r="AB18" s="206">
        <f t="shared" si="5"/>
        <v>145312</v>
      </c>
      <c r="AC18" s="206">
        <f t="shared" si="6"/>
        <v>3</v>
      </c>
      <c r="AD18" s="210">
        <f t="shared" si="7"/>
        <v>0.906947515</v>
      </c>
    </row>
    <row r="19">
      <c r="A19" s="164" t="s">
        <v>38</v>
      </c>
      <c r="B19" s="38"/>
      <c r="C19" s="38"/>
      <c r="D19" s="38"/>
      <c r="E19" s="38"/>
      <c r="F19" s="38"/>
      <c r="G19" s="38"/>
      <c r="H19" s="38"/>
      <c r="I19" s="40"/>
      <c r="J19" s="160"/>
      <c r="K19" s="160"/>
      <c r="L19" s="157" t="s">
        <v>207</v>
      </c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205" t="s">
        <v>92</v>
      </c>
      <c r="Y19" s="206">
        <f t="shared" si="3"/>
        <v>343972.8325</v>
      </c>
      <c r="Z19" s="207">
        <v>45.0</v>
      </c>
      <c r="AA19" s="206">
        <f t="shared" si="4"/>
        <v>3824</v>
      </c>
      <c r="AB19" s="206">
        <f t="shared" si="5"/>
        <v>172080</v>
      </c>
      <c r="AC19" s="206">
        <f t="shared" si="6"/>
        <v>2</v>
      </c>
      <c r="AD19" s="210">
        <f t="shared" si="7"/>
        <v>0.9994561615</v>
      </c>
    </row>
    <row r="20">
      <c r="A20" s="218" t="s">
        <v>48</v>
      </c>
      <c r="B20" s="218" t="s">
        <v>49</v>
      </c>
      <c r="C20" s="218" t="s">
        <v>50</v>
      </c>
      <c r="D20" s="220" t="s">
        <v>51</v>
      </c>
      <c r="E20" s="38"/>
      <c r="F20" s="38"/>
      <c r="G20" s="43"/>
      <c r="H20" s="221" t="s">
        <v>52</v>
      </c>
      <c r="I20" s="49"/>
      <c r="J20" s="160"/>
      <c r="K20" s="160"/>
      <c r="L20" s="218" t="s">
        <v>48</v>
      </c>
      <c r="M20" s="170" t="s">
        <v>252</v>
      </c>
      <c r="N20" s="222" t="s">
        <v>253</v>
      </c>
      <c r="O20" s="170" t="s">
        <v>254</v>
      </c>
      <c r="P20" s="222" t="s">
        <v>255</v>
      </c>
      <c r="Q20" s="160"/>
      <c r="R20" s="160"/>
      <c r="S20" s="160"/>
      <c r="T20" s="160"/>
      <c r="U20" s="160"/>
      <c r="V20" s="160"/>
      <c r="W20" s="160"/>
      <c r="X20" s="205" t="s">
        <v>264</v>
      </c>
      <c r="Y20" s="206">
        <f>M27</f>
        <v>319894.7343</v>
      </c>
      <c r="Z20" s="207">
        <v>240.0</v>
      </c>
      <c r="AA20" s="206">
        <f t="shared" si="4"/>
        <v>3824</v>
      </c>
      <c r="AB20" s="206">
        <f t="shared" si="5"/>
        <v>917760</v>
      </c>
      <c r="AC20" s="206">
        <f t="shared" si="6"/>
        <v>1</v>
      </c>
      <c r="AD20" s="210">
        <f t="shared" si="7"/>
        <v>0.3485603363</v>
      </c>
    </row>
    <row r="21" ht="15.75" customHeight="1">
      <c r="A21" s="71"/>
      <c r="B21" s="71"/>
      <c r="C21" s="71"/>
      <c r="D21" s="220" t="s">
        <v>68</v>
      </c>
      <c r="E21" s="43"/>
      <c r="F21" s="220" t="s">
        <v>69</v>
      </c>
      <c r="G21" s="43"/>
      <c r="H21" s="72"/>
      <c r="I21" s="73"/>
      <c r="J21" s="160"/>
      <c r="K21" s="160"/>
      <c r="L21" s="71"/>
      <c r="M21" s="173"/>
      <c r="N21" s="223"/>
      <c r="O21" s="173"/>
      <c r="P21" s="223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</row>
    <row r="22" ht="15.75" customHeight="1">
      <c r="A22" s="224" t="s">
        <v>222</v>
      </c>
      <c r="B22" s="176">
        <v>395371.071895725</v>
      </c>
      <c r="C22" s="177">
        <v>0.0</v>
      </c>
      <c r="D22" s="178"/>
      <c r="E22" s="177">
        <v>0.0</v>
      </c>
      <c r="F22" s="178"/>
      <c r="G22" s="177">
        <v>0.0</v>
      </c>
      <c r="H22" s="177">
        <v>395371.071895725</v>
      </c>
      <c r="I22" s="179" t="s">
        <v>79</v>
      </c>
      <c r="J22" s="160"/>
      <c r="K22" s="160"/>
      <c r="L22" s="225" t="s">
        <v>222</v>
      </c>
      <c r="M22" s="177">
        <v>395371.071895725</v>
      </c>
      <c r="N22" s="177">
        <f t="shared" ref="N22:N27" si="8">+$S$2</f>
        <v>3824</v>
      </c>
      <c r="O22" s="177">
        <f t="shared" ref="O22:O27" si="9">+M22/N22</f>
        <v>103.3920167</v>
      </c>
      <c r="P22" s="184" t="s">
        <v>285</v>
      </c>
      <c r="Q22" s="160"/>
      <c r="R22" s="160"/>
      <c r="S22" s="160"/>
      <c r="T22" s="160"/>
      <c r="U22" s="160"/>
      <c r="V22" s="160"/>
      <c r="W22" s="160"/>
      <c r="X22" s="157" t="s">
        <v>14</v>
      </c>
      <c r="Y22" s="160"/>
      <c r="Z22" s="160"/>
      <c r="AA22" s="160"/>
      <c r="AB22" s="160"/>
      <c r="AC22" s="160"/>
      <c r="AD22" s="160"/>
    </row>
    <row r="23" ht="15.75" customHeight="1">
      <c r="A23" s="224" t="s">
        <v>228</v>
      </c>
      <c r="B23" s="177">
        <v>395371.071895725</v>
      </c>
      <c r="C23" s="177">
        <v>0.0</v>
      </c>
      <c r="D23" s="178"/>
      <c r="E23" s="177">
        <v>0.0</v>
      </c>
      <c r="F23" s="178"/>
      <c r="G23" s="177">
        <v>0.0</v>
      </c>
      <c r="H23" s="177">
        <v>395371.071895725</v>
      </c>
      <c r="I23" s="179" t="s">
        <v>79</v>
      </c>
      <c r="J23" s="160"/>
      <c r="K23" s="160"/>
      <c r="L23" s="225" t="s">
        <v>228</v>
      </c>
      <c r="M23" s="177">
        <v>395371.071895725</v>
      </c>
      <c r="N23" s="177">
        <f t="shared" si="8"/>
        <v>3824</v>
      </c>
      <c r="O23" s="177">
        <f t="shared" si="9"/>
        <v>103.3920167</v>
      </c>
      <c r="P23" s="184" t="s">
        <v>288</v>
      </c>
      <c r="Q23" s="160"/>
      <c r="R23" s="160"/>
      <c r="S23" s="160"/>
      <c r="T23" s="160"/>
      <c r="U23" s="160"/>
      <c r="V23" s="160"/>
      <c r="W23" s="160"/>
      <c r="X23" s="202" t="s">
        <v>48</v>
      </c>
      <c r="Y23" s="202" t="s">
        <v>252</v>
      </c>
      <c r="Z23" s="202" t="s">
        <v>269</v>
      </c>
      <c r="AA23" s="202" t="s">
        <v>253</v>
      </c>
      <c r="AB23" s="226" t="s">
        <v>289</v>
      </c>
      <c r="AC23" s="202" t="s">
        <v>271</v>
      </c>
      <c r="AD23" s="160"/>
    </row>
    <row r="24" ht="15.75" customHeight="1">
      <c r="A24" s="225" t="s">
        <v>233</v>
      </c>
      <c r="B24" s="177">
        <v>395371.071895725</v>
      </c>
      <c r="C24" s="177">
        <v>0.0</v>
      </c>
      <c r="D24" s="178"/>
      <c r="E24" s="177">
        <v>0.0</v>
      </c>
      <c r="F24" s="178"/>
      <c r="G24" s="177">
        <v>0.0</v>
      </c>
      <c r="H24" s="177">
        <v>395371.071895725</v>
      </c>
      <c r="I24" s="179" t="s">
        <v>79</v>
      </c>
      <c r="J24" s="160"/>
      <c r="K24" s="160"/>
      <c r="L24" s="225" t="s">
        <v>233</v>
      </c>
      <c r="M24" s="177">
        <v>395371.071895725</v>
      </c>
      <c r="N24" s="177">
        <f t="shared" si="8"/>
        <v>3824</v>
      </c>
      <c r="O24" s="177">
        <f t="shared" si="9"/>
        <v>103.3920167</v>
      </c>
      <c r="P24" s="184" t="s">
        <v>290</v>
      </c>
      <c r="Q24" s="160"/>
      <c r="R24" s="160"/>
      <c r="S24" s="160"/>
      <c r="T24" s="160"/>
      <c r="U24" s="160"/>
      <c r="V24" s="160"/>
      <c r="W24" s="160"/>
      <c r="X24" s="204"/>
      <c r="Y24" s="204"/>
      <c r="Z24" s="204"/>
      <c r="AA24" s="204"/>
      <c r="AB24" s="204"/>
      <c r="AC24" s="204"/>
      <c r="AD24" s="160"/>
    </row>
    <row r="25" ht="15.75" customHeight="1">
      <c r="A25" s="224" t="s">
        <v>92</v>
      </c>
      <c r="B25" s="177">
        <v>395371.071895725</v>
      </c>
      <c r="C25" s="177">
        <v>0.0</v>
      </c>
      <c r="D25" s="178"/>
      <c r="E25" s="177">
        <v>0.0</v>
      </c>
      <c r="F25" s="178">
        <v>0.13</v>
      </c>
      <c r="G25" s="177">
        <v>51398.23934644425</v>
      </c>
      <c r="H25" s="177">
        <v>343972.8325492807</v>
      </c>
      <c r="I25" s="179" t="s">
        <v>79</v>
      </c>
      <c r="J25" s="160"/>
      <c r="K25" s="160"/>
      <c r="L25" s="225" t="s">
        <v>92</v>
      </c>
      <c r="M25" s="177">
        <v>343972.8325492807</v>
      </c>
      <c r="N25" s="177">
        <f t="shared" si="8"/>
        <v>3824</v>
      </c>
      <c r="O25" s="177">
        <f t="shared" si="9"/>
        <v>89.95105454</v>
      </c>
      <c r="P25" s="184" t="s">
        <v>290</v>
      </c>
      <c r="Q25" s="160"/>
      <c r="R25" s="160"/>
      <c r="S25" s="160"/>
      <c r="T25" s="160"/>
      <c r="U25" s="160"/>
      <c r="V25" s="160"/>
      <c r="W25" s="160"/>
      <c r="X25" s="227" t="s">
        <v>78</v>
      </c>
      <c r="Y25" s="206">
        <f t="shared" ref="Y25:Y29" si="10">M5</f>
        <v>431449.2375</v>
      </c>
      <c r="Z25" s="206">
        <v>150.0</v>
      </c>
      <c r="AA25" s="206">
        <f t="shared" ref="AA25:AA29" si="11">+$S$2</f>
        <v>3824</v>
      </c>
      <c r="AB25" s="206">
        <f t="shared" ref="AB25:AB29" si="12">AA25*Z25</f>
        <v>573600</v>
      </c>
      <c r="AC25" s="206">
        <f t="shared" ref="AC25:AC29" si="13">ROUNDUP(Y25/AB25,0)</f>
        <v>1</v>
      </c>
      <c r="AD25" s="210">
        <f t="shared" ref="AD25:AD29" si="14">Y25/(AB25*AC25)</f>
        <v>0.7521778896</v>
      </c>
    </row>
    <row r="26" ht="15.75" customHeight="1">
      <c r="A26" s="225" t="s">
        <v>109</v>
      </c>
      <c r="B26" s="177">
        <v>343972.8325492807</v>
      </c>
      <c r="C26" s="177">
        <v>0.0</v>
      </c>
      <c r="D26" s="178"/>
      <c r="E26" s="177">
        <v>0.0</v>
      </c>
      <c r="F26" s="178">
        <v>0.07</v>
      </c>
      <c r="G26" s="177">
        <v>24078.098278449652</v>
      </c>
      <c r="H26" s="177">
        <v>319894.73427083105</v>
      </c>
      <c r="I26" s="179" t="s">
        <v>79</v>
      </c>
      <c r="J26" s="160"/>
      <c r="K26" s="160"/>
      <c r="L26" s="225" t="s">
        <v>109</v>
      </c>
      <c r="M26" s="177">
        <v>319894.73427083105</v>
      </c>
      <c r="N26" s="177">
        <f t="shared" si="8"/>
        <v>3824</v>
      </c>
      <c r="O26" s="177">
        <f t="shared" si="9"/>
        <v>83.65448072</v>
      </c>
      <c r="P26" s="184" t="s">
        <v>290</v>
      </c>
      <c r="Q26" s="160"/>
      <c r="R26" s="160"/>
      <c r="S26" s="160"/>
      <c r="T26" s="160"/>
      <c r="U26" s="160"/>
      <c r="V26" s="160"/>
      <c r="W26" s="160"/>
      <c r="X26" s="227" t="s">
        <v>86</v>
      </c>
      <c r="Y26" s="206">
        <f t="shared" si="10"/>
        <v>422820.2527</v>
      </c>
      <c r="Z26" s="207">
        <v>111.0</v>
      </c>
      <c r="AA26" s="206">
        <f t="shared" si="11"/>
        <v>3824</v>
      </c>
      <c r="AB26" s="206">
        <f t="shared" si="12"/>
        <v>424464</v>
      </c>
      <c r="AC26" s="206">
        <f t="shared" si="13"/>
        <v>1</v>
      </c>
      <c r="AD26" s="210">
        <f t="shared" si="14"/>
        <v>0.9961274754</v>
      </c>
    </row>
    <row r="27" ht="15.75" customHeight="1">
      <c r="A27" s="224" t="s">
        <v>141</v>
      </c>
      <c r="B27" s="177">
        <v>319894.73427083105</v>
      </c>
      <c r="C27" s="177">
        <v>0.0</v>
      </c>
      <c r="D27" s="178"/>
      <c r="E27" s="177">
        <v>0.0</v>
      </c>
      <c r="F27" s="178"/>
      <c r="G27" s="177">
        <v>0.0</v>
      </c>
      <c r="H27" s="177">
        <v>319894.73427083105</v>
      </c>
      <c r="I27" s="179" t="s">
        <v>79</v>
      </c>
      <c r="J27" s="160"/>
      <c r="K27" s="160"/>
      <c r="L27" s="225" t="s">
        <v>264</v>
      </c>
      <c r="M27" s="177">
        <v>319894.73427083105</v>
      </c>
      <c r="N27" s="177">
        <f t="shared" si="8"/>
        <v>3824</v>
      </c>
      <c r="O27" s="177">
        <f t="shared" si="9"/>
        <v>83.65448072</v>
      </c>
      <c r="P27" s="184" t="s">
        <v>297</v>
      </c>
      <c r="Q27" s="160"/>
      <c r="R27" s="160"/>
      <c r="S27" s="160"/>
      <c r="T27" s="160"/>
      <c r="U27" s="160"/>
      <c r="V27" s="160"/>
      <c r="W27" s="160"/>
      <c r="X27" s="227" t="s">
        <v>92</v>
      </c>
      <c r="Y27" s="206">
        <f t="shared" si="10"/>
        <v>393222.835</v>
      </c>
      <c r="Z27" s="207">
        <v>103.0</v>
      </c>
      <c r="AA27" s="206">
        <f t="shared" si="11"/>
        <v>3824</v>
      </c>
      <c r="AB27" s="206">
        <f t="shared" si="12"/>
        <v>393872</v>
      </c>
      <c r="AC27" s="206">
        <f t="shared" si="13"/>
        <v>1</v>
      </c>
      <c r="AD27" s="210">
        <f t="shared" si="14"/>
        <v>0.9983518377</v>
      </c>
    </row>
    <row r="28" ht="15.75" customHeight="1">
      <c r="A28" s="228" t="s">
        <v>168</v>
      </c>
      <c r="B28" s="196">
        <v>395371.071895725</v>
      </c>
      <c r="C28" s="196">
        <v>0.0</v>
      </c>
      <c r="D28" s="198"/>
      <c r="E28" s="198">
        <v>0.0</v>
      </c>
      <c r="F28" s="198"/>
      <c r="G28" s="198">
        <v>75476.3376248939</v>
      </c>
      <c r="H28" s="201">
        <v>319894.73427083105</v>
      </c>
      <c r="I28" s="195" t="s">
        <v>79</v>
      </c>
      <c r="J28" s="160"/>
      <c r="K28" s="160"/>
      <c r="P28" s="160"/>
      <c r="Q28" s="160"/>
      <c r="R28" s="160"/>
      <c r="S28" s="160"/>
      <c r="T28" s="160"/>
      <c r="U28" s="160"/>
      <c r="V28" s="160"/>
      <c r="W28" s="160"/>
      <c r="X28" s="227" t="s">
        <v>109</v>
      </c>
      <c r="Y28" s="206">
        <f t="shared" si="10"/>
        <v>373561.6933</v>
      </c>
      <c r="Z28" s="207">
        <v>98.0</v>
      </c>
      <c r="AA28" s="206">
        <f t="shared" si="11"/>
        <v>3824</v>
      </c>
      <c r="AB28" s="206">
        <f t="shared" si="12"/>
        <v>374752</v>
      </c>
      <c r="AC28" s="206">
        <f t="shared" si="13"/>
        <v>1</v>
      </c>
      <c r="AD28" s="210">
        <f t="shared" si="14"/>
        <v>0.9968237481</v>
      </c>
    </row>
    <row r="29" ht="15.75" customHeight="1"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227" t="s">
        <v>264</v>
      </c>
      <c r="Y29" s="206">
        <f t="shared" si="10"/>
        <v>358619.2255</v>
      </c>
      <c r="Z29" s="207">
        <v>270.0</v>
      </c>
      <c r="AA29" s="206">
        <f t="shared" si="11"/>
        <v>3824</v>
      </c>
      <c r="AB29" s="206">
        <f t="shared" si="12"/>
        <v>1032480</v>
      </c>
      <c r="AC29" s="206">
        <f t="shared" si="13"/>
        <v>1</v>
      </c>
      <c r="AD29" s="210">
        <f t="shared" si="14"/>
        <v>0.3473376971</v>
      </c>
    </row>
    <row r="30" ht="15.75" customHeight="1"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</row>
    <row r="31" ht="15.75" customHeight="1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231" t="s">
        <v>301</v>
      </c>
      <c r="O31" s="160">
        <f>84*0.6</f>
        <v>50.4</v>
      </c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</row>
    <row r="32" ht="15.75" customHeight="1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231" t="s">
        <v>302</v>
      </c>
      <c r="O32" s="172">
        <f>O26-O31</f>
        <v>33.25448072</v>
      </c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</row>
    <row r="33" ht="15.75" customHeight="1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</row>
    <row r="34" ht="15.75" customHeight="1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</row>
    <row r="35" ht="15.75" customHeight="1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</row>
    <row r="36" ht="15.75" customHeight="1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</row>
    <row r="38" ht="15.75" customHeight="1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</row>
    <row r="39" ht="15.75" customHeight="1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</row>
    <row r="40" ht="15.75" customHeight="1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</row>
    <row r="41" ht="15.75" customHeight="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</row>
    <row r="42" ht="15.75" customHeight="1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</row>
    <row r="43" ht="15.75" customHeight="1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</row>
    <row r="44" ht="15.75" customHeight="1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</row>
    <row r="45" ht="15.75" customHeight="1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</row>
    <row r="46" ht="15.75" customHeight="1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</row>
    <row r="47" ht="15.75" customHeight="1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</row>
    <row r="48" ht="15.75" customHeight="1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</row>
    <row r="49" ht="15.75" customHeight="1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</row>
    <row r="50" ht="15.75" customHeight="1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</row>
    <row r="51" ht="15.75" customHeight="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</row>
    <row r="52" ht="15.75" customHeight="1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</row>
    <row r="53" ht="15.75" customHeight="1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</row>
    <row r="54" ht="15.75" customHeight="1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</row>
    <row r="55" ht="15.75" customHeight="1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</row>
    <row r="56" ht="15.75" customHeight="1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</row>
    <row r="57" ht="15.75" customHeight="1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</row>
    <row r="58" ht="15.75" customHeight="1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</row>
    <row r="59" ht="15.75" customHeight="1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</row>
    <row r="60" ht="15.75" customHeight="1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</row>
    <row r="61" ht="15.75" customHeight="1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</row>
    <row r="62" ht="15.75" customHeight="1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</row>
    <row r="63" ht="15.75" customHeight="1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</row>
    <row r="64" ht="15.75" customHeight="1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</row>
    <row r="65" ht="15.75" customHeight="1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</row>
    <row r="66" ht="15.75" customHeight="1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</row>
    <row r="67" ht="15.75" customHeight="1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</row>
    <row r="68" ht="15.75" customHeight="1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</row>
    <row r="69" ht="15.75" customHeight="1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</row>
    <row r="70" ht="15.75" customHeight="1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</row>
    <row r="71" ht="15.75" customHeight="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</row>
    <row r="72" ht="15.75" customHeight="1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</row>
    <row r="73" ht="15.75" customHeight="1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</row>
    <row r="74" ht="15.75" customHeight="1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</row>
    <row r="75" ht="15.75" customHeight="1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</row>
    <row r="76" ht="15.75" customHeight="1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</row>
    <row r="77" ht="15.75" customHeight="1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</row>
    <row r="78" ht="15.75" customHeight="1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</row>
    <row r="79" ht="15.75" customHeight="1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</row>
    <row r="80" ht="15.75" customHeight="1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</row>
    <row r="81" ht="15.75" customHeight="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</row>
    <row r="82" ht="15.75" customHeight="1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</row>
    <row r="83" ht="15.75" customHeight="1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</row>
    <row r="84" ht="15.75" customHeight="1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</row>
    <row r="85" ht="15.75" customHeight="1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</row>
    <row r="86" ht="15.75" customHeight="1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</row>
    <row r="87" ht="15.75" customHeight="1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</row>
    <row r="88" ht="15.75" customHeight="1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</row>
    <row r="89" ht="15.75" customHeight="1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</row>
    <row r="90" ht="15.75" customHeight="1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</row>
    <row r="91" ht="15.75" customHeight="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</row>
    <row r="92" ht="15.75" customHeight="1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</row>
    <row r="93" ht="15.75" customHeight="1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</row>
    <row r="94" ht="15.75" customHeight="1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</row>
    <row r="95" ht="15.75" customHeight="1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</row>
    <row r="96" ht="15.75" customHeight="1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</row>
    <row r="97" ht="15.75" customHeight="1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</row>
    <row r="98" ht="15.75" customHeight="1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</row>
    <row r="99" ht="15.75" customHeight="1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</row>
    <row r="100" ht="15.75" customHeight="1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</row>
    <row r="101" ht="15.75" customHeight="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</row>
    <row r="102" ht="15.75" customHeight="1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</row>
    <row r="103" ht="15.75" customHeight="1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</row>
    <row r="104" ht="15.75" customHeight="1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</row>
    <row r="105" ht="15.75" customHeight="1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</row>
    <row r="106" ht="15.75" customHeight="1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</row>
    <row r="107" ht="15.75" customHeight="1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</row>
    <row r="108" ht="15.75" customHeight="1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</row>
    <row r="109" ht="15.75" customHeight="1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</row>
    <row r="110" ht="15.75" customHeight="1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</row>
    <row r="111" ht="15.75" customHeight="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</row>
    <row r="112" ht="15.75" customHeight="1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</row>
    <row r="113" ht="15.75" customHeight="1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</row>
    <row r="114" ht="15.75" customHeight="1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</row>
    <row r="115" ht="15.75" customHeight="1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</row>
    <row r="116" ht="15.75" customHeight="1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</row>
    <row r="117" ht="15.75" customHeight="1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</row>
    <row r="118" ht="15.75" customHeight="1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</row>
    <row r="119" ht="15.75" customHeight="1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</row>
    <row r="120" ht="15.75" customHeight="1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</row>
    <row r="121" ht="15.75" customHeight="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</row>
    <row r="122" ht="15.75" customHeight="1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</row>
    <row r="123" ht="15.75" customHeight="1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</row>
    <row r="124" ht="15.75" customHeight="1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</row>
    <row r="125" ht="15.75" customHeight="1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</row>
    <row r="126" ht="15.75" customHeight="1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</row>
    <row r="127" ht="15.75" customHeight="1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</row>
    <row r="128" ht="15.75" customHeight="1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</row>
    <row r="129" ht="15.75" customHeight="1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</row>
    <row r="130" ht="15.75" customHeight="1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</row>
    <row r="131" ht="15.75" customHeight="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</row>
    <row r="132" ht="15.75" customHeight="1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</row>
    <row r="133" ht="15.75" customHeight="1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</row>
    <row r="134" ht="15.75" customHeight="1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</row>
    <row r="135" ht="15.75" customHeight="1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</row>
    <row r="136" ht="15.75" customHeight="1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</row>
    <row r="137" ht="15.75" customHeight="1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</row>
    <row r="138" ht="15.75" customHeight="1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</row>
    <row r="139" ht="15.75" customHeight="1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</row>
    <row r="140" ht="15.75" customHeight="1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</row>
    <row r="141" ht="15.75" customHeight="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</row>
    <row r="142" ht="15.75" customHeight="1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</row>
    <row r="143" ht="15.75" customHeight="1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</row>
    <row r="144" ht="15.75" customHeight="1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</row>
    <row r="145" ht="15.75" customHeight="1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</row>
    <row r="146" ht="15.75" customHeight="1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</row>
    <row r="147" ht="15.75" customHeight="1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</row>
    <row r="148" ht="15.75" customHeight="1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</row>
    <row r="149" ht="15.75" customHeight="1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</row>
    <row r="150" ht="15.75" customHeight="1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</row>
    <row r="151" ht="15.75" customHeight="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</row>
    <row r="152" ht="15.75" customHeight="1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</row>
    <row r="153" ht="15.75" customHeight="1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</row>
    <row r="154" ht="15.75" customHeight="1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</row>
    <row r="155" ht="15.75" customHeight="1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</row>
    <row r="156" ht="15.75" customHeight="1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/>
    </row>
    <row r="157" ht="15.75" customHeight="1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</row>
    <row r="158" ht="15.75" customHeight="1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/>
    </row>
    <row r="159" ht="15.75" customHeight="1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</row>
    <row r="160" ht="15.75" customHeight="1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</row>
    <row r="161" ht="15.75" customHeight="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</row>
    <row r="162" ht="15.75" customHeight="1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</row>
    <row r="163" ht="15.75" customHeight="1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</row>
    <row r="164" ht="15.75" customHeight="1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</row>
    <row r="165" ht="15.75" customHeight="1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</row>
    <row r="166" ht="15.75" customHeight="1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</row>
    <row r="167" ht="15.75" customHeight="1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</row>
    <row r="168" ht="15.75" customHeight="1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</row>
    <row r="169" ht="15.75" customHeight="1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</row>
    <row r="170" ht="15.75" customHeight="1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</row>
    <row r="171" ht="15.75" customHeight="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</row>
    <row r="172" ht="15.75" customHeight="1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</row>
    <row r="173" ht="15.75" customHeight="1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</row>
    <row r="174" ht="15.75" customHeight="1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/>
    </row>
    <row r="175" ht="15.75" customHeight="1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</row>
    <row r="176" ht="15.75" customHeight="1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</row>
    <row r="177" ht="15.75" customHeight="1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</row>
    <row r="178" ht="15.75" customHeight="1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</row>
    <row r="179" ht="15.75" customHeight="1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</row>
    <row r="180" ht="15.75" customHeight="1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</row>
    <row r="181" ht="15.75" customHeight="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</row>
    <row r="182" ht="15.75" customHeight="1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</row>
    <row r="183" ht="15.75" customHeight="1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</row>
    <row r="184" ht="15.75" customHeight="1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</row>
    <row r="185" ht="15.75" customHeight="1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</row>
    <row r="186" ht="15.75" customHeight="1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</row>
    <row r="187" ht="15.75" customHeight="1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</row>
    <row r="188" ht="15.75" customHeight="1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</row>
    <row r="189" ht="15.75" customHeight="1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</row>
    <row r="190" ht="15.75" customHeight="1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</row>
    <row r="191" ht="15.75" customHeight="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</row>
    <row r="192" ht="15.75" customHeight="1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</row>
    <row r="193" ht="15.75" customHeight="1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  <c r="AD193" s="160"/>
    </row>
    <row r="194" ht="15.75" customHeight="1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</row>
    <row r="195" ht="15.75" customHeight="1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</row>
    <row r="196" ht="15.75" customHeight="1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</row>
    <row r="197" ht="15.75" customHeight="1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</row>
    <row r="198" ht="15.75" customHeight="1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</row>
    <row r="199" ht="15.75" customHeight="1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</row>
    <row r="200" ht="15.75" customHeight="1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</row>
    <row r="201" ht="15.75" customHeight="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</row>
    <row r="202" ht="15.75" customHeight="1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</row>
    <row r="203" ht="15.75" customHeight="1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</row>
    <row r="204" ht="15.75" customHeight="1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</row>
    <row r="205" ht="15.75" customHeight="1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</row>
    <row r="206" ht="15.75" customHeight="1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</row>
    <row r="207" ht="15.75" customHeight="1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</row>
    <row r="208" ht="15.75" customHeight="1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</row>
    <row r="209" ht="15.75" customHeight="1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</row>
    <row r="210" ht="15.75" customHeight="1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</row>
    <row r="211" ht="15.75" customHeight="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  <c r="AD211" s="160"/>
    </row>
    <row r="212" ht="15.75" customHeight="1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</row>
    <row r="213" ht="15.75" customHeight="1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  <c r="AD213" s="160"/>
    </row>
    <row r="214" ht="15.75" customHeight="1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  <c r="AD214" s="160"/>
    </row>
    <row r="215" ht="15.75" customHeight="1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  <c r="AD215" s="160"/>
    </row>
    <row r="216" ht="15.75" customHeight="1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  <c r="AD216" s="160"/>
    </row>
    <row r="217" ht="15.75" customHeight="1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  <c r="AD217" s="160"/>
    </row>
    <row r="218" ht="15.75" customHeight="1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  <c r="AD218" s="160"/>
    </row>
    <row r="219" ht="15.75" customHeight="1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  <c r="AD219" s="160"/>
    </row>
    <row r="220" ht="15.75" customHeight="1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0"/>
    </row>
    <row r="221" ht="15.75" customHeight="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  <c r="AD221" s="160"/>
    </row>
    <row r="222" ht="15.75" customHeight="1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0"/>
    </row>
    <row r="223" ht="15.75" customHeight="1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  <c r="AD223" s="160"/>
    </row>
    <row r="224" ht="15.75" customHeight="1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</row>
    <row r="225" ht="15.75" customHeight="1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</row>
    <row r="226" ht="15.75" customHeight="1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0"/>
    </row>
    <row r="227" ht="15.75" customHeight="1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0"/>
    </row>
    <row r="228" ht="15.75" customHeight="1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  <c r="AD228" s="160"/>
    </row>
    <row r="229" ht="15.75" customHeight="1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</row>
    <row r="230" ht="15.75" customHeight="1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</row>
    <row r="231" ht="15.75" customHeight="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  <c r="AD231" s="160"/>
    </row>
    <row r="232" ht="15.75" customHeight="1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</row>
    <row r="233" ht="15.75" customHeight="1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  <c r="AD233" s="160"/>
    </row>
    <row r="234" ht="15.75" customHeight="1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0"/>
    </row>
    <row r="235" ht="15.75" customHeight="1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  <c r="AD235" s="160"/>
    </row>
    <row r="236" ht="15.75" customHeight="1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</row>
    <row r="237" ht="15.75" customHeight="1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  <c r="AD237" s="160"/>
    </row>
    <row r="238" ht="15.75" customHeight="1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0"/>
    </row>
    <row r="239" ht="15.75" customHeight="1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  <c r="AD239" s="160"/>
    </row>
    <row r="240" ht="15.75" customHeight="1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0"/>
    </row>
    <row r="241" ht="15.75" customHeight="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  <c r="AD241" s="160"/>
    </row>
    <row r="242" ht="15.75" customHeight="1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0"/>
    </row>
    <row r="243" ht="15.75" customHeight="1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  <c r="AD243" s="160"/>
    </row>
    <row r="244" ht="15.75" customHeight="1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  <c r="AD244" s="160"/>
    </row>
    <row r="245" ht="15.75" customHeight="1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  <c r="AD245" s="160"/>
    </row>
    <row r="246" ht="15.75" customHeight="1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  <c r="AD246" s="160"/>
    </row>
    <row r="247" ht="15.75" customHeight="1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  <c r="AD247" s="160"/>
    </row>
    <row r="248" ht="15.75" customHeight="1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  <c r="AD248" s="160"/>
    </row>
    <row r="249" ht="15.75" customHeight="1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  <c r="AD249" s="160"/>
    </row>
    <row r="250" ht="15.75" customHeight="1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  <c r="AD250" s="160"/>
    </row>
    <row r="251" ht="15.75" customHeight="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  <c r="AD251" s="160"/>
    </row>
    <row r="252" ht="15.75" customHeight="1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  <c r="AD252" s="160"/>
    </row>
    <row r="253" ht="15.75" customHeight="1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  <c r="AD253" s="160"/>
    </row>
    <row r="254" ht="15.75" customHeight="1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  <c r="AD254" s="160"/>
    </row>
    <row r="255" ht="15.75" customHeight="1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  <c r="AA255" s="160"/>
      <c r="AB255" s="160"/>
      <c r="AC255" s="160"/>
      <c r="AD255" s="160"/>
    </row>
    <row r="256" ht="15.75" customHeight="1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  <c r="AD256" s="160"/>
    </row>
    <row r="257" ht="15.75" customHeight="1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  <c r="AA257" s="160"/>
      <c r="AB257" s="160"/>
      <c r="AC257" s="160"/>
      <c r="AD257" s="160"/>
    </row>
    <row r="258" ht="15.75" customHeight="1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  <c r="AD258" s="160"/>
    </row>
    <row r="259" ht="15.75" customHeight="1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  <c r="AD259" s="160"/>
    </row>
    <row r="260" ht="15.75" customHeight="1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  <c r="AD260" s="160"/>
    </row>
    <row r="261" ht="15.75" customHeight="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  <c r="AD261" s="160"/>
    </row>
    <row r="262" ht="15.75" customHeight="1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  <c r="AD262" s="160"/>
    </row>
    <row r="263" ht="15.75" customHeight="1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  <c r="AA263" s="160"/>
      <c r="AB263" s="160"/>
      <c r="AC263" s="160"/>
      <c r="AD263" s="160"/>
    </row>
    <row r="264" ht="15.75" customHeight="1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  <c r="AD264" s="160"/>
    </row>
    <row r="265" ht="15.75" customHeight="1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  <c r="AD265" s="160"/>
    </row>
    <row r="266" ht="15.75" customHeight="1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  <c r="AD266" s="160"/>
    </row>
    <row r="267" ht="15.75" customHeight="1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  <c r="AA267" s="160"/>
      <c r="AB267" s="160"/>
      <c r="AC267" s="160"/>
      <c r="AD267" s="160"/>
    </row>
    <row r="268" ht="15.75" customHeight="1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0"/>
    </row>
    <row r="269" ht="15.75" customHeight="1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  <c r="AD269" s="160"/>
    </row>
    <row r="270" ht="15.75" customHeight="1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0"/>
    </row>
    <row r="271" ht="15.75" customHeight="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0"/>
      <c r="AD271" s="160"/>
    </row>
    <row r="272" ht="15.75" customHeight="1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0"/>
    </row>
    <row r="273" ht="15.75" customHeight="1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  <c r="AD273" s="160"/>
    </row>
    <row r="274" ht="15.75" customHeight="1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  <c r="AD274" s="160"/>
    </row>
    <row r="275" ht="15.75" customHeight="1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  <c r="AC275" s="160"/>
      <c r="AD275" s="160"/>
    </row>
    <row r="276" ht="15.75" customHeight="1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  <c r="AD276" s="160"/>
    </row>
    <row r="277" ht="15.75" customHeight="1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</row>
    <row r="278" ht="15.75" customHeight="1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  <c r="AC278" s="160"/>
      <c r="AD278" s="160"/>
    </row>
    <row r="279" ht="15.75" customHeight="1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  <c r="AA279" s="160"/>
      <c r="AB279" s="160"/>
      <c r="AC279" s="160"/>
      <c r="AD279" s="160"/>
    </row>
    <row r="280" ht="15.75" customHeight="1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  <c r="AD280" s="160"/>
    </row>
    <row r="281" ht="15.75" customHeight="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  <c r="AA281" s="160"/>
      <c r="AB281" s="160"/>
      <c r="AC281" s="160"/>
      <c r="AD281" s="160"/>
    </row>
    <row r="282" ht="15.75" customHeight="1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  <c r="AD282" s="160"/>
    </row>
    <row r="283" ht="15.75" customHeight="1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0"/>
      <c r="AD283" s="160"/>
    </row>
    <row r="284" ht="15.75" customHeight="1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  <c r="AD284" s="160"/>
    </row>
    <row r="285" ht="15.75" customHeight="1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  <c r="AA285" s="160"/>
      <c r="AB285" s="160"/>
      <c r="AC285" s="160"/>
      <c r="AD285" s="160"/>
    </row>
    <row r="286" ht="15.75" customHeight="1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  <c r="AD286" s="160"/>
    </row>
    <row r="287" ht="15.75" customHeight="1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0"/>
      <c r="AD287" s="160"/>
    </row>
    <row r="288" ht="15.75" customHeight="1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  <c r="AC288" s="160"/>
      <c r="AD288" s="160"/>
    </row>
    <row r="289" ht="15.75" customHeight="1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60"/>
      <c r="AC289" s="160"/>
      <c r="AD289" s="160"/>
    </row>
    <row r="290" ht="15.75" customHeight="1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/>
      <c r="AD290" s="160"/>
    </row>
    <row r="291" ht="15.75" customHeight="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  <c r="AA291" s="160"/>
      <c r="AB291" s="160"/>
      <c r="AC291" s="160"/>
      <c r="AD291" s="160"/>
    </row>
    <row r="292" ht="15.75" customHeight="1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  <c r="AD292" s="160"/>
    </row>
    <row r="293" ht="15.75" customHeight="1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  <c r="AA293" s="160"/>
      <c r="AB293" s="160"/>
      <c r="AC293" s="160"/>
      <c r="AD293" s="160"/>
    </row>
    <row r="294" ht="15.75" customHeight="1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  <c r="AA294" s="160"/>
      <c r="AB294" s="160"/>
      <c r="AC294" s="160"/>
      <c r="AD294" s="160"/>
    </row>
    <row r="295" ht="15.75" customHeight="1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  <c r="AA295" s="160"/>
      <c r="AB295" s="160"/>
      <c r="AC295" s="160"/>
      <c r="AD295" s="160"/>
    </row>
    <row r="296" ht="15.75" customHeight="1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/>
      <c r="AD296" s="160"/>
    </row>
    <row r="297" ht="15.75" customHeight="1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  <c r="AD297" s="160"/>
    </row>
    <row r="298" ht="15.75" customHeight="1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  <c r="AD298" s="160"/>
    </row>
    <row r="299" ht="15.75" customHeight="1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  <c r="AA299" s="160"/>
      <c r="AB299" s="160"/>
      <c r="AC299" s="160"/>
      <c r="AD299" s="160"/>
    </row>
    <row r="300" ht="15.75" customHeight="1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  <c r="AD300" s="160"/>
    </row>
    <row r="301" ht="15.75" customHeight="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  <c r="AD301" s="160"/>
    </row>
    <row r="302" ht="15.75" customHeight="1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  <c r="AD302" s="160"/>
    </row>
    <row r="303" ht="15.75" customHeight="1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  <c r="AD303" s="160"/>
    </row>
    <row r="304" ht="15.75" customHeight="1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  <c r="AD304" s="160"/>
    </row>
    <row r="305" ht="15.75" customHeight="1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  <c r="AD305" s="160"/>
    </row>
    <row r="306" ht="15.75" customHeight="1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  <c r="AD306" s="160"/>
    </row>
    <row r="307" ht="15.75" customHeight="1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  <c r="AD307" s="160"/>
    </row>
    <row r="308" ht="15.75" customHeight="1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  <c r="AD308" s="160"/>
    </row>
    <row r="309" ht="15.75" customHeight="1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  <c r="AD309" s="160"/>
    </row>
    <row r="310" ht="15.75" customHeight="1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  <c r="AD310" s="160"/>
    </row>
    <row r="311" ht="15.75" customHeight="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  <c r="AD311" s="160"/>
    </row>
    <row r="312" ht="15.75" customHeight="1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  <c r="AD312" s="160"/>
    </row>
    <row r="313" ht="15.75" customHeight="1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60"/>
      <c r="AC313" s="160"/>
      <c r="AD313" s="160"/>
    </row>
    <row r="314" ht="15.75" customHeight="1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  <c r="AD314" s="160"/>
    </row>
    <row r="315" ht="15.75" customHeight="1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  <c r="AA315" s="160"/>
      <c r="AB315" s="160"/>
      <c r="AC315" s="160"/>
      <c r="AD315" s="160"/>
    </row>
    <row r="316" ht="15.75" customHeight="1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  <c r="AD316" s="160"/>
    </row>
    <row r="317" ht="15.75" customHeight="1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0"/>
      <c r="AD317" s="160"/>
    </row>
    <row r="318" ht="15.75" customHeight="1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  <c r="AD318" s="160"/>
    </row>
    <row r="319" ht="15.75" customHeight="1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  <c r="AA319" s="160"/>
      <c r="AB319" s="160"/>
      <c r="AC319" s="160"/>
      <c r="AD319" s="160"/>
    </row>
    <row r="320" ht="15.75" customHeight="1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  <c r="AD320" s="160"/>
    </row>
    <row r="321" ht="15.75" customHeight="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  <c r="AA321" s="160"/>
      <c r="AB321" s="160"/>
      <c r="AC321" s="160"/>
      <c r="AD321" s="160"/>
    </row>
    <row r="322" ht="15.75" customHeight="1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  <c r="AD322" s="160"/>
    </row>
    <row r="323" ht="15.75" customHeight="1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  <c r="AA323" s="160"/>
      <c r="AB323" s="160"/>
      <c r="AC323" s="160"/>
      <c r="AD323" s="160"/>
    </row>
    <row r="324" ht="15.75" customHeight="1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  <c r="AD324" s="160"/>
    </row>
    <row r="325" ht="15.75" customHeight="1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0"/>
      <c r="AD325" s="160"/>
    </row>
    <row r="326" ht="15.75" customHeight="1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  <c r="AD326" s="160"/>
    </row>
    <row r="327" ht="15.75" customHeight="1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  <c r="AD327" s="160"/>
    </row>
    <row r="328" ht="15.75" customHeight="1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  <c r="AD328" s="160"/>
    </row>
    <row r="329" ht="15.75" customHeight="1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  <c r="AD329" s="160"/>
    </row>
    <row r="330" ht="15.75" customHeight="1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</row>
    <row r="331" ht="15.75" customHeight="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0"/>
      <c r="AB331" s="160"/>
      <c r="AC331" s="160"/>
      <c r="AD331" s="160"/>
    </row>
    <row r="332" ht="15.75" customHeight="1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0"/>
      <c r="AB332" s="160"/>
      <c r="AC332" s="160"/>
      <c r="AD332" s="160"/>
    </row>
    <row r="333" ht="15.75" customHeight="1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  <c r="AD333" s="160"/>
    </row>
    <row r="334" ht="15.75" customHeight="1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  <c r="AA334" s="160"/>
      <c r="AB334" s="160"/>
      <c r="AC334" s="160"/>
      <c r="AD334" s="160"/>
    </row>
    <row r="335" ht="15.75" customHeight="1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  <c r="AA335" s="160"/>
      <c r="AB335" s="160"/>
      <c r="AC335" s="160"/>
      <c r="AD335" s="160"/>
    </row>
    <row r="336" ht="15.75" customHeight="1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  <c r="AA336" s="160"/>
      <c r="AB336" s="160"/>
      <c r="AC336" s="160"/>
      <c r="AD336" s="160"/>
    </row>
    <row r="337" ht="15.75" customHeight="1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  <c r="AD337" s="160"/>
    </row>
    <row r="338" ht="15.75" customHeight="1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0"/>
      <c r="AD338" s="160"/>
    </row>
    <row r="339" ht="15.75" customHeight="1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  <c r="AA339" s="160"/>
      <c r="AB339" s="160"/>
      <c r="AC339" s="160"/>
      <c r="AD339" s="160"/>
    </row>
    <row r="340" ht="15.75" customHeight="1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  <c r="AA340" s="160"/>
      <c r="AB340" s="160"/>
      <c r="AC340" s="160"/>
      <c r="AD340" s="160"/>
    </row>
    <row r="341" ht="15.75" customHeight="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</row>
    <row r="342" ht="15.75" customHeight="1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0"/>
      <c r="AB342" s="160"/>
      <c r="AC342" s="160"/>
      <c r="AD342" s="160"/>
    </row>
    <row r="343" ht="15.75" customHeight="1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0"/>
      <c r="AB343" s="160"/>
      <c r="AC343" s="160"/>
      <c r="AD343" s="160"/>
    </row>
    <row r="344" ht="15.75" customHeight="1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</row>
    <row r="345" ht="15.75" customHeight="1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  <c r="AA345" s="160"/>
      <c r="AB345" s="160"/>
      <c r="AC345" s="160"/>
      <c r="AD345" s="160"/>
    </row>
    <row r="346" ht="15.75" customHeight="1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  <c r="AA346" s="160"/>
      <c r="AB346" s="160"/>
      <c r="AC346" s="160"/>
      <c r="AD346" s="160"/>
    </row>
    <row r="347" ht="15.75" customHeight="1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  <c r="AA347" s="160"/>
      <c r="AB347" s="160"/>
      <c r="AC347" s="160"/>
      <c r="AD347" s="160"/>
    </row>
    <row r="348" ht="15.75" customHeight="1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  <c r="AA348" s="160"/>
      <c r="AB348" s="160"/>
      <c r="AC348" s="160"/>
      <c r="AD348" s="160"/>
    </row>
    <row r="349" ht="15.75" customHeight="1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0"/>
      <c r="AB349" s="160"/>
      <c r="AC349" s="160"/>
      <c r="AD349" s="160"/>
    </row>
    <row r="350" ht="15.75" customHeight="1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0"/>
      <c r="AB350" s="160"/>
      <c r="AC350" s="160"/>
      <c r="AD350" s="160"/>
    </row>
    <row r="351" ht="15.75" customHeight="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0"/>
      <c r="AB351" s="160"/>
      <c r="AC351" s="160"/>
      <c r="AD351" s="160"/>
    </row>
    <row r="352" ht="15.75" customHeight="1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  <c r="AA352" s="160"/>
      <c r="AB352" s="160"/>
      <c r="AC352" s="160"/>
      <c r="AD352" s="160"/>
    </row>
    <row r="353" ht="15.75" customHeight="1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  <c r="AA353" s="160"/>
      <c r="AB353" s="160"/>
      <c r="AC353" s="160"/>
      <c r="AD353" s="160"/>
    </row>
    <row r="354" ht="15.75" customHeight="1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0"/>
      <c r="AB354" s="160"/>
      <c r="AC354" s="160"/>
      <c r="AD354" s="160"/>
    </row>
    <row r="355" ht="15.75" customHeight="1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0"/>
      <c r="AD355" s="160"/>
    </row>
    <row r="356" ht="15.75" customHeight="1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0"/>
      <c r="AD356" s="160"/>
    </row>
    <row r="357" ht="15.75" customHeight="1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  <c r="AA357" s="160"/>
      <c r="AB357" s="160"/>
      <c r="AC357" s="160"/>
      <c r="AD357" s="160"/>
    </row>
    <row r="358" ht="15.75" customHeight="1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  <c r="AA358" s="160"/>
      <c r="AB358" s="160"/>
      <c r="AC358" s="160"/>
      <c r="AD358" s="160"/>
    </row>
    <row r="359" ht="15.75" customHeight="1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0"/>
      <c r="AD359" s="160"/>
    </row>
    <row r="360" ht="15.75" customHeight="1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  <c r="AA360" s="160"/>
      <c r="AB360" s="160"/>
      <c r="AC360" s="160"/>
      <c r="AD360" s="160"/>
    </row>
    <row r="361" ht="15.75" customHeight="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  <c r="AA361" s="160"/>
      <c r="AB361" s="160"/>
      <c r="AC361" s="160"/>
      <c r="AD361" s="160"/>
    </row>
    <row r="362" ht="15.75" customHeight="1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0"/>
      <c r="AB362" s="160"/>
      <c r="AC362" s="160"/>
      <c r="AD362" s="160"/>
    </row>
    <row r="363" ht="15.75" customHeight="1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0"/>
      <c r="AD363" s="160"/>
    </row>
    <row r="364" ht="15.75" customHeight="1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  <c r="AD364" s="160"/>
    </row>
    <row r="365" ht="15.75" customHeight="1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  <c r="AD365" s="160"/>
    </row>
    <row r="366" ht="15.75" customHeight="1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0"/>
      <c r="AD366" s="160"/>
    </row>
    <row r="367" ht="15.75" customHeight="1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  <c r="AD367" s="160"/>
    </row>
    <row r="368" ht="15.75" customHeight="1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  <c r="AD368" s="160"/>
    </row>
    <row r="369" ht="15.75" customHeight="1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  <c r="AD369" s="160"/>
    </row>
    <row r="370" ht="15.75" customHeight="1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0"/>
      <c r="AB370" s="160"/>
      <c r="AC370" s="160"/>
      <c r="AD370" s="160"/>
    </row>
    <row r="371" ht="15.75" customHeight="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  <c r="AA371" s="160"/>
      <c r="AB371" s="160"/>
      <c r="AC371" s="160"/>
      <c r="AD371" s="160"/>
    </row>
    <row r="372" ht="15.75" customHeight="1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  <c r="AD372" s="160"/>
    </row>
    <row r="373" ht="15.75" customHeight="1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  <c r="AD373" s="160"/>
    </row>
    <row r="374" ht="15.75" customHeight="1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0"/>
      <c r="AB374" s="160"/>
      <c r="AC374" s="160"/>
      <c r="AD374" s="160"/>
    </row>
    <row r="375" ht="15.75" customHeight="1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  <c r="AD375" s="160"/>
    </row>
    <row r="376" ht="15.75" customHeight="1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  <c r="AA376" s="160"/>
      <c r="AB376" s="160"/>
      <c r="AC376" s="160"/>
      <c r="AD376" s="160"/>
    </row>
    <row r="377" ht="15.75" customHeight="1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  <c r="AD377" s="160"/>
    </row>
    <row r="378" ht="15.75" customHeight="1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160"/>
      <c r="AD378" s="160"/>
    </row>
    <row r="379" ht="15.75" customHeight="1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  <c r="AD379" s="160"/>
    </row>
    <row r="380" ht="15.75" customHeight="1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0"/>
      <c r="AD380" s="160"/>
    </row>
    <row r="381" ht="15.75" customHeight="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  <c r="AD381" s="160"/>
    </row>
    <row r="382" ht="15.75" customHeight="1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  <c r="AA382" s="160"/>
      <c r="AB382" s="160"/>
      <c r="AC382" s="160"/>
      <c r="AD382" s="160"/>
    </row>
    <row r="383" ht="15.75" customHeight="1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</row>
    <row r="384" ht="15.75" customHeight="1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0"/>
      <c r="AB384" s="160"/>
      <c r="AC384" s="160"/>
      <c r="AD384" s="160"/>
    </row>
    <row r="385" ht="15.75" customHeight="1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0"/>
      <c r="AB385" s="160"/>
      <c r="AC385" s="160"/>
      <c r="AD385" s="160"/>
    </row>
    <row r="386" ht="15.75" customHeight="1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0"/>
      <c r="AB386" s="160"/>
      <c r="AC386" s="160"/>
      <c r="AD386" s="160"/>
    </row>
    <row r="387" ht="15.75" customHeight="1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  <c r="AD387" s="160"/>
    </row>
    <row r="388" ht="15.75" customHeight="1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0"/>
      <c r="AB388" s="160"/>
      <c r="AC388" s="160"/>
      <c r="AD388" s="160"/>
    </row>
    <row r="389" ht="15.75" customHeight="1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  <c r="AD389" s="160"/>
    </row>
    <row r="390" ht="15.75" customHeight="1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  <c r="AA390" s="160"/>
      <c r="AB390" s="160"/>
      <c r="AC390" s="160"/>
      <c r="AD390" s="160"/>
    </row>
    <row r="391" ht="15.75" customHeight="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  <c r="AD391" s="160"/>
    </row>
    <row r="392" ht="15.75" customHeight="1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0"/>
      <c r="AB392" s="160"/>
      <c r="AC392" s="160"/>
      <c r="AD392" s="160"/>
    </row>
    <row r="393" ht="15.75" customHeight="1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/>
      <c r="AD393" s="160"/>
    </row>
    <row r="394" ht="15.75" customHeight="1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0"/>
      <c r="AB394" s="160"/>
      <c r="AC394" s="160"/>
      <c r="AD394" s="160"/>
    </row>
    <row r="395" ht="15.75" customHeight="1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  <c r="AD395" s="160"/>
    </row>
    <row r="396" ht="15.75" customHeight="1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0"/>
      <c r="AD396" s="160"/>
    </row>
    <row r="397" ht="15.75" customHeight="1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  <c r="AD397" s="160"/>
    </row>
    <row r="398" ht="15.75" customHeight="1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0"/>
      <c r="AB398" s="160"/>
      <c r="AC398" s="160"/>
      <c r="AD398" s="160"/>
    </row>
    <row r="399" ht="15.75" customHeight="1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0"/>
      <c r="AB399" s="160"/>
      <c r="AC399" s="160"/>
      <c r="AD399" s="160"/>
    </row>
    <row r="400" ht="15.75" customHeight="1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  <c r="AA400" s="160"/>
      <c r="AB400" s="160"/>
      <c r="AC400" s="160"/>
      <c r="AD400" s="160"/>
    </row>
    <row r="401" ht="15.75" customHeight="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  <c r="AD401" s="160"/>
    </row>
    <row r="402" ht="15.75" customHeight="1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0"/>
      <c r="AD402" s="160"/>
    </row>
    <row r="403" ht="15.75" customHeight="1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/>
      <c r="AD403" s="160"/>
    </row>
    <row r="404" ht="15.75" customHeight="1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  <c r="AA404" s="160"/>
      <c r="AB404" s="160"/>
      <c r="AC404" s="160"/>
      <c r="AD404" s="160"/>
    </row>
    <row r="405" ht="15.75" customHeight="1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  <c r="AD405" s="160"/>
    </row>
    <row r="406" ht="15.75" customHeight="1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0"/>
      <c r="AD406" s="160"/>
    </row>
    <row r="407" ht="15.75" customHeight="1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  <c r="AD407" s="160"/>
    </row>
    <row r="408" ht="15.75" customHeight="1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  <c r="AD408" s="160"/>
    </row>
    <row r="409" ht="15.75" customHeight="1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  <c r="AD409" s="160"/>
    </row>
    <row r="410" ht="15.75" customHeight="1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  <c r="AA410" s="160"/>
      <c r="AB410" s="160"/>
      <c r="AC410" s="160"/>
      <c r="AD410" s="160"/>
    </row>
    <row r="411" ht="15.75" customHeight="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/>
      <c r="AD411" s="160"/>
    </row>
    <row r="412" ht="15.75" customHeight="1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160"/>
      <c r="AD412" s="160"/>
    </row>
    <row r="413" ht="15.75" customHeight="1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  <c r="AD413" s="160"/>
    </row>
    <row r="414" ht="15.75" customHeight="1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0"/>
      <c r="AD414" s="160"/>
    </row>
    <row r="415" ht="15.75" customHeight="1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0"/>
      <c r="AB415" s="160"/>
      <c r="AC415" s="160"/>
      <c r="AD415" s="160"/>
    </row>
    <row r="416" ht="15.75" customHeight="1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/>
      <c r="AD416" s="160"/>
    </row>
    <row r="417" ht="15.75" customHeight="1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0"/>
      <c r="AB417" s="160"/>
      <c r="AC417" s="160"/>
      <c r="AD417" s="160"/>
    </row>
    <row r="418" ht="15.75" customHeight="1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/>
      <c r="AD418" s="160"/>
    </row>
    <row r="419" ht="15.75" customHeight="1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  <c r="AA419" s="160"/>
      <c r="AB419" s="160"/>
      <c r="AC419" s="160"/>
      <c r="AD419" s="160"/>
    </row>
    <row r="420" ht="15.75" customHeight="1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  <c r="AD420" s="160"/>
    </row>
    <row r="421" ht="15.75" customHeight="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  <c r="AD421" s="160"/>
    </row>
    <row r="422" ht="15.75" customHeight="1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  <c r="AD422" s="160"/>
    </row>
    <row r="423" ht="15.75" customHeight="1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  <c r="AA423" s="160"/>
      <c r="AB423" s="160"/>
      <c r="AC423" s="160"/>
      <c r="AD423" s="160"/>
    </row>
    <row r="424" ht="15.75" customHeight="1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160"/>
      <c r="AD424" s="160"/>
    </row>
    <row r="425" ht="15.75" customHeight="1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  <c r="AA425" s="160"/>
      <c r="AB425" s="160"/>
      <c r="AC425" s="160"/>
      <c r="AD425" s="160"/>
    </row>
    <row r="426" ht="15.75" customHeight="1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  <c r="AD426" s="160"/>
    </row>
    <row r="427" ht="15.75" customHeight="1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0"/>
      <c r="AD427" s="160"/>
    </row>
    <row r="428" ht="15.75" customHeight="1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  <c r="AD428" s="160"/>
    </row>
    <row r="429" ht="15.75" customHeight="1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  <c r="AA429" s="160"/>
      <c r="AB429" s="160"/>
      <c r="AC429" s="160"/>
      <c r="AD429" s="160"/>
    </row>
    <row r="430" ht="15.75" customHeight="1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  <c r="AD430" s="160"/>
    </row>
    <row r="431" ht="15.75" customHeight="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  <c r="AA431" s="160"/>
      <c r="AB431" s="160"/>
      <c r="AC431" s="160"/>
      <c r="AD431" s="160"/>
    </row>
    <row r="432" ht="15.75" customHeight="1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  <c r="AA432" s="160"/>
      <c r="AB432" s="160"/>
      <c r="AC432" s="160"/>
      <c r="AD432" s="160"/>
    </row>
    <row r="433" ht="15.75" customHeight="1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/>
      <c r="AD433" s="160"/>
    </row>
    <row r="434" ht="15.75" customHeight="1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0"/>
      <c r="AB434" s="160"/>
      <c r="AC434" s="160"/>
      <c r="AD434" s="160"/>
    </row>
    <row r="435" ht="15.75" customHeight="1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  <c r="AD435" s="160"/>
    </row>
    <row r="436" ht="15.75" customHeight="1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</row>
    <row r="437" ht="15.75" customHeight="1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  <c r="AD437" s="160"/>
    </row>
    <row r="438" ht="15.75" customHeight="1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  <c r="AA438" s="160"/>
      <c r="AB438" s="160"/>
      <c r="AC438" s="160"/>
      <c r="AD438" s="160"/>
    </row>
    <row r="439" ht="15.75" customHeight="1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  <c r="AD439" s="160"/>
    </row>
    <row r="440" ht="15.75" customHeight="1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  <c r="AA440" s="160"/>
      <c r="AB440" s="160"/>
      <c r="AC440" s="160"/>
      <c r="AD440" s="160"/>
    </row>
    <row r="441" ht="15.75" customHeight="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  <c r="AD441" s="160"/>
    </row>
    <row r="442" ht="15.75" customHeight="1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0"/>
      <c r="AB442" s="160"/>
      <c r="AC442" s="160"/>
      <c r="AD442" s="160"/>
    </row>
    <row r="443" ht="15.75" customHeight="1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  <c r="AD443" s="160"/>
    </row>
    <row r="444" ht="15.75" customHeight="1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0"/>
      <c r="AD444" s="160"/>
    </row>
    <row r="445" ht="15.75" customHeight="1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0"/>
      <c r="AB445" s="160"/>
      <c r="AC445" s="160"/>
      <c r="AD445" s="160"/>
    </row>
    <row r="446" ht="15.75" customHeight="1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  <c r="AD446" s="160"/>
    </row>
    <row r="447" ht="15.75" customHeight="1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  <c r="AD447" s="160"/>
    </row>
    <row r="448" ht="15.75" customHeight="1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  <c r="AD448" s="160"/>
    </row>
    <row r="449" ht="15.75" customHeight="1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160"/>
      <c r="AD449" s="160"/>
    </row>
    <row r="450" ht="15.75" customHeight="1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0"/>
      <c r="AB450" s="160"/>
      <c r="AC450" s="160"/>
      <c r="AD450" s="160"/>
    </row>
    <row r="451" ht="15.75" customHeight="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  <c r="AD451" s="160"/>
    </row>
    <row r="452" ht="15.75" customHeight="1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  <c r="AA452" s="160"/>
      <c r="AB452" s="160"/>
      <c r="AC452" s="160"/>
      <c r="AD452" s="160"/>
    </row>
    <row r="453" ht="15.75" customHeight="1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  <c r="AD453" s="160"/>
    </row>
    <row r="454" ht="15.75" customHeight="1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  <c r="AA454" s="160"/>
      <c r="AB454" s="160"/>
      <c r="AC454" s="160"/>
      <c r="AD454" s="160"/>
    </row>
    <row r="455" ht="15.75" customHeight="1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  <c r="AD455" s="160"/>
    </row>
    <row r="456" ht="15.75" customHeight="1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0"/>
      <c r="AD456" s="160"/>
    </row>
    <row r="457" ht="15.75" customHeight="1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  <c r="AD457" s="160"/>
    </row>
    <row r="458" ht="15.75" customHeight="1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0"/>
      <c r="AD458" s="160"/>
    </row>
    <row r="459" ht="15.75" customHeight="1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/>
      <c r="AD459" s="160"/>
    </row>
    <row r="460" ht="15.75" customHeight="1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0"/>
      <c r="AB460" s="160"/>
      <c r="AC460" s="160"/>
      <c r="AD460" s="160"/>
    </row>
    <row r="461" ht="15.75" customHeight="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  <c r="AD461" s="160"/>
    </row>
    <row r="462" ht="15.75" customHeight="1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0"/>
      <c r="AB462" s="160"/>
      <c r="AC462" s="160"/>
      <c r="AD462" s="160"/>
    </row>
    <row r="463" ht="15.75" customHeight="1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  <c r="AD463" s="160"/>
    </row>
    <row r="464" ht="15.75" customHeight="1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  <c r="AA464" s="160"/>
      <c r="AB464" s="160"/>
      <c r="AC464" s="160"/>
      <c r="AD464" s="160"/>
    </row>
    <row r="465" ht="15.75" customHeight="1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  <c r="AA465" s="160"/>
      <c r="AB465" s="160"/>
      <c r="AC465" s="160"/>
      <c r="AD465" s="160"/>
    </row>
    <row r="466" ht="15.75" customHeight="1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0"/>
      <c r="AB466" s="160"/>
      <c r="AC466" s="160"/>
      <c r="AD466" s="160"/>
    </row>
    <row r="467" ht="15.75" customHeight="1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  <c r="AD467" s="160"/>
    </row>
    <row r="468" ht="15.75" customHeight="1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0"/>
      <c r="AB468" s="160"/>
      <c r="AC468" s="160"/>
      <c r="AD468" s="160"/>
    </row>
    <row r="469" ht="15.75" customHeight="1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  <c r="AD469" s="160"/>
    </row>
    <row r="470" ht="15.75" customHeight="1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  <c r="AA470" s="160"/>
      <c r="AB470" s="160"/>
      <c r="AC470" s="160"/>
      <c r="AD470" s="160"/>
    </row>
    <row r="471" ht="15.75" customHeight="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  <c r="AD471" s="160"/>
    </row>
    <row r="472" ht="15.75" customHeight="1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  <c r="AD472" s="160"/>
    </row>
    <row r="473" ht="15.75" customHeight="1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  <c r="AD473" s="160"/>
    </row>
    <row r="474" ht="15.75" customHeight="1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  <c r="AD474" s="160"/>
    </row>
    <row r="475" ht="15.75" customHeight="1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  <c r="AD475" s="160"/>
    </row>
    <row r="476" ht="15.75" customHeight="1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  <c r="AD476" s="160"/>
    </row>
    <row r="477" ht="15.75" customHeight="1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  <c r="AD477" s="160"/>
    </row>
    <row r="478" ht="15.75" customHeight="1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  <c r="AD478" s="160"/>
    </row>
    <row r="479" ht="15.75" customHeight="1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  <c r="AD479" s="160"/>
    </row>
    <row r="480" ht="15.75" customHeight="1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  <c r="AD480" s="160"/>
    </row>
    <row r="481" ht="15.75" customHeight="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  <c r="AD481" s="160"/>
    </row>
    <row r="482" ht="15.75" customHeight="1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  <c r="AD482" s="160"/>
    </row>
    <row r="483" ht="15.75" customHeight="1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  <c r="AD483" s="160"/>
    </row>
    <row r="484" ht="15.75" customHeight="1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  <c r="AD484" s="160"/>
    </row>
    <row r="485" ht="15.75" customHeight="1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  <c r="AD485" s="160"/>
    </row>
    <row r="486" ht="15.75" customHeight="1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  <c r="AD486" s="160"/>
    </row>
    <row r="487" ht="15.75" customHeight="1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  <c r="AD487" s="160"/>
    </row>
    <row r="488" ht="15.75" customHeight="1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  <c r="AD488" s="160"/>
    </row>
    <row r="489" ht="15.75" customHeight="1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</row>
    <row r="490" ht="15.75" customHeight="1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  <c r="AD490" s="160"/>
    </row>
    <row r="491" ht="15.75" customHeight="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  <c r="AD491" s="160"/>
    </row>
    <row r="492" ht="15.75" customHeight="1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  <c r="AD492" s="160"/>
    </row>
    <row r="493" ht="15.75" customHeight="1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  <c r="AD493" s="160"/>
    </row>
    <row r="494" ht="15.75" customHeight="1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  <c r="AD494" s="160"/>
    </row>
    <row r="495" ht="15.75" customHeight="1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  <c r="AD495" s="160"/>
    </row>
    <row r="496" ht="15.75" customHeight="1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  <c r="AD496" s="160"/>
    </row>
    <row r="497" ht="15.75" customHeight="1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  <c r="AD497" s="160"/>
    </row>
    <row r="498" ht="15.75" customHeight="1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  <c r="AD498" s="160"/>
    </row>
    <row r="499" ht="15.75" customHeight="1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  <c r="AD499" s="160"/>
    </row>
    <row r="500" ht="15.75" customHeight="1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  <c r="AD500" s="160"/>
    </row>
    <row r="501" ht="15.75" customHeight="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  <c r="AD501" s="160"/>
    </row>
    <row r="502" ht="15.75" customHeight="1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  <c r="AD502" s="160"/>
    </row>
    <row r="503" ht="15.75" customHeight="1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  <c r="AD503" s="160"/>
    </row>
    <row r="504" ht="15.75" customHeight="1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  <c r="AD504" s="160"/>
    </row>
    <row r="505" ht="15.75" customHeight="1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  <c r="AD505" s="160"/>
    </row>
    <row r="506" ht="15.75" customHeight="1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  <c r="AD506" s="160"/>
    </row>
    <row r="507" ht="15.75" customHeight="1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  <c r="AD507" s="160"/>
    </row>
    <row r="508" ht="15.75" customHeight="1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  <c r="AD508" s="160"/>
    </row>
    <row r="509" ht="15.75" customHeight="1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  <c r="AD509" s="160"/>
    </row>
    <row r="510" ht="15.75" customHeight="1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  <c r="AA510" s="160"/>
      <c r="AB510" s="160"/>
      <c r="AC510" s="160"/>
      <c r="AD510" s="160"/>
    </row>
    <row r="511" ht="15.75" customHeight="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  <c r="AD511" s="160"/>
    </row>
    <row r="512" ht="15.75" customHeight="1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  <c r="AA512" s="160"/>
      <c r="AB512" s="160"/>
      <c r="AC512" s="160"/>
      <c r="AD512" s="160"/>
    </row>
    <row r="513" ht="15.75" customHeight="1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  <c r="AD513" s="160"/>
    </row>
    <row r="514" ht="15.75" customHeight="1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/>
      <c r="AD514" s="160"/>
    </row>
    <row r="515" ht="15.75" customHeight="1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  <c r="AD515" s="160"/>
    </row>
    <row r="516" ht="15.75" customHeight="1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  <c r="AA516" s="160"/>
      <c r="AB516" s="160"/>
      <c r="AC516" s="160"/>
      <c r="AD516" s="160"/>
    </row>
    <row r="517" ht="15.75" customHeight="1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  <c r="AD517" s="160"/>
    </row>
    <row r="518" ht="15.75" customHeight="1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0"/>
      <c r="AD518" s="160"/>
    </row>
    <row r="519" ht="15.75" customHeight="1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  <c r="AD519" s="160"/>
    </row>
    <row r="520" ht="15.75" customHeight="1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  <c r="AD520" s="160"/>
    </row>
    <row r="521" ht="15.75" customHeight="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  <c r="AD521" s="160"/>
    </row>
    <row r="522" ht="15.75" customHeight="1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  <c r="AD522" s="160"/>
    </row>
    <row r="523" ht="15.75" customHeight="1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  <c r="AD523" s="160"/>
    </row>
    <row r="524" ht="15.75" customHeight="1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  <c r="AD524" s="160"/>
    </row>
    <row r="525" ht="15.75" customHeight="1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  <c r="AD525" s="160"/>
    </row>
    <row r="526" ht="15.75" customHeight="1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  <c r="AD526" s="160"/>
    </row>
    <row r="527" ht="15.75" customHeight="1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  <c r="AD527" s="160"/>
    </row>
    <row r="528" ht="15.75" customHeight="1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  <c r="AD528" s="160"/>
    </row>
    <row r="529" ht="15.75" customHeight="1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  <c r="AD529" s="160"/>
    </row>
    <row r="530" ht="15.75" customHeight="1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  <c r="AD530" s="160"/>
    </row>
    <row r="531" ht="15.75" customHeight="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  <c r="AD531" s="160"/>
    </row>
    <row r="532" ht="15.75" customHeight="1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  <c r="AD532" s="160"/>
    </row>
    <row r="533" ht="15.75" customHeight="1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  <c r="AD533" s="160"/>
    </row>
    <row r="534" ht="15.75" customHeight="1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  <c r="AD534" s="160"/>
    </row>
    <row r="535" ht="15.75" customHeight="1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  <c r="AD535" s="160"/>
    </row>
    <row r="536" ht="15.75" customHeight="1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  <c r="AD536" s="160"/>
    </row>
    <row r="537" ht="15.75" customHeight="1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  <c r="AD537" s="160"/>
    </row>
    <row r="538" ht="15.75" customHeight="1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  <c r="AD538" s="160"/>
    </row>
    <row r="539" ht="15.75" customHeight="1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  <c r="AD539" s="160"/>
    </row>
    <row r="540" ht="15.75" customHeight="1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  <c r="AD540" s="160"/>
    </row>
    <row r="541" ht="15.75" customHeight="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  <c r="AD541" s="160"/>
    </row>
    <row r="542" ht="15.75" customHeight="1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</row>
    <row r="543" ht="15.75" customHeight="1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  <c r="AD543" s="160"/>
    </row>
    <row r="544" ht="15.75" customHeight="1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0"/>
      <c r="AB544" s="160"/>
      <c r="AC544" s="160"/>
      <c r="AD544" s="160"/>
    </row>
    <row r="545" ht="15.75" customHeight="1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  <c r="AD545" s="160"/>
    </row>
    <row r="546" ht="15.75" customHeight="1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0"/>
      <c r="AD546" s="160"/>
    </row>
    <row r="547" ht="15.75" customHeight="1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  <c r="AD547" s="160"/>
    </row>
    <row r="548" ht="15.75" customHeight="1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0"/>
      <c r="AD548" s="160"/>
    </row>
    <row r="549" ht="15.75" customHeight="1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  <c r="AD549" s="160"/>
    </row>
    <row r="550" ht="15.75" customHeight="1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  <c r="AD550" s="160"/>
    </row>
    <row r="551" ht="15.75" customHeight="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  <c r="AD551" s="160"/>
    </row>
    <row r="552" ht="15.75" customHeight="1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0"/>
      <c r="AD552" s="160"/>
    </row>
    <row r="553" ht="15.75" customHeight="1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  <c r="AD553" s="160"/>
    </row>
    <row r="554" ht="15.75" customHeight="1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0"/>
      <c r="AB554" s="160"/>
      <c r="AC554" s="160"/>
      <c r="AD554" s="160"/>
    </row>
    <row r="555" ht="15.75" customHeight="1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  <c r="AD555" s="160"/>
    </row>
    <row r="556" ht="15.75" customHeight="1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0"/>
      <c r="AD556" s="160"/>
    </row>
    <row r="557" ht="15.75" customHeight="1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  <c r="AA557" s="160"/>
      <c r="AB557" s="160"/>
      <c r="AC557" s="160"/>
      <c r="AD557" s="160"/>
    </row>
    <row r="558" ht="15.75" customHeight="1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  <c r="AA558" s="160"/>
      <c r="AB558" s="160"/>
      <c r="AC558" s="160"/>
      <c r="AD558" s="160"/>
    </row>
    <row r="559" ht="15.75" customHeight="1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  <c r="AD559" s="160"/>
    </row>
    <row r="560" ht="15.75" customHeight="1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  <c r="AA560" s="160"/>
      <c r="AB560" s="160"/>
      <c r="AC560" s="160"/>
      <c r="AD560" s="160"/>
    </row>
    <row r="561" ht="15.75" customHeight="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  <c r="AD561" s="160"/>
    </row>
    <row r="562" ht="15.75" customHeight="1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0"/>
      <c r="AB562" s="160"/>
      <c r="AC562" s="160"/>
      <c r="AD562" s="160"/>
    </row>
    <row r="563" ht="15.75" customHeight="1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  <c r="AD563" s="160"/>
    </row>
    <row r="564" ht="15.75" customHeight="1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0"/>
      <c r="AB564" s="160"/>
      <c r="AC564" s="160"/>
      <c r="AD564" s="160"/>
    </row>
    <row r="565" ht="15.75" customHeight="1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  <c r="AD565" s="160"/>
    </row>
    <row r="566" ht="15.75" customHeight="1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  <c r="AA566" s="160"/>
      <c r="AB566" s="160"/>
      <c r="AC566" s="160"/>
      <c r="AD566" s="160"/>
    </row>
    <row r="567" ht="15.75" customHeight="1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  <c r="AD567" s="160"/>
    </row>
    <row r="568" ht="15.75" customHeight="1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  <c r="AA568" s="160"/>
      <c r="AB568" s="160"/>
      <c r="AC568" s="160"/>
      <c r="AD568" s="160"/>
    </row>
    <row r="569" ht="15.75" customHeight="1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  <c r="AD569" s="160"/>
    </row>
    <row r="570" ht="15.75" customHeight="1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  <c r="AA570" s="160"/>
      <c r="AB570" s="160"/>
      <c r="AC570" s="160"/>
      <c r="AD570" s="160"/>
    </row>
    <row r="571" ht="15.75" customHeight="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  <c r="AD571" s="160"/>
    </row>
    <row r="572" ht="15.75" customHeight="1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  <c r="AA572" s="160"/>
      <c r="AB572" s="160"/>
      <c r="AC572" s="160"/>
      <c r="AD572" s="160"/>
    </row>
    <row r="573" ht="15.75" customHeight="1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  <c r="AD573" s="160"/>
    </row>
    <row r="574" ht="15.75" customHeight="1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  <c r="AA574" s="160"/>
      <c r="AB574" s="160"/>
      <c r="AC574" s="160"/>
      <c r="AD574" s="160"/>
    </row>
    <row r="575" ht="15.75" customHeight="1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  <c r="AD575" s="160"/>
    </row>
    <row r="576" ht="15.75" customHeight="1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0"/>
      <c r="AB576" s="160"/>
      <c r="AC576" s="160"/>
      <c r="AD576" s="160"/>
    </row>
    <row r="577" ht="15.75" customHeight="1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  <c r="AD577" s="160"/>
    </row>
    <row r="578" ht="15.75" customHeight="1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  <c r="AA578" s="160"/>
      <c r="AB578" s="160"/>
      <c r="AC578" s="160"/>
      <c r="AD578" s="160"/>
    </row>
    <row r="579" ht="15.75" customHeight="1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  <c r="AD579" s="160"/>
    </row>
    <row r="580" ht="15.75" customHeight="1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  <c r="AA580" s="160"/>
      <c r="AB580" s="160"/>
      <c r="AC580" s="160"/>
      <c r="AD580" s="160"/>
    </row>
    <row r="581" ht="15.75" customHeight="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  <c r="AD581" s="160"/>
    </row>
    <row r="582" ht="15.75" customHeight="1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  <c r="AA582" s="160"/>
      <c r="AB582" s="160"/>
      <c r="AC582" s="160"/>
      <c r="AD582" s="160"/>
    </row>
    <row r="583" ht="15.75" customHeight="1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  <c r="AD583" s="160"/>
    </row>
    <row r="584" ht="15.75" customHeight="1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  <c r="AA584" s="160"/>
      <c r="AB584" s="160"/>
      <c r="AC584" s="160"/>
      <c r="AD584" s="160"/>
    </row>
    <row r="585" ht="15.75" customHeight="1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  <c r="AD585" s="160"/>
    </row>
    <row r="586" ht="15.75" customHeight="1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0"/>
      <c r="AB586" s="160"/>
      <c r="AC586" s="160"/>
      <c r="AD586" s="160"/>
    </row>
    <row r="587" ht="15.75" customHeight="1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  <c r="AD587" s="160"/>
    </row>
    <row r="588" ht="15.75" customHeight="1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  <c r="AA588" s="160"/>
      <c r="AB588" s="160"/>
      <c r="AC588" s="160"/>
      <c r="AD588" s="160"/>
    </row>
    <row r="589" ht="15.75" customHeight="1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  <c r="AD589" s="160"/>
    </row>
    <row r="590" ht="15.75" customHeight="1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  <c r="AA590" s="160"/>
      <c r="AB590" s="160"/>
      <c r="AC590" s="160"/>
      <c r="AD590" s="160"/>
    </row>
    <row r="591" ht="15.75" customHeight="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  <c r="AD591" s="160"/>
    </row>
    <row r="592" ht="15.75" customHeight="1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0"/>
      <c r="AB592" s="160"/>
      <c r="AC592" s="160"/>
      <c r="AD592" s="160"/>
    </row>
    <row r="593" ht="15.75" customHeight="1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  <c r="AD593" s="160"/>
    </row>
    <row r="594" ht="15.75" customHeight="1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0"/>
      <c r="AB594" s="160"/>
      <c r="AC594" s="160"/>
      <c r="AD594" s="160"/>
    </row>
    <row r="595" ht="15.75" customHeight="1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</row>
    <row r="596" ht="15.75" customHeight="1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  <c r="AA596" s="160"/>
      <c r="AB596" s="160"/>
      <c r="AC596" s="160"/>
      <c r="AD596" s="160"/>
    </row>
    <row r="597" ht="15.75" customHeight="1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/>
      <c r="AD597" s="160"/>
    </row>
    <row r="598" ht="15.75" customHeight="1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  <c r="AA598" s="160"/>
      <c r="AB598" s="160"/>
      <c r="AC598" s="160"/>
      <c r="AD598" s="160"/>
    </row>
    <row r="599" ht="15.75" customHeight="1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  <c r="AD599" s="160"/>
    </row>
    <row r="600" ht="15.75" customHeight="1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  <c r="AD600" s="160"/>
    </row>
    <row r="601" ht="15.75" customHeight="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  <c r="AD601" s="160"/>
    </row>
    <row r="602" ht="15.75" customHeight="1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  <c r="AD602" s="160"/>
    </row>
    <row r="603" ht="15.75" customHeight="1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  <c r="AD603" s="160"/>
    </row>
    <row r="604" ht="15.75" customHeight="1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  <c r="AD604" s="160"/>
    </row>
    <row r="605" ht="15.75" customHeight="1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  <c r="AD605" s="160"/>
    </row>
    <row r="606" ht="15.75" customHeight="1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  <c r="AD606" s="160"/>
    </row>
    <row r="607" ht="15.75" customHeight="1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  <c r="AD607" s="160"/>
    </row>
    <row r="608" ht="15.75" customHeight="1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0"/>
      <c r="AB608" s="160"/>
      <c r="AC608" s="160"/>
      <c r="AD608" s="160"/>
    </row>
    <row r="609" ht="15.75" customHeight="1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0"/>
      <c r="AB609" s="160"/>
      <c r="AC609" s="160"/>
      <c r="AD609" s="160"/>
    </row>
    <row r="610" ht="15.75" customHeight="1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  <c r="AA610" s="160"/>
      <c r="AB610" s="160"/>
      <c r="AC610" s="160"/>
      <c r="AD610" s="160"/>
    </row>
    <row r="611" ht="15.75" customHeight="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  <c r="AD611" s="160"/>
    </row>
    <row r="612" ht="15.75" customHeight="1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  <c r="AA612" s="160"/>
      <c r="AB612" s="160"/>
      <c r="AC612" s="160"/>
      <c r="AD612" s="160"/>
    </row>
    <row r="613" ht="15.75" customHeight="1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  <c r="AA613" s="160"/>
      <c r="AB613" s="160"/>
      <c r="AC613" s="160"/>
      <c r="AD613" s="160"/>
    </row>
    <row r="614" ht="15.75" customHeight="1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  <c r="AA614" s="160"/>
      <c r="AB614" s="160"/>
      <c r="AC614" s="160"/>
      <c r="AD614" s="160"/>
    </row>
    <row r="615" ht="15.75" customHeight="1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  <c r="AD615" s="160"/>
    </row>
    <row r="616" ht="15.75" customHeight="1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0"/>
      <c r="AB616" s="160"/>
      <c r="AC616" s="160"/>
      <c r="AD616" s="160"/>
    </row>
    <row r="617" ht="15.75" customHeight="1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  <c r="AD617" s="160"/>
    </row>
    <row r="618" ht="15.75" customHeight="1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0"/>
      <c r="AB618" s="160"/>
      <c r="AC618" s="160"/>
      <c r="AD618" s="160"/>
    </row>
    <row r="619" ht="15.75" customHeight="1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  <c r="AD619" s="160"/>
    </row>
    <row r="620" ht="15.75" customHeight="1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0"/>
      <c r="AB620" s="160"/>
      <c r="AC620" s="160"/>
      <c r="AD620" s="160"/>
    </row>
    <row r="621" ht="15.75" customHeight="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  <c r="AD621" s="160"/>
    </row>
    <row r="622" ht="15.75" customHeight="1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0"/>
      <c r="AB622" s="160"/>
      <c r="AC622" s="160"/>
      <c r="AD622" s="160"/>
    </row>
    <row r="623" ht="15.75" customHeight="1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0"/>
      <c r="AB623" s="160"/>
      <c r="AC623" s="160"/>
      <c r="AD623" s="160"/>
    </row>
    <row r="624" ht="15.75" customHeight="1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  <c r="AA624" s="160"/>
      <c r="AB624" s="160"/>
      <c r="AC624" s="160"/>
      <c r="AD624" s="160"/>
    </row>
    <row r="625" ht="15.75" customHeight="1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  <c r="AD625" s="160"/>
    </row>
    <row r="626" ht="15.75" customHeight="1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  <c r="AA626" s="160"/>
      <c r="AB626" s="160"/>
      <c r="AC626" s="160"/>
      <c r="AD626" s="160"/>
    </row>
    <row r="627" ht="15.75" customHeight="1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  <c r="AD627" s="160"/>
    </row>
    <row r="628" ht="15.75" customHeight="1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0"/>
      <c r="AB628" s="160"/>
      <c r="AC628" s="160"/>
      <c r="AD628" s="160"/>
    </row>
    <row r="629" ht="15.75" customHeight="1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0"/>
      <c r="AB629" s="160"/>
      <c r="AC629" s="160"/>
      <c r="AD629" s="160"/>
    </row>
    <row r="630" ht="15.75" customHeight="1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  <c r="AD630" s="160"/>
    </row>
    <row r="631" ht="15.75" customHeight="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0"/>
      <c r="AB631" s="160"/>
      <c r="AC631" s="160"/>
      <c r="AD631" s="160"/>
    </row>
    <row r="632" ht="15.75" customHeight="1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  <c r="AD632" s="160"/>
    </row>
    <row r="633" ht="15.75" customHeight="1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0"/>
      <c r="AB633" s="160"/>
      <c r="AC633" s="160"/>
      <c r="AD633" s="160"/>
    </row>
    <row r="634" ht="15.75" customHeight="1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0"/>
      <c r="AB634" s="160"/>
      <c r="AC634" s="160"/>
      <c r="AD634" s="160"/>
    </row>
    <row r="635" ht="15.75" customHeight="1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0"/>
      <c r="AB635" s="160"/>
      <c r="AC635" s="160"/>
      <c r="AD635" s="160"/>
    </row>
    <row r="636" ht="15.75" customHeight="1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/>
      <c r="AD636" s="160"/>
    </row>
    <row r="637" ht="15.75" customHeight="1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0"/>
      <c r="AB637" s="160"/>
      <c r="AC637" s="160"/>
      <c r="AD637" s="160"/>
    </row>
    <row r="638" ht="15.75" customHeight="1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  <c r="AD638" s="160"/>
    </row>
    <row r="639" ht="15.75" customHeight="1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0"/>
      <c r="AB639" s="160"/>
      <c r="AC639" s="160"/>
      <c r="AD639" s="160"/>
    </row>
    <row r="640" ht="15.75" customHeight="1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  <c r="AD640" s="160"/>
    </row>
    <row r="641" ht="15.75" customHeight="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0"/>
      <c r="AB641" s="160"/>
      <c r="AC641" s="160"/>
      <c r="AD641" s="160"/>
    </row>
    <row r="642" ht="15.75" customHeight="1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  <c r="AD642" s="160"/>
    </row>
    <row r="643" ht="15.75" customHeight="1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  <c r="AD643" s="160"/>
    </row>
    <row r="644" ht="15.75" customHeight="1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0"/>
      <c r="AB644" s="160"/>
      <c r="AC644" s="160"/>
      <c r="AD644" s="160"/>
    </row>
    <row r="645" ht="15.75" customHeight="1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  <c r="AD645" s="160"/>
    </row>
    <row r="646" ht="15.75" customHeight="1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0"/>
      <c r="AB646" s="160"/>
      <c r="AC646" s="160"/>
      <c r="AD646" s="160"/>
    </row>
    <row r="647" ht="15.75" customHeight="1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  <c r="AD647" s="160"/>
    </row>
    <row r="648" ht="15.75" customHeight="1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  <c r="AA648" s="160"/>
      <c r="AB648" s="160"/>
      <c r="AC648" s="160"/>
      <c r="AD648" s="160"/>
    </row>
    <row r="649" ht="15.75" customHeight="1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/>
      <c r="AD649" s="160"/>
    </row>
    <row r="650" ht="15.75" customHeight="1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0"/>
      <c r="AB650" s="160"/>
      <c r="AC650" s="160"/>
      <c r="AD650" s="160"/>
    </row>
    <row r="651" ht="15.75" customHeight="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  <c r="AD651" s="160"/>
    </row>
    <row r="652" ht="15.75" customHeight="1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  <c r="AA652" s="160"/>
      <c r="AB652" s="160"/>
      <c r="AC652" s="160"/>
      <c r="AD652" s="160"/>
    </row>
    <row r="653" ht="15.75" customHeight="1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  <c r="AD653" s="160"/>
    </row>
    <row r="654" ht="15.75" customHeight="1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0"/>
      <c r="AB654" s="160"/>
      <c r="AC654" s="160"/>
      <c r="AD654" s="160"/>
    </row>
    <row r="655" ht="15.75" customHeight="1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  <c r="AA655" s="160"/>
      <c r="AB655" s="160"/>
      <c r="AC655" s="160"/>
      <c r="AD655" s="160"/>
    </row>
    <row r="656" ht="15.75" customHeight="1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  <c r="AD656" s="160"/>
    </row>
    <row r="657" ht="15.75" customHeight="1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  <c r="AA657" s="160"/>
      <c r="AB657" s="160"/>
      <c r="AC657" s="160"/>
      <c r="AD657" s="160"/>
    </row>
    <row r="658" ht="15.75" customHeight="1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  <c r="AD658" s="160"/>
    </row>
    <row r="659" ht="15.75" customHeight="1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  <c r="AA659" s="160"/>
      <c r="AB659" s="160"/>
      <c r="AC659" s="160"/>
      <c r="AD659" s="160"/>
    </row>
    <row r="660" ht="15.75" customHeight="1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  <c r="AD660" s="160"/>
    </row>
    <row r="661" ht="15.75" customHeight="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  <c r="AD661" s="160"/>
    </row>
    <row r="662" ht="15.75" customHeight="1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  <c r="AD662" s="160"/>
    </row>
    <row r="663" ht="15.75" customHeight="1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  <c r="AD663" s="160"/>
    </row>
    <row r="664" ht="15.75" customHeight="1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  <c r="AD664" s="160"/>
    </row>
    <row r="665" ht="15.75" customHeight="1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  <c r="AD665" s="160"/>
    </row>
    <row r="666" ht="15.75" customHeight="1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  <c r="AD666" s="160"/>
    </row>
    <row r="667" ht="15.75" customHeight="1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  <c r="AD667" s="160"/>
    </row>
    <row r="668" ht="15.75" customHeight="1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  <c r="AD668" s="160"/>
    </row>
    <row r="669" ht="15.75" customHeight="1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  <c r="AD669" s="160"/>
    </row>
    <row r="670" ht="15.75" customHeight="1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  <c r="AD670" s="160"/>
    </row>
    <row r="671" ht="15.75" customHeight="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  <c r="AD671" s="160"/>
    </row>
    <row r="672" ht="15.75" customHeight="1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  <c r="AD672" s="160"/>
    </row>
    <row r="673" ht="15.75" customHeight="1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  <c r="AD673" s="160"/>
    </row>
    <row r="674" ht="15.75" customHeight="1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  <c r="AD674" s="160"/>
    </row>
    <row r="675" ht="15.75" customHeight="1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  <c r="AD675" s="160"/>
    </row>
    <row r="676" ht="15.75" customHeight="1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  <c r="AD676" s="160"/>
    </row>
    <row r="677" ht="15.75" customHeight="1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  <c r="AD677" s="160"/>
    </row>
    <row r="678" ht="15.75" customHeight="1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  <c r="AD678" s="160"/>
    </row>
    <row r="679" ht="15.75" customHeight="1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  <c r="AD679" s="160"/>
    </row>
    <row r="680" ht="15.75" customHeight="1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  <c r="AD680" s="160"/>
    </row>
    <row r="681" ht="15.75" customHeight="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  <c r="AD681" s="160"/>
    </row>
    <row r="682" ht="15.75" customHeight="1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  <c r="AD682" s="160"/>
    </row>
    <row r="683" ht="15.75" customHeight="1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  <c r="AD683" s="160"/>
    </row>
    <row r="684" ht="15.75" customHeight="1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  <c r="AD684" s="160"/>
    </row>
    <row r="685" ht="15.75" customHeight="1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  <c r="AD685" s="160"/>
    </row>
    <row r="686" ht="15.75" customHeight="1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  <c r="AD686" s="160"/>
    </row>
    <row r="687" ht="15.75" customHeight="1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  <c r="AD687" s="160"/>
    </row>
    <row r="688" ht="15.75" customHeight="1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  <c r="AD688" s="160"/>
    </row>
    <row r="689" ht="15.75" customHeight="1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  <c r="AD689" s="160"/>
    </row>
    <row r="690" ht="15.75" customHeight="1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  <c r="AD690" s="160"/>
    </row>
    <row r="691" ht="15.75" customHeight="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  <c r="AD691" s="160"/>
    </row>
    <row r="692" ht="15.75" customHeight="1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  <c r="AD692" s="160"/>
    </row>
    <row r="693" ht="15.75" customHeight="1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  <c r="AD693" s="160"/>
    </row>
    <row r="694" ht="15.75" customHeight="1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  <c r="AD694" s="160"/>
    </row>
    <row r="695" ht="15.75" customHeight="1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  <c r="AD695" s="160"/>
    </row>
    <row r="696" ht="15.75" customHeight="1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  <c r="AD696" s="160"/>
    </row>
    <row r="697" ht="15.75" customHeight="1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  <c r="AD697" s="160"/>
    </row>
    <row r="698" ht="15.75" customHeight="1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  <c r="AD698" s="160"/>
    </row>
    <row r="699" ht="15.75" customHeight="1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  <c r="AD699" s="160"/>
    </row>
    <row r="700" ht="15.75" customHeight="1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  <c r="AD700" s="160"/>
    </row>
    <row r="701" ht="15.75" customHeight="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  <c r="AD701" s="160"/>
    </row>
    <row r="702" ht="15.75" customHeight="1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  <c r="AD702" s="160"/>
    </row>
    <row r="703" ht="15.75" customHeight="1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  <c r="AD703" s="160"/>
    </row>
    <row r="704" ht="15.75" customHeight="1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  <c r="AD704" s="160"/>
    </row>
    <row r="705" ht="15.75" customHeight="1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  <c r="AD705" s="160"/>
    </row>
    <row r="706" ht="15.75" customHeight="1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  <c r="AD706" s="160"/>
    </row>
    <row r="707" ht="15.75" customHeight="1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  <c r="AD707" s="160"/>
    </row>
    <row r="708" ht="15.75" customHeight="1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  <c r="AD708" s="160"/>
    </row>
    <row r="709" ht="15.75" customHeight="1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  <c r="AD709" s="160"/>
    </row>
    <row r="710" ht="15.75" customHeight="1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  <c r="AD710" s="160"/>
    </row>
    <row r="711" ht="15.75" customHeight="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  <c r="AD711" s="160"/>
    </row>
    <row r="712" ht="15.75" customHeight="1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  <c r="AD712" s="160"/>
    </row>
    <row r="713" ht="15.75" customHeight="1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  <c r="AD713" s="160"/>
    </row>
    <row r="714" ht="15.75" customHeight="1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  <c r="AD714" s="160"/>
    </row>
    <row r="715" ht="15.75" customHeight="1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  <c r="AD715" s="160"/>
    </row>
    <row r="716" ht="15.75" customHeight="1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  <c r="AD716" s="160"/>
    </row>
    <row r="717" ht="15.75" customHeight="1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  <c r="AD717" s="160"/>
    </row>
    <row r="718" ht="15.75" customHeight="1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  <c r="AD718" s="160"/>
    </row>
    <row r="719" ht="15.75" customHeight="1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  <c r="AD719" s="160"/>
    </row>
    <row r="720" ht="15.75" customHeight="1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  <c r="AD720" s="160"/>
    </row>
    <row r="721" ht="15.75" customHeight="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  <c r="AD721" s="160"/>
    </row>
    <row r="722" ht="15.75" customHeight="1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  <c r="AD722" s="160"/>
    </row>
    <row r="723" ht="15.75" customHeight="1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  <c r="AD723" s="160"/>
    </row>
    <row r="724" ht="15.75" customHeight="1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  <c r="AD724" s="160"/>
    </row>
    <row r="725" ht="15.75" customHeight="1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  <c r="AD725" s="160"/>
    </row>
    <row r="726" ht="15.75" customHeight="1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  <c r="AD726" s="160"/>
    </row>
    <row r="727" ht="15.75" customHeight="1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  <c r="AD727" s="160"/>
    </row>
    <row r="728" ht="15.75" customHeight="1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  <c r="AD728" s="160"/>
    </row>
    <row r="729" ht="15.75" customHeight="1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  <c r="AD729" s="160"/>
    </row>
    <row r="730" ht="15.75" customHeight="1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  <c r="AD730" s="160"/>
    </row>
    <row r="731" ht="15.75" customHeight="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  <c r="AD731" s="160"/>
    </row>
    <row r="732" ht="15.75" customHeight="1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  <c r="AD732" s="160"/>
    </row>
    <row r="733" ht="15.75" customHeight="1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  <c r="AD733" s="160"/>
    </row>
    <row r="734" ht="15.75" customHeight="1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  <c r="AD734" s="160"/>
    </row>
    <row r="735" ht="15.75" customHeight="1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  <c r="AD735" s="160"/>
    </row>
    <row r="736" ht="15.75" customHeight="1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  <c r="AD736" s="160"/>
    </row>
    <row r="737" ht="15.75" customHeight="1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  <c r="AD737" s="160"/>
    </row>
    <row r="738" ht="15.75" customHeight="1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  <c r="AD738" s="160"/>
    </row>
    <row r="739" ht="15.75" customHeight="1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  <c r="AD739" s="160"/>
    </row>
    <row r="740" ht="15.75" customHeight="1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  <c r="AD740" s="160"/>
    </row>
    <row r="741" ht="15.75" customHeight="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  <c r="AD741" s="160"/>
    </row>
    <row r="742" ht="15.75" customHeight="1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  <c r="AD742" s="160"/>
    </row>
    <row r="743" ht="15.75" customHeight="1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  <c r="AD743" s="160"/>
    </row>
    <row r="744" ht="15.75" customHeight="1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  <c r="AD744" s="160"/>
    </row>
    <row r="745" ht="15.75" customHeight="1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  <c r="AD745" s="160"/>
    </row>
    <row r="746" ht="15.75" customHeight="1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  <c r="AD746" s="160"/>
    </row>
    <row r="747" ht="15.75" customHeight="1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  <c r="AD747" s="160"/>
    </row>
    <row r="748" ht="15.75" customHeight="1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  <c r="AD748" s="160"/>
    </row>
    <row r="749" ht="15.75" customHeight="1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  <c r="AD749" s="160"/>
    </row>
    <row r="750" ht="15.75" customHeight="1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  <c r="AD750" s="160"/>
    </row>
    <row r="751" ht="15.75" customHeight="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  <c r="AD751" s="160"/>
    </row>
    <row r="752" ht="15.75" customHeight="1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  <c r="AD752" s="160"/>
    </row>
    <row r="753" ht="15.75" customHeight="1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  <c r="AD753" s="160"/>
    </row>
    <row r="754" ht="15.75" customHeight="1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  <c r="AD754" s="160"/>
    </row>
    <row r="755" ht="15.75" customHeight="1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  <c r="AD755" s="160"/>
    </row>
    <row r="756" ht="15.75" customHeight="1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  <c r="AD756" s="160"/>
    </row>
    <row r="757" ht="15.75" customHeight="1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  <c r="AD757" s="160"/>
    </row>
    <row r="758" ht="15.75" customHeight="1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  <c r="AD758" s="160"/>
    </row>
    <row r="759" ht="15.75" customHeight="1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  <c r="AD759" s="160"/>
    </row>
    <row r="760" ht="15.75" customHeight="1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  <c r="AD760" s="160"/>
    </row>
    <row r="761" ht="15.75" customHeight="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  <c r="AD761" s="160"/>
    </row>
    <row r="762" ht="15.75" customHeight="1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  <c r="AD762" s="160"/>
    </row>
    <row r="763" ht="15.75" customHeight="1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  <c r="AD763" s="160"/>
    </row>
    <row r="764" ht="15.75" customHeight="1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  <c r="AD764" s="160"/>
    </row>
    <row r="765" ht="15.75" customHeight="1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  <c r="AD765" s="160"/>
    </row>
    <row r="766" ht="15.75" customHeight="1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  <c r="AD766" s="160"/>
    </row>
    <row r="767" ht="15.75" customHeight="1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  <c r="AD767" s="160"/>
    </row>
    <row r="768" ht="15.75" customHeight="1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  <c r="AD768" s="160"/>
    </row>
    <row r="769" ht="15.75" customHeight="1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  <c r="AD769" s="160"/>
    </row>
    <row r="770" ht="15.75" customHeight="1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  <c r="AD770" s="160"/>
    </row>
    <row r="771" ht="15.75" customHeight="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  <c r="AD771" s="160"/>
    </row>
    <row r="772" ht="15.75" customHeight="1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  <c r="AD772" s="160"/>
    </row>
    <row r="773" ht="15.75" customHeight="1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  <c r="AD773" s="160"/>
    </row>
    <row r="774" ht="15.75" customHeight="1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  <c r="AD774" s="160"/>
    </row>
    <row r="775" ht="15.75" customHeight="1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  <c r="AD775" s="160"/>
    </row>
    <row r="776" ht="15.75" customHeight="1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  <c r="AD776" s="160"/>
    </row>
    <row r="777" ht="15.75" customHeight="1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  <c r="AD777" s="160"/>
    </row>
    <row r="778" ht="15.75" customHeight="1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  <c r="AD778" s="160"/>
    </row>
    <row r="779" ht="15.75" customHeight="1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  <c r="AD779" s="160"/>
    </row>
    <row r="780" ht="15.75" customHeight="1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  <c r="AD780" s="160"/>
    </row>
    <row r="781" ht="15.75" customHeight="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  <c r="AD781" s="160"/>
    </row>
    <row r="782" ht="15.75" customHeight="1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  <c r="AD782" s="160"/>
    </row>
    <row r="783" ht="15.75" customHeight="1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  <c r="AD783" s="160"/>
    </row>
    <row r="784" ht="15.75" customHeight="1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  <c r="AD784" s="160"/>
    </row>
    <row r="785" ht="15.75" customHeight="1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  <c r="AD785" s="160"/>
    </row>
    <row r="786" ht="15.75" customHeight="1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  <c r="AD786" s="160"/>
    </row>
    <row r="787" ht="15.75" customHeight="1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  <c r="AD787" s="160"/>
    </row>
    <row r="788" ht="15.75" customHeight="1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  <c r="AD788" s="160"/>
    </row>
    <row r="789" ht="15.75" customHeight="1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  <c r="AD789" s="160"/>
    </row>
    <row r="790" ht="15.75" customHeight="1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  <c r="AD790" s="160"/>
    </row>
    <row r="791" ht="15.75" customHeight="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  <c r="AD791" s="160"/>
    </row>
    <row r="792" ht="15.75" customHeight="1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  <c r="AD792" s="160"/>
    </row>
    <row r="793" ht="15.75" customHeight="1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  <c r="AD793" s="160"/>
    </row>
    <row r="794" ht="15.75" customHeight="1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  <c r="AD794" s="160"/>
    </row>
    <row r="795" ht="15.75" customHeight="1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  <c r="AD795" s="160"/>
    </row>
    <row r="796" ht="15.75" customHeight="1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  <c r="AD796" s="160"/>
    </row>
    <row r="797" ht="15.75" customHeight="1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  <c r="AD797" s="160"/>
    </row>
    <row r="798" ht="15.75" customHeight="1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  <c r="AD798" s="160"/>
    </row>
    <row r="799" ht="15.75" customHeight="1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  <c r="AD799" s="160"/>
    </row>
    <row r="800" ht="15.75" customHeight="1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  <c r="AD800" s="160"/>
    </row>
    <row r="801" ht="15.75" customHeight="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  <c r="AD801" s="160"/>
    </row>
    <row r="802" ht="15.75" customHeight="1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  <c r="AD802" s="160"/>
    </row>
    <row r="803" ht="15.75" customHeight="1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  <c r="AD803" s="160"/>
    </row>
    <row r="804" ht="15.75" customHeight="1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  <c r="AD804" s="160"/>
    </row>
    <row r="805" ht="15.75" customHeight="1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  <c r="AD805" s="160"/>
    </row>
    <row r="806" ht="15.75" customHeight="1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  <c r="AD806" s="160"/>
    </row>
    <row r="807" ht="15.75" customHeight="1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  <c r="AD807" s="160"/>
    </row>
    <row r="808" ht="15.75" customHeight="1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  <c r="AD808" s="160"/>
    </row>
    <row r="809" ht="15.75" customHeight="1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  <c r="AD809" s="160"/>
    </row>
    <row r="810" ht="15.75" customHeight="1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  <c r="AD810" s="160"/>
    </row>
    <row r="811" ht="15.75" customHeight="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  <c r="AD811" s="160"/>
    </row>
    <row r="812" ht="15.75" customHeight="1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  <c r="AD812" s="160"/>
    </row>
    <row r="813" ht="15.75" customHeight="1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  <c r="AD813" s="160"/>
    </row>
    <row r="814" ht="15.75" customHeight="1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  <c r="AD814" s="160"/>
    </row>
    <row r="815" ht="15.75" customHeight="1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  <c r="AD815" s="160"/>
    </row>
    <row r="816" ht="15.75" customHeight="1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  <c r="AD816" s="160"/>
    </row>
    <row r="817" ht="15.75" customHeight="1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  <c r="AD817" s="160"/>
    </row>
    <row r="818" ht="15.75" customHeight="1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  <c r="AD818" s="160"/>
    </row>
    <row r="819" ht="15.75" customHeight="1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  <c r="AD819" s="160"/>
    </row>
    <row r="820" ht="15.75" customHeight="1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  <c r="AD820" s="160"/>
    </row>
    <row r="821" ht="15.75" customHeight="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  <c r="AD821" s="160"/>
    </row>
    <row r="822" ht="15.75" customHeight="1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  <c r="AD822" s="160"/>
    </row>
    <row r="823" ht="15.75" customHeight="1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  <c r="AD823" s="160"/>
    </row>
    <row r="824" ht="15.75" customHeight="1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  <c r="AD824" s="160"/>
    </row>
    <row r="825" ht="15.75" customHeight="1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  <c r="AD825" s="160"/>
    </row>
    <row r="826" ht="15.75" customHeight="1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  <c r="AD826" s="160"/>
    </row>
    <row r="827" ht="15.75" customHeight="1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  <c r="AD827" s="160"/>
    </row>
    <row r="828" ht="15.75" customHeight="1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  <c r="AD828" s="160"/>
    </row>
    <row r="829" ht="15.75" customHeight="1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  <c r="AD829" s="160"/>
    </row>
    <row r="830" ht="15.75" customHeight="1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  <c r="AD830" s="160"/>
    </row>
    <row r="831" ht="15.75" customHeight="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  <c r="AD831" s="160"/>
    </row>
    <row r="832" ht="15.75" customHeight="1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  <c r="AD832" s="160"/>
    </row>
    <row r="833" ht="15.75" customHeight="1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  <c r="AD833" s="160"/>
    </row>
    <row r="834" ht="15.75" customHeight="1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  <c r="AD834" s="160"/>
    </row>
    <row r="835" ht="15.75" customHeight="1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  <c r="AD835" s="160"/>
    </row>
    <row r="836" ht="15.75" customHeight="1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  <c r="AD836" s="160"/>
    </row>
    <row r="837" ht="15.75" customHeight="1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  <c r="AD837" s="160"/>
    </row>
    <row r="838" ht="15.75" customHeight="1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  <c r="AD838" s="160"/>
    </row>
    <row r="839" ht="15.75" customHeight="1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  <c r="AD839" s="160"/>
    </row>
    <row r="840" ht="15.75" customHeight="1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  <c r="AD840" s="160"/>
    </row>
    <row r="841" ht="15.75" customHeight="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  <c r="AD841" s="160"/>
    </row>
    <row r="842" ht="15.75" customHeight="1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  <c r="AD842" s="160"/>
    </row>
    <row r="843" ht="15.75" customHeight="1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  <c r="AD843" s="160"/>
    </row>
    <row r="844" ht="15.75" customHeight="1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  <c r="AD844" s="160"/>
    </row>
    <row r="845" ht="15.75" customHeight="1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  <c r="AD845" s="160"/>
    </row>
    <row r="846" ht="15.75" customHeight="1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  <c r="AD846" s="160"/>
    </row>
    <row r="847" ht="15.75" customHeight="1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  <c r="AD847" s="160"/>
    </row>
    <row r="848" ht="15.75" customHeight="1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  <c r="AD848" s="160"/>
    </row>
    <row r="849" ht="15.75" customHeight="1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  <c r="AD849" s="160"/>
    </row>
    <row r="850" ht="15.75" customHeight="1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  <c r="AD850" s="160"/>
    </row>
    <row r="851" ht="15.75" customHeight="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  <c r="AD851" s="160"/>
    </row>
    <row r="852" ht="15.75" customHeight="1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  <c r="AD852" s="160"/>
    </row>
    <row r="853" ht="15.75" customHeight="1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  <c r="AD853" s="160"/>
    </row>
    <row r="854" ht="15.75" customHeight="1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  <c r="AD854" s="160"/>
    </row>
    <row r="855" ht="15.75" customHeight="1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  <c r="AD855" s="160"/>
    </row>
    <row r="856" ht="15.75" customHeight="1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  <c r="AD856" s="160"/>
    </row>
    <row r="857" ht="15.75" customHeight="1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  <c r="AD857" s="160"/>
    </row>
    <row r="858" ht="15.75" customHeight="1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  <c r="AD858" s="160"/>
    </row>
    <row r="859" ht="15.75" customHeight="1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  <c r="AD859" s="160"/>
    </row>
    <row r="860" ht="15.75" customHeight="1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  <c r="AD860" s="160"/>
    </row>
    <row r="861" ht="15.75" customHeight="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  <c r="AD861" s="160"/>
    </row>
    <row r="862" ht="15.75" customHeight="1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  <c r="AD862" s="160"/>
    </row>
    <row r="863" ht="15.75" customHeight="1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  <c r="AD863" s="160"/>
    </row>
    <row r="864" ht="15.75" customHeight="1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  <c r="AD864" s="160"/>
    </row>
    <row r="865" ht="15.75" customHeight="1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  <c r="AD865" s="160"/>
    </row>
    <row r="866" ht="15.75" customHeight="1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  <c r="AD866" s="160"/>
    </row>
    <row r="867" ht="15.75" customHeight="1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  <c r="AD867" s="160"/>
    </row>
    <row r="868" ht="15.75" customHeight="1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  <c r="AD868" s="160"/>
    </row>
    <row r="869" ht="15.75" customHeight="1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  <c r="AD869" s="160"/>
    </row>
    <row r="870" ht="15.75" customHeight="1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  <c r="AD870" s="160"/>
    </row>
    <row r="871" ht="15.75" customHeight="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  <c r="AD871" s="160"/>
    </row>
    <row r="872" ht="15.75" customHeight="1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  <c r="AD872" s="160"/>
    </row>
    <row r="873" ht="15.75" customHeight="1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  <c r="AD873" s="160"/>
    </row>
    <row r="874" ht="15.75" customHeight="1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  <c r="AD874" s="160"/>
    </row>
    <row r="875" ht="15.75" customHeight="1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  <c r="AD875" s="160"/>
    </row>
    <row r="876" ht="15.75" customHeight="1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  <c r="AD876" s="160"/>
    </row>
    <row r="877" ht="15.75" customHeight="1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  <c r="AD877" s="160"/>
    </row>
    <row r="878" ht="15.75" customHeight="1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  <c r="AD878" s="160"/>
    </row>
    <row r="879" ht="15.75" customHeight="1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  <c r="AD879" s="160"/>
    </row>
    <row r="880" ht="15.75" customHeight="1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  <c r="AD880" s="160"/>
    </row>
    <row r="881" ht="15.75" customHeight="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  <c r="AD881" s="160"/>
    </row>
    <row r="882" ht="15.75" customHeight="1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  <c r="AD882" s="160"/>
    </row>
    <row r="883" ht="15.75" customHeight="1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0"/>
      <c r="AB883" s="160"/>
      <c r="AC883" s="160"/>
      <c r="AD883" s="160"/>
    </row>
    <row r="884" ht="15.75" customHeight="1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  <c r="AD884" s="160"/>
    </row>
    <row r="885" ht="15.75" customHeight="1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0"/>
      <c r="AB885" s="160"/>
      <c r="AC885" s="160"/>
      <c r="AD885" s="160"/>
    </row>
    <row r="886" ht="15.75" customHeight="1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  <c r="AD886" s="160"/>
    </row>
    <row r="887" ht="15.75" customHeight="1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0"/>
      <c r="AB887" s="160"/>
      <c r="AC887" s="160"/>
      <c r="AD887" s="160"/>
    </row>
    <row r="888" ht="15.75" customHeight="1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  <c r="AD888" s="160"/>
    </row>
    <row r="889" ht="15.75" customHeight="1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  <c r="AA889" s="160"/>
      <c r="AB889" s="160"/>
      <c r="AC889" s="160"/>
      <c r="AD889" s="160"/>
    </row>
    <row r="890" ht="15.75" customHeight="1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  <c r="AD890" s="160"/>
    </row>
    <row r="891" ht="15.75" customHeight="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  <c r="AD891" s="160"/>
    </row>
    <row r="892" ht="15.75" customHeight="1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  <c r="AA892" s="160"/>
      <c r="AB892" s="160"/>
      <c r="AC892" s="160"/>
      <c r="AD892" s="160"/>
    </row>
    <row r="893" ht="15.75" customHeight="1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0"/>
      <c r="AB893" s="160"/>
      <c r="AC893" s="160"/>
      <c r="AD893" s="160"/>
    </row>
    <row r="894" ht="15.75" customHeight="1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0"/>
      <c r="AB894" s="160"/>
      <c r="AC894" s="160"/>
      <c r="AD894" s="160"/>
    </row>
    <row r="895" ht="15.75" customHeight="1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  <c r="AD895" s="160"/>
    </row>
    <row r="896" ht="15.75" customHeight="1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0"/>
      <c r="AB896" s="160"/>
      <c r="AC896" s="160"/>
      <c r="AD896" s="160"/>
    </row>
    <row r="897" ht="15.75" customHeight="1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/>
      <c r="AD897" s="160"/>
    </row>
    <row r="898" ht="15.75" customHeight="1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0"/>
      <c r="AB898" s="160"/>
      <c r="AC898" s="160"/>
      <c r="AD898" s="160"/>
    </row>
    <row r="899" ht="15.75" customHeight="1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  <c r="AA899" s="160"/>
      <c r="AB899" s="160"/>
      <c r="AC899" s="160"/>
      <c r="AD899" s="160"/>
    </row>
    <row r="900" ht="15.75" customHeight="1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  <c r="AD900" s="160"/>
    </row>
    <row r="901" ht="15.75" customHeight="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0"/>
      <c r="AB901" s="160"/>
      <c r="AC901" s="160"/>
      <c r="AD901" s="160"/>
    </row>
    <row r="902" ht="15.75" customHeight="1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  <c r="AD902" s="160"/>
    </row>
    <row r="903" ht="15.75" customHeight="1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  <c r="AA903" s="160"/>
      <c r="AB903" s="160"/>
      <c r="AC903" s="160"/>
      <c r="AD903" s="160"/>
    </row>
    <row r="904" ht="15.75" customHeight="1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  <c r="AD904" s="160"/>
    </row>
    <row r="905" ht="15.75" customHeight="1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0"/>
      <c r="AB905" s="160"/>
      <c r="AC905" s="160"/>
      <c r="AD905" s="160"/>
    </row>
    <row r="906" ht="15.75" customHeight="1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  <c r="AD906" s="160"/>
    </row>
    <row r="907" ht="15.75" customHeight="1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  <c r="AA907" s="160"/>
      <c r="AB907" s="160"/>
      <c r="AC907" s="160"/>
      <c r="AD907" s="160"/>
    </row>
    <row r="908" ht="15.75" customHeight="1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  <c r="AD908" s="160"/>
    </row>
    <row r="909" ht="15.75" customHeight="1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  <c r="AA909" s="160"/>
      <c r="AB909" s="160"/>
      <c r="AC909" s="160"/>
      <c r="AD909" s="160"/>
    </row>
    <row r="910" ht="15.75" customHeight="1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  <c r="AA910" s="160"/>
      <c r="AB910" s="160"/>
      <c r="AC910" s="160"/>
      <c r="AD910" s="160"/>
    </row>
    <row r="911" ht="15.75" customHeight="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0"/>
      <c r="AB911" s="160"/>
      <c r="AC911" s="160"/>
      <c r="AD911" s="160"/>
    </row>
    <row r="912" ht="15.75" customHeight="1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  <c r="AD912" s="160"/>
    </row>
    <row r="913" ht="15.75" customHeight="1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  <c r="AA913" s="160"/>
      <c r="AB913" s="160"/>
      <c r="AC913" s="160"/>
      <c r="AD913" s="160"/>
    </row>
    <row r="914" ht="15.75" customHeight="1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  <c r="AD914" s="160"/>
    </row>
    <row r="915" ht="15.75" customHeight="1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  <c r="AA915" s="160"/>
      <c r="AB915" s="160"/>
      <c r="AC915" s="160"/>
      <c r="AD915" s="160"/>
    </row>
    <row r="916" ht="15.75" customHeight="1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  <c r="AD916" s="160"/>
    </row>
    <row r="917" ht="15.75" customHeight="1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0"/>
      <c r="AB917" s="160"/>
      <c r="AC917" s="160"/>
      <c r="AD917" s="160"/>
    </row>
    <row r="918" ht="15.75" customHeight="1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  <c r="AA918" s="160"/>
      <c r="AB918" s="160"/>
      <c r="AC918" s="160"/>
      <c r="AD918" s="160"/>
    </row>
    <row r="919" ht="15.75" customHeight="1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  <c r="AA919" s="160"/>
      <c r="AB919" s="160"/>
      <c r="AC919" s="160"/>
      <c r="AD919" s="160"/>
    </row>
    <row r="920" ht="15.75" customHeight="1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  <c r="AD920" s="160"/>
    </row>
    <row r="921" ht="15.75" customHeight="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0"/>
      <c r="AB921" s="160"/>
      <c r="AC921" s="160"/>
      <c r="AD921" s="160"/>
    </row>
    <row r="922" ht="15.75" customHeight="1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  <c r="AD922" s="160"/>
    </row>
    <row r="923" ht="15.75" customHeight="1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0"/>
      <c r="AB923" s="160"/>
      <c r="AC923" s="160"/>
      <c r="AD923" s="160"/>
    </row>
    <row r="924" ht="15.75" customHeight="1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/>
      <c r="AD924" s="160"/>
    </row>
    <row r="925" ht="15.75" customHeight="1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  <c r="AA925" s="160"/>
      <c r="AB925" s="160"/>
      <c r="AC925" s="160"/>
      <c r="AD925" s="160"/>
    </row>
    <row r="926" ht="15.75" customHeight="1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  <c r="AD926" s="160"/>
    </row>
    <row r="927" ht="15.75" customHeight="1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0"/>
      <c r="AB927" s="160"/>
      <c r="AC927" s="160"/>
      <c r="AD927" s="160"/>
    </row>
    <row r="928" ht="15.75" customHeight="1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  <c r="AD928" s="160"/>
    </row>
    <row r="929" ht="15.75" customHeight="1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0"/>
      <c r="AB929" s="160"/>
      <c r="AC929" s="160"/>
      <c r="AD929" s="160"/>
    </row>
    <row r="930" ht="15.75" customHeight="1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  <c r="AA930" s="160"/>
      <c r="AB930" s="160"/>
      <c r="AC930" s="160"/>
      <c r="AD930" s="160"/>
    </row>
    <row r="931" ht="15.75" customHeight="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0"/>
      <c r="AB931" s="160"/>
      <c r="AC931" s="160"/>
      <c r="AD931" s="160"/>
    </row>
    <row r="932" ht="15.75" customHeight="1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  <c r="AA932" s="160"/>
      <c r="AB932" s="160"/>
      <c r="AC932" s="160"/>
      <c r="AD932" s="160"/>
    </row>
    <row r="933" ht="15.75" customHeight="1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0"/>
      <c r="AB933" s="160"/>
      <c r="AC933" s="160"/>
      <c r="AD933" s="160"/>
    </row>
    <row r="934" ht="15.75" customHeight="1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0"/>
      <c r="AB934" s="160"/>
      <c r="AC934" s="160"/>
      <c r="AD934" s="160"/>
    </row>
    <row r="935" ht="15.75" customHeight="1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0"/>
      <c r="AB935" s="160"/>
      <c r="AC935" s="160"/>
      <c r="AD935" s="160"/>
    </row>
    <row r="936" ht="15.75" customHeight="1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  <c r="AD936" s="160"/>
    </row>
    <row r="937" ht="15.75" customHeight="1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  <c r="AD937" s="160"/>
    </row>
    <row r="938" ht="15.75" customHeight="1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  <c r="AD938" s="160"/>
    </row>
    <row r="939" ht="15.75" customHeight="1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0"/>
      <c r="AB939" s="160"/>
      <c r="AC939" s="160"/>
      <c r="AD939" s="160"/>
    </row>
    <row r="940" ht="15.75" customHeight="1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  <c r="AA940" s="160"/>
      <c r="AB940" s="160"/>
      <c r="AC940" s="160"/>
      <c r="AD940" s="160"/>
    </row>
    <row r="941" ht="15.75" customHeight="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  <c r="AA941" s="160"/>
      <c r="AB941" s="160"/>
      <c r="AC941" s="160"/>
      <c r="AD941" s="160"/>
    </row>
    <row r="942" ht="15.75" customHeight="1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  <c r="AA942" s="160"/>
      <c r="AB942" s="160"/>
      <c r="AC942" s="160"/>
      <c r="AD942" s="160"/>
    </row>
    <row r="943" ht="15.75" customHeight="1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  <c r="AA943" s="160"/>
      <c r="AB943" s="160"/>
      <c r="AC943" s="160"/>
      <c r="AD943" s="160"/>
    </row>
    <row r="944" ht="15.75" customHeight="1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  <c r="AD944" s="160"/>
    </row>
    <row r="945" ht="15.75" customHeight="1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0"/>
      <c r="AB945" s="160"/>
      <c r="AC945" s="160"/>
      <c r="AD945" s="160"/>
    </row>
    <row r="946" ht="15.75" customHeight="1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/>
      <c r="AD946" s="160"/>
    </row>
    <row r="947" ht="15.75" customHeight="1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  <c r="AA947" s="160"/>
      <c r="AB947" s="160"/>
      <c r="AC947" s="160"/>
      <c r="AD947" s="160"/>
    </row>
    <row r="948" ht="15.75" customHeight="1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/>
      <c r="AD948" s="160"/>
    </row>
    <row r="949" ht="15.75" customHeight="1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  <c r="AA949" s="160"/>
      <c r="AB949" s="160"/>
      <c r="AC949" s="160"/>
      <c r="AD949" s="160"/>
    </row>
    <row r="950" ht="15.75" customHeight="1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  <c r="AD950" s="160"/>
    </row>
    <row r="951" ht="15.75" customHeight="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  <c r="AD951" s="160"/>
    </row>
    <row r="952" ht="15.75" customHeight="1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  <c r="AD952" s="160"/>
    </row>
    <row r="953" ht="15.75" customHeight="1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/>
      <c r="AD953" s="160"/>
    </row>
    <row r="954" ht="15.75" customHeight="1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0"/>
      <c r="AC954" s="160"/>
      <c r="AD954" s="160"/>
    </row>
    <row r="955" ht="15.75" customHeight="1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0"/>
      <c r="AB955" s="160"/>
      <c r="AC955" s="160"/>
      <c r="AD955" s="160"/>
    </row>
    <row r="956" ht="15.75" customHeight="1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/>
      <c r="AD956" s="160"/>
    </row>
    <row r="957" ht="15.75" customHeight="1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0"/>
      <c r="AB957" s="160"/>
      <c r="AC957" s="160"/>
      <c r="AD957" s="160"/>
    </row>
    <row r="958" ht="15.75" customHeight="1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  <c r="AD958" s="160"/>
    </row>
    <row r="959" ht="15.75" customHeight="1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0"/>
      <c r="AB959" s="160"/>
      <c r="AC959" s="160"/>
      <c r="AD959" s="160"/>
    </row>
    <row r="960" ht="15.75" customHeight="1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  <c r="AD960" s="160"/>
    </row>
    <row r="961" ht="15.75" customHeight="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0"/>
      <c r="AB961" s="160"/>
      <c r="AC961" s="160"/>
      <c r="AD961" s="160"/>
    </row>
    <row r="962" ht="15.75" customHeight="1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  <c r="AD962" s="160"/>
    </row>
    <row r="963" ht="15.75" customHeight="1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  <c r="AA963" s="160"/>
      <c r="AB963" s="160"/>
      <c r="AC963" s="160"/>
      <c r="AD963" s="160"/>
    </row>
    <row r="964" ht="15.75" customHeight="1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  <c r="AA964" s="160"/>
      <c r="AB964" s="160"/>
      <c r="AC964" s="160"/>
      <c r="AD964" s="160"/>
    </row>
    <row r="965" ht="15.75" customHeight="1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  <c r="AA965" s="160"/>
      <c r="AB965" s="160"/>
      <c r="AC965" s="160"/>
      <c r="AD965" s="160"/>
    </row>
    <row r="966" ht="15.75" customHeight="1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  <c r="AA966" s="160"/>
      <c r="AB966" s="160"/>
      <c r="AC966" s="160"/>
      <c r="AD966" s="160"/>
    </row>
    <row r="967" ht="15.75" customHeight="1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  <c r="AA967" s="160"/>
      <c r="AB967" s="160"/>
      <c r="AC967" s="160"/>
      <c r="AD967" s="160"/>
    </row>
    <row r="968" ht="15.75" customHeight="1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  <c r="AA968" s="160"/>
      <c r="AB968" s="160"/>
      <c r="AC968" s="160"/>
      <c r="AD968" s="160"/>
    </row>
    <row r="969" ht="15.75" customHeight="1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  <c r="AA969" s="160"/>
      <c r="AB969" s="160"/>
      <c r="AC969" s="160"/>
      <c r="AD969" s="160"/>
    </row>
    <row r="970" ht="15.75" customHeight="1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  <c r="AA970" s="160"/>
      <c r="AB970" s="160"/>
      <c r="AC970" s="160"/>
      <c r="AD970" s="160"/>
    </row>
    <row r="971" ht="15.75" customHeight="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  <c r="AA971" s="160"/>
      <c r="AB971" s="160"/>
      <c r="AC971" s="160"/>
      <c r="AD971" s="160"/>
    </row>
    <row r="972" ht="15.75" customHeight="1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  <c r="AA972" s="160"/>
      <c r="AB972" s="160"/>
      <c r="AC972" s="160"/>
      <c r="AD972" s="160"/>
    </row>
    <row r="973" ht="15.75" customHeight="1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  <c r="AA973" s="160"/>
      <c r="AB973" s="160"/>
      <c r="AC973" s="160"/>
      <c r="AD973" s="160"/>
    </row>
    <row r="974" ht="15.75" customHeight="1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  <c r="AA974" s="160"/>
      <c r="AB974" s="160"/>
      <c r="AC974" s="160"/>
      <c r="AD974" s="160"/>
    </row>
    <row r="975" ht="15.75" customHeight="1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  <c r="AA975" s="160"/>
      <c r="AB975" s="160"/>
      <c r="AC975" s="160"/>
      <c r="AD975" s="160"/>
    </row>
    <row r="976" ht="15.75" customHeight="1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  <c r="AA976" s="160"/>
      <c r="AB976" s="160"/>
      <c r="AC976" s="160"/>
      <c r="AD976" s="160"/>
    </row>
    <row r="977" ht="15.75" customHeight="1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  <c r="AA977" s="160"/>
      <c r="AB977" s="160"/>
      <c r="AC977" s="160"/>
      <c r="AD977" s="160"/>
    </row>
    <row r="978" ht="15.75" customHeight="1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  <c r="AA978" s="160"/>
      <c r="AB978" s="160"/>
      <c r="AC978" s="160"/>
      <c r="AD978" s="160"/>
    </row>
    <row r="979" ht="15.75" customHeight="1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  <c r="AA979" s="160"/>
      <c r="AB979" s="160"/>
      <c r="AC979" s="160"/>
      <c r="AD979" s="160"/>
    </row>
    <row r="980" ht="15.75" customHeight="1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  <c r="AA980" s="160"/>
      <c r="AB980" s="160"/>
      <c r="AC980" s="160"/>
      <c r="AD980" s="160"/>
    </row>
    <row r="981" ht="15.75" customHeight="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  <c r="AA981" s="160"/>
      <c r="AB981" s="160"/>
      <c r="AC981" s="160"/>
      <c r="AD981" s="160"/>
    </row>
    <row r="982" ht="15.75" customHeight="1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  <c r="AA982" s="160"/>
      <c r="AB982" s="160"/>
      <c r="AC982" s="160"/>
      <c r="AD982" s="160"/>
    </row>
    <row r="983" ht="15.75" customHeight="1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  <c r="AA983" s="160"/>
      <c r="AB983" s="160"/>
      <c r="AC983" s="160"/>
      <c r="AD983" s="160"/>
    </row>
    <row r="984" ht="15.75" customHeight="1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  <c r="AA984" s="160"/>
      <c r="AB984" s="160"/>
      <c r="AC984" s="160"/>
      <c r="AD984" s="160"/>
    </row>
    <row r="985" ht="15.75" customHeight="1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  <c r="AA985" s="160"/>
      <c r="AB985" s="160"/>
      <c r="AC985" s="160"/>
      <c r="AD985" s="160"/>
    </row>
    <row r="986" ht="15.75" customHeight="1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  <c r="AA986" s="160"/>
      <c r="AB986" s="160"/>
      <c r="AC986" s="160"/>
      <c r="AD986" s="160"/>
    </row>
    <row r="987" ht="15.75" customHeight="1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  <c r="AA987" s="160"/>
      <c r="AB987" s="160"/>
      <c r="AC987" s="160"/>
      <c r="AD987" s="160"/>
    </row>
    <row r="988" ht="15.75" customHeight="1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  <c r="AA988" s="160"/>
      <c r="AB988" s="160"/>
      <c r="AC988" s="160"/>
      <c r="AD988" s="160"/>
    </row>
    <row r="989" ht="15.75" customHeight="1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  <c r="AA989" s="160"/>
      <c r="AB989" s="160"/>
      <c r="AC989" s="160"/>
      <c r="AD989" s="160"/>
    </row>
    <row r="990" ht="15.75" customHeight="1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  <c r="AA990" s="160"/>
      <c r="AB990" s="160"/>
      <c r="AC990" s="160"/>
      <c r="AD990" s="160"/>
    </row>
    <row r="991" ht="15.75" customHeight="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  <c r="AA991" s="160"/>
      <c r="AB991" s="160"/>
      <c r="AC991" s="160"/>
      <c r="AD991" s="160"/>
    </row>
    <row r="992" ht="15.75" customHeight="1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  <c r="AA992" s="160"/>
      <c r="AB992" s="160"/>
      <c r="AC992" s="160"/>
      <c r="AD992" s="160"/>
    </row>
    <row r="993" ht="15.75" customHeight="1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  <c r="AA993" s="160"/>
      <c r="AB993" s="160"/>
      <c r="AC993" s="160"/>
      <c r="AD993" s="160"/>
    </row>
    <row r="994" ht="15.75" customHeight="1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  <c r="AA994" s="160"/>
      <c r="AB994" s="160"/>
      <c r="AC994" s="160"/>
      <c r="AD994" s="160"/>
    </row>
    <row r="995" ht="15.75" customHeight="1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  <c r="AA995" s="160"/>
      <c r="AB995" s="160"/>
      <c r="AC995" s="160"/>
      <c r="AD995" s="160"/>
    </row>
    <row r="996" ht="15.75" customHeight="1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  <c r="AA996" s="160"/>
      <c r="AB996" s="160"/>
      <c r="AC996" s="160"/>
      <c r="AD996" s="160"/>
    </row>
    <row r="997" ht="15.75" customHeight="1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  <c r="AA997" s="160"/>
      <c r="AB997" s="160"/>
      <c r="AC997" s="160"/>
      <c r="AD997" s="160"/>
    </row>
    <row r="998" ht="15.75" customHeight="1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  <c r="AA998" s="160"/>
      <c r="AB998" s="160"/>
      <c r="AC998" s="160"/>
      <c r="AD998" s="160"/>
    </row>
    <row r="999" ht="15.75" customHeight="1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  <c r="AA999" s="160"/>
      <c r="AB999" s="160"/>
      <c r="AC999" s="160"/>
      <c r="AD999" s="160"/>
    </row>
    <row r="1000" ht="15.75" customHeight="1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  <c r="AA1000" s="160"/>
      <c r="AB1000" s="160"/>
      <c r="AC1000" s="160"/>
      <c r="AD1000" s="160"/>
    </row>
  </sheetData>
  <mergeCells count="38">
    <mergeCell ref="A2:I2"/>
    <mergeCell ref="A3:A4"/>
    <mergeCell ref="B3:B4"/>
    <mergeCell ref="C3:C4"/>
    <mergeCell ref="D3:G3"/>
    <mergeCell ref="H3:I4"/>
    <mergeCell ref="L3:L4"/>
    <mergeCell ref="M3:M4"/>
    <mergeCell ref="N3:N4"/>
    <mergeCell ref="O3:O4"/>
    <mergeCell ref="P3:P4"/>
    <mergeCell ref="X14:X15"/>
    <mergeCell ref="Y14:Y15"/>
    <mergeCell ref="Z14:Z15"/>
    <mergeCell ref="H20:I21"/>
    <mergeCell ref="L20:L21"/>
    <mergeCell ref="M20:M21"/>
    <mergeCell ref="N20:N21"/>
    <mergeCell ref="O20:O21"/>
    <mergeCell ref="P20:P21"/>
    <mergeCell ref="D21:E21"/>
    <mergeCell ref="F21:G21"/>
    <mergeCell ref="D4:E4"/>
    <mergeCell ref="F4:G4"/>
    <mergeCell ref="A19:I19"/>
    <mergeCell ref="A20:A21"/>
    <mergeCell ref="B20:B21"/>
    <mergeCell ref="C20:C21"/>
    <mergeCell ref="D20:G20"/>
    <mergeCell ref="AB23:AB24"/>
    <mergeCell ref="AC23:AC24"/>
    <mergeCell ref="AA14:AA15"/>
    <mergeCell ref="AB14:AB15"/>
    <mergeCell ref="AC14:AC15"/>
    <mergeCell ref="X23:X24"/>
    <mergeCell ref="Y23:Y24"/>
    <mergeCell ref="Z23:Z24"/>
    <mergeCell ref="AA23:AA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3.0"/>
    <col customWidth="1" min="2" max="2" width="26.0"/>
    <col customWidth="1" min="3" max="3" width="13.0"/>
    <col customWidth="1" min="4" max="4" width="19.29"/>
    <col customWidth="1" min="5" max="5" width="32.0"/>
    <col customWidth="1" min="6" max="6" width="10.0"/>
    <col customWidth="1" min="7" max="8" width="12.0"/>
    <col customWidth="1" min="9" max="11" width="13.0"/>
    <col customWidth="1" min="12" max="12" width="17.14"/>
    <col customWidth="1" min="13" max="26" width="10.71"/>
  </cols>
  <sheetData>
    <row r="1" ht="27.75" customHeight="1">
      <c r="A1" s="290" t="s">
        <v>383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3">
      <c r="A3" s="291" t="s">
        <v>384</v>
      </c>
      <c r="B3" s="26"/>
    </row>
    <row r="4">
      <c r="A4" s="292" t="s">
        <v>385</v>
      </c>
      <c r="B4" s="293">
        <v>1.2</v>
      </c>
    </row>
    <row r="5">
      <c r="A5" s="292" t="s">
        <v>386</v>
      </c>
      <c r="B5" s="293">
        <v>1.6</v>
      </c>
    </row>
    <row r="6">
      <c r="A6" s="292" t="s">
        <v>387</v>
      </c>
      <c r="B6" s="293">
        <v>4.0</v>
      </c>
    </row>
    <row r="7">
      <c r="A7" s="292" t="s">
        <v>388</v>
      </c>
      <c r="B7" s="293">
        <v>3.0</v>
      </c>
    </row>
    <row r="8">
      <c r="A8" s="292" t="s">
        <v>389</v>
      </c>
      <c r="B8" s="293">
        <v>60.0</v>
      </c>
    </row>
    <row r="9">
      <c r="A9" s="292" t="s">
        <v>390</v>
      </c>
      <c r="B9" s="293">
        <v>12.0</v>
      </c>
    </row>
    <row r="10">
      <c r="A10" s="292" t="s">
        <v>391</v>
      </c>
      <c r="B10" s="293">
        <v>0.5</v>
      </c>
    </row>
    <row r="11">
      <c r="A11" s="292" t="s">
        <v>392</v>
      </c>
      <c r="B11" s="293">
        <v>1.0</v>
      </c>
    </row>
    <row r="12">
      <c r="A12" s="292" t="s">
        <v>393</v>
      </c>
      <c r="B12" s="293">
        <v>1.2</v>
      </c>
    </row>
    <row r="13">
      <c r="A13" s="292" t="s">
        <v>394</v>
      </c>
      <c r="B13" s="294">
        <f>(Produccion!$E$22*0.4)/((Produccion!$E$22*0.4)+((Produccion!$E$23+Produccion!$E$24)*0.18))</f>
        <v>0.564516129</v>
      </c>
    </row>
    <row r="14">
      <c r="A14" s="292" t="s">
        <v>395</v>
      </c>
      <c r="B14" s="294">
        <f>1-B13</f>
        <v>0.435483871</v>
      </c>
    </row>
    <row r="17" ht="37.5" customHeight="1">
      <c r="A17" s="295" t="s">
        <v>396</v>
      </c>
      <c r="B17" s="295" t="s">
        <v>397</v>
      </c>
      <c r="C17" s="295" t="s">
        <v>398</v>
      </c>
      <c r="D17" s="295" t="s">
        <v>399</v>
      </c>
      <c r="E17" s="295" t="s">
        <v>400</v>
      </c>
      <c r="F17" s="295" t="s">
        <v>401</v>
      </c>
      <c r="G17" s="295" t="s">
        <v>402</v>
      </c>
      <c r="H17" s="295" t="s">
        <v>403</v>
      </c>
      <c r="I17" s="295" t="s">
        <v>404</v>
      </c>
      <c r="J17" s="295" t="s">
        <v>405</v>
      </c>
      <c r="K17" s="295" t="s">
        <v>406</v>
      </c>
      <c r="L17" s="295" t="s">
        <v>407</v>
      </c>
    </row>
    <row r="18">
      <c r="A18" s="296">
        <v>2.0</v>
      </c>
      <c r="B18" s="297" t="s">
        <v>408</v>
      </c>
      <c r="C18" s="297" t="s">
        <v>409</v>
      </c>
      <c r="D18" s="298">
        <f>'Ritmo y capacidad'!$O$5+'Ritmo y capacidad'!$O$22</f>
        <v>216.2187001</v>
      </c>
      <c r="E18" s="298" t="s">
        <v>410</v>
      </c>
      <c r="F18" s="298">
        <v>1.0</v>
      </c>
      <c r="G18" s="298">
        <v>0.43</v>
      </c>
      <c r="H18" s="298">
        <v>0.51</v>
      </c>
      <c r="I18" s="298">
        <f t="shared" ref="I18:I32" si="1">+H18*G18*F18</f>
        <v>0.2193</v>
      </c>
      <c r="J18" s="298">
        <v>3.0</v>
      </c>
      <c r="K18" s="298">
        <f t="shared" ref="K18:K24" si="2">+J18*1</f>
        <v>3</v>
      </c>
      <c r="L18" s="298">
        <f t="shared" ref="L18:L24" si="3">+K18+I18</f>
        <v>3.2193</v>
      </c>
    </row>
    <row r="19">
      <c r="A19" s="296">
        <v>3.0</v>
      </c>
      <c r="B19" s="297" t="s">
        <v>78</v>
      </c>
      <c r="C19" s="297" t="s">
        <v>409</v>
      </c>
      <c r="D19" s="298">
        <f>+'Ritmo y capacidad'!O5</f>
        <v>112.8266834</v>
      </c>
      <c r="E19" s="298" t="s">
        <v>411</v>
      </c>
      <c r="F19" s="298">
        <v>1.0</v>
      </c>
      <c r="G19" s="298">
        <v>1.2</v>
      </c>
      <c r="H19" s="298">
        <v>1.4</v>
      </c>
      <c r="I19" s="298">
        <f t="shared" si="1"/>
        <v>1.68</v>
      </c>
      <c r="J19" s="298">
        <v>3.0</v>
      </c>
      <c r="K19" s="298">
        <f t="shared" si="2"/>
        <v>3</v>
      </c>
      <c r="L19" s="298">
        <f t="shared" si="3"/>
        <v>4.68</v>
      </c>
    </row>
    <row r="20">
      <c r="A20" s="296">
        <v>3.0</v>
      </c>
      <c r="B20" s="297" t="s">
        <v>222</v>
      </c>
      <c r="C20" s="297" t="s">
        <v>409</v>
      </c>
      <c r="D20" s="298">
        <f>+'Ritmo y capacidad'!O22</f>
        <v>103.3920167</v>
      </c>
      <c r="E20" s="298" t="s">
        <v>412</v>
      </c>
      <c r="F20" s="298">
        <v>1.0</v>
      </c>
      <c r="G20" s="298">
        <v>0.75</v>
      </c>
      <c r="H20" s="298">
        <v>0.8</v>
      </c>
      <c r="I20" s="298">
        <f t="shared" si="1"/>
        <v>0.6</v>
      </c>
      <c r="J20" s="298">
        <v>3.0</v>
      </c>
      <c r="K20" s="298">
        <f t="shared" si="2"/>
        <v>3</v>
      </c>
      <c r="L20" s="298">
        <f t="shared" si="3"/>
        <v>3.6</v>
      </c>
    </row>
    <row r="21" ht="15.75" customHeight="1">
      <c r="A21" s="299">
        <v>4.0</v>
      </c>
      <c r="B21" s="300" t="s">
        <v>413</v>
      </c>
      <c r="C21" s="300" t="s">
        <v>414</v>
      </c>
      <c r="D21" s="298">
        <f>'Ritmo y capacidad'!$O$6</f>
        <v>110.5701498</v>
      </c>
      <c r="E21" s="298" t="s">
        <v>415</v>
      </c>
      <c r="F21" s="298">
        <v>1.0</v>
      </c>
      <c r="G21" s="298"/>
      <c r="H21" s="298"/>
      <c r="I21" s="298">
        <f t="shared" si="1"/>
        <v>0</v>
      </c>
      <c r="J21" s="298">
        <v>1.0</v>
      </c>
      <c r="K21" s="298">
        <f t="shared" si="2"/>
        <v>1</v>
      </c>
      <c r="L21" s="298">
        <f t="shared" si="3"/>
        <v>1</v>
      </c>
    </row>
    <row r="22" ht="15.75" customHeight="1">
      <c r="A22" s="299">
        <v>5.0</v>
      </c>
      <c r="B22" s="300" t="s">
        <v>416</v>
      </c>
      <c r="C22" s="300" t="s">
        <v>414</v>
      </c>
      <c r="D22" s="298">
        <f>'Ritmo y capacidad'!$O$7</f>
        <v>102.8302393</v>
      </c>
      <c r="E22" s="298" t="s">
        <v>417</v>
      </c>
      <c r="F22" s="298">
        <v>1.0</v>
      </c>
      <c r="G22" s="298">
        <v>0.6</v>
      </c>
      <c r="H22" s="298">
        <v>16.0</v>
      </c>
      <c r="I22" s="298">
        <f t="shared" si="1"/>
        <v>9.6</v>
      </c>
      <c r="J22" s="298">
        <v>2.0</v>
      </c>
      <c r="K22" s="298">
        <f t="shared" si="2"/>
        <v>2</v>
      </c>
      <c r="L22" s="298">
        <f t="shared" si="3"/>
        <v>11.6</v>
      </c>
    </row>
    <row r="23" ht="15.75" customHeight="1">
      <c r="A23" s="299">
        <v>6.0</v>
      </c>
      <c r="B23" s="300" t="s">
        <v>418</v>
      </c>
      <c r="C23" s="300" t="s">
        <v>414</v>
      </c>
      <c r="D23" s="298">
        <f>'Ritmo y capacidad'!$O$8</f>
        <v>97.68872732</v>
      </c>
      <c r="E23" s="298" t="s">
        <v>419</v>
      </c>
      <c r="F23" s="298">
        <v>1.0</v>
      </c>
      <c r="G23" s="298">
        <v>1.0</v>
      </c>
      <c r="H23" s="298">
        <v>40.0</v>
      </c>
      <c r="I23" s="298">
        <f t="shared" si="1"/>
        <v>40</v>
      </c>
      <c r="J23" s="298">
        <v>3.0</v>
      </c>
      <c r="K23" s="298">
        <f t="shared" si="2"/>
        <v>3</v>
      </c>
      <c r="L23" s="298">
        <f t="shared" si="3"/>
        <v>43</v>
      </c>
    </row>
    <row r="24" ht="15.75" customHeight="1">
      <c r="A24" s="299">
        <v>7.0</v>
      </c>
      <c r="B24" s="300" t="s">
        <v>420</v>
      </c>
      <c r="C24" s="300" t="s">
        <v>414</v>
      </c>
      <c r="D24" s="298">
        <f>'Ritmo y capacidad'!$O$9</f>
        <v>93.78117822</v>
      </c>
      <c r="E24" s="298" t="s">
        <v>421</v>
      </c>
      <c r="F24" s="298">
        <v>1.0</v>
      </c>
      <c r="G24" s="298">
        <v>0.97</v>
      </c>
      <c r="H24" s="298">
        <v>3.33</v>
      </c>
      <c r="I24" s="298">
        <f t="shared" si="1"/>
        <v>3.2301</v>
      </c>
      <c r="J24" s="298">
        <v>3.0</v>
      </c>
      <c r="K24" s="298">
        <f t="shared" si="2"/>
        <v>3</v>
      </c>
      <c r="L24" s="298">
        <f t="shared" si="3"/>
        <v>6.2301</v>
      </c>
    </row>
    <row r="25" ht="15.75" customHeight="1">
      <c r="A25" s="299">
        <v>8.0</v>
      </c>
      <c r="B25" s="300" t="s">
        <v>422</v>
      </c>
      <c r="C25" s="300" t="s">
        <v>414</v>
      </c>
      <c r="D25" s="298" t="str">
        <f>'Ritmo y capacidad'!$O$11</f>
        <v/>
      </c>
      <c r="E25" s="298" t="s">
        <v>424</v>
      </c>
      <c r="F25" s="298">
        <v>1.0</v>
      </c>
      <c r="G25" s="298">
        <v>1.5</v>
      </c>
      <c r="H25" s="298">
        <v>1.0</v>
      </c>
      <c r="I25" s="298">
        <f t="shared" si="1"/>
        <v>1.5</v>
      </c>
      <c r="J25" s="298" t="s">
        <v>73</v>
      </c>
      <c r="K25" s="298" t="s">
        <v>73</v>
      </c>
      <c r="L25" s="298" t="s">
        <v>73</v>
      </c>
    </row>
    <row r="26" ht="15.75" customHeight="1">
      <c r="A26" s="301">
        <v>9.0</v>
      </c>
      <c r="B26" s="302" t="s">
        <v>228</v>
      </c>
      <c r="C26" s="302" t="s">
        <v>19</v>
      </c>
      <c r="D26" s="298">
        <f>+'Ritmo y capacidad'!O23</f>
        <v>103.3920167</v>
      </c>
      <c r="E26" s="298" t="s">
        <v>228</v>
      </c>
      <c r="F26" s="298">
        <v>1.0</v>
      </c>
      <c r="G26" s="298">
        <v>1.33</v>
      </c>
      <c r="H26" s="298">
        <v>1.0</v>
      </c>
      <c r="I26" s="298">
        <f t="shared" si="1"/>
        <v>1.33</v>
      </c>
      <c r="J26" s="298">
        <v>3.0</v>
      </c>
      <c r="K26" s="298">
        <f t="shared" ref="K26:K32" si="4">+J26*1</f>
        <v>3</v>
      </c>
      <c r="L26" s="298">
        <f t="shared" ref="L26:L32" si="5">+K26+I26</f>
        <v>4.33</v>
      </c>
    </row>
    <row r="27" ht="15.75" customHeight="1">
      <c r="A27" s="301">
        <v>10.0</v>
      </c>
      <c r="B27" s="302" t="s">
        <v>425</v>
      </c>
      <c r="C27" s="302" t="s">
        <v>19</v>
      </c>
      <c r="D27" s="298">
        <f>'Ritmo y capacidad'!$O$24</f>
        <v>103.3920167</v>
      </c>
      <c r="E27" s="298" t="s">
        <v>426</v>
      </c>
      <c r="F27" s="298">
        <v>1.0</v>
      </c>
      <c r="G27" s="298">
        <v>0.58</v>
      </c>
      <c r="H27" s="298">
        <v>0.98</v>
      </c>
      <c r="I27" s="298">
        <f t="shared" si="1"/>
        <v>0.5684</v>
      </c>
      <c r="J27" s="298">
        <v>3.0</v>
      </c>
      <c r="K27" s="298">
        <f t="shared" si="4"/>
        <v>3</v>
      </c>
      <c r="L27" s="298">
        <f t="shared" si="5"/>
        <v>3.5684</v>
      </c>
    </row>
    <row r="28" ht="15.75" customHeight="1">
      <c r="A28" s="301">
        <v>11.0</v>
      </c>
      <c r="B28" s="302" t="s">
        <v>427</v>
      </c>
      <c r="C28" s="302" t="s">
        <v>19</v>
      </c>
      <c r="D28" s="298">
        <f>'Ritmo y capacidad'!$O$25</f>
        <v>89.95105454</v>
      </c>
      <c r="E28" s="298" t="s">
        <v>428</v>
      </c>
      <c r="F28" s="298">
        <v>1.0</v>
      </c>
      <c r="G28" s="298">
        <v>1.6</v>
      </c>
      <c r="H28" s="298">
        <v>1.95</v>
      </c>
      <c r="I28" s="298">
        <f t="shared" si="1"/>
        <v>3.12</v>
      </c>
      <c r="J28" s="298">
        <v>2.0</v>
      </c>
      <c r="K28" s="298">
        <f t="shared" si="4"/>
        <v>2</v>
      </c>
      <c r="L28" s="298">
        <f t="shared" si="5"/>
        <v>5.12</v>
      </c>
    </row>
    <row r="29" ht="15.75" customHeight="1">
      <c r="A29" s="301">
        <v>12.0</v>
      </c>
      <c r="B29" s="302" t="s">
        <v>429</v>
      </c>
      <c r="C29" s="302" t="s">
        <v>19</v>
      </c>
      <c r="D29" s="298">
        <f>'Ritmo y capacidad'!$O$26</f>
        <v>83.65448072</v>
      </c>
      <c r="E29" s="298" t="s">
        <v>430</v>
      </c>
      <c r="F29" s="298">
        <v>2.0</v>
      </c>
      <c r="G29" s="298">
        <v>0.4</v>
      </c>
      <c r="H29" s="298">
        <v>0.6</v>
      </c>
      <c r="I29" s="298">
        <f t="shared" si="1"/>
        <v>0.48</v>
      </c>
      <c r="J29" s="298">
        <v>4.0</v>
      </c>
      <c r="K29" s="298">
        <f t="shared" si="4"/>
        <v>4</v>
      </c>
      <c r="L29" s="298">
        <f t="shared" si="5"/>
        <v>4.48</v>
      </c>
    </row>
    <row r="30" ht="15.75" customHeight="1">
      <c r="A30" s="301">
        <v>13.0</v>
      </c>
      <c r="B30" s="302" t="s">
        <v>431</v>
      </c>
      <c r="C30" s="302" t="s">
        <v>19</v>
      </c>
      <c r="D30" s="298">
        <f>'Ritmo y capacidad'!$O$27*$B$13</f>
        <v>47.22430363</v>
      </c>
      <c r="E30" s="298" t="s">
        <v>432</v>
      </c>
      <c r="F30" s="298">
        <v>1.0</v>
      </c>
      <c r="G30" s="298">
        <v>0.37</v>
      </c>
      <c r="H30" s="298">
        <v>3.92</v>
      </c>
      <c r="I30" s="298">
        <f t="shared" si="1"/>
        <v>1.4504</v>
      </c>
      <c r="J30" s="298">
        <v>4.0</v>
      </c>
      <c r="K30" s="298">
        <f t="shared" si="4"/>
        <v>4</v>
      </c>
      <c r="L30" s="298">
        <f t="shared" si="5"/>
        <v>5.4504</v>
      </c>
    </row>
    <row r="31" ht="15.75" customHeight="1">
      <c r="A31" s="301">
        <v>14.0</v>
      </c>
      <c r="B31" s="302" t="s">
        <v>433</v>
      </c>
      <c r="C31" s="302" t="s">
        <v>19</v>
      </c>
      <c r="D31" s="298">
        <f>'Ritmo y capacidad'!$O$27*$B$14</f>
        <v>36.43017709</v>
      </c>
      <c r="E31" s="298" t="s">
        <v>432</v>
      </c>
      <c r="F31" s="298">
        <v>1.0</v>
      </c>
      <c r="G31" s="298">
        <v>0.37</v>
      </c>
      <c r="H31" s="298">
        <v>3.92</v>
      </c>
      <c r="I31" s="298">
        <f t="shared" si="1"/>
        <v>1.4504</v>
      </c>
      <c r="J31" s="298">
        <v>4.0</v>
      </c>
      <c r="K31" s="298">
        <f t="shared" si="4"/>
        <v>4</v>
      </c>
      <c r="L31" s="298">
        <f t="shared" si="5"/>
        <v>5.4504</v>
      </c>
    </row>
    <row r="32" ht="15.75" customHeight="1">
      <c r="A32" s="301">
        <v>15.0</v>
      </c>
      <c r="B32" s="302" t="s">
        <v>434</v>
      </c>
      <c r="C32" s="302" t="s">
        <v>19</v>
      </c>
      <c r="D32" s="298" t="str">
        <f>#REF!*$B$13</f>
        <v>#REF!</v>
      </c>
      <c r="E32" s="298" t="s">
        <v>435</v>
      </c>
      <c r="F32" s="298">
        <v>1.0</v>
      </c>
      <c r="G32" s="298">
        <v>1.5</v>
      </c>
      <c r="H32" s="298">
        <v>1.0</v>
      </c>
      <c r="I32" s="298">
        <f t="shared" si="1"/>
        <v>1.5</v>
      </c>
      <c r="J32" s="298">
        <v>0.0</v>
      </c>
      <c r="K32" s="298">
        <f t="shared" si="4"/>
        <v>0</v>
      </c>
      <c r="L32" s="298">
        <f t="shared" si="5"/>
        <v>1.5</v>
      </c>
    </row>
    <row r="33" ht="15.75" customHeight="1">
      <c r="A33" s="303" t="s">
        <v>436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5"/>
      <c r="L33" s="298" t="str">
        <f>+#REF!+#REF!</f>
        <v>#REF!</v>
      </c>
    </row>
    <row r="34" ht="15.75" customHeight="1">
      <c r="L34" s="306" t="str">
        <f>+SUM(L18:L33)</f>
        <v>#REF!</v>
      </c>
    </row>
    <row r="35" ht="15.75" customHeight="1">
      <c r="A35" s="303" t="s">
        <v>437</v>
      </c>
      <c r="B35" s="304"/>
      <c r="C35" s="304"/>
      <c r="D35" s="304"/>
      <c r="E35" s="304"/>
      <c r="F35" s="304"/>
      <c r="G35" s="304"/>
      <c r="H35" s="304"/>
      <c r="I35" s="304"/>
      <c r="J35" s="304"/>
      <c r="K35" s="305"/>
      <c r="L35" s="306" t="str">
        <f>+L34*0.15</f>
        <v>#REF!</v>
      </c>
    </row>
    <row r="36" ht="15.75" customHeight="1">
      <c r="A36" s="303" t="s">
        <v>438</v>
      </c>
      <c r="B36" s="304"/>
      <c r="C36" s="304"/>
      <c r="D36" s="304"/>
      <c r="E36" s="304"/>
      <c r="F36" s="304"/>
      <c r="G36" s="304"/>
      <c r="H36" s="304"/>
      <c r="I36" s="304"/>
      <c r="J36" s="304"/>
      <c r="K36" s="305"/>
      <c r="L36" s="306" t="str">
        <f>+L34+L35</f>
        <v>#REF!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3:B3"/>
    <mergeCell ref="A33:K33"/>
    <mergeCell ref="A35:K35"/>
    <mergeCell ref="A36:K3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8.57"/>
    <col customWidth="1" min="3" max="3" width="7.71"/>
    <col customWidth="1" min="4" max="4" width="32.71"/>
    <col customWidth="1" min="5" max="8" width="12.43"/>
    <col customWidth="1" min="9" max="9" width="10.29"/>
    <col customWidth="1" min="10" max="12" width="12.71"/>
    <col customWidth="1" min="13" max="13" width="3.14"/>
    <col customWidth="1" min="14" max="14" width="12.71"/>
    <col customWidth="1" min="15" max="15" width="2.57"/>
    <col customWidth="1" min="16" max="16" width="12.71"/>
    <col customWidth="1" min="17" max="17" width="2.57"/>
    <col customWidth="1" min="18" max="18" width="11.57"/>
    <col customWidth="1" min="19" max="19" width="12.29"/>
    <col customWidth="1" min="20" max="26" width="10.71"/>
  </cols>
  <sheetData>
    <row r="1" ht="11.25" customHeight="1">
      <c r="A1" s="158"/>
      <c r="B1" s="307" t="s">
        <v>440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</row>
    <row r="2" ht="16.5" hidden="1" customHeight="1">
      <c r="A2" s="158"/>
      <c r="B2" s="158"/>
      <c r="C2" s="158"/>
      <c r="D2" s="308" t="s">
        <v>441</v>
      </c>
      <c r="E2" s="309"/>
      <c r="F2" s="309"/>
      <c r="G2" s="309"/>
      <c r="H2" s="308" t="s">
        <v>442</v>
      </c>
      <c r="I2" s="309"/>
      <c r="J2" s="308" t="s">
        <v>443</v>
      </c>
      <c r="K2" s="309"/>
      <c r="L2" s="309"/>
      <c r="M2" s="309"/>
      <c r="N2" s="309"/>
      <c r="O2" s="308" t="s">
        <v>444</v>
      </c>
      <c r="P2" s="309"/>
      <c r="Q2" s="309"/>
      <c r="R2" s="309"/>
      <c r="S2" s="309"/>
      <c r="T2" s="158"/>
      <c r="U2" s="158"/>
      <c r="V2" s="158"/>
      <c r="W2" s="158"/>
      <c r="X2" s="158"/>
      <c r="Y2" s="158"/>
      <c r="Z2" s="158"/>
    </row>
    <row r="3" ht="21.75" hidden="1" customHeight="1">
      <c r="A3" s="158"/>
      <c r="B3" s="158"/>
      <c r="C3" s="158"/>
      <c r="D3" s="310" t="s">
        <v>17</v>
      </c>
      <c r="E3" s="310" t="s">
        <v>99</v>
      </c>
      <c r="F3" s="310" t="s">
        <v>246</v>
      </c>
      <c r="G3" s="310" t="s">
        <v>445</v>
      </c>
      <c r="H3" s="310" t="s">
        <v>446</v>
      </c>
      <c r="I3" s="310" t="s">
        <v>447</v>
      </c>
      <c r="J3" s="310" t="s">
        <v>448</v>
      </c>
      <c r="K3" s="310" t="s">
        <v>449</v>
      </c>
      <c r="L3" s="310"/>
      <c r="M3" s="310" t="s">
        <v>450</v>
      </c>
      <c r="N3" s="310" t="s">
        <v>82</v>
      </c>
      <c r="O3" s="310" t="s">
        <v>451</v>
      </c>
      <c r="P3" s="310" t="s">
        <v>79</v>
      </c>
      <c r="Q3" s="310" t="s">
        <v>452</v>
      </c>
      <c r="R3" s="310" t="s">
        <v>101</v>
      </c>
      <c r="S3" s="310" t="s">
        <v>453</v>
      </c>
      <c r="T3" s="158"/>
      <c r="U3" s="158"/>
      <c r="V3" s="158"/>
      <c r="W3" s="158"/>
      <c r="X3" s="158"/>
      <c r="Y3" s="158"/>
      <c r="Z3" s="158"/>
    </row>
    <row r="4" ht="21.75" hidden="1" customHeight="1">
      <c r="A4" s="158"/>
      <c r="B4" s="158"/>
      <c r="C4" s="158"/>
      <c r="D4" s="311" t="s">
        <v>454</v>
      </c>
      <c r="E4" s="312" t="s">
        <v>455</v>
      </c>
      <c r="F4" s="313">
        <v>2.0</v>
      </c>
      <c r="G4" s="313" t="s">
        <v>456</v>
      </c>
      <c r="H4" s="314">
        <v>9.0</v>
      </c>
      <c r="I4" s="314">
        <f t="shared" ref="I4:I6" si="1">F4*H4</f>
        <v>18</v>
      </c>
      <c r="J4" s="313">
        <v>900.0</v>
      </c>
      <c r="K4" s="315">
        <v>2.7</v>
      </c>
      <c r="L4" s="313"/>
      <c r="M4" s="313">
        <f t="shared" ref="M4:M6" si="2">J4*K4</f>
        <v>2430</v>
      </c>
      <c r="N4" s="313">
        <f t="shared" ref="N4:N6" si="3">M4/8</f>
        <v>303.75</v>
      </c>
      <c r="O4" s="313">
        <f t="shared" ref="O4:O6" si="4">M4*F4</f>
        <v>4860</v>
      </c>
      <c r="P4" s="313">
        <f t="shared" ref="P4:P6" si="5">O4*24*12</f>
        <v>1399680</v>
      </c>
      <c r="Q4" s="313">
        <f t="shared" ref="Q4:Q6" si="6">P4/1000</f>
        <v>1399.68</v>
      </c>
      <c r="R4" s="313">
        <v>10000.0</v>
      </c>
      <c r="S4" s="316">
        <f t="shared" ref="S4:S6" si="7">P4*R4/1000000</f>
        <v>13996.8</v>
      </c>
      <c r="T4" s="158"/>
      <c r="U4" s="158"/>
      <c r="V4" s="158"/>
      <c r="W4" s="158"/>
      <c r="X4" s="158"/>
      <c r="Y4" s="158"/>
      <c r="Z4" s="158"/>
    </row>
    <row r="5" ht="21.75" hidden="1" customHeight="1">
      <c r="A5" s="158"/>
      <c r="B5" s="158"/>
      <c r="C5" s="158"/>
      <c r="D5" s="311" t="s">
        <v>112</v>
      </c>
      <c r="E5" s="312" t="s">
        <v>455</v>
      </c>
      <c r="F5" s="313">
        <v>1.0</v>
      </c>
      <c r="G5" s="313" t="s">
        <v>457</v>
      </c>
      <c r="H5" s="314">
        <v>6.0</v>
      </c>
      <c r="I5" s="314">
        <f t="shared" si="1"/>
        <v>6</v>
      </c>
      <c r="J5" s="313">
        <v>500.0</v>
      </c>
      <c r="K5" s="311">
        <v>2.7</v>
      </c>
      <c r="L5" s="313"/>
      <c r="M5" s="313">
        <f t="shared" si="2"/>
        <v>1350</v>
      </c>
      <c r="N5" s="313">
        <f t="shared" si="3"/>
        <v>168.75</v>
      </c>
      <c r="O5" s="313">
        <f t="shared" si="4"/>
        <v>1350</v>
      </c>
      <c r="P5" s="313">
        <f t="shared" si="5"/>
        <v>388800</v>
      </c>
      <c r="Q5" s="313">
        <f t="shared" si="6"/>
        <v>388.8</v>
      </c>
      <c r="R5" s="313">
        <v>10000.0</v>
      </c>
      <c r="S5" s="316">
        <f t="shared" si="7"/>
        <v>3888</v>
      </c>
      <c r="T5" s="158"/>
      <c r="U5" s="158"/>
      <c r="V5" s="158"/>
      <c r="W5" s="158"/>
      <c r="X5" s="158"/>
      <c r="Y5" s="158"/>
      <c r="Z5" s="158"/>
    </row>
    <row r="6" ht="21.75" hidden="1" customHeight="1">
      <c r="A6" s="158"/>
      <c r="B6" s="158"/>
      <c r="C6" s="158"/>
      <c r="D6" s="317" t="s">
        <v>145</v>
      </c>
      <c r="E6" s="318" t="s">
        <v>458</v>
      </c>
      <c r="F6" s="319">
        <v>1.0</v>
      </c>
      <c r="G6" s="319" t="s">
        <v>456</v>
      </c>
      <c r="H6" s="320">
        <v>8.0</v>
      </c>
      <c r="I6" s="320">
        <f t="shared" si="1"/>
        <v>8</v>
      </c>
      <c r="J6" s="319">
        <v>350.0</v>
      </c>
      <c r="K6" s="321">
        <v>3.0</v>
      </c>
      <c r="L6" s="319"/>
      <c r="M6" s="319">
        <f t="shared" si="2"/>
        <v>1050</v>
      </c>
      <c r="N6" s="319">
        <f t="shared" si="3"/>
        <v>131.25</v>
      </c>
      <c r="O6" s="319">
        <f t="shared" si="4"/>
        <v>1050</v>
      </c>
      <c r="P6" s="319">
        <f t="shared" si="5"/>
        <v>302400</v>
      </c>
      <c r="Q6" s="319">
        <f t="shared" si="6"/>
        <v>302.4</v>
      </c>
      <c r="R6" s="319">
        <v>15000.0</v>
      </c>
      <c r="S6" s="316">
        <f t="shared" si="7"/>
        <v>4536</v>
      </c>
      <c r="T6" s="158"/>
      <c r="U6" s="158"/>
      <c r="V6" s="158"/>
      <c r="W6" s="158"/>
      <c r="X6" s="158"/>
      <c r="Y6" s="158"/>
      <c r="Z6" s="158"/>
    </row>
    <row r="7" ht="21.75" hidden="1" customHeight="1">
      <c r="A7" s="158"/>
      <c r="B7" s="158"/>
      <c r="C7" s="158"/>
      <c r="D7" s="322" t="s">
        <v>39</v>
      </c>
      <c r="E7" s="322"/>
      <c r="F7" s="323">
        <f>AVERAGE(F4:F6)</f>
        <v>1.333333333</v>
      </c>
      <c r="G7" s="323"/>
      <c r="H7" s="324">
        <f t="shared" ref="H7:J7" si="8">SUM(H4:H6)</f>
        <v>23</v>
      </c>
      <c r="I7" s="324">
        <f t="shared" si="8"/>
        <v>32</v>
      </c>
      <c r="J7" s="324">
        <f t="shared" si="8"/>
        <v>1750</v>
      </c>
      <c r="K7" s="323">
        <f>AVERAGE(K4:K6)</f>
        <v>2.8</v>
      </c>
      <c r="L7" s="324"/>
      <c r="M7" s="324">
        <f t="shared" ref="M7:S7" si="9">SUM(M4:M6)</f>
        <v>4830</v>
      </c>
      <c r="N7" s="324">
        <f t="shared" si="9"/>
        <v>603.75</v>
      </c>
      <c r="O7" s="324">
        <f t="shared" si="9"/>
        <v>7260</v>
      </c>
      <c r="P7" s="324">
        <f t="shared" si="9"/>
        <v>2090880</v>
      </c>
      <c r="Q7" s="324">
        <f t="shared" si="9"/>
        <v>2090.88</v>
      </c>
      <c r="R7" s="324">
        <f t="shared" si="9"/>
        <v>35000</v>
      </c>
      <c r="S7" s="316">
        <f t="shared" si="9"/>
        <v>22420.8</v>
      </c>
      <c r="T7" s="158"/>
      <c r="U7" s="158"/>
      <c r="V7" s="158"/>
      <c r="W7" s="158"/>
      <c r="X7" s="158"/>
      <c r="Y7" s="158"/>
      <c r="Z7" s="158"/>
    </row>
    <row r="8" ht="15.0" hidden="1" customHeight="1">
      <c r="A8" s="158"/>
      <c r="B8" s="158"/>
      <c r="C8" s="158"/>
      <c r="D8" s="158"/>
      <c r="E8" s="158"/>
      <c r="F8" s="325"/>
      <c r="G8" s="325"/>
      <c r="H8" s="158"/>
      <c r="I8" s="158"/>
      <c r="J8" s="158"/>
      <c r="K8" s="158"/>
      <c r="L8" s="158"/>
      <c r="M8" s="158"/>
      <c r="N8" s="326"/>
      <c r="O8" s="325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</row>
    <row r="9" ht="16.5" hidden="1" customHeight="1">
      <c r="A9" s="158"/>
      <c r="B9" s="158"/>
      <c r="C9" s="158"/>
      <c r="D9" s="327" t="s">
        <v>460</v>
      </c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</row>
    <row r="10" ht="16.5" hidden="1" customHeight="1">
      <c r="A10" s="158"/>
      <c r="B10" s="158"/>
      <c r="C10" s="158"/>
      <c r="D10" s="328" t="s">
        <v>461</v>
      </c>
      <c r="E10" s="158"/>
      <c r="F10" s="158"/>
      <c r="G10" s="158"/>
      <c r="H10" s="158">
        <f>16+18</f>
        <v>34</v>
      </c>
      <c r="I10" s="158"/>
      <c r="J10" s="158"/>
      <c r="K10" s="158"/>
      <c r="L10" s="158"/>
      <c r="M10" s="158"/>
      <c r="N10" s="325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ht="16.5" customHeight="1">
      <c r="A11" s="158"/>
      <c r="B11" s="158"/>
      <c r="C11" s="158"/>
      <c r="D11" s="158"/>
      <c r="E11" s="158"/>
      <c r="F11" s="158"/>
      <c r="G11" s="158"/>
      <c r="H11" s="158"/>
      <c r="I11" s="158"/>
      <c r="J11" s="158"/>
      <c r="K11" s="158" t="s">
        <v>462</v>
      </c>
      <c r="L11" s="158" t="s">
        <v>463</v>
      </c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 ht="16.5" hidden="1" customHeight="1">
      <c r="A12" s="158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ht="18.0" customHeight="1">
      <c r="A13" s="158"/>
      <c r="B13" s="329" t="s">
        <v>464</v>
      </c>
      <c r="C13" s="329" t="s">
        <v>97</v>
      </c>
      <c r="D13" s="329" t="s">
        <v>17</v>
      </c>
      <c r="E13" s="330" t="s">
        <v>79</v>
      </c>
      <c r="F13" s="330" t="s">
        <v>452</v>
      </c>
      <c r="G13" s="330" t="s">
        <v>101</v>
      </c>
      <c r="H13" s="330" t="s">
        <v>465</v>
      </c>
      <c r="I13" s="330" t="s">
        <v>466</v>
      </c>
      <c r="J13" s="330" t="s">
        <v>451</v>
      </c>
      <c r="K13" s="331" t="s">
        <v>467</v>
      </c>
      <c r="L13" s="331" t="s">
        <v>468</v>
      </c>
      <c r="M13" s="158"/>
      <c r="N13" s="331" t="s">
        <v>469</v>
      </c>
      <c r="O13" s="158"/>
      <c r="P13" s="330" t="s">
        <v>470</v>
      </c>
      <c r="Q13" s="158"/>
      <c r="R13" s="331" t="s">
        <v>471</v>
      </c>
      <c r="S13" s="331" t="s">
        <v>472</v>
      </c>
      <c r="T13" s="158"/>
      <c r="U13" s="158"/>
      <c r="V13" s="158"/>
      <c r="W13" s="158"/>
      <c r="X13" s="158"/>
      <c r="Y13" s="158"/>
      <c r="Z13" s="158"/>
    </row>
    <row r="14" ht="18.0" customHeight="1">
      <c r="A14" s="158"/>
      <c r="B14" s="332" t="s">
        <v>455</v>
      </c>
      <c r="C14" s="332" t="s">
        <v>23</v>
      </c>
      <c r="D14" s="225" t="s">
        <v>160</v>
      </c>
      <c r="E14" s="333">
        <v>60000.0</v>
      </c>
      <c r="F14" s="334">
        <f t="shared" ref="F14:F24" si="10">E14/1000</f>
        <v>60</v>
      </c>
      <c r="G14" s="334">
        <v>9590.0</v>
      </c>
      <c r="H14" s="335">
        <f t="shared" ref="H14:H24" si="11">E14*G14/1000000</f>
        <v>575.4</v>
      </c>
      <c r="I14" s="334">
        <f t="shared" ref="I14:I24" si="12">E14/12</f>
        <v>5000</v>
      </c>
      <c r="J14" s="334">
        <f t="shared" ref="J14:J24" si="13">I14/20</f>
        <v>250</v>
      </c>
      <c r="K14" s="334">
        <f t="shared" ref="K14:K24" si="14">J14/(8*2)</f>
        <v>15.625</v>
      </c>
      <c r="L14" s="334">
        <f t="shared" ref="L14:L24" si="15">J14/(8*3)</f>
        <v>10.41666667</v>
      </c>
      <c r="M14" s="336"/>
      <c r="N14" s="334">
        <v>80000.0</v>
      </c>
      <c r="O14" s="158"/>
      <c r="P14" s="337">
        <v>0.6</v>
      </c>
      <c r="Q14" s="158"/>
      <c r="R14" s="337">
        <v>0.3</v>
      </c>
      <c r="S14" s="337">
        <v>0.7</v>
      </c>
      <c r="T14" s="158"/>
      <c r="U14" s="158"/>
      <c r="V14" s="158"/>
      <c r="W14" s="158"/>
      <c r="X14" s="158"/>
      <c r="Y14" s="158"/>
      <c r="Z14" s="158"/>
    </row>
    <row r="15" ht="18.0" customHeight="1">
      <c r="A15" s="158"/>
      <c r="B15" s="332" t="s">
        <v>455</v>
      </c>
      <c r="C15" s="332" t="s">
        <v>24</v>
      </c>
      <c r="D15" s="338" t="s">
        <v>162</v>
      </c>
      <c r="E15" s="333">
        <f>P16*R14</f>
        <v>7800</v>
      </c>
      <c r="F15" s="334">
        <f t="shared" si="10"/>
        <v>7.8</v>
      </c>
      <c r="G15" s="334">
        <v>9102.0</v>
      </c>
      <c r="H15" s="335">
        <f t="shared" si="11"/>
        <v>70.9956</v>
      </c>
      <c r="I15" s="334">
        <f t="shared" si="12"/>
        <v>650</v>
      </c>
      <c r="J15" s="334">
        <f t="shared" si="13"/>
        <v>32.5</v>
      </c>
      <c r="K15" s="334">
        <f t="shared" si="14"/>
        <v>2.03125</v>
      </c>
      <c r="L15" s="334">
        <f t="shared" si="15"/>
        <v>1.354166667</v>
      </c>
      <c r="M15" s="336"/>
      <c r="N15" s="334">
        <v>46250.0</v>
      </c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 ht="18.0" customHeight="1">
      <c r="A16" s="158"/>
      <c r="B16" s="332" t="s">
        <v>455</v>
      </c>
      <c r="C16" s="332" t="s">
        <v>25</v>
      </c>
      <c r="D16" s="225" t="s">
        <v>166</v>
      </c>
      <c r="E16" s="333">
        <f>P16*S14</f>
        <v>18200</v>
      </c>
      <c r="F16" s="334">
        <f t="shared" si="10"/>
        <v>18.2</v>
      </c>
      <c r="G16" s="334">
        <v>8127.0</v>
      </c>
      <c r="H16" s="335">
        <f t="shared" si="11"/>
        <v>147.9114</v>
      </c>
      <c r="I16" s="334">
        <f t="shared" si="12"/>
        <v>1516.666667</v>
      </c>
      <c r="J16" s="334">
        <f t="shared" si="13"/>
        <v>75.83333333</v>
      </c>
      <c r="K16" s="334">
        <f t="shared" si="14"/>
        <v>4.739583333</v>
      </c>
      <c r="L16" s="334">
        <f t="shared" si="15"/>
        <v>3.159722222</v>
      </c>
      <c r="M16" s="336"/>
      <c r="N16" s="334">
        <v>46250.0</v>
      </c>
      <c r="O16" s="158"/>
      <c r="P16" s="158">
        <f>26000</f>
        <v>26000</v>
      </c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 ht="18.0" customHeight="1">
      <c r="A17" s="158"/>
      <c r="B17" s="332" t="s">
        <v>455</v>
      </c>
      <c r="C17" s="332" t="s">
        <v>26</v>
      </c>
      <c r="D17" s="225" t="s">
        <v>167</v>
      </c>
      <c r="E17" s="333">
        <f>56000</f>
        <v>56000</v>
      </c>
      <c r="F17" s="334">
        <f t="shared" si="10"/>
        <v>56</v>
      </c>
      <c r="G17" s="334">
        <v>7935.0</v>
      </c>
      <c r="H17" s="335">
        <f t="shared" si="11"/>
        <v>444.36</v>
      </c>
      <c r="I17" s="334">
        <f t="shared" si="12"/>
        <v>4666.666667</v>
      </c>
      <c r="J17" s="334">
        <f t="shared" si="13"/>
        <v>233.3333333</v>
      </c>
      <c r="K17" s="334">
        <f t="shared" si="14"/>
        <v>14.58333333</v>
      </c>
      <c r="L17" s="334">
        <f t="shared" si="15"/>
        <v>9.722222222</v>
      </c>
      <c r="M17" s="336"/>
      <c r="N17" s="334">
        <v>130000.0</v>
      </c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 ht="18.0" customHeight="1">
      <c r="A18" s="158"/>
      <c r="B18" s="332" t="s">
        <v>455</v>
      </c>
      <c r="C18" s="332" t="s">
        <v>28</v>
      </c>
      <c r="D18" s="338" t="s">
        <v>169</v>
      </c>
      <c r="E18" s="333">
        <f>P19*R14</f>
        <v>7800</v>
      </c>
      <c r="F18" s="334">
        <f t="shared" si="10"/>
        <v>7.8</v>
      </c>
      <c r="G18" s="334">
        <v>7989.0</v>
      </c>
      <c r="H18" s="335">
        <f t="shared" si="11"/>
        <v>62.3142</v>
      </c>
      <c r="I18" s="334">
        <f t="shared" si="12"/>
        <v>650</v>
      </c>
      <c r="J18" s="334">
        <f t="shared" si="13"/>
        <v>32.5</v>
      </c>
      <c r="K18" s="334">
        <f t="shared" si="14"/>
        <v>2.03125</v>
      </c>
      <c r="L18" s="334">
        <f t="shared" si="15"/>
        <v>1.354166667</v>
      </c>
      <c r="M18" s="336"/>
      <c r="N18" s="334">
        <v>26000.0</v>
      </c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 ht="18.0" customHeight="1">
      <c r="A19" s="158"/>
      <c r="B19" s="332" t="s">
        <v>455</v>
      </c>
      <c r="C19" s="332" t="s">
        <v>29</v>
      </c>
      <c r="D19" s="225" t="s">
        <v>170</v>
      </c>
      <c r="E19" s="333">
        <f>P19*S14</f>
        <v>18200</v>
      </c>
      <c r="F19" s="334">
        <f t="shared" si="10"/>
        <v>18.2</v>
      </c>
      <c r="G19" s="334">
        <v>7989.0</v>
      </c>
      <c r="H19" s="335">
        <f t="shared" si="11"/>
        <v>145.3998</v>
      </c>
      <c r="I19" s="334">
        <f t="shared" si="12"/>
        <v>1516.666667</v>
      </c>
      <c r="J19" s="334">
        <f t="shared" si="13"/>
        <v>75.83333333</v>
      </c>
      <c r="K19" s="334">
        <f t="shared" si="14"/>
        <v>4.739583333</v>
      </c>
      <c r="L19" s="334">
        <f t="shared" si="15"/>
        <v>3.159722222</v>
      </c>
      <c r="M19" s="336"/>
      <c r="N19" s="334">
        <v>26000.0</v>
      </c>
      <c r="O19" s="158"/>
      <c r="P19" s="158">
        <f>26000</f>
        <v>26000</v>
      </c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ht="18.0" customHeight="1">
      <c r="A20" s="158"/>
      <c r="B20" s="332" t="s">
        <v>455</v>
      </c>
      <c r="C20" s="332" t="s">
        <v>30</v>
      </c>
      <c r="D20" s="338" t="s">
        <v>474</v>
      </c>
      <c r="E20" s="333">
        <f>P21*R14</f>
        <v>13500</v>
      </c>
      <c r="F20" s="334">
        <f t="shared" si="10"/>
        <v>13.5</v>
      </c>
      <c r="G20" s="334">
        <v>8948.0</v>
      </c>
      <c r="H20" s="335">
        <f t="shared" si="11"/>
        <v>120.798</v>
      </c>
      <c r="I20" s="334">
        <f t="shared" si="12"/>
        <v>1125</v>
      </c>
      <c r="J20" s="334">
        <f t="shared" si="13"/>
        <v>56.25</v>
      </c>
      <c r="K20" s="334">
        <f t="shared" si="14"/>
        <v>3.515625</v>
      </c>
      <c r="L20" s="334">
        <f t="shared" si="15"/>
        <v>2.34375</v>
      </c>
      <c r="M20" s="336"/>
      <c r="N20" s="334">
        <v>88000.0</v>
      </c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ht="18.0" customHeight="1">
      <c r="A21" s="158"/>
      <c r="B21" s="332" t="s">
        <v>455</v>
      </c>
      <c r="C21" s="332" t="s">
        <v>31</v>
      </c>
      <c r="D21" s="225" t="s">
        <v>175</v>
      </c>
      <c r="E21" s="333">
        <f>P21*S14</f>
        <v>31500</v>
      </c>
      <c r="F21" s="334">
        <f t="shared" si="10"/>
        <v>31.5</v>
      </c>
      <c r="G21" s="334">
        <v>7989.0</v>
      </c>
      <c r="H21" s="335">
        <f t="shared" si="11"/>
        <v>251.6535</v>
      </c>
      <c r="I21" s="334">
        <f t="shared" si="12"/>
        <v>2625</v>
      </c>
      <c r="J21" s="334">
        <f t="shared" si="13"/>
        <v>131.25</v>
      </c>
      <c r="K21" s="334">
        <f t="shared" si="14"/>
        <v>8.203125</v>
      </c>
      <c r="L21" s="334">
        <f t="shared" si="15"/>
        <v>5.46875</v>
      </c>
      <c r="M21" s="336"/>
      <c r="N21" s="334">
        <v>88000.0</v>
      </c>
      <c r="O21" s="158"/>
      <c r="P21" s="158">
        <f>45000</f>
        <v>45000</v>
      </c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ht="18.0" customHeight="1">
      <c r="A22" s="158"/>
      <c r="B22" s="332" t="s">
        <v>458</v>
      </c>
      <c r="C22" s="332" t="s">
        <v>33</v>
      </c>
      <c r="D22" s="225" t="s">
        <v>176</v>
      </c>
      <c r="E22" s="333">
        <v>70000.0</v>
      </c>
      <c r="F22" s="334">
        <f t="shared" si="10"/>
        <v>70</v>
      </c>
      <c r="G22" s="334">
        <v>9000.0</v>
      </c>
      <c r="H22" s="335">
        <f t="shared" si="11"/>
        <v>630</v>
      </c>
      <c r="I22" s="334">
        <f t="shared" si="12"/>
        <v>5833.333333</v>
      </c>
      <c r="J22" s="334">
        <f t="shared" si="13"/>
        <v>291.6666667</v>
      </c>
      <c r="K22" s="334">
        <f t="shared" si="14"/>
        <v>18.22916667</v>
      </c>
      <c r="L22" s="334">
        <f t="shared" si="15"/>
        <v>12.15277778</v>
      </c>
      <c r="M22" s="336"/>
      <c r="N22" s="334">
        <v>125000.0</v>
      </c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 ht="18.0" customHeight="1">
      <c r="A23" s="158"/>
      <c r="B23" s="332" t="s">
        <v>458</v>
      </c>
      <c r="C23" s="332" t="s">
        <v>34</v>
      </c>
      <c r="D23" s="225" t="s">
        <v>313</v>
      </c>
      <c r="E23" s="333">
        <f>P23*S14</f>
        <v>84000</v>
      </c>
      <c r="F23" s="334">
        <f t="shared" si="10"/>
        <v>84</v>
      </c>
      <c r="G23" s="334">
        <v>11296.0</v>
      </c>
      <c r="H23" s="335">
        <f t="shared" si="11"/>
        <v>948.864</v>
      </c>
      <c r="I23" s="334">
        <f t="shared" si="12"/>
        <v>7000</v>
      </c>
      <c r="J23" s="334">
        <f t="shared" si="13"/>
        <v>350</v>
      </c>
      <c r="K23" s="334">
        <f t="shared" si="14"/>
        <v>21.875</v>
      </c>
      <c r="L23" s="334">
        <f t="shared" si="15"/>
        <v>14.58333333</v>
      </c>
      <c r="M23" s="336"/>
      <c r="N23" s="334">
        <v>118000.0</v>
      </c>
      <c r="O23" s="158"/>
      <c r="P23" s="158">
        <f>120000</f>
        <v>120000</v>
      </c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ht="18.0" customHeight="1">
      <c r="A24" s="158"/>
      <c r="B24" s="332" t="s">
        <v>458</v>
      </c>
      <c r="C24" s="332" t="s">
        <v>35</v>
      </c>
      <c r="D24" s="338" t="s">
        <v>318</v>
      </c>
      <c r="E24" s="333">
        <f>P23*R14</f>
        <v>36000</v>
      </c>
      <c r="F24" s="334">
        <f t="shared" si="10"/>
        <v>36</v>
      </c>
      <c r="G24" s="334">
        <v>11296.0</v>
      </c>
      <c r="H24" s="335">
        <f t="shared" si="11"/>
        <v>406.656</v>
      </c>
      <c r="I24" s="334">
        <f t="shared" si="12"/>
        <v>3000</v>
      </c>
      <c r="J24" s="334">
        <f t="shared" si="13"/>
        <v>150</v>
      </c>
      <c r="K24" s="334">
        <f t="shared" si="14"/>
        <v>9.375</v>
      </c>
      <c r="L24" s="334">
        <f t="shared" si="15"/>
        <v>6.25</v>
      </c>
      <c r="M24" s="336"/>
      <c r="N24" s="334">
        <v>30000.0</v>
      </c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</row>
    <row r="25" ht="16.5" customHeight="1">
      <c r="A25" s="158"/>
      <c r="B25" s="339" t="s">
        <v>39</v>
      </c>
      <c r="C25" s="340"/>
      <c r="D25" s="340" t="s">
        <v>39</v>
      </c>
      <c r="E25" s="341">
        <f>SUM(E14:E24)</f>
        <v>403000</v>
      </c>
      <c r="F25" s="341">
        <f>SUM(F14:F23)</f>
        <v>367</v>
      </c>
      <c r="G25" s="342">
        <f>AVERAGE(G14:G23)</f>
        <v>8796.5</v>
      </c>
      <c r="H25" s="343">
        <f t="shared" ref="H25:I25" si="16">SUM(H14:H23)</f>
        <v>3397.6965</v>
      </c>
      <c r="I25" s="343">
        <f t="shared" si="16"/>
        <v>30583.33333</v>
      </c>
      <c r="J25" s="342">
        <f t="shared" ref="J25:L25" si="17">AVERAGE(J14:J23)</f>
        <v>152.9166667</v>
      </c>
      <c r="K25" s="342">
        <f t="shared" si="17"/>
        <v>9.557291667</v>
      </c>
      <c r="L25" s="342">
        <f t="shared" si="17"/>
        <v>6.371527778</v>
      </c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 ht="16.5" customHeight="1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ht="16.5" customHeight="1">
      <c r="A27" s="158"/>
      <c r="B27" s="158"/>
      <c r="C27" s="158"/>
      <c r="D27" s="158"/>
      <c r="E27" s="344" t="s">
        <v>475</v>
      </c>
      <c r="F27" s="344" t="s">
        <v>476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ht="16.5" customHeight="1">
      <c r="A28" s="158"/>
      <c r="B28" s="345" t="s">
        <v>477</v>
      </c>
      <c r="C28" s="346"/>
      <c r="D28" s="346" t="s">
        <v>478</v>
      </c>
      <c r="E28" s="347">
        <f t="shared" ref="E28:F28" si="18">SUM(K14:K21)</f>
        <v>55.46875</v>
      </c>
      <c r="F28" s="347">
        <f t="shared" si="18"/>
        <v>36.97916667</v>
      </c>
      <c r="G28" s="158"/>
      <c r="H28" s="158"/>
      <c r="I28" s="34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ht="16.5" customHeight="1">
      <c r="A29" s="158"/>
      <c r="B29" s="349"/>
      <c r="C29" s="158"/>
      <c r="D29" s="158" t="s">
        <v>480</v>
      </c>
      <c r="E29" s="350">
        <f t="shared" ref="E29:F29" si="19">100</f>
        <v>100</v>
      </c>
      <c r="F29" s="350">
        <f t="shared" si="19"/>
        <v>100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</row>
    <row r="30" ht="16.5" customHeight="1">
      <c r="A30" s="158"/>
      <c r="B30" s="351"/>
      <c r="C30" s="352"/>
      <c r="D30" s="353" t="s">
        <v>481</v>
      </c>
      <c r="E30" s="354">
        <f t="shared" ref="E30:F30" si="20">E28/E29</f>
        <v>0.5546875</v>
      </c>
      <c r="F30" s="354">
        <f t="shared" si="20"/>
        <v>0.3697916667</v>
      </c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ht="16.5" customHeight="1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 ht="16.5" customHeight="1">
      <c r="A32" s="158"/>
      <c r="B32" s="355" t="s">
        <v>482</v>
      </c>
      <c r="C32" s="346"/>
      <c r="D32" s="346" t="s">
        <v>478</v>
      </c>
      <c r="E32" s="347">
        <f t="shared" ref="E32:F32" si="21">SUM(K22:K24)</f>
        <v>49.47916667</v>
      </c>
      <c r="F32" s="347">
        <f t="shared" si="21"/>
        <v>32.98611111</v>
      </c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ht="16.5" customHeight="1">
      <c r="A33" s="158"/>
      <c r="B33" s="349"/>
      <c r="C33" s="158"/>
      <c r="D33" s="158" t="s">
        <v>480</v>
      </c>
      <c r="E33" s="350">
        <v>50.0</v>
      </c>
      <c r="F33" s="350">
        <v>50.0</v>
      </c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ht="16.5" customHeight="1">
      <c r="A34" s="158"/>
      <c r="B34" s="351"/>
      <c r="C34" s="352"/>
      <c r="D34" s="353" t="s">
        <v>481</v>
      </c>
      <c r="E34" s="354">
        <f t="shared" ref="E34:F34" si="22">E32/E33</f>
        <v>0.9895833333</v>
      </c>
      <c r="F34" s="354">
        <f t="shared" si="22"/>
        <v>0.6597222222</v>
      </c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ht="16.5" customHeight="1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ht="16.5" customHeight="1">
      <c r="A36" s="158"/>
      <c r="B36" s="356" t="s">
        <v>483</v>
      </c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ht="16.5" customHeight="1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ht="16.5" customHeight="1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ht="16.5" customHeight="1">
      <c r="A39" s="158"/>
      <c r="B39" s="307" t="s">
        <v>201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ht="16.5" customHeight="1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 t="s">
        <v>462</v>
      </c>
      <c r="L40" s="158" t="s">
        <v>463</v>
      </c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ht="16.5" customHeight="1">
      <c r="A41" s="158"/>
      <c r="B41" s="329" t="s">
        <v>464</v>
      </c>
      <c r="C41" s="329" t="s">
        <v>97</v>
      </c>
      <c r="D41" s="329" t="s">
        <v>17</v>
      </c>
      <c r="E41" s="330" t="s">
        <v>79</v>
      </c>
      <c r="F41" s="330" t="s">
        <v>452</v>
      </c>
      <c r="G41" s="330" t="s">
        <v>101</v>
      </c>
      <c r="H41" s="330" t="s">
        <v>465</v>
      </c>
      <c r="I41" s="330" t="s">
        <v>466</v>
      </c>
      <c r="J41" s="330" t="s">
        <v>451</v>
      </c>
      <c r="K41" s="331" t="s">
        <v>467</v>
      </c>
      <c r="L41" s="331" t="s">
        <v>468</v>
      </c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ht="16.5" customHeight="1">
      <c r="A42" s="158"/>
      <c r="B42" s="332" t="s">
        <v>455</v>
      </c>
      <c r="C42" s="332" t="s">
        <v>484</v>
      </c>
      <c r="D42" s="225" t="s">
        <v>160</v>
      </c>
      <c r="E42" s="333">
        <f>'Plan de ventas'!O49*1000</f>
        <v>101019.3579</v>
      </c>
      <c r="F42" s="334">
        <f t="shared" ref="F42:F52" si="23">E42/1000</f>
        <v>101.0193579</v>
      </c>
      <c r="G42" s="334">
        <v>9590.0</v>
      </c>
      <c r="H42" s="335">
        <f t="shared" ref="H42:H52" si="24">E42*G42/1000000</f>
        <v>968.775642</v>
      </c>
      <c r="I42" s="334">
        <f t="shared" ref="I42:I52" si="25">E42/12</f>
        <v>8418.279822</v>
      </c>
      <c r="J42" s="334">
        <f t="shared" ref="J42:J52" si="26">I42/20</f>
        <v>420.9139911</v>
      </c>
      <c r="K42" s="334">
        <f t="shared" ref="K42:K52" si="27">J42/(8*2)</f>
        <v>26.30712445</v>
      </c>
      <c r="L42" s="334">
        <f t="shared" ref="L42:L52" si="28">J42/(8*3)</f>
        <v>17.53808296</v>
      </c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ht="16.5" customHeight="1">
      <c r="A43" s="158"/>
      <c r="B43" s="332" t="s">
        <v>455</v>
      </c>
      <c r="C43" s="332" t="s">
        <v>485</v>
      </c>
      <c r="D43" s="338" t="s">
        <v>162</v>
      </c>
      <c r="E43" s="333">
        <f>'Plan de ventas'!O50*1000</f>
        <v>13132.51652</v>
      </c>
      <c r="F43" s="334">
        <f t="shared" si="23"/>
        <v>13.13251652</v>
      </c>
      <c r="G43" s="334">
        <v>9102.0</v>
      </c>
      <c r="H43" s="335">
        <f t="shared" si="24"/>
        <v>119.5321654</v>
      </c>
      <c r="I43" s="334">
        <f t="shared" si="25"/>
        <v>1094.376377</v>
      </c>
      <c r="J43" s="334">
        <f t="shared" si="26"/>
        <v>54.71881885</v>
      </c>
      <c r="K43" s="334">
        <f t="shared" si="27"/>
        <v>3.419926178</v>
      </c>
      <c r="L43" s="334">
        <f t="shared" si="28"/>
        <v>2.279950785</v>
      </c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ht="16.5" customHeight="1">
      <c r="A44" s="158"/>
      <c r="B44" s="332" t="s">
        <v>455</v>
      </c>
      <c r="C44" s="332" t="s">
        <v>486</v>
      </c>
      <c r="D44" s="225" t="s">
        <v>166</v>
      </c>
      <c r="E44" s="333">
        <f>'Plan de ventas'!O51*1000</f>
        <v>30642.70692</v>
      </c>
      <c r="F44" s="334">
        <f t="shared" si="23"/>
        <v>30.64270692</v>
      </c>
      <c r="G44" s="334">
        <v>8127.0</v>
      </c>
      <c r="H44" s="335">
        <f t="shared" si="24"/>
        <v>249.0332791</v>
      </c>
      <c r="I44" s="334">
        <f t="shared" si="25"/>
        <v>2553.55891</v>
      </c>
      <c r="J44" s="334">
        <f t="shared" si="26"/>
        <v>127.6779455</v>
      </c>
      <c r="K44" s="334">
        <f t="shared" si="27"/>
        <v>7.979871594</v>
      </c>
      <c r="L44" s="334">
        <f t="shared" si="28"/>
        <v>5.319914396</v>
      </c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ht="16.5" customHeight="1">
      <c r="A45" s="158"/>
      <c r="B45" s="332" t="s">
        <v>455</v>
      </c>
      <c r="C45" s="332" t="s">
        <v>487</v>
      </c>
      <c r="D45" s="225" t="s">
        <v>167</v>
      </c>
      <c r="E45" s="333">
        <f>'Plan de ventas'!O52*1000</f>
        <v>94284.90238</v>
      </c>
      <c r="F45" s="334">
        <f t="shared" si="23"/>
        <v>94.28490238</v>
      </c>
      <c r="G45" s="334">
        <v>7935.0</v>
      </c>
      <c r="H45" s="335">
        <f t="shared" si="24"/>
        <v>748.1507004</v>
      </c>
      <c r="I45" s="334">
        <f t="shared" si="25"/>
        <v>7857.075198</v>
      </c>
      <c r="J45" s="334">
        <f t="shared" si="26"/>
        <v>392.8537599</v>
      </c>
      <c r="K45" s="334">
        <f t="shared" si="27"/>
        <v>24.55335999</v>
      </c>
      <c r="L45" s="334">
        <f t="shared" si="28"/>
        <v>16.36890666</v>
      </c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ht="16.5" customHeight="1">
      <c r="A46" s="158"/>
      <c r="B46" s="332" t="s">
        <v>455</v>
      </c>
      <c r="C46" s="332" t="s">
        <v>488</v>
      </c>
      <c r="D46" s="338" t="s">
        <v>169</v>
      </c>
      <c r="E46" s="333">
        <f>'Plan de ventas'!O53*1000</f>
        <v>13132.51652</v>
      </c>
      <c r="F46" s="334">
        <f t="shared" si="23"/>
        <v>13.13251652</v>
      </c>
      <c r="G46" s="334">
        <v>7989.0</v>
      </c>
      <c r="H46" s="335">
        <f t="shared" si="24"/>
        <v>104.9156745</v>
      </c>
      <c r="I46" s="334">
        <f t="shared" si="25"/>
        <v>1094.376377</v>
      </c>
      <c r="J46" s="334">
        <f t="shared" si="26"/>
        <v>54.71881885</v>
      </c>
      <c r="K46" s="334">
        <f t="shared" si="27"/>
        <v>3.419926178</v>
      </c>
      <c r="L46" s="334">
        <f t="shared" si="28"/>
        <v>2.279950785</v>
      </c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ht="16.5" customHeight="1">
      <c r="A47" s="158"/>
      <c r="B47" s="332" t="s">
        <v>455</v>
      </c>
      <c r="C47" s="332" t="s">
        <v>490</v>
      </c>
      <c r="D47" s="225" t="s">
        <v>170</v>
      </c>
      <c r="E47" s="333">
        <f>'Plan de ventas'!O54*1000</f>
        <v>30642.70692</v>
      </c>
      <c r="F47" s="334">
        <f t="shared" si="23"/>
        <v>30.64270692</v>
      </c>
      <c r="G47" s="334">
        <v>7989.0</v>
      </c>
      <c r="H47" s="335">
        <f t="shared" si="24"/>
        <v>244.8045856</v>
      </c>
      <c r="I47" s="334">
        <f t="shared" si="25"/>
        <v>2553.55891</v>
      </c>
      <c r="J47" s="334">
        <f t="shared" si="26"/>
        <v>127.6779455</v>
      </c>
      <c r="K47" s="334">
        <f t="shared" si="27"/>
        <v>7.979871594</v>
      </c>
      <c r="L47" s="334">
        <f t="shared" si="28"/>
        <v>5.319914396</v>
      </c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ht="16.5" customHeight="1">
      <c r="A48" s="158"/>
      <c r="B48" s="332" t="s">
        <v>455</v>
      </c>
      <c r="C48" s="332" t="s">
        <v>491</v>
      </c>
      <c r="D48" s="338" t="s">
        <v>172</v>
      </c>
      <c r="E48" s="333">
        <f>'Plan de ventas'!O55*1000</f>
        <v>22729.35552</v>
      </c>
      <c r="F48" s="334">
        <f t="shared" si="23"/>
        <v>22.72935552</v>
      </c>
      <c r="G48" s="334">
        <v>8948.0</v>
      </c>
      <c r="H48" s="335">
        <f t="shared" si="24"/>
        <v>203.3822732</v>
      </c>
      <c r="I48" s="334">
        <f t="shared" si="25"/>
        <v>1894.11296</v>
      </c>
      <c r="J48" s="334">
        <f t="shared" si="26"/>
        <v>94.705648</v>
      </c>
      <c r="K48" s="334">
        <f t="shared" si="27"/>
        <v>5.919103</v>
      </c>
      <c r="L48" s="334">
        <f t="shared" si="28"/>
        <v>3.946068667</v>
      </c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ht="16.5" customHeight="1">
      <c r="A49" s="158"/>
      <c r="B49" s="332" t="s">
        <v>455</v>
      </c>
      <c r="C49" s="332" t="s">
        <v>492</v>
      </c>
      <c r="D49" s="225" t="s">
        <v>175</v>
      </c>
      <c r="E49" s="333">
        <f>'Plan de ventas'!O56*1000</f>
        <v>53035.16288</v>
      </c>
      <c r="F49" s="334">
        <f t="shared" si="23"/>
        <v>53.03516288</v>
      </c>
      <c r="G49" s="334">
        <v>7989.0</v>
      </c>
      <c r="H49" s="335">
        <f t="shared" si="24"/>
        <v>423.6979163</v>
      </c>
      <c r="I49" s="334">
        <f t="shared" si="25"/>
        <v>4419.596907</v>
      </c>
      <c r="J49" s="334">
        <f t="shared" si="26"/>
        <v>220.9798453</v>
      </c>
      <c r="K49" s="334">
        <f t="shared" si="27"/>
        <v>13.81124033</v>
      </c>
      <c r="L49" s="334">
        <f t="shared" si="28"/>
        <v>9.207493556</v>
      </c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ht="16.5" customHeight="1">
      <c r="A50" s="158"/>
      <c r="B50" s="332" t="s">
        <v>458</v>
      </c>
      <c r="C50" s="332" t="s">
        <v>493</v>
      </c>
      <c r="D50" s="225" t="s">
        <v>176</v>
      </c>
      <c r="E50" s="333">
        <f>'Plan de ventas'!O57*1000</f>
        <v>117855.9175</v>
      </c>
      <c r="F50" s="334">
        <f t="shared" si="23"/>
        <v>117.8559175</v>
      </c>
      <c r="G50" s="334">
        <v>9000.0</v>
      </c>
      <c r="H50" s="335">
        <f t="shared" si="24"/>
        <v>1060.703258</v>
      </c>
      <c r="I50" s="334">
        <f t="shared" si="25"/>
        <v>9821.326459</v>
      </c>
      <c r="J50" s="334">
        <f t="shared" si="26"/>
        <v>491.066323</v>
      </c>
      <c r="K50" s="334">
        <f t="shared" si="27"/>
        <v>30.69164519</v>
      </c>
      <c r="L50" s="334">
        <f t="shared" si="28"/>
        <v>20.46109679</v>
      </c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ht="16.5" customHeight="1">
      <c r="A51" s="158"/>
      <c r="B51" s="332" t="s">
        <v>458</v>
      </c>
      <c r="C51" s="332" t="s">
        <v>494</v>
      </c>
      <c r="D51" s="225" t="s">
        <v>313</v>
      </c>
      <c r="E51" s="333">
        <f>'Plan de ventas'!O58*1000</f>
        <v>141427.202</v>
      </c>
      <c r="F51" s="334">
        <f t="shared" si="23"/>
        <v>141.427202</v>
      </c>
      <c r="G51" s="334">
        <v>11296.0</v>
      </c>
      <c r="H51" s="335">
        <f t="shared" si="24"/>
        <v>1597.561674</v>
      </c>
      <c r="I51" s="334">
        <f t="shared" si="25"/>
        <v>11785.60017</v>
      </c>
      <c r="J51" s="334">
        <f t="shared" si="26"/>
        <v>589.2800085</v>
      </c>
      <c r="K51" s="334">
        <f t="shared" si="27"/>
        <v>36.83000053</v>
      </c>
      <c r="L51" s="334">
        <f t="shared" si="28"/>
        <v>24.55333369</v>
      </c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ht="16.5" customHeight="1">
      <c r="A52" s="158"/>
      <c r="B52" s="332" t="s">
        <v>458</v>
      </c>
      <c r="C52" s="332" t="s">
        <v>495</v>
      </c>
      <c r="D52" s="338" t="s">
        <v>318</v>
      </c>
      <c r="E52" s="333">
        <f>'Plan de ventas'!O59*1000</f>
        <v>60611.61472</v>
      </c>
      <c r="F52" s="334">
        <f t="shared" si="23"/>
        <v>60.61161472</v>
      </c>
      <c r="G52" s="334">
        <v>11296.0</v>
      </c>
      <c r="H52" s="335">
        <f t="shared" si="24"/>
        <v>684.6687999</v>
      </c>
      <c r="I52" s="334">
        <f t="shared" si="25"/>
        <v>5050.967893</v>
      </c>
      <c r="J52" s="334">
        <f t="shared" si="26"/>
        <v>252.5483947</v>
      </c>
      <c r="K52" s="334">
        <f t="shared" si="27"/>
        <v>15.78427467</v>
      </c>
      <c r="L52" s="334">
        <f t="shared" si="28"/>
        <v>10.52284978</v>
      </c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ht="16.5" customHeight="1">
      <c r="A53" s="158"/>
      <c r="B53" s="339" t="s">
        <v>39</v>
      </c>
      <c r="C53" s="340"/>
      <c r="D53" s="340"/>
      <c r="E53" s="341">
        <f>SUM(E42:E52)</f>
        <v>678513.9598</v>
      </c>
      <c r="F53" s="341">
        <f>SUM(F42:F51)</f>
        <v>617.9023451</v>
      </c>
      <c r="G53" s="342">
        <f>AVERAGE(G42:G51)</f>
        <v>8796.5</v>
      </c>
      <c r="H53" s="343">
        <f>SUM(H42:H51)</f>
        <v>5720.557168</v>
      </c>
      <c r="I53" s="342">
        <f t="shared" ref="I53:L53" si="29">AVERAGE(I42:I51)</f>
        <v>5149.186209</v>
      </c>
      <c r="J53" s="342">
        <f t="shared" si="29"/>
        <v>257.4593105</v>
      </c>
      <c r="K53" s="342">
        <f t="shared" si="29"/>
        <v>16.0912069</v>
      </c>
      <c r="L53" s="342">
        <f t="shared" si="29"/>
        <v>10.72747127</v>
      </c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ht="16.5" customHeight="1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ht="16.5" customHeight="1">
      <c r="A55" s="158"/>
      <c r="B55" s="158"/>
      <c r="C55" s="158"/>
      <c r="D55" s="158"/>
      <c r="E55" s="344" t="s">
        <v>475</v>
      </c>
      <c r="F55" s="344" t="s">
        <v>476</v>
      </c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ht="16.5" customHeight="1">
      <c r="A56" s="158"/>
      <c r="B56" s="345" t="s">
        <v>477</v>
      </c>
      <c r="C56" s="346"/>
      <c r="D56" s="346" t="s">
        <v>478</v>
      </c>
      <c r="E56" s="347">
        <f t="shared" ref="E56:F56" si="30">SUM(K42:K49)</f>
        <v>93.39042332</v>
      </c>
      <c r="F56" s="347">
        <f t="shared" si="30"/>
        <v>62.26028221</v>
      </c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ht="16.5" customHeight="1">
      <c r="A57" s="158"/>
      <c r="B57" s="349"/>
      <c r="C57" s="158"/>
      <c r="D57" s="158" t="s">
        <v>480</v>
      </c>
      <c r="E57" s="350">
        <f t="shared" ref="E57:F57" si="31">100</f>
        <v>100</v>
      </c>
      <c r="F57" s="350">
        <f t="shared" si="31"/>
        <v>100</v>
      </c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ht="16.5" customHeight="1">
      <c r="A58" s="158"/>
      <c r="B58" s="351"/>
      <c r="C58" s="352"/>
      <c r="D58" s="353" t="s">
        <v>481</v>
      </c>
      <c r="E58" s="354">
        <f t="shared" ref="E58:F58" si="32">E56/E57</f>
        <v>0.9339042332</v>
      </c>
      <c r="F58" s="354">
        <f t="shared" si="32"/>
        <v>0.6226028221</v>
      </c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ht="16.5" customHeight="1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ht="16.5" customHeight="1">
      <c r="A60" s="158"/>
      <c r="B60" s="355" t="s">
        <v>482</v>
      </c>
      <c r="C60" s="346"/>
      <c r="D60" s="346" t="s">
        <v>478</v>
      </c>
      <c r="E60" s="347">
        <f t="shared" ref="E60:F60" si="33">SUM(K50:K52)</f>
        <v>83.30592038</v>
      </c>
      <c r="F60" s="347">
        <f t="shared" si="33"/>
        <v>55.53728026</v>
      </c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ht="16.5" customHeight="1">
      <c r="A61" s="158"/>
      <c r="B61" s="349"/>
      <c r="C61" s="158"/>
      <c r="D61" s="158" t="s">
        <v>480</v>
      </c>
      <c r="E61" s="350">
        <v>50.0</v>
      </c>
      <c r="F61" s="350">
        <v>50.0</v>
      </c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ht="16.5" customHeight="1">
      <c r="A62" s="158"/>
      <c r="B62" s="351"/>
      <c r="C62" s="352"/>
      <c r="D62" s="353" t="s">
        <v>481</v>
      </c>
      <c r="E62" s="357">
        <f t="shared" ref="E62:F62" si="34">E60/E61</f>
        <v>1.666118408</v>
      </c>
      <c r="F62" s="357">
        <f t="shared" si="34"/>
        <v>1.110745605</v>
      </c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ht="16.5" customHeight="1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ht="16.5" customHeight="1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ht="16.5" customHeight="1">
      <c r="A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ht="16.5" customHeight="1">
      <c r="A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ht="16.5" customHeight="1">
      <c r="A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ht="16.5" customHeight="1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ht="16.5" customHeight="1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ht="16.5" customHeight="1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ht="16.5" customHeight="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ht="16.5" customHeight="1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ht="16.5" customHeight="1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ht="16.5" customHeight="1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ht="16.5" customHeight="1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ht="16.5" customHeight="1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ht="16.5" customHeight="1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ht="16.5" customHeight="1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ht="16.5" customHeight="1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ht="16.5" customHeight="1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ht="16.5" customHeight="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ht="16.5" customHeight="1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ht="16.5" customHeight="1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ht="16.5" customHeight="1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ht="16.5" customHeight="1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ht="16.5" customHeight="1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ht="16.5" customHeight="1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ht="16.5" customHeight="1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</row>
    <row r="89" ht="16.5" customHeight="1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ht="16.5" customHeight="1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ht="16.5" customHeight="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ht="16.5" customHeight="1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ht="16.5" customHeight="1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ht="16.5" customHeight="1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ht="16.5" customHeight="1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ht="16.5" customHeight="1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ht="16.5" customHeight="1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ht="16.5" customHeight="1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ht="16.5" customHeight="1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ht="16.5" customHeight="1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ht="16.5" customHeight="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ht="16.5" customHeight="1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ht="16.5" customHeight="1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ht="16.5" customHeight="1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ht="16.5" customHeight="1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ht="16.5" customHeight="1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ht="16.5" customHeight="1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ht="16.5" customHeight="1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ht="16.5" customHeight="1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ht="16.5" customHeight="1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ht="16.5" customHeight="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ht="16.5" customHeight="1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ht="16.5" customHeight="1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ht="16.5" customHeight="1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ht="16.5" customHeight="1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ht="16.5" customHeight="1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ht="16.5" customHeight="1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ht="16.5" customHeight="1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ht="16.5" customHeight="1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ht="16.5" customHeight="1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ht="16.5" customHeight="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ht="16.5" customHeight="1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ht="16.5" customHeight="1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ht="16.5" customHeight="1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ht="16.5" customHeight="1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ht="16.5" customHeight="1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ht="16.5" customHeight="1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ht="16.5" customHeight="1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ht="16.5" customHeight="1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ht="16.5" customHeight="1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ht="16.5" customHeight="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ht="16.5" customHeight="1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ht="16.5" customHeight="1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ht="16.5" customHeight="1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ht="16.5" customHeight="1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ht="16.5" customHeight="1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ht="16.5" customHeight="1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ht="16.5" customHeight="1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ht="16.5" customHeight="1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ht="16.5" customHeight="1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ht="16.5" customHeight="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ht="16.5" customHeight="1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ht="16.5" customHeight="1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ht="16.5" customHeight="1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ht="16.5" customHeight="1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ht="16.5" customHeight="1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ht="16.5" customHeight="1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ht="16.5" customHeight="1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ht="16.5" customHeight="1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ht="16.5" customHeight="1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ht="16.5" customHeight="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ht="16.5" customHeight="1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ht="16.5" customHeight="1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ht="16.5" customHeight="1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ht="16.5" customHeight="1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ht="16.5" customHeight="1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ht="16.5" customHeight="1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ht="16.5" customHeight="1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ht="16.5" customHeight="1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ht="16.5" customHeight="1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ht="16.5" customHeight="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ht="16.5" customHeight="1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ht="16.5" customHeight="1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ht="16.5" customHeight="1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ht="16.5" customHeight="1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ht="16.5" customHeight="1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ht="16.5" customHeight="1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ht="16.5" customHeight="1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ht="16.5" customHeight="1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ht="16.5" customHeight="1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</row>
    <row r="171" ht="16.5" customHeight="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</row>
    <row r="172" ht="16.5" customHeight="1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</row>
    <row r="173" ht="16.5" customHeight="1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</row>
    <row r="174" ht="16.5" customHeight="1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</row>
    <row r="175" ht="16.5" customHeight="1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</row>
    <row r="176" ht="16.5" customHeight="1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</row>
    <row r="177" ht="16.5" customHeight="1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</row>
    <row r="178" ht="16.5" customHeight="1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</row>
    <row r="179" ht="16.5" customHeight="1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</row>
    <row r="180" ht="16.5" customHeight="1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</row>
    <row r="181" ht="16.5" customHeight="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</row>
    <row r="182" ht="16.5" customHeight="1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</row>
    <row r="183" ht="16.5" customHeight="1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</row>
    <row r="184" ht="16.5" customHeight="1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</row>
    <row r="185" ht="16.5" customHeight="1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</row>
    <row r="186" ht="16.5" customHeight="1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</row>
    <row r="187" ht="16.5" customHeight="1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</row>
    <row r="188" ht="16.5" customHeight="1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</row>
    <row r="189" ht="16.5" customHeight="1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</row>
    <row r="190" ht="16.5" customHeight="1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</row>
    <row r="191" ht="16.5" customHeight="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</row>
    <row r="192" ht="16.5" customHeight="1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</row>
    <row r="193" ht="16.5" customHeight="1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</row>
    <row r="194" ht="16.5" customHeight="1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</row>
    <row r="195" ht="16.5" customHeight="1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</row>
    <row r="196" ht="16.5" customHeight="1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</row>
    <row r="197" ht="16.5" customHeight="1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</row>
    <row r="198" ht="16.5" customHeight="1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</row>
    <row r="199" ht="16.5" customHeight="1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</row>
    <row r="200" ht="16.5" customHeight="1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</row>
    <row r="201" ht="16.5" customHeight="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</row>
    <row r="202" ht="16.5" customHeight="1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</row>
    <row r="203" ht="16.5" customHeight="1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</row>
    <row r="204" ht="16.5" customHeight="1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</row>
    <row r="205" ht="16.5" customHeight="1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</row>
    <row r="206" ht="16.5" customHeight="1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</row>
    <row r="207" ht="16.5" customHeight="1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</row>
    <row r="208" ht="16.5" customHeight="1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</row>
    <row r="209" ht="16.5" customHeight="1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</row>
    <row r="210" ht="16.5" customHeight="1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</row>
    <row r="211" ht="16.5" customHeight="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</row>
    <row r="212" ht="16.5" customHeight="1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</row>
    <row r="213" ht="16.5" customHeight="1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</row>
    <row r="214" ht="16.5" customHeight="1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</row>
    <row r="215" ht="16.5" customHeight="1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</row>
    <row r="216" ht="16.5" customHeight="1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</row>
    <row r="217" ht="16.5" customHeight="1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</row>
    <row r="218" ht="16.5" customHeight="1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</row>
    <row r="219" ht="16.5" customHeight="1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</row>
    <row r="220" ht="16.5" customHeight="1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</row>
    <row r="221" ht="16.5" customHeight="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</row>
    <row r="222" ht="16.5" customHeight="1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</row>
    <row r="223" ht="16.5" customHeight="1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 ht="16.5" customHeight="1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 ht="16.5" customHeight="1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 ht="16.5" customHeight="1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</row>
    <row r="227" ht="16.5" customHeight="1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</row>
    <row r="228" ht="16.5" customHeight="1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</row>
    <row r="229" ht="16.5" customHeight="1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</row>
    <row r="230" ht="16.5" customHeight="1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</row>
    <row r="231" ht="16.5" customHeight="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</row>
    <row r="232" ht="16.5" customHeight="1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</row>
    <row r="233" ht="16.5" customHeight="1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</row>
    <row r="234" ht="16.5" customHeight="1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</row>
    <row r="235" ht="16.5" customHeight="1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</row>
    <row r="236" ht="16.5" customHeight="1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</row>
    <row r="237" ht="16.5" customHeight="1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</row>
    <row r="238" ht="16.5" customHeight="1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</row>
    <row r="239" ht="16.5" customHeight="1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</row>
    <row r="240" ht="16.5" customHeight="1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</row>
    <row r="241" ht="16.5" customHeight="1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</row>
    <row r="242" ht="16.5" customHeight="1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</row>
    <row r="243" ht="16.5" customHeight="1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</row>
    <row r="244" ht="16.5" customHeight="1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</row>
    <row r="245" ht="16.5" customHeight="1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</row>
    <row r="246" ht="16.5" customHeight="1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</row>
    <row r="247" ht="16.5" customHeight="1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</row>
    <row r="248" ht="16.5" customHeight="1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</row>
    <row r="249" ht="16.5" customHeight="1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</row>
    <row r="250" ht="16.5" customHeight="1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</row>
    <row r="251" ht="16.5" customHeight="1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</row>
    <row r="252" ht="16.5" customHeight="1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</row>
    <row r="253" ht="16.5" customHeight="1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</row>
    <row r="254" ht="16.5" customHeight="1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</row>
    <row r="255" ht="16.5" customHeight="1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</row>
    <row r="256" ht="16.5" customHeight="1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</row>
    <row r="257" ht="16.5" customHeight="1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</row>
    <row r="258" ht="16.5" customHeight="1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</row>
    <row r="259" ht="16.5" customHeight="1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</row>
    <row r="260" ht="16.5" customHeight="1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</row>
    <row r="261" ht="16.5" customHeight="1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</row>
    <row r="262" ht="16.5" customHeight="1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2:G2"/>
    <mergeCell ref="H2:I2"/>
    <mergeCell ref="J2:N2"/>
    <mergeCell ref="O2:S2"/>
    <mergeCell ref="B28:B30"/>
    <mergeCell ref="B32:B34"/>
    <mergeCell ref="B56:B58"/>
    <mergeCell ref="B60:B62"/>
  </mergeCells>
  <conditionalFormatting sqref="E30:F30 E34:F34 E58:F58 E62:F62">
    <cfRule type="cellIs" dxfId="0" priority="1" operator="greaterThanOrEqual">
      <formula>"100%"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9.71"/>
    <col customWidth="1" min="3" max="3" width="11.14"/>
    <col customWidth="1" min="4" max="4" width="7.14"/>
    <col customWidth="1" min="5" max="5" width="4.71"/>
    <col customWidth="1" min="6" max="6" width="19.14"/>
    <col customWidth="1" min="7" max="7" width="19.71"/>
    <col customWidth="1" min="8" max="8" width="28.29"/>
    <col customWidth="1" min="9" max="9" width="7.71"/>
    <col customWidth="1" min="10" max="12" width="13.57"/>
    <col customWidth="1" min="13" max="13" width="4.29"/>
    <col customWidth="1" min="14" max="15" width="5.57"/>
    <col customWidth="1" min="16" max="16" width="7.57"/>
    <col customWidth="1" min="17" max="17" width="23.0"/>
    <col customWidth="1" min="18" max="18" width="11.57"/>
    <col customWidth="1" min="19" max="19" width="10.71"/>
    <col customWidth="1" min="20" max="20" width="15.29"/>
    <col customWidth="1" min="21" max="23" width="12.43"/>
    <col customWidth="1" min="24" max="27" width="10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6.5" customHeight="1">
      <c r="A2" s="1"/>
      <c r="B2" s="35" t="s">
        <v>514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5" t="s">
        <v>515</v>
      </c>
      <c r="R2" s="1"/>
      <c r="S2" s="1"/>
      <c r="T2" s="35" t="s">
        <v>516</v>
      </c>
      <c r="U2" s="1"/>
      <c r="V2" s="1"/>
      <c r="W2" s="1"/>
      <c r="X2" s="1"/>
      <c r="Y2" s="1"/>
      <c r="Z2" s="1"/>
      <c r="AA2" s="1"/>
    </row>
    <row r="3" ht="16.5" customHeight="1">
      <c r="A3" s="1"/>
      <c r="B3" s="358" t="s">
        <v>517</v>
      </c>
      <c r="C3" s="358" t="s">
        <v>518</v>
      </c>
      <c r="D3" s="359" t="s">
        <v>46</v>
      </c>
      <c r="E3" s="1"/>
      <c r="F3" s="1"/>
      <c r="G3" s="358" t="s">
        <v>519</v>
      </c>
      <c r="H3" s="358" t="s">
        <v>400</v>
      </c>
      <c r="I3" s="358" t="s">
        <v>401</v>
      </c>
      <c r="J3" s="358" t="s">
        <v>520</v>
      </c>
      <c r="K3" s="358" t="s">
        <v>521</v>
      </c>
      <c r="L3" s="358" t="s">
        <v>522</v>
      </c>
      <c r="M3" s="1"/>
      <c r="N3" s="360" t="s">
        <v>523</v>
      </c>
      <c r="O3" s="360">
        <v>1360.0</v>
      </c>
      <c r="P3" s="1"/>
      <c r="Q3" s="358" t="s">
        <v>524</v>
      </c>
      <c r="R3" s="358" t="s">
        <v>525</v>
      </c>
      <c r="S3" s="1"/>
      <c r="T3" s="359" t="s">
        <v>517</v>
      </c>
      <c r="U3" s="359" t="s">
        <v>526</v>
      </c>
      <c r="V3" s="359" t="s">
        <v>527</v>
      </c>
      <c r="W3" s="359" t="s">
        <v>528</v>
      </c>
      <c r="X3" s="1"/>
      <c r="Y3" s="1"/>
      <c r="Z3" s="1"/>
      <c r="AA3" s="1"/>
    </row>
    <row r="4" ht="16.5" customHeight="1">
      <c r="A4" s="1"/>
      <c r="B4" s="180" t="s">
        <v>529</v>
      </c>
      <c r="C4" s="361">
        <f>900000*O3/1000000</f>
        <v>1224</v>
      </c>
      <c r="D4" s="362">
        <f t="shared" ref="D4:D8" si="1">C4/$C$9</f>
        <v>0.6880494136</v>
      </c>
      <c r="E4" s="1"/>
      <c r="F4" s="363" t="s">
        <v>530</v>
      </c>
      <c r="G4" s="364" t="s">
        <v>531</v>
      </c>
      <c r="H4" s="82" t="s">
        <v>532</v>
      </c>
      <c r="I4" s="365">
        <v>1.0</v>
      </c>
      <c r="J4" s="366">
        <v>15000.0</v>
      </c>
      <c r="K4" s="367"/>
      <c r="L4" s="366">
        <f t="shared" ref="L4:L7" si="2">IF(J4="",I4*K4,I4*J4*$O$3)</f>
        <v>20400000</v>
      </c>
      <c r="M4" s="1"/>
      <c r="N4" s="1"/>
      <c r="O4" s="1"/>
      <c r="P4" s="1"/>
      <c r="Q4" s="368" t="s">
        <v>533</v>
      </c>
      <c r="R4" s="367">
        <v>680.0</v>
      </c>
      <c r="S4" s="1"/>
      <c r="T4" s="368" t="s">
        <v>534</v>
      </c>
      <c r="U4" s="367">
        <f>Costos!C5</f>
        <v>1067.669394</v>
      </c>
      <c r="V4" s="367">
        <v>30.0</v>
      </c>
      <c r="W4" s="367">
        <f t="shared" ref="W4:W5" si="3">U4/365*V4</f>
        <v>87.75364882</v>
      </c>
      <c r="X4" s="1"/>
      <c r="Y4" s="1"/>
      <c r="Z4" s="1"/>
      <c r="AA4" s="1"/>
    </row>
    <row r="5" ht="16.5" customHeight="1">
      <c r="A5" s="1"/>
      <c r="B5" s="180" t="s">
        <v>535</v>
      </c>
      <c r="C5" s="361">
        <f>R7*0.7*R9/1000000</f>
        <v>186.2</v>
      </c>
      <c r="D5" s="362">
        <f t="shared" si="1"/>
        <v>0.1046689549</v>
      </c>
      <c r="E5" s="1"/>
      <c r="F5" s="363"/>
      <c r="G5" s="82"/>
      <c r="H5" s="82" t="s">
        <v>536</v>
      </c>
      <c r="I5" s="365">
        <v>2.0</v>
      </c>
      <c r="J5" s="367"/>
      <c r="K5" s="366">
        <v>450000.0</v>
      </c>
      <c r="L5" s="366">
        <f t="shared" si="2"/>
        <v>900000</v>
      </c>
      <c r="M5" s="1"/>
      <c r="N5" s="1"/>
      <c r="O5" s="1"/>
      <c r="P5" s="1"/>
      <c r="Q5" s="368" t="s">
        <v>537</v>
      </c>
      <c r="R5" s="367">
        <v>450.0</v>
      </c>
      <c r="S5" s="1"/>
      <c r="T5" s="368" t="s">
        <v>539</v>
      </c>
      <c r="U5" s="367">
        <f>'Plan de ventas'!F76</f>
        <v>3585.96373</v>
      </c>
      <c r="V5" s="367">
        <v>45.0</v>
      </c>
      <c r="W5" s="367">
        <f t="shared" si="3"/>
        <v>442.1051174</v>
      </c>
      <c r="X5" s="1"/>
      <c r="Y5" s="1"/>
      <c r="Z5" s="1"/>
      <c r="AA5" s="1"/>
    </row>
    <row r="6" ht="16.5" customHeight="1">
      <c r="A6" s="1"/>
      <c r="B6" s="180" t="s">
        <v>541</v>
      </c>
      <c r="C6" s="361">
        <f>L35/1000000</f>
        <v>336.792</v>
      </c>
      <c r="D6" s="362">
        <f t="shared" si="1"/>
        <v>0.1893215181</v>
      </c>
      <c r="E6" s="1"/>
      <c r="F6" s="363"/>
      <c r="G6" s="82"/>
      <c r="H6" s="82" t="s">
        <v>542</v>
      </c>
      <c r="I6" s="365">
        <v>1.0</v>
      </c>
      <c r="J6" s="367"/>
      <c r="K6" s="366">
        <v>200000.0</v>
      </c>
      <c r="L6" s="366">
        <f t="shared" si="2"/>
        <v>200000</v>
      </c>
      <c r="M6" s="1"/>
      <c r="N6" s="1"/>
      <c r="O6" s="1"/>
      <c r="P6" s="1"/>
      <c r="Q6" s="368" t="s">
        <v>543</v>
      </c>
      <c r="R6" s="367">
        <v>200.0</v>
      </c>
      <c r="S6" s="1"/>
      <c r="T6" s="1"/>
      <c r="U6" s="1"/>
      <c r="V6" s="1"/>
      <c r="W6" s="81"/>
      <c r="X6" s="1"/>
      <c r="Y6" s="1"/>
      <c r="Z6" s="1"/>
      <c r="AA6" s="1"/>
    </row>
    <row r="7" ht="16.5" customHeight="1">
      <c r="A7" s="1"/>
      <c r="B7" s="180" t="s">
        <v>544</v>
      </c>
      <c r="C7" s="361">
        <f>L8/1000000</f>
        <v>22.2</v>
      </c>
      <c r="D7" s="362">
        <f t="shared" si="1"/>
        <v>0.0124793276</v>
      </c>
      <c r="E7" s="1"/>
      <c r="F7" s="363"/>
      <c r="G7" s="82"/>
      <c r="H7" s="82" t="s">
        <v>545</v>
      </c>
      <c r="I7" s="365">
        <v>1.0</v>
      </c>
      <c r="J7" s="367"/>
      <c r="K7" s="366">
        <v>700000.0</v>
      </c>
      <c r="L7" s="366">
        <f t="shared" si="2"/>
        <v>700000</v>
      </c>
      <c r="M7" s="1"/>
      <c r="N7" s="1"/>
      <c r="O7" s="1"/>
      <c r="P7" s="1"/>
      <c r="Q7" s="369" t="s">
        <v>39</v>
      </c>
      <c r="R7" s="370">
        <f>SUM(R4:R6)</f>
        <v>1330</v>
      </c>
      <c r="S7" s="1"/>
      <c r="T7" s="1"/>
      <c r="U7" s="1"/>
      <c r="V7" s="81"/>
      <c r="W7" s="359" t="s">
        <v>546</v>
      </c>
      <c r="X7" s="1"/>
      <c r="Y7" s="1"/>
      <c r="Z7" s="1"/>
      <c r="AA7" s="1"/>
    </row>
    <row r="8" ht="16.5" customHeight="1">
      <c r="A8" s="1"/>
      <c r="B8" s="180" t="s">
        <v>547</v>
      </c>
      <c r="C8" s="361">
        <f>L18/1000000</f>
        <v>9.75</v>
      </c>
      <c r="D8" s="371">
        <f t="shared" si="1"/>
        <v>0.00548078577</v>
      </c>
      <c r="E8" s="1"/>
      <c r="F8" s="1"/>
      <c r="G8" s="369" t="s">
        <v>39</v>
      </c>
      <c r="H8" s="372"/>
      <c r="I8" s="372"/>
      <c r="J8" s="372"/>
      <c r="K8" s="372"/>
      <c r="L8" s="370">
        <f>SUM(L4:L7)</f>
        <v>22200000</v>
      </c>
      <c r="M8" s="1"/>
      <c r="N8" s="1"/>
      <c r="O8" s="1"/>
      <c r="P8" s="1"/>
      <c r="Q8" s="1"/>
      <c r="R8" s="1"/>
      <c r="S8" s="1"/>
      <c r="T8" s="1"/>
      <c r="U8" s="1"/>
      <c r="V8" s="81"/>
      <c r="W8" s="367">
        <f>W5-W4</f>
        <v>354.3514686</v>
      </c>
      <c r="X8" s="1"/>
      <c r="Y8" s="1"/>
      <c r="Z8" s="1"/>
      <c r="AA8" s="1"/>
    </row>
    <row r="9" ht="16.5" customHeight="1">
      <c r="A9" s="1"/>
      <c r="B9" s="369" t="s">
        <v>39</v>
      </c>
      <c r="C9" s="370">
        <f t="shared" ref="C9:D9" si="4">SUM(C4:C8)</f>
        <v>1778.942</v>
      </c>
      <c r="D9" s="373">
        <f t="shared" si="4"/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548</v>
      </c>
      <c r="R9" s="89">
        <f>200000</f>
        <v>200000</v>
      </c>
      <c r="S9" s="1"/>
      <c r="T9" s="1"/>
      <c r="U9" s="1"/>
      <c r="V9" s="1"/>
      <c r="W9" s="1"/>
      <c r="X9" s="1"/>
      <c r="Y9" s="1"/>
      <c r="Z9" s="1"/>
      <c r="AA9" s="1"/>
    </row>
    <row r="10" ht="16.5" customHeight="1">
      <c r="A10" s="1"/>
      <c r="B10" s="1"/>
      <c r="C10" s="1"/>
      <c r="D10" s="1"/>
      <c r="E10" s="1"/>
      <c r="F10" s="363" t="s">
        <v>549</v>
      </c>
      <c r="G10" s="82"/>
      <c r="H10" s="82" t="s">
        <v>550</v>
      </c>
      <c r="I10" s="365">
        <v>1.0</v>
      </c>
      <c r="J10" s="367"/>
      <c r="K10" s="366">
        <v>200000.0</v>
      </c>
      <c r="L10" s="366">
        <f t="shared" ref="L10:L14" si="5">IF(J10="",I10*K10,I10*J10*$O$3)</f>
        <v>200000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6.5" customHeight="1">
      <c r="A11" s="1"/>
      <c r="B11" s="1"/>
      <c r="C11" s="1"/>
      <c r="D11" s="1"/>
      <c r="E11" s="1"/>
      <c r="F11" s="363"/>
      <c r="G11" s="82"/>
      <c r="H11" s="82" t="s">
        <v>551</v>
      </c>
      <c r="I11" s="365">
        <v>8.0</v>
      </c>
      <c r="J11" s="367"/>
      <c r="K11" s="366">
        <v>500000.0</v>
      </c>
      <c r="L11" s="366">
        <f t="shared" si="5"/>
        <v>4000000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6.5" customHeight="1">
      <c r="A12" s="1"/>
      <c r="B12" s="1"/>
      <c r="C12" s="1"/>
      <c r="D12" s="1"/>
      <c r="E12" s="1"/>
      <c r="F12" s="1"/>
      <c r="G12" s="82"/>
      <c r="H12" s="82" t="s">
        <v>552</v>
      </c>
      <c r="I12" s="365">
        <v>15.0</v>
      </c>
      <c r="J12" s="367"/>
      <c r="K12" s="366">
        <v>150000.0</v>
      </c>
      <c r="L12" s="366">
        <f t="shared" si="5"/>
        <v>2250000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6.5" customHeight="1">
      <c r="A13" s="1"/>
      <c r="B13" s="1"/>
      <c r="C13" s="1"/>
      <c r="D13" s="1"/>
      <c r="E13" s="1"/>
      <c r="F13" s="1"/>
      <c r="G13" s="82"/>
      <c r="H13" s="82" t="s">
        <v>554</v>
      </c>
      <c r="I13" s="365">
        <v>3.0</v>
      </c>
      <c r="J13" s="367"/>
      <c r="K13" s="366">
        <v>200000.0</v>
      </c>
      <c r="L13" s="366">
        <f t="shared" si="5"/>
        <v>600000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6.5" customHeight="1">
      <c r="A14" s="1"/>
      <c r="B14" s="1"/>
      <c r="C14" s="1"/>
      <c r="D14" s="1"/>
      <c r="E14" s="1"/>
      <c r="F14" s="1"/>
      <c r="G14" s="82"/>
      <c r="H14" s="82" t="s">
        <v>555</v>
      </c>
      <c r="I14" s="365">
        <v>6.0</v>
      </c>
      <c r="J14" s="367"/>
      <c r="K14" s="366">
        <v>450000.0</v>
      </c>
      <c r="L14" s="366">
        <f t="shared" si="5"/>
        <v>2700000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6.5" customHeight="1">
      <c r="A15" s="1"/>
      <c r="B15" s="1"/>
      <c r="C15" s="89"/>
      <c r="D15" s="1"/>
      <c r="E15" s="1"/>
      <c r="F15" s="1"/>
      <c r="G15" s="82"/>
      <c r="H15" s="82"/>
      <c r="I15" s="365"/>
      <c r="J15" s="367"/>
      <c r="K15" s="366"/>
      <c r="L15" s="36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6.5" customHeight="1">
      <c r="A16" s="1"/>
      <c r="B16" s="1"/>
      <c r="C16" s="89"/>
      <c r="D16" s="1"/>
      <c r="E16" s="1"/>
      <c r="F16" s="1"/>
      <c r="G16" s="82"/>
      <c r="H16" s="82"/>
      <c r="I16" s="365"/>
      <c r="J16" s="367"/>
      <c r="K16" s="366"/>
      <c r="L16" s="36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6.5" customHeight="1">
      <c r="A17" s="1"/>
      <c r="B17" s="1"/>
      <c r="C17" s="89"/>
      <c r="D17" s="1"/>
      <c r="E17" s="1"/>
      <c r="F17" s="1"/>
      <c r="G17" s="82"/>
      <c r="H17" s="82"/>
      <c r="I17" s="365"/>
      <c r="J17" s="367"/>
      <c r="K17" s="366"/>
      <c r="L17" s="36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6.5" customHeight="1">
      <c r="A18" s="1"/>
      <c r="B18" s="1"/>
      <c r="C18" s="89"/>
      <c r="D18" s="1"/>
      <c r="E18" s="1"/>
      <c r="F18" s="1"/>
      <c r="G18" s="369" t="s">
        <v>39</v>
      </c>
      <c r="H18" s="372"/>
      <c r="I18" s="372"/>
      <c r="J18" s="372"/>
      <c r="K18" s="372"/>
      <c r="L18" s="370">
        <f>SUM(L10:L17)</f>
        <v>9750000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6.5" customHeight="1">
      <c r="A20" s="1"/>
      <c r="B20" s="1"/>
      <c r="C20" s="1"/>
      <c r="D20" s="1"/>
      <c r="E20" s="1"/>
      <c r="F20" s="363" t="s">
        <v>556</v>
      </c>
      <c r="G20" s="364" t="s">
        <v>557</v>
      </c>
      <c r="H20" s="82" t="s">
        <v>558</v>
      </c>
      <c r="I20" s="365">
        <v>1.0</v>
      </c>
      <c r="J20" s="366">
        <v>13500.0</v>
      </c>
      <c r="K20" s="367"/>
      <c r="L20" s="366">
        <f t="shared" ref="L20:L34" si="6">IF(J20="",I20*K20,I20*J20*$O$3)</f>
        <v>18360000</v>
      </c>
      <c r="M20" s="1"/>
      <c r="N20" s="1"/>
      <c r="O20" s="1"/>
      <c r="P20" s="1"/>
      <c r="Q20" s="89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6.5" customHeight="1">
      <c r="A21" s="1"/>
      <c r="B21" s="1"/>
      <c r="C21" s="1"/>
      <c r="D21" s="1"/>
      <c r="E21" s="1"/>
      <c r="F21" s="363"/>
      <c r="G21" s="82"/>
      <c r="H21" s="82" t="s">
        <v>559</v>
      </c>
      <c r="I21" s="365">
        <v>1.0</v>
      </c>
      <c r="J21" s="366">
        <v>15000.0</v>
      </c>
      <c r="K21" s="367"/>
      <c r="L21" s="366">
        <f t="shared" si="6"/>
        <v>20400000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6.5" customHeight="1">
      <c r="A22" s="1"/>
      <c r="B22" s="1"/>
      <c r="C22" s="1"/>
      <c r="D22" s="1"/>
      <c r="E22" s="1"/>
      <c r="F22" s="363"/>
      <c r="G22" s="82"/>
      <c r="H22" s="82" t="s">
        <v>560</v>
      </c>
      <c r="I22" s="365">
        <v>4.0</v>
      </c>
      <c r="J22" s="366">
        <v>5000.0</v>
      </c>
      <c r="K22" s="367"/>
      <c r="L22" s="366">
        <f t="shared" si="6"/>
        <v>27200000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6.5" customHeight="1">
      <c r="A23" s="1"/>
      <c r="B23" s="1"/>
      <c r="C23" s="1"/>
      <c r="D23" s="1"/>
      <c r="E23" s="1"/>
      <c r="F23" s="363"/>
      <c r="G23" s="82"/>
      <c r="H23" s="82" t="s">
        <v>561</v>
      </c>
      <c r="I23" s="365">
        <v>1.0</v>
      </c>
      <c r="J23" s="366">
        <v>100000.0</v>
      </c>
      <c r="K23" s="367"/>
      <c r="L23" s="366">
        <f t="shared" si="6"/>
        <v>136000000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6.5" customHeight="1">
      <c r="A24" s="1"/>
      <c r="B24" s="1"/>
      <c r="C24" s="1"/>
      <c r="D24" s="1"/>
      <c r="E24" s="1"/>
      <c r="F24" s="363"/>
      <c r="G24" s="82"/>
      <c r="H24" s="82" t="s">
        <v>563</v>
      </c>
      <c r="I24" s="365">
        <v>1.0</v>
      </c>
      <c r="J24" s="366">
        <v>12000.0</v>
      </c>
      <c r="K24" s="367"/>
      <c r="L24" s="366">
        <f t="shared" si="6"/>
        <v>16320000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6.5" customHeight="1">
      <c r="A25" s="1"/>
      <c r="B25" s="1"/>
      <c r="C25" s="1"/>
      <c r="D25" s="1"/>
      <c r="E25" s="1"/>
      <c r="F25" s="363"/>
      <c r="G25" s="82"/>
      <c r="H25" s="82" t="s">
        <v>128</v>
      </c>
      <c r="I25" s="365">
        <v>1.0</v>
      </c>
      <c r="J25" s="366">
        <v>4000.0</v>
      </c>
      <c r="K25" s="367"/>
      <c r="L25" s="366">
        <f t="shared" si="6"/>
        <v>5440000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6.5" customHeight="1">
      <c r="A26" s="1"/>
      <c r="B26" s="1"/>
      <c r="C26" s="1"/>
      <c r="D26" s="1"/>
      <c r="E26" s="1"/>
      <c r="F26" s="363"/>
      <c r="G26" s="364" t="s">
        <v>571</v>
      </c>
      <c r="H26" s="82" t="s">
        <v>572</v>
      </c>
      <c r="I26" s="365">
        <v>1.0</v>
      </c>
      <c r="J26" s="367"/>
      <c r="K26" s="366">
        <v>2500000.0</v>
      </c>
      <c r="L26" s="366">
        <f t="shared" si="6"/>
        <v>2500000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6.5" customHeight="1">
      <c r="A27" s="1"/>
      <c r="B27" s="1"/>
      <c r="C27" s="1"/>
      <c r="D27" s="1"/>
      <c r="E27" s="1"/>
      <c r="F27" s="363"/>
      <c r="G27" s="82"/>
      <c r="H27" s="82" t="s">
        <v>577</v>
      </c>
      <c r="I27" s="365">
        <v>1.0</v>
      </c>
      <c r="J27" s="367"/>
      <c r="K27" s="366">
        <v>2000000.0</v>
      </c>
      <c r="L27" s="366">
        <f t="shared" si="6"/>
        <v>2000000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6.5" customHeight="1">
      <c r="A28" s="1"/>
      <c r="B28" s="1"/>
      <c r="C28" s="1"/>
      <c r="D28" s="1"/>
      <c r="E28" s="1"/>
      <c r="F28" s="363"/>
      <c r="G28" s="82"/>
      <c r="H28" s="82" t="s">
        <v>578</v>
      </c>
      <c r="I28" s="365">
        <v>4.0</v>
      </c>
      <c r="J28" s="367"/>
      <c r="K28" s="366">
        <v>510000.0</v>
      </c>
      <c r="L28" s="366">
        <f t="shared" si="6"/>
        <v>2040000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6.5" customHeight="1">
      <c r="A29" s="1"/>
      <c r="B29" s="1"/>
      <c r="C29" s="1"/>
      <c r="D29" s="1"/>
      <c r="E29" s="1"/>
      <c r="F29" s="363"/>
      <c r="G29" s="82"/>
      <c r="H29" s="82" t="s">
        <v>581</v>
      </c>
      <c r="I29" s="365">
        <v>2.0</v>
      </c>
      <c r="J29" s="367"/>
      <c r="K29" s="366">
        <v>1.5E7</v>
      </c>
      <c r="L29" s="366">
        <f t="shared" si="6"/>
        <v>30000000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6.5" customHeight="1">
      <c r="A30" s="1"/>
      <c r="B30" s="1"/>
      <c r="C30" s="1"/>
      <c r="D30" s="1"/>
      <c r="E30" s="1"/>
      <c r="F30" s="363"/>
      <c r="G30" s="82"/>
      <c r="H30" s="82" t="s">
        <v>582</v>
      </c>
      <c r="I30" s="365">
        <v>1.0</v>
      </c>
      <c r="J30" s="367"/>
      <c r="K30" s="366">
        <v>1900000.0</v>
      </c>
      <c r="L30" s="366">
        <f t="shared" si="6"/>
        <v>1900000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6.5" customHeight="1">
      <c r="A31" s="1"/>
      <c r="B31" s="1"/>
      <c r="C31" s="1"/>
      <c r="D31" s="1"/>
      <c r="E31" s="1"/>
      <c r="F31" s="363"/>
      <c r="G31" s="82"/>
      <c r="H31" s="82" t="s">
        <v>583</v>
      </c>
      <c r="I31" s="365">
        <v>1.0</v>
      </c>
      <c r="J31" s="366">
        <v>500.0</v>
      </c>
      <c r="K31" s="367"/>
      <c r="L31" s="366">
        <f t="shared" si="6"/>
        <v>680000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6.5" customHeight="1">
      <c r="A32" s="1"/>
      <c r="B32" s="1"/>
      <c r="C32" s="1"/>
      <c r="D32" s="1"/>
      <c r="E32" s="1"/>
      <c r="F32" s="363"/>
      <c r="G32" s="82"/>
      <c r="H32" s="82" t="s">
        <v>430</v>
      </c>
      <c r="I32" s="365">
        <v>4.0</v>
      </c>
      <c r="J32" s="367"/>
      <c r="K32" s="366">
        <v>400000.0</v>
      </c>
      <c r="L32" s="366">
        <f t="shared" si="6"/>
        <v>1600000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6.5" customHeight="1">
      <c r="A33" s="1"/>
      <c r="B33" s="1"/>
      <c r="C33" s="1"/>
      <c r="D33" s="1"/>
      <c r="E33" s="1"/>
      <c r="F33" s="363"/>
      <c r="G33" s="82"/>
      <c r="H33" s="82" t="s">
        <v>587</v>
      </c>
      <c r="I33" s="365">
        <v>1.0</v>
      </c>
      <c r="J33" s="366">
        <v>3200.0</v>
      </c>
      <c r="K33" s="367"/>
      <c r="L33" s="366">
        <f t="shared" si="6"/>
        <v>4352000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6.5" customHeight="1">
      <c r="A34" s="1"/>
      <c r="B34" s="1"/>
      <c r="C34" s="1"/>
      <c r="D34" s="1"/>
      <c r="E34" s="1"/>
      <c r="F34" s="363"/>
      <c r="G34" s="82"/>
      <c r="H34" s="82" t="s">
        <v>128</v>
      </c>
      <c r="I34" s="365">
        <v>1.0</v>
      </c>
      <c r="J34" s="366">
        <v>50000.0</v>
      </c>
      <c r="K34" s="367"/>
      <c r="L34" s="366">
        <f t="shared" si="6"/>
        <v>68000000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6.5" customHeight="1">
      <c r="A35" s="1"/>
      <c r="B35" s="1"/>
      <c r="C35" s="1"/>
      <c r="D35" s="1"/>
      <c r="E35" s="1"/>
      <c r="F35" s="1"/>
      <c r="G35" s="369" t="s">
        <v>39</v>
      </c>
      <c r="H35" s="372"/>
      <c r="I35" s="372"/>
      <c r="J35" s="372"/>
      <c r="K35" s="372"/>
      <c r="L35" s="370">
        <f>SUM(L20:L34)</f>
        <v>336792000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0"/>
    <col customWidth="1" min="3" max="3" width="12.29"/>
    <col customWidth="1" min="4" max="4" width="7.43"/>
    <col customWidth="1" min="5" max="5" width="1.86"/>
    <col customWidth="1" min="6" max="6" width="20.29"/>
    <col customWidth="1" min="7" max="7" width="13.29"/>
    <col customWidth="1" min="8" max="9" width="10.71"/>
    <col customWidth="1" min="10" max="11" width="16.57"/>
    <col customWidth="1" min="12" max="12" width="10.29"/>
    <col customWidth="1" min="13" max="13" width="6.71"/>
    <col customWidth="1" min="14" max="14" width="37.29"/>
    <col customWidth="1" min="15" max="15" width="15.0"/>
    <col customWidth="1" min="16" max="17" width="14.14"/>
    <col customWidth="1" min="18" max="18" width="1.71"/>
    <col customWidth="1" min="19" max="23" width="10.71"/>
    <col customWidth="1" min="24" max="24" width="22.86"/>
    <col customWidth="1" min="25" max="33" width="10.71"/>
  </cols>
  <sheetData>
    <row r="1" ht="9.0" customHeight="1">
      <c r="A1" s="374"/>
      <c r="B1" s="158"/>
      <c r="C1" s="158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</row>
    <row r="2" ht="17.25" customHeight="1">
      <c r="A2" s="374"/>
      <c r="B2" s="157" t="s">
        <v>562</v>
      </c>
      <c r="C2" s="158"/>
      <c r="D2" s="374"/>
      <c r="E2" s="374"/>
      <c r="F2" s="157" t="s">
        <v>564</v>
      </c>
      <c r="G2" s="374"/>
      <c r="H2" s="374"/>
      <c r="I2" s="374"/>
      <c r="J2" s="374"/>
      <c r="K2" s="374"/>
      <c r="L2" s="374"/>
      <c r="M2" s="157" t="s">
        <v>565</v>
      </c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</row>
    <row r="3" ht="17.25" customHeight="1">
      <c r="A3" s="374"/>
      <c r="B3" s="375" t="s">
        <v>517</v>
      </c>
      <c r="C3" s="375" t="s">
        <v>518</v>
      </c>
      <c r="D3" s="376" t="s">
        <v>46</v>
      </c>
      <c r="E3" s="374"/>
      <c r="F3" s="375" t="s">
        <v>566</v>
      </c>
      <c r="G3" s="375" t="s">
        <v>567</v>
      </c>
      <c r="H3" s="376" t="s">
        <v>568</v>
      </c>
      <c r="I3" s="375" t="s">
        <v>401</v>
      </c>
      <c r="J3" s="376" t="s">
        <v>569</v>
      </c>
      <c r="K3" s="376" t="s">
        <v>570</v>
      </c>
      <c r="L3" s="374"/>
      <c r="M3" s="375" t="s">
        <v>97</v>
      </c>
      <c r="N3" s="375" t="s">
        <v>17</v>
      </c>
      <c r="O3" s="375" t="s">
        <v>573</v>
      </c>
      <c r="P3" s="375" t="s">
        <v>574</v>
      </c>
      <c r="Q3" s="376" t="s">
        <v>575</v>
      </c>
      <c r="R3" s="374"/>
      <c r="S3" s="375" t="s">
        <v>101</v>
      </c>
      <c r="T3" s="375" t="s">
        <v>576</v>
      </c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</row>
    <row r="4" ht="17.25" customHeight="1">
      <c r="A4" s="374"/>
      <c r="B4" s="189" t="s">
        <v>564</v>
      </c>
      <c r="C4" s="334">
        <f>$K$14/1000000</f>
        <v>1356.52032</v>
      </c>
      <c r="D4" s="377">
        <f t="shared" ref="D4:D6" si="1">C4/$C$7</f>
        <v>0.3917037592</v>
      </c>
      <c r="E4" s="374"/>
      <c r="F4" s="189" t="s">
        <v>52</v>
      </c>
      <c r="G4" s="334" t="s">
        <v>579</v>
      </c>
      <c r="H4" s="334" t="s">
        <v>580</v>
      </c>
      <c r="I4" s="334">
        <v>37.0</v>
      </c>
      <c r="J4" s="334">
        <v>1072000.0</v>
      </c>
      <c r="K4" s="334">
        <f t="shared" ref="K4:K13" si="2">I4*J4*12*1.24</f>
        <v>590200320</v>
      </c>
      <c r="L4" s="374"/>
      <c r="M4" s="332" t="s">
        <v>23</v>
      </c>
      <c r="N4" s="189" t="s">
        <v>160</v>
      </c>
      <c r="O4" s="334">
        <v>1775.67</v>
      </c>
      <c r="P4" s="334">
        <f>VLOOKUP(M4,Produccion!C:E,3,0)</f>
        <v>60000</v>
      </c>
      <c r="Q4" s="334">
        <f t="shared" ref="Q4:Q14" si="3">O4*P4</f>
        <v>106540200</v>
      </c>
      <c r="R4" s="374"/>
      <c r="S4" s="334">
        <f>VLOOKUP(M4,Produccion!C:G,5,0)</f>
        <v>9590</v>
      </c>
      <c r="T4" s="178">
        <f t="shared" ref="T4:T14" si="4">O4/S4</f>
        <v>0.1851584984</v>
      </c>
      <c r="U4" s="374"/>
      <c r="V4" s="374"/>
      <c r="W4" s="332" t="s">
        <v>484</v>
      </c>
      <c r="X4" s="334" t="s">
        <v>138</v>
      </c>
      <c r="Y4" s="334">
        <v>1775.67</v>
      </c>
      <c r="Z4" s="374"/>
      <c r="AA4" s="374"/>
      <c r="AB4" s="374"/>
      <c r="AC4" s="374"/>
      <c r="AD4" s="374"/>
      <c r="AE4" s="374"/>
      <c r="AF4" s="374"/>
      <c r="AG4" s="374"/>
    </row>
    <row r="5" ht="17.25" customHeight="1">
      <c r="A5" s="374"/>
      <c r="B5" s="189" t="s">
        <v>565</v>
      </c>
      <c r="C5" s="334">
        <f>Q15/1000000</f>
        <v>1067.669394</v>
      </c>
      <c r="D5" s="377">
        <f t="shared" si="1"/>
        <v>0.3082962408</v>
      </c>
      <c r="E5" s="374"/>
      <c r="F5" s="189" t="s">
        <v>584</v>
      </c>
      <c r="G5" s="334" t="s">
        <v>585</v>
      </c>
      <c r="H5" s="334" t="s">
        <v>586</v>
      </c>
      <c r="I5" s="334">
        <v>3.0</v>
      </c>
      <c r="J5" s="334">
        <v>2200000.0</v>
      </c>
      <c r="K5" s="334">
        <f t="shared" si="2"/>
        <v>98208000</v>
      </c>
      <c r="L5" s="374"/>
      <c r="M5" s="332" t="s">
        <v>24</v>
      </c>
      <c r="N5" s="338" t="s">
        <v>162</v>
      </c>
      <c r="O5" s="334">
        <f>1723</f>
        <v>1723</v>
      </c>
      <c r="P5" s="334">
        <f>VLOOKUP(M5,Produccion!C:E,3,0)</f>
        <v>7800</v>
      </c>
      <c r="Q5" s="334">
        <f t="shared" si="3"/>
        <v>13439400</v>
      </c>
      <c r="R5" s="374"/>
      <c r="S5" s="334">
        <f>VLOOKUP(M5,Produccion!C:G,5,0)</f>
        <v>9102</v>
      </c>
      <c r="T5" s="178">
        <f t="shared" si="4"/>
        <v>0.1892990552</v>
      </c>
      <c r="U5" s="374"/>
      <c r="V5" s="374"/>
      <c r="W5" s="332" t="s">
        <v>485</v>
      </c>
      <c r="X5" s="334" t="s">
        <v>588</v>
      </c>
      <c r="Y5" s="334">
        <v>1498.67</v>
      </c>
      <c r="Z5" s="374"/>
      <c r="AA5" s="374"/>
      <c r="AB5" s="374"/>
      <c r="AC5" s="374"/>
      <c r="AD5" s="374"/>
      <c r="AE5" s="374"/>
      <c r="AF5" s="374"/>
      <c r="AG5" s="374"/>
    </row>
    <row r="6" ht="17.25" customHeight="1">
      <c r="A6" s="374"/>
      <c r="B6" s="189" t="s">
        <v>589</v>
      </c>
      <c r="C6" s="334">
        <f>SUM(C4:C5)/0.7*0.3</f>
        <v>1038.938449</v>
      </c>
      <c r="D6" s="377">
        <f t="shared" si="1"/>
        <v>0.3</v>
      </c>
      <c r="E6" s="374"/>
      <c r="F6" s="189" t="s">
        <v>590</v>
      </c>
      <c r="G6" s="334" t="s">
        <v>585</v>
      </c>
      <c r="H6" s="334" t="s">
        <v>586</v>
      </c>
      <c r="I6" s="334">
        <v>4.0</v>
      </c>
      <c r="J6" s="334">
        <v>2200000.0</v>
      </c>
      <c r="K6" s="334">
        <f t="shared" si="2"/>
        <v>130944000</v>
      </c>
      <c r="L6" s="374"/>
      <c r="M6" s="332" t="s">
        <v>25</v>
      </c>
      <c r="N6" s="189" t="s">
        <v>166</v>
      </c>
      <c r="O6" s="334">
        <v>1498.67</v>
      </c>
      <c r="P6" s="334">
        <f>VLOOKUP(M6,Produccion!C:E,3,0)</f>
        <v>18200</v>
      </c>
      <c r="Q6" s="334">
        <f t="shared" si="3"/>
        <v>27275794</v>
      </c>
      <c r="R6" s="374"/>
      <c r="S6" s="334">
        <f>VLOOKUP(M6,Produccion!C:G,5,0)</f>
        <v>8127</v>
      </c>
      <c r="T6" s="178">
        <f t="shared" si="4"/>
        <v>0.1844063</v>
      </c>
      <c r="U6" s="374"/>
      <c r="V6" s="374"/>
      <c r="W6" s="332" t="s">
        <v>486</v>
      </c>
      <c r="X6" s="334" t="s">
        <v>140</v>
      </c>
      <c r="Y6" s="334">
        <v>2404.98</v>
      </c>
      <c r="Z6" s="374"/>
      <c r="AA6" s="374"/>
      <c r="AB6" s="374"/>
      <c r="AC6" s="374"/>
      <c r="AD6" s="374"/>
      <c r="AE6" s="374"/>
      <c r="AF6" s="374"/>
      <c r="AG6" s="374"/>
    </row>
    <row r="7" ht="17.25" customHeight="1">
      <c r="A7" s="374"/>
      <c r="B7" s="378" t="s">
        <v>39</v>
      </c>
      <c r="C7" s="342">
        <f t="shared" ref="C7:D7" si="5">SUM(C4:C6)</f>
        <v>3463.128163</v>
      </c>
      <c r="D7" s="379">
        <f t="shared" si="5"/>
        <v>1</v>
      </c>
      <c r="E7" s="374"/>
      <c r="F7" s="189" t="s">
        <v>52</v>
      </c>
      <c r="G7" s="334" t="s">
        <v>592</v>
      </c>
      <c r="H7" s="334" t="s">
        <v>580</v>
      </c>
      <c r="I7" s="334">
        <v>2.0</v>
      </c>
      <c r="J7" s="334">
        <v>2000000.0</v>
      </c>
      <c r="K7" s="334">
        <f t="shared" si="2"/>
        <v>59520000</v>
      </c>
      <c r="L7" s="374"/>
      <c r="M7" s="332" t="s">
        <v>26</v>
      </c>
      <c r="N7" s="189" t="s">
        <v>167</v>
      </c>
      <c r="O7" s="334">
        <v>2405.0</v>
      </c>
      <c r="P7" s="334">
        <f>VLOOKUP(M7,Produccion!C:E,3,0)</f>
        <v>56000</v>
      </c>
      <c r="Q7" s="334">
        <f t="shared" si="3"/>
        <v>134680000</v>
      </c>
      <c r="R7" s="374"/>
      <c r="S7" s="334">
        <f>VLOOKUP(M7,Produccion!C:G,5,0)</f>
        <v>7935</v>
      </c>
      <c r="T7" s="178">
        <f t="shared" si="4"/>
        <v>0.3030875866</v>
      </c>
      <c r="U7" s="374"/>
      <c r="V7" s="374"/>
      <c r="W7" s="332" t="s">
        <v>487</v>
      </c>
      <c r="X7" s="334" t="s">
        <v>593</v>
      </c>
      <c r="Y7" s="334">
        <v>974.85</v>
      </c>
      <c r="Z7" s="374"/>
      <c r="AA7" s="374"/>
      <c r="AB7" s="374"/>
      <c r="AC7" s="374"/>
      <c r="AD7" s="374"/>
      <c r="AE7" s="374"/>
      <c r="AF7" s="374"/>
      <c r="AG7" s="374"/>
    </row>
    <row r="8" ht="17.25" customHeight="1">
      <c r="A8" s="374"/>
      <c r="B8" s="374"/>
      <c r="C8" s="374"/>
      <c r="D8" s="374"/>
      <c r="E8" s="374"/>
      <c r="F8" s="189" t="s">
        <v>52</v>
      </c>
      <c r="G8" s="334" t="s">
        <v>594</v>
      </c>
      <c r="H8" s="334" t="s">
        <v>580</v>
      </c>
      <c r="I8" s="334">
        <v>4.0</v>
      </c>
      <c r="J8" s="334">
        <v>2500000.0</v>
      </c>
      <c r="K8" s="334">
        <f t="shared" si="2"/>
        <v>148800000</v>
      </c>
      <c r="L8" s="374"/>
      <c r="M8" s="332" t="s">
        <v>28</v>
      </c>
      <c r="N8" s="338" t="s">
        <v>169</v>
      </c>
      <c r="O8" s="334">
        <v>975.0</v>
      </c>
      <c r="P8" s="334">
        <f>VLOOKUP(M8,Produccion!C:E,3,0)</f>
        <v>7800</v>
      </c>
      <c r="Q8" s="334">
        <f t="shared" si="3"/>
        <v>7605000</v>
      </c>
      <c r="R8" s="374"/>
      <c r="S8" s="334">
        <f>VLOOKUP(M8,Produccion!C:G,5,0)</f>
        <v>7989</v>
      </c>
      <c r="T8" s="178">
        <f t="shared" si="4"/>
        <v>0.1220428089</v>
      </c>
      <c r="U8" s="374"/>
      <c r="V8" s="374"/>
      <c r="W8" s="332" t="s">
        <v>488</v>
      </c>
      <c r="X8" s="334" t="s">
        <v>112</v>
      </c>
      <c r="Y8" s="334">
        <v>1958.97</v>
      </c>
      <c r="Z8" s="374"/>
      <c r="AA8" s="374"/>
      <c r="AB8" s="374"/>
      <c r="AC8" s="374"/>
      <c r="AD8" s="374"/>
      <c r="AE8" s="374"/>
      <c r="AF8" s="374"/>
      <c r="AG8" s="374"/>
    </row>
    <row r="9" ht="17.25" customHeight="1">
      <c r="A9" s="374"/>
      <c r="B9" s="158"/>
      <c r="C9" s="158"/>
      <c r="D9" s="374"/>
      <c r="E9" s="374"/>
      <c r="F9" s="189" t="s">
        <v>590</v>
      </c>
      <c r="G9" s="334" t="s">
        <v>595</v>
      </c>
      <c r="H9" s="334" t="s">
        <v>586</v>
      </c>
      <c r="I9" s="334">
        <v>1.0</v>
      </c>
      <c r="J9" s="334">
        <v>3400000.0</v>
      </c>
      <c r="K9" s="334">
        <f t="shared" si="2"/>
        <v>50592000</v>
      </c>
      <c r="L9" s="374"/>
      <c r="M9" s="332" t="s">
        <v>29</v>
      </c>
      <c r="N9" s="189" t="s">
        <v>170</v>
      </c>
      <c r="O9" s="334">
        <v>975.0</v>
      </c>
      <c r="P9" s="334">
        <f>VLOOKUP(M9,Produccion!C:E,3,0)</f>
        <v>18200</v>
      </c>
      <c r="Q9" s="334">
        <f t="shared" si="3"/>
        <v>17745000</v>
      </c>
      <c r="R9" s="374"/>
      <c r="S9" s="334">
        <f>VLOOKUP(M9,Produccion!C:G,5,0)</f>
        <v>7989</v>
      </c>
      <c r="T9" s="178">
        <f t="shared" si="4"/>
        <v>0.1220428089</v>
      </c>
      <c r="U9" s="374"/>
      <c r="V9" s="374"/>
      <c r="W9" s="332" t="s">
        <v>493</v>
      </c>
      <c r="X9" s="334" t="s">
        <v>142</v>
      </c>
      <c r="Y9" s="334">
        <v>3034.2</v>
      </c>
      <c r="Z9" s="374"/>
      <c r="AA9" s="374"/>
      <c r="AB9" s="374"/>
      <c r="AC9" s="374"/>
      <c r="AD9" s="374"/>
      <c r="AE9" s="374"/>
      <c r="AF9" s="374"/>
      <c r="AG9" s="374"/>
    </row>
    <row r="10" ht="17.25" customHeight="1">
      <c r="A10" s="374"/>
      <c r="B10" s="158"/>
      <c r="C10" s="325"/>
      <c r="D10" s="374"/>
      <c r="E10" s="374"/>
      <c r="F10" s="189" t="s">
        <v>584</v>
      </c>
      <c r="G10" s="334" t="s">
        <v>595</v>
      </c>
      <c r="H10" s="334" t="s">
        <v>586</v>
      </c>
      <c r="I10" s="334">
        <v>1.0</v>
      </c>
      <c r="J10" s="334">
        <v>3400000.0</v>
      </c>
      <c r="K10" s="334">
        <f t="shared" si="2"/>
        <v>50592000</v>
      </c>
      <c r="L10" s="374"/>
      <c r="M10" s="332" t="s">
        <v>30</v>
      </c>
      <c r="N10" s="338" t="s">
        <v>172</v>
      </c>
      <c r="O10" s="334">
        <v>2253.0</v>
      </c>
      <c r="P10" s="334">
        <f>VLOOKUP(M10,Produccion!C:E,3,0)</f>
        <v>13500</v>
      </c>
      <c r="Q10" s="334">
        <f t="shared" si="3"/>
        <v>30415500</v>
      </c>
      <c r="R10" s="374"/>
      <c r="S10" s="334">
        <f>VLOOKUP(M10,Produccion!C:G,5,0)</f>
        <v>8948</v>
      </c>
      <c r="T10" s="178">
        <f t="shared" si="4"/>
        <v>0.2517881091</v>
      </c>
      <c r="U10" s="374"/>
      <c r="V10" s="374"/>
      <c r="W10" s="332" t="s">
        <v>494</v>
      </c>
      <c r="X10" s="334" t="s">
        <v>145</v>
      </c>
      <c r="Y10" s="334">
        <v>3798.74</v>
      </c>
      <c r="Z10" s="374"/>
      <c r="AA10" s="374"/>
      <c r="AB10" s="374"/>
      <c r="AC10" s="374"/>
      <c r="AD10" s="374"/>
      <c r="AE10" s="374"/>
      <c r="AF10" s="374"/>
      <c r="AG10" s="374"/>
    </row>
    <row r="11" ht="17.25" customHeight="1">
      <c r="A11" s="374"/>
      <c r="B11" s="158"/>
      <c r="C11" s="158"/>
      <c r="D11" s="374"/>
      <c r="E11" s="374"/>
      <c r="F11" s="189" t="s">
        <v>52</v>
      </c>
      <c r="G11" s="334" t="s">
        <v>595</v>
      </c>
      <c r="H11" s="334" t="s">
        <v>580</v>
      </c>
      <c r="I11" s="334">
        <v>1.0</v>
      </c>
      <c r="J11" s="334">
        <v>3400000.0</v>
      </c>
      <c r="K11" s="334">
        <f t="shared" si="2"/>
        <v>50592000</v>
      </c>
      <c r="L11" s="374"/>
      <c r="M11" s="332" t="s">
        <v>31</v>
      </c>
      <c r="N11" s="189" t="s">
        <v>175</v>
      </c>
      <c r="O11" s="334">
        <v>1959.0</v>
      </c>
      <c r="P11" s="334">
        <f>VLOOKUP(M11,Produccion!C:E,3,0)</f>
        <v>31500</v>
      </c>
      <c r="Q11" s="334">
        <f t="shared" si="3"/>
        <v>61708500</v>
      </c>
      <c r="R11" s="374"/>
      <c r="S11" s="334">
        <f>VLOOKUP(M11,Produccion!C:G,5,0)</f>
        <v>7989</v>
      </c>
      <c r="T11" s="178">
        <f t="shared" si="4"/>
        <v>0.2452121667</v>
      </c>
      <c r="U11" s="374"/>
      <c r="V11" s="374"/>
      <c r="W11" s="332" t="s">
        <v>495</v>
      </c>
      <c r="X11" s="334" t="s">
        <v>145</v>
      </c>
      <c r="Y11" s="334">
        <v>3798.74</v>
      </c>
      <c r="Z11" s="374"/>
      <c r="AA11" s="374"/>
      <c r="AB11" s="374"/>
      <c r="AC11" s="374"/>
      <c r="AD11" s="374"/>
      <c r="AE11" s="374"/>
      <c r="AF11" s="374"/>
      <c r="AG11" s="374"/>
    </row>
    <row r="12" ht="17.25" customHeight="1">
      <c r="A12" s="374"/>
      <c r="B12" s="158"/>
      <c r="C12" s="325"/>
      <c r="D12" s="374"/>
      <c r="E12" s="374"/>
      <c r="F12" s="189" t="s">
        <v>596</v>
      </c>
      <c r="G12" s="334" t="s">
        <v>595</v>
      </c>
      <c r="H12" s="334" t="s">
        <v>586</v>
      </c>
      <c r="I12" s="334">
        <v>1.0</v>
      </c>
      <c r="J12" s="334">
        <v>3400000.0</v>
      </c>
      <c r="K12" s="334">
        <f t="shared" si="2"/>
        <v>50592000</v>
      </c>
      <c r="L12" s="374"/>
      <c r="M12" s="332" t="s">
        <v>33</v>
      </c>
      <c r="N12" s="189" t="s">
        <v>176</v>
      </c>
      <c r="O12" s="334">
        <v>3034.0</v>
      </c>
      <c r="P12" s="334">
        <f>VLOOKUP(M12,Produccion!C:E,3,0)</f>
        <v>70000</v>
      </c>
      <c r="Q12" s="334">
        <f t="shared" si="3"/>
        <v>212380000</v>
      </c>
      <c r="R12" s="374"/>
      <c r="S12" s="334">
        <f>VLOOKUP(M12,Produccion!C:G,5,0)</f>
        <v>9000</v>
      </c>
      <c r="T12" s="178">
        <f t="shared" si="4"/>
        <v>0.3371111111</v>
      </c>
      <c r="U12" s="374"/>
      <c r="V12" s="374"/>
      <c r="W12" s="374"/>
      <c r="X12" s="374"/>
      <c r="Y12" s="374"/>
      <c r="Z12" s="374"/>
      <c r="AA12" s="374"/>
      <c r="AB12" s="374"/>
      <c r="AC12" s="374"/>
      <c r="AD12" s="374"/>
      <c r="AE12" s="374"/>
      <c r="AF12" s="374"/>
      <c r="AG12" s="374"/>
    </row>
    <row r="13" ht="17.25" customHeight="1">
      <c r="A13" s="374"/>
      <c r="B13" s="158"/>
      <c r="C13" s="158"/>
      <c r="D13" s="374"/>
      <c r="E13" s="374"/>
      <c r="F13" s="189" t="s">
        <v>597</v>
      </c>
      <c r="G13" s="334" t="s">
        <v>598</v>
      </c>
      <c r="H13" s="334" t="s">
        <v>586</v>
      </c>
      <c r="I13" s="334">
        <v>1.0</v>
      </c>
      <c r="J13" s="334">
        <v>8500000.0</v>
      </c>
      <c r="K13" s="334">
        <f t="shared" si="2"/>
        <v>126480000</v>
      </c>
      <c r="L13" s="374"/>
      <c r="M13" s="332" t="s">
        <v>34</v>
      </c>
      <c r="N13" s="189" t="s">
        <v>313</v>
      </c>
      <c r="O13" s="334">
        <v>3799.0</v>
      </c>
      <c r="P13" s="334">
        <f>VLOOKUP(M13,Produccion!C:E,3,0)</f>
        <v>84000</v>
      </c>
      <c r="Q13" s="334">
        <f t="shared" si="3"/>
        <v>319116000</v>
      </c>
      <c r="R13" s="374"/>
      <c r="S13" s="334">
        <f>VLOOKUP(M13,Produccion!C:G,5,0)</f>
        <v>11296</v>
      </c>
      <c r="T13" s="178">
        <f t="shared" si="4"/>
        <v>0.3363137394</v>
      </c>
      <c r="U13" s="374"/>
      <c r="V13" s="374"/>
      <c r="W13" s="374"/>
      <c r="X13" s="374"/>
      <c r="Y13" s="374"/>
      <c r="Z13" s="374"/>
      <c r="AA13" s="374"/>
      <c r="AB13" s="374"/>
      <c r="AC13" s="374"/>
      <c r="AD13" s="374"/>
      <c r="AE13" s="374"/>
      <c r="AF13" s="374"/>
      <c r="AG13" s="374"/>
    </row>
    <row r="14" ht="17.25" customHeight="1">
      <c r="A14" s="374"/>
      <c r="B14" s="158"/>
      <c r="C14" s="158"/>
      <c r="D14" s="374"/>
      <c r="E14" s="374"/>
      <c r="F14" s="378" t="s">
        <v>39</v>
      </c>
      <c r="G14" s="342"/>
      <c r="H14" s="342"/>
      <c r="I14" s="342">
        <f t="shared" ref="I14:K14" si="6">SUM(I4:I13)</f>
        <v>55</v>
      </c>
      <c r="J14" s="342">
        <f t="shared" si="6"/>
        <v>32072000</v>
      </c>
      <c r="K14" s="342">
        <f t="shared" si="6"/>
        <v>1356520320</v>
      </c>
      <c r="L14" s="374"/>
      <c r="M14" s="332" t="s">
        <v>35</v>
      </c>
      <c r="N14" s="189" t="s">
        <v>318</v>
      </c>
      <c r="O14" s="334">
        <v>3799.0</v>
      </c>
      <c r="P14" s="334">
        <f>VLOOKUP(M14,Produccion!C:E,3,0)</f>
        <v>36000</v>
      </c>
      <c r="Q14" s="334">
        <f t="shared" si="3"/>
        <v>136764000</v>
      </c>
      <c r="R14" s="374"/>
      <c r="S14" s="334">
        <f>VLOOKUP(M14,Produccion!C:G,5,0)</f>
        <v>11296</v>
      </c>
      <c r="T14" s="178">
        <f t="shared" si="4"/>
        <v>0.3363137394</v>
      </c>
      <c r="U14" s="374"/>
      <c r="V14" s="374"/>
      <c r="W14" s="374"/>
      <c r="X14" s="374"/>
      <c r="Y14" s="374"/>
      <c r="Z14" s="374"/>
      <c r="AA14" s="374"/>
      <c r="AB14" s="374"/>
      <c r="AC14" s="374"/>
      <c r="AD14" s="374"/>
      <c r="AE14" s="374"/>
      <c r="AF14" s="374"/>
      <c r="AG14" s="374"/>
    </row>
    <row r="15" ht="17.25" customHeight="1">
      <c r="A15" s="374"/>
      <c r="B15" s="158"/>
      <c r="C15" s="158"/>
      <c r="D15" s="374"/>
      <c r="E15" s="374"/>
      <c r="F15" s="154"/>
      <c r="G15" s="154"/>
      <c r="H15" s="154"/>
      <c r="I15" s="154"/>
      <c r="J15" s="154"/>
      <c r="K15" s="154"/>
      <c r="L15" s="374"/>
      <c r="M15" s="378" t="s">
        <v>39</v>
      </c>
      <c r="N15" s="342"/>
      <c r="O15" s="342"/>
      <c r="P15" s="342"/>
      <c r="Q15" s="342">
        <f>SUM(Q4:Q14)</f>
        <v>1067669394</v>
      </c>
      <c r="R15" s="374"/>
      <c r="S15" s="374"/>
      <c r="T15" s="374"/>
      <c r="U15" s="374"/>
      <c r="V15" s="374"/>
      <c r="W15" s="374"/>
      <c r="X15" s="374"/>
      <c r="Y15" s="374"/>
      <c r="Z15" s="374"/>
      <c r="AA15" s="374"/>
      <c r="AB15" s="374"/>
      <c r="AC15" s="374"/>
      <c r="AD15" s="374"/>
      <c r="AE15" s="374"/>
      <c r="AF15" s="374"/>
      <c r="AG15" s="374"/>
    </row>
    <row r="16" ht="17.25" customHeight="1">
      <c r="A16" s="374"/>
      <c r="B16" s="158"/>
      <c r="C16" s="158"/>
      <c r="D16" s="374"/>
      <c r="E16" s="374"/>
      <c r="F16" s="154"/>
      <c r="G16" s="154"/>
      <c r="H16" s="154"/>
      <c r="I16" s="154"/>
      <c r="J16" s="154"/>
      <c r="K16" s="15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374"/>
      <c r="Z16" s="374"/>
      <c r="AA16" s="374"/>
      <c r="AB16" s="374"/>
      <c r="AC16" s="374"/>
      <c r="AD16" s="374"/>
      <c r="AE16" s="374"/>
      <c r="AF16" s="374"/>
      <c r="AG16" s="374"/>
    </row>
    <row r="17" ht="17.25" customHeight="1">
      <c r="A17" s="374"/>
      <c r="B17" s="158"/>
      <c r="C17" s="158"/>
      <c r="D17" s="374"/>
      <c r="E17" s="374"/>
      <c r="F17" s="157" t="s">
        <v>599</v>
      </c>
      <c r="G17" s="158"/>
      <c r="H17" s="374"/>
      <c r="I17" s="374"/>
      <c r="J17" s="374"/>
      <c r="K17" s="374"/>
      <c r="L17" s="374"/>
      <c r="M17" s="154"/>
      <c r="N17" s="154"/>
      <c r="O17" s="154"/>
      <c r="P17" s="154"/>
      <c r="Q17" s="154"/>
      <c r="R17" s="374"/>
      <c r="S17" s="374"/>
      <c r="T17" s="374"/>
      <c r="U17" s="374"/>
      <c r="V17" s="374"/>
      <c r="W17" s="374"/>
      <c r="X17" s="374"/>
      <c r="Y17" s="374"/>
      <c r="Z17" s="374"/>
      <c r="AA17" s="374"/>
      <c r="AB17" s="374"/>
      <c r="AC17" s="374"/>
      <c r="AD17" s="374"/>
      <c r="AE17" s="374"/>
      <c r="AF17" s="374"/>
      <c r="AG17" s="374"/>
    </row>
    <row r="18" ht="17.25" customHeight="1">
      <c r="A18" s="374"/>
      <c r="B18" s="158"/>
      <c r="C18" s="158"/>
      <c r="D18" s="374"/>
      <c r="E18" s="374"/>
      <c r="F18" s="375" t="s">
        <v>517</v>
      </c>
      <c r="G18" s="375" t="s">
        <v>518</v>
      </c>
      <c r="H18" s="376" t="s">
        <v>46</v>
      </c>
      <c r="I18" s="374"/>
      <c r="J18" s="374"/>
      <c r="K18" s="374"/>
      <c r="L18" s="374"/>
      <c r="M18" s="374"/>
      <c r="N18" s="374"/>
      <c r="O18" s="374"/>
      <c r="P18" s="374"/>
      <c r="Q18" s="374"/>
      <c r="R18" s="374"/>
      <c r="S18" s="374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/>
      <c r="AG18" s="374"/>
    </row>
    <row r="19" ht="17.25" customHeight="1">
      <c r="A19" s="374"/>
      <c r="B19" s="158"/>
      <c r="C19" s="158"/>
      <c r="D19" s="374"/>
      <c r="E19" s="374"/>
      <c r="F19" s="189" t="s">
        <v>600</v>
      </c>
      <c r="G19" s="334">
        <f>SUMIF(H4:H13,"Directo",J4:J13)</f>
        <v>8972000</v>
      </c>
      <c r="H19" s="377">
        <f t="shared" ref="H19:H20" si="7">G19/$G$21</f>
        <v>0.2797455725</v>
      </c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</row>
    <row r="20" ht="17.25" customHeight="1">
      <c r="A20" s="374"/>
      <c r="B20" s="158"/>
      <c r="C20" s="158"/>
      <c r="D20" s="374"/>
      <c r="E20" s="374"/>
      <c r="F20" s="189" t="s">
        <v>601</v>
      </c>
      <c r="G20" s="334">
        <f>SUMIF(H4:H13,"Indirecto",J4:J13)</f>
        <v>23100000</v>
      </c>
      <c r="H20" s="377">
        <f t="shared" si="7"/>
        <v>0.7202544275</v>
      </c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  <c r="T20" s="374"/>
      <c r="U20" s="374"/>
      <c r="V20" s="374"/>
      <c r="W20" s="374"/>
      <c r="X20" s="374"/>
      <c r="Y20" s="374"/>
      <c r="Z20" s="374"/>
      <c r="AA20" s="374"/>
      <c r="AB20" s="374"/>
      <c r="AC20" s="374"/>
      <c r="AD20" s="374"/>
      <c r="AE20" s="374"/>
      <c r="AF20" s="374"/>
      <c r="AG20" s="374"/>
    </row>
    <row r="21" ht="17.25" customHeight="1">
      <c r="A21" s="374"/>
      <c r="B21" s="158"/>
      <c r="C21" s="158"/>
      <c r="D21" s="374"/>
      <c r="E21" s="374"/>
      <c r="F21" s="378" t="s">
        <v>39</v>
      </c>
      <c r="G21" s="342">
        <f t="shared" ref="G21:H21" si="8">SUM(G19:G20)</f>
        <v>32072000</v>
      </c>
      <c r="H21" s="379">
        <f t="shared" si="8"/>
        <v>1</v>
      </c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  <c r="T21" s="374"/>
      <c r="U21" s="374"/>
      <c r="V21" s="374"/>
      <c r="W21" s="374"/>
      <c r="X21" s="374"/>
      <c r="Y21" s="374"/>
      <c r="Z21" s="374"/>
      <c r="AA21" s="374"/>
      <c r="AB21" s="374"/>
      <c r="AC21" s="374"/>
      <c r="AD21" s="374"/>
      <c r="AE21" s="374"/>
      <c r="AF21" s="374"/>
      <c r="AG21" s="374"/>
    </row>
    <row r="22" ht="17.25" customHeight="1">
      <c r="A22" s="374"/>
      <c r="B22" s="158"/>
      <c r="C22" s="158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  <c r="AA22" s="374"/>
      <c r="AB22" s="374"/>
      <c r="AC22" s="374"/>
      <c r="AD22" s="374"/>
      <c r="AE22" s="374"/>
      <c r="AF22" s="374"/>
      <c r="AG22" s="374"/>
    </row>
    <row r="23" ht="17.25" customHeight="1">
      <c r="A23" s="374"/>
      <c r="B23" s="158"/>
      <c r="C23" s="158"/>
      <c r="D23" s="374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4"/>
      <c r="W23" s="374"/>
      <c r="X23" s="374"/>
      <c r="Y23" s="374"/>
      <c r="Z23" s="374"/>
      <c r="AA23" s="374"/>
      <c r="AB23" s="374"/>
      <c r="AC23" s="374"/>
      <c r="AD23" s="374"/>
      <c r="AE23" s="374"/>
      <c r="AF23" s="374"/>
      <c r="AG23" s="374"/>
    </row>
    <row r="24" ht="17.25" customHeight="1">
      <c r="A24" s="374"/>
      <c r="B24" s="374"/>
      <c r="C24" s="374"/>
      <c r="D24" s="374"/>
      <c r="E24" s="374"/>
      <c r="F24" s="374"/>
      <c r="G24" s="374"/>
      <c r="H24" s="374"/>
      <c r="I24" s="374"/>
      <c r="J24" s="374"/>
      <c r="K24" s="374"/>
      <c r="L24" s="374"/>
      <c r="M24" s="374"/>
      <c r="N24" s="374"/>
      <c r="O24" s="374"/>
      <c r="P24" s="374"/>
      <c r="Q24" s="374"/>
      <c r="R24" s="374"/>
      <c r="S24" s="374"/>
      <c r="T24" s="374"/>
      <c r="U24" s="374"/>
      <c r="V24" s="374"/>
      <c r="W24" s="374"/>
      <c r="X24" s="374"/>
      <c r="Y24" s="374"/>
      <c r="Z24" s="374"/>
      <c r="AA24" s="374"/>
      <c r="AB24" s="374"/>
      <c r="AC24" s="374"/>
      <c r="AD24" s="374"/>
      <c r="AE24" s="374"/>
      <c r="AF24" s="374"/>
      <c r="AG24" s="374"/>
    </row>
    <row r="25" ht="17.25" customHeight="1">
      <c r="A25" s="374"/>
      <c r="B25" s="374"/>
      <c r="C25" s="374"/>
      <c r="D25" s="374"/>
      <c r="E25" s="374"/>
      <c r="F25" s="374"/>
      <c r="G25" s="374"/>
      <c r="H25" s="374"/>
      <c r="I25" s="374"/>
      <c r="J25" s="374"/>
      <c r="K25" s="374"/>
      <c r="L25" s="374"/>
      <c r="M25" s="374"/>
      <c r="N25" s="374"/>
      <c r="O25" s="374"/>
      <c r="P25" s="374"/>
      <c r="Q25" s="374"/>
      <c r="R25" s="374"/>
      <c r="S25" s="374"/>
      <c r="T25" s="374"/>
      <c r="U25" s="374"/>
      <c r="V25" s="374"/>
      <c r="W25" s="374"/>
      <c r="X25" s="374"/>
      <c r="Y25" s="374"/>
      <c r="Z25" s="374"/>
      <c r="AA25" s="374"/>
      <c r="AB25" s="374"/>
      <c r="AC25" s="374"/>
      <c r="AD25" s="374"/>
      <c r="AE25" s="374"/>
      <c r="AF25" s="374"/>
      <c r="AG25" s="374"/>
    </row>
    <row r="26" ht="17.25" customHeight="1">
      <c r="A26" s="374"/>
      <c r="B26" s="374"/>
      <c r="C26" s="374"/>
      <c r="D26" s="374"/>
      <c r="E26" s="374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4"/>
      <c r="U26" s="374"/>
      <c r="V26" s="374"/>
      <c r="W26" s="374"/>
      <c r="X26" s="374"/>
      <c r="Y26" s="374"/>
      <c r="Z26" s="374"/>
      <c r="AA26" s="374"/>
      <c r="AB26" s="374"/>
      <c r="AC26" s="374"/>
      <c r="AD26" s="374"/>
      <c r="AE26" s="374"/>
      <c r="AF26" s="374"/>
      <c r="AG26" s="374"/>
    </row>
    <row r="27" ht="17.25" customHeight="1">
      <c r="A27" s="374"/>
      <c r="B27" s="374"/>
      <c r="C27" s="374"/>
      <c r="D27" s="374"/>
      <c r="E27" s="374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374"/>
      <c r="Z27" s="374"/>
      <c r="AA27" s="374"/>
      <c r="AB27" s="374"/>
      <c r="AC27" s="374"/>
      <c r="AD27" s="374"/>
      <c r="AE27" s="374"/>
      <c r="AF27" s="374"/>
      <c r="AG27" s="374"/>
    </row>
    <row r="28" ht="17.25" customHeight="1">
      <c r="A28" s="374"/>
      <c r="B28" s="374"/>
      <c r="C28" s="374"/>
      <c r="D28" s="374"/>
      <c r="E28" s="374"/>
      <c r="F28" s="374"/>
      <c r="G28" s="374"/>
      <c r="H28" s="374"/>
      <c r="I28" s="374"/>
      <c r="J28" s="374"/>
      <c r="K28" s="374"/>
      <c r="L28" s="374"/>
      <c r="M28" s="374"/>
      <c r="N28" s="374"/>
      <c r="O28" s="374"/>
      <c r="P28" s="374"/>
      <c r="Q28" s="374"/>
      <c r="R28" s="374"/>
      <c r="S28" s="374"/>
      <c r="T28" s="374"/>
      <c r="U28" s="374"/>
      <c r="V28" s="374"/>
      <c r="W28" s="374"/>
      <c r="X28" s="374"/>
      <c r="Y28" s="374"/>
      <c r="Z28" s="374"/>
      <c r="AA28" s="374"/>
      <c r="AB28" s="374"/>
      <c r="AC28" s="374"/>
      <c r="AD28" s="374"/>
      <c r="AE28" s="374"/>
      <c r="AF28" s="374"/>
      <c r="AG28" s="374"/>
    </row>
    <row r="29" ht="17.25" customHeight="1">
      <c r="A29" s="374"/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  <c r="P29" s="374"/>
      <c r="Q29" s="374"/>
      <c r="R29" s="374"/>
      <c r="S29" s="374"/>
      <c r="T29" s="374"/>
      <c r="U29" s="374"/>
      <c r="V29" s="374"/>
      <c r="W29" s="374"/>
      <c r="X29" s="374"/>
      <c r="Y29" s="374"/>
      <c r="Z29" s="374"/>
      <c r="AA29" s="374"/>
      <c r="AB29" s="374"/>
      <c r="AC29" s="374"/>
      <c r="AD29" s="374"/>
      <c r="AE29" s="374"/>
      <c r="AF29" s="374"/>
      <c r="AG29" s="374"/>
    </row>
    <row r="30" ht="17.25" customHeight="1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4"/>
      <c r="P30" s="374"/>
      <c r="Q30" s="374"/>
      <c r="R30" s="374"/>
      <c r="S30" s="374"/>
      <c r="T30" s="374"/>
      <c r="U30" s="374"/>
      <c r="V30" s="374"/>
      <c r="W30" s="374"/>
      <c r="X30" s="374"/>
      <c r="Y30" s="374"/>
      <c r="Z30" s="374"/>
      <c r="AA30" s="374"/>
      <c r="AB30" s="374"/>
      <c r="AC30" s="374"/>
      <c r="AD30" s="374"/>
      <c r="AE30" s="374"/>
      <c r="AF30" s="374"/>
      <c r="AG30" s="374"/>
    </row>
    <row r="31" ht="17.25" customHeight="1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4"/>
      <c r="P31" s="374"/>
      <c r="Q31" s="374"/>
      <c r="R31" s="374"/>
      <c r="S31" s="374"/>
      <c r="T31" s="374"/>
      <c r="U31" s="374"/>
      <c r="V31" s="374"/>
      <c r="W31" s="374"/>
      <c r="X31" s="374"/>
      <c r="Y31" s="374"/>
      <c r="Z31" s="374"/>
      <c r="AA31" s="374"/>
      <c r="AB31" s="374"/>
      <c r="AC31" s="374"/>
      <c r="AD31" s="374"/>
      <c r="AE31" s="374"/>
      <c r="AF31" s="374"/>
      <c r="AG31" s="374"/>
    </row>
    <row r="32" ht="17.25" customHeight="1">
      <c r="A32" s="374"/>
      <c r="B32" s="374"/>
      <c r="C32" s="374"/>
      <c r="D32" s="374"/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4"/>
      <c r="P32" s="374"/>
      <c r="Q32" s="374"/>
      <c r="R32" s="374"/>
      <c r="S32" s="374"/>
      <c r="T32" s="374"/>
      <c r="U32" s="374"/>
      <c r="V32" s="374"/>
      <c r="W32" s="374"/>
      <c r="X32" s="374"/>
      <c r="Y32" s="374"/>
      <c r="Z32" s="374"/>
      <c r="AA32" s="374"/>
      <c r="AB32" s="374"/>
      <c r="AC32" s="374"/>
      <c r="AD32" s="374"/>
      <c r="AE32" s="374"/>
      <c r="AF32" s="374"/>
      <c r="AG32" s="374"/>
    </row>
    <row r="33" ht="17.25" customHeight="1">
      <c r="A33" s="374"/>
      <c r="B33" s="374"/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74"/>
      <c r="N33" s="374"/>
      <c r="O33" s="374"/>
      <c r="P33" s="374"/>
      <c r="Q33" s="374"/>
      <c r="R33" s="374"/>
      <c r="S33" s="374"/>
      <c r="T33" s="374"/>
      <c r="U33" s="374"/>
      <c r="V33" s="374"/>
      <c r="W33" s="374"/>
      <c r="X33" s="374"/>
      <c r="Y33" s="374"/>
      <c r="Z33" s="374"/>
      <c r="AA33" s="374"/>
      <c r="AB33" s="374"/>
      <c r="AC33" s="374"/>
      <c r="AD33" s="374"/>
      <c r="AE33" s="374"/>
      <c r="AF33" s="374"/>
      <c r="AG33" s="374"/>
    </row>
    <row r="34" ht="17.25" customHeight="1">
      <c r="A34" s="374"/>
      <c r="B34" s="374"/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  <c r="AF34" s="374"/>
      <c r="AG34" s="374"/>
    </row>
    <row r="35" ht="17.25" customHeight="1">
      <c r="A35" s="374"/>
      <c r="B35" s="374"/>
      <c r="C35" s="374"/>
      <c r="D35" s="374"/>
      <c r="E35" s="374"/>
      <c r="F35" s="374"/>
      <c r="G35" s="374"/>
      <c r="H35" s="374"/>
      <c r="I35" s="374"/>
      <c r="J35" s="374"/>
      <c r="K35" s="374"/>
      <c r="L35" s="374"/>
      <c r="M35" s="374"/>
      <c r="N35" s="374"/>
      <c r="O35" s="374"/>
      <c r="P35" s="374"/>
      <c r="Q35" s="374"/>
      <c r="R35" s="374"/>
      <c r="S35" s="374"/>
      <c r="T35" s="374"/>
      <c r="U35" s="374"/>
      <c r="V35" s="374"/>
      <c r="W35" s="374"/>
      <c r="X35" s="374"/>
      <c r="Y35" s="374"/>
      <c r="Z35" s="374"/>
      <c r="AA35" s="374"/>
      <c r="AB35" s="374"/>
      <c r="AC35" s="374"/>
      <c r="AD35" s="374"/>
      <c r="AE35" s="374"/>
      <c r="AF35" s="374"/>
      <c r="AG35" s="374"/>
    </row>
    <row r="36" ht="17.25" customHeight="1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4"/>
      <c r="U36" s="374"/>
      <c r="V36" s="374"/>
      <c r="W36" s="374"/>
      <c r="X36" s="374"/>
      <c r="Y36" s="374"/>
      <c r="Z36" s="374"/>
      <c r="AA36" s="374"/>
      <c r="AB36" s="374"/>
      <c r="AC36" s="374"/>
      <c r="AD36" s="374"/>
      <c r="AE36" s="374"/>
      <c r="AF36" s="374"/>
      <c r="AG36" s="374"/>
    </row>
    <row r="37" ht="17.25" customHeight="1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4"/>
      <c r="U37" s="374"/>
      <c r="V37" s="374"/>
      <c r="W37" s="374"/>
      <c r="X37" s="374"/>
      <c r="Y37" s="374"/>
      <c r="Z37" s="374"/>
      <c r="AA37" s="374"/>
      <c r="AB37" s="374"/>
      <c r="AC37" s="374"/>
      <c r="AD37" s="374"/>
      <c r="AE37" s="374"/>
      <c r="AF37" s="374"/>
      <c r="AG37" s="374"/>
    </row>
    <row r="38" ht="17.25" customHeight="1">
      <c r="A38" s="374"/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4"/>
      <c r="U38" s="374"/>
      <c r="V38" s="374"/>
      <c r="W38" s="374"/>
      <c r="X38" s="374"/>
      <c r="Y38" s="374"/>
      <c r="Z38" s="374"/>
      <c r="AA38" s="374"/>
      <c r="AB38" s="374"/>
      <c r="AC38" s="374"/>
      <c r="AD38" s="374"/>
      <c r="AE38" s="374"/>
      <c r="AF38" s="374"/>
      <c r="AG38" s="374"/>
    </row>
    <row r="39" ht="17.25" customHeight="1">
      <c r="A39" s="374"/>
      <c r="B39" s="374"/>
      <c r="C39" s="374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4"/>
      <c r="U39" s="374"/>
      <c r="V39" s="374"/>
      <c r="W39" s="374"/>
      <c r="X39" s="374"/>
      <c r="Y39" s="374"/>
      <c r="Z39" s="374"/>
      <c r="AA39" s="374"/>
      <c r="AB39" s="374"/>
      <c r="AC39" s="374"/>
      <c r="AD39" s="374"/>
      <c r="AE39" s="374"/>
      <c r="AF39" s="374"/>
      <c r="AG39" s="374"/>
    </row>
    <row r="40" ht="17.25" customHeight="1">
      <c r="A40" s="374"/>
      <c r="B40" s="374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  <c r="U40" s="374"/>
      <c r="V40" s="374"/>
      <c r="W40" s="374"/>
      <c r="X40" s="374"/>
      <c r="Y40" s="374"/>
      <c r="Z40" s="374"/>
      <c r="AA40" s="374"/>
      <c r="AB40" s="374"/>
      <c r="AC40" s="374"/>
      <c r="AD40" s="374"/>
      <c r="AE40" s="374"/>
      <c r="AF40" s="374"/>
      <c r="AG40" s="374"/>
    </row>
    <row r="41" ht="17.25" customHeight="1">
      <c r="A41" s="374"/>
      <c r="B41" s="374"/>
      <c r="C41" s="374"/>
      <c r="D41" s="374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4"/>
      <c r="U41" s="374"/>
      <c r="V41" s="374"/>
      <c r="W41" s="374"/>
      <c r="X41" s="374"/>
      <c r="Y41" s="374"/>
      <c r="Z41" s="374"/>
      <c r="AA41" s="374"/>
      <c r="AB41" s="374"/>
      <c r="AC41" s="374"/>
      <c r="AD41" s="374"/>
      <c r="AE41" s="374"/>
      <c r="AF41" s="374"/>
      <c r="AG41" s="374"/>
    </row>
    <row r="42" ht="17.25" customHeight="1">
      <c r="A42" s="374"/>
      <c r="B42" s="374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374"/>
      <c r="Y42" s="374"/>
      <c r="Z42" s="374"/>
      <c r="AA42" s="374"/>
      <c r="AB42" s="374"/>
      <c r="AC42" s="374"/>
      <c r="AD42" s="374"/>
      <c r="AE42" s="374"/>
      <c r="AF42" s="374"/>
      <c r="AG42" s="374"/>
    </row>
    <row r="43" ht="17.25" customHeight="1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  <c r="AA43" s="374"/>
      <c r="AB43" s="374"/>
      <c r="AC43" s="374"/>
      <c r="AD43" s="374"/>
      <c r="AE43" s="374"/>
      <c r="AF43" s="374"/>
      <c r="AG43" s="374"/>
    </row>
    <row r="44" ht="17.25" customHeight="1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  <c r="AA44" s="374"/>
      <c r="AB44" s="374"/>
      <c r="AC44" s="374"/>
      <c r="AD44" s="374"/>
      <c r="AE44" s="374"/>
      <c r="AF44" s="374"/>
      <c r="AG44" s="374"/>
    </row>
    <row r="45" ht="17.25" customHeight="1">
      <c r="A45" s="374"/>
      <c r="B45" s="158"/>
      <c r="C45" s="158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  <c r="AA45" s="374"/>
      <c r="AB45" s="374"/>
      <c r="AC45" s="374"/>
      <c r="AD45" s="374"/>
      <c r="AE45" s="374"/>
      <c r="AF45" s="374"/>
      <c r="AG45" s="374"/>
    </row>
    <row r="46" ht="17.25" customHeight="1">
      <c r="A46" s="374"/>
      <c r="B46" s="158"/>
      <c r="C46" s="158"/>
      <c r="D46" s="374"/>
      <c r="E46" s="374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  <c r="AA46" s="374"/>
      <c r="AB46" s="374"/>
      <c r="AC46" s="374"/>
      <c r="AD46" s="374"/>
      <c r="AE46" s="374"/>
      <c r="AF46" s="374"/>
      <c r="AG46" s="374"/>
    </row>
    <row r="47" ht="17.25" customHeight="1">
      <c r="A47" s="374"/>
      <c r="B47" s="158"/>
      <c r="C47" s="158"/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  <c r="AA47" s="374"/>
      <c r="AB47" s="374"/>
      <c r="AC47" s="374"/>
      <c r="AD47" s="374"/>
      <c r="AE47" s="374"/>
      <c r="AF47" s="374"/>
      <c r="AG47" s="374"/>
    </row>
    <row r="48" ht="17.25" customHeight="1">
      <c r="A48" s="374"/>
      <c r="B48" s="158"/>
      <c r="C48" s="158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  <c r="AA48" s="374"/>
      <c r="AB48" s="374"/>
      <c r="AC48" s="374"/>
      <c r="AD48" s="374"/>
      <c r="AE48" s="374"/>
      <c r="AF48" s="374"/>
      <c r="AG48" s="374"/>
    </row>
    <row r="49" ht="17.25" customHeight="1">
      <c r="A49" s="374"/>
      <c r="B49" s="158"/>
      <c r="C49" s="158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4"/>
      <c r="P49" s="374"/>
      <c r="Q49" s="374"/>
      <c r="R49" s="374"/>
      <c r="S49" s="374"/>
      <c r="T49" s="374"/>
      <c r="U49" s="374"/>
      <c r="V49" s="374"/>
      <c r="W49" s="374"/>
      <c r="X49" s="374"/>
      <c r="Y49" s="374"/>
      <c r="Z49" s="374"/>
      <c r="AA49" s="374"/>
      <c r="AB49" s="374"/>
      <c r="AC49" s="374"/>
      <c r="AD49" s="374"/>
      <c r="AE49" s="374"/>
      <c r="AF49" s="374"/>
      <c r="AG49" s="374"/>
    </row>
    <row r="50" ht="17.25" customHeight="1">
      <c r="A50" s="374"/>
      <c r="B50" s="158"/>
      <c r="C50" s="158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4"/>
      <c r="P50" s="374"/>
      <c r="Q50" s="374"/>
      <c r="R50" s="374"/>
      <c r="S50" s="374"/>
      <c r="T50" s="374"/>
      <c r="U50" s="374"/>
      <c r="V50" s="374"/>
      <c r="W50" s="374"/>
      <c r="X50" s="374"/>
      <c r="Y50" s="374"/>
      <c r="Z50" s="374"/>
      <c r="AA50" s="374"/>
      <c r="AB50" s="374"/>
      <c r="AC50" s="374"/>
      <c r="AD50" s="374"/>
      <c r="AE50" s="374"/>
      <c r="AF50" s="374"/>
      <c r="AG50" s="374"/>
    </row>
    <row r="51" ht="17.25" customHeight="1">
      <c r="A51" s="374"/>
      <c r="B51" s="158"/>
      <c r="C51" s="158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4"/>
      <c r="P51" s="374"/>
      <c r="Q51" s="374"/>
      <c r="R51" s="374"/>
      <c r="S51" s="374"/>
      <c r="T51" s="374"/>
      <c r="U51" s="374"/>
      <c r="V51" s="374"/>
      <c r="W51" s="374"/>
      <c r="X51" s="374"/>
      <c r="Y51" s="374"/>
      <c r="Z51" s="374"/>
      <c r="AA51" s="374"/>
      <c r="AB51" s="374"/>
      <c r="AC51" s="374"/>
      <c r="AD51" s="374"/>
      <c r="AE51" s="374"/>
      <c r="AF51" s="374"/>
      <c r="AG51" s="374"/>
    </row>
    <row r="52" ht="17.25" customHeight="1">
      <c r="A52" s="374"/>
      <c r="B52" s="158"/>
      <c r="C52" s="158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  <c r="AA52" s="374"/>
      <c r="AB52" s="374"/>
      <c r="AC52" s="374"/>
      <c r="AD52" s="374"/>
      <c r="AE52" s="374"/>
      <c r="AF52" s="374"/>
      <c r="AG52" s="374"/>
    </row>
    <row r="53" ht="17.25" customHeight="1">
      <c r="A53" s="374"/>
      <c r="B53" s="158"/>
      <c r="C53" s="158"/>
      <c r="D53" s="374"/>
      <c r="E53" s="374"/>
      <c r="F53" s="374"/>
      <c r="G53" s="374"/>
      <c r="H53" s="374"/>
      <c r="I53" s="374"/>
      <c r="J53" s="374"/>
      <c r="K53" s="374"/>
      <c r="L53" s="37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374"/>
      <c r="Y53" s="374"/>
      <c r="Z53" s="374"/>
      <c r="AA53" s="374"/>
      <c r="AB53" s="374"/>
      <c r="AC53" s="374"/>
      <c r="AD53" s="374"/>
      <c r="AE53" s="374"/>
      <c r="AF53" s="374"/>
      <c r="AG53" s="374"/>
    </row>
    <row r="54" ht="17.25" customHeight="1">
      <c r="A54" s="374"/>
      <c r="B54" s="158"/>
      <c r="C54" s="158"/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374"/>
      <c r="Y54" s="374"/>
      <c r="Z54" s="374"/>
      <c r="AA54" s="374"/>
      <c r="AB54" s="374"/>
      <c r="AC54" s="374"/>
      <c r="AD54" s="374"/>
      <c r="AE54" s="374"/>
      <c r="AF54" s="374"/>
      <c r="AG54" s="374"/>
    </row>
    <row r="55" ht="17.25" customHeight="1">
      <c r="A55" s="374"/>
      <c r="B55" s="158"/>
      <c r="C55" s="158"/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  <c r="AA55" s="374"/>
      <c r="AB55" s="374"/>
      <c r="AC55" s="374"/>
      <c r="AD55" s="374"/>
      <c r="AE55" s="374"/>
      <c r="AF55" s="374"/>
      <c r="AG55" s="374"/>
    </row>
    <row r="56" ht="17.25" customHeight="1">
      <c r="A56" s="374"/>
      <c r="B56" s="158"/>
      <c r="C56" s="158"/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  <c r="AA56" s="374"/>
      <c r="AB56" s="374"/>
      <c r="AC56" s="374"/>
      <c r="AD56" s="374"/>
      <c r="AE56" s="374"/>
      <c r="AF56" s="374"/>
      <c r="AG56" s="374"/>
    </row>
    <row r="57" ht="17.25" customHeight="1">
      <c r="A57" s="374"/>
      <c r="B57" s="158"/>
      <c r="C57" s="158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  <c r="AA57" s="374"/>
      <c r="AB57" s="374"/>
      <c r="AC57" s="374"/>
      <c r="AD57" s="374"/>
      <c r="AE57" s="374"/>
      <c r="AF57" s="374"/>
      <c r="AG57" s="374"/>
    </row>
    <row r="58" ht="17.25" customHeight="1">
      <c r="A58" s="374"/>
      <c r="B58" s="158"/>
      <c r="C58" s="158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374"/>
      <c r="Z58" s="374"/>
      <c r="AA58" s="374"/>
      <c r="AB58" s="374"/>
      <c r="AC58" s="374"/>
      <c r="AD58" s="374"/>
      <c r="AE58" s="374"/>
      <c r="AF58" s="374"/>
      <c r="AG58" s="374"/>
    </row>
    <row r="59" ht="17.25" customHeight="1">
      <c r="A59" s="374"/>
      <c r="B59" s="158"/>
      <c r="C59" s="158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4"/>
      <c r="AE59" s="374"/>
      <c r="AF59" s="374"/>
      <c r="AG59" s="374"/>
    </row>
    <row r="60" ht="17.25" customHeight="1">
      <c r="A60" s="374"/>
      <c r="B60" s="158"/>
      <c r="C60" s="158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  <c r="AA60" s="374"/>
      <c r="AB60" s="374"/>
      <c r="AC60" s="374"/>
      <c r="AD60" s="374"/>
      <c r="AE60" s="374"/>
      <c r="AF60" s="374"/>
      <c r="AG60" s="374"/>
    </row>
    <row r="61" ht="17.25" customHeight="1">
      <c r="A61" s="374"/>
      <c r="B61" s="158"/>
      <c r="C61" s="158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  <c r="AA61" s="374"/>
      <c r="AB61" s="374"/>
      <c r="AC61" s="374"/>
      <c r="AD61" s="374"/>
      <c r="AE61" s="374"/>
      <c r="AF61" s="374"/>
      <c r="AG61" s="374"/>
    </row>
    <row r="62" ht="17.25" customHeight="1">
      <c r="A62" s="374"/>
      <c r="B62" s="158"/>
      <c r="C62" s="158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  <c r="AA62" s="374"/>
      <c r="AB62" s="374"/>
      <c r="AC62" s="374"/>
      <c r="AD62" s="374"/>
      <c r="AE62" s="374"/>
      <c r="AF62" s="374"/>
      <c r="AG62" s="374"/>
    </row>
    <row r="63" ht="17.25" customHeight="1">
      <c r="A63" s="374"/>
      <c r="B63" s="158"/>
      <c r="C63" s="158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  <c r="AA63" s="374"/>
      <c r="AB63" s="374"/>
      <c r="AC63" s="374"/>
      <c r="AD63" s="374"/>
      <c r="AE63" s="374"/>
      <c r="AF63" s="374"/>
      <c r="AG63" s="374"/>
    </row>
    <row r="64" ht="17.25" customHeight="1">
      <c r="A64" s="374"/>
      <c r="B64" s="158"/>
      <c r="C64" s="158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  <c r="AA64" s="374"/>
      <c r="AB64" s="374"/>
      <c r="AC64" s="374"/>
      <c r="AD64" s="374"/>
      <c r="AE64" s="374"/>
      <c r="AF64" s="374"/>
      <c r="AG64" s="374"/>
    </row>
    <row r="65" ht="17.25" customHeight="1">
      <c r="A65" s="374"/>
      <c r="B65" s="158"/>
      <c r="C65" s="158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  <c r="AA65" s="374"/>
      <c r="AB65" s="374"/>
      <c r="AC65" s="374"/>
      <c r="AD65" s="374"/>
      <c r="AE65" s="374"/>
      <c r="AF65" s="374"/>
      <c r="AG65" s="374"/>
    </row>
    <row r="66" ht="17.25" customHeight="1">
      <c r="A66" s="374"/>
      <c r="B66" s="158"/>
      <c r="C66" s="158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  <c r="AB66" s="374"/>
      <c r="AC66" s="374"/>
      <c r="AD66" s="374"/>
      <c r="AE66" s="374"/>
      <c r="AF66" s="374"/>
      <c r="AG66" s="374"/>
    </row>
    <row r="67" ht="17.25" customHeight="1">
      <c r="A67" s="374"/>
      <c r="B67" s="158"/>
      <c r="C67" s="158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  <c r="Z67" s="374"/>
      <c r="AA67" s="374"/>
      <c r="AB67" s="374"/>
      <c r="AC67" s="374"/>
      <c r="AD67" s="374"/>
      <c r="AE67" s="374"/>
      <c r="AF67" s="374"/>
      <c r="AG67" s="374"/>
    </row>
    <row r="68" ht="17.25" customHeight="1">
      <c r="A68" s="374"/>
      <c r="B68" s="158"/>
      <c r="C68" s="158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4"/>
      <c r="P68" s="374"/>
      <c r="Q68" s="374"/>
      <c r="R68" s="374"/>
      <c r="S68" s="374"/>
      <c r="T68" s="374"/>
      <c r="U68" s="374"/>
      <c r="V68" s="374"/>
      <c r="W68" s="374"/>
      <c r="X68" s="374"/>
      <c r="Y68" s="374"/>
      <c r="Z68" s="374"/>
      <c r="AA68" s="374"/>
      <c r="AB68" s="374"/>
      <c r="AC68" s="374"/>
      <c r="AD68" s="374"/>
      <c r="AE68" s="374"/>
      <c r="AF68" s="374"/>
      <c r="AG68" s="374"/>
    </row>
    <row r="69" ht="17.25" customHeight="1">
      <c r="A69" s="374"/>
      <c r="B69" s="158"/>
      <c r="C69" s="158"/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  <c r="AA69" s="374"/>
      <c r="AB69" s="374"/>
      <c r="AC69" s="374"/>
      <c r="AD69" s="374"/>
      <c r="AE69" s="374"/>
      <c r="AF69" s="374"/>
      <c r="AG69" s="374"/>
    </row>
    <row r="70" ht="17.25" customHeight="1">
      <c r="A70" s="374"/>
      <c r="B70" s="158"/>
      <c r="C70" s="158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374"/>
      <c r="AC70" s="374"/>
      <c r="AD70" s="374"/>
      <c r="AE70" s="374"/>
      <c r="AF70" s="374"/>
      <c r="AG70" s="374"/>
    </row>
    <row r="71" ht="17.25" customHeight="1">
      <c r="A71" s="374"/>
      <c r="B71" s="158"/>
      <c r="C71" s="158"/>
      <c r="D71" s="374"/>
      <c r="E71" s="374"/>
      <c r="F71" s="374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  <c r="AA71" s="374"/>
      <c r="AB71" s="374"/>
      <c r="AC71" s="374"/>
      <c r="AD71" s="374"/>
      <c r="AE71" s="374"/>
      <c r="AF71" s="374"/>
      <c r="AG71" s="374"/>
    </row>
    <row r="72" ht="17.25" customHeight="1">
      <c r="A72" s="374"/>
      <c r="B72" s="158"/>
      <c r="C72" s="158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  <c r="AA72" s="374"/>
      <c r="AB72" s="374"/>
      <c r="AC72" s="374"/>
      <c r="AD72" s="374"/>
      <c r="AE72" s="374"/>
      <c r="AF72" s="374"/>
      <c r="AG72" s="374"/>
    </row>
    <row r="73" ht="17.25" customHeight="1">
      <c r="A73" s="374"/>
      <c r="B73" s="158"/>
      <c r="C73" s="158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4"/>
      <c r="V73" s="374"/>
      <c r="W73" s="374"/>
      <c r="X73" s="374"/>
      <c r="Y73" s="374"/>
      <c r="Z73" s="374"/>
      <c r="AA73" s="374"/>
      <c r="AB73" s="374"/>
      <c r="AC73" s="374"/>
      <c r="AD73" s="374"/>
      <c r="AE73" s="374"/>
      <c r="AF73" s="374"/>
      <c r="AG73" s="374"/>
    </row>
    <row r="74" ht="17.25" customHeight="1">
      <c r="A74" s="374"/>
      <c r="B74" s="158"/>
      <c r="C74" s="158"/>
      <c r="D74" s="374"/>
      <c r="E74" s="374"/>
      <c r="F74" s="374"/>
      <c r="G74" s="374"/>
      <c r="H74" s="374"/>
      <c r="I74" s="374"/>
      <c r="J74" s="374"/>
      <c r="K74" s="374"/>
      <c r="L74" s="374"/>
      <c r="M74" s="374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4"/>
      <c r="AC74" s="374"/>
      <c r="AD74" s="374"/>
      <c r="AE74" s="374"/>
      <c r="AF74" s="374"/>
      <c r="AG74" s="374"/>
    </row>
    <row r="75" ht="17.25" customHeight="1">
      <c r="A75" s="374"/>
      <c r="B75" s="158"/>
      <c r="C75" s="158"/>
      <c r="D75" s="374"/>
      <c r="E75" s="374"/>
      <c r="F75" s="374"/>
      <c r="G75" s="374"/>
      <c r="H75" s="374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  <c r="AA75" s="374"/>
      <c r="AB75" s="374"/>
      <c r="AC75" s="374"/>
      <c r="AD75" s="374"/>
      <c r="AE75" s="374"/>
      <c r="AF75" s="374"/>
      <c r="AG75" s="374"/>
    </row>
    <row r="76" ht="17.25" customHeight="1">
      <c r="A76" s="374"/>
      <c r="B76" s="158"/>
      <c r="C76" s="158"/>
      <c r="D76" s="374"/>
      <c r="E76" s="374"/>
      <c r="F76" s="374"/>
      <c r="G76" s="374"/>
      <c r="H76" s="374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  <c r="AA76" s="374"/>
      <c r="AB76" s="374"/>
      <c r="AC76" s="374"/>
      <c r="AD76" s="374"/>
      <c r="AE76" s="374"/>
      <c r="AF76" s="374"/>
      <c r="AG76" s="374"/>
    </row>
    <row r="77" ht="17.25" customHeight="1">
      <c r="A77" s="374"/>
      <c r="B77" s="158"/>
      <c r="C77" s="158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374"/>
      <c r="AE77" s="374"/>
      <c r="AF77" s="374"/>
      <c r="AG77" s="374"/>
    </row>
    <row r="78" ht="17.25" customHeight="1">
      <c r="A78" s="374"/>
      <c r="B78" s="158"/>
      <c r="C78" s="158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374"/>
      <c r="AE78" s="374"/>
      <c r="AF78" s="374"/>
      <c r="AG78" s="374"/>
    </row>
    <row r="79" ht="17.25" customHeight="1">
      <c r="A79" s="374"/>
      <c r="B79" s="158"/>
      <c r="C79" s="158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374"/>
      <c r="AD79" s="374"/>
      <c r="AE79" s="374"/>
      <c r="AF79" s="374"/>
      <c r="AG79" s="374"/>
    </row>
    <row r="80" ht="17.25" customHeight="1">
      <c r="A80" s="374"/>
      <c r="B80" s="158"/>
      <c r="C80" s="158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  <c r="O80" s="374"/>
      <c r="P80" s="374"/>
      <c r="Q80" s="374"/>
      <c r="R80" s="374"/>
      <c r="S80" s="374"/>
      <c r="T80" s="374"/>
      <c r="U80" s="374"/>
      <c r="V80" s="374"/>
      <c r="W80" s="374"/>
      <c r="X80" s="374"/>
      <c r="Y80" s="374"/>
      <c r="Z80" s="374"/>
      <c r="AA80" s="374"/>
      <c r="AB80" s="374"/>
      <c r="AC80" s="374"/>
      <c r="AD80" s="374"/>
      <c r="AE80" s="374"/>
      <c r="AF80" s="374"/>
      <c r="AG80" s="374"/>
    </row>
    <row r="81" ht="17.25" customHeight="1">
      <c r="A81" s="374"/>
      <c r="B81" s="158"/>
      <c r="C81" s="158"/>
      <c r="D81" s="374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4"/>
      <c r="V81" s="374"/>
      <c r="W81" s="374"/>
      <c r="X81" s="374"/>
      <c r="Y81" s="374"/>
      <c r="Z81" s="374"/>
      <c r="AA81" s="374"/>
      <c r="AB81" s="374"/>
      <c r="AC81" s="374"/>
      <c r="AD81" s="374"/>
      <c r="AE81" s="374"/>
      <c r="AF81" s="374"/>
      <c r="AG81" s="374"/>
    </row>
    <row r="82" ht="17.25" customHeight="1">
      <c r="A82" s="374"/>
      <c r="B82" s="158"/>
      <c r="C82" s="158"/>
      <c r="D82" s="374"/>
      <c r="E82" s="374"/>
      <c r="F82" s="374"/>
      <c r="G82" s="374"/>
      <c r="H82" s="374"/>
      <c r="I82" s="374"/>
      <c r="J82" s="374"/>
      <c r="K82" s="374"/>
      <c r="L82" s="374"/>
      <c r="M82" s="374"/>
      <c r="N82" s="374"/>
      <c r="O82" s="374"/>
      <c r="P82" s="374"/>
      <c r="Q82" s="374"/>
      <c r="R82" s="374"/>
      <c r="S82" s="374"/>
      <c r="T82" s="374"/>
      <c r="U82" s="374"/>
      <c r="V82" s="374"/>
      <c r="W82" s="374"/>
      <c r="X82" s="374"/>
      <c r="Y82" s="374"/>
      <c r="Z82" s="374"/>
      <c r="AA82" s="374"/>
      <c r="AB82" s="374"/>
      <c r="AC82" s="374"/>
      <c r="AD82" s="374"/>
      <c r="AE82" s="374"/>
      <c r="AF82" s="374"/>
      <c r="AG82" s="374"/>
    </row>
    <row r="83" ht="17.25" customHeight="1">
      <c r="A83" s="374"/>
      <c r="B83" s="158"/>
      <c r="C83" s="158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  <c r="AA83" s="374"/>
      <c r="AB83" s="374"/>
      <c r="AC83" s="374"/>
      <c r="AD83" s="374"/>
      <c r="AE83" s="374"/>
      <c r="AF83" s="374"/>
      <c r="AG83" s="374"/>
    </row>
    <row r="84" ht="17.25" customHeight="1">
      <c r="A84" s="374"/>
      <c r="B84" s="158"/>
      <c r="C84" s="158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4"/>
      <c r="AC84" s="374"/>
      <c r="AD84" s="374"/>
      <c r="AE84" s="374"/>
      <c r="AF84" s="374"/>
      <c r="AG84" s="374"/>
    </row>
    <row r="85" ht="17.25" customHeight="1">
      <c r="A85" s="374"/>
      <c r="B85" s="158"/>
      <c r="C85" s="158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4"/>
      <c r="Q85" s="374"/>
      <c r="R85" s="374"/>
      <c r="S85" s="374"/>
      <c r="T85" s="374"/>
      <c r="U85" s="374"/>
      <c r="V85" s="374"/>
      <c r="W85" s="374"/>
      <c r="X85" s="374"/>
      <c r="Y85" s="374"/>
      <c r="Z85" s="374"/>
      <c r="AA85" s="374"/>
      <c r="AB85" s="374"/>
      <c r="AC85" s="374"/>
      <c r="AD85" s="374"/>
      <c r="AE85" s="374"/>
      <c r="AF85" s="374"/>
      <c r="AG85" s="374"/>
    </row>
    <row r="86" ht="17.25" customHeight="1">
      <c r="A86" s="374"/>
      <c r="B86" s="158"/>
      <c r="C86" s="158"/>
      <c r="D86" s="374"/>
      <c r="E86" s="374"/>
      <c r="F86" s="374"/>
      <c r="G86" s="374"/>
      <c r="H86" s="374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  <c r="AA86" s="374"/>
      <c r="AB86" s="374"/>
      <c r="AC86" s="374"/>
      <c r="AD86" s="374"/>
      <c r="AE86" s="374"/>
      <c r="AF86" s="374"/>
      <c r="AG86" s="374"/>
    </row>
    <row r="87" ht="17.25" customHeight="1">
      <c r="A87" s="374"/>
      <c r="B87" s="158"/>
      <c r="C87" s="158"/>
      <c r="D87" s="374"/>
      <c r="E87" s="374"/>
      <c r="F87" s="374"/>
      <c r="G87" s="374"/>
      <c r="H87" s="374"/>
      <c r="I87" s="374"/>
      <c r="J87" s="374"/>
      <c r="K87" s="374"/>
      <c r="L87" s="374"/>
      <c r="M87" s="374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  <c r="Y87" s="374"/>
      <c r="Z87" s="374"/>
      <c r="AA87" s="374"/>
      <c r="AB87" s="374"/>
      <c r="AC87" s="374"/>
      <c r="AD87" s="374"/>
      <c r="AE87" s="374"/>
      <c r="AF87" s="374"/>
      <c r="AG87" s="374"/>
    </row>
    <row r="88" ht="17.25" customHeight="1">
      <c r="A88" s="374"/>
      <c r="B88" s="158"/>
      <c r="C88" s="158"/>
      <c r="D88" s="374"/>
      <c r="E88" s="374"/>
      <c r="F88" s="374"/>
      <c r="G88" s="374"/>
      <c r="H88" s="374"/>
      <c r="I88" s="374"/>
      <c r="J88" s="374"/>
      <c r="K88" s="374"/>
      <c r="L88" s="374"/>
      <c r="M88" s="374"/>
      <c r="N88" s="374"/>
      <c r="O88" s="374"/>
      <c r="P88" s="374"/>
      <c r="Q88" s="374"/>
      <c r="R88" s="374"/>
      <c r="S88" s="374"/>
      <c r="T88" s="374"/>
      <c r="U88" s="374"/>
      <c r="V88" s="374"/>
      <c r="W88" s="374"/>
      <c r="X88" s="374"/>
      <c r="Y88" s="374"/>
      <c r="Z88" s="374"/>
      <c r="AA88" s="374"/>
      <c r="AB88" s="374"/>
      <c r="AC88" s="374"/>
      <c r="AD88" s="374"/>
      <c r="AE88" s="374"/>
      <c r="AF88" s="374"/>
      <c r="AG88" s="374"/>
    </row>
    <row r="89" ht="17.25" customHeight="1">
      <c r="A89" s="374"/>
      <c r="B89" s="158"/>
      <c r="C89" s="158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  <c r="AA89" s="374"/>
      <c r="AB89" s="374"/>
      <c r="AC89" s="374"/>
      <c r="AD89" s="374"/>
      <c r="AE89" s="374"/>
      <c r="AF89" s="374"/>
      <c r="AG89" s="374"/>
    </row>
    <row r="90" ht="17.25" customHeight="1">
      <c r="A90" s="374"/>
      <c r="B90" s="158"/>
      <c r="C90" s="158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4"/>
      <c r="P90" s="374"/>
      <c r="Q90" s="374"/>
      <c r="R90" s="374"/>
      <c r="S90" s="374"/>
      <c r="T90" s="374"/>
      <c r="U90" s="374"/>
      <c r="V90" s="374"/>
      <c r="W90" s="374"/>
      <c r="X90" s="374"/>
      <c r="Y90" s="374"/>
      <c r="Z90" s="374"/>
      <c r="AA90" s="374"/>
      <c r="AB90" s="374"/>
      <c r="AC90" s="374"/>
      <c r="AD90" s="374"/>
      <c r="AE90" s="374"/>
      <c r="AF90" s="374"/>
      <c r="AG90" s="374"/>
    </row>
    <row r="91" ht="17.25" customHeight="1">
      <c r="A91" s="374"/>
      <c r="B91" s="158"/>
      <c r="C91" s="158"/>
      <c r="D91" s="374"/>
      <c r="E91" s="374"/>
      <c r="F91" s="374"/>
      <c r="G91" s="374"/>
      <c r="H91" s="374"/>
      <c r="I91" s="374"/>
      <c r="J91" s="374"/>
      <c r="K91" s="374"/>
      <c r="L91" s="374"/>
      <c r="M91" s="374"/>
      <c r="N91" s="374"/>
      <c r="O91" s="374"/>
      <c r="P91" s="374"/>
      <c r="Q91" s="374"/>
      <c r="R91" s="374"/>
      <c r="S91" s="374"/>
      <c r="T91" s="374"/>
      <c r="U91" s="374"/>
      <c r="V91" s="374"/>
      <c r="W91" s="374"/>
      <c r="X91" s="374"/>
      <c r="Y91" s="374"/>
      <c r="Z91" s="374"/>
      <c r="AA91" s="374"/>
      <c r="AB91" s="374"/>
      <c r="AC91" s="374"/>
      <c r="AD91" s="374"/>
      <c r="AE91" s="374"/>
      <c r="AF91" s="374"/>
      <c r="AG91" s="374"/>
    </row>
    <row r="92" ht="17.25" customHeight="1">
      <c r="A92" s="374"/>
      <c r="B92" s="158"/>
      <c r="C92" s="158"/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  <c r="AA92" s="374"/>
      <c r="AB92" s="374"/>
      <c r="AC92" s="374"/>
      <c r="AD92" s="374"/>
      <c r="AE92" s="374"/>
      <c r="AF92" s="374"/>
      <c r="AG92" s="374"/>
    </row>
    <row r="93" ht="17.25" customHeight="1">
      <c r="A93" s="374"/>
      <c r="B93" s="158"/>
      <c r="C93" s="158"/>
      <c r="D93" s="374"/>
      <c r="E93" s="374"/>
      <c r="F93" s="374"/>
      <c r="G93" s="374"/>
      <c r="H93" s="374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  <c r="AA93" s="374"/>
      <c r="AB93" s="374"/>
      <c r="AC93" s="374"/>
      <c r="AD93" s="374"/>
      <c r="AE93" s="374"/>
      <c r="AF93" s="374"/>
      <c r="AG93" s="374"/>
    </row>
    <row r="94" ht="17.25" customHeight="1">
      <c r="A94" s="374"/>
      <c r="B94" s="158"/>
      <c r="C94" s="158"/>
      <c r="D94" s="374"/>
      <c r="E94" s="374"/>
      <c r="F94" s="374"/>
      <c r="G94" s="374"/>
      <c r="H94" s="374"/>
      <c r="I94" s="374"/>
      <c r="J94" s="374"/>
      <c r="K94" s="374"/>
      <c r="L94" s="374"/>
      <c r="M94" s="374"/>
      <c r="N94" s="374"/>
      <c r="O94" s="374"/>
      <c r="P94" s="374"/>
      <c r="Q94" s="374"/>
      <c r="R94" s="374"/>
      <c r="S94" s="374"/>
      <c r="T94" s="374"/>
      <c r="U94" s="374"/>
      <c r="V94" s="374"/>
      <c r="W94" s="374"/>
      <c r="X94" s="374"/>
      <c r="Y94" s="374"/>
      <c r="Z94" s="374"/>
      <c r="AA94" s="374"/>
      <c r="AB94" s="374"/>
      <c r="AC94" s="374"/>
      <c r="AD94" s="374"/>
      <c r="AE94" s="374"/>
      <c r="AF94" s="374"/>
      <c r="AG94" s="374"/>
    </row>
    <row r="95" ht="17.25" customHeight="1">
      <c r="A95" s="374"/>
      <c r="B95" s="158"/>
      <c r="C95" s="158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4"/>
      <c r="P95" s="374"/>
      <c r="Q95" s="374"/>
      <c r="R95" s="374"/>
      <c r="S95" s="374"/>
      <c r="T95" s="374"/>
      <c r="U95" s="374"/>
      <c r="V95" s="374"/>
      <c r="W95" s="374"/>
      <c r="X95" s="374"/>
      <c r="Y95" s="374"/>
      <c r="Z95" s="374"/>
      <c r="AA95" s="374"/>
      <c r="AB95" s="374"/>
      <c r="AC95" s="374"/>
      <c r="AD95" s="374"/>
      <c r="AE95" s="374"/>
      <c r="AF95" s="374"/>
      <c r="AG95" s="374"/>
    </row>
    <row r="96" ht="17.25" customHeight="1">
      <c r="A96" s="374"/>
      <c r="B96" s="158"/>
      <c r="C96" s="158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4"/>
      <c r="P96" s="374"/>
      <c r="Q96" s="374"/>
      <c r="R96" s="374"/>
      <c r="S96" s="374"/>
      <c r="T96" s="374"/>
      <c r="U96" s="374"/>
      <c r="V96" s="374"/>
      <c r="W96" s="374"/>
      <c r="X96" s="374"/>
      <c r="Y96" s="374"/>
      <c r="Z96" s="374"/>
      <c r="AA96" s="374"/>
      <c r="AB96" s="374"/>
      <c r="AC96" s="374"/>
      <c r="AD96" s="374"/>
      <c r="AE96" s="374"/>
      <c r="AF96" s="374"/>
      <c r="AG96" s="374"/>
    </row>
    <row r="97" ht="17.25" customHeight="1">
      <c r="A97" s="374"/>
      <c r="B97" s="158"/>
      <c r="C97" s="158"/>
      <c r="D97" s="374"/>
      <c r="E97" s="374"/>
      <c r="F97" s="374"/>
      <c r="G97" s="374"/>
      <c r="H97" s="374"/>
      <c r="I97" s="374"/>
      <c r="J97" s="374"/>
      <c r="K97" s="374"/>
      <c r="L97" s="374"/>
      <c r="M97" s="374"/>
      <c r="N97" s="374"/>
      <c r="O97" s="374"/>
      <c r="P97" s="374"/>
      <c r="Q97" s="374"/>
      <c r="R97" s="374"/>
      <c r="S97" s="374"/>
      <c r="T97" s="374"/>
      <c r="U97" s="374"/>
      <c r="V97" s="374"/>
      <c r="W97" s="374"/>
      <c r="X97" s="374"/>
      <c r="Y97" s="374"/>
      <c r="Z97" s="374"/>
      <c r="AA97" s="374"/>
      <c r="AB97" s="374"/>
      <c r="AC97" s="374"/>
      <c r="AD97" s="374"/>
      <c r="AE97" s="374"/>
      <c r="AF97" s="374"/>
      <c r="AG97" s="374"/>
    </row>
    <row r="98" ht="17.25" customHeight="1">
      <c r="A98" s="374"/>
      <c r="B98" s="158"/>
      <c r="C98" s="158"/>
      <c r="D98" s="374"/>
      <c r="E98" s="374"/>
      <c r="F98" s="374"/>
      <c r="G98" s="374"/>
      <c r="H98" s="374"/>
      <c r="I98" s="374"/>
      <c r="J98" s="374"/>
      <c r="K98" s="374"/>
      <c r="L98" s="374"/>
      <c r="M98" s="374"/>
      <c r="N98" s="374"/>
      <c r="O98" s="374"/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  <c r="AA98" s="374"/>
      <c r="AB98" s="374"/>
      <c r="AC98" s="374"/>
      <c r="AD98" s="374"/>
      <c r="AE98" s="374"/>
      <c r="AF98" s="374"/>
      <c r="AG98" s="374"/>
    </row>
    <row r="99" ht="17.25" customHeight="1">
      <c r="A99" s="374"/>
      <c r="B99" s="158"/>
      <c r="C99" s="158"/>
      <c r="D99" s="374"/>
      <c r="E99" s="374"/>
      <c r="F99" s="374"/>
      <c r="G99" s="374"/>
      <c r="H99" s="374"/>
      <c r="I99" s="374"/>
      <c r="J99" s="374"/>
      <c r="K99" s="374"/>
      <c r="L99" s="374"/>
      <c r="M99" s="374"/>
      <c r="N99" s="374"/>
      <c r="O99" s="374"/>
      <c r="P99" s="374"/>
      <c r="Q99" s="374"/>
      <c r="R99" s="374"/>
      <c r="S99" s="374"/>
      <c r="T99" s="374"/>
      <c r="U99" s="374"/>
      <c r="V99" s="374"/>
      <c r="W99" s="374"/>
      <c r="X99" s="374"/>
      <c r="Y99" s="374"/>
      <c r="Z99" s="374"/>
      <c r="AA99" s="374"/>
      <c r="AB99" s="374"/>
      <c r="AC99" s="374"/>
      <c r="AD99" s="374"/>
      <c r="AE99" s="374"/>
      <c r="AF99" s="374"/>
      <c r="AG99" s="374"/>
    </row>
    <row r="100" ht="17.25" customHeight="1">
      <c r="A100" s="374"/>
      <c r="B100" s="158"/>
      <c r="C100" s="158"/>
      <c r="D100" s="374"/>
      <c r="E100" s="374"/>
      <c r="F100" s="374"/>
      <c r="G100" s="374"/>
      <c r="H100" s="374"/>
      <c r="I100" s="374"/>
      <c r="J100" s="374"/>
      <c r="K100" s="374"/>
      <c r="L100" s="374"/>
      <c r="M100" s="374"/>
      <c r="N100" s="374"/>
      <c r="O100" s="374"/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  <c r="AA100" s="374"/>
      <c r="AB100" s="374"/>
      <c r="AC100" s="374"/>
      <c r="AD100" s="374"/>
      <c r="AE100" s="374"/>
      <c r="AF100" s="374"/>
      <c r="AG100" s="374"/>
    </row>
    <row r="101" ht="17.25" customHeight="1">
      <c r="A101" s="374"/>
      <c r="B101" s="158"/>
      <c r="C101" s="158"/>
      <c r="D101" s="374"/>
      <c r="E101" s="374"/>
      <c r="F101" s="374"/>
      <c r="G101" s="374"/>
      <c r="H101" s="374"/>
      <c r="I101" s="374"/>
      <c r="J101" s="374"/>
      <c r="K101" s="374"/>
      <c r="L101" s="374"/>
      <c r="M101" s="374"/>
      <c r="N101" s="374"/>
      <c r="O101" s="374"/>
      <c r="P101" s="374"/>
      <c r="Q101" s="374"/>
      <c r="R101" s="374"/>
      <c r="S101" s="374"/>
      <c r="T101" s="374"/>
      <c r="U101" s="374"/>
      <c r="V101" s="374"/>
      <c r="W101" s="374"/>
      <c r="X101" s="374"/>
      <c r="Y101" s="374"/>
      <c r="Z101" s="374"/>
      <c r="AA101" s="374"/>
      <c r="AB101" s="374"/>
      <c r="AC101" s="374"/>
      <c r="AD101" s="374"/>
      <c r="AE101" s="374"/>
      <c r="AF101" s="374"/>
      <c r="AG101" s="374"/>
    </row>
    <row r="102" ht="17.25" customHeight="1">
      <c r="A102" s="374"/>
      <c r="B102" s="158"/>
      <c r="C102" s="158"/>
      <c r="D102" s="374"/>
      <c r="E102" s="374"/>
      <c r="F102" s="374"/>
      <c r="G102" s="374"/>
      <c r="H102" s="374"/>
      <c r="I102" s="374"/>
      <c r="J102" s="374"/>
      <c r="K102" s="374"/>
      <c r="L102" s="374"/>
      <c r="M102" s="374"/>
      <c r="N102" s="374"/>
      <c r="O102" s="374"/>
      <c r="P102" s="374"/>
      <c r="Q102" s="374"/>
      <c r="R102" s="374"/>
      <c r="S102" s="374"/>
      <c r="T102" s="374"/>
      <c r="U102" s="374"/>
      <c r="V102" s="374"/>
      <c r="W102" s="374"/>
      <c r="X102" s="374"/>
      <c r="Y102" s="374"/>
      <c r="Z102" s="374"/>
      <c r="AA102" s="374"/>
      <c r="AB102" s="374"/>
      <c r="AC102" s="374"/>
      <c r="AD102" s="374"/>
      <c r="AE102" s="374"/>
      <c r="AF102" s="374"/>
      <c r="AG102" s="374"/>
    </row>
    <row r="103" ht="17.25" customHeight="1">
      <c r="A103" s="374"/>
      <c r="B103" s="158"/>
      <c r="C103" s="158"/>
      <c r="D103" s="374"/>
      <c r="E103" s="374"/>
      <c r="F103" s="374"/>
      <c r="G103" s="374"/>
      <c r="H103" s="374"/>
      <c r="I103" s="374"/>
      <c r="J103" s="374"/>
      <c r="K103" s="374"/>
      <c r="L103" s="374"/>
      <c r="M103" s="374"/>
      <c r="N103" s="374"/>
      <c r="O103" s="374"/>
      <c r="P103" s="374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  <c r="AA103" s="374"/>
      <c r="AB103" s="374"/>
      <c r="AC103" s="374"/>
      <c r="AD103" s="374"/>
      <c r="AE103" s="374"/>
      <c r="AF103" s="374"/>
      <c r="AG103" s="374"/>
    </row>
    <row r="104" ht="17.25" customHeight="1">
      <c r="A104" s="374"/>
      <c r="B104" s="158"/>
      <c r="C104" s="158"/>
      <c r="D104" s="374"/>
      <c r="E104" s="374"/>
      <c r="F104" s="374"/>
      <c r="G104" s="374"/>
      <c r="H104" s="374"/>
      <c r="I104" s="374"/>
      <c r="J104" s="374"/>
      <c r="K104" s="374"/>
      <c r="L104" s="374"/>
      <c r="M104" s="374"/>
      <c r="N104" s="374"/>
      <c r="O104" s="374"/>
      <c r="P104" s="374"/>
      <c r="Q104" s="374"/>
      <c r="R104" s="374"/>
      <c r="S104" s="374"/>
      <c r="T104" s="374"/>
      <c r="U104" s="374"/>
      <c r="V104" s="374"/>
      <c r="W104" s="374"/>
      <c r="X104" s="374"/>
      <c r="Y104" s="374"/>
      <c r="Z104" s="374"/>
      <c r="AA104" s="374"/>
      <c r="AB104" s="374"/>
      <c r="AC104" s="374"/>
      <c r="AD104" s="374"/>
      <c r="AE104" s="374"/>
      <c r="AF104" s="374"/>
      <c r="AG104" s="374"/>
    </row>
    <row r="105" ht="17.25" customHeight="1">
      <c r="A105" s="374"/>
      <c r="B105" s="158"/>
      <c r="C105" s="158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4"/>
      <c r="P105" s="374"/>
      <c r="Q105" s="374"/>
      <c r="R105" s="374"/>
      <c r="S105" s="374"/>
      <c r="T105" s="374"/>
      <c r="U105" s="374"/>
      <c r="V105" s="374"/>
      <c r="W105" s="374"/>
      <c r="X105" s="374"/>
      <c r="Y105" s="374"/>
      <c r="Z105" s="374"/>
      <c r="AA105" s="374"/>
      <c r="AB105" s="374"/>
      <c r="AC105" s="374"/>
      <c r="AD105" s="374"/>
      <c r="AE105" s="374"/>
      <c r="AF105" s="374"/>
      <c r="AG105" s="374"/>
    </row>
    <row r="106" ht="17.25" customHeight="1">
      <c r="A106" s="374"/>
      <c r="B106" s="158"/>
      <c r="C106" s="158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4"/>
      <c r="P106" s="374"/>
      <c r="Q106" s="374"/>
      <c r="R106" s="374"/>
      <c r="S106" s="374"/>
      <c r="T106" s="374"/>
      <c r="U106" s="374"/>
      <c r="V106" s="374"/>
      <c r="W106" s="374"/>
      <c r="X106" s="374"/>
      <c r="Y106" s="374"/>
      <c r="Z106" s="374"/>
      <c r="AA106" s="374"/>
      <c r="AB106" s="374"/>
      <c r="AC106" s="374"/>
      <c r="AD106" s="374"/>
      <c r="AE106" s="374"/>
      <c r="AF106" s="374"/>
      <c r="AG106" s="374"/>
    </row>
    <row r="107" ht="17.25" customHeight="1">
      <c r="A107" s="374"/>
      <c r="B107" s="158"/>
      <c r="C107" s="158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  <c r="AA107" s="374"/>
      <c r="AB107" s="374"/>
      <c r="AC107" s="374"/>
      <c r="AD107" s="374"/>
      <c r="AE107" s="374"/>
      <c r="AF107" s="374"/>
      <c r="AG107" s="374"/>
    </row>
    <row r="108" ht="17.25" customHeight="1">
      <c r="A108" s="374"/>
      <c r="B108" s="158"/>
      <c r="C108" s="158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74"/>
      <c r="AC108" s="374"/>
      <c r="AD108" s="374"/>
      <c r="AE108" s="374"/>
      <c r="AF108" s="374"/>
      <c r="AG108" s="374"/>
    </row>
    <row r="109" ht="17.25" customHeight="1">
      <c r="A109" s="374"/>
      <c r="B109" s="158"/>
      <c r="C109" s="158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  <c r="AE109" s="374"/>
      <c r="AF109" s="374"/>
      <c r="AG109" s="374"/>
    </row>
    <row r="110" ht="17.25" customHeight="1">
      <c r="A110" s="374"/>
      <c r="B110" s="158"/>
      <c r="C110" s="158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  <c r="AA110" s="374"/>
      <c r="AB110" s="374"/>
      <c r="AC110" s="374"/>
      <c r="AD110" s="374"/>
      <c r="AE110" s="374"/>
      <c r="AF110" s="374"/>
      <c r="AG110" s="374"/>
    </row>
    <row r="111" ht="17.25" customHeight="1">
      <c r="A111" s="374"/>
      <c r="B111" s="158"/>
      <c r="C111" s="158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74"/>
      <c r="AC111" s="374"/>
      <c r="AD111" s="374"/>
      <c r="AE111" s="374"/>
      <c r="AF111" s="374"/>
      <c r="AG111" s="374"/>
    </row>
    <row r="112" ht="17.25" customHeight="1">
      <c r="A112" s="374"/>
      <c r="B112" s="158"/>
      <c r="C112" s="158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74"/>
      <c r="AC112" s="374"/>
      <c r="AD112" s="374"/>
      <c r="AE112" s="374"/>
      <c r="AF112" s="374"/>
      <c r="AG112" s="374"/>
    </row>
    <row r="113" ht="17.25" customHeight="1">
      <c r="A113" s="374"/>
      <c r="B113" s="158"/>
      <c r="C113" s="158"/>
      <c r="D113" s="374"/>
      <c r="E113" s="374"/>
      <c r="F113" s="374"/>
      <c r="G113" s="374"/>
      <c r="H113" s="374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  <c r="AA113" s="374"/>
      <c r="AB113" s="374"/>
      <c r="AC113" s="374"/>
      <c r="AD113" s="374"/>
      <c r="AE113" s="374"/>
      <c r="AF113" s="374"/>
      <c r="AG113" s="374"/>
    </row>
    <row r="114" ht="17.25" customHeight="1">
      <c r="A114" s="374"/>
      <c r="B114" s="158"/>
      <c r="C114" s="158"/>
      <c r="D114" s="374"/>
      <c r="E114" s="374"/>
      <c r="F114" s="374"/>
      <c r="G114" s="374"/>
      <c r="H114" s="374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  <c r="AA114" s="374"/>
      <c r="AB114" s="374"/>
      <c r="AC114" s="374"/>
      <c r="AD114" s="374"/>
      <c r="AE114" s="374"/>
      <c r="AF114" s="374"/>
      <c r="AG114" s="374"/>
    </row>
    <row r="115" ht="17.25" customHeight="1">
      <c r="A115" s="374"/>
      <c r="B115" s="158"/>
      <c r="C115" s="158"/>
      <c r="D115" s="374"/>
      <c r="E115" s="374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  <c r="AA115" s="374"/>
      <c r="AB115" s="374"/>
      <c r="AC115" s="374"/>
      <c r="AD115" s="374"/>
      <c r="AE115" s="374"/>
      <c r="AF115" s="374"/>
      <c r="AG115" s="374"/>
    </row>
    <row r="116" ht="17.25" customHeight="1">
      <c r="A116" s="374"/>
      <c r="B116" s="158"/>
      <c r="C116" s="158"/>
      <c r="D116" s="374"/>
      <c r="E116" s="374"/>
      <c r="F116" s="374"/>
      <c r="G116" s="374"/>
      <c r="H116" s="374"/>
      <c r="I116" s="374"/>
      <c r="J116" s="374"/>
      <c r="K116" s="374"/>
      <c r="L116" s="37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  <c r="AA116" s="374"/>
      <c r="AB116" s="374"/>
      <c r="AC116" s="374"/>
      <c r="AD116" s="374"/>
      <c r="AE116" s="374"/>
      <c r="AF116" s="374"/>
      <c r="AG116" s="374"/>
    </row>
    <row r="117" ht="17.25" customHeight="1">
      <c r="A117" s="374"/>
      <c r="B117" s="158"/>
      <c r="C117" s="158"/>
      <c r="D117" s="374"/>
      <c r="E117" s="374"/>
      <c r="F117" s="374"/>
      <c r="G117" s="374"/>
      <c r="H117" s="374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  <c r="AA117" s="374"/>
      <c r="AB117" s="374"/>
      <c r="AC117" s="374"/>
      <c r="AD117" s="374"/>
      <c r="AE117" s="374"/>
      <c r="AF117" s="374"/>
      <c r="AG117" s="374"/>
    </row>
    <row r="118" ht="17.25" customHeight="1">
      <c r="A118" s="374"/>
      <c r="B118" s="158"/>
      <c r="C118" s="158"/>
      <c r="D118" s="374"/>
      <c r="E118" s="374"/>
      <c r="F118" s="374"/>
      <c r="G118" s="374"/>
      <c r="H118" s="374"/>
      <c r="I118" s="374"/>
      <c r="J118" s="374"/>
      <c r="K118" s="374"/>
      <c r="L118" s="37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  <c r="AA118" s="374"/>
      <c r="AB118" s="374"/>
      <c r="AC118" s="374"/>
      <c r="AD118" s="374"/>
      <c r="AE118" s="374"/>
      <c r="AF118" s="374"/>
      <c r="AG118" s="374"/>
    </row>
    <row r="119" ht="17.25" customHeight="1">
      <c r="A119" s="374"/>
      <c r="B119" s="158"/>
      <c r="C119" s="158"/>
      <c r="D119" s="374"/>
      <c r="E119" s="374"/>
      <c r="F119" s="374"/>
      <c r="G119" s="374"/>
      <c r="H119" s="374"/>
      <c r="I119" s="374"/>
      <c r="J119" s="374"/>
      <c r="K119" s="374"/>
      <c r="L119" s="37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  <c r="AA119" s="374"/>
      <c r="AB119" s="374"/>
      <c r="AC119" s="374"/>
      <c r="AD119" s="374"/>
      <c r="AE119" s="374"/>
      <c r="AF119" s="374"/>
      <c r="AG119" s="374"/>
    </row>
    <row r="120" ht="17.25" customHeight="1">
      <c r="A120" s="374"/>
      <c r="B120" s="158"/>
      <c r="C120" s="158"/>
      <c r="D120" s="374"/>
      <c r="E120" s="374"/>
      <c r="F120" s="374"/>
      <c r="G120" s="374"/>
      <c r="H120" s="374"/>
      <c r="I120" s="374"/>
      <c r="J120" s="374"/>
      <c r="K120" s="374"/>
      <c r="L120" s="374"/>
      <c r="M120" s="374"/>
      <c r="N120" s="374"/>
      <c r="O120" s="374"/>
      <c r="P120" s="374"/>
      <c r="Q120" s="374"/>
      <c r="R120" s="374"/>
      <c r="S120" s="374"/>
      <c r="T120" s="374"/>
      <c r="U120" s="374"/>
      <c r="V120" s="374"/>
      <c r="W120" s="374"/>
      <c r="X120" s="374"/>
      <c r="Y120" s="374"/>
      <c r="Z120" s="374"/>
      <c r="AA120" s="374"/>
      <c r="AB120" s="374"/>
      <c r="AC120" s="374"/>
      <c r="AD120" s="374"/>
      <c r="AE120" s="374"/>
      <c r="AF120" s="374"/>
      <c r="AG120" s="374"/>
    </row>
    <row r="121" ht="17.25" customHeight="1">
      <c r="A121" s="374"/>
      <c r="B121" s="158"/>
      <c r="C121" s="158"/>
      <c r="D121" s="374"/>
      <c r="E121" s="374"/>
      <c r="F121" s="374"/>
      <c r="G121" s="374"/>
      <c r="H121" s="374"/>
      <c r="I121" s="374"/>
      <c r="J121" s="374"/>
      <c r="K121" s="374"/>
      <c r="L121" s="374"/>
      <c r="M121" s="374"/>
      <c r="N121" s="374"/>
      <c r="O121" s="374"/>
      <c r="P121" s="374"/>
      <c r="Q121" s="374"/>
      <c r="R121" s="374"/>
      <c r="S121" s="374"/>
      <c r="T121" s="374"/>
      <c r="U121" s="374"/>
      <c r="V121" s="374"/>
      <c r="W121" s="374"/>
      <c r="X121" s="374"/>
      <c r="Y121" s="374"/>
      <c r="Z121" s="374"/>
      <c r="AA121" s="374"/>
      <c r="AB121" s="374"/>
      <c r="AC121" s="374"/>
      <c r="AD121" s="374"/>
      <c r="AE121" s="374"/>
      <c r="AF121" s="374"/>
      <c r="AG121" s="374"/>
    </row>
    <row r="122" ht="17.25" customHeight="1">
      <c r="A122" s="374"/>
      <c r="B122" s="158"/>
      <c r="C122" s="158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4"/>
      <c r="P122" s="374"/>
      <c r="Q122" s="374"/>
      <c r="R122" s="374"/>
      <c r="S122" s="374"/>
      <c r="T122" s="374"/>
      <c r="U122" s="374"/>
      <c r="V122" s="374"/>
      <c r="W122" s="374"/>
      <c r="X122" s="374"/>
      <c r="Y122" s="374"/>
      <c r="Z122" s="374"/>
      <c r="AA122" s="374"/>
      <c r="AB122" s="374"/>
      <c r="AC122" s="374"/>
      <c r="AD122" s="374"/>
      <c r="AE122" s="374"/>
      <c r="AF122" s="374"/>
      <c r="AG122" s="374"/>
    </row>
    <row r="123" ht="17.25" customHeight="1">
      <c r="A123" s="374"/>
      <c r="B123" s="158"/>
      <c r="C123" s="158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4"/>
      <c r="P123" s="374"/>
      <c r="Q123" s="374"/>
      <c r="R123" s="374"/>
      <c r="S123" s="374"/>
      <c r="T123" s="374"/>
      <c r="U123" s="374"/>
      <c r="V123" s="374"/>
      <c r="W123" s="374"/>
      <c r="X123" s="374"/>
      <c r="Y123" s="374"/>
      <c r="Z123" s="374"/>
      <c r="AA123" s="374"/>
      <c r="AB123" s="374"/>
      <c r="AC123" s="374"/>
      <c r="AD123" s="374"/>
      <c r="AE123" s="374"/>
      <c r="AF123" s="374"/>
      <c r="AG123" s="374"/>
    </row>
    <row r="124" ht="17.25" customHeight="1">
      <c r="A124" s="374"/>
      <c r="B124" s="158"/>
      <c r="C124" s="158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4"/>
      <c r="P124" s="374"/>
      <c r="Q124" s="374"/>
      <c r="R124" s="374"/>
      <c r="S124" s="374"/>
      <c r="T124" s="374"/>
      <c r="U124" s="374"/>
      <c r="V124" s="374"/>
      <c r="W124" s="374"/>
      <c r="X124" s="374"/>
      <c r="Y124" s="374"/>
      <c r="Z124" s="374"/>
      <c r="AA124" s="374"/>
      <c r="AB124" s="374"/>
      <c r="AC124" s="374"/>
      <c r="AD124" s="374"/>
      <c r="AE124" s="374"/>
      <c r="AF124" s="374"/>
      <c r="AG124" s="374"/>
    </row>
    <row r="125" ht="17.25" customHeight="1">
      <c r="A125" s="374"/>
      <c r="B125" s="158"/>
      <c r="C125" s="158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  <c r="T125" s="374"/>
      <c r="U125" s="374"/>
      <c r="V125" s="374"/>
      <c r="W125" s="374"/>
      <c r="X125" s="374"/>
      <c r="Y125" s="374"/>
      <c r="Z125" s="374"/>
      <c r="AA125" s="374"/>
      <c r="AB125" s="374"/>
      <c r="AC125" s="374"/>
      <c r="AD125" s="374"/>
      <c r="AE125" s="374"/>
      <c r="AF125" s="374"/>
      <c r="AG125" s="374"/>
    </row>
    <row r="126" ht="17.25" customHeight="1">
      <c r="A126" s="374"/>
      <c r="B126" s="158"/>
      <c r="C126" s="158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4"/>
      <c r="T126" s="374"/>
      <c r="U126" s="374"/>
      <c r="V126" s="374"/>
      <c r="W126" s="374"/>
      <c r="X126" s="374"/>
      <c r="Y126" s="374"/>
      <c r="Z126" s="374"/>
      <c r="AA126" s="374"/>
      <c r="AB126" s="374"/>
      <c r="AC126" s="374"/>
      <c r="AD126" s="374"/>
      <c r="AE126" s="374"/>
      <c r="AF126" s="374"/>
      <c r="AG126" s="374"/>
    </row>
    <row r="127" ht="17.25" customHeight="1">
      <c r="A127" s="374"/>
      <c r="B127" s="158"/>
      <c r="C127" s="158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4"/>
      <c r="T127" s="374"/>
      <c r="U127" s="374"/>
      <c r="V127" s="374"/>
      <c r="W127" s="374"/>
      <c r="X127" s="374"/>
      <c r="Y127" s="374"/>
      <c r="Z127" s="374"/>
      <c r="AA127" s="374"/>
      <c r="AB127" s="374"/>
      <c r="AC127" s="374"/>
      <c r="AD127" s="374"/>
      <c r="AE127" s="374"/>
      <c r="AF127" s="374"/>
      <c r="AG127" s="374"/>
    </row>
    <row r="128" ht="17.25" customHeight="1">
      <c r="A128" s="374"/>
      <c r="B128" s="158"/>
      <c r="C128" s="158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  <c r="AA128" s="374"/>
      <c r="AB128" s="374"/>
      <c r="AC128" s="374"/>
      <c r="AD128" s="374"/>
      <c r="AE128" s="374"/>
      <c r="AF128" s="374"/>
      <c r="AG128" s="374"/>
    </row>
    <row r="129" ht="17.25" customHeight="1">
      <c r="A129" s="374"/>
      <c r="B129" s="158"/>
      <c r="C129" s="158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4"/>
      <c r="T129" s="374"/>
      <c r="U129" s="374"/>
      <c r="V129" s="374"/>
      <c r="W129" s="374"/>
      <c r="X129" s="374"/>
      <c r="Y129" s="374"/>
      <c r="Z129" s="374"/>
      <c r="AA129" s="374"/>
      <c r="AB129" s="374"/>
      <c r="AC129" s="374"/>
      <c r="AD129" s="374"/>
      <c r="AE129" s="374"/>
      <c r="AF129" s="374"/>
      <c r="AG129" s="374"/>
    </row>
    <row r="130" ht="17.25" customHeight="1">
      <c r="A130" s="374"/>
      <c r="B130" s="158"/>
      <c r="C130" s="158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4"/>
      <c r="T130" s="374"/>
      <c r="U130" s="374"/>
      <c r="V130" s="374"/>
      <c r="W130" s="374"/>
      <c r="X130" s="374"/>
      <c r="Y130" s="374"/>
      <c r="Z130" s="374"/>
      <c r="AA130" s="374"/>
      <c r="AB130" s="374"/>
      <c r="AC130" s="374"/>
      <c r="AD130" s="374"/>
      <c r="AE130" s="374"/>
      <c r="AF130" s="374"/>
      <c r="AG130" s="374"/>
    </row>
    <row r="131" ht="17.25" customHeight="1">
      <c r="A131" s="374"/>
      <c r="B131" s="158"/>
      <c r="C131" s="158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4"/>
      <c r="T131" s="374"/>
      <c r="U131" s="374"/>
      <c r="V131" s="374"/>
      <c r="W131" s="374"/>
      <c r="X131" s="374"/>
      <c r="Y131" s="374"/>
      <c r="Z131" s="374"/>
      <c r="AA131" s="374"/>
      <c r="AB131" s="374"/>
      <c r="AC131" s="374"/>
      <c r="AD131" s="374"/>
      <c r="AE131" s="374"/>
      <c r="AF131" s="374"/>
      <c r="AG131" s="374"/>
    </row>
    <row r="132" ht="17.25" customHeight="1">
      <c r="A132" s="374"/>
      <c r="B132" s="158"/>
      <c r="C132" s="158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4"/>
      <c r="T132" s="374"/>
      <c r="U132" s="374"/>
      <c r="V132" s="374"/>
      <c r="W132" s="374"/>
      <c r="X132" s="374"/>
      <c r="Y132" s="374"/>
      <c r="Z132" s="374"/>
      <c r="AA132" s="374"/>
      <c r="AB132" s="374"/>
      <c r="AC132" s="374"/>
      <c r="AD132" s="374"/>
      <c r="AE132" s="374"/>
      <c r="AF132" s="374"/>
      <c r="AG132" s="374"/>
    </row>
    <row r="133" ht="17.25" customHeight="1">
      <c r="A133" s="374"/>
      <c r="B133" s="158"/>
      <c r="C133" s="158"/>
      <c r="D133" s="374"/>
      <c r="E133" s="374"/>
      <c r="F133" s="374"/>
      <c r="G133" s="374"/>
      <c r="H133" s="374"/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4"/>
      <c r="T133" s="374"/>
      <c r="U133" s="374"/>
      <c r="V133" s="374"/>
      <c r="W133" s="374"/>
      <c r="X133" s="374"/>
      <c r="Y133" s="374"/>
      <c r="Z133" s="374"/>
      <c r="AA133" s="374"/>
      <c r="AB133" s="374"/>
      <c r="AC133" s="374"/>
      <c r="AD133" s="374"/>
      <c r="AE133" s="374"/>
      <c r="AF133" s="374"/>
      <c r="AG133" s="374"/>
    </row>
    <row r="134" ht="17.25" customHeight="1">
      <c r="A134" s="374"/>
      <c r="B134" s="158"/>
      <c r="C134" s="158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4"/>
      <c r="T134" s="374"/>
      <c r="U134" s="374"/>
      <c r="V134" s="374"/>
      <c r="W134" s="374"/>
      <c r="X134" s="374"/>
      <c r="Y134" s="374"/>
      <c r="Z134" s="374"/>
      <c r="AA134" s="374"/>
      <c r="AB134" s="374"/>
      <c r="AC134" s="374"/>
      <c r="AD134" s="374"/>
      <c r="AE134" s="374"/>
      <c r="AF134" s="374"/>
      <c r="AG134" s="374"/>
    </row>
    <row r="135" ht="17.25" customHeight="1">
      <c r="A135" s="374"/>
      <c r="B135" s="158"/>
      <c r="C135" s="158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  <c r="AA135" s="374"/>
      <c r="AB135" s="374"/>
      <c r="AC135" s="374"/>
      <c r="AD135" s="374"/>
      <c r="AE135" s="374"/>
      <c r="AF135" s="374"/>
      <c r="AG135" s="374"/>
    </row>
    <row r="136" ht="17.25" customHeight="1">
      <c r="A136" s="374"/>
      <c r="B136" s="158"/>
      <c r="C136" s="158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  <c r="AA136" s="374"/>
      <c r="AB136" s="374"/>
      <c r="AC136" s="374"/>
      <c r="AD136" s="374"/>
      <c r="AE136" s="374"/>
      <c r="AF136" s="374"/>
      <c r="AG136" s="374"/>
    </row>
    <row r="137" ht="17.25" customHeight="1">
      <c r="A137" s="374"/>
      <c r="B137" s="158"/>
      <c r="C137" s="158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  <c r="N137" s="374"/>
      <c r="O137" s="374"/>
      <c r="P137" s="374"/>
      <c r="Q137" s="374"/>
      <c r="R137" s="374"/>
      <c r="S137" s="374"/>
      <c r="T137" s="374"/>
      <c r="U137" s="374"/>
      <c r="V137" s="374"/>
      <c r="W137" s="374"/>
      <c r="X137" s="374"/>
      <c r="Y137" s="374"/>
      <c r="Z137" s="374"/>
      <c r="AA137" s="374"/>
      <c r="AB137" s="374"/>
      <c r="AC137" s="374"/>
      <c r="AD137" s="374"/>
      <c r="AE137" s="374"/>
      <c r="AF137" s="374"/>
      <c r="AG137" s="374"/>
    </row>
    <row r="138" ht="17.25" customHeight="1">
      <c r="A138" s="374"/>
      <c r="B138" s="158"/>
      <c r="C138" s="158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  <c r="AA138" s="374"/>
      <c r="AB138" s="374"/>
      <c r="AC138" s="374"/>
      <c r="AD138" s="374"/>
      <c r="AE138" s="374"/>
      <c r="AF138" s="374"/>
      <c r="AG138" s="374"/>
    </row>
    <row r="139" ht="17.25" customHeight="1">
      <c r="A139" s="374"/>
      <c r="B139" s="158"/>
      <c r="C139" s="158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  <c r="AA139" s="374"/>
      <c r="AB139" s="374"/>
      <c r="AC139" s="374"/>
      <c r="AD139" s="374"/>
      <c r="AE139" s="374"/>
      <c r="AF139" s="374"/>
      <c r="AG139" s="374"/>
    </row>
    <row r="140" ht="17.25" customHeight="1">
      <c r="A140" s="374"/>
      <c r="B140" s="158"/>
      <c r="C140" s="158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  <c r="T140" s="374"/>
      <c r="U140" s="374"/>
      <c r="V140" s="374"/>
      <c r="W140" s="374"/>
      <c r="X140" s="374"/>
      <c r="Y140" s="374"/>
      <c r="Z140" s="374"/>
      <c r="AA140" s="374"/>
      <c r="AB140" s="374"/>
      <c r="AC140" s="374"/>
      <c r="AD140" s="374"/>
      <c r="AE140" s="374"/>
      <c r="AF140" s="374"/>
      <c r="AG140" s="374"/>
    </row>
    <row r="141" ht="17.25" customHeight="1">
      <c r="A141" s="374"/>
      <c r="B141" s="158"/>
      <c r="C141" s="158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  <c r="T141" s="374"/>
      <c r="U141" s="374"/>
      <c r="V141" s="374"/>
      <c r="W141" s="374"/>
      <c r="X141" s="374"/>
      <c r="Y141" s="374"/>
      <c r="Z141" s="374"/>
      <c r="AA141" s="374"/>
      <c r="AB141" s="374"/>
      <c r="AC141" s="374"/>
      <c r="AD141" s="374"/>
      <c r="AE141" s="374"/>
      <c r="AF141" s="374"/>
      <c r="AG141" s="374"/>
    </row>
    <row r="142" ht="17.25" customHeight="1">
      <c r="A142" s="374"/>
      <c r="B142" s="158"/>
      <c r="C142" s="158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4"/>
      <c r="T142" s="374"/>
      <c r="U142" s="374"/>
      <c r="V142" s="374"/>
      <c r="W142" s="374"/>
      <c r="X142" s="374"/>
      <c r="Y142" s="374"/>
      <c r="Z142" s="374"/>
      <c r="AA142" s="374"/>
      <c r="AB142" s="374"/>
      <c r="AC142" s="374"/>
      <c r="AD142" s="374"/>
      <c r="AE142" s="374"/>
      <c r="AF142" s="374"/>
      <c r="AG142" s="374"/>
    </row>
    <row r="143" ht="17.25" customHeight="1">
      <c r="A143" s="374"/>
      <c r="B143" s="158"/>
      <c r="C143" s="158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4"/>
      <c r="T143" s="374"/>
      <c r="U143" s="374"/>
      <c r="V143" s="374"/>
      <c r="W143" s="374"/>
      <c r="X143" s="374"/>
      <c r="Y143" s="374"/>
      <c r="Z143" s="374"/>
      <c r="AA143" s="374"/>
      <c r="AB143" s="374"/>
      <c r="AC143" s="374"/>
      <c r="AD143" s="374"/>
      <c r="AE143" s="374"/>
      <c r="AF143" s="374"/>
      <c r="AG143" s="374"/>
    </row>
    <row r="144" ht="17.25" customHeight="1">
      <c r="A144" s="374"/>
      <c r="B144" s="158"/>
      <c r="C144" s="158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4"/>
      <c r="T144" s="374"/>
      <c r="U144" s="374"/>
      <c r="V144" s="374"/>
      <c r="W144" s="374"/>
      <c r="X144" s="374"/>
      <c r="Y144" s="374"/>
      <c r="Z144" s="374"/>
      <c r="AA144" s="374"/>
      <c r="AB144" s="374"/>
      <c r="AC144" s="374"/>
      <c r="AD144" s="374"/>
      <c r="AE144" s="374"/>
      <c r="AF144" s="374"/>
      <c r="AG144" s="374"/>
    </row>
    <row r="145" ht="17.25" customHeight="1">
      <c r="A145" s="374"/>
      <c r="B145" s="158"/>
      <c r="C145" s="158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4"/>
      <c r="T145" s="374"/>
      <c r="U145" s="374"/>
      <c r="V145" s="374"/>
      <c r="W145" s="374"/>
      <c r="X145" s="374"/>
      <c r="Y145" s="374"/>
      <c r="Z145" s="374"/>
      <c r="AA145" s="374"/>
      <c r="AB145" s="374"/>
      <c r="AC145" s="374"/>
      <c r="AD145" s="374"/>
      <c r="AE145" s="374"/>
      <c r="AF145" s="374"/>
      <c r="AG145" s="374"/>
    </row>
    <row r="146" ht="17.25" customHeight="1">
      <c r="A146" s="374"/>
      <c r="B146" s="158"/>
      <c r="C146" s="158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  <c r="T146" s="374"/>
      <c r="U146" s="374"/>
      <c r="V146" s="374"/>
      <c r="W146" s="374"/>
      <c r="X146" s="374"/>
      <c r="Y146" s="374"/>
      <c r="Z146" s="374"/>
      <c r="AA146" s="374"/>
      <c r="AB146" s="374"/>
      <c r="AC146" s="374"/>
      <c r="AD146" s="374"/>
      <c r="AE146" s="374"/>
      <c r="AF146" s="374"/>
      <c r="AG146" s="374"/>
    </row>
    <row r="147" ht="17.25" customHeight="1">
      <c r="A147" s="374"/>
      <c r="B147" s="158"/>
      <c r="C147" s="158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4"/>
      <c r="T147" s="374"/>
      <c r="U147" s="374"/>
      <c r="V147" s="374"/>
      <c r="W147" s="374"/>
      <c r="X147" s="374"/>
      <c r="Y147" s="374"/>
      <c r="Z147" s="374"/>
      <c r="AA147" s="374"/>
      <c r="AB147" s="374"/>
      <c r="AC147" s="374"/>
      <c r="AD147" s="374"/>
      <c r="AE147" s="374"/>
      <c r="AF147" s="374"/>
      <c r="AG147" s="374"/>
    </row>
    <row r="148" ht="17.25" customHeight="1">
      <c r="A148" s="374"/>
      <c r="B148" s="158"/>
      <c r="C148" s="158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  <c r="T148" s="374"/>
      <c r="U148" s="374"/>
      <c r="V148" s="374"/>
      <c r="W148" s="374"/>
      <c r="X148" s="374"/>
      <c r="Y148" s="374"/>
      <c r="Z148" s="374"/>
      <c r="AA148" s="374"/>
      <c r="AB148" s="374"/>
      <c r="AC148" s="374"/>
      <c r="AD148" s="374"/>
      <c r="AE148" s="374"/>
      <c r="AF148" s="374"/>
      <c r="AG148" s="374"/>
    </row>
    <row r="149" ht="17.25" customHeight="1">
      <c r="A149" s="374"/>
      <c r="B149" s="158"/>
      <c r="C149" s="158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  <c r="T149" s="374"/>
      <c r="U149" s="374"/>
      <c r="V149" s="374"/>
      <c r="W149" s="374"/>
      <c r="X149" s="374"/>
      <c r="Y149" s="374"/>
      <c r="Z149" s="374"/>
      <c r="AA149" s="374"/>
      <c r="AB149" s="374"/>
      <c r="AC149" s="374"/>
      <c r="AD149" s="374"/>
      <c r="AE149" s="374"/>
      <c r="AF149" s="374"/>
      <c r="AG149" s="374"/>
    </row>
    <row r="150" ht="17.25" customHeight="1">
      <c r="A150" s="374"/>
      <c r="B150" s="158"/>
      <c r="C150" s="158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4"/>
      <c r="T150" s="374"/>
      <c r="U150" s="374"/>
      <c r="V150" s="374"/>
      <c r="W150" s="374"/>
      <c r="X150" s="374"/>
      <c r="Y150" s="374"/>
      <c r="Z150" s="374"/>
      <c r="AA150" s="374"/>
      <c r="AB150" s="374"/>
      <c r="AC150" s="374"/>
      <c r="AD150" s="374"/>
      <c r="AE150" s="374"/>
      <c r="AF150" s="374"/>
      <c r="AG150" s="374"/>
    </row>
    <row r="151" ht="17.25" customHeight="1">
      <c r="A151" s="374"/>
      <c r="B151" s="158"/>
      <c r="C151" s="158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4"/>
      <c r="P151" s="374"/>
      <c r="Q151" s="374"/>
      <c r="R151" s="374"/>
      <c r="S151" s="374"/>
      <c r="T151" s="374"/>
      <c r="U151" s="374"/>
      <c r="V151" s="374"/>
      <c r="W151" s="374"/>
      <c r="X151" s="374"/>
      <c r="Y151" s="374"/>
      <c r="Z151" s="374"/>
      <c r="AA151" s="374"/>
      <c r="AB151" s="374"/>
      <c r="AC151" s="374"/>
      <c r="AD151" s="374"/>
      <c r="AE151" s="374"/>
      <c r="AF151" s="374"/>
      <c r="AG151" s="374"/>
    </row>
    <row r="152" ht="17.25" customHeight="1">
      <c r="A152" s="374"/>
      <c r="B152" s="158"/>
      <c r="C152" s="158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4"/>
      <c r="P152" s="374"/>
      <c r="Q152" s="374"/>
      <c r="R152" s="374"/>
      <c r="S152" s="374"/>
      <c r="T152" s="374"/>
      <c r="U152" s="374"/>
      <c r="V152" s="374"/>
      <c r="W152" s="374"/>
      <c r="X152" s="374"/>
      <c r="Y152" s="374"/>
      <c r="Z152" s="374"/>
      <c r="AA152" s="374"/>
      <c r="AB152" s="374"/>
      <c r="AC152" s="374"/>
      <c r="AD152" s="374"/>
      <c r="AE152" s="374"/>
      <c r="AF152" s="374"/>
      <c r="AG152" s="374"/>
    </row>
    <row r="153" ht="17.25" customHeight="1">
      <c r="A153" s="374"/>
      <c r="B153" s="158"/>
      <c r="C153" s="158"/>
      <c r="D153" s="374"/>
      <c r="E153" s="374"/>
      <c r="F153" s="374"/>
      <c r="G153" s="374"/>
      <c r="H153" s="374"/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4"/>
      <c r="T153" s="374"/>
      <c r="U153" s="374"/>
      <c r="V153" s="374"/>
      <c r="W153" s="374"/>
      <c r="X153" s="374"/>
      <c r="Y153" s="374"/>
      <c r="Z153" s="374"/>
      <c r="AA153" s="374"/>
      <c r="AB153" s="374"/>
      <c r="AC153" s="374"/>
      <c r="AD153" s="374"/>
      <c r="AE153" s="374"/>
      <c r="AF153" s="374"/>
      <c r="AG153" s="374"/>
    </row>
    <row r="154" ht="17.25" customHeight="1">
      <c r="A154" s="374"/>
      <c r="B154" s="158"/>
      <c r="C154" s="158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4"/>
      <c r="Q154" s="374"/>
      <c r="R154" s="374"/>
      <c r="S154" s="374"/>
      <c r="T154" s="374"/>
      <c r="U154" s="374"/>
      <c r="V154" s="374"/>
      <c r="W154" s="374"/>
      <c r="X154" s="374"/>
      <c r="Y154" s="374"/>
      <c r="Z154" s="374"/>
      <c r="AA154" s="374"/>
      <c r="AB154" s="374"/>
      <c r="AC154" s="374"/>
      <c r="AD154" s="374"/>
      <c r="AE154" s="374"/>
      <c r="AF154" s="374"/>
      <c r="AG154" s="374"/>
    </row>
    <row r="155" ht="17.25" customHeight="1">
      <c r="A155" s="374"/>
      <c r="B155" s="158"/>
      <c r="C155" s="158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  <c r="AA155" s="374"/>
      <c r="AB155" s="374"/>
      <c r="AC155" s="374"/>
      <c r="AD155" s="374"/>
      <c r="AE155" s="374"/>
      <c r="AF155" s="374"/>
      <c r="AG155" s="374"/>
    </row>
    <row r="156" ht="17.25" customHeight="1">
      <c r="A156" s="374"/>
      <c r="B156" s="158"/>
      <c r="C156" s="158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  <c r="AA156" s="374"/>
      <c r="AB156" s="374"/>
      <c r="AC156" s="374"/>
      <c r="AD156" s="374"/>
      <c r="AE156" s="374"/>
      <c r="AF156" s="374"/>
      <c r="AG156" s="374"/>
    </row>
    <row r="157" ht="17.25" customHeight="1">
      <c r="A157" s="374"/>
      <c r="B157" s="158"/>
      <c r="C157" s="158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  <c r="AA157" s="374"/>
      <c r="AB157" s="374"/>
      <c r="AC157" s="374"/>
      <c r="AD157" s="374"/>
      <c r="AE157" s="374"/>
      <c r="AF157" s="374"/>
      <c r="AG157" s="374"/>
    </row>
    <row r="158" ht="17.25" customHeight="1">
      <c r="A158" s="374"/>
      <c r="B158" s="158"/>
      <c r="C158" s="158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  <c r="AA158" s="374"/>
      <c r="AB158" s="374"/>
      <c r="AC158" s="374"/>
      <c r="AD158" s="374"/>
      <c r="AE158" s="374"/>
      <c r="AF158" s="374"/>
      <c r="AG158" s="374"/>
    </row>
    <row r="159" ht="17.25" customHeight="1">
      <c r="A159" s="374"/>
      <c r="B159" s="158"/>
      <c r="C159" s="158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  <c r="AA159" s="374"/>
      <c r="AB159" s="374"/>
      <c r="AC159" s="374"/>
      <c r="AD159" s="374"/>
      <c r="AE159" s="374"/>
      <c r="AF159" s="374"/>
      <c r="AG159" s="374"/>
    </row>
    <row r="160" ht="17.25" customHeight="1">
      <c r="A160" s="374"/>
      <c r="B160" s="158"/>
      <c r="C160" s="158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  <c r="AA160" s="374"/>
      <c r="AB160" s="374"/>
      <c r="AC160" s="374"/>
      <c r="AD160" s="374"/>
      <c r="AE160" s="374"/>
      <c r="AF160" s="374"/>
      <c r="AG160" s="374"/>
    </row>
    <row r="161" ht="17.25" customHeight="1">
      <c r="A161" s="374"/>
      <c r="B161" s="158"/>
      <c r="C161" s="158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  <c r="AA161" s="374"/>
      <c r="AB161" s="374"/>
      <c r="AC161" s="374"/>
      <c r="AD161" s="374"/>
      <c r="AE161" s="374"/>
      <c r="AF161" s="374"/>
      <c r="AG161" s="374"/>
    </row>
    <row r="162" ht="17.25" customHeight="1">
      <c r="A162" s="374"/>
      <c r="B162" s="158"/>
      <c r="C162" s="158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  <c r="AA162" s="374"/>
      <c r="AB162" s="374"/>
      <c r="AC162" s="374"/>
      <c r="AD162" s="374"/>
      <c r="AE162" s="374"/>
      <c r="AF162" s="374"/>
      <c r="AG162" s="374"/>
    </row>
    <row r="163" ht="17.25" customHeight="1">
      <c r="A163" s="374"/>
      <c r="B163" s="158"/>
      <c r="C163" s="158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  <c r="AA163" s="374"/>
      <c r="AB163" s="374"/>
      <c r="AC163" s="374"/>
      <c r="AD163" s="374"/>
      <c r="AE163" s="374"/>
      <c r="AF163" s="374"/>
      <c r="AG163" s="374"/>
    </row>
    <row r="164" ht="17.25" customHeight="1">
      <c r="A164" s="374"/>
      <c r="B164" s="158"/>
      <c r="C164" s="158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  <c r="AA164" s="374"/>
      <c r="AB164" s="374"/>
      <c r="AC164" s="374"/>
      <c r="AD164" s="374"/>
      <c r="AE164" s="374"/>
      <c r="AF164" s="374"/>
      <c r="AG164" s="374"/>
    </row>
    <row r="165" ht="17.25" customHeight="1">
      <c r="A165" s="374"/>
      <c r="B165" s="158"/>
      <c r="C165" s="158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  <c r="AA165" s="374"/>
      <c r="AB165" s="374"/>
      <c r="AC165" s="374"/>
      <c r="AD165" s="374"/>
      <c r="AE165" s="374"/>
      <c r="AF165" s="374"/>
      <c r="AG165" s="374"/>
    </row>
    <row r="166" ht="17.25" customHeight="1">
      <c r="A166" s="374"/>
      <c r="B166" s="158"/>
      <c r="C166" s="158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  <c r="AA166" s="374"/>
      <c r="AB166" s="374"/>
      <c r="AC166" s="374"/>
      <c r="AD166" s="374"/>
      <c r="AE166" s="374"/>
      <c r="AF166" s="374"/>
      <c r="AG166" s="374"/>
    </row>
    <row r="167" ht="17.25" customHeight="1">
      <c r="A167" s="374"/>
      <c r="B167" s="158"/>
      <c r="C167" s="158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  <c r="AA167" s="374"/>
      <c r="AB167" s="374"/>
      <c r="AC167" s="374"/>
      <c r="AD167" s="374"/>
      <c r="AE167" s="374"/>
      <c r="AF167" s="374"/>
      <c r="AG167" s="374"/>
    </row>
    <row r="168" ht="17.25" customHeight="1">
      <c r="A168" s="374"/>
      <c r="B168" s="158"/>
      <c r="C168" s="158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  <c r="AA168" s="374"/>
      <c r="AB168" s="374"/>
      <c r="AC168" s="374"/>
      <c r="AD168" s="374"/>
      <c r="AE168" s="374"/>
      <c r="AF168" s="374"/>
      <c r="AG168" s="374"/>
    </row>
    <row r="169" ht="17.25" customHeight="1">
      <c r="A169" s="374"/>
      <c r="B169" s="158"/>
      <c r="C169" s="158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  <c r="AA169" s="374"/>
      <c r="AB169" s="374"/>
      <c r="AC169" s="374"/>
      <c r="AD169" s="374"/>
      <c r="AE169" s="374"/>
      <c r="AF169" s="374"/>
      <c r="AG169" s="374"/>
    </row>
    <row r="170" ht="17.25" customHeight="1">
      <c r="A170" s="374"/>
      <c r="B170" s="158"/>
      <c r="C170" s="158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  <c r="AA170" s="374"/>
      <c r="AB170" s="374"/>
      <c r="AC170" s="374"/>
      <c r="AD170" s="374"/>
      <c r="AE170" s="374"/>
      <c r="AF170" s="374"/>
      <c r="AG170" s="374"/>
    </row>
    <row r="171" ht="17.25" customHeight="1">
      <c r="A171" s="374"/>
      <c r="B171" s="158"/>
      <c r="C171" s="158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  <c r="AA171" s="374"/>
      <c r="AB171" s="374"/>
      <c r="AC171" s="374"/>
      <c r="AD171" s="374"/>
      <c r="AE171" s="374"/>
      <c r="AF171" s="374"/>
      <c r="AG171" s="374"/>
    </row>
    <row r="172" ht="17.25" customHeight="1">
      <c r="A172" s="374"/>
      <c r="B172" s="158"/>
      <c r="C172" s="158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  <c r="AA172" s="374"/>
      <c r="AB172" s="374"/>
      <c r="AC172" s="374"/>
      <c r="AD172" s="374"/>
      <c r="AE172" s="374"/>
      <c r="AF172" s="374"/>
      <c r="AG172" s="374"/>
    </row>
    <row r="173" ht="17.25" customHeight="1">
      <c r="A173" s="374"/>
      <c r="B173" s="158"/>
      <c r="C173" s="158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  <c r="AA173" s="374"/>
      <c r="AB173" s="374"/>
      <c r="AC173" s="374"/>
      <c r="AD173" s="374"/>
      <c r="AE173" s="374"/>
      <c r="AF173" s="374"/>
      <c r="AG173" s="374"/>
    </row>
    <row r="174" ht="17.25" customHeight="1">
      <c r="A174" s="374"/>
      <c r="B174" s="158"/>
      <c r="C174" s="158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  <c r="AA174" s="374"/>
      <c r="AB174" s="374"/>
      <c r="AC174" s="374"/>
      <c r="AD174" s="374"/>
      <c r="AE174" s="374"/>
      <c r="AF174" s="374"/>
      <c r="AG174" s="374"/>
    </row>
    <row r="175" ht="17.25" customHeight="1">
      <c r="A175" s="374"/>
      <c r="B175" s="158"/>
      <c r="C175" s="158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  <c r="AA175" s="374"/>
      <c r="AB175" s="374"/>
      <c r="AC175" s="374"/>
      <c r="AD175" s="374"/>
      <c r="AE175" s="374"/>
      <c r="AF175" s="374"/>
      <c r="AG175" s="374"/>
    </row>
    <row r="176" ht="17.25" customHeight="1">
      <c r="A176" s="374"/>
      <c r="B176" s="158"/>
      <c r="C176" s="158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  <c r="AA176" s="374"/>
      <c r="AB176" s="374"/>
      <c r="AC176" s="374"/>
      <c r="AD176" s="374"/>
      <c r="AE176" s="374"/>
      <c r="AF176" s="374"/>
      <c r="AG176" s="374"/>
    </row>
    <row r="177" ht="17.25" customHeight="1">
      <c r="A177" s="374"/>
      <c r="B177" s="158"/>
      <c r="C177" s="158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  <c r="AA177" s="374"/>
      <c r="AB177" s="374"/>
      <c r="AC177" s="374"/>
      <c r="AD177" s="374"/>
      <c r="AE177" s="374"/>
      <c r="AF177" s="374"/>
      <c r="AG177" s="374"/>
    </row>
    <row r="178" ht="17.25" customHeight="1">
      <c r="A178" s="374"/>
      <c r="B178" s="158"/>
      <c r="C178" s="158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  <c r="AA178" s="374"/>
      <c r="AB178" s="374"/>
      <c r="AC178" s="374"/>
      <c r="AD178" s="374"/>
      <c r="AE178" s="374"/>
      <c r="AF178" s="374"/>
      <c r="AG178" s="374"/>
    </row>
    <row r="179" ht="17.25" customHeight="1">
      <c r="A179" s="374"/>
      <c r="B179" s="158"/>
      <c r="C179" s="158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  <c r="AA179" s="374"/>
      <c r="AB179" s="374"/>
      <c r="AC179" s="374"/>
      <c r="AD179" s="374"/>
      <c r="AE179" s="374"/>
      <c r="AF179" s="374"/>
      <c r="AG179" s="374"/>
    </row>
    <row r="180" ht="17.25" customHeight="1">
      <c r="A180" s="374"/>
      <c r="B180" s="158"/>
      <c r="C180" s="158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  <c r="AA180" s="374"/>
      <c r="AB180" s="374"/>
      <c r="AC180" s="374"/>
      <c r="AD180" s="374"/>
      <c r="AE180" s="374"/>
      <c r="AF180" s="374"/>
      <c r="AG180" s="374"/>
    </row>
    <row r="181" ht="17.25" customHeight="1">
      <c r="A181" s="374"/>
      <c r="B181" s="158"/>
      <c r="C181" s="158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  <c r="AA181" s="374"/>
      <c r="AB181" s="374"/>
      <c r="AC181" s="374"/>
      <c r="AD181" s="374"/>
      <c r="AE181" s="374"/>
      <c r="AF181" s="374"/>
      <c r="AG181" s="374"/>
    </row>
    <row r="182" ht="17.25" customHeight="1">
      <c r="A182" s="374"/>
      <c r="B182" s="158"/>
      <c r="C182" s="158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  <c r="AA182" s="374"/>
      <c r="AB182" s="374"/>
      <c r="AC182" s="374"/>
      <c r="AD182" s="374"/>
      <c r="AE182" s="374"/>
      <c r="AF182" s="374"/>
      <c r="AG182" s="374"/>
    </row>
    <row r="183" ht="17.25" customHeight="1">
      <c r="A183" s="374"/>
      <c r="B183" s="158"/>
      <c r="C183" s="158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  <c r="AA183" s="374"/>
      <c r="AB183" s="374"/>
      <c r="AC183" s="374"/>
      <c r="AD183" s="374"/>
      <c r="AE183" s="374"/>
      <c r="AF183" s="374"/>
      <c r="AG183" s="374"/>
    </row>
    <row r="184" ht="17.25" customHeight="1">
      <c r="A184" s="374"/>
      <c r="B184" s="158"/>
      <c r="C184" s="158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  <c r="AA184" s="374"/>
      <c r="AB184" s="374"/>
      <c r="AC184" s="374"/>
      <c r="AD184" s="374"/>
      <c r="AE184" s="374"/>
      <c r="AF184" s="374"/>
      <c r="AG184" s="374"/>
    </row>
    <row r="185" ht="17.25" customHeight="1">
      <c r="A185" s="374"/>
      <c r="B185" s="158"/>
      <c r="C185" s="158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  <c r="AA185" s="374"/>
      <c r="AB185" s="374"/>
      <c r="AC185" s="374"/>
      <c r="AD185" s="374"/>
      <c r="AE185" s="374"/>
      <c r="AF185" s="374"/>
      <c r="AG185" s="374"/>
    </row>
    <row r="186" ht="17.25" customHeight="1">
      <c r="A186" s="374"/>
      <c r="B186" s="158"/>
      <c r="C186" s="158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  <c r="AA186" s="374"/>
      <c r="AB186" s="374"/>
      <c r="AC186" s="374"/>
      <c r="AD186" s="374"/>
      <c r="AE186" s="374"/>
      <c r="AF186" s="374"/>
      <c r="AG186" s="374"/>
    </row>
    <row r="187" ht="17.25" customHeight="1">
      <c r="A187" s="374"/>
      <c r="B187" s="158"/>
      <c r="C187" s="158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  <c r="AA187" s="374"/>
      <c r="AB187" s="374"/>
      <c r="AC187" s="374"/>
      <c r="AD187" s="374"/>
      <c r="AE187" s="374"/>
      <c r="AF187" s="374"/>
      <c r="AG187" s="374"/>
    </row>
    <row r="188" ht="17.25" customHeight="1">
      <c r="A188" s="374"/>
      <c r="B188" s="158"/>
      <c r="C188" s="158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  <c r="AA188" s="374"/>
      <c r="AB188" s="374"/>
      <c r="AC188" s="374"/>
      <c r="AD188" s="374"/>
      <c r="AE188" s="374"/>
      <c r="AF188" s="374"/>
      <c r="AG188" s="374"/>
    </row>
    <row r="189" ht="17.25" customHeight="1">
      <c r="A189" s="374"/>
      <c r="B189" s="158"/>
      <c r="C189" s="158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  <c r="AA189" s="374"/>
      <c r="AB189" s="374"/>
      <c r="AC189" s="374"/>
      <c r="AD189" s="374"/>
      <c r="AE189" s="374"/>
      <c r="AF189" s="374"/>
      <c r="AG189" s="374"/>
    </row>
    <row r="190" ht="17.25" customHeight="1">
      <c r="A190" s="374"/>
      <c r="B190" s="158"/>
      <c r="C190" s="158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  <c r="AA190" s="374"/>
      <c r="AB190" s="374"/>
      <c r="AC190" s="374"/>
      <c r="AD190" s="374"/>
      <c r="AE190" s="374"/>
      <c r="AF190" s="374"/>
      <c r="AG190" s="374"/>
    </row>
    <row r="191" ht="17.25" customHeight="1">
      <c r="A191" s="374"/>
      <c r="B191" s="158"/>
      <c r="C191" s="158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  <c r="AA191" s="374"/>
      <c r="AB191" s="374"/>
      <c r="AC191" s="374"/>
      <c r="AD191" s="374"/>
      <c r="AE191" s="374"/>
      <c r="AF191" s="374"/>
      <c r="AG191" s="374"/>
    </row>
    <row r="192" ht="17.25" customHeight="1">
      <c r="A192" s="374"/>
      <c r="B192" s="158"/>
      <c r="C192" s="158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  <c r="AA192" s="374"/>
      <c r="AB192" s="374"/>
      <c r="AC192" s="374"/>
      <c r="AD192" s="374"/>
      <c r="AE192" s="374"/>
      <c r="AF192" s="374"/>
      <c r="AG192" s="374"/>
    </row>
    <row r="193" ht="17.25" customHeight="1">
      <c r="A193" s="374"/>
      <c r="B193" s="158"/>
      <c r="C193" s="158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  <c r="AA193" s="374"/>
      <c r="AB193" s="374"/>
      <c r="AC193" s="374"/>
      <c r="AD193" s="374"/>
      <c r="AE193" s="374"/>
      <c r="AF193" s="374"/>
      <c r="AG193" s="374"/>
    </row>
    <row r="194" ht="17.25" customHeight="1">
      <c r="A194" s="374"/>
      <c r="B194" s="158"/>
      <c r="C194" s="158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  <c r="AA194" s="374"/>
      <c r="AB194" s="374"/>
      <c r="AC194" s="374"/>
      <c r="AD194" s="374"/>
      <c r="AE194" s="374"/>
      <c r="AF194" s="374"/>
      <c r="AG194" s="374"/>
    </row>
    <row r="195" ht="17.25" customHeight="1">
      <c r="A195" s="374"/>
      <c r="B195" s="158"/>
      <c r="C195" s="158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  <c r="AA195" s="374"/>
      <c r="AB195" s="374"/>
      <c r="AC195" s="374"/>
      <c r="AD195" s="374"/>
      <c r="AE195" s="374"/>
      <c r="AF195" s="374"/>
      <c r="AG195" s="374"/>
    </row>
    <row r="196" ht="17.25" customHeight="1">
      <c r="A196" s="374"/>
      <c r="B196" s="158"/>
      <c r="C196" s="158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  <c r="AA196" s="374"/>
      <c r="AB196" s="374"/>
      <c r="AC196" s="374"/>
      <c r="AD196" s="374"/>
      <c r="AE196" s="374"/>
      <c r="AF196" s="374"/>
      <c r="AG196" s="374"/>
    </row>
    <row r="197" ht="17.25" customHeight="1">
      <c r="A197" s="374"/>
      <c r="B197" s="158"/>
      <c r="C197" s="158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  <c r="AA197" s="374"/>
      <c r="AB197" s="374"/>
      <c r="AC197" s="374"/>
      <c r="AD197" s="374"/>
      <c r="AE197" s="374"/>
      <c r="AF197" s="374"/>
      <c r="AG197" s="374"/>
    </row>
    <row r="198" ht="17.25" customHeight="1">
      <c r="A198" s="374"/>
      <c r="B198" s="158"/>
      <c r="C198" s="158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  <c r="AA198" s="374"/>
      <c r="AB198" s="374"/>
      <c r="AC198" s="374"/>
      <c r="AD198" s="374"/>
      <c r="AE198" s="374"/>
      <c r="AF198" s="374"/>
      <c r="AG198" s="374"/>
    </row>
    <row r="199" ht="17.25" customHeight="1">
      <c r="A199" s="374"/>
      <c r="B199" s="158"/>
      <c r="C199" s="158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  <c r="AA199" s="374"/>
      <c r="AB199" s="374"/>
      <c r="AC199" s="374"/>
      <c r="AD199" s="374"/>
      <c r="AE199" s="374"/>
      <c r="AF199" s="374"/>
      <c r="AG199" s="374"/>
    </row>
    <row r="200" ht="17.25" customHeight="1">
      <c r="A200" s="374"/>
      <c r="B200" s="158"/>
      <c r="C200" s="158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  <c r="AA200" s="374"/>
      <c r="AB200" s="374"/>
      <c r="AC200" s="374"/>
      <c r="AD200" s="374"/>
      <c r="AE200" s="374"/>
      <c r="AF200" s="374"/>
      <c r="AG200" s="374"/>
    </row>
    <row r="201" ht="17.25" customHeight="1">
      <c r="A201" s="374"/>
      <c r="B201" s="158"/>
      <c r="C201" s="158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  <c r="AA201" s="374"/>
      <c r="AB201" s="374"/>
      <c r="AC201" s="374"/>
      <c r="AD201" s="374"/>
      <c r="AE201" s="374"/>
      <c r="AF201" s="374"/>
      <c r="AG201" s="374"/>
    </row>
    <row r="202" ht="17.25" customHeight="1">
      <c r="A202" s="374"/>
      <c r="B202" s="158"/>
      <c r="C202" s="158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  <c r="AA202" s="374"/>
      <c r="AB202" s="374"/>
      <c r="AC202" s="374"/>
      <c r="AD202" s="374"/>
      <c r="AE202" s="374"/>
      <c r="AF202" s="374"/>
      <c r="AG202" s="374"/>
    </row>
    <row r="203" ht="17.25" customHeight="1">
      <c r="A203" s="374"/>
      <c r="B203" s="158"/>
      <c r="C203" s="158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  <c r="AA203" s="374"/>
      <c r="AB203" s="374"/>
      <c r="AC203" s="374"/>
      <c r="AD203" s="374"/>
      <c r="AE203" s="374"/>
      <c r="AF203" s="374"/>
      <c r="AG203" s="374"/>
    </row>
    <row r="204" ht="17.25" customHeight="1">
      <c r="A204" s="374"/>
      <c r="B204" s="158"/>
      <c r="C204" s="158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  <c r="AA204" s="374"/>
      <c r="AB204" s="374"/>
      <c r="AC204" s="374"/>
      <c r="AD204" s="374"/>
      <c r="AE204" s="374"/>
      <c r="AF204" s="374"/>
      <c r="AG204" s="374"/>
    </row>
    <row r="205" ht="17.25" customHeight="1">
      <c r="A205" s="374"/>
      <c r="B205" s="158"/>
      <c r="C205" s="158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  <c r="AA205" s="374"/>
      <c r="AB205" s="374"/>
      <c r="AC205" s="374"/>
      <c r="AD205" s="374"/>
      <c r="AE205" s="374"/>
      <c r="AF205" s="374"/>
      <c r="AG205" s="374"/>
    </row>
    <row r="206" ht="17.25" customHeight="1">
      <c r="A206" s="374"/>
      <c r="B206" s="158"/>
      <c r="C206" s="158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  <c r="AA206" s="374"/>
      <c r="AB206" s="374"/>
      <c r="AC206" s="374"/>
      <c r="AD206" s="374"/>
      <c r="AE206" s="374"/>
      <c r="AF206" s="374"/>
      <c r="AG206" s="374"/>
    </row>
    <row r="207" ht="17.25" customHeight="1">
      <c r="A207" s="374"/>
      <c r="B207" s="158"/>
      <c r="C207" s="158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  <c r="AA207" s="374"/>
      <c r="AB207" s="374"/>
      <c r="AC207" s="374"/>
      <c r="AD207" s="374"/>
      <c r="AE207" s="374"/>
      <c r="AF207" s="374"/>
      <c r="AG207" s="374"/>
    </row>
    <row r="208" ht="17.25" customHeight="1">
      <c r="A208" s="374"/>
      <c r="B208" s="158"/>
      <c r="C208" s="158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  <c r="AA208" s="374"/>
      <c r="AB208" s="374"/>
      <c r="AC208" s="374"/>
      <c r="AD208" s="374"/>
      <c r="AE208" s="374"/>
      <c r="AF208" s="374"/>
      <c r="AG208" s="374"/>
    </row>
    <row r="209" ht="17.25" customHeight="1">
      <c r="A209" s="374"/>
      <c r="B209" s="158"/>
      <c r="C209" s="158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  <c r="AA209" s="374"/>
      <c r="AB209" s="374"/>
      <c r="AC209" s="374"/>
      <c r="AD209" s="374"/>
      <c r="AE209" s="374"/>
      <c r="AF209" s="374"/>
      <c r="AG209" s="374"/>
    </row>
    <row r="210" ht="17.25" customHeight="1">
      <c r="A210" s="374"/>
      <c r="B210" s="158"/>
      <c r="C210" s="158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  <c r="AA210" s="374"/>
      <c r="AB210" s="374"/>
      <c r="AC210" s="374"/>
      <c r="AD210" s="374"/>
      <c r="AE210" s="374"/>
      <c r="AF210" s="374"/>
      <c r="AG210" s="374"/>
    </row>
    <row r="211" ht="17.25" customHeight="1">
      <c r="A211" s="374"/>
      <c r="B211" s="158"/>
      <c r="C211" s="158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  <c r="AA211" s="374"/>
      <c r="AB211" s="374"/>
      <c r="AC211" s="374"/>
      <c r="AD211" s="374"/>
      <c r="AE211" s="374"/>
      <c r="AF211" s="374"/>
      <c r="AG211" s="374"/>
    </row>
    <row r="212" ht="17.25" customHeight="1">
      <c r="A212" s="374"/>
      <c r="B212" s="158"/>
      <c r="C212" s="158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  <c r="AA212" s="374"/>
      <c r="AB212" s="374"/>
      <c r="AC212" s="374"/>
      <c r="AD212" s="374"/>
      <c r="AE212" s="374"/>
      <c r="AF212" s="374"/>
      <c r="AG212" s="374"/>
    </row>
    <row r="213" ht="17.25" customHeight="1">
      <c r="A213" s="374"/>
      <c r="B213" s="158"/>
      <c r="C213" s="158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  <c r="AA213" s="374"/>
      <c r="AB213" s="374"/>
      <c r="AC213" s="374"/>
      <c r="AD213" s="374"/>
      <c r="AE213" s="374"/>
      <c r="AF213" s="374"/>
      <c r="AG213" s="374"/>
    </row>
    <row r="214" ht="17.25" customHeight="1">
      <c r="A214" s="374"/>
      <c r="B214" s="158"/>
      <c r="C214" s="158"/>
      <c r="D214" s="374"/>
      <c r="E214" s="374"/>
      <c r="F214" s="374"/>
      <c r="G214" s="374"/>
      <c r="H214" s="374"/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  <c r="AA214" s="374"/>
      <c r="AB214" s="374"/>
      <c r="AC214" s="374"/>
      <c r="AD214" s="374"/>
      <c r="AE214" s="374"/>
      <c r="AF214" s="374"/>
      <c r="AG214" s="374"/>
    </row>
    <row r="215" ht="17.25" customHeight="1">
      <c r="A215" s="374"/>
      <c r="B215" s="158"/>
      <c r="C215" s="158"/>
      <c r="D215" s="374"/>
      <c r="E215" s="374"/>
      <c r="F215" s="374"/>
      <c r="G215" s="374"/>
      <c r="H215" s="374"/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  <c r="AA215" s="374"/>
      <c r="AB215" s="374"/>
      <c r="AC215" s="374"/>
      <c r="AD215" s="374"/>
      <c r="AE215" s="374"/>
      <c r="AF215" s="374"/>
      <c r="AG215" s="374"/>
    </row>
    <row r="216" ht="17.25" customHeight="1">
      <c r="A216" s="374"/>
      <c r="B216" s="158"/>
      <c r="C216" s="158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  <c r="AA216" s="374"/>
      <c r="AB216" s="374"/>
      <c r="AC216" s="374"/>
      <c r="AD216" s="374"/>
      <c r="AE216" s="374"/>
      <c r="AF216" s="374"/>
      <c r="AG216" s="374"/>
    </row>
    <row r="217" ht="17.25" customHeight="1">
      <c r="A217" s="374"/>
      <c r="B217" s="158"/>
      <c r="C217" s="158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  <c r="AA217" s="374"/>
      <c r="AB217" s="374"/>
      <c r="AC217" s="374"/>
      <c r="AD217" s="374"/>
      <c r="AE217" s="374"/>
      <c r="AF217" s="374"/>
      <c r="AG217" s="374"/>
    </row>
    <row r="218" ht="17.25" customHeight="1">
      <c r="A218" s="374"/>
      <c r="B218" s="158"/>
      <c r="C218" s="158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  <c r="AA218" s="374"/>
      <c r="AB218" s="374"/>
      <c r="AC218" s="374"/>
      <c r="AD218" s="374"/>
      <c r="AE218" s="374"/>
      <c r="AF218" s="374"/>
      <c r="AG218" s="374"/>
    </row>
    <row r="219" ht="17.25" customHeight="1">
      <c r="A219" s="374"/>
      <c r="B219" s="158"/>
      <c r="C219" s="158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  <c r="AA219" s="374"/>
      <c r="AB219" s="374"/>
      <c r="AC219" s="374"/>
      <c r="AD219" s="374"/>
      <c r="AE219" s="374"/>
      <c r="AF219" s="374"/>
      <c r="AG219" s="374"/>
    </row>
    <row r="220" ht="17.25" customHeight="1">
      <c r="A220" s="374"/>
      <c r="B220" s="158"/>
      <c r="C220" s="158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  <c r="AA220" s="374"/>
      <c r="AB220" s="374"/>
      <c r="AC220" s="374"/>
      <c r="AD220" s="374"/>
      <c r="AE220" s="374"/>
      <c r="AF220" s="374"/>
      <c r="AG220" s="374"/>
    </row>
    <row r="221" ht="17.25" customHeight="1">
      <c r="A221" s="374"/>
      <c r="B221" s="158"/>
      <c r="C221" s="158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4"/>
      <c r="T221" s="374"/>
      <c r="U221" s="374"/>
      <c r="V221" s="374"/>
      <c r="W221" s="374"/>
      <c r="X221" s="374"/>
      <c r="Y221" s="374"/>
      <c r="Z221" s="374"/>
      <c r="AA221" s="374"/>
      <c r="AB221" s="374"/>
      <c r="AC221" s="374"/>
      <c r="AD221" s="374"/>
      <c r="AE221" s="374"/>
      <c r="AF221" s="374"/>
      <c r="AG221" s="37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5.0"/>
    <col customWidth="1" min="3" max="13" width="10.14"/>
    <col customWidth="1" min="14" max="26" width="10.71"/>
  </cols>
  <sheetData>
    <row r="1" ht="9.0" customHeight="1">
      <c r="A1" s="374"/>
      <c r="B1" s="374"/>
      <c r="C1" s="374"/>
      <c r="D1" s="374" t="str">
        <f t="shared" ref="D1:M1" si="1">IF(E2="x","y","")</f>
        <v/>
      </c>
      <c r="E1" s="374" t="str">
        <f t="shared" si="1"/>
        <v/>
      </c>
      <c r="F1" s="374" t="str">
        <f t="shared" si="1"/>
        <v/>
      </c>
      <c r="G1" s="374" t="str">
        <f t="shared" si="1"/>
        <v>y</v>
      </c>
      <c r="H1" s="374" t="str">
        <f t="shared" si="1"/>
        <v/>
      </c>
      <c r="I1" s="374" t="str">
        <f t="shared" si="1"/>
        <v/>
      </c>
      <c r="J1" s="374" t="str">
        <f t="shared" si="1"/>
        <v/>
      </c>
      <c r="K1" s="374" t="str">
        <f t="shared" si="1"/>
        <v/>
      </c>
      <c r="L1" s="374" t="str">
        <f t="shared" si="1"/>
        <v/>
      </c>
      <c r="M1" s="374" t="str">
        <f t="shared" si="1"/>
        <v/>
      </c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</row>
    <row r="2" ht="17.25" customHeight="1">
      <c r="A2" s="374"/>
      <c r="B2" s="157" t="s">
        <v>602</v>
      </c>
      <c r="C2" s="374"/>
      <c r="D2" s="326" t="str">
        <f t="shared" ref="D2:M2" si="2">IF(AND(D10&gt;0,C10&lt;0),"x","")</f>
        <v/>
      </c>
      <c r="E2" s="326" t="str">
        <f t="shared" si="2"/>
        <v/>
      </c>
      <c r="F2" s="326" t="str">
        <f t="shared" si="2"/>
        <v/>
      </c>
      <c r="G2" s="326" t="str">
        <f t="shared" si="2"/>
        <v/>
      </c>
      <c r="H2" s="326" t="str">
        <f t="shared" si="2"/>
        <v>x</v>
      </c>
      <c r="I2" s="326" t="str">
        <f t="shared" si="2"/>
        <v/>
      </c>
      <c r="J2" s="326" t="str">
        <f t="shared" si="2"/>
        <v/>
      </c>
      <c r="K2" s="326" t="str">
        <f t="shared" si="2"/>
        <v/>
      </c>
      <c r="L2" s="326" t="str">
        <f t="shared" si="2"/>
        <v/>
      </c>
      <c r="M2" s="326" t="str">
        <f t="shared" si="2"/>
        <v/>
      </c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</row>
    <row r="3" ht="22.5" customHeight="1">
      <c r="A3" s="374"/>
      <c r="B3" s="376" t="s">
        <v>603</v>
      </c>
      <c r="C3" s="375">
        <v>0.0</v>
      </c>
      <c r="D3" s="375">
        <v>1.0</v>
      </c>
      <c r="E3" s="375">
        <v>2.0</v>
      </c>
      <c r="F3" s="375">
        <v>3.0</v>
      </c>
      <c r="G3" s="375">
        <v>4.0</v>
      </c>
      <c r="H3" s="375">
        <v>5.0</v>
      </c>
      <c r="I3" s="375">
        <v>6.0</v>
      </c>
      <c r="J3" s="375">
        <v>7.0</v>
      </c>
      <c r="K3" s="375">
        <v>8.0</v>
      </c>
      <c r="L3" s="375">
        <v>9.0</v>
      </c>
      <c r="M3" s="375">
        <v>10.0</v>
      </c>
      <c r="N3" s="375" t="s">
        <v>39</v>
      </c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</row>
    <row r="4" ht="22.5" customHeight="1">
      <c r="A4" s="374"/>
      <c r="B4" s="380" t="s">
        <v>604</v>
      </c>
      <c r="C4" s="381">
        <v>0.0</v>
      </c>
      <c r="D4" s="382">
        <f>'Plan de ventas'!F76</f>
        <v>3585.96373</v>
      </c>
      <c r="E4" s="382">
        <f>'Plan de ventas'!G76</f>
        <v>4098.23999</v>
      </c>
      <c r="F4" s="382">
        <f>'Plan de ventas'!H76</f>
        <v>4347.412981</v>
      </c>
      <c r="G4" s="382">
        <f>'Plan de ventas'!I76</f>
        <v>4611.735691</v>
      </c>
      <c r="H4" s="382">
        <f>'Plan de ventas'!J76</f>
        <v>4892.129221</v>
      </c>
      <c r="I4" s="382">
        <f>'Plan de ventas'!K76</f>
        <v>5240.448821</v>
      </c>
      <c r="J4" s="382">
        <f>'Plan de ventas'!L76</f>
        <v>5613.568777</v>
      </c>
      <c r="K4" s="382">
        <f>'Plan de ventas'!M76</f>
        <v>6013.254874</v>
      </c>
      <c r="L4" s="382">
        <f>'Plan de ventas'!N76</f>
        <v>6441.398621</v>
      </c>
      <c r="M4" s="382">
        <f>'Plan de ventas'!O76</f>
        <v>6900.026203</v>
      </c>
      <c r="N4" s="383">
        <f t="shared" ref="N4:N9" si="3">SUM(C4:M4)</f>
        <v>51744.17891</v>
      </c>
      <c r="O4" s="374"/>
      <c r="P4" s="374"/>
      <c r="Q4" s="374"/>
      <c r="R4" s="374"/>
      <c r="S4" s="374"/>
      <c r="T4" s="374"/>
      <c r="U4" s="374"/>
      <c r="V4" s="374"/>
      <c r="W4" s="374"/>
      <c r="X4" s="374"/>
      <c r="Y4" s="374"/>
      <c r="Z4" s="374"/>
    </row>
    <row r="5" ht="22.5" customHeight="1">
      <c r="A5" s="374"/>
      <c r="B5" s="384" t="s">
        <v>605</v>
      </c>
      <c r="C5" s="385">
        <f>Inversiones!C9</f>
        <v>1778.942</v>
      </c>
      <c r="D5" s="386">
        <f>Costos!$C$7+Inversiones!W8</f>
        <v>3817.479631</v>
      </c>
      <c r="E5" s="386">
        <f>Costos!$C$7</f>
        <v>3463.128163</v>
      </c>
      <c r="F5" s="386">
        <f>Costos!$C$7</f>
        <v>3463.128163</v>
      </c>
      <c r="G5" s="386">
        <f>Costos!$C$7</f>
        <v>3463.128163</v>
      </c>
      <c r="H5" s="386">
        <f>Costos!$C$7</f>
        <v>3463.128163</v>
      </c>
      <c r="I5" s="386">
        <f>Costos!$C$7</f>
        <v>3463.128163</v>
      </c>
      <c r="J5" s="386">
        <f>Costos!$C$7</f>
        <v>3463.128163</v>
      </c>
      <c r="K5" s="386">
        <f>Costos!$C$7</f>
        <v>3463.128163</v>
      </c>
      <c r="L5" s="386">
        <f>Costos!$C$7</f>
        <v>3463.128163</v>
      </c>
      <c r="M5" s="386">
        <f>Costos!$C$7-Inversiones!W8</f>
        <v>3108.776694</v>
      </c>
      <c r="N5" s="387">
        <f t="shared" si="3"/>
        <v>36410.22363</v>
      </c>
      <c r="O5" s="374"/>
      <c r="P5" s="374"/>
      <c r="Q5" s="374"/>
      <c r="R5" s="374"/>
      <c r="S5" s="374"/>
      <c r="T5" s="374"/>
      <c r="U5" s="374"/>
      <c r="V5" s="374"/>
      <c r="W5" s="374"/>
      <c r="X5" s="374"/>
      <c r="Y5" s="374"/>
      <c r="Z5" s="374"/>
    </row>
    <row r="6" ht="22.5" customHeight="1">
      <c r="A6" s="374"/>
      <c r="B6" s="388" t="s">
        <v>606</v>
      </c>
      <c r="C6" s="389">
        <f t="shared" ref="C6:M6" si="4">C4-C5</f>
        <v>-1778.942</v>
      </c>
      <c r="D6" s="389">
        <f t="shared" si="4"/>
        <v>-231.5159014</v>
      </c>
      <c r="E6" s="389">
        <f t="shared" si="4"/>
        <v>635.1118271</v>
      </c>
      <c r="F6" s="389">
        <f t="shared" si="4"/>
        <v>884.2848185</v>
      </c>
      <c r="G6" s="389">
        <f t="shared" si="4"/>
        <v>1148.607528</v>
      </c>
      <c r="H6" s="389">
        <f t="shared" si="4"/>
        <v>1429.001058</v>
      </c>
      <c r="I6" s="389">
        <f t="shared" si="4"/>
        <v>1777.320658</v>
      </c>
      <c r="J6" s="389">
        <f t="shared" si="4"/>
        <v>2150.440614</v>
      </c>
      <c r="K6" s="389">
        <f t="shared" si="4"/>
        <v>2550.126711</v>
      </c>
      <c r="L6" s="389">
        <f t="shared" si="4"/>
        <v>2978.270458</v>
      </c>
      <c r="M6" s="389">
        <f t="shared" si="4"/>
        <v>3791.249509</v>
      </c>
      <c r="N6" s="390">
        <f t="shared" si="3"/>
        <v>15333.95528</v>
      </c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</row>
    <row r="7" ht="22.5" customHeight="1">
      <c r="A7" s="374"/>
      <c r="B7" s="391" t="s">
        <v>607</v>
      </c>
      <c r="C7" s="392">
        <v>0.0</v>
      </c>
      <c r="D7" s="393">
        <f t="shared" ref="D7:M7" si="5">D6*5%</f>
        <v>-11.57579507</v>
      </c>
      <c r="E7" s="393">
        <f t="shared" si="5"/>
        <v>31.75559136</v>
      </c>
      <c r="F7" s="393">
        <f t="shared" si="5"/>
        <v>44.21424093</v>
      </c>
      <c r="G7" s="393">
        <f t="shared" si="5"/>
        <v>57.43037639</v>
      </c>
      <c r="H7" s="393">
        <f t="shared" si="5"/>
        <v>71.45005289</v>
      </c>
      <c r="I7" s="393">
        <f t="shared" si="5"/>
        <v>88.86603292</v>
      </c>
      <c r="J7" s="393">
        <f t="shared" si="5"/>
        <v>107.5220307</v>
      </c>
      <c r="K7" s="393">
        <f t="shared" si="5"/>
        <v>127.5063356</v>
      </c>
      <c r="L7" s="393">
        <f t="shared" si="5"/>
        <v>148.9135229</v>
      </c>
      <c r="M7" s="393">
        <f t="shared" si="5"/>
        <v>189.5624754</v>
      </c>
      <c r="N7" s="394">
        <f t="shared" si="3"/>
        <v>855.644864</v>
      </c>
      <c r="O7" s="374"/>
      <c r="P7" s="374"/>
      <c r="Q7" s="374"/>
      <c r="R7" s="374"/>
      <c r="S7" s="374"/>
      <c r="T7" s="374"/>
      <c r="U7" s="374"/>
      <c r="V7" s="374"/>
      <c r="W7" s="374"/>
      <c r="X7" s="374"/>
      <c r="Y7" s="374"/>
      <c r="Z7" s="374"/>
    </row>
    <row r="8" ht="22.5" customHeight="1">
      <c r="A8" s="374"/>
      <c r="B8" s="395" t="s">
        <v>608</v>
      </c>
      <c r="C8" s="396">
        <v>0.0</v>
      </c>
      <c r="D8" s="397">
        <f t="shared" ref="D8:M8" si="6">D6*35%</f>
        <v>-81.0305655</v>
      </c>
      <c r="E8" s="397">
        <f t="shared" si="6"/>
        <v>222.2891395</v>
      </c>
      <c r="F8" s="397">
        <f t="shared" si="6"/>
        <v>309.4996865</v>
      </c>
      <c r="G8" s="397">
        <f t="shared" si="6"/>
        <v>402.0126347</v>
      </c>
      <c r="H8" s="397">
        <f t="shared" si="6"/>
        <v>500.1503702</v>
      </c>
      <c r="I8" s="397">
        <f t="shared" si="6"/>
        <v>622.0622304</v>
      </c>
      <c r="J8" s="397">
        <f t="shared" si="6"/>
        <v>752.654215</v>
      </c>
      <c r="K8" s="397">
        <f t="shared" si="6"/>
        <v>892.544349</v>
      </c>
      <c r="L8" s="397">
        <f t="shared" si="6"/>
        <v>1042.39466</v>
      </c>
      <c r="M8" s="397">
        <f t="shared" si="6"/>
        <v>1326.937328</v>
      </c>
      <c r="N8" s="398">
        <f t="shared" si="3"/>
        <v>5989.514048</v>
      </c>
      <c r="O8" s="374"/>
      <c r="P8" s="374"/>
      <c r="Q8" s="374"/>
      <c r="R8" s="374"/>
      <c r="S8" s="374"/>
      <c r="T8" s="374"/>
      <c r="U8" s="374"/>
      <c r="V8" s="374"/>
      <c r="W8" s="374"/>
      <c r="X8" s="374"/>
      <c r="Y8" s="374"/>
      <c r="Z8" s="374"/>
    </row>
    <row r="9" ht="22.5" customHeight="1">
      <c r="A9" s="374"/>
      <c r="B9" s="391" t="s">
        <v>609</v>
      </c>
      <c r="C9" s="392">
        <f t="shared" ref="C9:M9" si="7">C6-C7-C8</f>
        <v>-1778.942</v>
      </c>
      <c r="D9" s="392">
        <f t="shared" si="7"/>
        <v>-138.9095409</v>
      </c>
      <c r="E9" s="392">
        <f t="shared" si="7"/>
        <v>381.0670963</v>
      </c>
      <c r="F9" s="392">
        <f t="shared" si="7"/>
        <v>530.5708911</v>
      </c>
      <c r="G9" s="392">
        <f t="shared" si="7"/>
        <v>689.1645167</v>
      </c>
      <c r="H9" s="392">
        <f t="shared" si="7"/>
        <v>857.4006347</v>
      </c>
      <c r="I9" s="392">
        <f t="shared" si="7"/>
        <v>1066.392395</v>
      </c>
      <c r="J9" s="392">
        <f t="shared" si="7"/>
        <v>1290.264369</v>
      </c>
      <c r="K9" s="392">
        <f t="shared" si="7"/>
        <v>1530.076027</v>
      </c>
      <c r="L9" s="392">
        <f t="shared" si="7"/>
        <v>1786.962275</v>
      </c>
      <c r="M9" s="392">
        <f t="shared" si="7"/>
        <v>2274.749705</v>
      </c>
      <c r="N9" s="399">
        <f t="shared" si="3"/>
        <v>8488.796369</v>
      </c>
      <c r="O9" s="374"/>
      <c r="P9" s="374"/>
      <c r="Q9" s="374"/>
      <c r="R9" s="374"/>
      <c r="S9" s="374"/>
      <c r="T9" s="374"/>
      <c r="U9" s="374"/>
      <c r="V9" s="374"/>
      <c r="W9" s="374"/>
      <c r="X9" s="374"/>
      <c r="Y9" s="374"/>
      <c r="Z9" s="374"/>
    </row>
    <row r="10" ht="22.5" customHeight="1">
      <c r="A10" s="374"/>
      <c r="B10" s="400" t="s">
        <v>610</v>
      </c>
      <c r="C10" s="401">
        <f>C9</f>
        <v>-1778.942</v>
      </c>
      <c r="D10" s="342">
        <f t="shared" ref="D10:N10" si="8">C10+D9</f>
        <v>-1917.851541</v>
      </c>
      <c r="E10" s="342">
        <f t="shared" si="8"/>
        <v>-1536.784445</v>
      </c>
      <c r="F10" s="342">
        <f t="shared" si="8"/>
        <v>-1006.213553</v>
      </c>
      <c r="G10" s="342">
        <f t="shared" si="8"/>
        <v>-317.0490368</v>
      </c>
      <c r="H10" s="342">
        <f t="shared" si="8"/>
        <v>540.3515979</v>
      </c>
      <c r="I10" s="342">
        <f t="shared" si="8"/>
        <v>1606.743993</v>
      </c>
      <c r="J10" s="342">
        <f t="shared" si="8"/>
        <v>2897.008362</v>
      </c>
      <c r="K10" s="342">
        <f t="shared" si="8"/>
        <v>4427.084388</v>
      </c>
      <c r="L10" s="342">
        <f t="shared" si="8"/>
        <v>6214.046663</v>
      </c>
      <c r="M10" s="342">
        <f t="shared" si="8"/>
        <v>8488.796369</v>
      </c>
      <c r="N10" s="342">
        <f t="shared" si="8"/>
        <v>16977.59274</v>
      </c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</row>
    <row r="11" ht="22.5" customHeight="1">
      <c r="A11" s="374"/>
      <c r="B11" s="374"/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</row>
    <row r="12" ht="25.5" customHeight="1">
      <c r="A12" s="374"/>
      <c r="B12" s="402" t="s">
        <v>611</v>
      </c>
      <c r="C12" s="403">
        <f>N6-N7-N8</f>
        <v>8488.796369</v>
      </c>
      <c r="D12" s="305"/>
      <c r="E12" s="374"/>
      <c r="F12" s="374"/>
      <c r="G12" s="374"/>
      <c r="H12" s="374"/>
      <c r="I12" s="374"/>
      <c r="J12" s="374"/>
      <c r="K12" s="374"/>
      <c r="L12" s="374"/>
      <c r="M12" s="374"/>
      <c r="N12" s="374"/>
      <c r="O12" s="374"/>
      <c r="P12" s="374"/>
      <c r="Q12" s="374"/>
      <c r="R12" s="374"/>
      <c r="S12" s="374"/>
      <c r="T12" s="374"/>
      <c r="U12" s="374"/>
      <c r="V12" s="374"/>
      <c r="W12" s="374"/>
      <c r="X12" s="374"/>
      <c r="Y12" s="374"/>
      <c r="Z12" s="374"/>
    </row>
    <row r="13" ht="25.5" customHeight="1">
      <c r="A13" s="374"/>
      <c r="B13" s="402" t="s">
        <v>612</v>
      </c>
      <c r="C13" s="404" t="str">
        <f>HLOOKUP("x",$D$2:$M$3,2,0) &amp; " años y " &amp; ROUNDUP(-(HLOOKUP("y",$D$1:$M$10,10,0))*365/HLOOKUP("x",$D$2:$M$9,8,0),0) &amp; " días"</f>
        <v>5 años y 135 días</v>
      </c>
      <c r="D13" s="305"/>
      <c r="E13" s="374"/>
      <c r="F13" s="374"/>
      <c r="G13" s="374">
        <f>HLOOKUP("x",$D$2:$M$3,2,0)+(-(HLOOKUP("y",$D$1:$M$10,10,0))*365/HLOOKUP("x",$D$2:$M$9,8,0))/365</f>
        <v>5.369779335</v>
      </c>
      <c r="H13" s="374"/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  <c r="T13" s="374"/>
      <c r="U13" s="374"/>
      <c r="V13" s="374"/>
      <c r="W13" s="374"/>
      <c r="X13" s="374"/>
      <c r="Y13" s="374"/>
      <c r="Z13" s="374"/>
    </row>
    <row r="14" ht="25.5" customHeight="1">
      <c r="A14" s="374"/>
      <c r="B14" s="402" t="s">
        <v>613</v>
      </c>
      <c r="C14" s="405">
        <f>IRR(C9:M9)</f>
        <v>0.3001282624</v>
      </c>
      <c r="D14" s="305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374"/>
    </row>
    <row r="15" ht="25.5" customHeight="1">
      <c r="A15" s="374"/>
      <c r="B15" s="402" t="s">
        <v>614</v>
      </c>
      <c r="C15" s="403">
        <f t="array" ref="C15">NPV(F15,C9:M9)</f>
        <v>1803.567284</v>
      </c>
      <c r="D15" s="305"/>
      <c r="E15" s="326" t="s">
        <v>615</v>
      </c>
      <c r="F15" s="406">
        <v>0.15</v>
      </c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374"/>
      <c r="Y15" s="374"/>
      <c r="Z15" s="374"/>
    </row>
    <row r="16" ht="12.0" customHeight="1">
      <c r="A16" s="374"/>
      <c r="B16" s="374"/>
      <c r="C16" s="374"/>
      <c r="D16" s="374"/>
      <c r="E16" s="374"/>
      <c r="F16" s="374"/>
      <c r="G16" s="374"/>
      <c r="H16" s="374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374"/>
      <c r="Z16" s="374"/>
    </row>
    <row r="17" ht="12.0" customHeight="1">
      <c r="A17" s="374"/>
      <c r="B17" s="407"/>
      <c r="C17" s="374"/>
      <c r="D17" s="374"/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</row>
    <row r="18" ht="12.0" customHeight="1">
      <c r="A18" s="374"/>
      <c r="B18" s="374"/>
      <c r="C18" s="374"/>
      <c r="D18" s="374"/>
      <c r="E18" s="374"/>
      <c r="F18" s="374"/>
      <c r="G18" s="374"/>
      <c r="H18" s="374"/>
      <c r="I18" s="374"/>
      <c r="J18" s="374"/>
      <c r="K18" s="374"/>
      <c r="L18" s="374"/>
      <c r="M18" s="374"/>
      <c r="N18" s="374"/>
      <c r="O18" s="374"/>
      <c r="P18" s="374"/>
      <c r="Q18" s="374"/>
      <c r="R18" s="374"/>
      <c r="S18" s="374"/>
      <c r="T18" s="374"/>
      <c r="U18" s="374"/>
      <c r="V18" s="374"/>
      <c r="W18" s="374"/>
      <c r="X18" s="374"/>
      <c r="Y18" s="374"/>
      <c r="Z18" s="374"/>
    </row>
    <row r="19" ht="12.0" customHeight="1">
      <c r="A19" s="374"/>
      <c r="B19" s="374"/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</row>
    <row r="20" ht="12.0" customHeight="1">
      <c r="A20" s="374"/>
      <c r="B20" s="374"/>
      <c r="C20" s="374"/>
      <c r="D20" s="374"/>
      <c r="E20" s="374"/>
      <c r="F20" s="374"/>
      <c r="G20" s="374"/>
      <c r="H20" s="374"/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  <c r="T20" s="374"/>
      <c r="U20" s="374"/>
      <c r="V20" s="374"/>
      <c r="W20" s="374"/>
      <c r="X20" s="374"/>
      <c r="Y20" s="374"/>
      <c r="Z20" s="374"/>
    </row>
    <row r="21" ht="12.0" customHeight="1">
      <c r="A21" s="374"/>
      <c r="B21" s="374"/>
      <c r="C21" s="374"/>
      <c r="D21" s="374"/>
      <c r="E21" s="374"/>
      <c r="F21" s="374"/>
      <c r="G21" s="374"/>
      <c r="H21" s="374"/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  <c r="T21" s="374"/>
      <c r="U21" s="374"/>
      <c r="V21" s="374"/>
      <c r="W21" s="374"/>
      <c r="X21" s="374"/>
      <c r="Y21" s="374"/>
      <c r="Z21" s="374"/>
    </row>
    <row r="22" ht="12.0" customHeight="1">
      <c r="A22" s="374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</row>
    <row r="23" ht="12.0" customHeight="1">
      <c r="A23" s="374"/>
      <c r="B23" s="374"/>
      <c r="C23" s="374"/>
      <c r="D23" s="374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4"/>
      <c r="W23" s="374"/>
      <c r="X23" s="374"/>
      <c r="Y23" s="374"/>
      <c r="Z23" s="374"/>
    </row>
    <row r="24" ht="12.0" customHeight="1">
      <c r="A24" s="374"/>
      <c r="B24" s="374"/>
      <c r="C24" s="374"/>
      <c r="D24" s="374"/>
      <c r="E24" s="374"/>
      <c r="F24" s="374"/>
      <c r="G24" s="374"/>
      <c r="H24" s="374"/>
      <c r="I24" s="374"/>
      <c r="J24" s="374"/>
      <c r="K24" s="374"/>
      <c r="L24" s="374"/>
      <c r="M24" s="374"/>
      <c r="N24" s="374"/>
      <c r="O24" s="374"/>
      <c r="P24" s="374"/>
      <c r="Q24" s="374"/>
      <c r="R24" s="374"/>
      <c r="S24" s="374"/>
      <c r="T24" s="374"/>
      <c r="U24" s="374"/>
      <c r="V24" s="374"/>
      <c r="W24" s="374"/>
      <c r="X24" s="374"/>
      <c r="Y24" s="374"/>
      <c r="Z24" s="374"/>
    </row>
    <row r="25" ht="12.0" customHeight="1">
      <c r="A25" s="374"/>
      <c r="B25" s="374"/>
      <c r="C25" s="374"/>
      <c r="D25" s="374"/>
      <c r="E25" s="374"/>
      <c r="F25" s="374"/>
      <c r="G25" s="374"/>
      <c r="H25" s="374"/>
      <c r="I25" s="374"/>
      <c r="J25" s="374"/>
      <c r="K25" s="374"/>
      <c r="L25" s="374"/>
      <c r="M25" s="374"/>
      <c r="N25" s="374"/>
      <c r="O25" s="374"/>
      <c r="P25" s="374"/>
      <c r="Q25" s="374"/>
      <c r="R25" s="374"/>
      <c r="S25" s="374"/>
      <c r="T25" s="374"/>
      <c r="U25" s="374"/>
      <c r="V25" s="374"/>
      <c r="W25" s="374"/>
      <c r="X25" s="374"/>
      <c r="Y25" s="374"/>
      <c r="Z25" s="374"/>
    </row>
    <row r="26" ht="12.0" customHeight="1">
      <c r="A26" s="374"/>
      <c r="B26" s="374"/>
      <c r="C26" s="374"/>
      <c r="D26" s="374"/>
      <c r="E26" s="374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4"/>
      <c r="U26" s="374"/>
      <c r="V26" s="374"/>
      <c r="W26" s="374"/>
      <c r="X26" s="374"/>
      <c r="Y26" s="374"/>
      <c r="Z26" s="374"/>
    </row>
    <row r="27" ht="12.0" customHeight="1">
      <c r="A27" s="374"/>
      <c r="B27" s="374"/>
      <c r="C27" s="374"/>
      <c r="D27" s="374"/>
      <c r="E27" s="374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374"/>
      <c r="Z27" s="374"/>
    </row>
    <row r="28" ht="12.0" customHeight="1">
      <c r="A28" s="374"/>
      <c r="B28" s="374"/>
      <c r="C28" s="374"/>
      <c r="D28" s="374"/>
      <c r="E28" s="374"/>
      <c r="F28" s="374"/>
      <c r="G28" s="374"/>
      <c r="H28" s="374"/>
      <c r="I28" s="374"/>
      <c r="J28" s="374"/>
      <c r="K28" s="374"/>
      <c r="L28" s="374"/>
      <c r="M28" s="408"/>
      <c r="N28" s="374"/>
      <c r="O28" s="374"/>
      <c r="P28" s="374"/>
      <c r="Q28" s="374"/>
      <c r="R28" s="374"/>
      <c r="S28" s="374"/>
      <c r="T28" s="374"/>
      <c r="U28" s="374"/>
      <c r="V28" s="374"/>
      <c r="W28" s="374"/>
      <c r="X28" s="374"/>
      <c r="Y28" s="374"/>
      <c r="Z28" s="374"/>
    </row>
    <row r="29" ht="12.0" customHeight="1">
      <c r="A29" s="374"/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  <c r="P29" s="374"/>
      <c r="Q29" s="374"/>
      <c r="R29" s="374"/>
      <c r="S29" s="374"/>
      <c r="T29" s="374"/>
      <c r="U29" s="374"/>
      <c r="V29" s="374"/>
      <c r="W29" s="374"/>
      <c r="X29" s="374"/>
      <c r="Y29" s="374"/>
      <c r="Z29" s="374"/>
    </row>
    <row r="30" ht="12.0" customHeight="1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4"/>
      <c r="P30" s="374"/>
      <c r="Q30" s="374"/>
      <c r="R30" s="374"/>
      <c r="S30" s="374"/>
      <c r="T30" s="374"/>
      <c r="U30" s="374"/>
      <c r="V30" s="374"/>
      <c r="W30" s="374"/>
      <c r="X30" s="374"/>
      <c r="Y30" s="374"/>
      <c r="Z30" s="374"/>
    </row>
    <row r="31" ht="12.0" customHeight="1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4"/>
      <c r="P31" s="374"/>
      <c r="Q31" s="374"/>
      <c r="R31" s="374"/>
      <c r="S31" s="374"/>
      <c r="T31" s="374"/>
      <c r="U31" s="374"/>
      <c r="V31" s="374"/>
      <c r="W31" s="374"/>
      <c r="X31" s="374"/>
      <c r="Y31" s="374"/>
      <c r="Z31" s="374"/>
    </row>
    <row r="32" ht="12.0" customHeight="1">
      <c r="A32" s="374"/>
      <c r="B32" s="374"/>
      <c r="C32" s="374"/>
      <c r="D32" s="374"/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4"/>
      <c r="P32" s="374"/>
      <c r="Q32" s="374"/>
      <c r="R32" s="374"/>
      <c r="S32" s="374"/>
      <c r="T32" s="374"/>
      <c r="U32" s="374"/>
      <c r="V32" s="374"/>
      <c r="W32" s="374"/>
      <c r="X32" s="374"/>
      <c r="Y32" s="374"/>
      <c r="Z32" s="374"/>
    </row>
    <row r="33" ht="12.0" customHeight="1">
      <c r="A33" s="374"/>
      <c r="B33" s="374"/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74"/>
      <c r="N33" s="374"/>
      <c r="O33" s="374"/>
      <c r="P33" s="374"/>
      <c r="Q33" s="374"/>
      <c r="R33" s="374"/>
      <c r="S33" s="374"/>
      <c r="T33" s="374"/>
      <c r="U33" s="374"/>
      <c r="V33" s="374"/>
      <c r="W33" s="374"/>
      <c r="X33" s="374"/>
      <c r="Y33" s="374"/>
      <c r="Z33" s="374"/>
    </row>
    <row r="34" ht="12.0" customHeight="1">
      <c r="A34" s="374"/>
      <c r="B34" s="374"/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</row>
    <row r="35" ht="12.0" customHeight="1">
      <c r="A35" s="374"/>
      <c r="B35" s="374"/>
      <c r="C35" s="374"/>
      <c r="D35" s="374"/>
      <c r="E35" s="374"/>
      <c r="F35" s="374"/>
      <c r="G35" s="374"/>
      <c r="H35" s="374"/>
      <c r="I35" s="374"/>
      <c r="J35" s="374"/>
      <c r="K35" s="374"/>
      <c r="L35" s="374"/>
      <c r="M35" s="374"/>
      <c r="N35" s="374"/>
      <c r="O35" s="374"/>
      <c r="P35" s="374"/>
      <c r="Q35" s="374"/>
      <c r="R35" s="374"/>
      <c r="S35" s="374"/>
      <c r="T35" s="374"/>
      <c r="U35" s="374"/>
      <c r="V35" s="374"/>
      <c r="W35" s="374"/>
      <c r="X35" s="374"/>
      <c r="Y35" s="374"/>
      <c r="Z35" s="374"/>
    </row>
    <row r="36" ht="12.0" customHeight="1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4"/>
      <c r="U36" s="374"/>
      <c r="V36" s="374"/>
      <c r="W36" s="374"/>
      <c r="X36" s="374"/>
      <c r="Y36" s="374"/>
      <c r="Z36" s="374"/>
    </row>
    <row r="37" ht="12.0" customHeight="1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4"/>
      <c r="U37" s="374"/>
      <c r="V37" s="374"/>
      <c r="W37" s="374"/>
      <c r="X37" s="374"/>
      <c r="Y37" s="374"/>
      <c r="Z37" s="374"/>
    </row>
    <row r="38" ht="12.0" customHeight="1">
      <c r="A38" s="374"/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4"/>
      <c r="U38" s="374"/>
      <c r="V38" s="374"/>
      <c r="W38" s="374"/>
      <c r="X38" s="374"/>
      <c r="Y38" s="374"/>
      <c r="Z38" s="374"/>
    </row>
    <row r="39" ht="12.0" customHeight="1">
      <c r="A39" s="374"/>
      <c r="B39" s="374"/>
      <c r="C39" s="374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4"/>
      <c r="U39" s="374"/>
      <c r="V39" s="374"/>
      <c r="W39" s="374"/>
      <c r="X39" s="374"/>
      <c r="Y39" s="374"/>
      <c r="Z39" s="374"/>
    </row>
    <row r="40" ht="12.0" customHeight="1">
      <c r="A40" s="374"/>
      <c r="B40" s="374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  <c r="U40" s="374"/>
      <c r="V40" s="374"/>
      <c r="W40" s="374"/>
      <c r="X40" s="374"/>
      <c r="Y40" s="374"/>
      <c r="Z40" s="374"/>
    </row>
    <row r="41" ht="12.0" customHeight="1">
      <c r="A41" s="374"/>
      <c r="B41" s="374"/>
      <c r="C41" s="374"/>
      <c r="D41" s="374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4"/>
      <c r="U41" s="374"/>
      <c r="V41" s="374"/>
      <c r="W41" s="374"/>
      <c r="X41" s="374"/>
      <c r="Y41" s="374"/>
      <c r="Z41" s="374"/>
    </row>
    <row r="42" ht="12.0" customHeight="1">
      <c r="A42" s="374"/>
      <c r="B42" s="374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374"/>
      <c r="Y42" s="374"/>
      <c r="Z42" s="374"/>
    </row>
    <row r="43" ht="12.0" customHeight="1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</row>
    <row r="44" ht="12.0" customHeight="1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</row>
    <row r="45" ht="12.0" customHeight="1">
      <c r="A45" s="374"/>
      <c r="B45" s="374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</row>
    <row r="46" ht="12.0" customHeight="1">
      <c r="A46" s="374"/>
      <c r="B46" s="374"/>
      <c r="C46" s="374"/>
      <c r="D46" s="374"/>
      <c r="E46" s="374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</row>
    <row r="47" ht="12.0" customHeight="1">
      <c r="A47" s="374"/>
      <c r="B47" s="374"/>
      <c r="C47" s="374"/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</row>
    <row r="48" ht="12.0" customHeight="1">
      <c r="A48" s="374"/>
      <c r="B48" s="374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</row>
    <row r="49" ht="12.0" customHeight="1">
      <c r="A49" s="374"/>
      <c r="B49" s="374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4"/>
      <c r="P49" s="374"/>
      <c r="Q49" s="374"/>
      <c r="R49" s="374"/>
      <c r="S49" s="374"/>
      <c r="T49" s="374"/>
      <c r="U49" s="374"/>
      <c r="V49" s="374"/>
      <c r="W49" s="374"/>
      <c r="X49" s="374"/>
      <c r="Y49" s="374"/>
      <c r="Z49" s="374"/>
    </row>
    <row r="50" ht="12.0" customHeight="1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4"/>
      <c r="P50" s="374"/>
      <c r="Q50" s="374"/>
      <c r="R50" s="374"/>
      <c r="S50" s="374"/>
      <c r="T50" s="374"/>
      <c r="U50" s="374"/>
      <c r="V50" s="374"/>
      <c r="W50" s="374"/>
      <c r="X50" s="374"/>
      <c r="Y50" s="374"/>
      <c r="Z50" s="374"/>
    </row>
    <row r="51" ht="12.0" customHeight="1">
      <c r="A51" s="374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4"/>
      <c r="P51" s="374"/>
      <c r="Q51" s="374"/>
      <c r="R51" s="374"/>
      <c r="S51" s="374"/>
      <c r="T51" s="374"/>
      <c r="U51" s="374"/>
      <c r="V51" s="374"/>
      <c r="W51" s="374"/>
      <c r="X51" s="374"/>
      <c r="Y51" s="374"/>
      <c r="Z51" s="374"/>
    </row>
    <row r="52" ht="12.0" customHeight="1">
      <c r="A52" s="374"/>
      <c r="B52" s="374"/>
      <c r="C52" s="374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</row>
    <row r="53" ht="12.0" customHeight="1">
      <c r="A53" s="374"/>
      <c r="B53" s="374"/>
      <c r="C53" s="374"/>
      <c r="D53" s="374"/>
      <c r="E53" s="374"/>
      <c r="F53" s="374"/>
      <c r="G53" s="374"/>
      <c r="H53" s="374"/>
      <c r="I53" s="374"/>
      <c r="J53" s="374"/>
      <c r="K53" s="374"/>
      <c r="L53" s="37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374"/>
      <c r="Y53" s="374"/>
      <c r="Z53" s="374"/>
    </row>
    <row r="54" ht="12.0" customHeight="1">
      <c r="A54" s="374"/>
      <c r="B54" s="374"/>
      <c r="C54" s="374"/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374"/>
      <c r="Y54" s="374"/>
      <c r="Z54" s="374"/>
    </row>
    <row r="55" ht="12.0" customHeight="1">
      <c r="A55" s="374"/>
      <c r="B55" s="374"/>
      <c r="C55" s="374"/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</row>
    <row r="56" ht="12.0" customHeight="1">
      <c r="A56" s="374"/>
      <c r="B56" s="374"/>
      <c r="C56" s="374"/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</row>
    <row r="57" ht="12.0" customHeight="1">
      <c r="A57" s="374"/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</row>
    <row r="58" ht="12.0" customHeight="1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374"/>
      <c r="Z58" s="374"/>
    </row>
    <row r="59" ht="12.0" customHeight="1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</row>
    <row r="60" ht="12.0" customHeight="1">
      <c r="A60" s="374"/>
      <c r="B60" s="374"/>
      <c r="C60" s="374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</row>
    <row r="61" ht="12.0" customHeight="1">
      <c r="A61" s="374"/>
      <c r="B61" s="374"/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</row>
    <row r="62" ht="12.0" customHeight="1">
      <c r="A62" s="374"/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</row>
    <row r="63" ht="12.0" customHeight="1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</row>
    <row r="64" ht="12.0" customHeight="1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</row>
    <row r="65" ht="12.0" customHeight="1">
      <c r="A65" s="374"/>
      <c r="B65" s="374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</row>
    <row r="66" ht="12.0" customHeight="1">
      <c r="A66" s="374"/>
      <c r="B66" s="374"/>
      <c r="C66" s="374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</row>
    <row r="67" ht="12.0" customHeight="1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  <c r="Z67" s="374"/>
    </row>
    <row r="68" ht="12.0" customHeight="1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4"/>
      <c r="P68" s="374"/>
      <c r="Q68" s="374"/>
      <c r="R68" s="374"/>
      <c r="S68" s="374"/>
      <c r="T68" s="374"/>
      <c r="U68" s="374"/>
      <c r="V68" s="374"/>
      <c r="W68" s="374"/>
      <c r="X68" s="374"/>
      <c r="Y68" s="374"/>
      <c r="Z68" s="374"/>
    </row>
    <row r="69" ht="12.0" customHeight="1">
      <c r="A69" s="374"/>
      <c r="B69" s="374"/>
      <c r="C69" s="374"/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</row>
    <row r="70" ht="12.0" customHeight="1">
      <c r="A70" s="374"/>
      <c r="B70" s="374"/>
      <c r="C70" s="374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</row>
    <row r="71" ht="12.0" customHeight="1">
      <c r="A71" s="374"/>
      <c r="B71" s="374"/>
      <c r="C71" s="374"/>
      <c r="D71" s="374"/>
      <c r="E71" s="374"/>
      <c r="F71" s="374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</row>
    <row r="72" ht="12.0" customHeight="1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</row>
    <row r="73" ht="12.0" customHeight="1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4"/>
      <c r="V73" s="374"/>
      <c r="W73" s="374"/>
      <c r="X73" s="374"/>
      <c r="Y73" s="374"/>
      <c r="Z73" s="374"/>
    </row>
    <row r="74" ht="12.0" customHeight="1">
      <c r="A74" s="374"/>
      <c r="B74" s="374"/>
      <c r="C74" s="374"/>
      <c r="D74" s="374"/>
      <c r="E74" s="374"/>
      <c r="F74" s="374"/>
      <c r="G74" s="374"/>
      <c r="H74" s="374"/>
      <c r="I74" s="374"/>
      <c r="J74" s="374"/>
      <c r="K74" s="374"/>
      <c r="L74" s="374"/>
      <c r="M74" s="374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</row>
    <row r="75" ht="12.0" customHeight="1">
      <c r="A75" s="374"/>
      <c r="B75" s="374"/>
      <c r="C75" s="374"/>
      <c r="D75" s="374"/>
      <c r="E75" s="374"/>
      <c r="F75" s="374"/>
      <c r="G75" s="374"/>
      <c r="H75" s="374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</row>
    <row r="76" ht="12.0" customHeight="1">
      <c r="A76" s="374"/>
      <c r="B76" s="374"/>
      <c r="C76" s="374"/>
      <c r="D76" s="374"/>
      <c r="E76" s="374"/>
      <c r="F76" s="374"/>
      <c r="G76" s="374"/>
      <c r="H76" s="374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</row>
    <row r="77" ht="12.0" customHeight="1">
      <c r="A77" s="374"/>
      <c r="B77" s="374"/>
      <c r="C77" s="374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</row>
    <row r="78" ht="12.0" customHeight="1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</row>
    <row r="79" ht="12.0" customHeight="1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</row>
    <row r="80" ht="12.0" customHeight="1">
      <c r="A80" s="374"/>
      <c r="B80" s="374"/>
      <c r="C80" s="374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  <c r="O80" s="374"/>
      <c r="P80" s="374"/>
      <c r="Q80" s="374"/>
      <c r="R80" s="374"/>
      <c r="S80" s="374"/>
      <c r="T80" s="374"/>
      <c r="U80" s="374"/>
      <c r="V80" s="374"/>
      <c r="W80" s="374"/>
      <c r="X80" s="374"/>
      <c r="Y80" s="374"/>
      <c r="Z80" s="374"/>
    </row>
    <row r="81" ht="12.0" customHeight="1">
      <c r="A81" s="374"/>
      <c r="B81" s="374"/>
      <c r="C81" s="374"/>
      <c r="D81" s="374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4"/>
      <c r="V81" s="374"/>
      <c r="W81" s="374"/>
      <c r="X81" s="374"/>
      <c r="Y81" s="374"/>
      <c r="Z81" s="374"/>
    </row>
    <row r="82" ht="12.0" customHeight="1">
      <c r="A82" s="374"/>
      <c r="B82" s="374"/>
      <c r="C82" s="374"/>
      <c r="D82" s="374"/>
      <c r="E82" s="374"/>
      <c r="F82" s="374"/>
      <c r="G82" s="374"/>
      <c r="H82" s="374"/>
      <c r="I82" s="374"/>
      <c r="J82" s="374"/>
      <c r="K82" s="374"/>
      <c r="L82" s="374"/>
      <c r="M82" s="374"/>
      <c r="N82" s="374"/>
      <c r="O82" s="374"/>
      <c r="P82" s="374"/>
      <c r="Q82" s="374"/>
      <c r="R82" s="374"/>
      <c r="S82" s="374"/>
      <c r="T82" s="374"/>
      <c r="U82" s="374"/>
      <c r="V82" s="374"/>
      <c r="W82" s="374"/>
      <c r="X82" s="374"/>
      <c r="Y82" s="374"/>
      <c r="Z82" s="374"/>
    </row>
    <row r="83" ht="12.0" customHeight="1">
      <c r="A83" s="374"/>
      <c r="B83" s="374"/>
      <c r="C83" s="374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</row>
    <row r="84" ht="12.0" customHeight="1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</row>
    <row r="85" ht="12.0" customHeight="1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4"/>
      <c r="Q85" s="374"/>
      <c r="R85" s="374"/>
      <c r="S85" s="374"/>
      <c r="T85" s="374"/>
      <c r="U85" s="374"/>
      <c r="V85" s="374"/>
      <c r="W85" s="374"/>
      <c r="X85" s="374"/>
      <c r="Y85" s="374"/>
      <c r="Z85" s="374"/>
    </row>
    <row r="86" ht="12.0" customHeight="1">
      <c r="A86" s="374"/>
      <c r="B86" s="374"/>
      <c r="C86" s="374"/>
      <c r="D86" s="374"/>
      <c r="E86" s="374"/>
      <c r="F86" s="374"/>
      <c r="G86" s="374"/>
      <c r="H86" s="374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</row>
    <row r="87" ht="12.0" customHeight="1">
      <c r="A87" s="374"/>
      <c r="B87" s="374"/>
      <c r="C87" s="374"/>
      <c r="D87" s="374"/>
      <c r="E87" s="374"/>
      <c r="F87" s="374"/>
      <c r="G87" s="374"/>
      <c r="H87" s="374"/>
      <c r="I87" s="374"/>
      <c r="J87" s="374"/>
      <c r="K87" s="374"/>
      <c r="L87" s="374"/>
      <c r="M87" s="374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  <c r="Y87" s="374"/>
      <c r="Z87" s="374"/>
    </row>
    <row r="88" ht="12.0" customHeight="1">
      <c r="A88" s="374"/>
      <c r="B88" s="374"/>
      <c r="C88" s="374"/>
      <c r="D88" s="374"/>
      <c r="E88" s="374"/>
      <c r="F88" s="374"/>
      <c r="G88" s="374"/>
      <c r="H88" s="374"/>
      <c r="I88" s="374"/>
      <c r="J88" s="374"/>
      <c r="K88" s="374"/>
      <c r="L88" s="374"/>
      <c r="M88" s="374"/>
      <c r="N88" s="374"/>
      <c r="O88" s="374"/>
      <c r="P88" s="374"/>
      <c r="Q88" s="374"/>
      <c r="R88" s="374"/>
      <c r="S88" s="374"/>
      <c r="T88" s="374"/>
      <c r="U88" s="374"/>
      <c r="V88" s="374"/>
      <c r="W88" s="374"/>
      <c r="X88" s="374"/>
      <c r="Y88" s="374"/>
      <c r="Z88" s="374"/>
    </row>
    <row r="89" ht="12.0" customHeight="1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</row>
    <row r="90" ht="12.0" customHeight="1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4"/>
      <c r="P90" s="374"/>
      <c r="Q90" s="374"/>
      <c r="R90" s="374"/>
      <c r="S90" s="374"/>
      <c r="T90" s="374"/>
      <c r="U90" s="374"/>
      <c r="V90" s="374"/>
      <c r="W90" s="374"/>
      <c r="X90" s="374"/>
      <c r="Y90" s="374"/>
      <c r="Z90" s="374"/>
    </row>
    <row r="91" ht="12.0" customHeight="1">
      <c r="A91" s="374"/>
      <c r="B91" s="374"/>
      <c r="C91" s="374"/>
      <c r="D91" s="374"/>
      <c r="E91" s="374"/>
      <c r="F91" s="374"/>
      <c r="G91" s="374"/>
      <c r="H91" s="374"/>
      <c r="I91" s="374"/>
      <c r="J91" s="374"/>
      <c r="K91" s="374"/>
      <c r="L91" s="374"/>
      <c r="M91" s="374"/>
      <c r="N91" s="374"/>
      <c r="O91" s="374"/>
      <c r="P91" s="374"/>
      <c r="Q91" s="374"/>
      <c r="R91" s="374"/>
      <c r="S91" s="374"/>
      <c r="T91" s="374"/>
      <c r="U91" s="374"/>
      <c r="V91" s="374"/>
      <c r="W91" s="374"/>
      <c r="X91" s="374"/>
      <c r="Y91" s="374"/>
      <c r="Z91" s="374"/>
    </row>
    <row r="92" ht="12.0" customHeight="1">
      <c r="A92" s="374"/>
      <c r="B92" s="374"/>
      <c r="C92" s="374"/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</row>
    <row r="93" ht="12.0" customHeight="1">
      <c r="A93" s="374"/>
      <c r="B93" s="374"/>
      <c r="C93" s="374"/>
      <c r="D93" s="374"/>
      <c r="E93" s="374"/>
      <c r="F93" s="374"/>
      <c r="G93" s="374"/>
      <c r="H93" s="374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</row>
    <row r="94" ht="12.0" customHeight="1">
      <c r="A94" s="374"/>
      <c r="B94" s="374"/>
      <c r="C94" s="374"/>
      <c r="D94" s="374"/>
      <c r="E94" s="374"/>
      <c r="F94" s="374"/>
      <c r="G94" s="374"/>
      <c r="H94" s="374"/>
      <c r="I94" s="374"/>
      <c r="J94" s="374"/>
      <c r="K94" s="374"/>
      <c r="L94" s="374"/>
      <c r="M94" s="374"/>
      <c r="N94" s="374"/>
      <c r="O94" s="374"/>
      <c r="P94" s="374"/>
      <c r="Q94" s="374"/>
      <c r="R94" s="374"/>
      <c r="S94" s="374"/>
      <c r="T94" s="374"/>
      <c r="U94" s="374"/>
      <c r="V94" s="374"/>
      <c r="W94" s="374"/>
      <c r="X94" s="374"/>
      <c r="Y94" s="374"/>
      <c r="Z94" s="374"/>
    </row>
    <row r="95" ht="12.0" customHeight="1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4"/>
      <c r="P95" s="374"/>
      <c r="Q95" s="374"/>
      <c r="R95" s="374"/>
      <c r="S95" s="374"/>
      <c r="T95" s="374"/>
      <c r="U95" s="374"/>
      <c r="V95" s="374"/>
      <c r="W95" s="374"/>
      <c r="X95" s="374"/>
      <c r="Y95" s="374"/>
      <c r="Z95" s="374"/>
    </row>
    <row r="96" ht="12.0" customHeight="1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4"/>
      <c r="P96" s="374"/>
      <c r="Q96" s="374"/>
      <c r="R96" s="374"/>
      <c r="S96" s="374"/>
      <c r="T96" s="374"/>
      <c r="U96" s="374"/>
      <c r="V96" s="374"/>
      <c r="W96" s="374"/>
      <c r="X96" s="374"/>
      <c r="Y96" s="374"/>
      <c r="Z96" s="374"/>
    </row>
    <row r="97" ht="12.0" customHeight="1">
      <c r="A97" s="374"/>
      <c r="B97" s="374"/>
      <c r="C97" s="374"/>
      <c r="D97" s="374"/>
      <c r="E97" s="374"/>
      <c r="F97" s="374"/>
      <c r="G97" s="374"/>
      <c r="H97" s="374"/>
      <c r="I97" s="374"/>
      <c r="J97" s="374"/>
      <c r="K97" s="374"/>
      <c r="L97" s="374"/>
      <c r="M97" s="374"/>
      <c r="N97" s="374"/>
      <c r="O97" s="374"/>
      <c r="P97" s="374"/>
      <c r="Q97" s="374"/>
      <c r="R97" s="374"/>
      <c r="S97" s="374"/>
      <c r="T97" s="374"/>
      <c r="U97" s="374"/>
      <c r="V97" s="374"/>
      <c r="W97" s="374"/>
      <c r="X97" s="374"/>
      <c r="Y97" s="374"/>
      <c r="Z97" s="374"/>
    </row>
    <row r="98" ht="12.0" customHeight="1">
      <c r="A98" s="374"/>
      <c r="B98" s="374"/>
      <c r="C98" s="374"/>
      <c r="D98" s="374"/>
      <c r="E98" s="374"/>
      <c r="F98" s="374"/>
      <c r="G98" s="374"/>
      <c r="H98" s="374"/>
      <c r="I98" s="374"/>
      <c r="J98" s="374"/>
      <c r="K98" s="374"/>
      <c r="L98" s="374"/>
      <c r="M98" s="374"/>
      <c r="N98" s="374"/>
      <c r="O98" s="374"/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</row>
    <row r="99" ht="12.0" customHeight="1">
      <c r="A99" s="374"/>
      <c r="B99" s="374"/>
      <c r="C99" s="374"/>
      <c r="D99" s="374"/>
      <c r="E99" s="374"/>
      <c r="F99" s="374"/>
      <c r="G99" s="374"/>
      <c r="H99" s="374"/>
      <c r="I99" s="374"/>
      <c r="J99" s="374"/>
      <c r="K99" s="374"/>
      <c r="L99" s="374"/>
      <c r="M99" s="374"/>
      <c r="N99" s="374"/>
      <c r="O99" s="374"/>
      <c r="P99" s="374"/>
      <c r="Q99" s="374"/>
      <c r="R99" s="374"/>
      <c r="S99" s="374"/>
      <c r="T99" s="374"/>
      <c r="U99" s="374"/>
      <c r="V99" s="374"/>
      <c r="W99" s="374"/>
      <c r="X99" s="374"/>
      <c r="Y99" s="374"/>
      <c r="Z99" s="374"/>
    </row>
    <row r="100" ht="12.0" customHeight="1">
      <c r="A100" s="374"/>
      <c r="B100" s="374"/>
      <c r="C100" s="374"/>
      <c r="D100" s="374"/>
      <c r="E100" s="374"/>
      <c r="F100" s="374"/>
      <c r="G100" s="374"/>
      <c r="H100" s="374"/>
      <c r="I100" s="374"/>
      <c r="J100" s="374"/>
      <c r="K100" s="374"/>
      <c r="L100" s="374"/>
      <c r="M100" s="374"/>
      <c r="N100" s="374"/>
      <c r="O100" s="374"/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</row>
    <row r="101" ht="12.0" customHeight="1">
      <c r="A101" s="374"/>
      <c r="B101" s="374"/>
      <c r="C101" s="374"/>
      <c r="D101" s="374"/>
      <c r="E101" s="374"/>
      <c r="F101" s="374"/>
      <c r="G101" s="374"/>
      <c r="H101" s="374"/>
      <c r="I101" s="374"/>
      <c r="J101" s="374"/>
      <c r="K101" s="374"/>
      <c r="L101" s="374"/>
      <c r="M101" s="374"/>
      <c r="N101" s="374"/>
      <c r="O101" s="374"/>
      <c r="P101" s="374"/>
      <c r="Q101" s="374"/>
      <c r="R101" s="374"/>
      <c r="S101" s="374"/>
      <c r="T101" s="374"/>
      <c r="U101" s="374"/>
      <c r="V101" s="374"/>
      <c r="W101" s="374"/>
      <c r="X101" s="374"/>
      <c r="Y101" s="374"/>
      <c r="Z101" s="374"/>
    </row>
    <row r="102" ht="12.0" customHeight="1">
      <c r="A102" s="374"/>
      <c r="B102" s="374"/>
      <c r="C102" s="374"/>
      <c r="D102" s="374"/>
      <c r="E102" s="374"/>
      <c r="F102" s="374"/>
      <c r="G102" s="374"/>
      <c r="H102" s="374"/>
      <c r="I102" s="374"/>
      <c r="J102" s="374"/>
      <c r="K102" s="374"/>
      <c r="L102" s="374"/>
      <c r="M102" s="374"/>
      <c r="N102" s="374"/>
      <c r="O102" s="374"/>
      <c r="P102" s="374"/>
      <c r="Q102" s="374"/>
      <c r="R102" s="374"/>
      <c r="S102" s="374"/>
      <c r="T102" s="374"/>
      <c r="U102" s="374"/>
      <c r="V102" s="374"/>
      <c r="W102" s="374"/>
      <c r="X102" s="374"/>
      <c r="Y102" s="374"/>
      <c r="Z102" s="374"/>
    </row>
    <row r="103" ht="12.0" customHeight="1">
      <c r="A103" s="374"/>
      <c r="B103" s="374"/>
      <c r="C103" s="374"/>
      <c r="D103" s="374"/>
      <c r="E103" s="374"/>
      <c r="F103" s="374"/>
      <c r="G103" s="374"/>
      <c r="H103" s="374"/>
      <c r="I103" s="374"/>
      <c r="J103" s="374"/>
      <c r="K103" s="374"/>
      <c r="L103" s="374"/>
      <c r="M103" s="374"/>
      <c r="N103" s="374"/>
      <c r="O103" s="374"/>
      <c r="P103" s="374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</row>
    <row r="104" ht="12.0" customHeight="1">
      <c r="A104" s="374"/>
      <c r="B104" s="374"/>
      <c r="C104" s="374"/>
      <c r="D104" s="374"/>
      <c r="E104" s="374"/>
      <c r="F104" s="374"/>
      <c r="G104" s="374"/>
      <c r="H104" s="374"/>
      <c r="I104" s="374"/>
      <c r="J104" s="374"/>
      <c r="K104" s="374"/>
      <c r="L104" s="374"/>
      <c r="M104" s="374"/>
      <c r="N104" s="374"/>
      <c r="O104" s="374"/>
      <c r="P104" s="374"/>
      <c r="Q104" s="374"/>
      <c r="R104" s="374"/>
      <c r="S104" s="374"/>
      <c r="T104" s="374"/>
      <c r="U104" s="374"/>
      <c r="V104" s="374"/>
      <c r="W104" s="374"/>
      <c r="X104" s="374"/>
      <c r="Y104" s="374"/>
      <c r="Z104" s="374"/>
    </row>
    <row r="105" ht="12.0" customHeight="1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4"/>
      <c r="P105" s="374"/>
      <c r="Q105" s="374"/>
      <c r="R105" s="374"/>
      <c r="S105" s="374"/>
      <c r="T105" s="374"/>
      <c r="U105" s="374"/>
      <c r="V105" s="374"/>
      <c r="W105" s="374"/>
      <c r="X105" s="374"/>
      <c r="Y105" s="374"/>
      <c r="Z105" s="374"/>
    </row>
    <row r="106" ht="12.0" customHeight="1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4"/>
      <c r="P106" s="374"/>
      <c r="Q106" s="374"/>
      <c r="R106" s="374"/>
      <c r="S106" s="374"/>
      <c r="T106" s="374"/>
      <c r="U106" s="374"/>
      <c r="V106" s="374"/>
      <c r="W106" s="374"/>
      <c r="X106" s="374"/>
      <c r="Y106" s="374"/>
      <c r="Z106" s="374"/>
    </row>
    <row r="107" ht="12.0" customHeight="1">
      <c r="A107" s="374"/>
      <c r="B107" s="374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</row>
    <row r="108" ht="12.0" customHeight="1">
      <c r="A108" s="374"/>
      <c r="B108" s="374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</row>
    <row r="109" ht="12.0" customHeight="1">
      <c r="A109" s="374"/>
      <c r="B109" s="374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</row>
    <row r="110" ht="12.0" customHeight="1">
      <c r="A110" s="374"/>
      <c r="B110" s="374"/>
      <c r="C110" s="374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</row>
    <row r="111" ht="12.0" customHeight="1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</row>
    <row r="112" ht="12.0" customHeight="1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</row>
    <row r="113" ht="12.0" customHeight="1">
      <c r="A113" s="374"/>
      <c r="B113" s="374"/>
      <c r="C113" s="374"/>
      <c r="D113" s="374"/>
      <c r="E113" s="374"/>
      <c r="F113" s="374"/>
      <c r="G113" s="374"/>
      <c r="H113" s="374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</row>
    <row r="114" ht="12.0" customHeight="1">
      <c r="A114" s="374"/>
      <c r="B114" s="374"/>
      <c r="C114" s="374"/>
      <c r="D114" s="374"/>
      <c r="E114" s="374"/>
      <c r="F114" s="374"/>
      <c r="G114" s="374"/>
      <c r="H114" s="374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</row>
    <row r="115" ht="12.0" customHeight="1">
      <c r="A115" s="374"/>
      <c r="B115" s="374"/>
      <c r="C115" s="374"/>
      <c r="D115" s="374"/>
      <c r="E115" s="374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</row>
    <row r="116" ht="12.0" customHeight="1">
      <c r="A116" s="374"/>
      <c r="B116" s="374"/>
      <c r="C116" s="374"/>
      <c r="D116" s="374"/>
      <c r="E116" s="374"/>
      <c r="F116" s="374"/>
      <c r="G116" s="374"/>
      <c r="H116" s="374"/>
      <c r="I116" s="374"/>
      <c r="J116" s="374"/>
      <c r="K116" s="374"/>
      <c r="L116" s="37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</row>
    <row r="117" ht="12.0" customHeight="1">
      <c r="A117" s="374"/>
      <c r="B117" s="374"/>
      <c r="C117" s="374"/>
      <c r="D117" s="374"/>
      <c r="E117" s="374"/>
      <c r="F117" s="374"/>
      <c r="G117" s="374"/>
      <c r="H117" s="374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</row>
    <row r="118" ht="12.0" customHeight="1">
      <c r="A118" s="374"/>
      <c r="B118" s="374"/>
      <c r="C118" s="374"/>
      <c r="D118" s="374"/>
      <c r="E118" s="374"/>
      <c r="F118" s="374"/>
      <c r="G118" s="374"/>
      <c r="H118" s="374"/>
      <c r="I118" s="374"/>
      <c r="J118" s="374"/>
      <c r="K118" s="374"/>
      <c r="L118" s="37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</row>
    <row r="119" ht="12.0" customHeight="1">
      <c r="A119" s="374"/>
      <c r="B119" s="374"/>
      <c r="C119" s="374"/>
      <c r="D119" s="374"/>
      <c r="E119" s="374"/>
      <c r="F119" s="374"/>
      <c r="G119" s="374"/>
      <c r="H119" s="374"/>
      <c r="I119" s="374"/>
      <c r="J119" s="374"/>
      <c r="K119" s="374"/>
      <c r="L119" s="37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</row>
    <row r="120" ht="12.0" customHeight="1">
      <c r="A120" s="374"/>
      <c r="B120" s="374"/>
      <c r="C120" s="374"/>
      <c r="D120" s="374"/>
      <c r="E120" s="374"/>
      <c r="F120" s="374"/>
      <c r="G120" s="374"/>
      <c r="H120" s="374"/>
      <c r="I120" s="374"/>
      <c r="J120" s="374"/>
      <c r="K120" s="374"/>
      <c r="L120" s="374"/>
      <c r="M120" s="374"/>
      <c r="N120" s="374"/>
      <c r="O120" s="374"/>
      <c r="P120" s="374"/>
      <c r="Q120" s="374"/>
      <c r="R120" s="374"/>
      <c r="S120" s="374"/>
      <c r="T120" s="374"/>
      <c r="U120" s="374"/>
      <c r="V120" s="374"/>
      <c r="W120" s="374"/>
      <c r="X120" s="374"/>
      <c r="Y120" s="374"/>
      <c r="Z120" s="374"/>
    </row>
    <row r="121" ht="12.0" customHeight="1">
      <c r="A121" s="374"/>
      <c r="B121" s="374"/>
      <c r="C121" s="374"/>
      <c r="D121" s="374"/>
      <c r="E121" s="374"/>
      <c r="F121" s="374"/>
      <c r="G121" s="374"/>
      <c r="H121" s="374"/>
      <c r="I121" s="374"/>
      <c r="J121" s="374"/>
      <c r="K121" s="374"/>
      <c r="L121" s="374"/>
      <c r="M121" s="374"/>
      <c r="N121" s="374"/>
      <c r="O121" s="374"/>
      <c r="P121" s="374"/>
      <c r="Q121" s="374"/>
      <c r="R121" s="374"/>
      <c r="S121" s="374"/>
      <c r="T121" s="374"/>
      <c r="U121" s="374"/>
      <c r="V121" s="374"/>
      <c r="W121" s="374"/>
      <c r="X121" s="374"/>
      <c r="Y121" s="374"/>
      <c r="Z121" s="374"/>
    </row>
    <row r="122" ht="12.0" customHeight="1">
      <c r="A122" s="374"/>
      <c r="B122" s="374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4"/>
      <c r="P122" s="374"/>
      <c r="Q122" s="374"/>
      <c r="R122" s="374"/>
      <c r="S122" s="374"/>
      <c r="T122" s="374"/>
      <c r="U122" s="374"/>
      <c r="V122" s="374"/>
      <c r="W122" s="374"/>
      <c r="X122" s="374"/>
      <c r="Y122" s="374"/>
      <c r="Z122" s="374"/>
    </row>
    <row r="123" ht="12.0" customHeight="1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4"/>
      <c r="P123" s="374"/>
      <c r="Q123" s="374"/>
      <c r="R123" s="374"/>
      <c r="S123" s="374"/>
      <c r="T123" s="374"/>
      <c r="U123" s="374"/>
      <c r="V123" s="374"/>
      <c r="W123" s="374"/>
      <c r="X123" s="374"/>
      <c r="Y123" s="374"/>
      <c r="Z123" s="374"/>
    </row>
    <row r="124" ht="12.0" customHeight="1">
      <c r="A124" s="374"/>
      <c r="B124" s="374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4"/>
      <c r="P124" s="374"/>
      <c r="Q124" s="374"/>
      <c r="R124" s="374"/>
      <c r="S124" s="374"/>
      <c r="T124" s="374"/>
      <c r="U124" s="374"/>
      <c r="V124" s="374"/>
      <c r="W124" s="374"/>
      <c r="X124" s="374"/>
      <c r="Y124" s="374"/>
      <c r="Z124" s="374"/>
    </row>
    <row r="125" ht="12.0" customHeight="1">
      <c r="A125" s="374"/>
      <c r="B125" s="374"/>
      <c r="C125" s="374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  <c r="T125" s="374"/>
      <c r="U125" s="374"/>
      <c r="V125" s="374"/>
      <c r="W125" s="374"/>
      <c r="X125" s="374"/>
      <c r="Y125" s="374"/>
      <c r="Z125" s="374"/>
    </row>
    <row r="126" ht="12.0" customHeight="1">
      <c r="A126" s="374"/>
      <c r="B126" s="374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4"/>
      <c r="T126" s="374"/>
      <c r="U126" s="374"/>
      <c r="V126" s="374"/>
      <c r="W126" s="374"/>
      <c r="X126" s="374"/>
      <c r="Y126" s="374"/>
      <c r="Z126" s="374"/>
    </row>
    <row r="127" ht="12.0" customHeight="1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4"/>
      <c r="T127" s="374"/>
      <c r="U127" s="374"/>
      <c r="V127" s="374"/>
      <c r="W127" s="374"/>
      <c r="X127" s="374"/>
      <c r="Y127" s="374"/>
      <c r="Z127" s="374"/>
    </row>
    <row r="128" ht="12.0" customHeight="1">
      <c r="A128" s="374"/>
      <c r="B128" s="374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</row>
    <row r="129" ht="12.0" customHeight="1">
      <c r="A129" s="374"/>
      <c r="B129" s="374"/>
      <c r="C129" s="374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4"/>
      <c r="T129" s="374"/>
      <c r="U129" s="374"/>
      <c r="V129" s="374"/>
      <c r="W129" s="374"/>
      <c r="X129" s="374"/>
      <c r="Y129" s="374"/>
      <c r="Z129" s="374"/>
    </row>
    <row r="130" ht="12.0" customHeight="1">
      <c r="A130" s="374"/>
      <c r="B130" s="374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4"/>
      <c r="T130" s="374"/>
      <c r="U130" s="374"/>
      <c r="V130" s="374"/>
      <c r="W130" s="374"/>
      <c r="X130" s="374"/>
      <c r="Y130" s="374"/>
      <c r="Z130" s="374"/>
    </row>
    <row r="131" ht="12.0" customHeight="1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4"/>
      <c r="T131" s="374"/>
      <c r="U131" s="374"/>
      <c r="V131" s="374"/>
      <c r="W131" s="374"/>
      <c r="X131" s="374"/>
      <c r="Y131" s="374"/>
      <c r="Z131" s="374"/>
    </row>
    <row r="132" ht="12.0" customHeight="1">
      <c r="A132" s="374"/>
      <c r="B132" s="374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4"/>
      <c r="T132" s="374"/>
      <c r="U132" s="374"/>
      <c r="V132" s="374"/>
      <c r="W132" s="374"/>
      <c r="X132" s="374"/>
      <c r="Y132" s="374"/>
      <c r="Z132" s="374"/>
    </row>
    <row r="133" ht="12.0" customHeight="1">
      <c r="A133" s="374"/>
      <c r="B133" s="374"/>
      <c r="C133" s="374"/>
      <c r="D133" s="374"/>
      <c r="E133" s="374"/>
      <c r="F133" s="374"/>
      <c r="G133" s="374"/>
      <c r="H133" s="374"/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4"/>
      <c r="T133" s="374"/>
      <c r="U133" s="374"/>
      <c r="V133" s="374"/>
      <c r="W133" s="374"/>
      <c r="X133" s="374"/>
      <c r="Y133" s="374"/>
      <c r="Z133" s="374"/>
    </row>
    <row r="134" ht="12.0" customHeight="1">
      <c r="A134" s="374"/>
      <c r="B134" s="374"/>
      <c r="C134" s="374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4"/>
      <c r="T134" s="374"/>
      <c r="U134" s="374"/>
      <c r="V134" s="374"/>
      <c r="W134" s="374"/>
      <c r="X134" s="374"/>
      <c r="Y134" s="374"/>
      <c r="Z134" s="374"/>
    </row>
    <row r="135" ht="12.0" customHeight="1">
      <c r="A135" s="374"/>
      <c r="B135" s="374"/>
      <c r="C135" s="374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</row>
    <row r="136" ht="12.0" customHeight="1">
      <c r="A136" s="374"/>
      <c r="B136" s="374"/>
      <c r="C136" s="374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</row>
    <row r="137" ht="12.0" customHeight="1">
      <c r="A137" s="374"/>
      <c r="B137" s="374"/>
      <c r="C137" s="374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  <c r="N137" s="374"/>
      <c r="O137" s="374"/>
      <c r="P137" s="374"/>
      <c r="Q137" s="374"/>
      <c r="R137" s="374"/>
      <c r="S137" s="374"/>
      <c r="T137" s="374"/>
      <c r="U137" s="374"/>
      <c r="V137" s="374"/>
      <c r="W137" s="374"/>
      <c r="X137" s="374"/>
      <c r="Y137" s="374"/>
      <c r="Z137" s="374"/>
    </row>
    <row r="138" ht="12.0" customHeight="1">
      <c r="A138" s="374"/>
      <c r="B138" s="374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</row>
    <row r="139" ht="12.0" customHeight="1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</row>
    <row r="140" ht="12.0" customHeight="1">
      <c r="A140" s="374"/>
      <c r="B140" s="374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  <c r="T140" s="374"/>
      <c r="U140" s="374"/>
      <c r="V140" s="374"/>
      <c r="W140" s="374"/>
      <c r="X140" s="374"/>
      <c r="Y140" s="374"/>
      <c r="Z140" s="374"/>
    </row>
    <row r="141" ht="12.0" customHeight="1">
      <c r="A141" s="374"/>
      <c r="B141" s="374"/>
      <c r="C141" s="374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  <c r="T141" s="374"/>
      <c r="U141" s="374"/>
      <c r="V141" s="374"/>
      <c r="W141" s="374"/>
      <c r="X141" s="374"/>
      <c r="Y141" s="374"/>
      <c r="Z141" s="374"/>
    </row>
    <row r="142" ht="12.0" customHeight="1">
      <c r="A142" s="374"/>
      <c r="B142" s="374"/>
      <c r="C142" s="374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4"/>
      <c r="T142" s="374"/>
      <c r="U142" s="374"/>
      <c r="V142" s="374"/>
      <c r="W142" s="374"/>
      <c r="X142" s="374"/>
      <c r="Y142" s="374"/>
      <c r="Z142" s="374"/>
    </row>
    <row r="143" ht="12.0" customHeight="1">
      <c r="A143" s="374"/>
      <c r="B143" s="374"/>
      <c r="C143" s="374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4"/>
      <c r="T143" s="374"/>
      <c r="U143" s="374"/>
      <c r="V143" s="374"/>
      <c r="W143" s="374"/>
      <c r="X143" s="374"/>
      <c r="Y143" s="374"/>
      <c r="Z143" s="374"/>
    </row>
    <row r="144" ht="12.0" customHeight="1">
      <c r="A144" s="374"/>
      <c r="B144" s="374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4"/>
      <c r="T144" s="374"/>
      <c r="U144" s="374"/>
      <c r="V144" s="374"/>
      <c r="W144" s="374"/>
      <c r="X144" s="374"/>
      <c r="Y144" s="374"/>
      <c r="Z144" s="374"/>
    </row>
    <row r="145" ht="12.0" customHeight="1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4"/>
      <c r="T145" s="374"/>
      <c r="U145" s="374"/>
      <c r="V145" s="374"/>
      <c r="W145" s="374"/>
      <c r="X145" s="374"/>
      <c r="Y145" s="374"/>
      <c r="Z145" s="374"/>
    </row>
    <row r="146" ht="12.0" customHeight="1">
      <c r="A146" s="374"/>
      <c r="B146" s="374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  <c r="T146" s="374"/>
      <c r="U146" s="374"/>
      <c r="V146" s="374"/>
      <c r="W146" s="374"/>
      <c r="X146" s="374"/>
      <c r="Y146" s="374"/>
      <c r="Z146" s="374"/>
    </row>
    <row r="147" ht="12.0" customHeight="1">
      <c r="A147" s="374"/>
      <c r="B147" s="374"/>
      <c r="C147" s="374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4"/>
      <c r="T147" s="374"/>
      <c r="U147" s="374"/>
      <c r="V147" s="374"/>
      <c r="W147" s="374"/>
      <c r="X147" s="374"/>
      <c r="Y147" s="374"/>
      <c r="Z147" s="374"/>
    </row>
    <row r="148" ht="12.0" customHeight="1">
      <c r="A148" s="374"/>
      <c r="B148" s="374"/>
      <c r="C148" s="374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  <c r="T148" s="374"/>
      <c r="U148" s="374"/>
      <c r="V148" s="374"/>
      <c r="W148" s="374"/>
      <c r="X148" s="374"/>
      <c r="Y148" s="374"/>
      <c r="Z148" s="374"/>
    </row>
    <row r="149" ht="12.0" customHeight="1">
      <c r="A149" s="374"/>
      <c r="B149" s="374"/>
      <c r="C149" s="374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  <c r="T149" s="374"/>
      <c r="U149" s="374"/>
      <c r="V149" s="374"/>
      <c r="W149" s="374"/>
      <c r="X149" s="374"/>
      <c r="Y149" s="374"/>
      <c r="Z149" s="374"/>
    </row>
    <row r="150" ht="12.0" customHeight="1">
      <c r="A150" s="374"/>
      <c r="B150" s="374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4"/>
      <c r="T150" s="374"/>
      <c r="U150" s="374"/>
      <c r="V150" s="374"/>
      <c r="W150" s="374"/>
      <c r="X150" s="374"/>
      <c r="Y150" s="374"/>
      <c r="Z150" s="374"/>
    </row>
    <row r="151" ht="12.0" customHeight="1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4"/>
      <c r="P151" s="374"/>
      <c r="Q151" s="374"/>
      <c r="R151" s="374"/>
      <c r="S151" s="374"/>
      <c r="T151" s="374"/>
      <c r="U151" s="374"/>
      <c r="V151" s="374"/>
      <c r="W151" s="374"/>
      <c r="X151" s="374"/>
      <c r="Y151" s="374"/>
      <c r="Z151" s="374"/>
    </row>
    <row r="152" ht="12.0" customHeight="1">
      <c r="A152" s="374"/>
      <c r="B152" s="374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4"/>
      <c r="P152" s="374"/>
      <c r="Q152" s="374"/>
      <c r="R152" s="374"/>
      <c r="S152" s="374"/>
      <c r="T152" s="374"/>
      <c r="U152" s="374"/>
      <c r="V152" s="374"/>
      <c r="W152" s="374"/>
      <c r="X152" s="374"/>
      <c r="Y152" s="374"/>
      <c r="Z152" s="374"/>
    </row>
    <row r="153" ht="12.0" customHeight="1">
      <c r="A153" s="374"/>
      <c r="B153" s="374"/>
      <c r="C153" s="374"/>
      <c r="D153" s="374"/>
      <c r="E153" s="374"/>
      <c r="F153" s="374"/>
      <c r="G153" s="374"/>
      <c r="H153" s="374"/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4"/>
      <c r="T153" s="374"/>
      <c r="U153" s="374"/>
      <c r="V153" s="374"/>
      <c r="W153" s="374"/>
      <c r="X153" s="374"/>
      <c r="Y153" s="374"/>
      <c r="Z153" s="374"/>
    </row>
    <row r="154" ht="12.0" customHeight="1">
      <c r="A154" s="374"/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4"/>
      <c r="Q154" s="374"/>
      <c r="R154" s="374"/>
      <c r="S154" s="374"/>
      <c r="T154" s="374"/>
      <c r="U154" s="374"/>
      <c r="V154" s="374"/>
      <c r="W154" s="374"/>
      <c r="X154" s="374"/>
      <c r="Y154" s="374"/>
      <c r="Z154" s="374"/>
    </row>
    <row r="155" ht="12.0" customHeight="1">
      <c r="A155" s="374"/>
      <c r="B155" s="374"/>
      <c r="C155" s="374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</row>
    <row r="156" ht="12.0" customHeight="1">
      <c r="A156" s="374"/>
      <c r="B156" s="374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</row>
    <row r="157" ht="12.0" customHeight="1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</row>
    <row r="158" ht="12.0" customHeight="1">
      <c r="A158" s="374"/>
      <c r="B158" s="374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</row>
    <row r="159" ht="12.0" customHeight="1">
      <c r="A159" s="374"/>
      <c r="B159" s="374"/>
      <c r="C159" s="374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</row>
    <row r="160" ht="12.0" customHeight="1">
      <c r="A160" s="374"/>
      <c r="B160" s="374"/>
      <c r="C160" s="374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</row>
    <row r="161" ht="12.0" customHeight="1">
      <c r="A161" s="374"/>
      <c r="B161" s="374"/>
      <c r="C161" s="374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</row>
    <row r="162" ht="12.0" customHeight="1">
      <c r="A162" s="374"/>
      <c r="B162" s="374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</row>
    <row r="163" ht="12.0" customHeight="1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</row>
    <row r="164" ht="12.0" customHeight="1">
      <c r="A164" s="374"/>
      <c r="B164" s="374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</row>
    <row r="165" ht="12.0" customHeight="1">
      <c r="A165" s="374"/>
      <c r="B165" s="374"/>
      <c r="C165" s="374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</row>
    <row r="166" ht="12.0" customHeight="1">
      <c r="A166" s="374"/>
      <c r="B166" s="374"/>
      <c r="C166" s="374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</row>
    <row r="167" ht="12.0" customHeight="1">
      <c r="A167" s="374"/>
      <c r="B167" s="374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</row>
    <row r="168" ht="12.0" customHeight="1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</row>
    <row r="169" ht="12.0" customHeight="1">
      <c r="A169" s="374"/>
      <c r="B169" s="374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</row>
    <row r="170" ht="12.0" customHeight="1">
      <c r="A170" s="374"/>
      <c r="B170" s="374"/>
      <c r="C170" s="374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</row>
    <row r="171" ht="12.0" customHeight="1">
      <c r="A171" s="374"/>
      <c r="B171" s="374"/>
      <c r="C171" s="374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</row>
    <row r="172" ht="12.0" customHeight="1">
      <c r="A172" s="374"/>
      <c r="B172" s="374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</row>
    <row r="173" ht="12.0" customHeight="1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</row>
    <row r="174" ht="12.0" customHeight="1">
      <c r="A174" s="374"/>
      <c r="B174" s="374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</row>
    <row r="175" ht="12.0" customHeight="1">
      <c r="A175" s="374"/>
      <c r="B175" s="374"/>
      <c r="C175" s="374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</row>
    <row r="176" ht="12.0" customHeight="1">
      <c r="A176" s="374"/>
      <c r="B176" s="374"/>
      <c r="C176" s="374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</row>
    <row r="177" ht="12.0" customHeight="1">
      <c r="A177" s="374"/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</row>
    <row r="178" ht="12.0" customHeight="1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</row>
    <row r="179" ht="12.0" customHeight="1">
      <c r="A179" s="374"/>
      <c r="B179" s="374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</row>
    <row r="180" ht="12.0" customHeight="1">
      <c r="A180" s="374"/>
      <c r="B180" s="374"/>
      <c r="C180" s="374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</row>
    <row r="181" ht="12.0" customHeight="1">
      <c r="A181" s="374"/>
      <c r="B181" s="374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</row>
    <row r="182" ht="12.0" customHeight="1">
      <c r="A182" s="374"/>
      <c r="B182" s="374"/>
      <c r="C182" s="374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</row>
    <row r="183" ht="12.0" customHeight="1">
      <c r="A183" s="374"/>
      <c r="B183" s="374"/>
      <c r="C183" s="374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</row>
    <row r="184" ht="12.0" customHeight="1">
      <c r="A184" s="374"/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</row>
    <row r="185" ht="12.0" customHeight="1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</row>
    <row r="186" ht="12.0" customHeight="1">
      <c r="A186" s="374"/>
      <c r="B186" s="374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</row>
    <row r="187" ht="12.0" customHeight="1">
      <c r="A187" s="374"/>
      <c r="B187" s="374"/>
      <c r="C187" s="374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</row>
    <row r="188" ht="12.0" customHeight="1">
      <c r="A188" s="374"/>
      <c r="B188" s="374"/>
      <c r="C188" s="374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</row>
    <row r="189" ht="12.0" customHeight="1">
      <c r="A189" s="374"/>
      <c r="B189" s="374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</row>
    <row r="190" ht="12.0" customHeight="1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</row>
    <row r="191" ht="12.0" customHeight="1">
      <c r="A191" s="374"/>
      <c r="B191" s="374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</row>
    <row r="192" ht="12.0" customHeight="1">
      <c r="A192" s="374"/>
      <c r="B192" s="374"/>
      <c r="C192" s="374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</row>
    <row r="193" ht="12.0" customHeight="1">
      <c r="A193" s="374"/>
      <c r="B193" s="374"/>
      <c r="C193" s="374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</row>
    <row r="194" ht="12.0" customHeight="1">
      <c r="A194" s="374"/>
      <c r="B194" s="374"/>
      <c r="C194" s="374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</row>
    <row r="195" ht="12.0" customHeight="1">
      <c r="A195" s="374"/>
      <c r="B195" s="374"/>
      <c r="C195" s="374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</row>
    <row r="196" ht="12.0" customHeight="1">
      <c r="A196" s="374"/>
      <c r="B196" s="374"/>
      <c r="C196" s="374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</row>
    <row r="197" ht="12.0" customHeight="1">
      <c r="A197" s="374"/>
      <c r="B197" s="374"/>
      <c r="C197" s="374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</row>
    <row r="198" ht="12.0" customHeight="1">
      <c r="A198" s="374"/>
      <c r="B198" s="374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</row>
    <row r="199" ht="12.0" customHeight="1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</row>
    <row r="200" ht="12.0" customHeight="1">
      <c r="A200" s="374"/>
      <c r="B200" s="374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</row>
    <row r="201" ht="12.0" customHeight="1">
      <c r="A201" s="374"/>
      <c r="B201" s="374"/>
      <c r="C201" s="374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</row>
    <row r="202" ht="12.0" customHeight="1">
      <c r="A202" s="374"/>
      <c r="B202" s="374"/>
      <c r="C202" s="374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</row>
    <row r="203" ht="12.0" customHeight="1">
      <c r="A203" s="374"/>
      <c r="B203" s="374"/>
      <c r="C203" s="374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</row>
    <row r="204" ht="12.0" customHeight="1">
      <c r="A204" s="374"/>
      <c r="B204" s="374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</row>
    <row r="205" ht="12.0" customHeight="1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</row>
    <row r="206" ht="12.0" customHeight="1">
      <c r="A206" s="374"/>
      <c r="B206" s="374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</row>
    <row r="207" ht="12.0" customHeight="1">
      <c r="A207" s="374"/>
      <c r="B207" s="374"/>
      <c r="C207" s="374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</row>
    <row r="208" ht="12.0" customHeight="1">
      <c r="A208" s="374"/>
      <c r="B208" s="374"/>
      <c r="C208" s="374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</row>
    <row r="209" ht="12.0" customHeight="1">
      <c r="A209" s="374"/>
      <c r="B209" s="374"/>
      <c r="C209" s="374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</row>
    <row r="210" ht="12.0" customHeight="1">
      <c r="A210" s="374"/>
      <c r="B210" s="374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</row>
    <row r="211" ht="12.0" customHeight="1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</row>
    <row r="212" ht="12.0" customHeight="1">
      <c r="A212" s="374"/>
      <c r="B212" s="374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</row>
    <row r="213" ht="12.0" customHeight="1">
      <c r="A213" s="374"/>
      <c r="B213" s="374"/>
      <c r="C213" s="374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</row>
    <row r="214" ht="12.0" customHeight="1">
      <c r="A214" s="374"/>
      <c r="B214" s="374"/>
      <c r="C214" s="374"/>
      <c r="D214" s="374"/>
      <c r="E214" s="374"/>
      <c r="F214" s="374"/>
      <c r="G214" s="374"/>
      <c r="H214" s="374"/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</row>
    <row r="215" ht="12.0" customHeight="1">
      <c r="A215" s="374"/>
      <c r="B215" s="374"/>
      <c r="C215" s="374"/>
      <c r="D215" s="374"/>
      <c r="E215" s="374"/>
      <c r="F215" s="374"/>
      <c r="G215" s="374"/>
      <c r="H215" s="374"/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</row>
    <row r="216" ht="12.0" customHeight="1">
      <c r="A216" s="374"/>
      <c r="B216" s="374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</row>
    <row r="217" ht="12.0" customHeight="1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</row>
    <row r="218" ht="12.0" customHeight="1">
      <c r="A218" s="374"/>
      <c r="B218" s="374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</row>
    <row r="219" ht="12.0" customHeight="1">
      <c r="A219" s="374"/>
      <c r="B219" s="374"/>
      <c r="C219" s="374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</row>
    <row r="220" ht="12.0" customHeight="1">
      <c r="A220" s="374"/>
      <c r="B220" s="374"/>
      <c r="C220" s="374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D12"/>
    <mergeCell ref="C13:D13"/>
    <mergeCell ref="C14:D14"/>
    <mergeCell ref="C15:D15"/>
  </mergeCells>
  <conditionalFormatting sqref="C10:M10">
    <cfRule type="cellIs" dxfId="1" priority="1" operator="greaterThan">
      <formula>0</formula>
    </cfRule>
  </conditionalFormatting>
  <conditionalFormatting sqref="C10:M10">
    <cfRule type="cellIs" dxfId="2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