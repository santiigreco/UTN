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roduccion" sheetId="2" r:id="rId5"/>
    <sheet state="visible" name="Plan de ventas" sheetId="3" r:id="rId6"/>
    <sheet state="visible" name="Inversiones" sheetId="4" r:id="rId7"/>
    <sheet state="visible" name="Costos" sheetId="5" r:id="rId8"/>
    <sheet state="visible" name="Flujo" sheetId="6" r:id="rId9"/>
  </sheets>
  <definedNames/>
  <calcPr/>
  <extLst>
    <ext uri="GoogleSheetsCustomDataVersion2">
      <go:sheetsCustomData xmlns:go="http://customooxmlschemas.google.com/" r:id="rId10" roundtripDataChecksum="I9OJPIQnlCD+pNgecWGeCiF4qdBvbdEJBL5XV0t0Bm8="/>
    </ext>
  </extLst>
</workbook>
</file>

<file path=xl/sharedStrings.xml><?xml version="1.0" encoding="utf-8"?>
<sst xmlns="http://schemas.openxmlformats.org/spreadsheetml/2006/main" count="288" uniqueCount="190">
  <si>
    <t>Estimación anual de la demanda</t>
  </si>
  <si>
    <t>Población</t>
  </si>
  <si>
    <t>Población total Arg</t>
  </si>
  <si>
    <t>% Celíacos</t>
  </si>
  <si>
    <t>Subpoblación celíacos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</si>
  <si>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</si>
  <si>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</si>
  <si>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</si>
  <si>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</si>
  <si>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</si>
  <si>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</si>
  <si>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</si>
  <si>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</si>
  <si>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subpoblación celíaca</t>
  </si>
  <si>
    <t>Factor conviviente</t>
  </si>
  <si>
    <t>Ventas SMAMS 2025 [kg]</t>
  </si>
  <si>
    <t>%Mkt share de SMAMS</t>
  </si>
  <si>
    <t>Ventas anuales nuestro proyecto [kg]</t>
  </si>
  <si>
    <t>%Mkt share de nuestro proyecto</t>
  </si>
  <si>
    <t>Ventas</t>
  </si>
  <si>
    <t>Mercado base</t>
  </si>
  <si>
    <t>Poblacion Arg</t>
  </si>
  <si>
    <t>Celiacos</t>
  </si>
  <si>
    <t>Mercado extra</t>
  </si>
  <si>
    <t>Factor saludable</t>
  </si>
  <si>
    <t xml:space="preserve">Proyeccion </t>
  </si>
  <si>
    <t>Participación</t>
  </si>
  <si>
    <t>Mercado objetivo</t>
  </si>
  <si>
    <t>Consumo kg/p mensual</t>
  </si>
  <si>
    <t>Consumo kg/p anual</t>
  </si>
  <si>
    <t>Demanda anual (kg)</t>
  </si>
  <si>
    <t>Produccion anual (kg)</t>
  </si>
  <si>
    <t>Produccion</t>
  </si>
  <si>
    <t>Personal</t>
  </si>
  <si>
    <t>Producción por turno y eficiencia</t>
  </si>
  <si>
    <t>Escala de producción</t>
  </si>
  <si>
    <t>Linea</t>
  </si>
  <si>
    <t>Turnos</t>
  </si>
  <si>
    <t>Horario</t>
  </si>
  <si>
    <t>RH/turno</t>
  </si>
  <si>
    <t>RH</t>
  </si>
  <si>
    <t>Cajas/turno</t>
  </si>
  <si>
    <t>Cajas/h</t>
  </si>
  <si>
    <t>kg/caja</t>
  </si>
  <si>
    <t>kg/turno</t>
  </si>
  <si>
    <t>kg/h</t>
  </si>
  <si>
    <t>kg/dia</t>
  </si>
  <si>
    <t>kg/año</t>
  </si>
  <si>
    <t>Tn/año</t>
  </si>
  <si>
    <t>$/kg</t>
  </si>
  <si>
    <t>FC ($M)</t>
  </si>
  <si>
    <t>Pepas</t>
  </si>
  <si>
    <t>A</t>
  </si>
  <si>
    <t>M, T</t>
  </si>
  <si>
    <t>Polvorones</t>
  </si>
  <si>
    <t>N</t>
  </si>
  <si>
    <t>Budines</t>
  </si>
  <si>
    <t>B</t>
  </si>
  <si>
    <t>Linea A</t>
  </si>
  <si>
    <t>Linea B</t>
  </si>
  <si>
    <t>COD</t>
  </si>
  <si>
    <t>FC [$MM]</t>
  </si>
  <si>
    <t>kg/mes</t>
  </si>
  <si>
    <t>Ventas smams</t>
  </si>
  <si>
    <t>Factor</t>
  </si>
  <si>
    <t>A1</t>
  </si>
  <si>
    <t>Chocolate con chips picante</t>
  </si>
  <si>
    <t>A2</t>
  </si>
  <si>
    <t>Galletitas simil chocolinas</t>
  </si>
  <si>
    <t>A3</t>
  </si>
  <si>
    <t>Pepas chocolate y batata</t>
  </si>
  <si>
    <t>A4</t>
  </si>
  <si>
    <t>Bizcochos salados</t>
  </si>
  <si>
    <t>A5</t>
  </si>
  <si>
    <t>B1</t>
  </si>
  <si>
    <t>Pan de molde</t>
  </si>
  <si>
    <t>B2</t>
  </si>
  <si>
    <t>LINEA A</t>
  </si>
  <si>
    <t>Capacidad esperada (kg/h)</t>
  </si>
  <si>
    <t>Capacidad real (kg/h)</t>
  </si>
  <si>
    <t>Revisar capacidad de horno tunel</t>
  </si>
  <si>
    <t>Aprovechamiento</t>
  </si>
  <si>
    <t>LINEA B</t>
  </si>
  <si>
    <t>Revisar capacidad de horno rotativo</t>
  </si>
  <si>
    <t>El aprovechamiento debe estar entre 60/90%. Esto se mejora bajando la capacidad de la maquina o aumentando la producción, sin agregar máquinas</t>
  </si>
  <si>
    <t>Precio ($/kg)</t>
  </si>
  <si>
    <t>Galletitas de chocolate con chips picante</t>
  </si>
  <si>
    <t>Galletitas estilo “Chocolinas”</t>
  </si>
  <si>
    <t>Pepas de chocolate y batata</t>
  </si>
  <si>
    <t>Budines saborizados</t>
  </si>
  <si>
    <t>[ARS MM]</t>
  </si>
  <si>
    <t>Cantidad [Tn]</t>
  </si>
  <si>
    <t>Precio [$/Tn]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</si>
  <si>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</si>
  <si>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</si>
  <si>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</si>
  <si>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</si>
  <si>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</si>
  <si>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</si>
  <si>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</si>
  <si>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</si>
  <si>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</si>
  <si>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</si>
  <si>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TOTAL</t>
  </si>
  <si>
    <t>Activo fijo</t>
  </si>
  <si>
    <t>Planta</t>
  </si>
  <si>
    <t>Concepto</t>
  </si>
  <si>
    <t>ARS [MM]</t>
  </si>
  <si>
    <t>%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</si>
  <si>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</si>
  <si>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</si>
  <si>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</si>
  <si>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</si>
  <si>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</si>
  <si>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</si>
  <si>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</si>
  <si>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</si>
  <si>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</si>
  <si>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Nave industrial</t>
  </si>
  <si>
    <t>Rodados y equipos aux</t>
  </si>
  <si>
    <t>Uso general</t>
  </si>
  <si>
    <t>Autoelevador</t>
  </si>
  <si>
    <t>Producción y oficinas</t>
  </si>
  <si>
    <t>Obras complementarias</t>
  </si>
  <si>
    <t>Zorra</t>
  </si>
  <si>
    <t>Deposito producto terminado</t>
  </si>
  <si>
    <t>Máquinas operativas</t>
  </si>
  <si>
    <t>Balanza micro pesado</t>
  </si>
  <si>
    <t>Deposito mp</t>
  </si>
  <si>
    <t>Rodados y equipos auxiliares</t>
  </si>
  <si>
    <t>Balanza macro pesado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</si>
  <si>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</si>
  <si>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</si>
  <si>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</si>
  <si>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</si>
  <si>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</si>
  <si>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</si>
  <si>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</si>
  <si>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</si>
  <si>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</si>
  <si>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</si>
  <si>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</si>
  <si>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</si>
  <si>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</si>
  <si>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</si>
  <si>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</si>
  <si>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</si>
  <si>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</si>
  <si>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</si>
  <si>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</si>
  <si>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</si>
  <si>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</si>
  <si>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</si>
  <si>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</si>
  <si>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</si>
  <si>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</si>
  <si>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</si>
  <si>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</si>
  <si>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</si>
  <si>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</si>
  <si>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</si>
  <si>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</si>
  <si>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</si>
  <si>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</si>
  <si>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</si>
  <si>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</si>
  <si>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</si>
  <si>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Producción</t>
  </si>
  <si>
    <t>Operario</t>
  </si>
  <si>
    <t>Mantenimiento / Logística</t>
  </si>
  <si>
    <t>Empleado</t>
  </si>
  <si>
    <t>Otros costos</t>
  </si>
  <si>
    <t>Staff producción</t>
  </si>
  <si>
    <t>Administrativos</t>
  </si>
  <si>
    <t>Gerencia de Planta / Admin</t>
  </si>
  <si>
    <t>Gerente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</si>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</sst>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#,##0.0"/>
    <numFmt numFmtId="166" formatCode="_-* #,##0.0_-;\-* #,##0.0_-;_-* &quot;-&quot;??_-;_-@"/>
    <numFmt numFmtId="167" formatCode="0.0%"/>
    <numFmt numFmtId="168" formatCode="0.0"/>
    <numFmt numFmtId="169" formatCode="_-* #,##0.00_-;\-* #,##0.00_-;_-* &quot;-&quot;??_-;_-@"/>
  </numFmts>
  <fonts count="27">
    <font>
      <sz val="11.0"/>
      <color theme="1"/>
      <name val="Calibri"/>
      <scheme val="minor"/>
    </font>
    <font>
      <sz val="9.0"/>
      <color theme="1"/>
      <name val="Nunito"/>
    </font>
    <font>
      <color theme="1"/>
      <name val="Nunito"/>
    </font>
    <font>
      <b/>
      <sz val="11.0"/>
      <color theme="1"/>
      <name val="Nunito"/>
    </font>
    <font>
      <sz val="11.0"/>
      <color theme="1"/>
      <name val="Nunito"/>
    </font>
    <font>
      <b/>
      <color theme="1"/>
      <name val="Nunito"/>
    </font>
    <font>
      <b/>
      <sz val="9.0"/>
      <color theme="0"/>
      <name val="Nunito"/>
    </font>
    <font>
      <sz val="9.0"/>
      <color theme="0"/>
      <name val="Nunito"/>
    </font>
    <font>
      <b/>
      <sz val="9.0"/>
      <color theme="1"/>
      <name val="Nunito"/>
    </font>
    <font/>
    <font>
      <sz val="9.0"/>
      <color rgb="FF0070C0"/>
      <name val="Nunito"/>
    </font>
    <font>
      <sz val="9.0"/>
      <color rgb="FFC55A11"/>
      <name val="Nunito"/>
    </font>
    <font>
      <b/>
      <sz val="9.0"/>
      <color rgb="FF0070C0"/>
      <name val="Nunito"/>
    </font>
    <font>
      <b/>
      <sz val="9.0"/>
      <color rgb="FFC55A11"/>
      <name val="Nunito"/>
    </font>
    <font>
      <b/>
      <sz val="9.0"/>
      <color rgb="FFFFFFFF"/>
      <name val="Nunito"/>
    </font>
    <font>
      <sz val="8.0"/>
      <color theme="1"/>
      <name val="Nunito"/>
    </font>
    <font>
      <sz val="10.0"/>
      <color theme="1"/>
      <name val="Nunito"/>
    </font>
    <font>
      <b/>
      <sz val="10.0"/>
      <color theme="1"/>
      <name val="Nunito"/>
    </font>
    <font>
      <b/>
      <sz val="10.0"/>
      <color rgb="FFFFFFFF"/>
      <name val="Nunito"/>
    </font>
    <font>
      <sz val="10.0"/>
      <color rgb="FF000000"/>
      <name val="Nunito"/>
    </font>
    <font>
      <sz val="10.0"/>
      <color rgb="FF0070C0"/>
      <name val="Nunito"/>
    </font>
    <font>
      <b/>
      <sz val="10.0"/>
      <color rgb="FF000000"/>
      <name val="Nunito"/>
    </font>
    <font>
      <b/>
      <sz val="10.0"/>
      <color theme="0"/>
      <name val="Nunito"/>
    </font>
    <font>
      <sz val="9.0"/>
      <color rgb="FF00B050"/>
      <name val="Nunito"/>
    </font>
    <font>
      <b/>
      <sz val="9.0"/>
      <color rgb="FF00B050"/>
      <name val="Nunito"/>
    </font>
    <font>
      <sz val="9.0"/>
      <color rgb="FFFF0000"/>
      <name val="Nunito"/>
    </font>
    <font>
      <b/>
      <sz val="9.0"/>
      <color rgb="FFFF0000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62626"/>
        <bgColor rgb="FF262626"/>
      </patternFill>
    </fill>
    <fill>
      <patternFill patternType="solid">
        <fgColor rgb="FF434343"/>
        <bgColor rgb="FF434343"/>
      </patternFill>
    </fill>
  </fills>
  <borders count="24">
    <border/>
    <border>
      <bottom style="thin">
        <color rgb="FF000000"/>
      </bottom>
    </border>
    <border>
      <left/>
      <right/>
      <top/>
      <bottom/>
    </border>
    <border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/>
      <right/>
      <top/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Font="1"/>
    <xf borderId="0" fillId="3" fontId="4" numFmtId="0" xfId="0" applyAlignment="1" applyFill="1" applyFont="1">
      <alignment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4" numFmtId="9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horizontal="right" vertical="bottom"/>
    </xf>
    <xf borderId="0" fillId="3" fontId="4" numFmtId="0" xfId="0" applyAlignment="1" applyFont="1">
      <alignment readingOrder="0" vertical="bottom"/>
    </xf>
    <xf borderId="0" fillId="3" fontId="4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center"/>
    </xf>
    <xf borderId="1" fillId="3" fontId="4" numFmtId="4" xfId="0" applyAlignment="1" applyBorder="1" applyFont="1" applyNumberFormat="1">
      <alignment horizontal="right" vertical="bottom"/>
    </xf>
    <xf borderId="0" fillId="3" fontId="3" numFmtId="4" xfId="0" applyAlignment="1" applyFont="1" applyNumberFormat="1">
      <alignment horizontal="right" vertical="bottom"/>
    </xf>
    <xf borderId="1" fillId="3" fontId="3" numFmtId="0" xfId="0" applyAlignment="1" applyBorder="1" applyFont="1">
      <alignment horizontal="right" readingOrder="0" vertical="bottom"/>
    </xf>
    <xf borderId="0" fillId="3" fontId="4" numFmtId="165" xfId="0" applyAlignment="1" applyFont="1" applyNumberFormat="1">
      <alignment horizontal="right" readingOrder="0" vertical="bottom"/>
    </xf>
    <xf borderId="1" fillId="3" fontId="4" numFmtId="3" xfId="0" applyAlignment="1" applyBorder="1" applyFont="1" applyNumberFormat="1">
      <alignment horizontal="right" vertical="bottom"/>
    </xf>
    <xf borderId="1" fillId="3" fontId="4" numFmtId="165" xfId="0" applyAlignment="1" applyBorder="1" applyFont="1" applyNumberFormat="1">
      <alignment horizontal="right" readingOrder="0" vertical="bottom"/>
    </xf>
    <xf borderId="0" fillId="3" fontId="3" numFmtId="3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2" numFmtId="10" xfId="0" applyAlignment="1" applyFont="1" applyNumberFormat="1">
      <alignment horizontal="right"/>
    </xf>
    <xf borderId="0" fillId="0" fontId="5" numFmtId="0" xfId="0" applyAlignment="1" applyFont="1">
      <alignment readingOrder="0"/>
    </xf>
    <xf borderId="2" fillId="4" fontId="6" numFmtId="0" xfId="0" applyAlignment="1" applyBorder="1" applyFill="1" applyFont="1">
      <alignment vertical="center"/>
    </xf>
    <xf borderId="2" fillId="4" fontId="7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4" fillId="0" fontId="1" numFmtId="9" xfId="0" applyAlignment="1" applyBorder="1" applyFont="1" applyNumberFormat="1">
      <alignment vertical="center"/>
    </xf>
    <xf borderId="5" fillId="5" fontId="8" numFmtId="0" xfId="0" applyAlignment="1" applyBorder="1" applyFill="1" applyFont="1">
      <alignment vertical="center"/>
    </xf>
    <xf borderId="5" fillId="5" fontId="8" numFmtId="164" xfId="0" applyAlignment="1" applyBorder="1" applyFont="1" applyNumberFormat="1">
      <alignment vertical="center"/>
    </xf>
    <xf borderId="4" fillId="0" fontId="1" numFmtId="166" xfId="0" applyAlignment="1" applyBorder="1" applyFont="1" applyNumberFormat="1">
      <alignment vertical="center"/>
    </xf>
    <xf borderId="0" fillId="0" fontId="8" numFmtId="167" xfId="0" applyAlignment="1" applyFont="1" applyNumberFormat="1">
      <alignment vertical="center"/>
    </xf>
    <xf borderId="3" fillId="0" fontId="8" numFmtId="164" xfId="0" applyAlignment="1" applyBorder="1" applyFont="1" applyNumberFormat="1">
      <alignment vertical="center"/>
    </xf>
    <xf borderId="2" fillId="5" fontId="8" numFmtId="0" xfId="0" applyAlignment="1" applyBorder="1" applyFont="1">
      <alignment vertical="center"/>
    </xf>
    <xf borderId="2" fillId="5" fontId="8" numFmtId="16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3" fillId="0" fontId="8" numFmtId="0" xfId="0" applyAlignment="1" applyBorder="1" applyFont="1">
      <alignment horizontal="left" vertical="center"/>
    </xf>
    <xf borderId="3" fillId="0" fontId="9" numFmtId="0" xfId="0" applyBorder="1" applyFont="1"/>
    <xf borderId="6" fillId="4" fontId="6" numFmtId="0" xfId="0" applyAlignment="1" applyBorder="1" applyFont="1">
      <alignment horizontal="center" vertical="center"/>
    </xf>
    <xf borderId="6" fillId="0" fontId="10" numFmtId="0" xfId="0" applyAlignment="1" applyBorder="1" applyFont="1">
      <alignment vertical="center"/>
    </xf>
    <xf borderId="6" fillId="0" fontId="10" numFmtId="0" xfId="0" applyAlignment="1" applyBorder="1" applyFont="1">
      <alignment horizontal="center" vertical="center"/>
    </xf>
    <xf borderId="6" fillId="0" fontId="10" numFmtId="164" xfId="0" applyAlignment="1" applyBorder="1" applyFont="1" applyNumberFormat="1">
      <alignment vertical="center"/>
    </xf>
    <xf borderId="6" fillId="0" fontId="10" numFmtId="164" xfId="0" applyAlignment="1" applyBorder="1" applyFont="1" applyNumberFormat="1">
      <alignment horizontal="center" vertical="center"/>
    </xf>
    <xf borderId="6" fillId="0" fontId="10" numFmtId="168" xfId="0" applyAlignment="1" applyBorder="1" applyFont="1" applyNumberFormat="1">
      <alignment vertical="center"/>
    </xf>
    <xf borderId="6" fillId="6" fontId="8" numFmtId="164" xfId="0" applyAlignment="1" applyBorder="1" applyFill="1" applyFont="1" applyNumberFormat="1">
      <alignment vertical="center"/>
    </xf>
    <xf borderId="6" fillId="0" fontId="11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6" fillId="0" fontId="11" numFmtId="164" xfId="0" applyAlignment="1" applyBorder="1" applyFont="1" applyNumberFormat="1">
      <alignment vertical="center"/>
    </xf>
    <xf borderId="6" fillId="0" fontId="11" numFmtId="164" xfId="0" applyAlignment="1" applyBorder="1" applyFont="1" applyNumberFormat="1">
      <alignment horizontal="center" vertical="center"/>
    </xf>
    <xf borderId="6" fillId="0" fontId="11" numFmtId="168" xfId="0" applyAlignment="1" applyBorder="1" applyFont="1" applyNumberFormat="1">
      <alignment vertical="center"/>
    </xf>
    <xf borderId="6" fillId="7" fontId="8" numFmtId="0" xfId="0" applyAlignment="1" applyBorder="1" applyFill="1" applyFont="1">
      <alignment vertical="center"/>
    </xf>
    <xf borderId="6" fillId="7" fontId="8" numFmtId="168" xfId="0" applyAlignment="1" applyBorder="1" applyFont="1" applyNumberFormat="1">
      <alignment vertical="center"/>
    </xf>
    <xf borderId="6" fillId="7" fontId="8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7" fillId="4" fontId="14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vertical="center"/>
    </xf>
    <xf borderId="8" fillId="4" fontId="14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0" fontId="1" numFmtId="3" xfId="0" applyAlignment="1" applyBorder="1" applyFont="1" applyNumberFormat="1">
      <alignment vertical="center"/>
    </xf>
    <xf borderId="7" fillId="0" fontId="1" numFmtId="164" xfId="0" applyAlignment="1" applyBorder="1" applyFont="1" applyNumberFormat="1">
      <alignment vertical="center"/>
    </xf>
    <xf borderId="7" fillId="6" fontId="1" numFmtId="164" xfId="0" applyAlignment="1" applyBorder="1" applyFont="1" applyNumberFormat="1">
      <alignment vertical="center"/>
    </xf>
    <xf borderId="7" fillId="0" fontId="1" numFmtId="169" xfId="0" applyAlignment="1" applyBorder="1" applyFont="1" applyNumberFormat="1">
      <alignment readingOrder="0" vertical="center"/>
    </xf>
    <xf borderId="7" fillId="0" fontId="1" numFmtId="164" xfId="0" applyAlignment="1" applyBorder="1" applyFont="1" applyNumberFormat="1">
      <alignment readingOrder="0" vertical="center"/>
    </xf>
    <xf borderId="7" fillId="7" fontId="8" numFmtId="0" xfId="0" applyAlignment="1" applyBorder="1" applyFont="1">
      <alignment horizontal="center" shrinkToFit="0" vertical="center" wrapText="1"/>
    </xf>
    <xf borderId="7" fillId="7" fontId="8" numFmtId="0" xfId="0" applyAlignment="1" applyBorder="1" applyFont="1">
      <alignment shrinkToFit="0" vertical="center" wrapText="1"/>
    </xf>
    <xf borderId="7" fillId="7" fontId="8" numFmtId="0" xfId="0" applyAlignment="1" applyBorder="1" applyFont="1">
      <alignment readingOrder="0" shrinkToFit="0" vertical="center" wrapText="1"/>
    </xf>
    <xf borderId="7" fillId="7" fontId="8" numFmtId="3" xfId="0" applyAlignment="1" applyBorder="1" applyFont="1" applyNumberFormat="1">
      <alignment vertical="center"/>
    </xf>
    <xf borderId="7" fillId="7" fontId="8" numFmtId="164" xfId="0" applyAlignment="1" applyBorder="1" applyFont="1" applyNumberFormat="1">
      <alignment vertical="center"/>
    </xf>
    <xf borderId="7" fillId="6" fontId="8" numFmtId="3" xfId="0" applyAlignment="1" applyBorder="1" applyFont="1" applyNumberFormat="1">
      <alignment vertical="center"/>
    </xf>
    <xf borderId="9" fillId="0" fontId="12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11" fillId="0" fontId="1" numFmtId="164" xfId="0" applyAlignment="1" applyBorder="1" applyFont="1" applyNumberFormat="1">
      <alignment vertical="center"/>
    </xf>
    <xf borderId="0" fillId="0" fontId="1" numFmtId="4" xfId="0" applyAlignment="1" applyFont="1" applyNumberFormat="1">
      <alignment vertical="center"/>
    </xf>
    <xf borderId="12" fillId="0" fontId="9" numFmtId="0" xfId="0" applyBorder="1" applyFont="1"/>
    <xf borderId="13" fillId="0" fontId="1" numFmtId="164" xfId="0" applyAlignment="1" applyBorder="1" applyFont="1" applyNumberFormat="1">
      <alignment vertical="center"/>
    </xf>
    <xf borderId="0" fillId="0" fontId="15" numFmtId="0" xfId="0" applyAlignment="1" applyFont="1">
      <alignment readingOrder="0" vertical="center"/>
    </xf>
    <xf borderId="14" fillId="0" fontId="9" numFmtId="0" xfId="0" applyBorder="1" applyFont="1"/>
    <xf borderId="1" fillId="0" fontId="1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5" fillId="0" fontId="8" numFmtId="9" xfId="0" applyAlignment="1" applyBorder="1" applyFont="1" applyNumberFormat="1">
      <alignment vertical="center"/>
    </xf>
    <xf borderId="0" fillId="0" fontId="1" numFmtId="0" xfId="0" applyAlignment="1" applyFont="1">
      <alignment readingOrder="0" vertical="center"/>
    </xf>
    <xf borderId="9" fillId="0" fontId="13" numFmtId="0" xfId="0" applyAlignment="1" applyBorder="1" applyFont="1">
      <alignment horizontal="center" vertical="center"/>
    </xf>
    <xf borderId="0" fillId="3" fontId="16" numFmtId="0" xfId="0" applyAlignment="1" applyFont="1">
      <alignment vertical="bottom"/>
    </xf>
    <xf borderId="0" fillId="3" fontId="17" numFmtId="0" xfId="0" applyAlignment="1" applyFont="1">
      <alignment readingOrder="0" vertical="center"/>
    </xf>
    <xf borderId="16" fillId="4" fontId="18" numFmtId="0" xfId="0" applyAlignment="1" applyBorder="1" applyFont="1">
      <alignment horizontal="center" vertical="center"/>
    </xf>
    <xf borderId="16" fillId="4" fontId="18" numFmtId="0" xfId="0" applyAlignment="1" applyBorder="1" applyFont="1">
      <alignment horizontal="center" readingOrder="0" vertical="center"/>
    </xf>
    <xf borderId="0" fillId="3" fontId="16" numFmtId="0" xfId="0" applyAlignment="1" applyFont="1">
      <alignment vertical="center"/>
    </xf>
    <xf borderId="16" fillId="0" fontId="19" numFmtId="0" xfId="0" applyAlignment="1" applyBorder="1" applyFont="1">
      <alignment horizontal="left" vertical="center"/>
    </xf>
    <xf borderId="16" fillId="0" fontId="20" numFmtId="3" xfId="0" applyAlignment="1" applyBorder="1" applyFont="1" applyNumberFormat="1">
      <alignment horizontal="right" vertical="center"/>
    </xf>
    <xf borderId="16" fillId="0" fontId="20" numFmtId="4" xfId="0" applyAlignment="1" applyBorder="1" applyFont="1" applyNumberFormat="1">
      <alignment horizontal="right" vertical="center"/>
    </xf>
    <xf borderId="16" fillId="0" fontId="16" numFmtId="3" xfId="0" applyAlignment="1" applyBorder="1" applyFont="1" applyNumberFormat="1">
      <alignment horizontal="right" vertical="center"/>
    </xf>
    <xf borderId="16" fillId="0" fontId="19" numFmtId="0" xfId="0" applyAlignment="1" applyBorder="1" applyFont="1">
      <alignment horizontal="left" readingOrder="0" vertical="center"/>
    </xf>
    <xf borderId="16" fillId="8" fontId="21" numFmtId="0" xfId="0" applyAlignment="1" applyBorder="1" applyFill="1" applyFont="1">
      <alignment horizontal="center" vertical="center"/>
    </xf>
    <xf borderId="16" fillId="8" fontId="21" numFmtId="3" xfId="0" applyAlignment="1" applyBorder="1" applyFont="1" applyNumberFormat="1">
      <alignment horizontal="right" vertical="center"/>
    </xf>
    <xf borderId="16" fillId="8" fontId="21" numFmtId="4" xfId="0" applyAlignment="1" applyBorder="1" applyFont="1" applyNumberFormat="1">
      <alignment horizontal="right" vertical="center"/>
    </xf>
    <xf borderId="0" fillId="0" fontId="16" numFmtId="0" xfId="0" applyFont="1"/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7" fillId="9" fontId="22" numFmtId="0" xfId="0" applyAlignment="1" applyBorder="1" applyFill="1" applyFont="1">
      <alignment horizontal="center" vertical="center"/>
    </xf>
    <xf borderId="7" fillId="9" fontId="18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7" fillId="0" fontId="16" numFmtId="0" xfId="0" applyAlignment="1" applyBorder="1" applyFont="1">
      <alignment vertical="center"/>
    </xf>
    <xf borderId="7" fillId="0" fontId="16" numFmtId="164" xfId="0" applyAlignment="1" applyBorder="1" applyFont="1" applyNumberFormat="1">
      <alignment vertical="center"/>
    </xf>
    <xf borderId="7" fillId="0" fontId="16" numFmtId="9" xfId="0" applyAlignment="1" applyBorder="1" applyFont="1" applyNumberFormat="1">
      <alignment vertical="center"/>
    </xf>
    <xf borderId="17" fillId="0" fontId="17" numFmtId="0" xfId="0" applyAlignment="1" applyBorder="1" applyFont="1">
      <alignment horizontal="center" readingOrder="0"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6" numFmtId="164" xfId="0" applyAlignment="1" applyBorder="1" applyFont="1" applyNumberFormat="1">
      <alignment horizontal="center" shrinkToFit="0" vertical="center" wrapText="1"/>
    </xf>
    <xf borderId="7" fillId="0" fontId="16" numFmtId="164" xfId="0" applyAlignment="1" applyBorder="1" applyFont="1" applyNumberFormat="1">
      <alignment shrinkToFit="0" vertical="center" wrapText="1"/>
    </xf>
    <xf borderId="7" fillId="0" fontId="16" numFmtId="0" xfId="0" applyAlignment="1" applyBorder="1" applyFont="1">
      <alignment horizontal="left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7" fillId="7" fontId="17" numFmtId="0" xfId="0" applyAlignment="1" applyBorder="1" applyFont="1">
      <alignment vertical="center"/>
    </xf>
    <xf borderId="7" fillId="7" fontId="17" numFmtId="164" xfId="0" applyAlignment="1" applyBorder="1" applyFont="1" applyNumberFormat="1">
      <alignment vertical="center"/>
    </xf>
    <xf borderId="7" fillId="0" fontId="16" numFmtId="167" xfId="0" applyAlignment="1" applyBorder="1" applyFont="1" applyNumberFormat="1">
      <alignment vertical="center"/>
    </xf>
    <xf borderId="7" fillId="7" fontId="16" numFmtId="0" xfId="0" applyAlignment="1" applyBorder="1" applyFont="1">
      <alignment vertical="center"/>
    </xf>
    <xf borderId="7" fillId="7" fontId="17" numFmtId="9" xfId="0" applyAlignment="1" applyBorder="1" applyFont="1" applyNumberFormat="1">
      <alignment vertical="center"/>
    </xf>
    <xf borderId="0" fillId="0" fontId="16" numFmtId="164" xfId="0" applyAlignment="1" applyFont="1" applyNumberFormat="1">
      <alignment vertical="center"/>
    </xf>
    <xf borderId="7" fillId="0" fontId="16" numFmtId="0" xfId="0" applyAlignment="1" applyBorder="1" applyFont="1">
      <alignment readingOrder="0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7" fillId="0" fontId="16" numFmtId="164" xfId="0" applyAlignment="1" applyBorder="1" applyFont="1" applyNumberFormat="1">
      <alignment horizontal="center" readingOrder="0" shrinkToFit="0" vertical="center" wrapText="1"/>
    </xf>
    <xf borderId="7" fillId="0" fontId="16" numFmtId="9" xfId="0" applyAlignment="1" applyBorder="1" applyFont="1" applyNumberFormat="1">
      <alignment horizontal="right" vertical="center"/>
    </xf>
    <xf borderId="7" fillId="0" fontId="16" numFmtId="164" xfId="0" applyAlignment="1" applyBorder="1" applyFont="1" applyNumberFormat="1">
      <alignment horizontal="center" vertical="center"/>
    </xf>
    <xf borderId="7" fillId="0" fontId="16" numFmtId="9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readingOrder="0" vertical="center"/>
    </xf>
    <xf borderId="7" fillId="7" fontId="17" numFmtId="9" xfId="0" applyAlignment="1" applyBorder="1" applyFont="1" applyNumberFormat="1">
      <alignment horizontal="right" vertical="center"/>
    </xf>
    <xf borderId="0" fillId="0" fontId="1" numFmtId="0" xfId="0" applyFont="1"/>
    <xf borderId="0" fillId="0" fontId="8" numFmtId="0" xfId="0" applyAlignment="1" applyFont="1">
      <alignment readingOrder="0" vertical="center"/>
    </xf>
    <xf borderId="7" fillId="9" fontId="14" numFmtId="0" xfId="0" applyAlignment="1" applyBorder="1" applyFont="1">
      <alignment horizontal="center" readingOrder="0" vertical="center"/>
    </xf>
    <xf borderId="7" fillId="9" fontId="6" numFmtId="0" xfId="0" applyAlignment="1" applyBorder="1" applyFont="1">
      <alignment horizontal="center" vertical="center"/>
    </xf>
    <xf borderId="7" fillId="0" fontId="23" numFmtId="164" xfId="0" applyAlignment="1" applyBorder="1" applyFont="1" applyNumberFormat="1">
      <alignment horizontal="left" vertical="center"/>
    </xf>
    <xf borderId="7" fillId="0" fontId="23" numFmtId="164" xfId="0" applyAlignment="1" applyBorder="1" applyFont="1" applyNumberFormat="1">
      <alignment horizontal="center" readingOrder="0" vertical="center"/>
    </xf>
    <xf borderId="7" fillId="0" fontId="23" numFmtId="164" xfId="0" applyAlignment="1" applyBorder="1" applyFont="1" applyNumberFormat="1">
      <alignment vertical="center"/>
    </xf>
    <xf borderId="7" fillId="7" fontId="24" numFmtId="164" xfId="0" applyAlignment="1" applyBorder="1" applyFont="1" applyNumberFormat="1">
      <alignment vertical="center"/>
    </xf>
    <xf borderId="7" fillId="0" fontId="25" numFmtId="164" xfId="0" applyAlignment="1" applyBorder="1" applyFont="1" applyNumberFormat="1">
      <alignment horizontal="left" vertical="center"/>
    </xf>
    <xf borderId="7" fillId="0" fontId="25" numFmtId="164" xfId="0" applyAlignment="1" applyBorder="1" applyFont="1" applyNumberFormat="1">
      <alignment horizontal="center" vertical="center"/>
    </xf>
    <xf borderId="7" fillId="0" fontId="25" numFmtId="164" xfId="0" applyAlignment="1" applyBorder="1" applyFont="1" applyNumberFormat="1">
      <alignment vertical="center"/>
    </xf>
    <xf borderId="7" fillId="7" fontId="26" numFmtId="164" xfId="0" applyAlignment="1" applyBorder="1" applyFont="1" applyNumberFormat="1">
      <alignment vertical="center"/>
    </xf>
    <xf borderId="18" fillId="0" fontId="8" numFmtId="164" xfId="0" applyAlignment="1" applyBorder="1" applyFont="1" applyNumberFormat="1">
      <alignment horizontal="left" vertical="center"/>
    </xf>
    <xf borderId="18" fillId="0" fontId="8" numFmtId="164" xfId="0" applyAlignment="1" applyBorder="1" applyFont="1" applyNumberFormat="1">
      <alignment horizontal="center" vertical="center"/>
    </xf>
    <xf borderId="18" fillId="7" fontId="8" numFmtId="164" xfId="0" applyAlignment="1" applyBorder="1" applyFont="1" applyNumberFormat="1">
      <alignment horizontal="center" vertical="center"/>
    </xf>
    <xf borderId="19" fillId="0" fontId="1" numFmtId="164" xfId="0" applyAlignment="1" applyBorder="1" applyFont="1" applyNumberFormat="1">
      <alignment horizontal="left" readingOrder="0" vertical="center"/>
    </xf>
    <xf borderId="19" fillId="0" fontId="1" numFmtId="164" xfId="0" applyAlignment="1" applyBorder="1" applyFont="1" applyNumberFormat="1">
      <alignment horizontal="center" readingOrder="0" vertical="center"/>
    </xf>
    <xf borderId="19" fillId="0" fontId="1" numFmtId="164" xfId="0" applyAlignment="1" applyBorder="1" applyFont="1" applyNumberFormat="1">
      <alignment vertical="center"/>
    </xf>
    <xf borderId="20" fillId="7" fontId="8" numFmtId="164" xfId="0" applyAlignment="1" applyBorder="1" applyFont="1" applyNumberFormat="1">
      <alignment vertical="center"/>
    </xf>
    <xf borderId="18" fillId="0" fontId="1" numFmtId="164" xfId="0" applyAlignment="1" applyBorder="1" applyFont="1" applyNumberFormat="1">
      <alignment horizontal="left" readingOrder="0" vertical="center"/>
    </xf>
    <xf borderId="18" fillId="0" fontId="1" numFmtId="164" xfId="0" applyAlignment="1" applyBorder="1" applyFont="1" applyNumberFormat="1">
      <alignment horizontal="center" readingOrder="0" vertical="center"/>
    </xf>
    <xf borderId="18" fillId="0" fontId="1" numFmtId="164" xfId="0" applyAlignment="1" applyBorder="1" applyFont="1" applyNumberFormat="1">
      <alignment vertical="center"/>
    </xf>
    <xf borderId="18" fillId="7" fontId="8" numFmtId="164" xfId="0" applyAlignment="1" applyBorder="1" applyFont="1" applyNumberFormat="1">
      <alignment vertical="center"/>
    </xf>
    <xf borderId="19" fillId="0" fontId="1" numFmtId="164" xfId="0" applyAlignment="1" applyBorder="1" applyFont="1" applyNumberFormat="1">
      <alignment horizontal="left" vertical="center"/>
    </xf>
    <xf borderId="19" fillId="0" fontId="1" numFmtId="164" xfId="0" applyAlignment="1" applyBorder="1" applyFont="1" applyNumberFormat="1">
      <alignment horizontal="center" vertical="center"/>
    </xf>
    <xf borderId="20" fillId="7" fontId="8" numFmtId="164" xfId="0" applyAlignment="1" applyBorder="1" applyFont="1" applyNumberFormat="1">
      <alignment horizontal="center" vertical="center"/>
    </xf>
    <xf borderId="7" fillId="7" fontId="8" numFmtId="164" xfId="0" applyAlignment="1" applyBorder="1" applyFont="1" applyNumberFormat="1">
      <alignment horizontal="left" vertical="center"/>
    </xf>
    <xf borderId="7" fillId="7" fontId="8" numFmtId="164" xfId="0" applyAlignment="1" applyBorder="1" applyFont="1" applyNumberFormat="1">
      <alignment horizontal="center" vertical="center"/>
    </xf>
    <xf borderId="21" fillId="10" fontId="18" numFmtId="0" xfId="0" applyAlignment="1" applyBorder="1" applyFill="1" applyFont="1">
      <alignment vertical="center"/>
    </xf>
    <xf borderId="22" fillId="0" fontId="21" numFmtId="3" xfId="0" applyAlignment="1" applyBorder="1" applyFont="1" applyNumberFormat="1">
      <alignment horizontal="right" vertical="center"/>
    </xf>
    <xf borderId="23" fillId="0" fontId="9" numFmtId="0" xfId="0" applyBorder="1" applyFont="1"/>
    <xf borderId="21" fillId="10" fontId="18" numFmtId="0" xfId="0" applyAlignment="1" applyBorder="1" applyFont="1">
      <alignment readingOrder="0" vertical="center"/>
    </xf>
    <xf borderId="22" fillId="0" fontId="21" numFmtId="164" xfId="0" applyAlignment="1" applyBorder="1" applyFont="1" applyNumberFormat="1">
      <alignment horizontal="right" vertical="center"/>
    </xf>
    <xf borderId="22" fillId="0" fontId="21" numFmtId="9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Verdana"/>
              </a:defRPr>
            </a:pPr>
            <a:r>
              <a:rPr b="1" sz="1600">
                <a:solidFill>
                  <a:srgbClr val="000000"/>
                </a:solidFill>
                <a:latin typeface="Verdana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Flujo!$B$10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1017125928"/>
        <c:axId val="1166866920"/>
      </c:barChart>
      <c:catAx>
        <c:axId val="1017125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6866920"/>
      </c:catAx>
      <c:valAx>
        <c:axId val="1166866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125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16</xdr:row>
      <xdr:rowOff>133350</xdr:rowOff>
    </xdr:from>
    <xdr:ext cx="5057775" cy="3219450"/>
    <xdr:graphicFrame>
      <xdr:nvGraphicFramePr>
        <xdr:cNvPr id="200621050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2.43"/>
    <col customWidth="1" min="3" max="3" width="14.0"/>
    <col customWidth="1" min="4" max="5" width="11.57"/>
    <col customWidth="1" min="6" max="6" width="52.29"/>
    <col customWidth="1" min="7" max="23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9.5" customHeight="1">
      <c r="A2" s="1"/>
      <c r="B2" s="2"/>
      <c r="C2" s="2"/>
      <c r="D2" s="1"/>
      <c r="E2" s="1"/>
      <c r="F2" s="3" t="s">
        <v>0</v>
      </c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7.5" customHeight="1">
      <c r="A3" s="1"/>
      <c r="B3" s="2"/>
      <c r="C3" s="2"/>
      <c r="D3" s="1"/>
      <c r="E3" s="1"/>
      <c r="F3" s="6"/>
      <c r="G3" s="6"/>
      <c r="H3" s="6"/>
      <c r="I3" s="6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8.0" customHeight="1">
      <c r="A4" s="1"/>
      <c r="B4" s="2"/>
      <c r="C4" s="2"/>
      <c r="D4" s="1"/>
      <c r="E4" s="1"/>
      <c r="F4" s="7" t="s">
        <v>1</v>
      </c>
      <c r="G4" s="8"/>
      <c r="H4" s="8"/>
      <c r="I4" s="8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.0" customHeight="1">
      <c r="A5" s="1"/>
      <c r="B5" s="2"/>
      <c r="C5" s="2"/>
      <c r="D5" s="1"/>
      <c r="E5" s="1"/>
      <c r="F5" s="6" t="s">
        <v>2</v>
      </c>
      <c r="G5" s="6"/>
      <c r="H5" s="9">
        <v>4.6E7</v>
      </c>
      <c r="I5" s="6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8.0" customHeight="1">
      <c r="A6" s="1"/>
      <c r="B6" s="2"/>
      <c r="C6" s="2"/>
      <c r="D6" s="1"/>
      <c r="E6" s="1"/>
      <c r="F6" s="6" t="s">
        <v>3</v>
      </c>
      <c r="G6" s="6"/>
      <c r="H6" s="10">
        <v>0.01</v>
      </c>
      <c r="I6" s="6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8.0" customHeight="1">
      <c r="A7" s="1"/>
      <c r="B7" s="2"/>
      <c r="C7" s="2"/>
      <c r="D7" s="1"/>
      <c r="E7" s="1"/>
      <c r="F7" s="6" t="s">
        <v>4</v>
      </c>
      <c r="G7" s="6"/>
      <c r="H7" s="9">
        <f>H5*H6</f>
        <v>460000</v>
      </c>
      <c r="I7" s="6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0" customHeight="1">
      <c r="A8" s="1"/>
      <c r="B8" s="2"/>
      <c r="C8" s="2"/>
      <c r="D8" s="1"/>
      <c r="E8" s="1"/>
      <c r="F8" s="6"/>
      <c r="G8" s="6"/>
      <c r="H8" s="6"/>
      <c r="I8" s="6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8.0" customHeight="1">
      <c r="A9" s="1"/>
      <c r="B9" s="2"/>
      <c r="C9" s="2"/>
      <c r="D9" s="1"/>
      <c r="E9" s="1"/>
      <c r="F9" s="11" t="s">
        <v>5</v>
      </c>
      <c r="I9" s="6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8.0" customHeight="1">
      <c r="A10" s="1"/>
      <c r="B10" s="2"/>
      <c r="C10" s="2"/>
      <c r="D10" s="1"/>
      <c r="E10" s="1"/>
      <c r="F10" s="7" t="s">
        <v>6</v>
      </c>
      <c r="G10" s="8"/>
      <c r="H10" s="12" t="s">
        <v>7</v>
      </c>
      <c r="I10" s="8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8.0" customHeight="1">
      <c r="A11" s="1"/>
      <c r="B11" s="2"/>
      <c r="C11" s="2"/>
      <c r="D11" s="1"/>
      <c r="E11" s="1"/>
      <c r="F11" s="13" t="s">
        <v>8</v>
      </c>
      <c r="G11" s="6"/>
      <c r="H11" s="14">
        <f>1.2*12</f>
        <v>14.4</v>
      </c>
      <c r="I11" s="6" t="s">
        <v>9</v>
      </c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8.0" customHeight="1">
      <c r="A12" s="1"/>
      <c r="B12" s="2"/>
      <c r="C12" s="2"/>
      <c r="D12" s="1"/>
      <c r="E12" s="15"/>
      <c r="F12" s="6" t="s">
        <v>10</v>
      </c>
      <c r="G12" s="6"/>
      <c r="H12" s="14">
        <v>5.04</v>
      </c>
      <c r="I12" s="6" t="s">
        <v>9</v>
      </c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0" customHeight="1">
      <c r="A13" s="1"/>
      <c r="B13" s="2"/>
      <c r="C13" s="2"/>
      <c r="D13" s="1"/>
      <c r="E13" s="15"/>
      <c r="F13" s="8" t="s">
        <v>11</v>
      </c>
      <c r="G13" s="8"/>
      <c r="H13" s="16">
        <v>2.52</v>
      </c>
      <c r="I13" s="8" t="s">
        <v>9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8.0" customHeight="1">
      <c r="A14" s="1"/>
      <c r="B14" s="2"/>
      <c r="C14" s="2"/>
      <c r="D14" s="1"/>
      <c r="E14" s="1"/>
      <c r="F14" s="11" t="s">
        <v>12</v>
      </c>
      <c r="G14" s="6"/>
      <c r="H14" s="17">
        <f>SUM(H11:H13)</f>
        <v>21.96</v>
      </c>
      <c r="I14" s="11" t="s">
        <v>9</v>
      </c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8.0" customHeight="1">
      <c r="A15" s="1"/>
      <c r="B15" s="2"/>
      <c r="C15" s="2"/>
      <c r="D15" s="1"/>
      <c r="E15" s="1"/>
      <c r="F15" s="6"/>
      <c r="G15" s="6"/>
      <c r="H15" s="6"/>
      <c r="I15" s="6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8.0" customHeight="1">
      <c r="A16" s="1"/>
      <c r="B16" s="2"/>
      <c r="C16" s="2"/>
      <c r="D16" s="1"/>
      <c r="E16" s="1"/>
      <c r="F16" s="11" t="s">
        <v>13</v>
      </c>
      <c r="H16" s="6"/>
      <c r="I16" s="6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8.0" customHeight="1">
      <c r="A17" s="1"/>
      <c r="B17" s="2"/>
      <c r="C17" s="2"/>
      <c r="D17" s="1"/>
      <c r="E17" s="1"/>
      <c r="F17" s="7" t="s">
        <v>6</v>
      </c>
      <c r="G17" s="8"/>
      <c r="H17" s="12" t="s">
        <v>7</v>
      </c>
      <c r="I17" s="8"/>
      <c r="J17" s="18" t="s">
        <v>14</v>
      </c>
      <c r="K17" s="12" t="s">
        <v>7</v>
      </c>
      <c r="L17" s="8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8.0" customHeight="1">
      <c r="A18" s="1"/>
      <c r="B18" s="2"/>
      <c r="C18" s="2"/>
      <c r="D18" s="1"/>
      <c r="E18" s="1"/>
      <c r="F18" s="13" t="s">
        <v>8</v>
      </c>
      <c r="G18" s="6"/>
      <c r="H18" s="9">
        <f t="shared" ref="H18:H20" si="1">H11*$C$36</f>
        <v>6624000</v>
      </c>
      <c r="I18" s="6" t="s">
        <v>9</v>
      </c>
      <c r="J18" s="19">
        <v>1.5</v>
      </c>
      <c r="K18" s="9">
        <f t="shared" ref="K18:K20" si="2">J18*H18</f>
        <v>9936000</v>
      </c>
      <c r="L18" s="6" t="s">
        <v>9</v>
      </c>
      <c r="M18" s="6" t="s">
        <v>9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8.0" customHeight="1">
      <c r="A19" s="1"/>
      <c r="B19" s="2"/>
      <c r="C19" s="2"/>
      <c r="D19" s="1"/>
      <c r="E19" s="1"/>
      <c r="F19" s="6" t="s">
        <v>10</v>
      </c>
      <c r="G19" s="6"/>
      <c r="H19" s="9">
        <f t="shared" si="1"/>
        <v>2318400</v>
      </c>
      <c r="I19" s="6" t="s">
        <v>9</v>
      </c>
      <c r="J19" s="19">
        <v>1.5</v>
      </c>
      <c r="K19" s="9">
        <f t="shared" si="2"/>
        <v>3477600</v>
      </c>
      <c r="L19" s="6" t="s">
        <v>9</v>
      </c>
      <c r="M19" s="6" t="s">
        <v>9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8.0" customHeight="1">
      <c r="A20" s="1"/>
      <c r="B20" s="1"/>
      <c r="C20" s="1"/>
      <c r="D20" s="1"/>
      <c r="E20" s="1"/>
      <c r="F20" s="8" t="s">
        <v>11</v>
      </c>
      <c r="G20" s="8"/>
      <c r="H20" s="20">
        <f t="shared" si="1"/>
        <v>1159200</v>
      </c>
      <c r="I20" s="8" t="s">
        <v>9</v>
      </c>
      <c r="J20" s="21">
        <v>1.5</v>
      </c>
      <c r="K20" s="20">
        <f t="shared" si="2"/>
        <v>1738800</v>
      </c>
      <c r="L20" s="8" t="s">
        <v>9</v>
      </c>
      <c r="M20" s="6" t="s">
        <v>9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8.0" customHeight="1">
      <c r="A21" s="1"/>
      <c r="B21" s="1"/>
      <c r="C21" s="1"/>
      <c r="D21" s="1"/>
      <c r="E21" s="1"/>
      <c r="F21" s="11" t="s">
        <v>12</v>
      </c>
      <c r="G21" s="6"/>
      <c r="H21" s="22">
        <f>SUM(H18:H20)</f>
        <v>10101600</v>
      </c>
      <c r="I21" s="11" t="s">
        <v>9</v>
      </c>
      <c r="J21" s="23"/>
      <c r="K21" s="22">
        <f>SUM(K18:K20)</f>
        <v>15152400</v>
      </c>
      <c r="L21" s="11" t="s">
        <v>9</v>
      </c>
      <c r="M21" s="11" t="s">
        <v>9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8.0" customHeight="1">
      <c r="A22" s="1"/>
      <c r="B22" s="1"/>
      <c r="C22" s="1"/>
      <c r="D22" s="1"/>
      <c r="E22" s="1"/>
      <c r="F22" s="5"/>
      <c r="G22" s="5"/>
      <c r="H22" s="5"/>
      <c r="I22" s="5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8.0" customHeight="1">
      <c r="A23" s="1"/>
      <c r="B23" s="1"/>
      <c r="C23" s="1"/>
      <c r="D23" s="1"/>
      <c r="E23" s="1"/>
      <c r="F23" s="5"/>
      <c r="G23" s="5"/>
      <c r="H23" s="5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8.0" customHeight="1">
      <c r="A24" s="1"/>
      <c r="B24" s="1"/>
      <c r="C24" s="1"/>
      <c r="D24" s="1"/>
      <c r="E24" s="1"/>
      <c r="F24" s="25" t="s">
        <v>15</v>
      </c>
      <c r="G24" s="5"/>
      <c r="H24" s="22">
        <v>1462828.92</v>
      </c>
      <c r="I24" s="6"/>
      <c r="J24" s="2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8.0" customHeight="1">
      <c r="A25" s="1"/>
      <c r="B25" s="1"/>
      <c r="C25" s="1"/>
      <c r="D25" s="1"/>
      <c r="E25" s="1"/>
      <c r="F25" s="25" t="s">
        <v>16</v>
      </c>
      <c r="G25" s="5"/>
      <c r="H25" s="26">
        <f>H24/K21</f>
        <v>0.09654107072</v>
      </c>
      <c r="I25" s="5"/>
      <c r="J25" s="2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8.0" customHeight="1">
      <c r="A27" s="1"/>
      <c r="B27" s="1"/>
      <c r="C27" s="1"/>
      <c r="D27" s="1"/>
      <c r="E27" s="1"/>
      <c r="F27" s="27" t="s">
        <v>17</v>
      </c>
      <c r="G27" s="5"/>
      <c r="H27" s="22">
        <f>Produccion!E21</f>
        <v>383550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8.0" customHeight="1">
      <c r="A28" s="1"/>
      <c r="B28" s="1"/>
      <c r="C28" s="1"/>
      <c r="D28" s="1"/>
      <c r="E28" s="1"/>
      <c r="F28" s="27" t="s">
        <v>18</v>
      </c>
      <c r="G28" s="5"/>
      <c r="H28" s="26">
        <f>H27/K21</f>
        <v>0.02531282173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8.0" customHeight="1">
      <c r="A31" s="1"/>
      <c r="B31" s="28" t="s">
        <v>19</v>
      </c>
      <c r="C31" s="2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8.0" customHeight="1">
      <c r="A33" s="1"/>
      <c r="B33" s="30" t="s">
        <v>20</v>
      </c>
      <c r="C33" s="3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8.0" customHeight="1">
      <c r="A34" s="1"/>
      <c r="B34" s="31" t="s">
        <v>21</v>
      </c>
      <c r="C34" s="32">
        <v>4.6E7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8.0" customHeight="1">
      <c r="A35" s="1"/>
      <c r="B35" s="33" t="s">
        <v>22</v>
      </c>
      <c r="C35" s="34">
        <v>0.01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8.0" customHeight="1">
      <c r="A36" s="1"/>
      <c r="B36" s="35" t="s">
        <v>12</v>
      </c>
      <c r="C36" s="36">
        <f>C34*C35</f>
        <v>460000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8.0" customHeight="1">
      <c r="A38" s="1"/>
      <c r="B38" s="30" t="s">
        <v>23</v>
      </c>
      <c r="C38" s="3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8.0" customHeight="1">
      <c r="A39" s="1"/>
      <c r="B39" s="33" t="s">
        <v>14</v>
      </c>
      <c r="C39" s="37">
        <v>1.5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8.0" customHeight="1">
      <c r="A40" s="1"/>
      <c r="B40" s="33" t="s">
        <v>24</v>
      </c>
      <c r="C40" s="37">
        <v>1.4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8.0" customHeight="1">
      <c r="A41" s="1"/>
      <c r="B41" s="35" t="s">
        <v>12</v>
      </c>
      <c r="C41" s="36">
        <f>C36*(C39+C40)</f>
        <v>1334000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8.0" customHeight="1">
      <c r="A43" s="1"/>
      <c r="B43" s="30" t="s">
        <v>25</v>
      </c>
      <c r="C43" s="3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8.0" customHeight="1">
      <c r="A44" s="1"/>
      <c r="B44" s="1" t="s">
        <v>26</v>
      </c>
      <c r="C44" s="38">
        <v>0.07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8.0" customHeight="1">
      <c r="A45" s="1"/>
      <c r="B45" s="31" t="s">
        <v>27</v>
      </c>
      <c r="C45" s="39">
        <f>C41*C44</f>
        <v>93380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8.0" customHeight="1">
      <c r="A46" s="1"/>
      <c r="B46" s="1" t="s">
        <v>28</v>
      </c>
      <c r="C46" s="1">
        <v>2.0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8.0" customHeight="1">
      <c r="A47" s="1"/>
      <c r="B47" s="31" t="s">
        <v>29</v>
      </c>
      <c r="C47" s="31">
        <f>C46*12</f>
        <v>24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8.0" customHeight="1">
      <c r="A48" s="1"/>
      <c r="B48" s="40" t="s">
        <v>30</v>
      </c>
      <c r="C48" s="41">
        <f>C47*C45</f>
        <v>2241120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8.0" customHeight="1">
      <c r="A50" s="1"/>
      <c r="B50" s="42" t="s">
        <v>31</v>
      </c>
      <c r="C50" s="43">
        <f>Produccion!P7</f>
        <v>2090880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</sheetData>
  <mergeCells count="2">
    <mergeCell ref="F9:H9"/>
    <mergeCell ref="F16:G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7" width="12.71"/>
    <col customWidth="1" min="18" max="18" width="11.57"/>
    <col customWidth="1" min="19" max="19" width="12.29"/>
    <col customWidth="1" min="20" max="26" width="10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hidden="1" customHeight="1">
      <c r="A2" s="1"/>
      <c r="B2" s="1"/>
      <c r="C2" s="1"/>
      <c r="D2" s="44" t="s">
        <v>32</v>
      </c>
      <c r="E2" s="45"/>
      <c r="F2" s="45"/>
      <c r="G2" s="45"/>
      <c r="H2" s="44" t="s">
        <v>33</v>
      </c>
      <c r="I2" s="45"/>
      <c r="J2" s="44" t="s">
        <v>34</v>
      </c>
      <c r="K2" s="45"/>
      <c r="L2" s="45"/>
      <c r="M2" s="45"/>
      <c r="N2" s="45"/>
      <c r="O2" s="44" t="s">
        <v>35</v>
      </c>
      <c r="P2" s="45"/>
      <c r="Q2" s="45"/>
      <c r="R2" s="45"/>
      <c r="S2" s="45"/>
      <c r="T2" s="1"/>
      <c r="U2" s="1"/>
      <c r="V2" s="1"/>
      <c r="W2" s="1"/>
      <c r="X2" s="1"/>
      <c r="Y2" s="1"/>
      <c r="Z2" s="1"/>
    </row>
    <row r="3" ht="21.75" hidden="1" customHeight="1">
      <c r="A3" s="1"/>
      <c r="B3" s="1"/>
      <c r="C3" s="1"/>
      <c r="D3" s="46" t="s">
        <v>6</v>
      </c>
      <c r="E3" s="46" t="s">
        <v>36</v>
      </c>
      <c r="F3" s="46" t="s">
        <v>37</v>
      </c>
      <c r="G3" s="46" t="s">
        <v>38</v>
      </c>
      <c r="H3" s="46" t="s">
        <v>39</v>
      </c>
      <c r="I3" s="46" t="s">
        <v>40</v>
      </c>
      <c r="J3" s="46" t="s">
        <v>41</v>
      </c>
      <c r="K3" s="46" t="s">
        <v>42</v>
      </c>
      <c r="L3" s="46" t="s">
        <v>43</v>
      </c>
      <c r="M3" s="46" t="s">
        <v>44</v>
      </c>
      <c r="N3" s="46" t="s">
        <v>45</v>
      </c>
      <c r="O3" s="46" t="s">
        <v>46</v>
      </c>
      <c r="P3" s="46" t="s">
        <v>47</v>
      </c>
      <c r="Q3" s="46" t="s">
        <v>48</v>
      </c>
      <c r="R3" s="46" t="s">
        <v>49</v>
      </c>
      <c r="S3" s="46" t="s">
        <v>50</v>
      </c>
      <c r="T3" s="1"/>
      <c r="U3" s="1"/>
      <c r="V3" s="1"/>
      <c r="W3" s="1"/>
      <c r="X3" s="1"/>
      <c r="Y3" s="1"/>
      <c r="Z3" s="1"/>
    </row>
    <row r="4" ht="21.75" hidden="1" customHeight="1">
      <c r="A4" s="1"/>
      <c r="B4" s="1"/>
      <c r="C4" s="1"/>
      <c r="D4" s="47" t="s">
        <v>51</v>
      </c>
      <c r="E4" s="48" t="s">
        <v>52</v>
      </c>
      <c r="F4" s="49">
        <v>2.0</v>
      </c>
      <c r="G4" s="49" t="s">
        <v>53</v>
      </c>
      <c r="H4" s="50">
        <v>9.0</v>
      </c>
      <c r="I4" s="50">
        <f t="shared" ref="I4:I6" si="1">F4*H4</f>
        <v>18</v>
      </c>
      <c r="J4" s="49">
        <v>900.0</v>
      </c>
      <c r="K4" s="49">
        <f t="shared" ref="K4:K6" si="2">J4/8</f>
        <v>112.5</v>
      </c>
      <c r="L4" s="51">
        <v>2.7</v>
      </c>
      <c r="M4" s="49">
        <f t="shared" ref="M4:M6" si="3">J4*L4</f>
        <v>2430</v>
      </c>
      <c r="N4" s="49">
        <f t="shared" ref="N4:N6" si="4">M4/8</f>
        <v>303.75</v>
      </c>
      <c r="O4" s="49">
        <f t="shared" ref="O4:O6" si="5">M4*F4</f>
        <v>4860</v>
      </c>
      <c r="P4" s="49">
        <f t="shared" ref="P4:P6" si="6">O4*24*12</f>
        <v>1399680</v>
      </c>
      <c r="Q4" s="49">
        <f t="shared" ref="Q4:Q6" si="7">P4/1000</f>
        <v>1399.68</v>
      </c>
      <c r="R4" s="49">
        <v>10000.0</v>
      </c>
      <c r="S4" s="52">
        <f t="shared" ref="S4:S6" si="8">P4*R4/1000000</f>
        <v>13996.8</v>
      </c>
      <c r="T4" s="1"/>
      <c r="U4" s="1"/>
      <c r="V4" s="1"/>
      <c r="W4" s="1"/>
      <c r="X4" s="1"/>
      <c r="Y4" s="1"/>
      <c r="Z4" s="1"/>
    </row>
    <row r="5" ht="21.75" hidden="1" customHeight="1">
      <c r="A5" s="1"/>
      <c r="B5" s="1"/>
      <c r="C5" s="1"/>
      <c r="D5" s="47" t="s">
        <v>54</v>
      </c>
      <c r="E5" s="48" t="s">
        <v>52</v>
      </c>
      <c r="F5" s="49">
        <v>1.0</v>
      </c>
      <c r="G5" s="49" t="s">
        <v>55</v>
      </c>
      <c r="H5" s="50">
        <v>6.0</v>
      </c>
      <c r="I5" s="50">
        <f t="shared" si="1"/>
        <v>6</v>
      </c>
      <c r="J5" s="49">
        <v>500.0</v>
      </c>
      <c r="K5" s="49">
        <f t="shared" si="2"/>
        <v>62.5</v>
      </c>
      <c r="L5" s="47">
        <v>2.7</v>
      </c>
      <c r="M5" s="49">
        <f t="shared" si="3"/>
        <v>1350</v>
      </c>
      <c r="N5" s="49">
        <f t="shared" si="4"/>
        <v>168.75</v>
      </c>
      <c r="O5" s="49">
        <f t="shared" si="5"/>
        <v>1350</v>
      </c>
      <c r="P5" s="49">
        <f t="shared" si="6"/>
        <v>388800</v>
      </c>
      <c r="Q5" s="49">
        <f t="shared" si="7"/>
        <v>388.8</v>
      </c>
      <c r="R5" s="49">
        <v>10000.0</v>
      </c>
      <c r="S5" s="52">
        <f t="shared" si="8"/>
        <v>3888</v>
      </c>
      <c r="T5" s="1"/>
      <c r="U5" s="1"/>
      <c r="V5" s="1"/>
      <c r="W5" s="1"/>
      <c r="X5" s="1"/>
      <c r="Y5" s="1"/>
      <c r="Z5" s="1"/>
    </row>
    <row r="6" ht="21.75" hidden="1" customHeight="1">
      <c r="A6" s="1"/>
      <c r="B6" s="1"/>
      <c r="C6" s="1"/>
      <c r="D6" s="53" t="s">
        <v>56</v>
      </c>
      <c r="E6" s="54" t="s">
        <v>57</v>
      </c>
      <c r="F6" s="55">
        <v>1.0</v>
      </c>
      <c r="G6" s="55" t="s">
        <v>53</v>
      </c>
      <c r="H6" s="56">
        <v>8.0</v>
      </c>
      <c r="I6" s="56">
        <f t="shared" si="1"/>
        <v>8</v>
      </c>
      <c r="J6" s="55">
        <v>350.0</v>
      </c>
      <c r="K6" s="55">
        <f t="shared" si="2"/>
        <v>43.75</v>
      </c>
      <c r="L6" s="57">
        <v>3.0</v>
      </c>
      <c r="M6" s="55">
        <f t="shared" si="3"/>
        <v>1050</v>
      </c>
      <c r="N6" s="55">
        <f t="shared" si="4"/>
        <v>131.25</v>
      </c>
      <c r="O6" s="55">
        <f t="shared" si="5"/>
        <v>1050</v>
      </c>
      <c r="P6" s="55">
        <f t="shared" si="6"/>
        <v>302400</v>
      </c>
      <c r="Q6" s="55">
        <f t="shared" si="7"/>
        <v>302.4</v>
      </c>
      <c r="R6" s="55">
        <v>15000.0</v>
      </c>
      <c r="S6" s="52">
        <f t="shared" si="8"/>
        <v>4536</v>
      </c>
      <c r="T6" s="1"/>
      <c r="U6" s="1"/>
      <c r="V6" s="1"/>
      <c r="W6" s="1"/>
      <c r="X6" s="1"/>
      <c r="Y6" s="1"/>
      <c r="Z6" s="1"/>
    </row>
    <row r="7" ht="21.75" hidden="1" customHeight="1">
      <c r="A7" s="1"/>
      <c r="B7" s="1"/>
      <c r="C7" s="1"/>
      <c r="D7" s="58" t="s">
        <v>12</v>
      </c>
      <c r="E7" s="58"/>
      <c r="F7" s="59">
        <f>AVERAGE(F4:F6)</f>
        <v>1.333333333</v>
      </c>
      <c r="G7" s="59"/>
      <c r="H7" s="60">
        <f t="shared" ref="H7:K7" si="9">SUM(H4:H6)</f>
        <v>23</v>
      </c>
      <c r="I7" s="60">
        <f t="shared" si="9"/>
        <v>32</v>
      </c>
      <c r="J7" s="60">
        <f t="shared" si="9"/>
        <v>1750</v>
      </c>
      <c r="K7" s="60">
        <f t="shared" si="9"/>
        <v>218.75</v>
      </c>
      <c r="L7" s="59">
        <f>AVERAGE(L4:L6)</f>
        <v>2.8</v>
      </c>
      <c r="M7" s="60">
        <f t="shared" ref="M7:S7" si="10">SUM(M4:M6)</f>
        <v>4830</v>
      </c>
      <c r="N7" s="60">
        <f t="shared" si="10"/>
        <v>603.75</v>
      </c>
      <c r="O7" s="60">
        <f t="shared" si="10"/>
        <v>7260</v>
      </c>
      <c r="P7" s="60">
        <f t="shared" si="10"/>
        <v>2090880</v>
      </c>
      <c r="Q7" s="60">
        <f t="shared" si="10"/>
        <v>2090.88</v>
      </c>
      <c r="R7" s="60">
        <f t="shared" si="10"/>
        <v>35000</v>
      </c>
      <c r="S7" s="52">
        <f t="shared" si="10"/>
        <v>22420.8</v>
      </c>
      <c r="T7" s="1"/>
      <c r="U7" s="1"/>
      <c r="V7" s="1"/>
      <c r="W7" s="1"/>
      <c r="X7" s="1"/>
      <c r="Y7" s="1"/>
      <c r="Z7" s="1"/>
    </row>
    <row r="8" ht="15.0" hidden="1" customHeight="1">
      <c r="A8" s="1"/>
      <c r="B8" s="1"/>
      <c r="C8" s="1"/>
      <c r="D8" s="1"/>
      <c r="E8" s="1"/>
      <c r="F8" s="15"/>
      <c r="G8" s="15"/>
      <c r="H8" s="1"/>
      <c r="I8" s="1"/>
      <c r="J8" s="1"/>
      <c r="K8" s="61"/>
      <c r="L8" s="1"/>
      <c r="M8" s="1"/>
      <c r="N8" s="61"/>
      <c r="O8" s="1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hidden="1" customHeight="1">
      <c r="A9" s="1"/>
      <c r="B9" s="1"/>
      <c r="C9" s="1"/>
      <c r="D9" s="62" t="s">
        <v>58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hidden="1" customHeight="1">
      <c r="A10" s="1"/>
      <c r="B10" s="1"/>
      <c r="C10" s="1"/>
      <c r="D10" s="63" t="s">
        <v>59</v>
      </c>
      <c r="E10" s="1"/>
      <c r="F10" s="1"/>
      <c r="G10" s="1"/>
      <c r="H10" s="1">
        <f>16+18</f>
        <v>34</v>
      </c>
      <c r="I10" s="1"/>
      <c r="J10" s="1"/>
      <c r="K10" s="15"/>
      <c r="L10" s="1"/>
      <c r="M10" s="1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hidden="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64" t="s">
        <v>36</v>
      </c>
      <c r="C13" s="64" t="s">
        <v>60</v>
      </c>
      <c r="D13" s="64" t="s">
        <v>6</v>
      </c>
      <c r="E13" s="65" t="s">
        <v>47</v>
      </c>
      <c r="F13" s="65" t="s">
        <v>48</v>
      </c>
      <c r="G13" s="65" t="s">
        <v>49</v>
      </c>
      <c r="H13" s="65" t="s">
        <v>61</v>
      </c>
      <c r="I13" s="65" t="s">
        <v>62</v>
      </c>
      <c r="J13" s="65" t="s">
        <v>46</v>
      </c>
      <c r="K13" s="65" t="s">
        <v>37</v>
      </c>
      <c r="L13" s="65" t="s">
        <v>45</v>
      </c>
      <c r="M13" s="1"/>
      <c r="N13" s="66" t="s">
        <v>63</v>
      </c>
      <c r="O13" s="1"/>
      <c r="P13" s="65" t="s">
        <v>64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67" t="s">
        <v>52</v>
      </c>
      <c r="C14" s="67" t="s">
        <v>65</v>
      </c>
      <c r="D14" s="68" t="s">
        <v>66</v>
      </c>
      <c r="E14" s="69">
        <f t="shared" ref="E14:E20" si="11">N14*$P$14</f>
        <v>48000</v>
      </c>
      <c r="F14" s="70">
        <f t="shared" ref="F14:F20" si="12">E14/1000</f>
        <v>48</v>
      </c>
      <c r="G14" s="70">
        <v>13700.0</v>
      </c>
      <c r="H14" s="71">
        <f t="shared" ref="H14:H20" si="13">E14*G14/1000000</f>
        <v>657.6</v>
      </c>
      <c r="I14" s="70">
        <f t="shared" ref="I14:I20" si="14">E14/12</f>
        <v>4000</v>
      </c>
      <c r="J14" s="70">
        <f t="shared" ref="J14:J20" si="15">I14/20</f>
        <v>200</v>
      </c>
      <c r="K14" s="70">
        <v>2.0</v>
      </c>
      <c r="L14" s="70">
        <f t="shared" ref="L14:L20" si="16">J14/(8*K14)</f>
        <v>12.5</v>
      </c>
      <c r="M14" s="1"/>
      <c r="N14" s="70">
        <v>80000.0</v>
      </c>
      <c r="O14" s="1"/>
      <c r="P14" s="72">
        <v>0.6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67" t="s">
        <v>52</v>
      </c>
      <c r="C15" s="67" t="s">
        <v>67</v>
      </c>
      <c r="D15" s="68" t="s">
        <v>68</v>
      </c>
      <c r="E15" s="69">
        <f t="shared" si="11"/>
        <v>27750</v>
      </c>
      <c r="F15" s="70">
        <f t="shared" si="12"/>
        <v>27.75</v>
      </c>
      <c r="G15" s="70">
        <v>10500.0</v>
      </c>
      <c r="H15" s="71">
        <f t="shared" si="13"/>
        <v>291.375</v>
      </c>
      <c r="I15" s="70">
        <f t="shared" si="14"/>
        <v>2312.5</v>
      </c>
      <c r="J15" s="70">
        <f t="shared" si="15"/>
        <v>115.625</v>
      </c>
      <c r="K15" s="70">
        <v>2.0</v>
      </c>
      <c r="L15" s="70">
        <f t="shared" si="16"/>
        <v>7.2265625</v>
      </c>
      <c r="M15" s="1"/>
      <c r="N15" s="70">
        <v>46250.0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67" t="s">
        <v>52</v>
      </c>
      <c r="C16" s="67" t="s">
        <v>69</v>
      </c>
      <c r="D16" s="68" t="s">
        <v>70</v>
      </c>
      <c r="E16" s="69">
        <f t="shared" si="11"/>
        <v>78000</v>
      </c>
      <c r="F16" s="70">
        <f t="shared" si="12"/>
        <v>78</v>
      </c>
      <c r="G16" s="70">
        <v>11000.0</v>
      </c>
      <c r="H16" s="71">
        <f t="shared" si="13"/>
        <v>858</v>
      </c>
      <c r="I16" s="70">
        <f t="shared" si="14"/>
        <v>6500</v>
      </c>
      <c r="J16" s="70">
        <f t="shared" si="15"/>
        <v>325</v>
      </c>
      <c r="K16" s="70">
        <v>2.0</v>
      </c>
      <c r="L16" s="70">
        <f t="shared" si="16"/>
        <v>20.3125</v>
      </c>
      <c r="M16" s="1"/>
      <c r="N16" s="70">
        <v>130000.0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67" t="s">
        <v>52</v>
      </c>
      <c r="C17" s="67" t="s">
        <v>71</v>
      </c>
      <c r="D17" s="68" t="s">
        <v>72</v>
      </c>
      <c r="E17" s="69">
        <f t="shared" si="11"/>
        <v>31200</v>
      </c>
      <c r="F17" s="70">
        <f t="shared" si="12"/>
        <v>31.2</v>
      </c>
      <c r="G17" s="73">
        <v>7000.0</v>
      </c>
      <c r="H17" s="71">
        <f t="shared" si="13"/>
        <v>218.4</v>
      </c>
      <c r="I17" s="70">
        <f t="shared" si="14"/>
        <v>2600</v>
      </c>
      <c r="J17" s="70">
        <f t="shared" si="15"/>
        <v>130</v>
      </c>
      <c r="K17" s="70">
        <v>2.0</v>
      </c>
      <c r="L17" s="70">
        <f t="shared" si="16"/>
        <v>8.125</v>
      </c>
      <c r="M17" s="1"/>
      <c r="N17" s="70">
        <v>52000.0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67" t="s">
        <v>52</v>
      </c>
      <c r="C18" s="67" t="s">
        <v>73</v>
      </c>
      <c r="D18" s="68" t="s">
        <v>54</v>
      </c>
      <c r="E18" s="69">
        <f t="shared" si="11"/>
        <v>52800</v>
      </c>
      <c r="F18" s="70">
        <f t="shared" si="12"/>
        <v>52.8</v>
      </c>
      <c r="G18" s="73">
        <v>10500.0</v>
      </c>
      <c r="H18" s="71">
        <f t="shared" si="13"/>
        <v>554.4</v>
      </c>
      <c r="I18" s="70">
        <f t="shared" si="14"/>
        <v>4400</v>
      </c>
      <c r="J18" s="70">
        <f t="shared" si="15"/>
        <v>220</v>
      </c>
      <c r="K18" s="70">
        <v>2.0</v>
      </c>
      <c r="L18" s="70">
        <f t="shared" si="16"/>
        <v>13.75</v>
      </c>
      <c r="M18" s="1"/>
      <c r="N18" s="70">
        <v>88000.0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67" t="s">
        <v>57</v>
      </c>
      <c r="C19" s="67" t="s">
        <v>74</v>
      </c>
      <c r="D19" s="68" t="s">
        <v>75</v>
      </c>
      <c r="E19" s="69">
        <f t="shared" si="11"/>
        <v>75000</v>
      </c>
      <c r="F19" s="70">
        <f t="shared" si="12"/>
        <v>75</v>
      </c>
      <c r="G19" s="70">
        <v>12700.0</v>
      </c>
      <c r="H19" s="71">
        <f t="shared" si="13"/>
        <v>952.5</v>
      </c>
      <c r="I19" s="70">
        <f t="shared" si="14"/>
        <v>6250</v>
      </c>
      <c r="J19" s="70">
        <f t="shared" si="15"/>
        <v>312.5</v>
      </c>
      <c r="K19" s="70">
        <v>2.0</v>
      </c>
      <c r="L19" s="70">
        <f t="shared" si="16"/>
        <v>19.53125</v>
      </c>
      <c r="M19" s="1"/>
      <c r="N19" s="70">
        <v>125000.0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67" t="s">
        <v>57</v>
      </c>
      <c r="C20" s="67" t="s">
        <v>76</v>
      </c>
      <c r="D20" s="68" t="s">
        <v>56</v>
      </c>
      <c r="E20" s="69">
        <f t="shared" si="11"/>
        <v>70800</v>
      </c>
      <c r="F20" s="70">
        <f t="shared" si="12"/>
        <v>70.8</v>
      </c>
      <c r="G20" s="70">
        <v>12000.0</v>
      </c>
      <c r="H20" s="71">
        <f t="shared" si="13"/>
        <v>849.6</v>
      </c>
      <c r="I20" s="70">
        <f t="shared" si="14"/>
        <v>5900</v>
      </c>
      <c r="J20" s="70">
        <f t="shared" si="15"/>
        <v>295</v>
      </c>
      <c r="K20" s="70">
        <v>2.0</v>
      </c>
      <c r="L20" s="70">
        <f t="shared" si="16"/>
        <v>18.4375</v>
      </c>
      <c r="M20" s="1"/>
      <c r="N20" s="70">
        <v>118000.0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74" t="s">
        <v>12</v>
      </c>
      <c r="C21" s="75"/>
      <c r="D21" s="76" t="s">
        <v>12</v>
      </c>
      <c r="E21" s="77">
        <f t="shared" ref="E21:F21" si="17">SUM(E14:E20)</f>
        <v>383550</v>
      </c>
      <c r="F21" s="77">
        <f t="shared" si="17"/>
        <v>383.55</v>
      </c>
      <c r="G21" s="78">
        <f>AVERAGE(G14:G20)</f>
        <v>11057.14286</v>
      </c>
      <c r="H21" s="79">
        <f>SUM(H14:H20)</f>
        <v>4381.875</v>
      </c>
      <c r="I21" s="78">
        <f t="shared" ref="I21:L21" si="18">AVERAGE(I14:I20)</f>
        <v>4566.071429</v>
      </c>
      <c r="J21" s="78">
        <f t="shared" si="18"/>
        <v>228.3035714</v>
      </c>
      <c r="K21" s="78">
        <f t="shared" si="18"/>
        <v>2</v>
      </c>
      <c r="L21" s="78">
        <f t="shared" si="18"/>
        <v>14.26897321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80" t="s">
        <v>77</v>
      </c>
      <c r="C24" s="81"/>
      <c r="D24" s="81" t="s">
        <v>78</v>
      </c>
      <c r="E24" s="82">
        <f>SUM(L14:L18)</f>
        <v>61.9140625</v>
      </c>
      <c r="F24" s="1"/>
      <c r="G24" s="1"/>
      <c r="H24" s="1"/>
      <c r="I24" s="83">
        <f>100000*1400</f>
        <v>140000000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84"/>
      <c r="C25" s="1"/>
      <c r="D25" s="1" t="s">
        <v>79</v>
      </c>
      <c r="E25" s="85">
        <f>100</f>
        <v>100</v>
      </c>
      <c r="F25" s="86" t="s">
        <v>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87"/>
      <c r="C26" s="88"/>
      <c r="D26" s="89" t="s">
        <v>81</v>
      </c>
      <c r="E26" s="90">
        <f>E24/E25</f>
        <v>0.619140625</v>
      </c>
      <c r="F26" s="9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92" t="s">
        <v>82</v>
      </c>
      <c r="C28" s="81"/>
      <c r="D28" s="81" t="s">
        <v>78</v>
      </c>
      <c r="E28" s="82">
        <f>SUM(L19:L20)</f>
        <v>37.96875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84"/>
      <c r="C29" s="1"/>
      <c r="D29" s="1" t="s">
        <v>79</v>
      </c>
      <c r="E29" s="85">
        <v>50.0</v>
      </c>
      <c r="F29" s="86" t="s">
        <v>83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87"/>
      <c r="C30" s="88"/>
      <c r="D30" s="89" t="s">
        <v>81</v>
      </c>
      <c r="E30" s="90">
        <f>E28/E29</f>
        <v>0.759375</v>
      </c>
      <c r="F30" s="9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86" t="s">
        <v>84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64" t="s">
        <v>6</v>
      </c>
      <c r="E37" s="65" t="s">
        <v>85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68" t="s">
        <v>86</v>
      </c>
      <c r="E38" s="69">
        <v>13700.0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68" t="s">
        <v>87</v>
      </c>
      <c r="E39" s="69">
        <v>10500.0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68" t="s">
        <v>88</v>
      </c>
      <c r="E40" s="69">
        <v>11000.0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68" t="s">
        <v>72</v>
      </c>
      <c r="E41" s="69">
        <v>7000.0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68" t="s">
        <v>54</v>
      </c>
      <c r="E42" s="69">
        <v>10500.0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68" t="s">
        <v>89</v>
      </c>
      <c r="E43" s="69">
        <v>12000.0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68" t="s">
        <v>75</v>
      </c>
      <c r="E44" s="69">
        <v>12700.0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D2:G2"/>
    <mergeCell ref="H2:I2"/>
    <mergeCell ref="J2:N2"/>
    <mergeCell ref="O2:S2"/>
    <mergeCell ref="B24:B26"/>
    <mergeCell ref="B28:B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29.57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>
      <c r="A2" s="93"/>
      <c r="B2" s="93"/>
      <c r="C2" s="93"/>
      <c r="D2" s="93"/>
      <c r="E2" s="94" t="s">
        <v>90</v>
      </c>
      <c r="F2" s="93"/>
      <c r="G2" s="93"/>
      <c r="H2" s="93"/>
      <c r="I2" s="93"/>
      <c r="J2" s="93"/>
      <c r="K2" s="93"/>
      <c r="L2" s="93"/>
      <c r="M2" s="93"/>
      <c r="N2" s="93"/>
      <c r="O2" s="93"/>
    </row>
    <row r="3" ht="24.0" customHeight="1">
      <c r="A3" s="93"/>
      <c r="B3" s="95" t="s">
        <v>6</v>
      </c>
      <c r="C3" s="95" t="s">
        <v>91</v>
      </c>
      <c r="D3" s="95" t="s">
        <v>92</v>
      </c>
      <c r="E3" s="96" t="s">
        <v>93</v>
      </c>
      <c r="F3" s="96" t="s">
        <v>94</v>
      </c>
      <c r="G3" s="96" t="s">
        <v>95</v>
      </c>
      <c r="H3" s="96" t="s">
        <v>96</v>
      </c>
      <c r="I3" s="96" t="s">
        <v>97</v>
      </c>
      <c r="J3" s="96" t="s">
        <v>98</v>
      </c>
      <c r="K3" s="96" t="s">
        <v>99</v>
      </c>
      <c r="L3" s="96" t="s">
        <v>100</v>
      </c>
      <c r="M3" s="96" t="s">
        <v>101</v>
      </c>
      <c r="N3" s="96" t="s">
        <v>102</v>
      </c>
      <c r="O3" s="97"/>
    </row>
    <row r="4" ht="24.0" customHeight="1">
      <c r="A4" s="93"/>
      <c r="B4" s="98" t="s">
        <v>66</v>
      </c>
      <c r="C4" s="99">
        <f>Produccion!F14</f>
        <v>48</v>
      </c>
      <c r="D4" s="100">
        <f>Produccion!G14/1000</f>
        <v>13.7</v>
      </c>
      <c r="E4" s="101">
        <f t="shared" ref="E4:E10" si="2">D4*C4</f>
        <v>657.6</v>
      </c>
      <c r="F4" s="101">
        <f t="shared" ref="F4:N4" si="1">E4</f>
        <v>657.6</v>
      </c>
      <c r="G4" s="101">
        <f t="shared" si="1"/>
        <v>657.6</v>
      </c>
      <c r="H4" s="101">
        <f t="shared" si="1"/>
        <v>657.6</v>
      </c>
      <c r="I4" s="101">
        <f t="shared" si="1"/>
        <v>657.6</v>
      </c>
      <c r="J4" s="101">
        <f t="shared" si="1"/>
        <v>657.6</v>
      </c>
      <c r="K4" s="101">
        <f t="shared" si="1"/>
        <v>657.6</v>
      </c>
      <c r="L4" s="101">
        <f t="shared" si="1"/>
        <v>657.6</v>
      </c>
      <c r="M4" s="101">
        <f t="shared" si="1"/>
        <v>657.6</v>
      </c>
      <c r="N4" s="101">
        <f t="shared" si="1"/>
        <v>657.6</v>
      </c>
      <c r="O4" s="97"/>
    </row>
    <row r="5" ht="24.0" customHeight="1">
      <c r="A5" s="93"/>
      <c r="B5" s="102" t="s">
        <v>68</v>
      </c>
      <c r="C5" s="99">
        <f>Produccion!F15</f>
        <v>27.75</v>
      </c>
      <c r="D5" s="100">
        <f>Produccion!G15/1000</f>
        <v>10.5</v>
      </c>
      <c r="E5" s="101">
        <f t="shared" si="2"/>
        <v>291.375</v>
      </c>
      <c r="F5" s="101">
        <f t="shared" ref="F5:N5" si="3">E5</f>
        <v>291.375</v>
      </c>
      <c r="G5" s="101">
        <f t="shared" si="3"/>
        <v>291.375</v>
      </c>
      <c r="H5" s="101">
        <f t="shared" si="3"/>
        <v>291.375</v>
      </c>
      <c r="I5" s="101">
        <f t="shared" si="3"/>
        <v>291.375</v>
      </c>
      <c r="J5" s="101">
        <f t="shared" si="3"/>
        <v>291.375</v>
      </c>
      <c r="K5" s="101">
        <f t="shared" si="3"/>
        <v>291.375</v>
      </c>
      <c r="L5" s="101">
        <f t="shared" si="3"/>
        <v>291.375</v>
      </c>
      <c r="M5" s="101">
        <f t="shared" si="3"/>
        <v>291.375</v>
      </c>
      <c r="N5" s="101">
        <f t="shared" si="3"/>
        <v>291.375</v>
      </c>
      <c r="O5" s="97"/>
    </row>
    <row r="6" ht="24.0" customHeight="1">
      <c r="A6" s="93"/>
      <c r="B6" s="98" t="s">
        <v>70</v>
      </c>
      <c r="C6" s="99">
        <f>Produccion!F16</f>
        <v>78</v>
      </c>
      <c r="D6" s="100">
        <f>Produccion!G16/1000</f>
        <v>11</v>
      </c>
      <c r="E6" s="101">
        <f t="shared" si="2"/>
        <v>858</v>
      </c>
      <c r="F6" s="101">
        <f t="shared" ref="F6:N6" si="4">E6</f>
        <v>858</v>
      </c>
      <c r="G6" s="101">
        <f t="shared" si="4"/>
        <v>858</v>
      </c>
      <c r="H6" s="101">
        <f t="shared" si="4"/>
        <v>858</v>
      </c>
      <c r="I6" s="101">
        <f t="shared" si="4"/>
        <v>858</v>
      </c>
      <c r="J6" s="101">
        <f t="shared" si="4"/>
        <v>858</v>
      </c>
      <c r="K6" s="101">
        <f t="shared" si="4"/>
        <v>858</v>
      </c>
      <c r="L6" s="101">
        <f t="shared" si="4"/>
        <v>858</v>
      </c>
      <c r="M6" s="101">
        <f t="shared" si="4"/>
        <v>858</v>
      </c>
      <c r="N6" s="101">
        <f t="shared" si="4"/>
        <v>858</v>
      </c>
      <c r="O6" s="97"/>
    </row>
    <row r="7" ht="24.0" customHeight="1">
      <c r="A7" s="93"/>
      <c r="B7" s="98" t="s">
        <v>72</v>
      </c>
      <c r="C7" s="99">
        <f>Produccion!F17</f>
        <v>31.2</v>
      </c>
      <c r="D7" s="100">
        <f>Produccion!G17/1000</f>
        <v>7</v>
      </c>
      <c r="E7" s="101">
        <f t="shared" si="2"/>
        <v>218.4</v>
      </c>
      <c r="F7" s="101">
        <f t="shared" ref="F7:N7" si="5">E7</f>
        <v>218.4</v>
      </c>
      <c r="G7" s="101">
        <f t="shared" si="5"/>
        <v>218.4</v>
      </c>
      <c r="H7" s="101">
        <f t="shared" si="5"/>
        <v>218.4</v>
      </c>
      <c r="I7" s="101">
        <f t="shared" si="5"/>
        <v>218.4</v>
      </c>
      <c r="J7" s="101">
        <f t="shared" si="5"/>
        <v>218.4</v>
      </c>
      <c r="K7" s="101">
        <f t="shared" si="5"/>
        <v>218.4</v>
      </c>
      <c r="L7" s="101">
        <f t="shared" si="5"/>
        <v>218.4</v>
      </c>
      <c r="M7" s="101">
        <f t="shared" si="5"/>
        <v>218.4</v>
      </c>
      <c r="N7" s="101">
        <f t="shared" si="5"/>
        <v>218.4</v>
      </c>
      <c r="O7" s="97"/>
    </row>
    <row r="8" ht="24.0" customHeight="1">
      <c r="A8" s="93"/>
      <c r="B8" s="98" t="s">
        <v>54</v>
      </c>
      <c r="C8" s="99">
        <f>Produccion!F18</f>
        <v>52.8</v>
      </c>
      <c r="D8" s="100">
        <f>Produccion!G18/1000</f>
        <v>10.5</v>
      </c>
      <c r="E8" s="101">
        <f t="shared" si="2"/>
        <v>554.4</v>
      </c>
      <c r="F8" s="101">
        <f t="shared" ref="F8:N8" si="6">E8</f>
        <v>554.4</v>
      </c>
      <c r="G8" s="101">
        <f t="shared" si="6"/>
        <v>554.4</v>
      </c>
      <c r="H8" s="101">
        <f t="shared" si="6"/>
        <v>554.4</v>
      </c>
      <c r="I8" s="101">
        <f t="shared" si="6"/>
        <v>554.4</v>
      </c>
      <c r="J8" s="101">
        <f t="shared" si="6"/>
        <v>554.4</v>
      </c>
      <c r="K8" s="101">
        <f t="shared" si="6"/>
        <v>554.4</v>
      </c>
      <c r="L8" s="101">
        <f t="shared" si="6"/>
        <v>554.4</v>
      </c>
      <c r="M8" s="101">
        <f t="shared" si="6"/>
        <v>554.4</v>
      </c>
      <c r="N8" s="101">
        <f t="shared" si="6"/>
        <v>554.4</v>
      </c>
      <c r="O8" s="97"/>
    </row>
    <row r="9" ht="24.0" customHeight="1">
      <c r="A9" s="93"/>
      <c r="B9" s="98" t="s">
        <v>75</v>
      </c>
      <c r="C9" s="99">
        <f>Produccion!F19</f>
        <v>75</v>
      </c>
      <c r="D9" s="100">
        <f>Produccion!G19/1000</f>
        <v>12.7</v>
      </c>
      <c r="E9" s="101">
        <f t="shared" si="2"/>
        <v>952.5</v>
      </c>
      <c r="F9" s="101">
        <f t="shared" ref="F9:N9" si="7">E9</f>
        <v>952.5</v>
      </c>
      <c r="G9" s="101">
        <f t="shared" si="7"/>
        <v>952.5</v>
      </c>
      <c r="H9" s="101">
        <f t="shared" si="7"/>
        <v>952.5</v>
      </c>
      <c r="I9" s="101">
        <f t="shared" si="7"/>
        <v>952.5</v>
      </c>
      <c r="J9" s="101">
        <f t="shared" si="7"/>
        <v>952.5</v>
      </c>
      <c r="K9" s="101">
        <f t="shared" si="7"/>
        <v>952.5</v>
      </c>
      <c r="L9" s="101">
        <f t="shared" si="7"/>
        <v>952.5</v>
      </c>
      <c r="M9" s="101">
        <f t="shared" si="7"/>
        <v>952.5</v>
      </c>
      <c r="N9" s="101">
        <f t="shared" si="7"/>
        <v>952.5</v>
      </c>
      <c r="O9" s="97"/>
    </row>
    <row r="10" ht="24.0" customHeight="1">
      <c r="A10" s="93"/>
      <c r="B10" s="98" t="s">
        <v>56</v>
      </c>
      <c r="C10" s="99">
        <f>Produccion!F20</f>
        <v>70.8</v>
      </c>
      <c r="D10" s="100">
        <f>Produccion!G20/1000</f>
        <v>12</v>
      </c>
      <c r="E10" s="101">
        <f t="shared" si="2"/>
        <v>849.6</v>
      </c>
      <c r="F10" s="101">
        <f t="shared" ref="F10:N10" si="8">E10</f>
        <v>849.6</v>
      </c>
      <c r="G10" s="101">
        <f t="shared" si="8"/>
        <v>849.6</v>
      </c>
      <c r="H10" s="101">
        <f t="shared" si="8"/>
        <v>849.6</v>
      </c>
      <c r="I10" s="101">
        <f t="shared" si="8"/>
        <v>849.6</v>
      </c>
      <c r="J10" s="101">
        <f t="shared" si="8"/>
        <v>849.6</v>
      </c>
      <c r="K10" s="101">
        <f t="shared" si="8"/>
        <v>849.6</v>
      </c>
      <c r="L10" s="101">
        <f t="shared" si="8"/>
        <v>849.6</v>
      </c>
      <c r="M10" s="101">
        <f t="shared" si="8"/>
        <v>849.6</v>
      </c>
      <c r="N10" s="101">
        <f t="shared" si="8"/>
        <v>849.6</v>
      </c>
      <c r="O10" s="97"/>
    </row>
    <row r="11" ht="24.0" customHeight="1">
      <c r="A11" s="93"/>
      <c r="B11" s="103" t="s">
        <v>103</v>
      </c>
      <c r="C11" s="104">
        <f t="shared" ref="C11:E11" si="9">SUM(C4:C10)</f>
        <v>383.55</v>
      </c>
      <c r="D11" s="105">
        <f t="shared" si="9"/>
        <v>77.4</v>
      </c>
      <c r="E11" s="104">
        <f t="shared" si="9"/>
        <v>4381.875</v>
      </c>
      <c r="F11" s="104">
        <f t="shared" ref="F11:N11" si="10">E11</f>
        <v>4381.875</v>
      </c>
      <c r="G11" s="104">
        <f t="shared" si="10"/>
        <v>4381.875</v>
      </c>
      <c r="H11" s="104">
        <f t="shared" si="10"/>
        <v>4381.875</v>
      </c>
      <c r="I11" s="104">
        <f t="shared" si="10"/>
        <v>4381.875</v>
      </c>
      <c r="J11" s="104">
        <f t="shared" si="10"/>
        <v>4381.875</v>
      </c>
      <c r="K11" s="104">
        <f t="shared" si="10"/>
        <v>4381.875</v>
      </c>
      <c r="L11" s="104">
        <f t="shared" si="10"/>
        <v>4381.875</v>
      </c>
      <c r="M11" s="104">
        <f t="shared" si="10"/>
        <v>4381.875</v>
      </c>
      <c r="N11" s="104">
        <f t="shared" si="10"/>
        <v>4381.875</v>
      </c>
      <c r="O11" s="97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</row>
    <row r="14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</row>
    <row r="15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</row>
    <row r="16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</row>
    <row r="17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</row>
    <row r="18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</row>
    <row r="19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</row>
    <row r="20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</row>
    <row r="2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</row>
    <row r="2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</row>
    <row r="23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</row>
    <row r="24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</row>
    <row r="2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</row>
    <row r="26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</row>
    <row r="28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</row>
    <row r="29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</row>
    <row r="30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</row>
    <row r="3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</row>
    <row r="3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</row>
    <row r="34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</row>
    <row r="36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</row>
    <row r="37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</row>
    <row r="38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</row>
    <row r="39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</row>
    <row r="40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</row>
    <row r="4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</row>
    <row r="4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</row>
    <row r="43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</row>
    <row r="44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27" width="10.71"/>
  </cols>
  <sheetData>
    <row r="1" ht="9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</row>
    <row r="2" ht="15.0" customHeight="1">
      <c r="A2" s="107"/>
      <c r="B2" s="108" t="s">
        <v>104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9" t="s">
        <v>105</v>
      </c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ht="25.5" customHeight="1">
      <c r="A3" s="107"/>
      <c r="B3" s="110" t="s">
        <v>106</v>
      </c>
      <c r="C3" s="110" t="s">
        <v>107</v>
      </c>
      <c r="D3" s="111" t="s">
        <v>108</v>
      </c>
      <c r="E3" s="107"/>
      <c r="F3" s="107"/>
      <c r="G3" s="110" t="s">
        <v>109</v>
      </c>
      <c r="H3" s="110" t="s">
        <v>110</v>
      </c>
      <c r="I3" s="110" t="s">
        <v>111</v>
      </c>
      <c r="J3" s="110" t="s">
        <v>112</v>
      </c>
      <c r="K3" s="110" t="s">
        <v>113</v>
      </c>
      <c r="L3" s="110" t="s">
        <v>114</v>
      </c>
      <c r="M3" s="107"/>
      <c r="N3" s="112" t="s">
        <v>115</v>
      </c>
      <c r="O3" s="112">
        <v>1400.0</v>
      </c>
      <c r="P3" s="107"/>
      <c r="Q3" s="110" t="s">
        <v>116</v>
      </c>
      <c r="R3" s="110" t="s">
        <v>117</v>
      </c>
      <c r="S3" s="107"/>
      <c r="T3" s="107"/>
      <c r="U3" s="107"/>
      <c r="V3" s="107"/>
      <c r="W3" s="107"/>
      <c r="X3" s="107"/>
      <c r="Y3" s="107"/>
      <c r="Z3" s="107"/>
      <c r="AA3" s="107"/>
    </row>
    <row r="4" ht="25.5" customHeight="1">
      <c r="A4" s="107"/>
      <c r="B4" s="113" t="s">
        <v>118</v>
      </c>
      <c r="C4" s="114">
        <f>1000000*O3/1000000</f>
        <v>1400</v>
      </c>
      <c r="D4" s="115">
        <f t="shared" ref="D4:D8" si="1">C4/$C$9</f>
        <v>0.7127329746</v>
      </c>
      <c r="E4" s="107"/>
      <c r="F4" s="116" t="s">
        <v>119</v>
      </c>
      <c r="G4" s="117" t="s">
        <v>120</v>
      </c>
      <c r="H4" s="118" t="s">
        <v>121</v>
      </c>
      <c r="I4" s="119">
        <v>1.0</v>
      </c>
      <c r="J4" s="120">
        <v>15000.0</v>
      </c>
      <c r="K4" s="121"/>
      <c r="L4" s="120">
        <f t="shared" ref="L4:L7" si="2">IF(J4="",I4*K4,I4*J4*$O$3)</f>
        <v>21000000</v>
      </c>
      <c r="M4" s="107"/>
      <c r="N4" s="107"/>
      <c r="O4" s="107"/>
      <c r="P4" s="107"/>
      <c r="Q4" s="122" t="s">
        <v>122</v>
      </c>
      <c r="R4" s="121">
        <v>680.0</v>
      </c>
      <c r="S4" s="107"/>
      <c r="T4" s="107"/>
      <c r="U4" s="107"/>
      <c r="V4" s="107"/>
      <c r="W4" s="107"/>
      <c r="X4" s="107"/>
      <c r="Y4" s="107"/>
      <c r="Z4" s="107"/>
      <c r="AA4" s="107"/>
    </row>
    <row r="5" ht="25.5" customHeight="1">
      <c r="A5" s="107"/>
      <c r="B5" s="113" t="s">
        <v>123</v>
      </c>
      <c r="C5" s="114">
        <f>R7*0.7*R9/1000000</f>
        <v>186.2</v>
      </c>
      <c r="D5" s="115">
        <f t="shared" si="1"/>
        <v>0.09479348562</v>
      </c>
      <c r="E5" s="107"/>
      <c r="F5" s="123"/>
      <c r="G5" s="118"/>
      <c r="H5" s="118" t="s">
        <v>124</v>
      </c>
      <c r="I5" s="119">
        <v>2.0</v>
      </c>
      <c r="J5" s="121"/>
      <c r="K5" s="120">
        <v>450000.0</v>
      </c>
      <c r="L5" s="120">
        <f t="shared" si="2"/>
        <v>900000</v>
      </c>
      <c r="M5" s="107"/>
      <c r="N5" s="107"/>
      <c r="O5" s="107"/>
      <c r="P5" s="107"/>
      <c r="Q5" s="122" t="s">
        <v>125</v>
      </c>
      <c r="R5" s="121">
        <v>450.0</v>
      </c>
      <c r="S5" s="107"/>
      <c r="T5" s="107"/>
      <c r="U5" s="107"/>
      <c r="V5" s="107"/>
      <c r="W5" s="107"/>
      <c r="X5" s="107"/>
      <c r="Y5" s="107"/>
      <c r="Z5" s="107"/>
      <c r="AA5" s="107"/>
    </row>
    <row r="6" ht="25.5" customHeight="1">
      <c r="A6" s="107"/>
      <c r="B6" s="113" t="s">
        <v>126</v>
      </c>
      <c r="C6" s="114">
        <f>L35/1000000</f>
        <v>345.52</v>
      </c>
      <c r="D6" s="115">
        <f t="shared" si="1"/>
        <v>0.1759024981</v>
      </c>
      <c r="E6" s="107"/>
      <c r="F6" s="123"/>
      <c r="G6" s="118"/>
      <c r="H6" s="118" t="s">
        <v>127</v>
      </c>
      <c r="I6" s="119">
        <v>1.0</v>
      </c>
      <c r="J6" s="121"/>
      <c r="K6" s="120">
        <v>200000.0</v>
      </c>
      <c r="L6" s="120">
        <f t="shared" si="2"/>
        <v>200000</v>
      </c>
      <c r="M6" s="107"/>
      <c r="N6" s="107"/>
      <c r="O6" s="107"/>
      <c r="P6" s="107"/>
      <c r="Q6" s="122" t="s">
        <v>128</v>
      </c>
      <c r="R6" s="121">
        <v>200.0</v>
      </c>
      <c r="S6" s="107"/>
      <c r="T6" s="107"/>
      <c r="U6" s="107"/>
      <c r="V6" s="107"/>
      <c r="W6" s="107"/>
      <c r="X6" s="107"/>
      <c r="Y6" s="107"/>
      <c r="Z6" s="107"/>
      <c r="AA6" s="107"/>
    </row>
    <row r="7" ht="25.5" customHeight="1">
      <c r="A7" s="107"/>
      <c r="B7" s="113" t="s">
        <v>129</v>
      </c>
      <c r="C7" s="114">
        <f>L8/1000000</f>
        <v>22.8</v>
      </c>
      <c r="D7" s="115">
        <f t="shared" si="1"/>
        <v>0.01160736559</v>
      </c>
      <c r="E7" s="107"/>
      <c r="F7" s="123"/>
      <c r="G7" s="118"/>
      <c r="H7" s="118" t="s">
        <v>130</v>
      </c>
      <c r="I7" s="119">
        <v>1.0</v>
      </c>
      <c r="J7" s="121"/>
      <c r="K7" s="120">
        <v>700000.0</v>
      </c>
      <c r="L7" s="120">
        <f t="shared" si="2"/>
        <v>700000</v>
      </c>
      <c r="M7" s="107"/>
      <c r="N7" s="107"/>
      <c r="O7" s="107"/>
      <c r="P7" s="107"/>
      <c r="Q7" s="124" t="s">
        <v>12</v>
      </c>
      <c r="R7" s="125">
        <f>SUM(R4:R6)</f>
        <v>1330</v>
      </c>
      <c r="S7" s="107"/>
      <c r="T7" s="107"/>
      <c r="U7" s="107"/>
      <c r="V7" s="107"/>
      <c r="W7" s="107"/>
      <c r="X7" s="107"/>
      <c r="Y7" s="107"/>
      <c r="Z7" s="107"/>
      <c r="AA7" s="107"/>
    </row>
    <row r="8" ht="25.5" customHeight="1">
      <c r="A8" s="107"/>
      <c r="B8" s="113" t="s">
        <v>131</v>
      </c>
      <c r="C8" s="114">
        <f>L18/1000000</f>
        <v>9.75</v>
      </c>
      <c r="D8" s="126">
        <f t="shared" si="1"/>
        <v>0.004963676073</v>
      </c>
      <c r="E8" s="107"/>
      <c r="F8" s="107"/>
      <c r="G8" s="124" t="s">
        <v>12</v>
      </c>
      <c r="H8" s="127"/>
      <c r="I8" s="127"/>
      <c r="J8" s="127"/>
      <c r="K8" s="127"/>
      <c r="L8" s="125">
        <f>SUM(L4:L7)</f>
        <v>22800000</v>
      </c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</row>
    <row r="9" ht="25.5" customHeight="1">
      <c r="A9" s="107"/>
      <c r="B9" s="124" t="s">
        <v>12</v>
      </c>
      <c r="C9" s="125">
        <f t="shared" ref="C9:D9" si="3">SUM(C4:C8)</f>
        <v>1964.27</v>
      </c>
      <c r="D9" s="128">
        <f t="shared" si="3"/>
        <v>1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 t="s">
        <v>132</v>
      </c>
      <c r="R9" s="129">
        <f>200000</f>
        <v>200000</v>
      </c>
      <c r="S9" s="107"/>
      <c r="T9" s="107"/>
      <c r="U9" s="107"/>
      <c r="V9" s="107"/>
      <c r="W9" s="107"/>
      <c r="X9" s="107"/>
      <c r="Y9" s="107"/>
      <c r="Z9" s="107"/>
      <c r="AA9" s="107"/>
    </row>
    <row r="10" ht="15.0" customHeight="1">
      <c r="A10" s="107"/>
      <c r="B10" s="107"/>
      <c r="C10" s="107"/>
      <c r="D10" s="107"/>
      <c r="E10" s="107"/>
      <c r="F10" s="123" t="s">
        <v>133</v>
      </c>
      <c r="G10" s="118"/>
      <c r="H10" s="118" t="s">
        <v>134</v>
      </c>
      <c r="I10" s="119">
        <v>1.0</v>
      </c>
      <c r="J10" s="121"/>
      <c r="K10" s="120">
        <v>200000.0</v>
      </c>
      <c r="L10" s="120">
        <f t="shared" ref="L10:L14" si="4">IF(J10="",I10*K10,I10*J10*$O$3)</f>
        <v>200000</v>
      </c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</row>
    <row r="11" ht="15.0" customHeight="1">
      <c r="A11" s="107"/>
      <c r="B11" s="107"/>
      <c r="C11" s="107"/>
      <c r="D11" s="107"/>
      <c r="E11" s="107"/>
      <c r="F11" s="123"/>
      <c r="G11" s="118"/>
      <c r="H11" s="118" t="s">
        <v>135</v>
      </c>
      <c r="I11" s="119">
        <v>8.0</v>
      </c>
      <c r="J11" s="121"/>
      <c r="K11" s="120">
        <v>500000.0</v>
      </c>
      <c r="L11" s="120">
        <f t="shared" si="4"/>
        <v>4000000</v>
      </c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</row>
    <row r="12" ht="15.0" customHeight="1">
      <c r="A12" s="107"/>
      <c r="B12" s="107"/>
      <c r="C12" s="129"/>
      <c r="D12" s="107"/>
      <c r="E12" s="107"/>
      <c r="F12" s="107"/>
      <c r="G12" s="118"/>
      <c r="H12" s="130" t="s">
        <v>136</v>
      </c>
      <c r="I12" s="131">
        <v>15.0</v>
      </c>
      <c r="J12" s="121"/>
      <c r="K12" s="132">
        <v>150000.0</v>
      </c>
      <c r="L12" s="120">
        <f t="shared" si="4"/>
        <v>2250000</v>
      </c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</row>
    <row r="13" ht="15.0" customHeight="1">
      <c r="A13" s="107"/>
      <c r="B13" s="107"/>
      <c r="C13" s="129"/>
      <c r="D13" s="107"/>
      <c r="E13" s="107"/>
      <c r="F13" s="107"/>
      <c r="G13" s="118"/>
      <c r="H13" s="130" t="s">
        <v>137</v>
      </c>
      <c r="I13" s="131">
        <v>3.0</v>
      </c>
      <c r="J13" s="121"/>
      <c r="K13" s="132">
        <v>200000.0</v>
      </c>
      <c r="L13" s="120">
        <f t="shared" si="4"/>
        <v>600000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 ht="15.0" customHeight="1">
      <c r="A14" s="107"/>
      <c r="B14" s="107"/>
      <c r="C14" s="129"/>
      <c r="D14" s="107"/>
      <c r="E14" s="107"/>
      <c r="F14" s="107"/>
      <c r="G14" s="118"/>
      <c r="H14" s="130" t="s">
        <v>138</v>
      </c>
      <c r="I14" s="131">
        <v>6.0</v>
      </c>
      <c r="J14" s="121"/>
      <c r="K14" s="132">
        <v>450000.0</v>
      </c>
      <c r="L14" s="120">
        <f t="shared" si="4"/>
        <v>2700000</v>
      </c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</row>
    <row r="15" ht="15.0" customHeight="1">
      <c r="A15" s="107"/>
      <c r="B15" s="107"/>
      <c r="C15" s="129"/>
      <c r="D15" s="107"/>
      <c r="E15" s="107"/>
      <c r="F15" s="107"/>
      <c r="G15" s="118"/>
      <c r="H15" s="118"/>
      <c r="I15" s="119"/>
      <c r="J15" s="121"/>
      <c r="K15" s="120"/>
      <c r="L15" s="12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</row>
    <row r="16" ht="15.0" customHeight="1">
      <c r="A16" s="107"/>
      <c r="B16" s="107"/>
      <c r="C16" s="129"/>
      <c r="D16" s="107"/>
      <c r="E16" s="107"/>
      <c r="F16" s="107"/>
      <c r="G16" s="118"/>
      <c r="H16" s="118"/>
      <c r="I16" s="119"/>
      <c r="J16" s="121"/>
      <c r="K16" s="120"/>
      <c r="L16" s="120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</row>
    <row r="17" ht="15.0" customHeight="1">
      <c r="A17" s="107"/>
      <c r="B17" s="107"/>
      <c r="C17" s="129"/>
      <c r="D17" s="107"/>
      <c r="E17" s="107"/>
      <c r="F17" s="107"/>
      <c r="G17" s="118"/>
      <c r="H17" s="118"/>
      <c r="I17" s="119"/>
      <c r="J17" s="121"/>
      <c r="K17" s="120"/>
      <c r="L17" s="120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</row>
    <row r="18" ht="15.0" customHeight="1">
      <c r="A18" s="107"/>
      <c r="B18" s="107"/>
      <c r="C18" s="129"/>
      <c r="D18" s="107"/>
      <c r="E18" s="107"/>
      <c r="F18" s="107"/>
      <c r="G18" s="124" t="s">
        <v>12</v>
      </c>
      <c r="H18" s="127"/>
      <c r="I18" s="127"/>
      <c r="J18" s="127"/>
      <c r="K18" s="127"/>
      <c r="L18" s="125">
        <f>SUM(L10:L17)</f>
        <v>9750000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</row>
    <row r="19" ht="15.0" customHeight="1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</row>
    <row r="20" ht="15.0" customHeight="1">
      <c r="A20" s="107"/>
      <c r="B20" s="107"/>
      <c r="C20" s="107"/>
      <c r="D20" s="107"/>
      <c r="E20" s="107"/>
      <c r="F20" s="123" t="s">
        <v>139</v>
      </c>
      <c r="G20" s="117" t="s">
        <v>140</v>
      </c>
      <c r="H20" s="118" t="s">
        <v>141</v>
      </c>
      <c r="I20" s="119">
        <v>1.0</v>
      </c>
      <c r="J20" s="120">
        <v>13500.0</v>
      </c>
      <c r="K20" s="121"/>
      <c r="L20" s="120">
        <f t="shared" ref="L20:L34" si="5">IF(J20="",I20*K20,I20*J20*$O$3)</f>
        <v>18900000</v>
      </c>
      <c r="M20" s="107"/>
      <c r="N20" s="107"/>
      <c r="O20" s="107"/>
      <c r="P20" s="107"/>
      <c r="Q20" s="129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 ht="15.0" customHeight="1">
      <c r="A21" s="107"/>
      <c r="B21" s="107"/>
      <c r="C21" s="107"/>
      <c r="D21" s="107"/>
      <c r="E21" s="107"/>
      <c r="F21" s="123"/>
      <c r="G21" s="118"/>
      <c r="H21" s="118" t="s">
        <v>142</v>
      </c>
      <c r="I21" s="119">
        <v>1.0</v>
      </c>
      <c r="J21" s="120">
        <v>15000.0</v>
      </c>
      <c r="K21" s="121"/>
      <c r="L21" s="120">
        <f t="shared" si="5"/>
        <v>21000000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</row>
    <row r="22" ht="15.0" customHeight="1">
      <c r="A22" s="107"/>
      <c r="B22" s="107"/>
      <c r="C22" s="107"/>
      <c r="D22" s="107"/>
      <c r="E22" s="107"/>
      <c r="F22" s="123"/>
      <c r="G22" s="118"/>
      <c r="H22" s="118" t="s">
        <v>143</v>
      </c>
      <c r="I22" s="119">
        <v>4.0</v>
      </c>
      <c r="J22" s="120">
        <v>5000.0</v>
      </c>
      <c r="K22" s="121"/>
      <c r="L22" s="120">
        <f t="shared" si="5"/>
        <v>28000000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ht="15.0" customHeight="1">
      <c r="A23" s="107"/>
      <c r="B23" s="107"/>
      <c r="C23" s="107"/>
      <c r="D23" s="107"/>
      <c r="E23" s="107"/>
      <c r="F23" s="123"/>
      <c r="G23" s="118"/>
      <c r="H23" s="118" t="s">
        <v>144</v>
      </c>
      <c r="I23" s="119">
        <v>1.0</v>
      </c>
      <c r="J23" s="120">
        <v>100000.0</v>
      </c>
      <c r="K23" s="121"/>
      <c r="L23" s="120">
        <f t="shared" si="5"/>
        <v>140000000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ht="15.0" customHeight="1">
      <c r="A24" s="107"/>
      <c r="B24" s="107"/>
      <c r="C24" s="107"/>
      <c r="D24" s="107"/>
      <c r="E24" s="107"/>
      <c r="F24" s="123"/>
      <c r="G24" s="118"/>
      <c r="H24" s="118" t="s">
        <v>145</v>
      </c>
      <c r="I24" s="119">
        <v>1.0</v>
      </c>
      <c r="J24" s="120">
        <v>12000.0</v>
      </c>
      <c r="K24" s="121"/>
      <c r="L24" s="120">
        <f t="shared" si="5"/>
        <v>16800000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ht="15.0" customHeight="1">
      <c r="A25" s="107"/>
      <c r="B25" s="107"/>
      <c r="C25" s="107"/>
      <c r="D25" s="107"/>
      <c r="E25" s="107"/>
      <c r="F25" s="123"/>
      <c r="G25" s="118"/>
      <c r="H25" s="118" t="s">
        <v>146</v>
      </c>
      <c r="I25" s="119">
        <v>1.0</v>
      </c>
      <c r="J25" s="120">
        <v>4000.0</v>
      </c>
      <c r="K25" s="121"/>
      <c r="L25" s="120">
        <f t="shared" si="5"/>
        <v>5600000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ht="15.0" customHeight="1">
      <c r="A26" s="107"/>
      <c r="B26" s="107"/>
      <c r="C26" s="107"/>
      <c r="D26" s="107"/>
      <c r="E26" s="107"/>
      <c r="F26" s="123"/>
      <c r="G26" s="117" t="s">
        <v>147</v>
      </c>
      <c r="H26" s="118" t="s">
        <v>148</v>
      </c>
      <c r="I26" s="119">
        <v>1.0</v>
      </c>
      <c r="J26" s="121"/>
      <c r="K26" s="120">
        <v>2500000.0</v>
      </c>
      <c r="L26" s="120">
        <f t="shared" si="5"/>
        <v>2500000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ht="15.0" customHeight="1">
      <c r="A27" s="107"/>
      <c r="B27" s="107"/>
      <c r="C27" s="107"/>
      <c r="D27" s="107"/>
      <c r="E27" s="107"/>
      <c r="F27" s="123"/>
      <c r="G27" s="118"/>
      <c r="H27" s="118" t="s">
        <v>149</v>
      </c>
      <c r="I27" s="119">
        <v>1.0</v>
      </c>
      <c r="J27" s="121"/>
      <c r="K27" s="120">
        <v>2000000.0</v>
      </c>
      <c r="L27" s="120">
        <f t="shared" si="5"/>
        <v>2000000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ht="15.0" customHeight="1">
      <c r="A28" s="107"/>
      <c r="B28" s="107"/>
      <c r="C28" s="107"/>
      <c r="D28" s="107"/>
      <c r="E28" s="107"/>
      <c r="F28" s="123"/>
      <c r="G28" s="118"/>
      <c r="H28" s="118" t="s">
        <v>150</v>
      </c>
      <c r="I28" s="119">
        <v>4.0</v>
      </c>
      <c r="J28" s="121"/>
      <c r="K28" s="120">
        <v>510000.0</v>
      </c>
      <c r="L28" s="120">
        <f t="shared" si="5"/>
        <v>2040000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ht="15.0" customHeight="1">
      <c r="A29" s="107"/>
      <c r="B29" s="107"/>
      <c r="C29" s="107"/>
      <c r="D29" s="107"/>
      <c r="E29" s="107"/>
      <c r="F29" s="123"/>
      <c r="G29" s="118"/>
      <c r="H29" s="118" t="s">
        <v>151</v>
      </c>
      <c r="I29" s="119">
        <v>2.0</v>
      </c>
      <c r="J29" s="121"/>
      <c r="K29" s="120">
        <v>1.5E7</v>
      </c>
      <c r="L29" s="120">
        <f t="shared" si="5"/>
        <v>30000000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ht="15.0" customHeight="1">
      <c r="A30" s="107"/>
      <c r="B30" s="107"/>
      <c r="C30" s="107"/>
      <c r="D30" s="107"/>
      <c r="E30" s="107"/>
      <c r="F30" s="123"/>
      <c r="G30" s="118"/>
      <c r="H30" s="118" t="s">
        <v>152</v>
      </c>
      <c r="I30" s="119">
        <v>1.0</v>
      </c>
      <c r="J30" s="121"/>
      <c r="K30" s="120">
        <v>1900000.0</v>
      </c>
      <c r="L30" s="120">
        <f t="shared" si="5"/>
        <v>1900000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ht="15.0" customHeight="1">
      <c r="A31" s="107"/>
      <c r="B31" s="107"/>
      <c r="C31" s="107"/>
      <c r="D31" s="107"/>
      <c r="E31" s="107"/>
      <c r="F31" s="123"/>
      <c r="G31" s="118"/>
      <c r="H31" s="118" t="s">
        <v>153</v>
      </c>
      <c r="I31" s="119">
        <v>1.0</v>
      </c>
      <c r="J31" s="120">
        <v>500.0</v>
      </c>
      <c r="K31" s="121"/>
      <c r="L31" s="120">
        <f t="shared" si="5"/>
        <v>700000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ht="15.0" customHeight="1">
      <c r="A32" s="107"/>
      <c r="B32" s="107"/>
      <c r="C32" s="107"/>
      <c r="D32" s="107"/>
      <c r="E32" s="107"/>
      <c r="F32" s="123"/>
      <c r="G32" s="118"/>
      <c r="H32" s="118" t="s">
        <v>154</v>
      </c>
      <c r="I32" s="119">
        <v>4.0</v>
      </c>
      <c r="J32" s="121"/>
      <c r="K32" s="120">
        <v>400000.0</v>
      </c>
      <c r="L32" s="120">
        <f t="shared" si="5"/>
        <v>1600000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ht="15.0" customHeight="1">
      <c r="A33" s="107"/>
      <c r="B33" s="107"/>
      <c r="C33" s="107"/>
      <c r="D33" s="107"/>
      <c r="E33" s="107"/>
      <c r="F33" s="123"/>
      <c r="G33" s="118"/>
      <c r="H33" s="118" t="s">
        <v>155</v>
      </c>
      <c r="I33" s="119">
        <v>1.0</v>
      </c>
      <c r="J33" s="120">
        <v>3200.0</v>
      </c>
      <c r="K33" s="121"/>
      <c r="L33" s="120">
        <f t="shared" si="5"/>
        <v>4480000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ht="15.0" customHeight="1">
      <c r="A34" s="107"/>
      <c r="B34" s="107"/>
      <c r="C34" s="107"/>
      <c r="D34" s="107"/>
      <c r="E34" s="107"/>
      <c r="F34" s="123"/>
      <c r="G34" s="118"/>
      <c r="H34" s="118" t="s">
        <v>146</v>
      </c>
      <c r="I34" s="119">
        <v>1.0</v>
      </c>
      <c r="J34" s="120">
        <v>50000.0</v>
      </c>
      <c r="K34" s="121"/>
      <c r="L34" s="120">
        <f t="shared" si="5"/>
        <v>70000000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ht="15.0" customHeight="1">
      <c r="A35" s="107"/>
      <c r="B35" s="107"/>
      <c r="C35" s="107"/>
      <c r="D35" s="107"/>
      <c r="E35" s="107"/>
      <c r="F35" s="107"/>
      <c r="G35" s="124" t="s">
        <v>12</v>
      </c>
      <c r="H35" s="127"/>
      <c r="I35" s="127"/>
      <c r="J35" s="127"/>
      <c r="K35" s="127"/>
      <c r="L35" s="125">
        <f>SUM(L20:L34)</f>
        <v>345520000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ht="15.0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ht="15.0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ht="15.0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ht="15.0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ht="15.0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 ht="15.0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 ht="15.0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 ht="15.0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 ht="15.0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 ht="15.0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 ht="15.0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 ht="15.0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 ht="15.0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 ht="15.0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 ht="15.0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 ht="15.0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 ht="15.0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 ht="15.0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 ht="15.0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 ht="15.0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 ht="15.0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 ht="15.0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 ht="15.0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 ht="15.0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 ht="15.0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 ht="15.0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 ht="15.0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 ht="15.0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 ht="15.0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 ht="15.0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 ht="15.0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 ht="15.0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 ht="15.0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 ht="15.0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 ht="15.0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 ht="15.0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 ht="15.0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ht="15.0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 ht="15.0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 ht="15.0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 ht="15.0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 ht="15.0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 ht="15.0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 ht="15.0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 ht="15.0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 ht="15.0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 ht="15.0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 ht="15.0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 ht="15.0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 ht="15.0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 ht="15.0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 ht="15.0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 ht="15.0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 ht="15.0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 ht="15.0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 ht="15.0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 ht="15.0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 ht="15.0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 ht="15.0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 ht="15.0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 ht="15.0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 ht="15.0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 ht="15.0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 ht="15.0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 ht="15.0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 ht="15.0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 ht="15.0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 ht="15.0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 ht="15.0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 ht="15.0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 ht="15.0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 ht="15.0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 ht="15.0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 ht="15.0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 ht="15.0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 ht="15.0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 ht="15.0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 ht="15.0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 ht="15.0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 ht="15.0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 ht="15.0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 ht="15.0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 ht="15.0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 ht="15.0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 ht="15.0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ht="15.0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 ht="15.0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 ht="15.0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 ht="15.0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 ht="15.0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 ht="15.0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 ht="15.0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 ht="15.0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 ht="15.0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 ht="15.0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 ht="15.0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 ht="15.0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 ht="15.0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 ht="15.0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 ht="15.0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 ht="15.0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 ht="15.0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 ht="15.0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 ht="15.0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 ht="15.0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 ht="15.0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 ht="15.0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 ht="15.0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 ht="15.0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 ht="15.0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 ht="15.0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 ht="15.0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 ht="15.0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 ht="15.0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 ht="15.0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 ht="15.0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 ht="15.0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 ht="15.0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 ht="15.0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 ht="15.0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 ht="15.0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 ht="15.0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 ht="15.0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 ht="15.0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 ht="15.0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 ht="15.0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 ht="15.0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 ht="15.0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 ht="15.0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 ht="15.0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 ht="15.0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 ht="15.0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 ht="15.0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 ht="15.0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 ht="15.0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 ht="15.0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 ht="15.0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 ht="15.0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 ht="15.0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 ht="15.0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 ht="15.0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 ht="15.0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 ht="15.0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 ht="15.0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 ht="15.0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 ht="15.0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 ht="15.0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 ht="15.0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 ht="15.0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 ht="15.0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 ht="15.0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 ht="15.0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 ht="15.0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 ht="15.0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 ht="15.0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 ht="15.0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 ht="15.0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 ht="15.0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 ht="15.0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 ht="15.0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 ht="15.0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 ht="15.0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 ht="15.0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 ht="15.0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 ht="15.0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 ht="15.0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 ht="15.0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 ht="15.0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 ht="15.0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 ht="15.0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 ht="15.0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 ht="15.0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 ht="15.0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 ht="15.0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 ht="15.0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 ht="15.0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 ht="15.0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 ht="15.0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 ht="15.0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 ht="15.0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 ht="15.0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 ht="15.0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 ht="15.0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 ht="15.0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 ht="15.0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 ht="15.0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 ht="15.0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 ht="15.0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 ht="15.0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 ht="15.0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 ht="15.0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 ht="15.0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 ht="15.0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 ht="15.0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 ht="15.0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 ht="15.0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 ht="15.0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 ht="15.0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 ht="15.0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 ht="15.0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 ht="15.0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 ht="15.0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 ht="15.0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 ht="15.0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 ht="15.0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 ht="15.0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 ht="15.0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 ht="15.0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 ht="15.0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 ht="15.0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 ht="15.0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 ht="15.0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 ht="15.0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 ht="15.0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 ht="15.0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 ht="15.0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 ht="15.0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 ht="15.0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 ht="15.0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 ht="15.0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 ht="15.0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 ht="15.0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 ht="15.0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 ht="15.0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 ht="15.0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 ht="15.0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 ht="15.0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 ht="15.0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 ht="15.0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 ht="15.0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 ht="15.0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 ht="15.0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 ht="15.0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 ht="15.0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 ht="15.0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 ht="15.0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 ht="15.0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 ht="15.0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 ht="15.0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 ht="15.0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 ht="15.0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 ht="15.0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 ht="15.0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 ht="15.0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 ht="15.0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 ht="15.0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 ht="15.0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 ht="15.0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 ht="15.0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 ht="15.0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 ht="15.0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 ht="15.0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 ht="15.0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 ht="15.0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 ht="15.0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 ht="15.0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 ht="15.0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 ht="15.0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 ht="15.0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 ht="15.0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 ht="15.0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 ht="15.0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 ht="15.0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 ht="15.0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 ht="15.0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 ht="15.0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 ht="15.0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 ht="15.0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 ht="15.0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 ht="15.0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 ht="15.0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 ht="15.0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 ht="15.0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 ht="15.0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 ht="15.0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 ht="15.0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 ht="15.0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 ht="15.0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 ht="15.0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 ht="15.0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 ht="15.0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 ht="15.0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 ht="15.0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 ht="15.0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 ht="15.0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 ht="15.0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 ht="15.0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 ht="15.0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 ht="15.0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 ht="15.0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 ht="15.0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 ht="15.0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 ht="15.0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 ht="15.0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 ht="15.0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 ht="15.0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 ht="15.0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 ht="15.0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 ht="15.0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 ht="15.0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 ht="15.0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 ht="15.0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 ht="15.0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 ht="15.0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 ht="15.0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 ht="15.0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 ht="15.0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 ht="15.0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 ht="15.0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 ht="15.0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 ht="15.0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 ht="15.0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 ht="15.0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 ht="15.0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 ht="15.0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 ht="15.0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 ht="15.0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 ht="15.0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 ht="15.0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 ht="15.0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 ht="15.0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 ht="15.0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 ht="15.0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 ht="15.0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 ht="15.0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 ht="15.0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 ht="15.0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 ht="15.0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 ht="15.0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 ht="15.0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 ht="15.0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 ht="15.0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 ht="15.0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 ht="15.0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 ht="15.0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 ht="15.0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 ht="15.0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 ht="15.0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 ht="15.0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 ht="15.0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 ht="15.0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 ht="15.0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 ht="15.0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 ht="15.0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 ht="15.0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 ht="15.0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 ht="15.0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 ht="15.0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 ht="15.0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 ht="15.0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 ht="15.0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 ht="15.0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 ht="15.0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 ht="15.0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 ht="15.0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 ht="15.0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 ht="15.0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 ht="15.0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 ht="15.0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 ht="15.0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 ht="15.0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 ht="15.0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 ht="15.0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 ht="15.0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 ht="15.0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 ht="15.0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 ht="15.0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 ht="15.0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 ht="15.0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 ht="15.0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 ht="15.0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 ht="15.0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 ht="15.0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 ht="15.0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 ht="15.0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 ht="15.0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 ht="15.0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 ht="15.0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 ht="15.0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 ht="15.0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 ht="15.0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 ht="15.0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 ht="15.0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 ht="15.0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 ht="15.0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 ht="15.0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 ht="15.0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 ht="15.0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 ht="15.0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 ht="15.0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 ht="15.0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 ht="15.0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 ht="15.0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 ht="15.0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 ht="15.0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 ht="15.0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 ht="15.0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 ht="15.0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 ht="15.0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 ht="15.0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 ht="15.0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 ht="15.0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 ht="15.0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 ht="15.0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 ht="15.0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 ht="15.0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 ht="15.0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 ht="15.0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 ht="15.0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 ht="15.0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 ht="15.0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 ht="15.0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 ht="15.0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 ht="15.0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 ht="15.0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 ht="15.0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 ht="15.0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 ht="15.0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 ht="15.0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 ht="15.0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 ht="15.0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 ht="15.0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 ht="15.0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 ht="15.0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 ht="15.0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 ht="15.0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 ht="15.0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 ht="15.0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 ht="15.0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 ht="15.0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 ht="15.0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 ht="15.0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 ht="15.0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 ht="15.0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 ht="15.0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 ht="15.0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 ht="15.0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 ht="15.0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 ht="15.0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 ht="15.0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 ht="15.0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 ht="15.0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 ht="15.0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 ht="15.0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 ht="15.0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 ht="15.0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 ht="15.0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 ht="15.0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 ht="15.0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 ht="15.0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 ht="15.0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 ht="15.0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 ht="15.0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 ht="15.0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 ht="15.0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 ht="15.0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 ht="15.0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 ht="15.0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 ht="15.0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 ht="15.0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 ht="15.0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 ht="15.0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 ht="15.0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 ht="15.0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 ht="15.0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 ht="15.0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 ht="15.0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 ht="15.0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 ht="15.0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 ht="15.0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 ht="15.0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 ht="15.0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 ht="15.0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 ht="15.0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 ht="15.0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 ht="15.0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 ht="15.0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 ht="15.0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 ht="15.0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 ht="15.0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 ht="15.0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 ht="15.0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 ht="15.0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 ht="15.0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 ht="15.0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 ht="15.0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 ht="15.0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 ht="15.0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 ht="15.0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 ht="15.0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 ht="15.0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 ht="15.0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 ht="15.0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 ht="15.0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 ht="15.0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 ht="15.0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 ht="15.0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 ht="15.0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 ht="15.0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 ht="15.0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 ht="15.0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 ht="15.0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 ht="15.0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 ht="15.0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 ht="15.0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 ht="15.0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 ht="15.0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 ht="15.0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 ht="15.0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 ht="15.0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 ht="15.0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 ht="15.0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 ht="15.0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 ht="15.0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 ht="15.0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 ht="15.0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 ht="15.0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 ht="15.0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 ht="15.0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 ht="15.0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 ht="15.0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 ht="15.0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 ht="15.0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 ht="15.0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 ht="15.0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 ht="15.0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 ht="15.0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 ht="15.0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 ht="15.0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 ht="15.0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 ht="15.0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 ht="15.0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 ht="15.0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 ht="15.0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 ht="15.0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 ht="15.0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 ht="15.0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 ht="15.0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 ht="15.0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 ht="15.0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 ht="15.0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 ht="15.0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 ht="15.0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 ht="15.0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 ht="15.0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 ht="15.0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 ht="15.0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 ht="15.0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 ht="15.0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 ht="15.0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 ht="15.0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 ht="15.0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 ht="15.0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 ht="15.0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 ht="15.0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 ht="15.0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 ht="15.0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 ht="15.0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 ht="15.0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 ht="15.0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 ht="15.0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 ht="15.0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 ht="15.0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 ht="15.0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 ht="15.0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 ht="15.0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 ht="15.0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 ht="15.0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 ht="15.0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 ht="15.0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 ht="15.0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 ht="15.0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 ht="15.0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 ht="15.0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 ht="15.0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 ht="15.0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 ht="15.0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 ht="15.0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 ht="15.0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 ht="15.0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 ht="15.0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 ht="15.0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 ht="15.0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 ht="15.0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 ht="15.0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 ht="15.0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 ht="15.0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 ht="15.0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 ht="15.0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 ht="15.0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 ht="15.0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 ht="15.0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 ht="15.0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 ht="15.0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 ht="15.0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 ht="15.0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 ht="15.0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 ht="15.0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 ht="15.0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 ht="15.0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 ht="15.0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 ht="15.0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 ht="15.0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 ht="15.0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 ht="15.0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 ht="15.0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 ht="15.0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 ht="15.0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 ht="15.0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 ht="15.0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 ht="15.0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 ht="15.0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 ht="15.0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 ht="15.0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 ht="15.0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 ht="15.0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 ht="15.0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 ht="15.0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 ht="15.0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 ht="15.0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 ht="15.0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 ht="15.0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 ht="15.0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 ht="15.0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 ht="15.0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 ht="15.0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 ht="15.0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 ht="15.0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 ht="15.0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 ht="15.0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 ht="15.0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 ht="15.0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 ht="15.0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 ht="15.0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 ht="15.0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 ht="15.0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 ht="15.0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 ht="15.0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 ht="15.0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 ht="15.0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 ht="15.0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 ht="15.0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 ht="15.0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 ht="15.0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 ht="15.0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 ht="15.0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 ht="15.0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 ht="15.0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 ht="15.0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 ht="15.0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 ht="15.0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 ht="15.0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 ht="15.0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 ht="15.0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 ht="15.0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 ht="15.0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 ht="15.0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 ht="15.0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 ht="15.0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 ht="15.0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 ht="15.0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 ht="15.0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 ht="15.0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 ht="15.0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 ht="15.0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 ht="15.0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 ht="15.0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 ht="15.0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 ht="15.0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 ht="15.0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 ht="15.0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 ht="15.0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 ht="15.0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 ht="15.0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 ht="15.0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 ht="15.0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 ht="15.0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 ht="15.0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 ht="15.0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 ht="15.0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 ht="15.0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 ht="15.0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 ht="15.0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 ht="15.0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 ht="15.0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 ht="15.0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 ht="15.0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 ht="15.0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 ht="15.0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 ht="15.0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 ht="15.0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 ht="15.0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 ht="15.0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 ht="15.0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 ht="15.0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 ht="15.0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 ht="15.0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 ht="15.0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 ht="15.0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 ht="15.0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 ht="15.0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 ht="15.0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 ht="15.0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 ht="15.0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 ht="15.0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 ht="15.0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 ht="15.0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 ht="15.0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 ht="15.0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 ht="15.0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 ht="15.0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 ht="15.0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 ht="15.0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 ht="15.0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 ht="15.0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 ht="15.0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 ht="15.0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 ht="15.0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 ht="15.0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 ht="15.0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 ht="15.0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 ht="15.0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 ht="15.0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 ht="15.0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 ht="15.0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 ht="15.0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 ht="15.0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 ht="15.0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 ht="15.0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 ht="15.0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 ht="15.0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 ht="15.0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 ht="15.0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 ht="15.0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 ht="15.0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 ht="15.0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 ht="15.0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 ht="15.0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 ht="15.0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 ht="15.0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 ht="15.0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 ht="15.0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 ht="15.0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 ht="15.0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 ht="15.0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 ht="15.0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 ht="15.0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 ht="15.0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 ht="15.0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 ht="15.0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 ht="15.0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 ht="15.0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 ht="15.0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 ht="15.0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 ht="15.0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 ht="15.0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 ht="15.0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 ht="15.0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 ht="15.0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 ht="15.0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 ht="15.0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 ht="15.0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 ht="15.0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 ht="15.0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 ht="15.0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 ht="15.0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 ht="15.0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 ht="15.0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 ht="15.0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 ht="15.0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 ht="15.0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 ht="15.0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 ht="15.0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 ht="15.0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 ht="15.0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 ht="15.0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 ht="15.0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 ht="15.0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 ht="15.0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 ht="15.0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 ht="15.0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 ht="15.0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 ht="15.0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 ht="15.0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 ht="15.0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 ht="15.0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 ht="15.0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 ht="15.0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 ht="15.0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 ht="15.0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 ht="15.0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 ht="15.0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 ht="15.0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 ht="15.0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 ht="15.0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 ht="15.0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 ht="15.0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 ht="15.0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 ht="15.0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 ht="15.0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 ht="15.0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 ht="15.0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 ht="15.0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 ht="15.0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 ht="15.0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 ht="15.0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 ht="15.0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 ht="15.0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 ht="15.0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 ht="15.0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 ht="15.0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 ht="15.0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 ht="15.0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 ht="15.0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 ht="15.0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 ht="15.0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 ht="15.0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 ht="15.0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 ht="15.0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 ht="15.0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 ht="15.0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 ht="15.0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 ht="15.0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 ht="15.0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 ht="15.0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 ht="15.0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 ht="15.0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 ht="15.0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 ht="15.0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 ht="15.0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 ht="15.0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 ht="15.0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 ht="15.0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 ht="15.0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 ht="15.0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 ht="15.0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 ht="15.0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 ht="15.0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 ht="15.0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 ht="15.0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 ht="15.0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 ht="15.0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 ht="15.0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 ht="15.0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 ht="15.0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 ht="15.0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 ht="15.0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 ht="15.0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 ht="15.0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 ht="15.0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 ht="15.0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 ht="15.0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 ht="15.0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 ht="15.0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 ht="15.0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 ht="15.0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 ht="15.0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 ht="15.0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 ht="15.0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 ht="15.0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 ht="15.0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 ht="15.0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 ht="15.0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 ht="15.0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 ht="15.0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 ht="15.0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 ht="15.0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 ht="15.0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 ht="15.0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 ht="15.0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 ht="15.0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 ht="15.0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 ht="15.0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 ht="15.0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 ht="15.0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 ht="15.0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 ht="15.0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 ht="15.0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 ht="15.0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 ht="15.0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 ht="15.0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 ht="15.0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 ht="15.0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 ht="15.0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 ht="15.0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 ht="15.0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 ht="15.0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 ht="15.0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 ht="15.0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 ht="15.0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 ht="15.0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 ht="15.0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 ht="15.0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 ht="15.0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 ht="15.0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 ht="15.0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 ht="15.0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 ht="15.0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 ht="15.0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 ht="15.0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 ht="15.0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 ht="15.0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 ht="15.0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 ht="15.0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 ht="15.0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 ht="15.0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 ht="15.0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 ht="15.0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 ht="15.0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 ht="15.0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 ht="15.0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 ht="15.0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 ht="15.0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 ht="15.0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 ht="15.0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 ht="15.0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 ht="15.0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 ht="15.0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 ht="15.0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 ht="15.0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 ht="15.0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 ht="15.0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 ht="15.0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 ht="15.0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 ht="15.0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 ht="15.0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 ht="15.0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 ht="15.0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 ht="15.0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 ht="15.0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 ht="15.0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 ht="15.0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 ht="15.0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 ht="15.0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 ht="15.0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 ht="15.0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 ht="15.0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 ht="15.0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 ht="15.0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 ht="15.0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 ht="15.0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 ht="15.0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 ht="15.0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 ht="15.0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 ht="15.0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 ht="15.0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 ht="15.0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 ht="15.0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 ht="15.0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 ht="15.0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 ht="15.0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 ht="15.0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 ht="15.0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 ht="15.0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 ht="15.0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 ht="15.0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 ht="15.0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  <row r="993" ht="15.0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</row>
    <row r="994" ht="15.0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</row>
    <row r="995" ht="15.0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</row>
    <row r="996" ht="15.0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</row>
    <row r="997" ht="15.0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</row>
    <row r="998" ht="15.0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</row>
    <row r="999" ht="15.0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</row>
    <row r="1000" ht="15.0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</row>
    <row r="1001" ht="15.0" customHeight="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</row>
    <row r="1002" ht="15.0" customHeight="1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</row>
    <row r="1003" ht="15.0" customHeight="1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</row>
    <row r="1004" ht="15.0" customHeight="1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</row>
    <row r="1005" ht="15.0" customHeight="1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</row>
    <row r="1006" ht="15.0" customHeight="1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0.71"/>
    <col customWidth="1" min="6" max="6" width="24.14"/>
    <col customWidth="1" min="7" max="8" width="10.71"/>
    <col customWidth="1" min="9" max="10" width="16.57"/>
    <col customWidth="1" min="11" max="11" width="3.29"/>
    <col customWidth="1" min="12" max="12" width="6.71"/>
    <col customWidth="1" min="13" max="13" width="24.0"/>
    <col customWidth="1" min="14" max="14" width="15.0"/>
    <col customWidth="1" min="15" max="16" width="14.14"/>
    <col customWidth="1" min="17" max="17" width="1.71"/>
    <col customWidth="1" min="18" max="27" width="10.71"/>
  </cols>
  <sheetData>
    <row r="1" ht="9.0" customHeight="1">
      <c r="A1" s="106"/>
      <c r="B1" s="107"/>
      <c r="C1" s="107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ht="17.25" customHeight="1">
      <c r="A2" s="106"/>
      <c r="B2" s="108" t="s">
        <v>156</v>
      </c>
      <c r="C2" s="107"/>
      <c r="D2" s="106"/>
      <c r="E2" s="106"/>
      <c r="F2" s="109" t="s">
        <v>157</v>
      </c>
      <c r="G2" s="106"/>
      <c r="H2" s="106"/>
      <c r="I2" s="106"/>
      <c r="J2" s="106"/>
      <c r="K2" s="106"/>
      <c r="L2" s="109" t="s">
        <v>158</v>
      </c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ht="17.25" customHeight="1">
      <c r="A3" s="106"/>
      <c r="B3" s="110" t="s">
        <v>106</v>
      </c>
      <c r="C3" s="110" t="s">
        <v>107</v>
      </c>
      <c r="D3" s="111" t="s">
        <v>108</v>
      </c>
      <c r="E3" s="106"/>
      <c r="F3" s="110" t="s">
        <v>159</v>
      </c>
      <c r="G3" s="110" t="s">
        <v>160</v>
      </c>
      <c r="H3" s="110" t="s">
        <v>111</v>
      </c>
      <c r="I3" s="111" t="s">
        <v>161</v>
      </c>
      <c r="J3" s="111" t="s">
        <v>162</v>
      </c>
      <c r="K3" s="106"/>
      <c r="L3" s="110" t="s">
        <v>60</v>
      </c>
      <c r="M3" s="110" t="s">
        <v>6</v>
      </c>
      <c r="N3" s="110" t="s">
        <v>163</v>
      </c>
      <c r="O3" s="110" t="s">
        <v>164</v>
      </c>
      <c r="P3" s="111" t="s">
        <v>165</v>
      </c>
      <c r="Q3" s="106"/>
      <c r="R3" s="110" t="s">
        <v>49</v>
      </c>
      <c r="S3" s="110" t="s">
        <v>166</v>
      </c>
      <c r="T3" s="106"/>
      <c r="U3" s="106"/>
      <c r="V3" s="106"/>
      <c r="W3" s="106"/>
      <c r="X3" s="106"/>
      <c r="Y3" s="106"/>
      <c r="Z3" s="106"/>
      <c r="AA3" s="106"/>
    </row>
    <row r="4" ht="17.25" customHeight="1">
      <c r="A4" s="106"/>
      <c r="B4" s="113" t="s">
        <v>157</v>
      </c>
      <c r="C4" s="114">
        <f>$J$9/1000000</f>
        <v>1197.470976</v>
      </c>
      <c r="D4" s="133">
        <f t="shared" ref="D4:D6" si="1">C4/$C$7</f>
        <v>0.3912857397</v>
      </c>
      <c r="E4" s="106"/>
      <c r="F4" s="113" t="s">
        <v>167</v>
      </c>
      <c r="G4" s="114" t="s">
        <v>168</v>
      </c>
      <c r="H4" s="114">
        <v>32.0</v>
      </c>
      <c r="I4" s="114">
        <v>1072000.0</v>
      </c>
      <c r="J4" s="114">
        <f t="shared" ref="J4:J8" si="2">H4*I4*12*1.24</f>
        <v>510443520</v>
      </c>
      <c r="K4" s="106"/>
      <c r="L4" s="134" t="s">
        <v>65</v>
      </c>
      <c r="M4" s="114" t="s">
        <v>66</v>
      </c>
      <c r="N4" s="114">
        <v>1775.67</v>
      </c>
      <c r="O4" s="114">
        <f>VLOOKUP(L4,Produccion!$C$14:$E$20,3,0)</f>
        <v>48000</v>
      </c>
      <c r="P4" s="114">
        <f t="shared" ref="P4:P10" si="3">N4*O4</f>
        <v>85232160</v>
      </c>
      <c r="Q4" s="106"/>
      <c r="R4" s="114">
        <f>VLOOKUP(L4,Produccion!$C$14:$G$20,5,0)</f>
        <v>13700</v>
      </c>
      <c r="S4" s="135">
        <f t="shared" ref="S4:S10" si="4">N4/R4</f>
        <v>0.1296109489</v>
      </c>
      <c r="T4" s="106"/>
      <c r="U4" s="106"/>
      <c r="V4" s="106"/>
      <c r="W4" s="106"/>
      <c r="X4" s="106"/>
      <c r="Y4" s="106"/>
      <c r="Z4" s="106"/>
      <c r="AA4" s="106"/>
    </row>
    <row r="5" ht="17.25" customHeight="1">
      <c r="A5" s="106"/>
      <c r="B5" s="113" t="s">
        <v>158</v>
      </c>
      <c r="C5" s="114">
        <f>P11/1000000</f>
        <v>944.7734205</v>
      </c>
      <c r="D5" s="133">
        <f t="shared" si="1"/>
        <v>0.3087142603</v>
      </c>
      <c r="E5" s="106"/>
      <c r="F5" s="113" t="s">
        <v>169</v>
      </c>
      <c r="G5" s="114" t="s">
        <v>170</v>
      </c>
      <c r="H5" s="114">
        <v>6.0</v>
      </c>
      <c r="I5" s="114">
        <v>1395200.0</v>
      </c>
      <c r="J5" s="114">
        <f t="shared" si="2"/>
        <v>124563456</v>
      </c>
      <c r="K5" s="106"/>
      <c r="L5" s="134" t="s">
        <v>67</v>
      </c>
      <c r="M5" s="114" t="s">
        <v>68</v>
      </c>
      <c r="N5" s="114">
        <v>1498.67</v>
      </c>
      <c r="O5" s="114">
        <f>VLOOKUP(L5,Produccion!$C$14:$E$20,3,0)</f>
        <v>27750</v>
      </c>
      <c r="P5" s="114">
        <f t="shared" si="3"/>
        <v>41588092.5</v>
      </c>
      <c r="Q5" s="106"/>
      <c r="R5" s="114">
        <f>VLOOKUP(L5,Produccion!$C$14:$G$20,5,0)</f>
        <v>10500</v>
      </c>
      <c r="S5" s="135">
        <f t="shared" si="4"/>
        <v>0.1427304762</v>
      </c>
      <c r="T5" s="106"/>
      <c r="U5" s="106"/>
      <c r="V5" s="106"/>
      <c r="W5" s="106"/>
      <c r="X5" s="106"/>
      <c r="Y5" s="106"/>
      <c r="Z5" s="106"/>
      <c r="AA5" s="106"/>
    </row>
    <row r="6" ht="17.25" customHeight="1">
      <c r="A6" s="106"/>
      <c r="B6" s="136" t="s">
        <v>171</v>
      </c>
      <c r="C6" s="114">
        <f>SUM(C4:C5)/0.7*0.3</f>
        <v>918.1047414</v>
      </c>
      <c r="D6" s="133">
        <f t="shared" si="1"/>
        <v>0.3</v>
      </c>
      <c r="E6" s="106"/>
      <c r="F6" s="113" t="s">
        <v>172</v>
      </c>
      <c r="G6" s="114" t="s">
        <v>170</v>
      </c>
      <c r="H6" s="114">
        <v>6.0</v>
      </c>
      <c r="I6" s="114">
        <v>2500000.0</v>
      </c>
      <c r="J6" s="114">
        <f t="shared" si="2"/>
        <v>223200000</v>
      </c>
      <c r="K6" s="106"/>
      <c r="L6" s="134" t="s">
        <v>69</v>
      </c>
      <c r="M6" s="114" t="s">
        <v>70</v>
      </c>
      <c r="N6" s="114">
        <v>2404.98</v>
      </c>
      <c r="O6" s="114">
        <f>VLOOKUP(L6,Produccion!$C$14:$E$20,3,0)</f>
        <v>78000</v>
      </c>
      <c r="P6" s="114">
        <f t="shared" si="3"/>
        <v>187588440</v>
      </c>
      <c r="Q6" s="106"/>
      <c r="R6" s="114">
        <f>VLOOKUP(L6,Produccion!$C$14:$G$20,5,0)</f>
        <v>11000</v>
      </c>
      <c r="S6" s="135">
        <f t="shared" si="4"/>
        <v>0.2186345455</v>
      </c>
      <c r="T6" s="106"/>
      <c r="U6" s="106"/>
      <c r="V6" s="106"/>
      <c r="W6" s="106"/>
      <c r="X6" s="106"/>
      <c r="Y6" s="106"/>
      <c r="Z6" s="106"/>
      <c r="AA6" s="106"/>
    </row>
    <row r="7" ht="17.25" customHeight="1">
      <c r="A7" s="106"/>
      <c r="B7" s="124" t="s">
        <v>12</v>
      </c>
      <c r="C7" s="125">
        <f t="shared" ref="C7:D7" si="5">SUM(C4:C6)</f>
        <v>3060.349138</v>
      </c>
      <c r="D7" s="137">
        <f t="shared" si="5"/>
        <v>1</v>
      </c>
      <c r="E7" s="106"/>
      <c r="F7" s="113" t="s">
        <v>173</v>
      </c>
      <c r="G7" s="114" t="s">
        <v>170</v>
      </c>
      <c r="H7" s="114">
        <v>4.0</v>
      </c>
      <c r="I7" s="114">
        <v>2200000.0</v>
      </c>
      <c r="J7" s="114">
        <f t="shared" si="2"/>
        <v>130944000</v>
      </c>
      <c r="K7" s="106"/>
      <c r="L7" s="134" t="s">
        <v>71</v>
      </c>
      <c r="M7" s="114" t="s">
        <v>72</v>
      </c>
      <c r="N7" s="114">
        <v>974.85</v>
      </c>
      <c r="O7" s="114">
        <f>VLOOKUP(L7,Produccion!$C$14:$E$20,3,0)</f>
        <v>31200</v>
      </c>
      <c r="P7" s="114">
        <f t="shared" si="3"/>
        <v>30415320</v>
      </c>
      <c r="Q7" s="106"/>
      <c r="R7" s="114">
        <f>VLOOKUP(L7,Produccion!$C$14:$G$20,5,0)</f>
        <v>7000</v>
      </c>
      <c r="S7" s="135">
        <f t="shared" si="4"/>
        <v>0.1392642857</v>
      </c>
      <c r="T7" s="106"/>
      <c r="U7" s="106"/>
      <c r="V7" s="106"/>
      <c r="W7" s="106"/>
      <c r="X7" s="106"/>
      <c r="Y7" s="106"/>
      <c r="Z7" s="106"/>
      <c r="AA7" s="106"/>
    </row>
    <row r="8" ht="17.25" customHeight="1">
      <c r="A8" s="106"/>
      <c r="B8" s="106"/>
      <c r="C8" s="106"/>
      <c r="D8" s="106"/>
      <c r="E8" s="106"/>
      <c r="F8" s="113" t="s">
        <v>174</v>
      </c>
      <c r="G8" s="114" t="s">
        <v>175</v>
      </c>
      <c r="H8" s="114">
        <v>2.0</v>
      </c>
      <c r="I8" s="114">
        <v>7000000.0</v>
      </c>
      <c r="J8" s="114">
        <f t="shared" si="2"/>
        <v>208320000</v>
      </c>
      <c r="K8" s="106"/>
      <c r="L8" s="134" t="s">
        <v>73</v>
      </c>
      <c r="M8" s="114" t="s">
        <v>54</v>
      </c>
      <c r="N8" s="114">
        <v>1958.97</v>
      </c>
      <c r="O8" s="114">
        <f>VLOOKUP(L8,Produccion!$C$14:$E$20,3,0)</f>
        <v>52800</v>
      </c>
      <c r="P8" s="114">
        <f t="shared" si="3"/>
        <v>103433616</v>
      </c>
      <c r="Q8" s="106"/>
      <c r="R8" s="114">
        <f>VLOOKUP(L8,Produccion!$C$14:$G$20,5,0)</f>
        <v>10500</v>
      </c>
      <c r="S8" s="135">
        <f t="shared" si="4"/>
        <v>0.1865685714</v>
      </c>
      <c r="T8" s="106"/>
      <c r="U8" s="106"/>
      <c r="V8" s="106"/>
      <c r="W8" s="106"/>
      <c r="X8" s="106"/>
      <c r="Y8" s="106"/>
      <c r="Z8" s="106"/>
      <c r="AA8" s="106"/>
    </row>
    <row r="9" ht="17.25" customHeight="1">
      <c r="A9" s="106"/>
      <c r="B9" s="107"/>
      <c r="C9" s="107"/>
      <c r="D9" s="106"/>
      <c r="E9" s="106"/>
      <c r="F9" s="124" t="s">
        <v>12</v>
      </c>
      <c r="G9" s="125"/>
      <c r="H9" s="125">
        <f t="shared" ref="H9:J9" si="6">SUM(H4:H8)</f>
        <v>50</v>
      </c>
      <c r="I9" s="125">
        <f t="shared" si="6"/>
        <v>14167200</v>
      </c>
      <c r="J9" s="125">
        <f t="shared" si="6"/>
        <v>1197470976</v>
      </c>
      <c r="K9" s="106"/>
      <c r="L9" s="134" t="s">
        <v>74</v>
      </c>
      <c r="M9" s="114" t="s">
        <v>75</v>
      </c>
      <c r="N9" s="114">
        <v>3034.2</v>
      </c>
      <c r="O9" s="114">
        <f>VLOOKUP(L9,Produccion!$C$14:$E$20,3,0)</f>
        <v>75000</v>
      </c>
      <c r="P9" s="114">
        <f t="shared" si="3"/>
        <v>227565000</v>
      </c>
      <c r="Q9" s="106"/>
      <c r="R9" s="114">
        <f>VLOOKUP(L9,Produccion!$C$14:$G$20,5,0)</f>
        <v>12700</v>
      </c>
      <c r="S9" s="135">
        <f t="shared" si="4"/>
        <v>0.2389133858</v>
      </c>
      <c r="T9" s="106"/>
      <c r="U9" s="106"/>
      <c r="V9" s="106"/>
      <c r="W9" s="106"/>
      <c r="X9" s="106"/>
      <c r="Y9" s="106"/>
      <c r="Z9" s="106"/>
      <c r="AA9" s="106"/>
    </row>
    <row r="10" ht="17.25" customHeight="1">
      <c r="A10" s="106"/>
      <c r="B10" s="107"/>
      <c r="C10" s="129"/>
      <c r="D10" s="106"/>
      <c r="E10" s="106"/>
      <c r="F10" s="106"/>
      <c r="G10" s="106"/>
      <c r="H10" s="106"/>
      <c r="I10" s="106"/>
      <c r="J10" s="106"/>
      <c r="K10" s="106"/>
      <c r="L10" s="134" t="s">
        <v>76</v>
      </c>
      <c r="M10" s="114" t="s">
        <v>56</v>
      </c>
      <c r="N10" s="114">
        <v>3798.74</v>
      </c>
      <c r="O10" s="114">
        <f>VLOOKUP(L10,Produccion!$C$14:$E$20,3,0)</f>
        <v>70800</v>
      </c>
      <c r="P10" s="114">
        <f t="shared" si="3"/>
        <v>268950792</v>
      </c>
      <c r="Q10" s="106"/>
      <c r="R10" s="114">
        <f>VLOOKUP(L10,Produccion!$C$14:$G$20,5,0)</f>
        <v>12000</v>
      </c>
      <c r="S10" s="135">
        <f t="shared" si="4"/>
        <v>0.3165616667</v>
      </c>
      <c r="T10" s="106"/>
      <c r="U10" s="106"/>
      <c r="V10" s="106"/>
      <c r="W10" s="106"/>
      <c r="X10" s="106"/>
      <c r="Y10" s="106"/>
      <c r="Z10" s="106"/>
      <c r="AA10" s="106"/>
    </row>
    <row r="11" ht="17.25" customHeight="1">
      <c r="A11" s="106"/>
      <c r="B11" s="107"/>
      <c r="C11" s="107"/>
      <c r="D11" s="106"/>
      <c r="E11" s="106"/>
      <c r="F11" s="106"/>
      <c r="G11" s="106"/>
      <c r="H11" s="106"/>
      <c r="I11" s="106"/>
      <c r="J11" s="106"/>
      <c r="K11" s="106"/>
      <c r="L11" s="124" t="s">
        <v>12</v>
      </c>
      <c r="M11" s="125"/>
      <c r="N11" s="125"/>
      <c r="O11" s="125"/>
      <c r="P11" s="125">
        <f>SUM(P4:P10)</f>
        <v>944773420.5</v>
      </c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ht="17.25" customHeight="1">
      <c r="A12" s="106"/>
      <c r="B12" s="107"/>
      <c r="C12" s="129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ht="17.25" customHeight="1">
      <c r="A13" s="106"/>
      <c r="B13" s="107"/>
      <c r="C13" s="107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ht="17.25" customHeight="1">
      <c r="A14" s="106"/>
      <c r="B14" s="107"/>
      <c r="C14" s="107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ht="17.25" customHeight="1">
      <c r="A15" s="106"/>
      <c r="B15" s="107"/>
      <c r="C15" s="107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ht="17.25" customHeight="1">
      <c r="A16" s="106"/>
      <c r="B16" s="107"/>
      <c r="C16" s="107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ht="17.25" customHeight="1">
      <c r="A17" s="106"/>
      <c r="B17" s="107"/>
      <c r="C17" s="107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ht="17.25" customHeight="1">
      <c r="A18" s="106"/>
      <c r="B18" s="107"/>
      <c r="C18" s="107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ht="17.25" customHeight="1">
      <c r="A19" s="106"/>
      <c r="B19" s="107"/>
      <c r="C19" s="107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ht="17.25" customHeight="1">
      <c r="A20" s="106"/>
      <c r="B20" s="107"/>
      <c r="C20" s="107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ht="17.25" customHeight="1">
      <c r="A21" s="106"/>
      <c r="B21" s="107"/>
      <c r="C21" s="107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ht="17.25" customHeight="1">
      <c r="A22" s="106"/>
      <c r="B22" s="107"/>
      <c r="C22" s="107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ht="17.25" customHeight="1">
      <c r="A23" s="106"/>
      <c r="B23" s="107"/>
      <c r="C23" s="107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ht="17.25" customHeight="1">
      <c r="A24" s="106"/>
      <c r="B24" s="107"/>
      <c r="C24" s="107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ht="17.25" customHeight="1">
      <c r="A25" s="106"/>
      <c r="B25" s="107"/>
      <c r="C25" s="107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ht="17.25" customHeight="1">
      <c r="A26" s="106"/>
      <c r="B26" s="107"/>
      <c r="C26" s="107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ht="17.25" customHeight="1">
      <c r="A27" s="106"/>
      <c r="B27" s="107"/>
      <c r="C27" s="107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ht="17.25" customHeight="1">
      <c r="A28" s="106"/>
      <c r="B28" s="107"/>
      <c r="C28" s="107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ht="17.25" customHeight="1">
      <c r="A29" s="106"/>
      <c r="B29" s="107"/>
      <c r="C29" s="107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ht="17.25" customHeight="1">
      <c r="A30" s="106"/>
      <c r="B30" s="107"/>
      <c r="C30" s="107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ht="17.25" customHeight="1">
      <c r="A31" s="106"/>
      <c r="B31" s="107"/>
      <c r="C31" s="107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ht="17.25" customHeight="1">
      <c r="A32" s="106"/>
      <c r="B32" s="107"/>
      <c r="C32" s="107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ht="17.25" customHeight="1">
      <c r="A33" s="106"/>
      <c r="B33" s="107"/>
      <c r="C33" s="107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ht="17.25" customHeight="1">
      <c r="A34" s="106"/>
      <c r="B34" s="107"/>
      <c r="C34" s="107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ht="17.25" customHeight="1">
      <c r="A35" s="106"/>
      <c r="B35" s="107"/>
      <c r="C35" s="107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ht="17.25" customHeight="1">
      <c r="A36" s="106"/>
      <c r="B36" s="107"/>
      <c r="C36" s="107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ht="17.25" customHeight="1">
      <c r="A37" s="106"/>
      <c r="B37" s="107"/>
      <c r="C37" s="107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ht="17.25" customHeight="1">
      <c r="A38" s="106"/>
      <c r="B38" s="107"/>
      <c r="C38" s="107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ht="17.25" customHeight="1">
      <c r="A39" s="106"/>
      <c r="B39" s="107"/>
      <c r="C39" s="107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ht="17.25" customHeight="1">
      <c r="A40" s="106"/>
      <c r="B40" s="107"/>
      <c r="C40" s="107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ht="17.25" customHeight="1">
      <c r="A41" s="106"/>
      <c r="B41" s="107"/>
      <c r="C41" s="107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ht="17.25" customHeight="1">
      <c r="A42" s="106"/>
      <c r="B42" s="107"/>
      <c r="C42" s="107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ht="17.25" customHeight="1">
      <c r="A43" s="106"/>
      <c r="B43" s="107"/>
      <c r="C43" s="107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ht="17.25" customHeight="1">
      <c r="A44" s="106"/>
      <c r="B44" s="107"/>
      <c r="C44" s="107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ht="17.25" customHeight="1">
      <c r="A45" s="106"/>
      <c r="B45" s="107"/>
      <c r="C45" s="107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ht="17.25" customHeight="1">
      <c r="A46" s="106"/>
      <c r="B46" s="107"/>
      <c r="C46" s="107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ht="17.25" customHeight="1">
      <c r="A47" s="106"/>
      <c r="B47" s="107"/>
      <c r="C47" s="107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ht="17.25" customHeight="1">
      <c r="A48" s="106"/>
      <c r="B48" s="107"/>
      <c r="C48" s="107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ht="17.25" customHeight="1">
      <c r="A49" s="106"/>
      <c r="B49" s="107"/>
      <c r="C49" s="107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ht="17.25" customHeight="1">
      <c r="A50" s="106"/>
      <c r="B50" s="107"/>
      <c r="C50" s="107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ht="17.25" customHeight="1">
      <c r="A51" s="106"/>
      <c r="B51" s="107"/>
      <c r="C51" s="107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ht="17.25" customHeight="1">
      <c r="A52" s="106"/>
      <c r="B52" s="107"/>
      <c r="C52" s="107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ht="17.25" customHeight="1">
      <c r="A53" s="106"/>
      <c r="B53" s="107"/>
      <c r="C53" s="107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ht="17.25" customHeight="1">
      <c r="A54" s="106"/>
      <c r="B54" s="107"/>
      <c r="C54" s="107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ht="17.25" customHeight="1">
      <c r="A55" s="106"/>
      <c r="B55" s="107"/>
      <c r="C55" s="107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ht="17.25" customHeight="1">
      <c r="A56" s="106"/>
      <c r="B56" s="107"/>
      <c r="C56" s="107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ht="17.25" customHeight="1">
      <c r="A57" s="106"/>
      <c r="B57" s="107"/>
      <c r="C57" s="107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ht="17.25" customHeight="1">
      <c r="A58" s="106"/>
      <c r="B58" s="107"/>
      <c r="C58" s="107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ht="17.25" customHeight="1">
      <c r="A59" s="106"/>
      <c r="B59" s="107"/>
      <c r="C59" s="107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ht="17.25" customHeight="1">
      <c r="A60" s="106"/>
      <c r="B60" s="107"/>
      <c r="C60" s="107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ht="17.25" customHeight="1">
      <c r="A61" s="106"/>
      <c r="B61" s="107"/>
      <c r="C61" s="107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ht="17.25" customHeight="1">
      <c r="A62" s="106"/>
      <c r="B62" s="107"/>
      <c r="C62" s="107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ht="17.25" customHeight="1">
      <c r="A63" s="106"/>
      <c r="B63" s="107"/>
      <c r="C63" s="107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ht="17.25" customHeight="1">
      <c r="A64" s="106"/>
      <c r="B64" s="107"/>
      <c r="C64" s="107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ht="17.25" customHeight="1">
      <c r="A65" s="106"/>
      <c r="B65" s="107"/>
      <c r="C65" s="107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ht="17.25" customHeight="1">
      <c r="A66" s="106"/>
      <c r="B66" s="107"/>
      <c r="C66" s="107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ht="17.25" customHeight="1">
      <c r="A67" s="106"/>
      <c r="B67" s="107"/>
      <c r="C67" s="107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ht="17.25" customHeight="1">
      <c r="A68" s="106"/>
      <c r="B68" s="107"/>
      <c r="C68" s="107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ht="17.25" customHeight="1">
      <c r="A69" s="106"/>
      <c r="B69" s="107"/>
      <c r="C69" s="107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ht="17.25" customHeight="1">
      <c r="A70" s="106"/>
      <c r="B70" s="107"/>
      <c r="C70" s="107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  <row r="71" ht="17.25" customHeight="1">
      <c r="A71" s="106"/>
      <c r="B71" s="107"/>
      <c r="C71" s="107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ht="17.25" customHeight="1">
      <c r="A72" s="106"/>
      <c r="B72" s="107"/>
      <c r="C72" s="107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</row>
    <row r="73" ht="17.25" customHeight="1">
      <c r="A73" s="106"/>
      <c r="B73" s="107"/>
      <c r="C73" s="107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 ht="17.25" customHeight="1">
      <c r="A74" s="106"/>
      <c r="B74" s="107"/>
      <c r="C74" s="107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</row>
    <row r="75" ht="17.25" customHeight="1">
      <c r="A75" s="106"/>
      <c r="B75" s="107"/>
      <c r="C75" s="107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</row>
    <row r="76" ht="17.25" customHeight="1">
      <c r="A76" s="106"/>
      <c r="B76" s="107"/>
      <c r="C76" s="107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</row>
    <row r="77" ht="17.25" customHeight="1">
      <c r="A77" s="106"/>
      <c r="B77" s="107"/>
      <c r="C77" s="107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</row>
    <row r="78" ht="17.25" customHeight="1">
      <c r="A78" s="106"/>
      <c r="B78" s="107"/>
      <c r="C78" s="107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</row>
    <row r="79" ht="17.25" customHeight="1">
      <c r="A79" s="106"/>
      <c r="B79" s="107"/>
      <c r="C79" s="107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ht="17.25" customHeight="1">
      <c r="A80" s="106"/>
      <c r="B80" s="107"/>
      <c r="C80" s="107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</row>
    <row r="81" ht="17.25" customHeight="1">
      <c r="A81" s="106"/>
      <c r="B81" s="107"/>
      <c r="C81" s="107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</row>
    <row r="82" ht="17.25" customHeight="1">
      <c r="A82" s="106"/>
      <c r="B82" s="107"/>
      <c r="C82" s="107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</row>
    <row r="83" ht="17.25" customHeight="1">
      <c r="A83" s="106"/>
      <c r="B83" s="107"/>
      <c r="C83" s="107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</row>
    <row r="84" ht="17.25" customHeight="1">
      <c r="A84" s="106"/>
      <c r="B84" s="107"/>
      <c r="C84" s="107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</row>
    <row r="85" ht="17.25" customHeight="1">
      <c r="A85" s="106"/>
      <c r="B85" s="107"/>
      <c r="C85" s="107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</row>
    <row r="86" ht="17.25" customHeight="1">
      <c r="A86" s="106"/>
      <c r="B86" s="107"/>
      <c r="C86" s="107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</row>
    <row r="87" ht="17.25" customHeight="1">
      <c r="A87" s="106"/>
      <c r="B87" s="107"/>
      <c r="C87" s="107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</row>
    <row r="88" ht="17.25" customHeight="1">
      <c r="A88" s="106"/>
      <c r="B88" s="107"/>
      <c r="C88" s="107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ht="17.25" customHeight="1">
      <c r="A89" s="106"/>
      <c r="B89" s="107"/>
      <c r="C89" s="107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ht="17.25" customHeight="1">
      <c r="A90" s="106"/>
      <c r="B90" s="107"/>
      <c r="C90" s="107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</row>
    <row r="91" ht="17.25" customHeight="1">
      <c r="A91" s="106"/>
      <c r="B91" s="107"/>
      <c r="C91" s="107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</row>
    <row r="92" ht="17.25" customHeight="1">
      <c r="A92" s="106"/>
      <c r="B92" s="107"/>
      <c r="C92" s="107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</row>
    <row r="93" ht="17.25" customHeight="1">
      <c r="A93" s="106"/>
      <c r="B93" s="107"/>
      <c r="C93" s="107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</row>
    <row r="94" ht="17.25" customHeight="1">
      <c r="A94" s="106"/>
      <c r="B94" s="107"/>
      <c r="C94" s="107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</row>
    <row r="95" ht="17.25" customHeight="1">
      <c r="A95" s="106"/>
      <c r="B95" s="107"/>
      <c r="C95" s="107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</row>
    <row r="96" ht="17.25" customHeight="1">
      <c r="A96" s="106"/>
      <c r="B96" s="107"/>
      <c r="C96" s="107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</row>
    <row r="97" ht="17.25" customHeight="1">
      <c r="A97" s="106"/>
      <c r="B97" s="107"/>
      <c r="C97" s="107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</row>
    <row r="98" ht="17.25" customHeight="1">
      <c r="A98" s="106"/>
      <c r="B98" s="107"/>
      <c r="C98" s="107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</row>
    <row r="99" ht="17.25" customHeight="1">
      <c r="A99" s="106"/>
      <c r="B99" s="107"/>
      <c r="C99" s="107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</row>
    <row r="100" ht="17.25" customHeight="1">
      <c r="A100" s="106"/>
      <c r="B100" s="107"/>
      <c r="C100" s="107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</row>
    <row r="101" ht="17.25" customHeight="1">
      <c r="A101" s="106"/>
      <c r="B101" s="107"/>
      <c r="C101" s="107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</row>
    <row r="102" ht="17.25" customHeight="1">
      <c r="A102" s="106"/>
      <c r="B102" s="107"/>
      <c r="C102" s="107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</row>
    <row r="103" ht="17.25" customHeight="1">
      <c r="A103" s="106"/>
      <c r="B103" s="107"/>
      <c r="C103" s="107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</row>
    <row r="104" ht="17.25" customHeight="1">
      <c r="A104" s="106"/>
      <c r="B104" s="107"/>
      <c r="C104" s="107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</row>
    <row r="105" ht="17.25" customHeight="1">
      <c r="A105" s="106"/>
      <c r="B105" s="107"/>
      <c r="C105" s="107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</row>
    <row r="106" ht="17.25" customHeight="1">
      <c r="A106" s="106"/>
      <c r="B106" s="107"/>
      <c r="C106" s="107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</row>
    <row r="107" ht="17.25" customHeight="1">
      <c r="A107" s="106"/>
      <c r="B107" s="107"/>
      <c r="C107" s="107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</row>
    <row r="108" ht="17.25" customHeight="1">
      <c r="A108" s="106"/>
      <c r="B108" s="107"/>
      <c r="C108" s="107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</row>
    <row r="109" ht="17.25" customHeight="1">
      <c r="A109" s="106"/>
      <c r="B109" s="107"/>
      <c r="C109" s="107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</row>
    <row r="110" ht="17.25" customHeight="1">
      <c r="A110" s="106"/>
      <c r="B110" s="107"/>
      <c r="C110" s="107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</row>
    <row r="111" ht="17.25" customHeight="1">
      <c r="A111" s="106"/>
      <c r="B111" s="107"/>
      <c r="C111" s="107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</row>
    <row r="112" ht="17.25" customHeight="1">
      <c r="A112" s="106"/>
      <c r="B112" s="107"/>
      <c r="C112" s="107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</row>
    <row r="113" ht="17.25" customHeight="1">
      <c r="A113" s="106"/>
      <c r="B113" s="107"/>
      <c r="C113" s="107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</row>
    <row r="114" ht="17.25" customHeight="1">
      <c r="A114" s="106"/>
      <c r="B114" s="107"/>
      <c r="C114" s="107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ht="17.25" customHeight="1">
      <c r="A115" s="106"/>
      <c r="B115" s="107"/>
      <c r="C115" s="107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ht="17.25" customHeight="1">
      <c r="A116" s="106"/>
      <c r="B116" s="107"/>
      <c r="C116" s="107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ht="17.25" customHeight="1">
      <c r="A117" s="106"/>
      <c r="B117" s="107"/>
      <c r="C117" s="107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ht="17.25" customHeight="1">
      <c r="A118" s="106"/>
      <c r="B118" s="107"/>
      <c r="C118" s="107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</row>
    <row r="119" ht="17.25" customHeight="1">
      <c r="A119" s="106"/>
      <c r="B119" s="107"/>
      <c r="C119" s="107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</row>
    <row r="120" ht="17.25" customHeight="1">
      <c r="A120" s="106"/>
      <c r="B120" s="107"/>
      <c r="C120" s="107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</row>
    <row r="121" ht="17.25" customHeight="1">
      <c r="A121" s="106"/>
      <c r="B121" s="107"/>
      <c r="C121" s="107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</row>
    <row r="122" ht="17.25" customHeight="1">
      <c r="A122" s="106"/>
      <c r="B122" s="107"/>
      <c r="C122" s="107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</row>
    <row r="123" ht="17.25" customHeight="1">
      <c r="A123" s="106"/>
      <c r="B123" s="107"/>
      <c r="C123" s="107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</row>
    <row r="124" ht="17.25" customHeight="1">
      <c r="A124" s="106"/>
      <c r="B124" s="107"/>
      <c r="C124" s="107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</row>
    <row r="125" ht="17.25" customHeight="1">
      <c r="A125" s="106"/>
      <c r="B125" s="107"/>
      <c r="C125" s="107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</row>
    <row r="126" ht="17.25" customHeight="1">
      <c r="A126" s="106"/>
      <c r="B126" s="107"/>
      <c r="C126" s="107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</row>
    <row r="127" ht="17.25" customHeight="1">
      <c r="A127" s="106"/>
      <c r="B127" s="107"/>
      <c r="C127" s="107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</row>
    <row r="128" ht="17.25" customHeight="1">
      <c r="A128" s="106"/>
      <c r="B128" s="107"/>
      <c r="C128" s="107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</row>
    <row r="129" ht="17.25" customHeight="1">
      <c r="A129" s="106"/>
      <c r="B129" s="107"/>
      <c r="C129" s="107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</row>
    <row r="130" ht="17.25" customHeight="1">
      <c r="A130" s="106"/>
      <c r="B130" s="107"/>
      <c r="C130" s="107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</row>
    <row r="131" ht="17.25" customHeight="1">
      <c r="A131" s="106"/>
      <c r="B131" s="107"/>
      <c r="C131" s="107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</row>
    <row r="132" ht="17.25" customHeight="1">
      <c r="A132" s="106"/>
      <c r="B132" s="107"/>
      <c r="C132" s="107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</row>
    <row r="133" ht="17.25" customHeight="1">
      <c r="A133" s="106"/>
      <c r="B133" s="107"/>
      <c r="C133" s="107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</row>
    <row r="134" ht="17.25" customHeight="1">
      <c r="A134" s="106"/>
      <c r="B134" s="107"/>
      <c r="C134" s="107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</row>
    <row r="135" ht="17.25" customHeight="1">
      <c r="A135" s="106"/>
      <c r="B135" s="107"/>
      <c r="C135" s="107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</row>
    <row r="136" ht="17.25" customHeight="1">
      <c r="A136" s="106"/>
      <c r="B136" s="107"/>
      <c r="C136" s="107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</row>
    <row r="137" ht="17.25" customHeight="1">
      <c r="A137" s="106"/>
      <c r="B137" s="107"/>
      <c r="C137" s="107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</row>
    <row r="138" ht="17.25" customHeight="1">
      <c r="A138" s="106"/>
      <c r="B138" s="107"/>
      <c r="C138" s="107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</row>
    <row r="139" ht="17.25" customHeight="1">
      <c r="A139" s="106"/>
      <c r="B139" s="107"/>
      <c r="C139" s="107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</row>
    <row r="140" ht="17.25" customHeight="1">
      <c r="A140" s="106"/>
      <c r="B140" s="107"/>
      <c r="C140" s="107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</row>
    <row r="141" ht="17.25" customHeight="1">
      <c r="A141" s="106"/>
      <c r="B141" s="107"/>
      <c r="C141" s="107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</row>
    <row r="142" ht="17.25" customHeight="1">
      <c r="A142" s="106"/>
      <c r="B142" s="107"/>
      <c r="C142" s="107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</row>
    <row r="143" ht="17.25" customHeight="1">
      <c r="A143" s="106"/>
      <c r="B143" s="107"/>
      <c r="C143" s="107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</row>
    <row r="144" ht="17.25" customHeight="1">
      <c r="A144" s="106"/>
      <c r="B144" s="107"/>
      <c r="C144" s="107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</row>
    <row r="145" ht="17.25" customHeight="1">
      <c r="A145" s="106"/>
      <c r="B145" s="107"/>
      <c r="C145" s="107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</row>
    <row r="146" ht="17.25" customHeight="1">
      <c r="A146" s="106"/>
      <c r="B146" s="107"/>
      <c r="C146" s="107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</row>
    <row r="147" ht="17.25" customHeight="1">
      <c r="A147" s="106"/>
      <c r="B147" s="107"/>
      <c r="C147" s="107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</row>
    <row r="148" ht="17.25" customHeight="1">
      <c r="A148" s="106"/>
      <c r="B148" s="107"/>
      <c r="C148" s="107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</row>
    <row r="149" ht="17.25" customHeight="1">
      <c r="A149" s="106"/>
      <c r="B149" s="107"/>
      <c r="C149" s="107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</row>
    <row r="150" ht="17.25" customHeight="1">
      <c r="A150" s="106"/>
      <c r="B150" s="107"/>
      <c r="C150" s="107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</row>
    <row r="151" ht="17.25" customHeight="1">
      <c r="A151" s="106"/>
      <c r="B151" s="107"/>
      <c r="C151" s="107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ht="17.25" customHeight="1">
      <c r="A152" s="106"/>
      <c r="B152" s="107"/>
      <c r="C152" s="107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</row>
    <row r="153" ht="17.25" customHeight="1">
      <c r="A153" s="106"/>
      <c r="B153" s="107"/>
      <c r="C153" s="107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</row>
    <row r="154" ht="17.25" customHeight="1">
      <c r="A154" s="106"/>
      <c r="B154" s="107"/>
      <c r="C154" s="107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</row>
    <row r="155" ht="17.25" customHeight="1">
      <c r="A155" s="106"/>
      <c r="B155" s="107"/>
      <c r="C155" s="107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</row>
    <row r="156" ht="17.25" customHeight="1">
      <c r="A156" s="106"/>
      <c r="B156" s="107"/>
      <c r="C156" s="107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</row>
    <row r="157" ht="17.25" customHeight="1">
      <c r="A157" s="106"/>
      <c r="B157" s="107"/>
      <c r="C157" s="107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</row>
    <row r="158" ht="17.25" customHeight="1">
      <c r="A158" s="106"/>
      <c r="B158" s="107"/>
      <c r="C158" s="107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</row>
    <row r="159" ht="17.25" customHeight="1">
      <c r="A159" s="106"/>
      <c r="B159" s="107"/>
      <c r="C159" s="107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</row>
    <row r="160" ht="17.25" customHeight="1">
      <c r="A160" s="106"/>
      <c r="B160" s="107"/>
      <c r="C160" s="107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</row>
    <row r="161" ht="17.25" customHeight="1">
      <c r="A161" s="106"/>
      <c r="B161" s="107"/>
      <c r="C161" s="107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</row>
    <row r="162" ht="17.25" customHeight="1">
      <c r="A162" s="106"/>
      <c r="B162" s="107"/>
      <c r="C162" s="107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</row>
    <row r="163" ht="17.25" customHeight="1">
      <c r="A163" s="106"/>
      <c r="B163" s="107"/>
      <c r="C163" s="107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</row>
    <row r="164" ht="17.25" customHeight="1">
      <c r="A164" s="106"/>
      <c r="B164" s="107"/>
      <c r="C164" s="107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</row>
    <row r="165" ht="17.25" customHeight="1">
      <c r="A165" s="106"/>
      <c r="B165" s="107"/>
      <c r="C165" s="107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</row>
    <row r="166" ht="17.25" customHeight="1">
      <c r="A166" s="106"/>
      <c r="B166" s="107"/>
      <c r="C166" s="107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</row>
    <row r="167" ht="17.25" customHeight="1">
      <c r="A167" s="106"/>
      <c r="B167" s="107"/>
      <c r="C167" s="107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</row>
    <row r="168" ht="17.25" customHeight="1">
      <c r="A168" s="106"/>
      <c r="B168" s="107"/>
      <c r="C168" s="107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</row>
    <row r="169" ht="17.25" customHeight="1">
      <c r="A169" s="106"/>
      <c r="B169" s="107"/>
      <c r="C169" s="107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</row>
    <row r="170" ht="17.25" customHeight="1">
      <c r="A170" s="106"/>
      <c r="B170" s="107"/>
      <c r="C170" s="107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</row>
    <row r="171" ht="17.25" customHeight="1">
      <c r="A171" s="106"/>
      <c r="B171" s="107"/>
      <c r="C171" s="107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</row>
    <row r="172" ht="17.25" customHeight="1">
      <c r="A172" s="106"/>
      <c r="B172" s="107"/>
      <c r="C172" s="107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</row>
    <row r="173" ht="17.25" customHeight="1">
      <c r="A173" s="106"/>
      <c r="B173" s="107"/>
      <c r="C173" s="107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</row>
    <row r="174" ht="17.25" customHeight="1">
      <c r="A174" s="106"/>
      <c r="B174" s="107"/>
      <c r="C174" s="107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</row>
    <row r="175" ht="17.25" customHeight="1">
      <c r="A175" s="106"/>
      <c r="B175" s="107"/>
      <c r="C175" s="107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</row>
    <row r="176" ht="17.25" customHeight="1">
      <c r="A176" s="106"/>
      <c r="B176" s="107"/>
      <c r="C176" s="107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</row>
    <row r="177" ht="17.25" customHeight="1">
      <c r="A177" s="106"/>
      <c r="B177" s="107"/>
      <c r="C177" s="107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</row>
    <row r="178" ht="17.25" customHeight="1">
      <c r="A178" s="106"/>
      <c r="B178" s="107"/>
      <c r="C178" s="107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</row>
    <row r="179" ht="17.25" customHeight="1">
      <c r="A179" s="106"/>
      <c r="B179" s="107"/>
      <c r="C179" s="107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</row>
    <row r="180" ht="17.25" customHeight="1">
      <c r="A180" s="106"/>
      <c r="B180" s="107"/>
      <c r="C180" s="107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</row>
    <row r="181" ht="17.25" customHeight="1">
      <c r="A181" s="106"/>
      <c r="B181" s="107"/>
      <c r="C181" s="107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</row>
    <row r="182" ht="17.25" customHeight="1">
      <c r="A182" s="106"/>
      <c r="B182" s="107"/>
      <c r="C182" s="107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</row>
    <row r="183" ht="17.25" customHeight="1">
      <c r="A183" s="106"/>
      <c r="B183" s="107"/>
      <c r="C183" s="107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</row>
    <row r="184" ht="17.25" customHeight="1">
      <c r="A184" s="106"/>
      <c r="B184" s="107"/>
      <c r="C184" s="107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</row>
    <row r="185" ht="17.25" customHeight="1">
      <c r="A185" s="106"/>
      <c r="B185" s="107"/>
      <c r="C185" s="107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</row>
    <row r="186" ht="17.25" customHeight="1">
      <c r="A186" s="106"/>
      <c r="B186" s="107"/>
      <c r="C186" s="107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</row>
    <row r="187" ht="17.25" customHeight="1">
      <c r="A187" s="106"/>
      <c r="B187" s="107"/>
      <c r="C187" s="107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</row>
    <row r="188" ht="17.25" customHeight="1">
      <c r="A188" s="106"/>
      <c r="B188" s="107"/>
      <c r="C188" s="107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</row>
    <row r="189" ht="17.25" customHeight="1">
      <c r="A189" s="106"/>
      <c r="B189" s="107"/>
      <c r="C189" s="107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</row>
    <row r="190" ht="17.25" customHeight="1">
      <c r="A190" s="106"/>
      <c r="B190" s="107"/>
      <c r="C190" s="107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</row>
    <row r="191" ht="17.25" customHeight="1">
      <c r="A191" s="106"/>
      <c r="B191" s="107"/>
      <c r="C191" s="107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</row>
    <row r="192" ht="17.25" customHeight="1">
      <c r="A192" s="106"/>
      <c r="B192" s="107"/>
      <c r="C192" s="107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</row>
    <row r="193" ht="17.25" customHeight="1">
      <c r="A193" s="106"/>
      <c r="B193" s="107"/>
      <c r="C193" s="107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</row>
    <row r="194" ht="17.25" customHeight="1">
      <c r="A194" s="106"/>
      <c r="B194" s="107"/>
      <c r="C194" s="107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</row>
    <row r="195" ht="17.25" customHeight="1">
      <c r="A195" s="106"/>
      <c r="B195" s="107"/>
      <c r="C195" s="107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</row>
    <row r="196" ht="17.25" customHeight="1">
      <c r="A196" s="106"/>
      <c r="B196" s="107"/>
      <c r="C196" s="107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</row>
    <row r="197" ht="17.25" customHeight="1">
      <c r="A197" s="106"/>
      <c r="B197" s="107"/>
      <c r="C197" s="107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</row>
    <row r="198" ht="17.25" customHeight="1">
      <c r="A198" s="106"/>
      <c r="B198" s="107"/>
      <c r="C198" s="107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</row>
    <row r="199" ht="17.25" customHeight="1">
      <c r="A199" s="106"/>
      <c r="B199" s="107"/>
      <c r="C199" s="107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</row>
    <row r="200" ht="17.25" customHeight="1">
      <c r="A200" s="106"/>
      <c r="B200" s="107"/>
      <c r="C200" s="107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</row>
    <row r="201" ht="17.25" customHeight="1">
      <c r="A201" s="106"/>
      <c r="B201" s="107"/>
      <c r="C201" s="107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</row>
    <row r="202" ht="17.25" customHeight="1">
      <c r="A202" s="106"/>
      <c r="B202" s="107"/>
      <c r="C202" s="107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</row>
    <row r="203" ht="17.25" customHeight="1">
      <c r="A203" s="106"/>
      <c r="B203" s="107"/>
      <c r="C203" s="107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</row>
    <row r="204" ht="17.25" customHeight="1">
      <c r="A204" s="106"/>
      <c r="B204" s="107"/>
      <c r="C204" s="107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</row>
    <row r="205" ht="17.25" customHeight="1">
      <c r="A205" s="106"/>
      <c r="B205" s="107"/>
      <c r="C205" s="107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</row>
    <row r="206" ht="17.25" customHeight="1">
      <c r="A206" s="106"/>
      <c r="B206" s="107"/>
      <c r="C206" s="107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</row>
    <row r="207" ht="17.25" customHeight="1">
      <c r="A207" s="106"/>
      <c r="B207" s="107"/>
      <c r="C207" s="107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</row>
    <row r="208" ht="17.25" customHeight="1">
      <c r="A208" s="106"/>
      <c r="B208" s="107"/>
      <c r="C208" s="107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</row>
    <row r="209" ht="17.25" customHeight="1">
      <c r="A209" s="106"/>
      <c r="B209" s="107"/>
      <c r="C209" s="107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</row>
    <row r="210" ht="17.25" customHeight="1">
      <c r="A210" s="106"/>
      <c r="B210" s="107"/>
      <c r="C210" s="107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</row>
    <row r="211" ht="17.25" customHeight="1">
      <c r="A211" s="106"/>
      <c r="B211" s="107"/>
      <c r="C211" s="107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</row>
    <row r="212" ht="17.25" customHeight="1">
      <c r="A212" s="106"/>
      <c r="B212" s="107"/>
      <c r="C212" s="107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</row>
    <row r="213" ht="17.25" customHeight="1">
      <c r="A213" s="106"/>
      <c r="B213" s="107"/>
      <c r="C213" s="107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</row>
    <row r="214" ht="17.25" customHeight="1">
      <c r="A214" s="106"/>
      <c r="B214" s="107"/>
      <c r="C214" s="107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</row>
    <row r="215" ht="17.25" customHeight="1">
      <c r="A215" s="106"/>
      <c r="B215" s="107"/>
      <c r="C215" s="107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</row>
    <row r="216" ht="17.25" customHeight="1">
      <c r="A216" s="106"/>
      <c r="B216" s="107"/>
      <c r="C216" s="107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</row>
    <row r="217" ht="17.25" customHeight="1">
      <c r="A217" s="106"/>
      <c r="B217" s="107"/>
      <c r="C217" s="107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</row>
    <row r="218" ht="17.25" customHeight="1">
      <c r="A218" s="106"/>
      <c r="B218" s="107"/>
      <c r="C218" s="107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</row>
    <row r="219" ht="17.25" customHeight="1">
      <c r="A219" s="106"/>
      <c r="B219" s="107"/>
      <c r="C219" s="107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</row>
    <row r="220" ht="17.25" customHeight="1">
      <c r="A220" s="106"/>
      <c r="B220" s="107"/>
      <c r="C220" s="107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</row>
    <row r="221" ht="17.25" customHeight="1">
      <c r="A221" s="106"/>
      <c r="B221" s="107"/>
      <c r="C221" s="107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</row>
    <row r="222" ht="17.25" customHeight="1">
      <c r="A222" s="106"/>
      <c r="B222" s="107"/>
      <c r="C222" s="107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</row>
    <row r="223" ht="17.25" customHeight="1">
      <c r="A223" s="106"/>
      <c r="B223" s="107"/>
      <c r="C223" s="107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</row>
    <row r="224" ht="17.25" customHeight="1">
      <c r="A224" s="106"/>
      <c r="B224" s="107"/>
      <c r="C224" s="107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</row>
    <row r="225" ht="17.25" customHeight="1">
      <c r="A225" s="106"/>
      <c r="B225" s="107"/>
      <c r="C225" s="107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</row>
    <row r="226" ht="17.25" customHeight="1">
      <c r="A226" s="106"/>
      <c r="B226" s="107"/>
      <c r="C226" s="107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</row>
    <row r="227" ht="17.25" customHeight="1">
      <c r="A227" s="106"/>
      <c r="B227" s="107"/>
      <c r="C227" s="107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</row>
    <row r="228" ht="17.25" customHeight="1">
      <c r="A228" s="106"/>
      <c r="B228" s="107"/>
      <c r="C228" s="107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</row>
    <row r="229" ht="17.25" customHeight="1">
      <c r="A229" s="106"/>
      <c r="B229" s="107"/>
      <c r="C229" s="107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</row>
    <row r="230" ht="17.25" customHeight="1">
      <c r="A230" s="106"/>
      <c r="B230" s="107"/>
      <c r="C230" s="107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</row>
    <row r="231" ht="17.25" customHeight="1">
      <c r="A231" s="106"/>
      <c r="B231" s="107"/>
      <c r="C231" s="107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ht="17.25" customHeight="1">
      <c r="A232" s="106"/>
      <c r="B232" s="107"/>
      <c r="C232" s="107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ht="17.25" customHeight="1">
      <c r="A233" s="106"/>
      <c r="B233" s="107"/>
      <c r="C233" s="107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ht="17.25" customHeight="1">
      <c r="A234" s="106"/>
      <c r="B234" s="107"/>
      <c r="C234" s="107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ht="17.25" customHeight="1">
      <c r="A235" s="106"/>
      <c r="B235" s="107"/>
      <c r="C235" s="107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ht="17.25" customHeight="1">
      <c r="A236" s="106"/>
      <c r="B236" s="107"/>
      <c r="C236" s="107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ht="17.25" customHeight="1">
      <c r="A237" s="106"/>
      <c r="B237" s="107"/>
      <c r="C237" s="107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ht="17.25" customHeight="1">
      <c r="A238" s="106"/>
      <c r="B238" s="107"/>
      <c r="C238" s="107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ht="17.25" customHeight="1">
      <c r="A239" s="106"/>
      <c r="B239" s="107"/>
      <c r="C239" s="107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ht="17.25" customHeight="1">
      <c r="A240" s="106"/>
      <c r="B240" s="107"/>
      <c r="C240" s="107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ht="17.25" customHeight="1">
      <c r="A241" s="106"/>
      <c r="B241" s="107"/>
      <c r="C241" s="107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ht="17.25" customHeight="1">
      <c r="A242" s="106"/>
      <c r="B242" s="107"/>
      <c r="C242" s="107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ht="17.25" customHeight="1">
      <c r="A243" s="106"/>
      <c r="B243" s="107"/>
      <c r="C243" s="107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ht="17.25" customHeight="1">
      <c r="A244" s="106"/>
      <c r="B244" s="107"/>
      <c r="C244" s="107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ht="17.25" customHeight="1">
      <c r="A245" s="106"/>
      <c r="B245" s="107"/>
      <c r="C245" s="107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ht="17.25" customHeight="1">
      <c r="A246" s="106"/>
      <c r="B246" s="107"/>
      <c r="C246" s="107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ht="17.25" customHeight="1">
      <c r="A247" s="106"/>
      <c r="B247" s="107"/>
      <c r="C247" s="107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ht="17.25" customHeight="1">
      <c r="A248" s="106"/>
      <c r="B248" s="107"/>
      <c r="C248" s="107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ht="17.25" customHeight="1">
      <c r="A249" s="106"/>
      <c r="B249" s="107"/>
      <c r="C249" s="107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ht="17.25" customHeight="1">
      <c r="A250" s="106"/>
      <c r="B250" s="107"/>
      <c r="C250" s="107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ht="17.25" customHeight="1">
      <c r="A251" s="106"/>
      <c r="B251" s="107"/>
      <c r="C251" s="107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ht="17.25" customHeight="1">
      <c r="A252" s="106"/>
      <c r="B252" s="107"/>
      <c r="C252" s="107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ht="17.25" customHeight="1">
      <c r="A253" s="106"/>
      <c r="B253" s="107"/>
      <c r="C253" s="107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ht="17.25" customHeight="1">
      <c r="A254" s="106"/>
      <c r="B254" s="107"/>
      <c r="C254" s="107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ht="17.25" customHeight="1">
      <c r="A255" s="106"/>
      <c r="B255" s="107"/>
      <c r="C255" s="107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ht="17.25" customHeight="1">
      <c r="A256" s="106"/>
      <c r="B256" s="107"/>
      <c r="C256" s="107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ht="17.25" customHeight="1">
      <c r="A257" s="106"/>
      <c r="B257" s="107"/>
      <c r="C257" s="107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ht="17.25" customHeight="1">
      <c r="A258" s="106"/>
      <c r="B258" s="107"/>
      <c r="C258" s="107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ht="17.25" customHeight="1">
      <c r="A259" s="106"/>
      <c r="B259" s="107"/>
      <c r="C259" s="107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ht="17.25" customHeight="1">
      <c r="A260" s="106"/>
      <c r="B260" s="107"/>
      <c r="C260" s="107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ht="17.25" customHeight="1">
      <c r="A261" s="106"/>
      <c r="B261" s="107"/>
      <c r="C261" s="107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ht="17.25" customHeight="1">
      <c r="A262" s="106"/>
      <c r="B262" s="107"/>
      <c r="C262" s="107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ht="17.25" customHeight="1">
      <c r="A263" s="106"/>
      <c r="B263" s="107"/>
      <c r="C263" s="107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ht="17.25" customHeight="1">
      <c r="A264" s="106"/>
      <c r="B264" s="107"/>
      <c r="C264" s="107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ht="17.25" customHeight="1">
      <c r="A265" s="106"/>
      <c r="B265" s="107"/>
      <c r="C265" s="107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ht="17.25" customHeight="1">
      <c r="A266" s="106"/>
      <c r="B266" s="107"/>
      <c r="C266" s="107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ht="17.25" customHeight="1">
      <c r="A267" s="106"/>
      <c r="B267" s="107"/>
      <c r="C267" s="107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  <row r="268" ht="17.25" customHeight="1">
      <c r="A268" s="106"/>
      <c r="B268" s="107"/>
      <c r="C268" s="107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</row>
    <row r="269" ht="17.25" customHeight="1">
      <c r="A269" s="106"/>
      <c r="B269" s="107"/>
      <c r="C269" s="107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</row>
    <row r="270" ht="17.25" customHeight="1">
      <c r="A270" s="106"/>
      <c r="B270" s="107"/>
      <c r="C270" s="107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</row>
    <row r="271" ht="17.25" customHeight="1">
      <c r="A271" s="106"/>
      <c r="B271" s="107"/>
      <c r="C271" s="107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</row>
    <row r="272" ht="17.25" customHeight="1">
      <c r="A272" s="106"/>
      <c r="B272" s="107"/>
      <c r="C272" s="107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</row>
    <row r="273" ht="17.25" customHeight="1">
      <c r="A273" s="106"/>
      <c r="B273" s="107"/>
      <c r="C273" s="107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</row>
    <row r="274" ht="17.25" customHeight="1">
      <c r="A274" s="106"/>
      <c r="B274" s="107"/>
      <c r="C274" s="107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</row>
    <row r="275" ht="17.25" customHeight="1">
      <c r="A275" s="106"/>
      <c r="B275" s="107"/>
      <c r="C275" s="107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</row>
    <row r="276" ht="17.25" customHeight="1">
      <c r="A276" s="106"/>
      <c r="B276" s="107"/>
      <c r="C276" s="107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</row>
    <row r="277" ht="17.25" customHeight="1">
      <c r="A277" s="106"/>
      <c r="B277" s="107"/>
      <c r="C277" s="107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</row>
    <row r="278" ht="17.25" customHeight="1">
      <c r="A278" s="106"/>
      <c r="B278" s="107"/>
      <c r="C278" s="107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</row>
    <row r="279" ht="17.25" customHeight="1">
      <c r="A279" s="106"/>
      <c r="B279" s="107"/>
      <c r="C279" s="107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</row>
    <row r="280" ht="17.25" customHeight="1">
      <c r="A280" s="106"/>
      <c r="B280" s="107"/>
      <c r="C280" s="107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</row>
    <row r="281" ht="17.25" customHeight="1">
      <c r="A281" s="106"/>
      <c r="B281" s="107"/>
      <c r="C281" s="107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</row>
    <row r="282" ht="17.25" customHeight="1">
      <c r="A282" s="106"/>
      <c r="B282" s="107"/>
      <c r="C282" s="107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</row>
    <row r="283" ht="17.25" customHeight="1">
      <c r="A283" s="106"/>
      <c r="B283" s="107"/>
      <c r="C283" s="107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</row>
    <row r="284" ht="17.25" customHeight="1">
      <c r="A284" s="106"/>
      <c r="B284" s="107"/>
      <c r="C284" s="107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</row>
    <row r="285" ht="17.25" customHeight="1">
      <c r="A285" s="106"/>
      <c r="B285" s="107"/>
      <c r="C285" s="107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</row>
    <row r="286" ht="17.25" customHeight="1">
      <c r="A286" s="106"/>
      <c r="B286" s="107"/>
      <c r="C286" s="107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</row>
    <row r="287" ht="17.25" customHeight="1">
      <c r="A287" s="106"/>
      <c r="B287" s="107"/>
      <c r="C287" s="107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</row>
    <row r="288" ht="17.25" customHeight="1">
      <c r="A288" s="106"/>
      <c r="B288" s="107"/>
      <c r="C288" s="107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</row>
    <row r="289" ht="17.25" customHeight="1">
      <c r="A289" s="106"/>
      <c r="B289" s="107"/>
      <c r="C289" s="107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</row>
    <row r="290" ht="17.25" customHeight="1">
      <c r="A290" s="106"/>
      <c r="B290" s="107"/>
      <c r="C290" s="107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</row>
    <row r="291" ht="17.25" customHeight="1">
      <c r="A291" s="106"/>
      <c r="B291" s="107"/>
      <c r="C291" s="107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</row>
    <row r="292" ht="17.25" customHeight="1">
      <c r="A292" s="106"/>
      <c r="B292" s="107"/>
      <c r="C292" s="107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</row>
    <row r="293" ht="17.25" customHeight="1">
      <c r="A293" s="106"/>
      <c r="B293" s="107"/>
      <c r="C293" s="107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</row>
    <row r="294" ht="17.25" customHeight="1">
      <c r="A294" s="106"/>
      <c r="B294" s="107"/>
      <c r="C294" s="107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</row>
    <row r="295" ht="17.25" customHeight="1">
      <c r="A295" s="106"/>
      <c r="B295" s="107"/>
      <c r="C295" s="107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</row>
    <row r="296" ht="17.25" customHeight="1">
      <c r="A296" s="106"/>
      <c r="B296" s="107"/>
      <c r="C296" s="107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</row>
    <row r="297" ht="17.25" customHeight="1">
      <c r="A297" s="106"/>
      <c r="B297" s="107"/>
      <c r="C297" s="107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</row>
    <row r="298" ht="17.25" customHeight="1">
      <c r="A298" s="106"/>
      <c r="B298" s="107"/>
      <c r="C298" s="107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</row>
    <row r="299" ht="17.25" customHeight="1">
      <c r="A299" s="106"/>
      <c r="B299" s="107"/>
      <c r="C299" s="107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</row>
    <row r="300" ht="17.25" customHeight="1">
      <c r="A300" s="106"/>
      <c r="B300" s="107"/>
      <c r="C300" s="107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</row>
    <row r="301" ht="17.25" customHeight="1">
      <c r="A301" s="106"/>
      <c r="B301" s="107"/>
      <c r="C301" s="107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</row>
    <row r="302" ht="17.25" customHeight="1">
      <c r="A302" s="106"/>
      <c r="B302" s="107"/>
      <c r="C302" s="107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</row>
    <row r="303" ht="17.25" customHeight="1">
      <c r="A303" s="106"/>
      <c r="B303" s="107"/>
      <c r="C303" s="107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</row>
    <row r="304" ht="17.25" customHeight="1">
      <c r="A304" s="106"/>
      <c r="B304" s="107"/>
      <c r="C304" s="107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</row>
    <row r="305" ht="17.25" customHeight="1">
      <c r="A305" s="106"/>
      <c r="B305" s="107"/>
      <c r="C305" s="107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</row>
    <row r="306" ht="17.25" customHeight="1">
      <c r="A306" s="106"/>
      <c r="B306" s="107"/>
      <c r="C306" s="107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</row>
    <row r="307" ht="17.25" customHeight="1">
      <c r="A307" s="106"/>
      <c r="B307" s="107"/>
      <c r="C307" s="107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</row>
    <row r="308" ht="17.25" customHeight="1">
      <c r="A308" s="106"/>
      <c r="B308" s="107"/>
      <c r="C308" s="107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</row>
    <row r="309" ht="17.25" customHeight="1">
      <c r="A309" s="106"/>
      <c r="B309" s="107"/>
      <c r="C309" s="107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</row>
    <row r="310" ht="17.25" customHeight="1">
      <c r="A310" s="106"/>
      <c r="B310" s="107"/>
      <c r="C310" s="107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</row>
    <row r="311" ht="17.25" customHeight="1">
      <c r="A311" s="106"/>
      <c r="B311" s="107"/>
      <c r="C311" s="107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</row>
    <row r="312" ht="17.25" customHeight="1">
      <c r="A312" s="106"/>
      <c r="B312" s="107"/>
      <c r="C312" s="107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</row>
    <row r="313" ht="17.25" customHeight="1">
      <c r="A313" s="106"/>
      <c r="B313" s="107"/>
      <c r="C313" s="107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</row>
    <row r="314" ht="17.25" customHeight="1">
      <c r="A314" s="106"/>
      <c r="B314" s="107"/>
      <c r="C314" s="107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</row>
    <row r="315" ht="17.25" customHeight="1">
      <c r="A315" s="106"/>
      <c r="B315" s="107"/>
      <c r="C315" s="107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</row>
    <row r="316" ht="17.25" customHeight="1">
      <c r="A316" s="106"/>
      <c r="B316" s="107"/>
      <c r="C316" s="107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</row>
    <row r="317" ht="17.25" customHeight="1">
      <c r="A317" s="106"/>
      <c r="B317" s="107"/>
      <c r="C317" s="107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</row>
    <row r="318" ht="17.25" customHeight="1">
      <c r="A318" s="106"/>
      <c r="B318" s="107"/>
      <c r="C318" s="107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</row>
    <row r="319" ht="17.25" customHeight="1">
      <c r="A319" s="106"/>
      <c r="B319" s="107"/>
      <c r="C319" s="107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</row>
    <row r="320" ht="17.25" customHeight="1">
      <c r="A320" s="106"/>
      <c r="B320" s="107"/>
      <c r="C320" s="107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</row>
    <row r="321" ht="17.25" customHeight="1">
      <c r="A321" s="106"/>
      <c r="B321" s="107"/>
      <c r="C321" s="107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</row>
    <row r="322" ht="17.25" customHeight="1">
      <c r="A322" s="106"/>
      <c r="B322" s="107"/>
      <c r="C322" s="107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</row>
    <row r="323" ht="17.25" customHeight="1">
      <c r="A323" s="106"/>
      <c r="B323" s="107"/>
      <c r="C323" s="107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</row>
    <row r="324" ht="17.25" customHeight="1">
      <c r="A324" s="106"/>
      <c r="B324" s="107"/>
      <c r="C324" s="107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</row>
    <row r="325" ht="17.25" customHeight="1">
      <c r="A325" s="106"/>
      <c r="B325" s="107"/>
      <c r="C325" s="107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</row>
    <row r="326" ht="17.25" customHeight="1">
      <c r="A326" s="106"/>
      <c r="B326" s="107"/>
      <c r="C326" s="107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</row>
    <row r="327" ht="17.25" customHeight="1">
      <c r="A327" s="106"/>
      <c r="B327" s="107"/>
      <c r="C327" s="107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</row>
    <row r="328" ht="17.25" customHeight="1">
      <c r="A328" s="106"/>
      <c r="B328" s="107"/>
      <c r="C328" s="107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</row>
    <row r="329" ht="17.25" customHeight="1">
      <c r="A329" s="106"/>
      <c r="B329" s="107"/>
      <c r="C329" s="107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</row>
    <row r="330" ht="17.25" customHeight="1">
      <c r="A330" s="106"/>
      <c r="B330" s="107"/>
      <c r="C330" s="107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</row>
    <row r="331" ht="17.25" customHeight="1">
      <c r="A331" s="106"/>
      <c r="B331" s="107"/>
      <c r="C331" s="107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</row>
    <row r="332" ht="17.25" customHeight="1">
      <c r="A332" s="106"/>
      <c r="B332" s="107"/>
      <c r="C332" s="107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</row>
    <row r="333" ht="17.25" customHeight="1">
      <c r="A333" s="106"/>
      <c r="B333" s="107"/>
      <c r="C333" s="107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</row>
    <row r="334" ht="17.25" customHeight="1">
      <c r="A334" s="106"/>
      <c r="B334" s="107"/>
      <c r="C334" s="107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</row>
    <row r="335" ht="17.25" customHeight="1">
      <c r="A335" s="106"/>
      <c r="B335" s="107"/>
      <c r="C335" s="107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</row>
    <row r="336" ht="17.25" customHeight="1">
      <c r="A336" s="106"/>
      <c r="B336" s="107"/>
      <c r="C336" s="107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</row>
    <row r="337" ht="17.25" customHeight="1">
      <c r="A337" s="106"/>
      <c r="B337" s="107"/>
      <c r="C337" s="107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</row>
    <row r="338" ht="17.25" customHeight="1">
      <c r="A338" s="106"/>
      <c r="B338" s="107"/>
      <c r="C338" s="107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</row>
    <row r="339" ht="17.25" customHeight="1">
      <c r="A339" s="106"/>
      <c r="B339" s="107"/>
      <c r="C339" s="107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</row>
    <row r="340" ht="17.25" customHeight="1">
      <c r="A340" s="106"/>
      <c r="B340" s="107"/>
      <c r="C340" s="107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</row>
    <row r="341" ht="17.25" customHeight="1">
      <c r="A341" s="106"/>
      <c r="B341" s="107"/>
      <c r="C341" s="107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</row>
    <row r="342" ht="17.25" customHeight="1">
      <c r="A342" s="106"/>
      <c r="B342" s="107"/>
      <c r="C342" s="107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</row>
    <row r="343" ht="17.25" customHeight="1">
      <c r="A343" s="106"/>
      <c r="B343" s="107"/>
      <c r="C343" s="107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</row>
    <row r="344" ht="17.25" customHeight="1">
      <c r="A344" s="106"/>
      <c r="B344" s="107"/>
      <c r="C344" s="107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</row>
    <row r="345" ht="17.25" customHeight="1">
      <c r="A345" s="106"/>
      <c r="B345" s="107"/>
      <c r="C345" s="107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</row>
    <row r="346" ht="17.25" customHeight="1">
      <c r="A346" s="106"/>
      <c r="B346" s="107"/>
      <c r="C346" s="107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</row>
    <row r="347" ht="17.25" customHeight="1">
      <c r="A347" s="106"/>
      <c r="B347" s="107"/>
      <c r="C347" s="107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</row>
    <row r="348" ht="17.25" customHeight="1">
      <c r="A348" s="106"/>
      <c r="B348" s="107"/>
      <c r="C348" s="107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</row>
    <row r="349" ht="17.25" customHeight="1">
      <c r="A349" s="106"/>
      <c r="B349" s="107"/>
      <c r="C349" s="107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</row>
    <row r="350" ht="17.25" customHeight="1">
      <c r="A350" s="106"/>
      <c r="B350" s="107"/>
      <c r="C350" s="107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</row>
    <row r="351" ht="17.25" customHeight="1">
      <c r="A351" s="106"/>
      <c r="B351" s="107"/>
      <c r="C351" s="107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</row>
    <row r="352" ht="17.25" customHeight="1">
      <c r="A352" s="106"/>
      <c r="B352" s="107"/>
      <c r="C352" s="107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</row>
    <row r="353" ht="17.25" customHeight="1">
      <c r="A353" s="106"/>
      <c r="B353" s="107"/>
      <c r="C353" s="107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</row>
    <row r="354" ht="17.25" customHeight="1">
      <c r="A354" s="106"/>
      <c r="B354" s="107"/>
      <c r="C354" s="107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</row>
    <row r="355" ht="17.25" customHeight="1">
      <c r="A355" s="106"/>
      <c r="B355" s="107"/>
      <c r="C355" s="107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</row>
    <row r="356" ht="17.25" customHeight="1">
      <c r="A356" s="106"/>
      <c r="B356" s="107"/>
      <c r="C356" s="107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</row>
    <row r="357" ht="17.25" customHeight="1">
      <c r="A357" s="106"/>
      <c r="B357" s="107"/>
      <c r="C357" s="107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</row>
    <row r="358" ht="17.25" customHeight="1">
      <c r="A358" s="106"/>
      <c r="B358" s="107"/>
      <c r="C358" s="107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</row>
    <row r="359" ht="17.25" customHeight="1">
      <c r="A359" s="106"/>
      <c r="B359" s="107"/>
      <c r="C359" s="107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</row>
    <row r="360" ht="17.25" customHeight="1">
      <c r="A360" s="106"/>
      <c r="B360" s="107"/>
      <c r="C360" s="107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</row>
    <row r="361" ht="17.25" customHeight="1">
      <c r="A361" s="106"/>
      <c r="B361" s="107"/>
      <c r="C361" s="107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</row>
    <row r="362" ht="17.25" customHeight="1">
      <c r="A362" s="106"/>
      <c r="B362" s="107"/>
      <c r="C362" s="107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</row>
    <row r="363" ht="17.25" customHeight="1">
      <c r="A363" s="106"/>
      <c r="B363" s="107"/>
      <c r="C363" s="107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</row>
    <row r="364" ht="17.25" customHeight="1">
      <c r="A364" s="106"/>
      <c r="B364" s="107"/>
      <c r="C364" s="107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</row>
    <row r="365" ht="17.25" customHeight="1">
      <c r="A365" s="106"/>
      <c r="B365" s="107"/>
      <c r="C365" s="107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</row>
    <row r="366" ht="17.25" customHeight="1">
      <c r="A366" s="106"/>
      <c r="B366" s="107"/>
      <c r="C366" s="107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</row>
    <row r="367" ht="17.25" customHeight="1">
      <c r="A367" s="106"/>
      <c r="B367" s="107"/>
      <c r="C367" s="107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</row>
    <row r="368" ht="17.25" customHeight="1">
      <c r="A368" s="106"/>
      <c r="B368" s="107"/>
      <c r="C368" s="107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</row>
    <row r="369" ht="17.25" customHeight="1">
      <c r="A369" s="106"/>
      <c r="B369" s="107"/>
      <c r="C369" s="107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</row>
    <row r="370" ht="17.25" customHeight="1">
      <c r="A370" s="106"/>
      <c r="B370" s="107"/>
      <c r="C370" s="107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</row>
    <row r="371" ht="17.25" customHeight="1">
      <c r="A371" s="106"/>
      <c r="B371" s="107"/>
      <c r="C371" s="107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</row>
    <row r="372" ht="17.25" customHeight="1">
      <c r="A372" s="106"/>
      <c r="B372" s="107"/>
      <c r="C372" s="107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</row>
    <row r="373" ht="17.25" customHeight="1">
      <c r="A373" s="106"/>
      <c r="B373" s="107"/>
      <c r="C373" s="107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</row>
    <row r="374" ht="17.25" customHeight="1">
      <c r="A374" s="106"/>
      <c r="B374" s="107"/>
      <c r="C374" s="107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</row>
    <row r="375" ht="17.25" customHeight="1">
      <c r="A375" s="106"/>
      <c r="B375" s="107"/>
      <c r="C375" s="107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</row>
    <row r="376" ht="17.25" customHeight="1">
      <c r="A376" s="106"/>
      <c r="B376" s="107"/>
      <c r="C376" s="107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</row>
    <row r="377" ht="17.25" customHeight="1">
      <c r="A377" s="106"/>
      <c r="B377" s="107"/>
      <c r="C377" s="107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</row>
    <row r="378" ht="17.25" customHeight="1">
      <c r="A378" s="106"/>
      <c r="B378" s="107"/>
      <c r="C378" s="107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</row>
    <row r="379" ht="17.25" customHeight="1">
      <c r="A379" s="106"/>
      <c r="B379" s="107"/>
      <c r="C379" s="107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</row>
    <row r="380" ht="17.25" customHeight="1">
      <c r="A380" s="106"/>
      <c r="B380" s="107"/>
      <c r="C380" s="107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</row>
    <row r="381" ht="17.25" customHeight="1">
      <c r="A381" s="106"/>
      <c r="B381" s="107"/>
      <c r="C381" s="107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</row>
    <row r="382" ht="17.25" customHeight="1">
      <c r="A382" s="106"/>
      <c r="B382" s="107"/>
      <c r="C382" s="107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</row>
    <row r="383" ht="17.25" customHeight="1">
      <c r="A383" s="106"/>
      <c r="B383" s="107"/>
      <c r="C383" s="107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</row>
    <row r="384" ht="17.25" customHeight="1">
      <c r="A384" s="106"/>
      <c r="B384" s="107"/>
      <c r="C384" s="107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</row>
    <row r="385" ht="17.25" customHeight="1">
      <c r="A385" s="106"/>
      <c r="B385" s="107"/>
      <c r="C385" s="107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</row>
    <row r="386" ht="17.25" customHeight="1">
      <c r="A386" s="106"/>
      <c r="B386" s="107"/>
      <c r="C386" s="107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</row>
    <row r="387" ht="17.25" customHeight="1">
      <c r="A387" s="106"/>
      <c r="B387" s="107"/>
      <c r="C387" s="107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</row>
    <row r="388" ht="17.25" customHeight="1">
      <c r="A388" s="106"/>
      <c r="B388" s="107"/>
      <c r="C388" s="107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</row>
    <row r="389" ht="17.25" customHeight="1">
      <c r="A389" s="106"/>
      <c r="B389" s="107"/>
      <c r="C389" s="107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</row>
    <row r="390" ht="17.25" customHeight="1">
      <c r="A390" s="106"/>
      <c r="B390" s="107"/>
      <c r="C390" s="107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</row>
    <row r="391" ht="17.25" customHeight="1">
      <c r="A391" s="106"/>
      <c r="B391" s="107"/>
      <c r="C391" s="107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</row>
    <row r="392" ht="17.25" customHeight="1">
      <c r="A392" s="106"/>
      <c r="B392" s="107"/>
      <c r="C392" s="107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</row>
    <row r="393" ht="17.25" customHeight="1">
      <c r="A393" s="106"/>
      <c r="B393" s="107"/>
      <c r="C393" s="107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</row>
    <row r="394" ht="17.25" customHeight="1">
      <c r="A394" s="106"/>
      <c r="B394" s="107"/>
      <c r="C394" s="107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</row>
    <row r="395" ht="17.25" customHeight="1">
      <c r="A395" s="106"/>
      <c r="B395" s="107"/>
      <c r="C395" s="107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</row>
    <row r="396" ht="17.25" customHeight="1">
      <c r="A396" s="106"/>
      <c r="B396" s="107"/>
      <c r="C396" s="107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</row>
    <row r="397" ht="17.25" customHeight="1">
      <c r="A397" s="106"/>
      <c r="B397" s="107"/>
      <c r="C397" s="107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</row>
    <row r="398" ht="17.25" customHeight="1">
      <c r="A398" s="106"/>
      <c r="B398" s="107"/>
      <c r="C398" s="107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</row>
    <row r="399" ht="17.25" customHeight="1">
      <c r="A399" s="106"/>
      <c r="B399" s="107"/>
      <c r="C399" s="107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</row>
    <row r="400" ht="17.25" customHeight="1">
      <c r="A400" s="106"/>
      <c r="B400" s="107"/>
      <c r="C400" s="107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</row>
    <row r="401" ht="17.25" customHeight="1">
      <c r="A401" s="106"/>
      <c r="B401" s="107"/>
      <c r="C401" s="107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</row>
    <row r="402" ht="17.25" customHeight="1">
      <c r="A402" s="106"/>
      <c r="B402" s="107"/>
      <c r="C402" s="107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</row>
    <row r="403" ht="17.25" customHeight="1">
      <c r="A403" s="106"/>
      <c r="B403" s="107"/>
      <c r="C403" s="107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</row>
    <row r="404" ht="17.25" customHeight="1">
      <c r="A404" s="106"/>
      <c r="B404" s="107"/>
      <c r="C404" s="107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</row>
    <row r="405" ht="17.25" customHeight="1">
      <c r="A405" s="106"/>
      <c r="B405" s="107"/>
      <c r="C405" s="107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</row>
    <row r="406" ht="17.25" customHeight="1">
      <c r="A406" s="106"/>
      <c r="B406" s="107"/>
      <c r="C406" s="107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</row>
    <row r="407" ht="17.25" customHeight="1">
      <c r="A407" s="106"/>
      <c r="B407" s="107"/>
      <c r="C407" s="107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</row>
    <row r="408" ht="17.25" customHeight="1">
      <c r="A408" s="106"/>
      <c r="B408" s="107"/>
      <c r="C408" s="107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</row>
    <row r="409" ht="17.25" customHeight="1">
      <c r="A409" s="106"/>
      <c r="B409" s="107"/>
      <c r="C409" s="107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</row>
    <row r="410" ht="17.25" customHeight="1">
      <c r="A410" s="106"/>
      <c r="B410" s="107"/>
      <c r="C410" s="107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</row>
    <row r="411" ht="17.25" customHeight="1">
      <c r="A411" s="106"/>
      <c r="B411" s="107"/>
      <c r="C411" s="107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</row>
    <row r="412" ht="17.25" customHeight="1">
      <c r="A412" s="106"/>
      <c r="B412" s="107"/>
      <c r="C412" s="107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</row>
    <row r="413" ht="17.25" customHeight="1">
      <c r="A413" s="106"/>
      <c r="B413" s="107"/>
      <c r="C413" s="107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</row>
    <row r="414" ht="17.25" customHeight="1">
      <c r="A414" s="106"/>
      <c r="B414" s="107"/>
      <c r="C414" s="107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</row>
    <row r="415" ht="17.25" customHeight="1">
      <c r="A415" s="106"/>
      <c r="B415" s="107"/>
      <c r="C415" s="107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</row>
    <row r="416" ht="17.25" customHeight="1">
      <c r="A416" s="106"/>
      <c r="B416" s="107"/>
      <c r="C416" s="107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</row>
    <row r="417" ht="17.25" customHeight="1">
      <c r="A417" s="106"/>
      <c r="B417" s="107"/>
      <c r="C417" s="107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</row>
    <row r="418" ht="17.25" customHeight="1">
      <c r="A418" s="106"/>
      <c r="B418" s="107"/>
      <c r="C418" s="107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</row>
    <row r="419" ht="17.25" customHeight="1">
      <c r="A419" s="106"/>
      <c r="B419" s="107"/>
      <c r="C419" s="107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</row>
    <row r="420" ht="17.25" customHeight="1">
      <c r="A420" s="106"/>
      <c r="B420" s="107"/>
      <c r="C420" s="107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</row>
    <row r="421" ht="17.25" customHeight="1">
      <c r="A421" s="106"/>
      <c r="B421" s="107"/>
      <c r="C421" s="107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</row>
    <row r="422" ht="17.25" customHeight="1">
      <c r="A422" s="106"/>
      <c r="B422" s="107"/>
      <c r="C422" s="107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</row>
    <row r="423" ht="17.25" customHeight="1">
      <c r="A423" s="106"/>
      <c r="B423" s="107"/>
      <c r="C423" s="107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</row>
    <row r="424" ht="17.25" customHeight="1">
      <c r="A424" s="106"/>
      <c r="B424" s="107"/>
      <c r="C424" s="107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</row>
    <row r="425" ht="17.25" customHeight="1">
      <c r="A425" s="106"/>
      <c r="B425" s="107"/>
      <c r="C425" s="107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</row>
    <row r="426" ht="17.25" customHeight="1">
      <c r="A426" s="106"/>
      <c r="B426" s="107"/>
      <c r="C426" s="107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</row>
    <row r="427" ht="17.25" customHeight="1">
      <c r="A427" s="106"/>
      <c r="B427" s="107"/>
      <c r="C427" s="107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</row>
    <row r="428" ht="17.25" customHeight="1">
      <c r="A428" s="106"/>
      <c r="B428" s="107"/>
      <c r="C428" s="107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</row>
    <row r="429" ht="17.25" customHeight="1">
      <c r="A429" s="106"/>
      <c r="B429" s="107"/>
      <c r="C429" s="107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</row>
    <row r="430" ht="17.25" customHeight="1">
      <c r="A430" s="106"/>
      <c r="B430" s="107"/>
      <c r="C430" s="107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</row>
    <row r="431" ht="17.25" customHeight="1">
      <c r="A431" s="106"/>
      <c r="B431" s="107"/>
      <c r="C431" s="107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</row>
    <row r="432" ht="17.25" customHeight="1">
      <c r="A432" s="106"/>
      <c r="B432" s="107"/>
      <c r="C432" s="107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</row>
    <row r="433" ht="17.25" customHeight="1">
      <c r="A433" s="106"/>
      <c r="B433" s="107"/>
      <c r="C433" s="107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</row>
    <row r="434" ht="17.25" customHeight="1">
      <c r="A434" s="106"/>
      <c r="B434" s="107"/>
      <c r="C434" s="107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</row>
    <row r="435" ht="17.25" customHeight="1">
      <c r="A435" s="106"/>
      <c r="B435" s="107"/>
      <c r="C435" s="107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</row>
    <row r="436" ht="17.25" customHeight="1">
      <c r="A436" s="106"/>
      <c r="B436" s="107"/>
      <c r="C436" s="107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</row>
    <row r="437" ht="17.25" customHeight="1">
      <c r="A437" s="106"/>
      <c r="B437" s="107"/>
      <c r="C437" s="107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</row>
    <row r="438" ht="17.25" customHeight="1">
      <c r="A438" s="106"/>
      <c r="B438" s="107"/>
      <c r="C438" s="107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</row>
    <row r="439" ht="17.25" customHeight="1">
      <c r="A439" s="106"/>
      <c r="B439" s="107"/>
      <c r="C439" s="107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</row>
    <row r="440" ht="17.25" customHeight="1">
      <c r="A440" s="106"/>
      <c r="B440" s="107"/>
      <c r="C440" s="107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</row>
    <row r="441" ht="17.25" customHeight="1">
      <c r="A441" s="106"/>
      <c r="B441" s="107"/>
      <c r="C441" s="107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</row>
    <row r="442" ht="17.25" customHeight="1">
      <c r="A442" s="106"/>
      <c r="B442" s="107"/>
      <c r="C442" s="107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</row>
    <row r="443" ht="17.25" customHeight="1">
      <c r="A443" s="106"/>
      <c r="B443" s="107"/>
      <c r="C443" s="107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</row>
    <row r="444" ht="17.25" customHeight="1">
      <c r="A444" s="106"/>
      <c r="B444" s="107"/>
      <c r="C444" s="107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</row>
    <row r="445" ht="17.25" customHeight="1">
      <c r="A445" s="106"/>
      <c r="B445" s="107"/>
      <c r="C445" s="107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</row>
    <row r="446" ht="17.25" customHeight="1">
      <c r="A446" s="106"/>
      <c r="B446" s="107"/>
      <c r="C446" s="107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</row>
    <row r="447" ht="17.25" customHeight="1">
      <c r="A447" s="106"/>
      <c r="B447" s="107"/>
      <c r="C447" s="107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</row>
    <row r="448" ht="17.25" customHeight="1">
      <c r="A448" s="106"/>
      <c r="B448" s="107"/>
      <c r="C448" s="107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</row>
    <row r="449" ht="17.25" customHeight="1">
      <c r="A449" s="106"/>
      <c r="B449" s="107"/>
      <c r="C449" s="107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</row>
    <row r="450" ht="17.25" customHeight="1">
      <c r="A450" s="106"/>
      <c r="B450" s="107"/>
      <c r="C450" s="107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</row>
    <row r="451" ht="17.25" customHeight="1">
      <c r="A451" s="106"/>
      <c r="B451" s="107"/>
      <c r="C451" s="107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</row>
    <row r="452" ht="17.25" customHeight="1">
      <c r="A452" s="106"/>
      <c r="B452" s="107"/>
      <c r="C452" s="107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</row>
    <row r="453" ht="17.25" customHeight="1">
      <c r="A453" s="106"/>
      <c r="B453" s="107"/>
      <c r="C453" s="107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</row>
    <row r="454" ht="17.25" customHeight="1">
      <c r="A454" s="106"/>
      <c r="B454" s="107"/>
      <c r="C454" s="107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</row>
    <row r="455" ht="17.25" customHeight="1">
      <c r="A455" s="106"/>
      <c r="B455" s="107"/>
      <c r="C455" s="107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</row>
    <row r="456" ht="17.25" customHeight="1">
      <c r="A456" s="106"/>
      <c r="B456" s="107"/>
      <c r="C456" s="107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</row>
    <row r="457" ht="17.25" customHeight="1">
      <c r="A457" s="106"/>
      <c r="B457" s="107"/>
      <c r="C457" s="107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</row>
    <row r="458" ht="17.25" customHeight="1">
      <c r="A458" s="106"/>
      <c r="B458" s="107"/>
      <c r="C458" s="107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</row>
    <row r="459" ht="17.25" customHeight="1">
      <c r="A459" s="106"/>
      <c r="B459" s="107"/>
      <c r="C459" s="107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</row>
    <row r="460" ht="17.25" customHeight="1">
      <c r="A460" s="106"/>
      <c r="B460" s="107"/>
      <c r="C460" s="107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</row>
    <row r="461" ht="17.25" customHeight="1">
      <c r="A461" s="106"/>
      <c r="B461" s="107"/>
      <c r="C461" s="107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</row>
    <row r="462" ht="17.25" customHeight="1">
      <c r="A462" s="106"/>
      <c r="B462" s="107"/>
      <c r="C462" s="107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</row>
    <row r="463" ht="17.25" customHeight="1">
      <c r="A463" s="106"/>
      <c r="B463" s="107"/>
      <c r="C463" s="107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</row>
    <row r="464" ht="17.25" customHeight="1">
      <c r="A464" s="106"/>
      <c r="B464" s="107"/>
      <c r="C464" s="107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</row>
    <row r="465" ht="17.25" customHeight="1">
      <c r="A465" s="106"/>
      <c r="B465" s="107"/>
      <c r="C465" s="107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</row>
    <row r="466" ht="17.25" customHeight="1">
      <c r="A466" s="106"/>
      <c r="B466" s="107"/>
      <c r="C466" s="107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</row>
    <row r="467" ht="17.25" customHeight="1">
      <c r="A467" s="106"/>
      <c r="B467" s="107"/>
      <c r="C467" s="107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</row>
    <row r="468" ht="17.25" customHeight="1">
      <c r="A468" s="106"/>
      <c r="B468" s="107"/>
      <c r="C468" s="107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</row>
    <row r="469" ht="17.25" customHeight="1">
      <c r="A469" s="106"/>
      <c r="B469" s="107"/>
      <c r="C469" s="107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</row>
    <row r="470" ht="17.25" customHeight="1">
      <c r="A470" s="106"/>
      <c r="B470" s="107"/>
      <c r="C470" s="107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</row>
    <row r="471" ht="17.25" customHeight="1">
      <c r="A471" s="106"/>
      <c r="B471" s="107"/>
      <c r="C471" s="107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</row>
    <row r="472" ht="17.25" customHeight="1">
      <c r="A472" s="106"/>
      <c r="B472" s="107"/>
      <c r="C472" s="107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</row>
    <row r="473" ht="17.25" customHeight="1">
      <c r="A473" s="106"/>
      <c r="B473" s="107"/>
      <c r="C473" s="107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</row>
    <row r="474" ht="17.25" customHeight="1">
      <c r="A474" s="106"/>
      <c r="B474" s="107"/>
      <c r="C474" s="107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</row>
    <row r="475" ht="17.25" customHeight="1">
      <c r="A475" s="106"/>
      <c r="B475" s="107"/>
      <c r="C475" s="107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</row>
    <row r="476" ht="17.25" customHeight="1">
      <c r="A476" s="106"/>
      <c r="B476" s="107"/>
      <c r="C476" s="107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</row>
    <row r="477" ht="17.25" customHeight="1">
      <c r="A477" s="106"/>
      <c r="B477" s="107"/>
      <c r="C477" s="107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</row>
    <row r="478" ht="17.25" customHeight="1">
      <c r="A478" s="106"/>
      <c r="B478" s="107"/>
      <c r="C478" s="107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</row>
    <row r="479" ht="17.25" customHeight="1">
      <c r="A479" s="106"/>
      <c r="B479" s="107"/>
      <c r="C479" s="107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</row>
    <row r="480" ht="17.25" customHeight="1">
      <c r="A480" s="106"/>
      <c r="B480" s="107"/>
      <c r="C480" s="107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</row>
    <row r="481" ht="17.25" customHeight="1">
      <c r="A481" s="106"/>
      <c r="B481" s="107"/>
      <c r="C481" s="107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</row>
    <row r="482" ht="17.25" customHeight="1">
      <c r="A482" s="106"/>
      <c r="B482" s="107"/>
      <c r="C482" s="107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</row>
    <row r="483" ht="17.25" customHeight="1">
      <c r="A483" s="106"/>
      <c r="B483" s="107"/>
      <c r="C483" s="107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</row>
    <row r="484" ht="17.25" customHeight="1">
      <c r="A484" s="106"/>
      <c r="B484" s="107"/>
      <c r="C484" s="107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</row>
    <row r="485" ht="17.25" customHeight="1">
      <c r="A485" s="106"/>
      <c r="B485" s="107"/>
      <c r="C485" s="107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</row>
    <row r="486" ht="17.25" customHeight="1">
      <c r="A486" s="106"/>
      <c r="B486" s="107"/>
      <c r="C486" s="107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</row>
    <row r="487" ht="17.25" customHeight="1">
      <c r="A487" s="106"/>
      <c r="B487" s="107"/>
      <c r="C487" s="107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</row>
    <row r="488" ht="17.25" customHeight="1">
      <c r="A488" s="106"/>
      <c r="B488" s="107"/>
      <c r="C488" s="107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</row>
    <row r="489" ht="17.25" customHeight="1">
      <c r="A489" s="106"/>
      <c r="B489" s="107"/>
      <c r="C489" s="107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</row>
    <row r="490" ht="17.25" customHeight="1">
      <c r="A490" s="106"/>
      <c r="B490" s="107"/>
      <c r="C490" s="107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</row>
    <row r="491" ht="17.25" customHeight="1">
      <c r="A491" s="106"/>
      <c r="B491" s="107"/>
      <c r="C491" s="107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</row>
    <row r="492" ht="17.25" customHeight="1">
      <c r="A492" s="106"/>
      <c r="B492" s="107"/>
      <c r="C492" s="107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</row>
    <row r="493" ht="17.25" customHeight="1">
      <c r="A493" s="106"/>
      <c r="B493" s="107"/>
      <c r="C493" s="107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</row>
    <row r="494" ht="17.25" customHeight="1">
      <c r="A494" s="106"/>
      <c r="B494" s="107"/>
      <c r="C494" s="107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</row>
    <row r="495" ht="17.25" customHeight="1">
      <c r="A495" s="106"/>
      <c r="B495" s="107"/>
      <c r="C495" s="107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</row>
    <row r="496" ht="17.25" customHeight="1">
      <c r="A496" s="106"/>
      <c r="B496" s="107"/>
      <c r="C496" s="107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</row>
    <row r="497" ht="17.25" customHeight="1">
      <c r="A497" s="106"/>
      <c r="B497" s="107"/>
      <c r="C497" s="107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</row>
    <row r="498" ht="17.25" customHeight="1">
      <c r="A498" s="106"/>
      <c r="B498" s="107"/>
      <c r="C498" s="107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</row>
    <row r="499" ht="17.25" customHeight="1">
      <c r="A499" s="106"/>
      <c r="B499" s="107"/>
      <c r="C499" s="107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</row>
    <row r="500" ht="17.25" customHeight="1">
      <c r="A500" s="106"/>
      <c r="B500" s="107"/>
      <c r="C500" s="107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</row>
    <row r="501" ht="17.25" customHeight="1">
      <c r="A501" s="106"/>
      <c r="B501" s="107"/>
      <c r="C501" s="107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</row>
    <row r="502" ht="17.25" customHeight="1">
      <c r="A502" s="106"/>
      <c r="B502" s="107"/>
      <c r="C502" s="107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</row>
    <row r="503" ht="17.25" customHeight="1">
      <c r="A503" s="106"/>
      <c r="B503" s="107"/>
      <c r="C503" s="107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</row>
    <row r="504" ht="17.25" customHeight="1">
      <c r="A504" s="106"/>
      <c r="B504" s="107"/>
      <c r="C504" s="107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</row>
    <row r="505" ht="17.25" customHeight="1">
      <c r="A505" s="106"/>
      <c r="B505" s="107"/>
      <c r="C505" s="107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</row>
    <row r="506" ht="17.25" customHeight="1">
      <c r="A506" s="106"/>
      <c r="B506" s="107"/>
      <c r="C506" s="107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</row>
    <row r="507" ht="17.25" customHeight="1">
      <c r="A507" s="106"/>
      <c r="B507" s="107"/>
      <c r="C507" s="107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</row>
    <row r="508" ht="17.25" customHeight="1">
      <c r="A508" s="106"/>
      <c r="B508" s="107"/>
      <c r="C508" s="107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</row>
    <row r="509" ht="17.25" customHeight="1">
      <c r="A509" s="106"/>
      <c r="B509" s="107"/>
      <c r="C509" s="107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</row>
    <row r="510" ht="17.25" customHeight="1">
      <c r="A510" s="106"/>
      <c r="B510" s="107"/>
      <c r="C510" s="107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</row>
    <row r="511" ht="17.25" customHeight="1">
      <c r="A511" s="106"/>
      <c r="B511" s="107"/>
      <c r="C511" s="107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</row>
    <row r="512" ht="17.25" customHeight="1">
      <c r="A512" s="106"/>
      <c r="B512" s="107"/>
      <c r="C512" s="107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</row>
    <row r="513" ht="17.25" customHeight="1">
      <c r="A513" s="106"/>
      <c r="B513" s="107"/>
      <c r="C513" s="107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</row>
    <row r="514" ht="17.25" customHeight="1">
      <c r="A514" s="106"/>
      <c r="B514" s="107"/>
      <c r="C514" s="107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</row>
    <row r="515" ht="17.25" customHeight="1">
      <c r="A515" s="106"/>
      <c r="B515" s="107"/>
      <c r="C515" s="107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</row>
    <row r="516" ht="17.25" customHeight="1">
      <c r="A516" s="106"/>
      <c r="B516" s="107"/>
      <c r="C516" s="107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</row>
    <row r="517" ht="17.25" customHeight="1">
      <c r="A517" s="106"/>
      <c r="B517" s="107"/>
      <c r="C517" s="107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</row>
    <row r="518" ht="17.25" customHeight="1">
      <c r="A518" s="106"/>
      <c r="B518" s="107"/>
      <c r="C518" s="107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</row>
    <row r="519" ht="17.25" customHeight="1">
      <c r="A519" s="106"/>
      <c r="B519" s="107"/>
      <c r="C519" s="107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</row>
    <row r="520" ht="17.25" customHeight="1">
      <c r="A520" s="106"/>
      <c r="B520" s="107"/>
      <c r="C520" s="107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</row>
    <row r="521" ht="17.25" customHeight="1">
      <c r="A521" s="106"/>
      <c r="B521" s="107"/>
      <c r="C521" s="107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</row>
    <row r="522" ht="17.25" customHeight="1">
      <c r="A522" s="106"/>
      <c r="B522" s="107"/>
      <c r="C522" s="107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</row>
    <row r="523" ht="17.25" customHeight="1">
      <c r="A523" s="106"/>
      <c r="B523" s="107"/>
      <c r="C523" s="107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</row>
    <row r="524" ht="17.25" customHeight="1">
      <c r="A524" s="106"/>
      <c r="B524" s="107"/>
      <c r="C524" s="107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</row>
    <row r="525" ht="17.25" customHeight="1">
      <c r="A525" s="106"/>
      <c r="B525" s="107"/>
      <c r="C525" s="107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</row>
    <row r="526" ht="17.25" customHeight="1">
      <c r="A526" s="106"/>
      <c r="B526" s="107"/>
      <c r="C526" s="107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</row>
    <row r="527" ht="17.25" customHeight="1">
      <c r="A527" s="106"/>
      <c r="B527" s="107"/>
      <c r="C527" s="107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</row>
    <row r="528" ht="17.25" customHeight="1">
      <c r="A528" s="106"/>
      <c r="B528" s="107"/>
      <c r="C528" s="107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</row>
    <row r="529" ht="17.25" customHeight="1">
      <c r="A529" s="106"/>
      <c r="B529" s="107"/>
      <c r="C529" s="107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</row>
    <row r="530" ht="17.25" customHeight="1">
      <c r="A530" s="106"/>
      <c r="B530" s="107"/>
      <c r="C530" s="107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</row>
    <row r="531" ht="17.25" customHeight="1">
      <c r="A531" s="106"/>
      <c r="B531" s="107"/>
      <c r="C531" s="107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</row>
    <row r="532" ht="17.25" customHeight="1">
      <c r="A532" s="106"/>
      <c r="B532" s="107"/>
      <c r="C532" s="107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</row>
    <row r="533" ht="17.25" customHeight="1">
      <c r="A533" s="106"/>
      <c r="B533" s="107"/>
      <c r="C533" s="107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</row>
    <row r="534" ht="17.25" customHeight="1">
      <c r="A534" s="106"/>
      <c r="B534" s="107"/>
      <c r="C534" s="107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</row>
    <row r="535" ht="17.25" customHeight="1">
      <c r="A535" s="106"/>
      <c r="B535" s="107"/>
      <c r="C535" s="107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</row>
    <row r="536" ht="17.25" customHeight="1">
      <c r="A536" s="106"/>
      <c r="B536" s="107"/>
      <c r="C536" s="107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</row>
    <row r="537" ht="17.25" customHeight="1">
      <c r="A537" s="106"/>
      <c r="B537" s="107"/>
      <c r="C537" s="107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</row>
    <row r="538" ht="17.25" customHeight="1">
      <c r="A538" s="106"/>
      <c r="B538" s="107"/>
      <c r="C538" s="107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</row>
    <row r="539" ht="17.25" customHeight="1">
      <c r="A539" s="106"/>
      <c r="B539" s="107"/>
      <c r="C539" s="107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</row>
    <row r="540" ht="17.25" customHeight="1">
      <c r="A540" s="106"/>
      <c r="B540" s="107"/>
      <c r="C540" s="107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</row>
    <row r="541" ht="17.25" customHeight="1">
      <c r="A541" s="106"/>
      <c r="B541" s="107"/>
      <c r="C541" s="107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</row>
    <row r="542" ht="17.25" customHeight="1">
      <c r="A542" s="106"/>
      <c r="B542" s="107"/>
      <c r="C542" s="107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</row>
    <row r="543" ht="17.25" customHeight="1">
      <c r="A543" s="106"/>
      <c r="B543" s="107"/>
      <c r="C543" s="107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</row>
    <row r="544" ht="17.25" customHeight="1">
      <c r="A544" s="106"/>
      <c r="B544" s="107"/>
      <c r="C544" s="107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</row>
    <row r="545" ht="17.25" customHeight="1">
      <c r="A545" s="106"/>
      <c r="B545" s="107"/>
      <c r="C545" s="107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</row>
    <row r="546" ht="17.25" customHeight="1">
      <c r="A546" s="106"/>
      <c r="B546" s="107"/>
      <c r="C546" s="107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</row>
    <row r="547" ht="17.25" customHeight="1">
      <c r="A547" s="106"/>
      <c r="B547" s="107"/>
      <c r="C547" s="107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</row>
    <row r="548" ht="17.25" customHeight="1">
      <c r="A548" s="106"/>
      <c r="B548" s="107"/>
      <c r="C548" s="107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</row>
    <row r="549" ht="17.25" customHeight="1">
      <c r="A549" s="106"/>
      <c r="B549" s="107"/>
      <c r="C549" s="107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</row>
    <row r="550" ht="17.25" customHeight="1">
      <c r="A550" s="106"/>
      <c r="B550" s="107"/>
      <c r="C550" s="107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</row>
    <row r="551" ht="17.25" customHeight="1">
      <c r="A551" s="106"/>
      <c r="B551" s="107"/>
      <c r="C551" s="107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</row>
    <row r="552" ht="17.25" customHeight="1">
      <c r="A552" s="106"/>
      <c r="B552" s="107"/>
      <c r="C552" s="107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</row>
    <row r="553" ht="17.25" customHeight="1">
      <c r="A553" s="106"/>
      <c r="B553" s="107"/>
      <c r="C553" s="107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</row>
    <row r="554" ht="17.25" customHeight="1">
      <c r="A554" s="106"/>
      <c r="B554" s="107"/>
      <c r="C554" s="107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</row>
    <row r="555" ht="17.25" customHeight="1">
      <c r="A555" s="106"/>
      <c r="B555" s="107"/>
      <c r="C555" s="107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</row>
    <row r="556" ht="17.25" customHeight="1">
      <c r="A556" s="106"/>
      <c r="B556" s="107"/>
      <c r="C556" s="107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</row>
    <row r="557" ht="17.25" customHeight="1">
      <c r="A557" s="106"/>
      <c r="B557" s="107"/>
      <c r="C557" s="107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</row>
    <row r="558" ht="17.25" customHeight="1">
      <c r="A558" s="106"/>
      <c r="B558" s="107"/>
      <c r="C558" s="107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</row>
    <row r="559" ht="17.25" customHeight="1">
      <c r="A559" s="106"/>
      <c r="B559" s="107"/>
      <c r="C559" s="107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</row>
    <row r="560" ht="17.25" customHeight="1">
      <c r="A560" s="106"/>
      <c r="B560" s="107"/>
      <c r="C560" s="107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</row>
    <row r="561" ht="17.25" customHeight="1">
      <c r="A561" s="106"/>
      <c r="B561" s="107"/>
      <c r="C561" s="107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</row>
    <row r="562" ht="17.25" customHeight="1">
      <c r="A562" s="106"/>
      <c r="B562" s="107"/>
      <c r="C562" s="107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</row>
    <row r="563" ht="17.25" customHeight="1">
      <c r="A563" s="106"/>
      <c r="B563" s="107"/>
      <c r="C563" s="107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</row>
    <row r="564" ht="17.25" customHeight="1">
      <c r="A564" s="106"/>
      <c r="B564" s="107"/>
      <c r="C564" s="107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</row>
    <row r="565" ht="17.25" customHeight="1">
      <c r="A565" s="106"/>
      <c r="B565" s="107"/>
      <c r="C565" s="107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</row>
    <row r="566" ht="17.25" customHeight="1">
      <c r="A566" s="106"/>
      <c r="B566" s="107"/>
      <c r="C566" s="107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</row>
    <row r="567" ht="17.25" customHeight="1">
      <c r="A567" s="106"/>
      <c r="B567" s="107"/>
      <c r="C567" s="107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</row>
    <row r="568" ht="17.25" customHeight="1">
      <c r="A568" s="106"/>
      <c r="B568" s="107"/>
      <c r="C568" s="107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</row>
    <row r="569" ht="17.25" customHeight="1">
      <c r="A569" s="106"/>
      <c r="B569" s="107"/>
      <c r="C569" s="107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</row>
    <row r="570" ht="17.25" customHeight="1">
      <c r="A570" s="106"/>
      <c r="B570" s="107"/>
      <c r="C570" s="107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</row>
    <row r="571" ht="17.25" customHeight="1">
      <c r="A571" s="106"/>
      <c r="B571" s="107"/>
      <c r="C571" s="107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</row>
    <row r="572" ht="17.25" customHeight="1">
      <c r="A572" s="106"/>
      <c r="B572" s="107"/>
      <c r="C572" s="107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</row>
    <row r="573" ht="17.25" customHeight="1">
      <c r="A573" s="106"/>
      <c r="B573" s="107"/>
      <c r="C573" s="107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</row>
    <row r="574" ht="17.25" customHeight="1">
      <c r="A574" s="106"/>
      <c r="B574" s="107"/>
      <c r="C574" s="107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</row>
    <row r="575" ht="17.25" customHeight="1">
      <c r="A575" s="106"/>
      <c r="B575" s="107"/>
      <c r="C575" s="107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</row>
    <row r="576" ht="17.25" customHeight="1">
      <c r="A576" s="106"/>
      <c r="B576" s="107"/>
      <c r="C576" s="107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</row>
    <row r="577" ht="17.25" customHeight="1">
      <c r="A577" s="106"/>
      <c r="B577" s="107"/>
      <c r="C577" s="107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</row>
    <row r="578" ht="17.25" customHeight="1">
      <c r="A578" s="106"/>
      <c r="B578" s="107"/>
      <c r="C578" s="107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</row>
    <row r="579" ht="17.25" customHeight="1">
      <c r="A579" s="106"/>
      <c r="B579" s="107"/>
      <c r="C579" s="107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</row>
    <row r="580" ht="17.25" customHeight="1">
      <c r="A580" s="106"/>
      <c r="B580" s="107"/>
      <c r="C580" s="107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</row>
    <row r="581" ht="17.25" customHeight="1">
      <c r="A581" s="106"/>
      <c r="B581" s="107"/>
      <c r="C581" s="107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</row>
    <row r="582" ht="17.25" customHeight="1">
      <c r="A582" s="106"/>
      <c r="B582" s="107"/>
      <c r="C582" s="107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</row>
    <row r="583" ht="17.25" customHeight="1">
      <c r="A583" s="106"/>
      <c r="B583" s="107"/>
      <c r="C583" s="107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</row>
    <row r="584" ht="17.25" customHeight="1">
      <c r="A584" s="106"/>
      <c r="B584" s="107"/>
      <c r="C584" s="107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</row>
    <row r="585" ht="17.25" customHeight="1">
      <c r="A585" s="106"/>
      <c r="B585" s="107"/>
      <c r="C585" s="107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</row>
    <row r="586" ht="17.25" customHeight="1">
      <c r="A586" s="106"/>
      <c r="B586" s="107"/>
      <c r="C586" s="107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</row>
    <row r="587" ht="17.25" customHeight="1">
      <c r="A587" s="106"/>
      <c r="B587" s="107"/>
      <c r="C587" s="107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</row>
    <row r="588" ht="17.25" customHeight="1">
      <c r="A588" s="106"/>
      <c r="B588" s="107"/>
      <c r="C588" s="107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</row>
    <row r="589" ht="17.25" customHeight="1">
      <c r="A589" s="106"/>
      <c r="B589" s="107"/>
      <c r="C589" s="107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</row>
    <row r="590" ht="17.25" customHeight="1">
      <c r="A590" s="106"/>
      <c r="B590" s="107"/>
      <c r="C590" s="107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</row>
    <row r="591" ht="17.25" customHeight="1">
      <c r="A591" s="106"/>
      <c r="B591" s="107"/>
      <c r="C591" s="107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</row>
    <row r="592" ht="17.25" customHeight="1">
      <c r="A592" s="106"/>
      <c r="B592" s="107"/>
      <c r="C592" s="107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</row>
    <row r="593" ht="17.25" customHeight="1">
      <c r="A593" s="106"/>
      <c r="B593" s="107"/>
      <c r="C593" s="107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</row>
    <row r="594" ht="17.25" customHeight="1">
      <c r="A594" s="106"/>
      <c r="B594" s="107"/>
      <c r="C594" s="107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</row>
    <row r="595" ht="17.25" customHeight="1">
      <c r="A595" s="106"/>
      <c r="B595" s="107"/>
      <c r="C595" s="107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</row>
    <row r="596" ht="17.25" customHeight="1">
      <c r="A596" s="106"/>
      <c r="B596" s="107"/>
      <c r="C596" s="107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</row>
    <row r="597" ht="17.25" customHeight="1">
      <c r="A597" s="106"/>
      <c r="B597" s="107"/>
      <c r="C597" s="107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</row>
    <row r="598" ht="17.25" customHeight="1">
      <c r="A598" s="106"/>
      <c r="B598" s="107"/>
      <c r="C598" s="107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</row>
    <row r="599" ht="17.25" customHeight="1">
      <c r="A599" s="106"/>
      <c r="B599" s="107"/>
      <c r="C599" s="107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</row>
    <row r="600" ht="17.25" customHeight="1">
      <c r="A600" s="106"/>
      <c r="B600" s="107"/>
      <c r="C600" s="107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</row>
    <row r="601" ht="17.25" customHeight="1">
      <c r="A601" s="106"/>
      <c r="B601" s="107"/>
      <c r="C601" s="107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</row>
    <row r="602" ht="17.25" customHeight="1">
      <c r="A602" s="106"/>
      <c r="B602" s="107"/>
      <c r="C602" s="107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</row>
    <row r="603" ht="17.25" customHeight="1">
      <c r="A603" s="106"/>
      <c r="B603" s="107"/>
      <c r="C603" s="107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</row>
    <row r="604" ht="17.25" customHeight="1">
      <c r="A604" s="106"/>
      <c r="B604" s="107"/>
      <c r="C604" s="107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</row>
    <row r="605" ht="17.25" customHeight="1">
      <c r="A605" s="106"/>
      <c r="B605" s="107"/>
      <c r="C605" s="107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</row>
    <row r="606" ht="17.25" customHeight="1">
      <c r="A606" s="106"/>
      <c r="B606" s="107"/>
      <c r="C606" s="107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</row>
    <row r="607" ht="17.25" customHeight="1">
      <c r="A607" s="106"/>
      <c r="B607" s="107"/>
      <c r="C607" s="107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</row>
    <row r="608" ht="17.25" customHeight="1">
      <c r="A608" s="106"/>
      <c r="B608" s="107"/>
      <c r="C608" s="107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</row>
    <row r="609" ht="17.25" customHeight="1">
      <c r="A609" s="106"/>
      <c r="B609" s="107"/>
      <c r="C609" s="107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</row>
    <row r="610" ht="17.25" customHeight="1">
      <c r="A610" s="106"/>
      <c r="B610" s="107"/>
      <c r="C610" s="107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</row>
    <row r="611" ht="17.25" customHeight="1">
      <c r="A611" s="106"/>
      <c r="B611" s="107"/>
      <c r="C611" s="107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</row>
    <row r="612" ht="17.25" customHeight="1">
      <c r="A612" s="106"/>
      <c r="B612" s="107"/>
      <c r="C612" s="107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</row>
    <row r="613" ht="17.25" customHeight="1">
      <c r="A613" s="106"/>
      <c r="B613" s="107"/>
      <c r="C613" s="107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</row>
    <row r="614" ht="17.25" customHeight="1">
      <c r="A614" s="106"/>
      <c r="B614" s="107"/>
      <c r="C614" s="107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</row>
    <row r="615" ht="17.25" customHeight="1">
      <c r="A615" s="106"/>
      <c r="B615" s="107"/>
      <c r="C615" s="107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</row>
    <row r="616" ht="17.25" customHeight="1">
      <c r="A616" s="106"/>
      <c r="B616" s="107"/>
      <c r="C616" s="107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</row>
    <row r="617" ht="17.25" customHeight="1">
      <c r="A617" s="106"/>
      <c r="B617" s="107"/>
      <c r="C617" s="107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</row>
    <row r="618" ht="17.25" customHeight="1">
      <c r="A618" s="106"/>
      <c r="B618" s="107"/>
      <c r="C618" s="107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</row>
    <row r="619" ht="17.25" customHeight="1">
      <c r="A619" s="106"/>
      <c r="B619" s="107"/>
      <c r="C619" s="107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</row>
    <row r="620" ht="17.25" customHeight="1">
      <c r="A620" s="106"/>
      <c r="B620" s="107"/>
      <c r="C620" s="107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</row>
    <row r="621" ht="17.25" customHeight="1">
      <c r="A621" s="106"/>
      <c r="B621" s="107"/>
      <c r="C621" s="107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</row>
    <row r="622" ht="17.25" customHeight="1">
      <c r="A622" s="106"/>
      <c r="B622" s="107"/>
      <c r="C622" s="107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</row>
    <row r="623" ht="17.25" customHeight="1">
      <c r="A623" s="106"/>
      <c r="B623" s="107"/>
      <c r="C623" s="107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</row>
    <row r="624" ht="17.25" customHeight="1">
      <c r="A624" s="106"/>
      <c r="B624" s="107"/>
      <c r="C624" s="107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</row>
    <row r="625" ht="17.25" customHeight="1">
      <c r="A625" s="106"/>
      <c r="B625" s="107"/>
      <c r="C625" s="107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</row>
    <row r="626" ht="17.25" customHeight="1">
      <c r="A626" s="106"/>
      <c r="B626" s="107"/>
      <c r="C626" s="107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</row>
    <row r="627" ht="17.25" customHeight="1">
      <c r="A627" s="106"/>
      <c r="B627" s="107"/>
      <c r="C627" s="107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</row>
    <row r="628" ht="17.25" customHeight="1">
      <c r="A628" s="106"/>
      <c r="B628" s="107"/>
      <c r="C628" s="107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</row>
    <row r="629" ht="17.25" customHeight="1">
      <c r="A629" s="106"/>
      <c r="B629" s="107"/>
      <c r="C629" s="107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</row>
    <row r="630" ht="17.25" customHeight="1">
      <c r="A630" s="106"/>
      <c r="B630" s="107"/>
      <c r="C630" s="107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</row>
    <row r="631" ht="17.25" customHeight="1">
      <c r="A631" s="106"/>
      <c r="B631" s="107"/>
      <c r="C631" s="107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</row>
    <row r="632" ht="17.25" customHeight="1">
      <c r="A632" s="106"/>
      <c r="B632" s="107"/>
      <c r="C632" s="107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</row>
    <row r="633" ht="17.25" customHeight="1">
      <c r="A633" s="106"/>
      <c r="B633" s="107"/>
      <c r="C633" s="107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</row>
    <row r="634" ht="17.25" customHeight="1">
      <c r="A634" s="106"/>
      <c r="B634" s="107"/>
      <c r="C634" s="107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</row>
    <row r="635" ht="17.25" customHeight="1">
      <c r="A635" s="106"/>
      <c r="B635" s="107"/>
      <c r="C635" s="107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</row>
    <row r="636" ht="17.25" customHeight="1">
      <c r="A636" s="106"/>
      <c r="B636" s="107"/>
      <c r="C636" s="107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</row>
    <row r="637" ht="17.25" customHeight="1">
      <c r="A637" s="106"/>
      <c r="B637" s="107"/>
      <c r="C637" s="107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</row>
    <row r="638" ht="17.25" customHeight="1">
      <c r="A638" s="106"/>
      <c r="B638" s="107"/>
      <c r="C638" s="107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</row>
    <row r="639" ht="17.25" customHeight="1">
      <c r="A639" s="106"/>
      <c r="B639" s="107"/>
      <c r="C639" s="107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</row>
    <row r="640" ht="17.25" customHeight="1">
      <c r="A640" s="106"/>
      <c r="B640" s="107"/>
      <c r="C640" s="107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</row>
    <row r="641" ht="17.25" customHeight="1">
      <c r="A641" s="106"/>
      <c r="B641" s="107"/>
      <c r="C641" s="107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</row>
    <row r="642" ht="17.25" customHeight="1">
      <c r="A642" s="106"/>
      <c r="B642" s="107"/>
      <c r="C642" s="107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</row>
    <row r="643" ht="17.25" customHeight="1">
      <c r="A643" s="106"/>
      <c r="B643" s="107"/>
      <c r="C643" s="107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</row>
    <row r="644" ht="17.25" customHeight="1">
      <c r="A644" s="106"/>
      <c r="B644" s="107"/>
      <c r="C644" s="107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</row>
    <row r="645" ht="17.25" customHeight="1">
      <c r="A645" s="106"/>
      <c r="B645" s="107"/>
      <c r="C645" s="107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</row>
    <row r="646" ht="17.25" customHeight="1">
      <c r="A646" s="106"/>
      <c r="B646" s="107"/>
      <c r="C646" s="107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</row>
    <row r="647" ht="17.25" customHeight="1">
      <c r="A647" s="106"/>
      <c r="B647" s="107"/>
      <c r="C647" s="107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</row>
    <row r="648" ht="17.25" customHeight="1">
      <c r="A648" s="106"/>
      <c r="B648" s="107"/>
      <c r="C648" s="107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</row>
    <row r="649" ht="17.25" customHeight="1">
      <c r="A649" s="106"/>
      <c r="B649" s="107"/>
      <c r="C649" s="107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</row>
    <row r="650" ht="17.25" customHeight="1">
      <c r="A650" s="106"/>
      <c r="B650" s="107"/>
      <c r="C650" s="107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</row>
    <row r="651" ht="17.25" customHeight="1">
      <c r="A651" s="106"/>
      <c r="B651" s="107"/>
      <c r="C651" s="107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</row>
    <row r="652" ht="17.25" customHeight="1">
      <c r="A652" s="106"/>
      <c r="B652" s="107"/>
      <c r="C652" s="107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</row>
    <row r="653" ht="17.25" customHeight="1">
      <c r="A653" s="106"/>
      <c r="B653" s="107"/>
      <c r="C653" s="107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</row>
    <row r="654" ht="17.25" customHeight="1">
      <c r="A654" s="106"/>
      <c r="B654" s="107"/>
      <c r="C654" s="107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</row>
    <row r="655" ht="17.25" customHeight="1">
      <c r="A655" s="106"/>
      <c r="B655" s="107"/>
      <c r="C655" s="107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</row>
    <row r="656" ht="17.25" customHeight="1">
      <c r="A656" s="106"/>
      <c r="B656" s="107"/>
      <c r="C656" s="107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</row>
    <row r="657" ht="17.25" customHeight="1">
      <c r="A657" s="106"/>
      <c r="B657" s="107"/>
      <c r="C657" s="107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</row>
    <row r="658" ht="17.25" customHeight="1">
      <c r="A658" s="106"/>
      <c r="B658" s="107"/>
      <c r="C658" s="107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</row>
    <row r="659" ht="17.25" customHeight="1">
      <c r="A659" s="106"/>
      <c r="B659" s="107"/>
      <c r="C659" s="107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</row>
    <row r="660" ht="17.25" customHeight="1">
      <c r="A660" s="106"/>
      <c r="B660" s="107"/>
      <c r="C660" s="107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</row>
    <row r="661" ht="17.25" customHeight="1">
      <c r="A661" s="106"/>
      <c r="B661" s="107"/>
      <c r="C661" s="107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</row>
    <row r="662" ht="17.25" customHeight="1">
      <c r="A662" s="106"/>
      <c r="B662" s="107"/>
      <c r="C662" s="107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</row>
    <row r="663" ht="17.25" customHeight="1">
      <c r="A663" s="106"/>
      <c r="B663" s="107"/>
      <c r="C663" s="107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</row>
    <row r="664" ht="17.25" customHeight="1">
      <c r="A664" s="106"/>
      <c r="B664" s="107"/>
      <c r="C664" s="107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</row>
    <row r="665" ht="17.25" customHeight="1">
      <c r="A665" s="106"/>
      <c r="B665" s="107"/>
      <c r="C665" s="107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</row>
    <row r="666" ht="17.25" customHeight="1">
      <c r="A666" s="106"/>
      <c r="B666" s="107"/>
      <c r="C666" s="107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</row>
    <row r="667" ht="17.25" customHeight="1">
      <c r="A667" s="106"/>
      <c r="B667" s="107"/>
      <c r="C667" s="107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</row>
    <row r="668" ht="17.25" customHeight="1">
      <c r="A668" s="106"/>
      <c r="B668" s="107"/>
      <c r="C668" s="107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</row>
    <row r="669" ht="17.25" customHeight="1">
      <c r="A669" s="106"/>
      <c r="B669" s="107"/>
      <c r="C669" s="107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</row>
    <row r="670" ht="17.25" customHeight="1">
      <c r="A670" s="106"/>
      <c r="B670" s="107"/>
      <c r="C670" s="107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</row>
    <row r="671" ht="17.25" customHeight="1">
      <c r="A671" s="106"/>
      <c r="B671" s="107"/>
      <c r="C671" s="107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</row>
    <row r="672" ht="17.25" customHeight="1">
      <c r="A672" s="106"/>
      <c r="B672" s="107"/>
      <c r="C672" s="107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</row>
    <row r="673" ht="17.25" customHeight="1">
      <c r="A673" s="106"/>
      <c r="B673" s="107"/>
      <c r="C673" s="107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</row>
    <row r="674" ht="17.25" customHeight="1">
      <c r="A674" s="106"/>
      <c r="B674" s="107"/>
      <c r="C674" s="107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</row>
    <row r="675" ht="17.25" customHeight="1">
      <c r="A675" s="106"/>
      <c r="B675" s="107"/>
      <c r="C675" s="107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</row>
    <row r="676" ht="17.25" customHeight="1">
      <c r="A676" s="106"/>
      <c r="B676" s="107"/>
      <c r="C676" s="107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</row>
    <row r="677" ht="17.25" customHeight="1">
      <c r="A677" s="106"/>
      <c r="B677" s="107"/>
      <c r="C677" s="107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</row>
    <row r="678" ht="17.25" customHeight="1">
      <c r="A678" s="106"/>
      <c r="B678" s="107"/>
      <c r="C678" s="107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</row>
    <row r="679" ht="17.25" customHeight="1">
      <c r="A679" s="106"/>
      <c r="B679" s="107"/>
      <c r="C679" s="107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</row>
    <row r="680" ht="17.25" customHeight="1">
      <c r="A680" s="106"/>
      <c r="B680" s="107"/>
      <c r="C680" s="107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</row>
    <row r="681" ht="17.25" customHeight="1">
      <c r="A681" s="106"/>
      <c r="B681" s="107"/>
      <c r="C681" s="107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</row>
    <row r="682" ht="17.25" customHeight="1">
      <c r="A682" s="106"/>
      <c r="B682" s="107"/>
      <c r="C682" s="107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</row>
    <row r="683" ht="17.25" customHeight="1">
      <c r="A683" s="106"/>
      <c r="B683" s="107"/>
      <c r="C683" s="107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</row>
    <row r="684" ht="17.25" customHeight="1">
      <c r="A684" s="106"/>
      <c r="B684" s="107"/>
      <c r="C684" s="107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</row>
    <row r="685" ht="17.25" customHeight="1">
      <c r="A685" s="106"/>
      <c r="B685" s="107"/>
      <c r="C685" s="107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</row>
    <row r="686" ht="17.25" customHeight="1">
      <c r="A686" s="106"/>
      <c r="B686" s="107"/>
      <c r="C686" s="107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</row>
    <row r="687" ht="17.25" customHeight="1">
      <c r="A687" s="106"/>
      <c r="B687" s="107"/>
      <c r="C687" s="107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</row>
    <row r="688" ht="17.25" customHeight="1">
      <c r="A688" s="106"/>
      <c r="B688" s="107"/>
      <c r="C688" s="107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</row>
    <row r="689" ht="17.25" customHeight="1">
      <c r="A689" s="106"/>
      <c r="B689" s="107"/>
      <c r="C689" s="107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</row>
    <row r="690" ht="17.25" customHeight="1">
      <c r="A690" s="106"/>
      <c r="B690" s="107"/>
      <c r="C690" s="107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</row>
    <row r="691" ht="17.25" customHeight="1">
      <c r="A691" s="106"/>
      <c r="B691" s="107"/>
      <c r="C691" s="107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</row>
    <row r="692" ht="17.25" customHeight="1">
      <c r="A692" s="106"/>
      <c r="B692" s="107"/>
      <c r="C692" s="107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</row>
    <row r="693" ht="17.25" customHeight="1">
      <c r="A693" s="106"/>
      <c r="B693" s="107"/>
      <c r="C693" s="107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</row>
    <row r="694" ht="17.25" customHeight="1">
      <c r="A694" s="106"/>
      <c r="B694" s="107"/>
      <c r="C694" s="107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</row>
    <row r="695" ht="17.25" customHeight="1">
      <c r="A695" s="106"/>
      <c r="B695" s="107"/>
      <c r="C695" s="107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</row>
    <row r="696" ht="17.25" customHeight="1">
      <c r="A696" s="106"/>
      <c r="B696" s="107"/>
      <c r="C696" s="107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</row>
    <row r="697" ht="17.25" customHeight="1">
      <c r="A697" s="106"/>
      <c r="B697" s="107"/>
      <c r="C697" s="107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</row>
    <row r="698" ht="17.25" customHeight="1">
      <c r="A698" s="106"/>
      <c r="B698" s="107"/>
      <c r="C698" s="107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</row>
    <row r="699" ht="17.25" customHeight="1">
      <c r="A699" s="106"/>
      <c r="B699" s="107"/>
      <c r="C699" s="107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</row>
    <row r="700" ht="17.25" customHeight="1">
      <c r="A700" s="106"/>
      <c r="B700" s="107"/>
      <c r="C700" s="107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</row>
    <row r="701" ht="17.25" customHeight="1">
      <c r="A701" s="106"/>
      <c r="B701" s="107"/>
      <c r="C701" s="107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</row>
    <row r="702" ht="17.25" customHeight="1">
      <c r="A702" s="106"/>
      <c r="B702" s="107"/>
      <c r="C702" s="107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</row>
    <row r="703" ht="17.25" customHeight="1">
      <c r="A703" s="106"/>
      <c r="B703" s="107"/>
      <c r="C703" s="107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</row>
    <row r="704" ht="17.25" customHeight="1">
      <c r="A704" s="106"/>
      <c r="B704" s="107"/>
      <c r="C704" s="107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</row>
    <row r="705" ht="17.25" customHeight="1">
      <c r="A705" s="106"/>
      <c r="B705" s="107"/>
      <c r="C705" s="107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</row>
    <row r="706" ht="17.25" customHeight="1">
      <c r="A706" s="106"/>
      <c r="B706" s="107"/>
      <c r="C706" s="107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</row>
    <row r="707" ht="17.25" customHeight="1">
      <c r="A707" s="106"/>
      <c r="B707" s="107"/>
      <c r="C707" s="107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</row>
    <row r="708" ht="17.25" customHeight="1">
      <c r="A708" s="106"/>
      <c r="B708" s="107"/>
      <c r="C708" s="107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</row>
    <row r="709" ht="17.25" customHeight="1">
      <c r="A709" s="106"/>
      <c r="B709" s="107"/>
      <c r="C709" s="107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</row>
    <row r="710" ht="17.25" customHeight="1">
      <c r="A710" s="106"/>
      <c r="B710" s="107"/>
      <c r="C710" s="107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</row>
    <row r="711" ht="17.25" customHeight="1">
      <c r="A711" s="106"/>
      <c r="B711" s="107"/>
      <c r="C711" s="107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</row>
    <row r="712" ht="17.25" customHeight="1">
      <c r="A712" s="106"/>
      <c r="B712" s="107"/>
      <c r="C712" s="107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</row>
    <row r="713" ht="17.25" customHeight="1">
      <c r="A713" s="106"/>
      <c r="B713" s="107"/>
      <c r="C713" s="107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</row>
    <row r="714" ht="17.25" customHeight="1">
      <c r="A714" s="106"/>
      <c r="B714" s="107"/>
      <c r="C714" s="107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</row>
    <row r="715" ht="17.25" customHeight="1">
      <c r="A715" s="106"/>
      <c r="B715" s="107"/>
      <c r="C715" s="107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</row>
    <row r="716" ht="17.25" customHeight="1">
      <c r="A716" s="106"/>
      <c r="B716" s="107"/>
      <c r="C716" s="107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</row>
    <row r="717" ht="17.25" customHeight="1">
      <c r="A717" s="106"/>
      <c r="B717" s="107"/>
      <c r="C717" s="107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</row>
    <row r="718" ht="17.25" customHeight="1">
      <c r="A718" s="106"/>
      <c r="B718" s="107"/>
      <c r="C718" s="107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</row>
    <row r="719" ht="17.25" customHeight="1">
      <c r="A719" s="106"/>
      <c r="B719" s="107"/>
      <c r="C719" s="107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</row>
    <row r="720" ht="17.25" customHeight="1">
      <c r="A720" s="106"/>
      <c r="B720" s="107"/>
      <c r="C720" s="107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</row>
    <row r="721" ht="17.25" customHeight="1">
      <c r="A721" s="106"/>
      <c r="B721" s="107"/>
      <c r="C721" s="107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</row>
    <row r="722" ht="17.25" customHeight="1">
      <c r="A722" s="106"/>
      <c r="B722" s="107"/>
      <c r="C722" s="107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</row>
    <row r="723" ht="17.25" customHeight="1">
      <c r="A723" s="106"/>
      <c r="B723" s="107"/>
      <c r="C723" s="107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</row>
    <row r="724" ht="17.25" customHeight="1">
      <c r="A724" s="106"/>
      <c r="B724" s="107"/>
      <c r="C724" s="107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</row>
    <row r="725" ht="17.25" customHeight="1">
      <c r="A725" s="106"/>
      <c r="B725" s="107"/>
      <c r="C725" s="107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</row>
    <row r="726" ht="17.25" customHeight="1">
      <c r="A726" s="106"/>
      <c r="B726" s="107"/>
      <c r="C726" s="107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</row>
    <row r="727" ht="17.25" customHeight="1">
      <c r="A727" s="106"/>
      <c r="B727" s="107"/>
      <c r="C727" s="107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</row>
    <row r="728" ht="17.25" customHeight="1">
      <c r="A728" s="106"/>
      <c r="B728" s="107"/>
      <c r="C728" s="107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</row>
    <row r="729" ht="17.25" customHeight="1">
      <c r="A729" s="106"/>
      <c r="B729" s="107"/>
      <c r="C729" s="107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</row>
    <row r="730" ht="17.25" customHeight="1">
      <c r="A730" s="106"/>
      <c r="B730" s="107"/>
      <c r="C730" s="107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</row>
    <row r="731" ht="17.25" customHeight="1">
      <c r="A731" s="106"/>
      <c r="B731" s="107"/>
      <c r="C731" s="107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</row>
    <row r="732" ht="17.25" customHeight="1">
      <c r="A732" s="106"/>
      <c r="B732" s="107"/>
      <c r="C732" s="107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</row>
    <row r="733" ht="17.25" customHeight="1">
      <c r="A733" s="106"/>
      <c r="B733" s="107"/>
      <c r="C733" s="107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</row>
    <row r="734" ht="17.25" customHeight="1">
      <c r="A734" s="106"/>
      <c r="B734" s="107"/>
      <c r="C734" s="107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</row>
    <row r="735" ht="17.25" customHeight="1">
      <c r="A735" s="106"/>
      <c r="B735" s="107"/>
      <c r="C735" s="107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</row>
    <row r="736" ht="17.25" customHeight="1">
      <c r="A736" s="106"/>
      <c r="B736" s="107"/>
      <c r="C736" s="107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</row>
    <row r="737" ht="17.25" customHeight="1">
      <c r="A737" s="106"/>
      <c r="B737" s="107"/>
      <c r="C737" s="107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</row>
    <row r="738" ht="17.25" customHeight="1">
      <c r="A738" s="106"/>
      <c r="B738" s="107"/>
      <c r="C738" s="107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</row>
    <row r="739" ht="17.25" customHeight="1">
      <c r="A739" s="106"/>
      <c r="B739" s="107"/>
      <c r="C739" s="107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</row>
    <row r="740" ht="17.25" customHeight="1">
      <c r="A740" s="106"/>
      <c r="B740" s="107"/>
      <c r="C740" s="107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</row>
    <row r="741" ht="17.25" customHeight="1">
      <c r="A741" s="106"/>
      <c r="B741" s="107"/>
      <c r="C741" s="107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</row>
    <row r="742" ht="17.25" customHeight="1">
      <c r="A742" s="106"/>
      <c r="B742" s="107"/>
      <c r="C742" s="107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</row>
    <row r="743" ht="17.25" customHeight="1">
      <c r="A743" s="106"/>
      <c r="B743" s="107"/>
      <c r="C743" s="107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</row>
    <row r="744" ht="17.25" customHeight="1">
      <c r="A744" s="106"/>
      <c r="B744" s="107"/>
      <c r="C744" s="107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</row>
    <row r="745" ht="17.25" customHeight="1">
      <c r="A745" s="106"/>
      <c r="B745" s="107"/>
      <c r="C745" s="107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</row>
    <row r="746" ht="17.25" customHeight="1">
      <c r="A746" s="106"/>
      <c r="B746" s="107"/>
      <c r="C746" s="107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</row>
    <row r="747" ht="17.25" customHeight="1">
      <c r="A747" s="106"/>
      <c r="B747" s="107"/>
      <c r="C747" s="107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</row>
    <row r="748" ht="17.25" customHeight="1">
      <c r="A748" s="106"/>
      <c r="B748" s="107"/>
      <c r="C748" s="107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</row>
    <row r="749" ht="17.25" customHeight="1">
      <c r="A749" s="106"/>
      <c r="B749" s="107"/>
      <c r="C749" s="107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</row>
    <row r="750" ht="17.25" customHeight="1">
      <c r="A750" s="106"/>
      <c r="B750" s="107"/>
      <c r="C750" s="107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</row>
    <row r="751" ht="17.25" customHeight="1">
      <c r="A751" s="106"/>
      <c r="B751" s="107"/>
      <c r="C751" s="107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</row>
    <row r="752" ht="17.25" customHeight="1">
      <c r="A752" s="106"/>
      <c r="B752" s="107"/>
      <c r="C752" s="107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</row>
    <row r="753" ht="17.25" customHeight="1">
      <c r="A753" s="106"/>
      <c r="B753" s="107"/>
      <c r="C753" s="107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</row>
    <row r="754" ht="17.25" customHeight="1">
      <c r="A754" s="106"/>
      <c r="B754" s="107"/>
      <c r="C754" s="107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</row>
    <row r="755" ht="17.25" customHeight="1">
      <c r="A755" s="106"/>
      <c r="B755" s="107"/>
      <c r="C755" s="107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</row>
    <row r="756" ht="17.25" customHeight="1">
      <c r="A756" s="106"/>
      <c r="B756" s="107"/>
      <c r="C756" s="107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</row>
    <row r="757" ht="17.25" customHeight="1">
      <c r="A757" s="106"/>
      <c r="B757" s="107"/>
      <c r="C757" s="107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</row>
    <row r="758" ht="17.25" customHeight="1">
      <c r="A758" s="106"/>
      <c r="B758" s="107"/>
      <c r="C758" s="107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</row>
    <row r="759" ht="17.25" customHeight="1">
      <c r="A759" s="106"/>
      <c r="B759" s="107"/>
      <c r="C759" s="107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</row>
    <row r="760" ht="17.25" customHeight="1">
      <c r="A760" s="106"/>
      <c r="B760" s="107"/>
      <c r="C760" s="107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</row>
    <row r="761" ht="17.25" customHeight="1">
      <c r="A761" s="106"/>
      <c r="B761" s="107"/>
      <c r="C761" s="107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</row>
    <row r="762" ht="17.25" customHeight="1">
      <c r="A762" s="106"/>
      <c r="B762" s="107"/>
      <c r="C762" s="107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</row>
    <row r="763" ht="17.25" customHeight="1">
      <c r="A763" s="106"/>
      <c r="B763" s="107"/>
      <c r="C763" s="107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</row>
    <row r="764" ht="17.25" customHeight="1">
      <c r="A764" s="106"/>
      <c r="B764" s="107"/>
      <c r="C764" s="107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</row>
    <row r="765" ht="17.25" customHeight="1">
      <c r="A765" s="106"/>
      <c r="B765" s="107"/>
      <c r="C765" s="107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</row>
    <row r="766" ht="17.25" customHeight="1">
      <c r="A766" s="106"/>
      <c r="B766" s="107"/>
      <c r="C766" s="107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</row>
    <row r="767" ht="17.25" customHeight="1">
      <c r="A767" s="106"/>
      <c r="B767" s="107"/>
      <c r="C767" s="107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</row>
    <row r="768" ht="17.25" customHeight="1">
      <c r="A768" s="106"/>
      <c r="B768" s="107"/>
      <c r="C768" s="107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</row>
    <row r="769" ht="17.25" customHeight="1">
      <c r="A769" s="106"/>
      <c r="B769" s="107"/>
      <c r="C769" s="107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</row>
    <row r="770" ht="17.25" customHeight="1">
      <c r="A770" s="106"/>
      <c r="B770" s="107"/>
      <c r="C770" s="107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</row>
    <row r="771" ht="17.25" customHeight="1">
      <c r="A771" s="106"/>
      <c r="B771" s="107"/>
      <c r="C771" s="107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</row>
    <row r="772" ht="17.25" customHeight="1">
      <c r="A772" s="106"/>
      <c r="B772" s="107"/>
      <c r="C772" s="107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</row>
    <row r="773" ht="17.25" customHeight="1">
      <c r="A773" s="106"/>
      <c r="B773" s="107"/>
      <c r="C773" s="107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</row>
    <row r="774" ht="17.25" customHeight="1">
      <c r="A774" s="106"/>
      <c r="B774" s="107"/>
      <c r="C774" s="107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</row>
    <row r="775" ht="17.25" customHeight="1">
      <c r="A775" s="106"/>
      <c r="B775" s="107"/>
      <c r="C775" s="107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</row>
    <row r="776" ht="17.25" customHeight="1">
      <c r="A776" s="106"/>
      <c r="B776" s="107"/>
      <c r="C776" s="107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</row>
    <row r="777" ht="17.25" customHeight="1">
      <c r="A777" s="106"/>
      <c r="B777" s="107"/>
      <c r="C777" s="107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</row>
    <row r="778" ht="17.25" customHeight="1">
      <c r="A778" s="106"/>
      <c r="B778" s="107"/>
      <c r="C778" s="107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</row>
    <row r="779" ht="17.25" customHeight="1">
      <c r="A779" s="106"/>
      <c r="B779" s="107"/>
      <c r="C779" s="107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</row>
    <row r="780" ht="17.25" customHeight="1">
      <c r="A780" s="106"/>
      <c r="B780" s="107"/>
      <c r="C780" s="107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</row>
    <row r="781" ht="17.25" customHeight="1">
      <c r="A781" s="106"/>
      <c r="B781" s="107"/>
      <c r="C781" s="107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</row>
    <row r="782" ht="17.25" customHeight="1">
      <c r="A782" s="106"/>
      <c r="B782" s="107"/>
      <c r="C782" s="107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</row>
    <row r="783" ht="17.25" customHeight="1">
      <c r="A783" s="106"/>
      <c r="B783" s="107"/>
      <c r="C783" s="107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</row>
    <row r="784" ht="17.25" customHeight="1">
      <c r="A784" s="106"/>
      <c r="B784" s="107"/>
      <c r="C784" s="107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</row>
    <row r="785" ht="17.25" customHeight="1">
      <c r="A785" s="106"/>
      <c r="B785" s="107"/>
      <c r="C785" s="107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</row>
    <row r="786" ht="17.25" customHeight="1">
      <c r="A786" s="106"/>
      <c r="B786" s="107"/>
      <c r="C786" s="107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</row>
    <row r="787" ht="17.25" customHeight="1">
      <c r="A787" s="106"/>
      <c r="B787" s="107"/>
      <c r="C787" s="107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</row>
    <row r="788" ht="17.25" customHeight="1">
      <c r="A788" s="106"/>
      <c r="B788" s="107"/>
      <c r="C788" s="107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</row>
    <row r="789" ht="17.25" customHeight="1">
      <c r="A789" s="106"/>
      <c r="B789" s="107"/>
      <c r="C789" s="107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</row>
    <row r="790" ht="17.25" customHeight="1">
      <c r="A790" s="106"/>
      <c r="B790" s="107"/>
      <c r="C790" s="107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</row>
    <row r="791" ht="17.25" customHeight="1">
      <c r="A791" s="106"/>
      <c r="B791" s="107"/>
      <c r="C791" s="107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</row>
    <row r="792" ht="17.25" customHeight="1">
      <c r="A792" s="106"/>
      <c r="B792" s="107"/>
      <c r="C792" s="107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</row>
    <row r="793" ht="17.25" customHeight="1">
      <c r="A793" s="106"/>
      <c r="B793" s="107"/>
      <c r="C793" s="107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</row>
    <row r="794" ht="17.25" customHeight="1">
      <c r="A794" s="106"/>
      <c r="B794" s="107"/>
      <c r="C794" s="107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</row>
    <row r="795" ht="17.25" customHeight="1">
      <c r="A795" s="106"/>
      <c r="B795" s="107"/>
      <c r="C795" s="107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</row>
    <row r="796" ht="17.25" customHeight="1">
      <c r="A796" s="106"/>
      <c r="B796" s="107"/>
      <c r="C796" s="107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</row>
    <row r="797" ht="17.25" customHeight="1">
      <c r="A797" s="106"/>
      <c r="B797" s="107"/>
      <c r="C797" s="107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</row>
    <row r="798" ht="17.25" customHeight="1">
      <c r="A798" s="106"/>
      <c r="B798" s="107"/>
      <c r="C798" s="107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</row>
    <row r="799" ht="17.25" customHeight="1">
      <c r="A799" s="106"/>
      <c r="B799" s="107"/>
      <c r="C799" s="107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</row>
    <row r="800" ht="17.25" customHeight="1">
      <c r="A800" s="106"/>
      <c r="B800" s="107"/>
      <c r="C800" s="107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</row>
    <row r="801" ht="17.25" customHeight="1">
      <c r="A801" s="106"/>
      <c r="B801" s="107"/>
      <c r="C801" s="107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</row>
    <row r="802" ht="17.25" customHeight="1">
      <c r="A802" s="106"/>
      <c r="B802" s="107"/>
      <c r="C802" s="107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</row>
    <row r="803" ht="17.25" customHeight="1">
      <c r="A803" s="106"/>
      <c r="B803" s="107"/>
      <c r="C803" s="107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</row>
    <row r="804" ht="17.25" customHeight="1">
      <c r="A804" s="106"/>
      <c r="B804" s="107"/>
      <c r="C804" s="107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</row>
    <row r="805" ht="17.25" customHeight="1">
      <c r="A805" s="106"/>
      <c r="B805" s="107"/>
      <c r="C805" s="107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</row>
    <row r="806" ht="17.25" customHeight="1">
      <c r="A806" s="106"/>
      <c r="B806" s="107"/>
      <c r="C806" s="107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</row>
    <row r="807" ht="17.25" customHeight="1">
      <c r="A807" s="106"/>
      <c r="B807" s="107"/>
      <c r="C807" s="107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</row>
    <row r="808" ht="17.25" customHeight="1">
      <c r="A808" s="106"/>
      <c r="B808" s="107"/>
      <c r="C808" s="107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</row>
    <row r="809" ht="17.25" customHeight="1">
      <c r="A809" s="106"/>
      <c r="B809" s="107"/>
      <c r="C809" s="107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</row>
    <row r="810" ht="17.25" customHeight="1">
      <c r="A810" s="106"/>
      <c r="B810" s="107"/>
      <c r="C810" s="107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</row>
    <row r="811" ht="17.25" customHeight="1">
      <c r="A811" s="106"/>
      <c r="B811" s="107"/>
      <c r="C811" s="107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</row>
    <row r="812" ht="17.25" customHeight="1">
      <c r="A812" s="106"/>
      <c r="B812" s="107"/>
      <c r="C812" s="107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</row>
    <row r="813" ht="17.25" customHeight="1">
      <c r="A813" s="106"/>
      <c r="B813" s="107"/>
      <c r="C813" s="107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</row>
    <row r="814" ht="17.25" customHeight="1">
      <c r="A814" s="106"/>
      <c r="B814" s="107"/>
      <c r="C814" s="107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</row>
    <row r="815" ht="17.25" customHeight="1">
      <c r="A815" s="106"/>
      <c r="B815" s="107"/>
      <c r="C815" s="107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</row>
    <row r="816" ht="17.25" customHeight="1">
      <c r="A816" s="106"/>
      <c r="B816" s="107"/>
      <c r="C816" s="107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</row>
    <row r="817" ht="17.25" customHeight="1">
      <c r="A817" s="106"/>
      <c r="B817" s="107"/>
      <c r="C817" s="107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</row>
    <row r="818" ht="17.25" customHeight="1">
      <c r="A818" s="106"/>
      <c r="B818" s="107"/>
      <c r="C818" s="107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</row>
    <row r="819" ht="17.25" customHeight="1">
      <c r="A819" s="106"/>
      <c r="B819" s="107"/>
      <c r="C819" s="107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</row>
    <row r="820" ht="17.25" customHeight="1">
      <c r="A820" s="106"/>
      <c r="B820" s="107"/>
      <c r="C820" s="107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</row>
    <row r="821" ht="17.25" customHeight="1">
      <c r="A821" s="106"/>
      <c r="B821" s="107"/>
      <c r="C821" s="107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</row>
    <row r="822" ht="17.25" customHeight="1">
      <c r="A822" s="106"/>
      <c r="B822" s="107"/>
      <c r="C822" s="107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</row>
    <row r="823" ht="17.25" customHeight="1">
      <c r="A823" s="106"/>
      <c r="B823" s="107"/>
      <c r="C823" s="107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</row>
    <row r="824" ht="17.25" customHeight="1">
      <c r="A824" s="106"/>
      <c r="B824" s="107"/>
      <c r="C824" s="107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</row>
    <row r="825" ht="17.25" customHeight="1">
      <c r="A825" s="106"/>
      <c r="B825" s="107"/>
      <c r="C825" s="107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</row>
    <row r="826" ht="17.25" customHeight="1">
      <c r="A826" s="106"/>
      <c r="B826" s="107"/>
      <c r="C826" s="107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</row>
    <row r="827" ht="17.25" customHeight="1">
      <c r="A827" s="106"/>
      <c r="B827" s="107"/>
      <c r="C827" s="107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</row>
    <row r="828" ht="17.25" customHeight="1">
      <c r="A828" s="106"/>
      <c r="B828" s="107"/>
      <c r="C828" s="107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</row>
    <row r="829" ht="17.25" customHeight="1">
      <c r="A829" s="106"/>
      <c r="B829" s="107"/>
      <c r="C829" s="107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</row>
    <row r="830" ht="17.25" customHeight="1">
      <c r="A830" s="106"/>
      <c r="B830" s="107"/>
      <c r="C830" s="107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</row>
    <row r="831" ht="17.25" customHeight="1">
      <c r="A831" s="106"/>
      <c r="B831" s="107"/>
      <c r="C831" s="107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</row>
    <row r="832" ht="17.25" customHeight="1">
      <c r="A832" s="106"/>
      <c r="B832" s="107"/>
      <c r="C832" s="107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</row>
    <row r="833" ht="17.25" customHeight="1">
      <c r="A833" s="106"/>
      <c r="B833" s="107"/>
      <c r="C833" s="107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</row>
    <row r="834" ht="17.25" customHeight="1">
      <c r="A834" s="106"/>
      <c r="B834" s="107"/>
      <c r="C834" s="107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</row>
    <row r="835" ht="17.25" customHeight="1">
      <c r="A835" s="106"/>
      <c r="B835" s="107"/>
      <c r="C835" s="107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</row>
    <row r="836" ht="17.25" customHeight="1">
      <c r="A836" s="106"/>
      <c r="B836" s="107"/>
      <c r="C836" s="107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</row>
    <row r="837" ht="17.25" customHeight="1">
      <c r="A837" s="106"/>
      <c r="B837" s="107"/>
      <c r="C837" s="107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</row>
    <row r="838" ht="17.25" customHeight="1">
      <c r="A838" s="106"/>
      <c r="B838" s="107"/>
      <c r="C838" s="107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</row>
    <row r="839" ht="17.25" customHeight="1">
      <c r="A839" s="106"/>
      <c r="B839" s="107"/>
      <c r="C839" s="107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</row>
    <row r="840" ht="17.25" customHeight="1">
      <c r="A840" s="106"/>
      <c r="B840" s="107"/>
      <c r="C840" s="107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</row>
    <row r="841" ht="17.25" customHeight="1">
      <c r="A841" s="106"/>
      <c r="B841" s="107"/>
      <c r="C841" s="107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</row>
    <row r="842" ht="17.25" customHeight="1">
      <c r="A842" s="106"/>
      <c r="B842" s="107"/>
      <c r="C842" s="107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</row>
    <row r="843" ht="17.25" customHeight="1">
      <c r="A843" s="106"/>
      <c r="B843" s="107"/>
      <c r="C843" s="107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</row>
    <row r="844" ht="17.25" customHeight="1">
      <c r="A844" s="106"/>
      <c r="B844" s="107"/>
      <c r="C844" s="107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</row>
    <row r="845" ht="17.25" customHeight="1">
      <c r="A845" s="106"/>
      <c r="B845" s="107"/>
      <c r="C845" s="107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</row>
    <row r="846" ht="17.25" customHeight="1">
      <c r="A846" s="106"/>
      <c r="B846" s="107"/>
      <c r="C846" s="107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</row>
    <row r="847" ht="17.25" customHeight="1">
      <c r="A847" s="106"/>
      <c r="B847" s="107"/>
      <c r="C847" s="107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</row>
    <row r="848" ht="17.25" customHeight="1">
      <c r="A848" s="106"/>
      <c r="B848" s="107"/>
      <c r="C848" s="107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</row>
    <row r="849" ht="17.25" customHeight="1">
      <c r="A849" s="106"/>
      <c r="B849" s="107"/>
      <c r="C849" s="107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</row>
    <row r="850" ht="17.25" customHeight="1">
      <c r="A850" s="106"/>
      <c r="B850" s="107"/>
      <c r="C850" s="107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</row>
    <row r="851" ht="17.25" customHeight="1">
      <c r="A851" s="106"/>
      <c r="B851" s="107"/>
      <c r="C851" s="107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</row>
    <row r="852" ht="17.25" customHeight="1">
      <c r="A852" s="106"/>
      <c r="B852" s="107"/>
      <c r="C852" s="107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</row>
    <row r="853" ht="17.25" customHeight="1">
      <c r="A853" s="106"/>
      <c r="B853" s="107"/>
      <c r="C853" s="107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</row>
    <row r="854" ht="17.25" customHeight="1">
      <c r="A854" s="106"/>
      <c r="B854" s="107"/>
      <c r="C854" s="107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</row>
    <row r="855" ht="17.25" customHeight="1">
      <c r="A855" s="106"/>
      <c r="B855" s="107"/>
      <c r="C855" s="107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</row>
    <row r="856" ht="17.25" customHeight="1">
      <c r="A856" s="106"/>
      <c r="B856" s="107"/>
      <c r="C856" s="107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</row>
    <row r="857" ht="17.25" customHeight="1">
      <c r="A857" s="106"/>
      <c r="B857" s="107"/>
      <c r="C857" s="107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</row>
    <row r="858" ht="17.25" customHeight="1">
      <c r="A858" s="106"/>
      <c r="B858" s="107"/>
      <c r="C858" s="107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</row>
    <row r="859" ht="17.25" customHeight="1">
      <c r="A859" s="106"/>
      <c r="B859" s="107"/>
      <c r="C859" s="107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</row>
    <row r="860" ht="17.25" customHeight="1">
      <c r="A860" s="106"/>
      <c r="B860" s="107"/>
      <c r="C860" s="107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</row>
    <row r="861" ht="17.25" customHeight="1">
      <c r="A861" s="106"/>
      <c r="B861" s="107"/>
      <c r="C861" s="107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</row>
    <row r="862" ht="17.25" customHeight="1">
      <c r="A862" s="106"/>
      <c r="B862" s="107"/>
      <c r="C862" s="107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</row>
    <row r="863" ht="17.25" customHeight="1">
      <c r="A863" s="106"/>
      <c r="B863" s="107"/>
      <c r="C863" s="107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</row>
    <row r="864" ht="17.25" customHeight="1">
      <c r="A864" s="106"/>
      <c r="B864" s="107"/>
      <c r="C864" s="107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</row>
    <row r="865" ht="17.25" customHeight="1">
      <c r="A865" s="106"/>
      <c r="B865" s="107"/>
      <c r="C865" s="107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</row>
    <row r="866" ht="17.25" customHeight="1">
      <c r="A866" s="106"/>
      <c r="B866" s="107"/>
      <c r="C866" s="107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</row>
    <row r="867" ht="17.25" customHeight="1">
      <c r="A867" s="106"/>
      <c r="B867" s="107"/>
      <c r="C867" s="107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</row>
    <row r="868" ht="17.25" customHeight="1">
      <c r="A868" s="106"/>
      <c r="B868" s="107"/>
      <c r="C868" s="107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</row>
    <row r="869" ht="17.25" customHeight="1">
      <c r="A869" s="106"/>
      <c r="B869" s="107"/>
      <c r="C869" s="107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</row>
    <row r="870" ht="17.25" customHeight="1">
      <c r="A870" s="106"/>
      <c r="B870" s="107"/>
      <c r="C870" s="107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</row>
    <row r="871" ht="17.25" customHeight="1">
      <c r="A871" s="106"/>
      <c r="B871" s="107"/>
      <c r="C871" s="107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</row>
    <row r="872" ht="17.25" customHeight="1">
      <c r="A872" s="106"/>
      <c r="B872" s="107"/>
      <c r="C872" s="107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</row>
    <row r="873" ht="17.25" customHeight="1">
      <c r="A873" s="106"/>
      <c r="B873" s="107"/>
      <c r="C873" s="107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</row>
    <row r="874" ht="17.25" customHeight="1">
      <c r="A874" s="106"/>
      <c r="B874" s="107"/>
      <c r="C874" s="107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</row>
    <row r="875" ht="17.25" customHeight="1">
      <c r="A875" s="106"/>
      <c r="B875" s="107"/>
      <c r="C875" s="107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</row>
    <row r="876" ht="17.25" customHeight="1">
      <c r="A876" s="106"/>
      <c r="B876" s="107"/>
      <c r="C876" s="107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</row>
    <row r="877" ht="17.25" customHeight="1">
      <c r="A877" s="106"/>
      <c r="B877" s="107"/>
      <c r="C877" s="107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</row>
    <row r="878" ht="17.25" customHeight="1">
      <c r="A878" s="106"/>
      <c r="B878" s="107"/>
      <c r="C878" s="107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</row>
    <row r="879" ht="17.25" customHeight="1">
      <c r="A879" s="106"/>
      <c r="B879" s="107"/>
      <c r="C879" s="107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</row>
    <row r="880" ht="17.25" customHeight="1">
      <c r="A880" s="106"/>
      <c r="B880" s="107"/>
      <c r="C880" s="107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</row>
    <row r="881" ht="17.25" customHeight="1">
      <c r="A881" s="106"/>
      <c r="B881" s="107"/>
      <c r="C881" s="107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</row>
    <row r="882" ht="17.25" customHeight="1">
      <c r="A882" s="106"/>
      <c r="B882" s="107"/>
      <c r="C882" s="107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</row>
    <row r="883" ht="17.25" customHeight="1">
      <c r="A883" s="106"/>
      <c r="B883" s="107"/>
      <c r="C883" s="107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</row>
    <row r="884" ht="17.25" customHeight="1">
      <c r="A884" s="106"/>
      <c r="B884" s="107"/>
      <c r="C884" s="107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</row>
    <row r="885" ht="17.25" customHeight="1">
      <c r="A885" s="106"/>
      <c r="B885" s="107"/>
      <c r="C885" s="107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</row>
    <row r="886" ht="17.25" customHeight="1">
      <c r="A886" s="106"/>
      <c r="B886" s="107"/>
      <c r="C886" s="107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</row>
    <row r="887" ht="17.25" customHeight="1">
      <c r="A887" s="106"/>
      <c r="B887" s="107"/>
      <c r="C887" s="107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</row>
    <row r="888" ht="17.25" customHeight="1">
      <c r="A888" s="106"/>
      <c r="B888" s="107"/>
      <c r="C888" s="107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</row>
    <row r="889" ht="17.25" customHeight="1">
      <c r="A889" s="106"/>
      <c r="B889" s="107"/>
      <c r="C889" s="107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</row>
    <row r="890" ht="17.25" customHeight="1">
      <c r="A890" s="106"/>
      <c r="B890" s="107"/>
      <c r="C890" s="107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</row>
    <row r="891" ht="17.25" customHeight="1">
      <c r="A891" s="106"/>
      <c r="B891" s="107"/>
      <c r="C891" s="107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</row>
    <row r="892" ht="17.25" customHeight="1">
      <c r="A892" s="106"/>
      <c r="B892" s="107"/>
      <c r="C892" s="107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</row>
    <row r="893" ht="17.25" customHeight="1">
      <c r="A893" s="106"/>
      <c r="B893" s="107"/>
      <c r="C893" s="107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</row>
    <row r="894" ht="17.25" customHeight="1">
      <c r="A894" s="106"/>
      <c r="B894" s="107"/>
      <c r="C894" s="107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</row>
    <row r="895" ht="17.25" customHeight="1">
      <c r="A895" s="106"/>
      <c r="B895" s="107"/>
      <c r="C895" s="107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</row>
    <row r="896" ht="17.25" customHeight="1">
      <c r="A896" s="106"/>
      <c r="B896" s="107"/>
      <c r="C896" s="107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</row>
    <row r="897" ht="17.25" customHeight="1">
      <c r="A897" s="106"/>
      <c r="B897" s="107"/>
      <c r="C897" s="107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</row>
    <row r="898" ht="17.25" customHeight="1">
      <c r="A898" s="106"/>
      <c r="B898" s="107"/>
      <c r="C898" s="107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</row>
    <row r="899" ht="17.25" customHeight="1">
      <c r="A899" s="106"/>
      <c r="B899" s="107"/>
      <c r="C899" s="107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</row>
    <row r="900" ht="17.25" customHeight="1">
      <c r="A900" s="106"/>
      <c r="B900" s="107"/>
      <c r="C900" s="107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</row>
    <row r="901" ht="17.25" customHeight="1">
      <c r="A901" s="106"/>
      <c r="B901" s="107"/>
      <c r="C901" s="107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</row>
    <row r="902" ht="17.25" customHeight="1">
      <c r="A902" s="106"/>
      <c r="B902" s="107"/>
      <c r="C902" s="107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</row>
    <row r="903" ht="17.25" customHeight="1">
      <c r="A903" s="106"/>
      <c r="B903" s="107"/>
      <c r="C903" s="107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</row>
    <row r="904" ht="17.25" customHeight="1">
      <c r="A904" s="106"/>
      <c r="B904" s="107"/>
      <c r="C904" s="107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</row>
    <row r="905" ht="17.25" customHeight="1">
      <c r="A905" s="106"/>
      <c r="B905" s="107"/>
      <c r="C905" s="107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</row>
    <row r="906" ht="17.25" customHeight="1">
      <c r="A906" s="106"/>
      <c r="B906" s="107"/>
      <c r="C906" s="107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</row>
    <row r="907" ht="17.25" customHeight="1">
      <c r="A907" s="106"/>
      <c r="B907" s="107"/>
      <c r="C907" s="107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</row>
    <row r="908" ht="17.25" customHeight="1">
      <c r="A908" s="106"/>
      <c r="B908" s="107"/>
      <c r="C908" s="107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</row>
    <row r="909" ht="17.25" customHeight="1">
      <c r="A909" s="106"/>
      <c r="B909" s="107"/>
      <c r="C909" s="107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</row>
    <row r="910" ht="17.25" customHeight="1">
      <c r="A910" s="106"/>
      <c r="B910" s="107"/>
      <c r="C910" s="107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</row>
    <row r="911" ht="17.25" customHeight="1">
      <c r="A911" s="106"/>
      <c r="B911" s="107"/>
      <c r="C911" s="107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</row>
    <row r="912" ht="17.25" customHeight="1">
      <c r="A912" s="106"/>
      <c r="B912" s="107"/>
      <c r="C912" s="107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</row>
    <row r="913" ht="17.25" customHeight="1">
      <c r="A913" s="106"/>
      <c r="B913" s="107"/>
      <c r="C913" s="107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</row>
    <row r="914" ht="17.25" customHeight="1">
      <c r="A914" s="106"/>
      <c r="B914" s="107"/>
      <c r="C914" s="107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</row>
    <row r="915" ht="17.25" customHeight="1">
      <c r="A915" s="106"/>
      <c r="B915" s="107"/>
      <c r="C915" s="107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</row>
    <row r="916" ht="17.25" customHeight="1">
      <c r="A916" s="106"/>
      <c r="B916" s="107"/>
      <c r="C916" s="107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</row>
    <row r="917" ht="17.25" customHeight="1">
      <c r="A917" s="106"/>
      <c r="B917" s="107"/>
      <c r="C917" s="107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</row>
    <row r="918" ht="17.25" customHeight="1">
      <c r="A918" s="106"/>
      <c r="B918" s="107"/>
      <c r="C918" s="107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</row>
    <row r="919" ht="17.25" customHeight="1">
      <c r="A919" s="106"/>
      <c r="B919" s="107"/>
      <c r="C919" s="107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</row>
    <row r="920" ht="17.25" customHeight="1">
      <c r="A920" s="106"/>
      <c r="B920" s="107"/>
      <c r="C920" s="107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</row>
    <row r="921" ht="17.25" customHeight="1">
      <c r="A921" s="106"/>
      <c r="B921" s="107"/>
      <c r="C921" s="107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</row>
    <row r="922" ht="17.25" customHeight="1">
      <c r="A922" s="106"/>
      <c r="B922" s="107"/>
      <c r="C922" s="107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</row>
    <row r="923" ht="17.25" customHeight="1">
      <c r="A923" s="106"/>
      <c r="B923" s="107"/>
      <c r="C923" s="107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</row>
    <row r="924" ht="17.25" customHeight="1">
      <c r="A924" s="106"/>
      <c r="B924" s="107"/>
      <c r="C924" s="107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</row>
    <row r="925" ht="17.25" customHeight="1">
      <c r="A925" s="106"/>
      <c r="B925" s="107"/>
      <c r="C925" s="107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</row>
    <row r="926" ht="17.25" customHeight="1">
      <c r="A926" s="106"/>
      <c r="B926" s="107"/>
      <c r="C926" s="107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</row>
    <row r="927" ht="17.25" customHeight="1">
      <c r="A927" s="106"/>
      <c r="B927" s="107"/>
      <c r="C927" s="107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</row>
    <row r="928" ht="17.25" customHeight="1">
      <c r="A928" s="106"/>
      <c r="B928" s="107"/>
      <c r="C928" s="107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</row>
    <row r="929" ht="17.25" customHeight="1">
      <c r="A929" s="106"/>
      <c r="B929" s="107"/>
      <c r="C929" s="107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</row>
    <row r="930" ht="17.25" customHeight="1">
      <c r="A930" s="106"/>
      <c r="B930" s="107"/>
      <c r="C930" s="107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</row>
    <row r="931" ht="17.25" customHeight="1">
      <c r="A931" s="106"/>
      <c r="B931" s="107"/>
      <c r="C931" s="107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</row>
    <row r="932" ht="17.25" customHeight="1">
      <c r="A932" s="106"/>
      <c r="B932" s="107"/>
      <c r="C932" s="107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</row>
    <row r="933" ht="17.25" customHeight="1">
      <c r="A933" s="106"/>
      <c r="B933" s="107"/>
      <c r="C933" s="107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</row>
    <row r="934" ht="17.25" customHeight="1">
      <c r="A934" s="106"/>
      <c r="B934" s="107"/>
      <c r="C934" s="107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</row>
    <row r="935" ht="17.25" customHeight="1">
      <c r="A935" s="106"/>
      <c r="B935" s="107"/>
      <c r="C935" s="107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</row>
    <row r="936" ht="17.25" customHeight="1">
      <c r="A936" s="106"/>
      <c r="B936" s="107"/>
      <c r="C936" s="107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</row>
    <row r="937" ht="17.25" customHeight="1">
      <c r="A937" s="106"/>
      <c r="B937" s="107"/>
      <c r="C937" s="107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</row>
    <row r="938" ht="17.25" customHeight="1">
      <c r="A938" s="106"/>
      <c r="B938" s="107"/>
      <c r="C938" s="107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</row>
    <row r="939" ht="17.25" customHeight="1">
      <c r="A939" s="106"/>
      <c r="B939" s="107"/>
      <c r="C939" s="107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</row>
    <row r="940" ht="17.25" customHeight="1">
      <c r="A940" s="106"/>
      <c r="B940" s="107"/>
      <c r="C940" s="107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</row>
    <row r="941" ht="17.25" customHeight="1">
      <c r="A941" s="106"/>
      <c r="B941" s="107"/>
      <c r="C941" s="107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</row>
    <row r="942" ht="17.25" customHeight="1">
      <c r="A942" s="106"/>
      <c r="B942" s="107"/>
      <c r="C942" s="107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</row>
    <row r="943" ht="17.25" customHeight="1">
      <c r="A943" s="106"/>
      <c r="B943" s="107"/>
      <c r="C943" s="107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</row>
    <row r="944" ht="17.25" customHeight="1">
      <c r="A944" s="106"/>
      <c r="B944" s="107"/>
      <c r="C944" s="107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</row>
    <row r="945" ht="17.25" customHeight="1">
      <c r="A945" s="106"/>
      <c r="B945" s="107"/>
      <c r="C945" s="107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</row>
    <row r="946" ht="17.25" customHeight="1">
      <c r="A946" s="106"/>
      <c r="B946" s="107"/>
      <c r="C946" s="107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</row>
    <row r="947" ht="17.25" customHeight="1">
      <c r="A947" s="106"/>
      <c r="B947" s="107"/>
      <c r="C947" s="107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</row>
    <row r="948" ht="17.25" customHeight="1">
      <c r="A948" s="106"/>
      <c r="B948" s="107"/>
      <c r="C948" s="107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</row>
    <row r="949" ht="17.25" customHeight="1">
      <c r="A949" s="106"/>
      <c r="B949" s="107"/>
      <c r="C949" s="107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</row>
    <row r="950" ht="17.25" customHeight="1">
      <c r="A950" s="106"/>
      <c r="B950" s="107"/>
      <c r="C950" s="107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</row>
    <row r="951" ht="17.25" customHeight="1">
      <c r="A951" s="106"/>
      <c r="B951" s="107"/>
      <c r="C951" s="107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</row>
    <row r="952" ht="17.25" customHeight="1">
      <c r="A952" s="106"/>
      <c r="B952" s="107"/>
      <c r="C952" s="107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</row>
    <row r="953" ht="17.25" customHeight="1">
      <c r="A953" s="106"/>
      <c r="B953" s="107"/>
      <c r="C953" s="107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</row>
    <row r="954" ht="17.25" customHeight="1">
      <c r="A954" s="106"/>
      <c r="B954" s="107"/>
      <c r="C954" s="107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</row>
    <row r="955" ht="17.25" customHeight="1">
      <c r="A955" s="106"/>
      <c r="B955" s="107"/>
      <c r="C955" s="107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</row>
    <row r="956" ht="17.25" customHeight="1">
      <c r="A956" s="106"/>
      <c r="B956" s="107"/>
      <c r="C956" s="107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</row>
    <row r="957" ht="17.25" customHeight="1">
      <c r="A957" s="106"/>
      <c r="B957" s="107"/>
      <c r="C957" s="107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</row>
    <row r="958" ht="17.25" customHeight="1">
      <c r="A958" s="106"/>
      <c r="B958" s="107"/>
      <c r="C958" s="107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</row>
    <row r="959" ht="17.25" customHeight="1">
      <c r="A959" s="106"/>
      <c r="B959" s="107"/>
      <c r="C959" s="107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</row>
    <row r="960" ht="17.25" customHeight="1">
      <c r="A960" s="106"/>
      <c r="B960" s="107"/>
      <c r="C960" s="107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</row>
    <row r="961" ht="17.25" customHeight="1">
      <c r="A961" s="106"/>
      <c r="B961" s="107"/>
      <c r="C961" s="107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</row>
    <row r="962" ht="17.25" customHeight="1">
      <c r="A962" s="106"/>
      <c r="B962" s="107"/>
      <c r="C962" s="107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</row>
    <row r="963" ht="17.25" customHeight="1">
      <c r="A963" s="106"/>
      <c r="B963" s="107"/>
      <c r="C963" s="107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</row>
    <row r="964" ht="17.25" customHeight="1">
      <c r="A964" s="106"/>
      <c r="B964" s="107"/>
      <c r="C964" s="107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</row>
    <row r="965" ht="17.25" customHeight="1">
      <c r="A965" s="106"/>
      <c r="B965" s="107"/>
      <c r="C965" s="107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</row>
    <row r="966" ht="17.25" customHeight="1">
      <c r="A966" s="106"/>
      <c r="B966" s="107"/>
      <c r="C966" s="107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</row>
    <row r="967" ht="17.25" customHeight="1">
      <c r="A967" s="106"/>
      <c r="B967" s="107"/>
      <c r="C967" s="107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</row>
    <row r="968" ht="17.25" customHeight="1">
      <c r="A968" s="106"/>
      <c r="B968" s="107"/>
      <c r="C968" s="107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</row>
    <row r="969" ht="17.25" customHeight="1">
      <c r="A969" s="106"/>
      <c r="B969" s="107"/>
      <c r="C969" s="107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</row>
    <row r="970" ht="17.25" customHeight="1">
      <c r="A970" s="106"/>
      <c r="B970" s="107"/>
      <c r="C970" s="107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</row>
    <row r="971" ht="17.25" customHeight="1">
      <c r="A971" s="106"/>
      <c r="B971" s="107"/>
      <c r="C971" s="107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</row>
    <row r="972" ht="17.25" customHeight="1">
      <c r="A972" s="106"/>
      <c r="B972" s="107"/>
      <c r="C972" s="107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</row>
    <row r="973" ht="17.25" customHeight="1">
      <c r="A973" s="106"/>
      <c r="B973" s="107"/>
      <c r="C973" s="107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</row>
    <row r="974" ht="17.25" customHeight="1">
      <c r="A974" s="106"/>
      <c r="B974" s="107"/>
      <c r="C974" s="107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</row>
    <row r="975" ht="17.25" customHeight="1">
      <c r="A975" s="106"/>
      <c r="B975" s="107"/>
      <c r="C975" s="107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</row>
    <row r="976" ht="17.25" customHeight="1">
      <c r="A976" s="106"/>
      <c r="B976" s="107"/>
      <c r="C976" s="107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</row>
    <row r="977" ht="17.25" customHeight="1">
      <c r="A977" s="106"/>
      <c r="B977" s="107"/>
      <c r="C977" s="107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</row>
    <row r="978" ht="17.25" customHeight="1">
      <c r="A978" s="106"/>
      <c r="B978" s="107"/>
      <c r="C978" s="107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</row>
    <row r="979" ht="17.25" customHeight="1">
      <c r="A979" s="106"/>
      <c r="B979" s="107"/>
      <c r="C979" s="107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</row>
    <row r="980" ht="17.25" customHeight="1">
      <c r="A980" s="106"/>
      <c r="B980" s="107"/>
      <c r="C980" s="107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</row>
    <row r="981" ht="17.25" customHeight="1">
      <c r="A981" s="106"/>
      <c r="B981" s="107"/>
      <c r="C981" s="107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</row>
    <row r="982" ht="17.25" customHeight="1">
      <c r="A982" s="106"/>
      <c r="B982" s="107"/>
      <c r="C982" s="107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</row>
    <row r="983" ht="17.25" customHeight="1">
      <c r="A983" s="106"/>
      <c r="B983" s="107"/>
      <c r="C983" s="107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</row>
    <row r="984" ht="17.25" customHeight="1">
      <c r="A984" s="106"/>
      <c r="B984" s="107"/>
      <c r="C984" s="107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</row>
    <row r="985" ht="17.25" customHeight="1">
      <c r="A985" s="106"/>
      <c r="B985" s="107"/>
      <c r="C985" s="107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</row>
    <row r="986" ht="17.25" customHeight="1">
      <c r="A986" s="106"/>
      <c r="B986" s="107"/>
      <c r="C986" s="107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</row>
    <row r="987" ht="17.25" customHeight="1">
      <c r="A987" s="106"/>
      <c r="B987" s="107"/>
      <c r="C987" s="107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</row>
    <row r="988" ht="17.25" customHeight="1">
      <c r="A988" s="106"/>
      <c r="B988" s="107"/>
      <c r="C988" s="107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</row>
    <row r="989" ht="17.25" customHeight="1">
      <c r="A989" s="106"/>
      <c r="B989" s="107"/>
      <c r="C989" s="107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</row>
    <row r="990" ht="17.25" customHeight="1">
      <c r="A990" s="106"/>
      <c r="B990" s="107"/>
      <c r="C990" s="107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</row>
    <row r="991" ht="17.25" customHeight="1">
      <c r="A991" s="106"/>
      <c r="B991" s="107"/>
      <c r="C991" s="107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</row>
    <row r="992" ht="17.25" customHeight="1">
      <c r="A992" s="106"/>
      <c r="B992" s="107"/>
      <c r="C992" s="107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</row>
    <row r="993" ht="17.25" customHeight="1">
      <c r="A993" s="106"/>
      <c r="B993" s="107"/>
      <c r="C993" s="107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</row>
    <row r="994" ht="17.25" customHeight="1">
      <c r="A994" s="106"/>
      <c r="B994" s="107"/>
      <c r="C994" s="107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</row>
    <row r="995" ht="17.25" customHeight="1">
      <c r="A995" s="106"/>
      <c r="B995" s="107"/>
      <c r="C995" s="107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</row>
    <row r="996" ht="17.25" customHeight="1">
      <c r="A996" s="106"/>
      <c r="B996" s="107"/>
      <c r="C996" s="107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</row>
    <row r="997" ht="17.25" customHeight="1">
      <c r="A997" s="106"/>
      <c r="B997" s="107"/>
      <c r="C997" s="107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</row>
    <row r="998" ht="17.25" customHeight="1">
      <c r="A998" s="106"/>
      <c r="B998" s="107"/>
      <c r="C998" s="107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</row>
    <row r="999" ht="17.25" customHeight="1">
      <c r="A999" s="106"/>
      <c r="B999" s="107"/>
      <c r="C999" s="107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</row>
    <row r="1000" ht="17.25" customHeight="1">
      <c r="A1000" s="106"/>
      <c r="B1000" s="107"/>
      <c r="C1000" s="107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86"/>
    <col customWidth="1" min="3" max="13" width="10.14"/>
    <col customWidth="1" min="14" max="26" width="10.71"/>
  </cols>
  <sheetData>
    <row r="1" ht="9.0" customHeight="1">
      <c r="A1" s="138"/>
      <c r="B1" s="138"/>
      <c r="C1" s="138"/>
      <c r="D1" s="138" t="str">
        <f t="shared" ref="D1:M1" si="1">IF(E2="x","y","")</f>
        <v/>
      </c>
      <c r="E1" s="138" t="str">
        <f t="shared" si="1"/>
        <v>y</v>
      </c>
      <c r="F1" s="138" t="str">
        <f t="shared" si="1"/>
        <v/>
      </c>
      <c r="G1" s="138" t="str">
        <f t="shared" si="1"/>
        <v/>
      </c>
      <c r="H1" s="138" t="str">
        <f t="shared" si="1"/>
        <v/>
      </c>
      <c r="I1" s="138" t="str">
        <f t="shared" si="1"/>
        <v/>
      </c>
      <c r="J1" s="138" t="str">
        <f t="shared" si="1"/>
        <v/>
      </c>
      <c r="K1" s="138" t="str">
        <f t="shared" si="1"/>
        <v/>
      </c>
      <c r="L1" s="138" t="str">
        <f t="shared" si="1"/>
        <v/>
      </c>
      <c r="M1" s="138" t="str">
        <f t="shared" si="1"/>
        <v/>
      </c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ht="17.25" customHeight="1">
      <c r="A2" s="138"/>
      <c r="B2" s="139" t="s">
        <v>176</v>
      </c>
      <c r="C2" s="138"/>
      <c r="D2" s="61" t="str">
        <f t="shared" ref="D2:M2" si="2">IF(AND(D10&gt;0,C10&lt;0),"x","")</f>
        <v/>
      </c>
      <c r="E2" s="61" t="str">
        <f t="shared" si="2"/>
        <v/>
      </c>
      <c r="F2" s="61" t="str">
        <f t="shared" si="2"/>
        <v>x</v>
      </c>
      <c r="G2" s="61" t="str">
        <f t="shared" si="2"/>
        <v/>
      </c>
      <c r="H2" s="61" t="str">
        <f t="shared" si="2"/>
        <v/>
      </c>
      <c r="I2" s="61" t="str">
        <f t="shared" si="2"/>
        <v/>
      </c>
      <c r="J2" s="61" t="str">
        <f t="shared" si="2"/>
        <v/>
      </c>
      <c r="K2" s="61" t="str">
        <f t="shared" si="2"/>
        <v/>
      </c>
      <c r="L2" s="61" t="str">
        <f t="shared" si="2"/>
        <v/>
      </c>
      <c r="M2" s="61" t="str">
        <f t="shared" si="2"/>
        <v/>
      </c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ht="22.5" customHeight="1">
      <c r="A3" s="138"/>
      <c r="B3" s="140" t="s">
        <v>177</v>
      </c>
      <c r="C3" s="141">
        <v>0.0</v>
      </c>
      <c r="D3" s="141">
        <v>1.0</v>
      </c>
      <c r="E3" s="141">
        <v>2.0</v>
      </c>
      <c r="F3" s="141">
        <v>3.0</v>
      </c>
      <c r="G3" s="141">
        <v>4.0</v>
      </c>
      <c r="H3" s="141">
        <v>5.0</v>
      </c>
      <c r="I3" s="141">
        <v>6.0</v>
      </c>
      <c r="J3" s="141">
        <v>7.0</v>
      </c>
      <c r="K3" s="141">
        <v>8.0</v>
      </c>
      <c r="L3" s="141">
        <v>9.0</v>
      </c>
      <c r="M3" s="141">
        <v>10.0</v>
      </c>
      <c r="N3" s="141" t="s">
        <v>12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ht="22.5" customHeight="1">
      <c r="A4" s="138"/>
      <c r="B4" s="142" t="s">
        <v>178</v>
      </c>
      <c r="C4" s="143">
        <v>0.0</v>
      </c>
      <c r="D4" s="144">
        <f>Produccion!$H$21</f>
        <v>4381.875</v>
      </c>
      <c r="E4" s="144">
        <f>Produccion!$H$21</f>
        <v>4381.875</v>
      </c>
      <c r="F4" s="144">
        <f>Produccion!$H$21</f>
        <v>4381.875</v>
      </c>
      <c r="G4" s="144">
        <f>Produccion!$H$21</f>
        <v>4381.875</v>
      </c>
      <c r="H4" s="144">
        <f>Produccion!$H$21</f>
        <v>4381.875</v>
      </c>
      <c r="I4" s="144">
        <f>Produccion!$H$21</f>
        <v>4381.875</v>
      </c>
      <c r="J4" s="144">
        <f>Produccion!$H$21</f>
        <v>4381.875</v>
      </c>
      <c r="K4" s="144">
        <f>Produccion!$H$21</f>
        <v>4381.875</v>
      </c>
      <c r="L4" s="144">
        <f>Produccion!$H$21</f>
        <v>4381.875</v>
      </c>
      <c r="M4" s="144">
        <f>Produccion!$H$21</f>
        <v>4381.875</v>
      </c>
      <c r="N4" s="145">
        <f t="shared" ref="N4:N9" si="3">SUM(C4:M4)</f>
        <v>43818.75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ht="22.5" customHeight="1">
      <c r="A5" s="138"/>
      <c r="B5" s="146" t="s">
        <v>179</v>
      </c>
      <c r="C5" s="147">
        <f>Inversiones!C9</f>
        <v>1964.27</v>
      </c>
      <c r="D5" s="148">
        <f>Costos!$C$7</f>
        <v>3060.349138</v>
      </c>
      <c r="E5" s="148">
        <f>Costos!$C$7</f>
        <v>3060.349138</v>
      </c>
      <c r="F5" s="148">
        <f>Costos!$C$7</f>
        <v>3060.349138</v>
      </c>
      <c r="G5" s="148">
        <f>Costos!$C$7</f>
        <v>3060.349138</v>
      </c>
      <c r="H5" s="148">
        <f>Costos!$C$7</f>
        <v>3060.349138</v>
      </c>
      <c r="I5" s="148">
        <f>Costos!$C$7</f>
        <v>3060.349138</v>
      </c>
      <c r="J5" s="148">
        <f>Costos!$C$7</f>
        <v>3060.349138</v>
      </c>
      <c r="K5" s="148">
        <f>Costos!$C$7</f>
        <v>3060.349138</v>
      </c>
      <c r="L5" s="148">
        <f>Costos!$C$7</f>
        <v>3060.349138</v>
      </c>
      <c r="M5" s="148">
        <f>Costos!$C$7</f>
        <v>3060.349138</v>
      </c>
      <c r="N5" s="149">
        <f t="shared" si="3"/>
        <v>32567.76138</v>
      </c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ht="22.5" customHeight="1">
      <c r="A6" s="138"/>
      <c r="B6" s="150" t="s">
        <v>180</v>
      </c>
      <c r="C6" s="151">
        <f t="shared" ref="C6:M6" si="4">C4-C5</f>
        <v>-1964.27</v>
      </c>
      <c r="D6" s="151">
        <f t="shared" si="4"/>
        <v>1321.525862</v>
      </c>
      <c r="E6" s="151">
        <f t="shared" si="4"/>
        <v>1321.525862</v>
      </c>
      <c r="F6" s="151">
        <f t="shared" si="4"/>
        <v>1321.525862</v>
      </c>
      <c r="G6" s="151">
        <f t="shared" si="4"/>
        <v>1321.525862</v>
      </c>
      <c r="H6" s="151">
        <f t="shared" si="4"/>
        <v>1321.525862</v>
      </c>
      <c r="I6" s="151">
        <f t="shared" si="4"/>
        <v>1321.525862</v>
      </c>
      <c r="J6" s="151">
        <f t="shared" si="4"/>
        <v>1321.525862</v>
      </c>
      <c r="K6" s="151">
        <f t="shared" si="4"/>
        <v>1321.525862</v>
      </c>
      <c r="L6" s="151">
        <f t="shared" si="4"/>
        <v>1321.525862</v>
      </c>
      <c r="M6" s="151">
        <f t="shared" si="4"/>
        <v>1321.525862</v>
      </c>
      <c r="N6" s="152">
        <f t="shared" si="3"/>
        <v>11250.98862</v>
      </c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ht="22.5" customHeight="1">
      <c r="A7" s="138"/>
      <c r="B7" s="153" t="s">
        <v>181</v>
      </c>
      <c r="C7" s="154">
        <v>0.0</v>
      </c>
      <c r="D7" s="155">
        <f t="shared" ref="D7:M7" si="5">D6*5%</f>
        <v>66.07629311</v>
      </c>
      <c r="E7" s="155">
        <f t="shared" si="5"/>
        <v>66.07629311</v>
      </c>
      <c r="F7" s="155">
        <f t="shared" si="5"/>
        <v>66.07629311</v>
      </c>
      <c r="G7" s="155">
        <f t="shared" si="5"/>
        <v>66.07629311</v>
      </c>
      <c r="H7" s="155">
        <f t="shared" si="5"/>
        <v>66.07629311</v>
      </c>
      <c r="I7" s="155">
        <f t="shared" si="5"/>
        <v>66.07629311</v>
      </c>
      <c r="J7" s="155">
        <f t="shared" si="5"/>
        <v>66.07629311</v>
      </c>
      <c r="K7" s="155">
        <f t="shared" si="5"/>
        <v>66.07629311</v>
      </c>
      <c r="L7" s="155">
        <f t="shared" si="5"/>
        <v>66.07629311</v>
      </c>
      <c r="M7" s="155">
        <f t="shared" si="5"/>
        <v>66.07629311</v>
      </c>
      <c r="N7" s="156">
        <f t="shared" si="3"/>
        <v>660.7629311</v>
      </c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ht="22.5" customHeight="1">
      <c r="A8" s="138"/>
      <c r="B8" s="157" t="s">
        <v>182</v>
      </c>
      <c r="C8" s="158">
        <v>0.0</v>
      </c>
      <c r="D8" s="159">
        <f t="shared" ref="D8:M8" si="6">D6*35%</f>
        <v>462.5340518</v>
      </c>
      <c r="E8" s="159">
        <f t="shared" si="6"/>
        <v>462.5340518</v>
      </c>
      <c r="F8" s="159">
        <f t="shared" si="6"/>
        <v>462.5340518</v>
      </c>
      <c r="G8" s="159">
        <f t="shared" si="6"/>
        <v>462.5340518</v>
      </c>
      <c r="H8" s="159">
        <f t="shared" si="6"/>
        <v>462.5340518</v>
      </c>
      <c r="I8" s="159">
        <f t="shared" si="6"/>
        <v>462.5340518</v>
      </c>
      <c r="J8" s="159">
        <f t="shared" si="6"/>
        <v>462.5340518</v>
      </c>
      <c r="K8" s="159">
        <f t="shared" si="6"/>
        <v>462.5340518</v>
      </c>
      <c r="L8" s="159">
        <f t="shared" si="6"/>
        <v>462.5340518</v>
      </c>
      <c r="M8" s="159">
        <f t="shared" si="6"/>
        <v>462.5340518</v>
      </c>
      <c r="N8" s="160">
        <f t="shared" si="3"/>
        <v>4625.340518</v>
      </c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ht="22.5" customHeight="1">
      <c r="A9" s="138"/>
      <c r="B9" s="161" t="s">
        <v>183</v>
      </c>
      <c r="C9" s="162">
        <f t="shared" ref="C9:M9" si="7">C6-C7-C8</f>
        <v>-1964.27</v>
      </c>
      <c r="D9" s="162">
        <f t="shared" si="7"/>
        <v>792.9155173</v>
      </c>
      <c r="E9" s="162">
        <f t="shared" si="7"/>
        <v>792.9155173</v>
      </c>
      <c r="F9" s="162">
        <f t="shared" si="7"/>
        <v>792.9155173</v>
      </c>
      <c r="G9" s="162">
        <f t="shared" si="7"/>
        <v>792.9155173</v>
      </c>
      <c r="H9" s="162">
        <f t="shared" si="7"/>
        <v>792.9155173</v>
      </c>
      <c r="I9" s="162">
        <f t="shared" si="7"/>
        <v>792.9155173</v>
      </c>
      <c r="J9" s="162">
        <f t="shared" si="7"/>
        <v>792.9155173</v>
      </c>
      <c r="K9" s="162">
        <f t="shared" si="7"/>
        <v>792.9155173</v>
      </c>
      <c r="L9" s="162">
        <f t="shared" si="7"/>
        <v>792.9155173</v>
      </c>
      <c r="M9" s="162">
        <f t="shared" si="7"/>
        <v>792.9155173</v>
      </c>
      <c r="N9" s="163">
        <f t="shared" si="3"/>
        <v>5964.885173</v>
      </c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ht="22.5" customHeight="1">
      <c r="A10" s="138"/>
      <c r="B10" s="164" t="s">
        <v>184</v>
      </c>
      <c r="C10" s="165">
        <f>C9</f>
        <v>-1964.27</v>
      </c>
      <c r="D10" s="78">
        <f t="shared" ref="D10:N10" si="8">C10+D9</f>
        <v>-1171.354483</v>
      </c>
      <c r="E10" s="78">
        <f t="shared" si="8"/>
        <v>-378.4389654</v>
      </c>
      <c r="F10" s="78">
        <f t="shared" si="8"/>
        <v>414.4765519</v>
      </c>
      <c r="G10" s="78">
        <f t="shared" si="8"/>
        <v>1207.392069</v>
      </c>
      <c r="H10" s="78">
        <f t="shared" si="8"/>
        <v>2000.307586</v>
      </c>
      <c r="I10" s="78">
        <f t="shared" si="8"/>
        <v>2793.223104</v>
      </c>
      <c r="J10" s="78">
        <f t="shared" si="8"/>
        <v>3586.138621</v>
      </c>
      <c r="K10" s="78">
        <f t="shared" si="8"/>
        <v>4379.054138</v>
      </c>
      <c r="L10" s="78">
        <f t="shared" si="8"/>
        <v>5171.969656</v>
      </c>
      <c r="M10" s="78">
        <f t="shared" si="8"/>
        <v>5964.885173</v>
      </c>
      <c r="N10" s="78">
        <f t="shared" si="8"/>
        <v>11929.77035</v>
      </c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ht="22.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ht="25.5" customHeight="1">
      <c r="A12" s="138"/>
      <c r="B12" s="166" t="s">
        <v>185</v>
      </c>
      <c r="C12" s="167">
        <f>N6-N7-N8</f>
        <v>5964.885173</v>
      </c>
      <c r="D12" s="16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ht="25.5" customHeight="1">
      <c r="A13" s="138"/>
      <c r="B13" s="169" t="s">
        <v>186</v>
      </c>
      <c r="C13" s="170" t="str">
        <f>HLOOKUP("x",$D$2:$M$3,2,0) &amp; " años y " &amp; ROUNDUP(-(HLOOKUP("y",$D$1:$M$10,10,0))*365/HLOOKUP("x",$D$2:$M$9,8,0),0) &amp; " días"</f>
        <v>3 años y 175 días</v>
      </c>
      <c r="D13" s="168"/>
      <c r="E13" s="138"/>
      <c r="F13" s="138"/>
      <c r="G13" s="138">
        <f>HLOOKUP("x",$D$2:$M$3,2,0)+(-(HLOOKUP("y",$D$1:$M$10,10,0))*365/HLOOKUP("x",$D$2:$M$9,8,0))/365</f>
        <v>3.477275267</v>
      </c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ht="25.5" customHeight="1">
      <c r="A14" s="138"/>
      <c r="B14" s="166" t="s">
        <v>187</v>
      </c>
      <c r="C14" s="171">
        <f>IRR(C9:M9)</f>
        <v>0.3885156352</v>
      </c>
      <c r="D14" s="16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ht="25.5" customHeight="1">
      <c r="A15" s="138"/>
      <c r="B15" s="166" t="s">
        <v>188</v>
      </c>
      <c r="C15" s="167">
        <f t="array" ref="C15">NPV(F15,C9:M9)</f>
        <v>1752.338714</v>
      </c>
      <c r="D15" s="168"/>
      <c r="E15" s="172" t="s">
        <v>189</v>
      </c>
      <c r="F15" s="173">
        <v>0.15</v>
      </c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ht="12.0" customHeight="1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ht="12.0" customHeight="1">
      <c r="A17" s="138"/>
      <c r="B17" s="174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ht="12.0" customHeight="1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ht="12.0" customHeight="1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ht="12.0" customHeight="1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ht="12.0" customHeight="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ht="12.0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ht="12.0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ht="12.0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ht="12.0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ht="12.0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ht="12.0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ht="12.0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ht="12.0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ht="12.0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ht="12.0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ht="12.0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ht="12.0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ht="12.0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2.0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2.0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2.0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2.0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2.0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ht="12.0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ht="12.0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ht="12.0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ht="12.0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ht="12.0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ht="12.0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ht="12.0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ht="12.0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ht="12.0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ht="12.0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ht="12.0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ht="12.0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ht="12.0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ht="12.0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ht="12.0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ht="12.0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ht="12.0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ht="12.0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ht="12.0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ht="12.0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ht="12.0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ht="12.0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ht="12.0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ht="12.0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ht="12.0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ht="12.0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ht="12.0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ht="12.0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ht="12.0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ht="12.0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ht="12.0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ht="12.0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ht="12.0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ht="12.0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ht="12.0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ht="12.0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ht="12.0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ht="12.0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ht="12.0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ht="12.0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ht="12.0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ht="12.0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ht="12.0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ht="12.0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ht="12.0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ht="12.0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ht="12.0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ht="12.0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ht="12.0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ht="12.0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ht="12.0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ht="12.0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ht="12.0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ht="12.0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ht="12.0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ht="12.0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ht="12.0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ht="12.0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ht="12.0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ht="12.0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ht="12.0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ht="12.0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ht="12.0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ht="12.0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ht="12.0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ht="12.0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ht="12.0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ht="12.0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ht="12.0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ht="12.0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ht="12.0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ht="12.0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ht="12.0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ht="12.0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ht="12.0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ht="12.0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ht="12.0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ht="12.0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ht="12.0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ht="12.0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ht="12.0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ht="12.0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ht="12.0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ht="12.0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ht="12.0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ht="12.0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ht="12.0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ht="12.0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ht="12.0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ht="12.0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ht="12.0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ht="12.0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ht="12.0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ht="12.0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ht="12.0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ht="12.0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ht="12.0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ht="12.0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ht="12.0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ht="12.0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ht="12.0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ht="12.0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ht="12.0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ht="12.0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ht="12.0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ht="12.0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ht="12.0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ht="12.0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ht="12.0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ht="12.0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ht="12.0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ht="12.0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ht="12.0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ht="12.0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ht="12.0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ht="12.0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ht="12.0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ht="12.0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ht="12.0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ht="12.0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ht="12.0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ht="12.0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ht="12.0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ht="12.0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ht="12.0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ht="12.0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ht="12.0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ht="12.0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ht="12.0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ht="12.0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ht="12.0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ht="12.0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ht="12.0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ht="12.0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ht="12.0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ht="12.0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ht="12.0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ht="12.0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ht="12.0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ht="12.0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ht="12.0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ht="12.0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ht="12.0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ht="12.0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ht="12.0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ht="12.0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ht="12.0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ht="12.0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ht="12.0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ht="12.0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ht="12.0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ht="12.0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ht="12.0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ht="12.0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ht="12.0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ht="12.0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ht="12.0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ht="12.0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ht="12.0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ht="12.0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ht="12.0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ht="12.0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ht="12.0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ht="12.0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ht="12.0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ht="12.0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ht="12.0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ht="12.0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ht="12.0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ht="12.0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ht="12.0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ht="12.0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ht="12.0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ht="12.0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ht="12.0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ht="12.0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ht="12.0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ht="12.0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ht="12.0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ht="12.0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ht="12.0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ht="12.0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ht="12.0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ht="12.0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ht="12.0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ht="12.0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ht="12.0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ht="12.0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ht="12.0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ht="12.0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ht="12.0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ht="12.0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ht="12.0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ht="12.0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ht="12.0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ht="12.0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ht="12.0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ht="12.0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ht="12.0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ht="12.0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ht="12.0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ht="12.0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ht="12.0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ht="12.0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ht="12.0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ht="12.0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ht="12.0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ht="12.0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ht="12.0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ht="12.0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ht="12.0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ht="12.0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ht="12.0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ht="12.0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ht="12.0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ht="12.0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ht="12.0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ht="12.0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ht="12.0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ht="12.0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ht="12.0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ht="12.0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ht="12.0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ht="12.0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ht="12.0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ht="12.0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ht="12.0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ht="12.0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ht="12.0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ht="12.0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ht="12.0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ht="12.0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ht="12.0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ht="12.0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ht="12.0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ht="12.0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ht="12.0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ht="12.0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ht="12.0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ht="12.0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ht="12.0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ht="12.0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ht="12.0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ht="12.0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ht="12.0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ht="12.0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ht="12.0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ht="12.0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ht="12.0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ht="12.0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ht="12.0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ht="12.0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ht="12.0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ht="12.0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ht="12.0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ht="12.0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ht="12.0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ht="12.0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ht="12.0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ht="12.0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ht="12.0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ht="12.0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ht="12.0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ht="12.0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ht="12.0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ht="12.0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ht="12.0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ht="12.0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ht="12.0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ht="12.0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ht="12.0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ht="12.0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ht="12.0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ht="12.0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ht="12.0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ht="12.0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ht="12.0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ht="12.0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ht="12.0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ht="12.0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ht="12.0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ht="12.0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ht="12.0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ht="12.0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ht="12.0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ht="12.0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ht="12.0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ht="12.0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ht="12.0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ht="12.0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ht="12.0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ht="12.0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ht="12.0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ht="12.0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ht="12.0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ht="12.0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ht="12.0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ht="12.0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ht="12.0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ht="12.0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ht="12.0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ht="12.0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ht="12.0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ht="12.0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ht="12.0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ht="12.0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ht="12.0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ht="12.0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ht="12.0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ht="12.0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ht="12.0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ht="12.0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ht="12.0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ht="12.0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ht="12.0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ht="12.0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ht="12.0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ht="12.0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ht="12.0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ht="12.0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ht="12.0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ht="12.0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ht="12.0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ht="12.0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ht="12.0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ht="12.0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ht="12.0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ht="12.0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ht="12.0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ht="12.0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ht="12.0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ht="12.0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ht="12.0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ht="12.0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ht="12.0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ht="12.0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ht="12.0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ht="12.0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ht="12.0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ht="12.0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ht="12.0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ht="12.0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ht="12.0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ht="12.0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ht="12.0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ht="12.0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ht="12.0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ht="12.0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ht="12.0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ht="12.0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ht="12.0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ht="12.0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ht="12.0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ht="12.0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ht="12.0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ht="12.0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ht="12.0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ht="12.0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ht="12.0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ht="12.0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ht="12.0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ht="12.0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ht="12.0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ht="12.0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ht="12.0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ht="12.0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ht="12.0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ht="12.0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ht="12.0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ht="12.0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ht="12.0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ht="12.0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ht="12.0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ht="12.0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ht="12.0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ht="12.0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ht="12.0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ht="12.0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ht="12.0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ht="12.0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ht="12.0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ht="12.0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ht="12.0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ht="12.0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ht="12.0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ht="12.0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ht="12.0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ht="12.0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ht="12.0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ht="12.0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ht="12.0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ht="12.0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ht="12.0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ht="12.0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ht="12.0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ht="12.0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ht="12.0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ht="12.0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ht="12.0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ht="12.0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ht="12.0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ht="12.0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ht="12.0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ht="12.0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ht="12.0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ht="12.0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ht="12.0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ht="12.0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ht="12.0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ht="12.0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ht="12.0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ht="12.0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ht="12.0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ht="12.0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ht="12.0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ht="12.0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ht="12.0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ht="12.0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ht="12.0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ht="12.0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ht="12.0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ht="12.0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ht="12.0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ht="12.0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ht="12.0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ht="12.0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ht="12.0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ht="12.0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ht="12.0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ht="12.0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ht="12.0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ht="12.0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ht="12.0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ht="12.0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ht="12.0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ht="12.0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ht="12.0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ht="12.0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ht="12.0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ht="12.0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ht="12.0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ht="12.0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ht="12.0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ht="12.0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ht="12.0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ht="12.0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ht="12.0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ht="12.0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ht="12.0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ht="12.0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ht="12.0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ht="12.0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ht="12.0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ht="12.0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ht="12.0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ht="12.0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ht="12.0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ht="12.0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ht="12.0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ht="12.0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ht="12.0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ht="12.0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ht="12.0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ht="12.0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ht="12.0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ht="12.0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ht="12.0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ht="12.0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ht="12.0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ht="12.0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ht="12.0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ht="12.0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ht="12.0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ht="12.0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ht="12.0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ht="12.0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ht="12.0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ht="12.0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ht="12.0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ht="12.0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ht="12.0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ht="12.0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ht="12.0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ht="12.0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ht="12.0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ht="12.0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ht="12.0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ht="12.0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ht="12.0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ht="12.0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ht="12.0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ht="12.0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ht="12.0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ht="12.0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ht="12.0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ht="12.0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ht="12.0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ht="12.0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ht="12.0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ht="12.0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ht="12.0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ht="12.0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ht="12.0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ht="12.0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ht="12.0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ht="12.0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ht="12.0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ht="12.0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ht="12.0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ht="12.0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ht="12.0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ht="12.0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ht="12.0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ht="12.0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ht="12.0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ht="12.0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ht="12.0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ht="12.0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ht="12.0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ht="12.0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ht="12.0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ht="12.0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ht="12.0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ht="12.0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ht="12.0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ht="12.0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ht="12.0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ht="12.0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ht="12.0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ht="12.0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ht="12.0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ht="12.0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ht="12.0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ht="12.0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ht="12.0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ht="12.0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ht="12.0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ht="12.0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ht="12.0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ht="12.0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ht="12.0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ht="12.0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ht="12.0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ht="12.0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ht="12.0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ht="12.0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ht="12.0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ht="12.0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ht="12.0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ht="12.0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ht="12.0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ht="12.0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ht="12.0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ht="12.0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ht="12.0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ht="12.0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ht="12.0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ht="12.0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ht="12.0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ht="12.0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ht="12.0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ht="12.0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ht="12.0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ht="12.0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ht="12.0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ht="12.0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ht="12.0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ht="12.0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ht="12.0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ht="12.0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ht="12.0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ht="12.0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ht="12.0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ht="12.0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ht="12.0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ht="12.0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ht="12.0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ht="12.0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ht="12.0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ht="12.0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ht="12.0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ht="12.0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ht="12.0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ht="12.0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ht="12.0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ht="12.0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ht="12.0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ht="12.0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ht="12.0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ht="12.0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ht="12.0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ht="12.0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ht="12.0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ht="12.0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ht="12.0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ht="12.0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ht="12.0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ht="12.0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ht="12.0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ht="12.0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ht="12.0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ht="12.0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ht="12.0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ht="12.0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ht="12.0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ht="12.0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ht="12.0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ht="12.0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ht="12.0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ht="12.0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ht="12.0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ht="12.0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ht="12.0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ht="12.0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ht="12.0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ht="12.0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ht="12.0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ht="12.0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ht="12.0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ht="12.0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ht="12.0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ht="12.0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ht="12.0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ht="12.0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ht="12.0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ht="12.0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ht="12.0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ht="12.0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ht="12.0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ht="12.0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ht="12.0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ht="12.0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ht="12.0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ht="12.0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ht="12.0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ht="12.0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ht="12.0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ht="12.0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ht="12.0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ht="12.0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ht="12.0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ht="12.0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ht="12.0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ht="12.0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ht="12.0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ht="12.0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ht="12.0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ht="12.0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ht="12.0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ht="12.0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ht="12.0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ht="12.0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ht="12.0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ht="12.0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ht="12.0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ht="12.0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ht="12.0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ht="12.0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ht="12.0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ht="12.0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ht="12.0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ht="12.0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ht="12.0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ht="12.0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ht="12.0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ht="12.0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ht="12.0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ht="12.0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ht="12.0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ht="12.0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ht="12.0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ht="12.0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ht="12.0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ht="12.0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ht="12.0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ht="12.0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ht="12.0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ht="12.0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ht="12.0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ht="12.0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ht="12.0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ht="12.0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ht="12.0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ht="12.0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ht="12.0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ht="12.0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ht="12.0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ht="12.0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ht="12.0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ht="12.0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ht="12.0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ht="12.0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ht="12.0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ht="12.0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ht="12.0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ht="12.0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ht="12.0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ht="12.0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ht="12.0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ht="12.0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ht="12.0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ht="12.0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ht="12.0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ht="12.0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ht="12.0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ht="12.0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ht="12.0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ht="12.0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ht="12.0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ht="12.0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ht="12.0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ht="12.0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ht="12.0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ht="12.0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ht="12.0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ht="12.0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ht="12.0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ht="12.0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ht="12.0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ht="12.0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ht="12.0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ht="12.0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ht="12.0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ht="12.0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ht="12.0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ht="12.0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ht="12.0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ht="12.0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ht="12.0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ht="12.0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ht="12.0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ht="12.0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ht="12.0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ht="12.0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ht="12.0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ht="12.0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ht="12.0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ht="12.0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ht="12.0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ht="12.0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ht="12.0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ht="12.0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ht="12.0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ht="12.0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ht="12.0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ht="12.0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ht="12.0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ht="12.0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ht="12.0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ht="12.0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ht="12.0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ht="12.0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ht="12.0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ht="12.0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ht="12.0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ht="12.0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ht="12.0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ht="12.0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ht="12.0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ht="12.0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ht="12.0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ht="12.0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ht="12.0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ht="12.0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ht="12.0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ht="12.0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ht="12.0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ht="12.0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ht="12.0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ht="12.0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ht="12.0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ht="12.0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ht="12.0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ht="12.0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ht="12.0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ht="12.0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ht="12.0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ht="12.0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ht="12.0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ht="12.0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ht="12.0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ht="12.0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ht="12.0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ht="12.0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ht="12.0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ht="12.0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ht="12.0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ht="12.0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ht="12.0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ht="12.0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ht="12.0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ht="12.0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ht="12.0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ht="12.0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ht="12.0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ht="12.0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ht="12.0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ht="12.0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ht="12.0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ht="12.0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ht="12.0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ht="12.0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ht="12.0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ht="12.0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ht="12.0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ht="12.0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ht="12.0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ht="12.0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ht="12.0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ht="12.0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ht="12.0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ht="12.0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ht="12.0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ht="12.0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ht="12.0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ht="12.0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ht="12.0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ht="12.0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ht="12.0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ht="12.0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ht="12.0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ht="12.0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ht="12.0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ht="12.0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ht="12.0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ht="12.0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ht="12.0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ht="12.0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ht="12.0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ht="12.0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ht="12.0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ht="12.0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ht="12.0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ht="12.0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ht="12.0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ht="12.0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ht="12.0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ht="12.0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ht="12.0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ht="12.0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ht="12.0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ht="12.0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ht="12.0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ht="12.0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ht="12.0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ht="12.0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ht="12.0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ht="12.0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ht="12.0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ht="12.0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ht="12.0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ht="12.0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ht="12.0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ht="12.0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ht="12.0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ht="12.0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ht="12.0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ht="12.0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ht="12.0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ht="12.0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ht="12.0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ht="12.0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ht="12.0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ht="12.0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ht="12.0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ht="12.0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ht="12.0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ht="12.0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ht="12.0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ht="12.0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ht="12.0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ht="12.0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ht="12.0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ht="12.0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ht="12.0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ht="12.0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ht="12.0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ht="12.0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ht="12.0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ht="12.0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ht="12.0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ht="12.0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ht="12.0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ht="12.0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ht="12.0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ht="12.0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ht="12.0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ht="12.0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ht="12.0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ht="12.0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ht="12.0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ht="12.0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ht="12.0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ht="12.0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ht="12.0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ht="12.0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ht="12.0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ht="12.0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ht="12.0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ht="12.0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ht="12.0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ht="12.0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ht="12.0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ht="12.0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ht="12.0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ht="12.0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ht="12.0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ht="12.0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ht="12.0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ht="12.0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ht="12.0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ht="12.0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ht="12.0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ht="12.0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ht="12.0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ht="12.0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ht="12.0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ht="12.0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ht="12.0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ht="12.0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ht="12.0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ht="12.0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ht="12.0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ht="12.0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ht="12.0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ht="12.0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ht="12.0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ht="12.0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ht="12.0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ht="12.0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ht="12.0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ht="12.0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ht="12.0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ht="12.0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ht="12.0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ht="12.0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ht="12.0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ht="12.0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ht="12.0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ht="12.0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ht="12.0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ht="12.0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ht="12.0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ht="12.0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ht="12.0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ht="12.0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ht="12.0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ht="12.0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ht="12.0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ht="12.0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ht="12.0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ht="12.0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ht="12.0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ht="12.0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ht="12.0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ht="12.0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ht="12.0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ht="12.0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ht="12.0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ht="12.0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ht="12.0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  <row r="1001" ht="12.0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</row>
  </sheetData>
  <mergeCells count="4">
    <mergeCell ref="C12:D12"/>
    <mergeCell ref="C13:D13"/>
    <mergeCell ref="C14:D14"/>
    <mergeCell ref="C15:D15"/>
  </mergeCells>
  <conditionalFormatting sqref="C10:M10">
    <cfRule type="cellIs" dxfId="0" priority="1" operator="greaterThan">
      <formula>0</formula>
    </cfRule>
  </conditionalFormatting>
  <conditionalFormatting sqref="C10:M10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