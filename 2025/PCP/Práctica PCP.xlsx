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3.xml" ContentType="application/vnd.openxmlformats-officedocument.drawing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ink/ink27.xml" ContentType="application/inkml+xml"/>
  <Override PartName="/xl/ink/ink2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escargas\UTN\2025\PCP\"/>
    </mc:Choice>
  </mc:AlternateContent>
  <xr:revisionPtr revIDLastSave="0" documentId="13_ncr:1_{4212D1B8-14FD-44C5-9E17-47EFD00C8793}" xr6:coauthVersionLast="47" xr6:coauthVersionMax="47" xr10:uidLastSave="{00000000-0000-0000-0000-000000000000}"/>
  <bookViews>
    <workbookView xWindow="-120" yWindow="-120" windowWidth="29040" windowHeight="15840" firstSheet="6" activeTab="15" xr2:uid="{00000000-000D-0000-FFFF-FFFF00000000}"/>
  </bookViews>
  <sheets>
    <sheet name="Gantt" sheetId="1" r:id="rId1"/>
    <sheet name="Rendimientos" sheetId="4" r:id="rId2"/>
    <sheet name="Rend. 2" sheetId="6" r:id="rId3"/>
    <sheet name="Gantt 2" sheetId="7" r:id="rId4"/>
    <sheet name="Parcial 10-6" sheetId="10" r:id="rId5"/>
    <sheet name="Hs. Empleados" sheetId="9" r:id="rId6"/>
    <sheet name="Hs. Empleados 2" sheetId="11" r:id="rId7"/>
    <sheet name="Hs. Empleados 3" sheetId="12" r:id="rId8"/>
    <sheet name="Hs. Empleados 4" sheetId="13" r:id="rId9"/>
    <sheet name="Rend. 3" sheetId="15" r:id="rId10"/>
    <sheet name="Rend. 4" sheetId="16" r:id="rId11"/>
    <sheet name="Pol. Fabri" sheetId="17" r:id="rId12"/>
    <sheet name="Pol Fabri 2" sheetId="18" r:id="rId13"/>
    <sheet name="Gantt 3" sheetId="19" r:id="rId14"/>
    <sheet name="Gantt 4" sheetId="20" r:id="rId15"/>
    <sheet name="FINAL" sheetId="21" r:id="rId16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16" l="1"/>
  <c r="C43" i="16"/>
  <c r="B43" i="16"/>
  <c r="J5" i="10"/>
  <c r="K4" i="10"/>
  <c r="J4" i="10"/>
  <c r="H33" i="6"/>
  <c r="H19" i="6"/>
  <c r="I21" i="6"/>
  <c r="J8" i="6"/>
  <c r="R10" i="4"/>
  <c r="O11" i="4"/>
  <c r="O10" i="4"/>
  <c r="S19" i="4"/>
  <c r="P19" i="4"/>
  <c r="M19" i="4"/>
  <c r="M10" i="4"/>
  <c r="L11" i="4"/>
  <c r="L10" i="4"/>
  <c r="L6" i="1"/>
  <c r="M7" i="1"/>
  <c r="Z7" i="1" s="1"/>
  <c r="Z6" i="1"/>
  <c r="M6" i="1"/>
  <c r="K4" i="21"/>
  <c r="L4" i="21" s="1"/>
  <c r="B39" i="18"/>
  <c r="B38" i="18"/>
  <c r="B40" i="18"/>
  <c r="B42" i="18" s="1"/>
  <c r="D31" i="18"/>
  <c r="B31" i="18"/>
  <c r="J33" i="18"/>
  <c r="D34" i="18"/>
  <c r="C34" i="18"/>
  <c r="J31" i="18"/>
  <c r="E35" i="18"/>
  <c r="D35" i="18"/>
  <c r="C35" i="18"/>
  <c r="B35" i="18"/>
  <c r="C18" i="18"/>
  <c r="F8" i="18"/>
  <c r="F9" i="18"/>
  <c r="F10" i="18"/>
  <c r="F11" i="18"/>
  <c r="F12" i="18"/>
  <c r="F13" i="18"/>
  <c r="F14" i="18"/>
  <c r="F15" i="18"/>
  <c r="F7" i="18"/>
  <c r="C22" i="18" s="1"/>
  <c r="C24" i="18" s="1"/>
  <c r="E16" i="18"/>
  <c r="D16" i="18"/>
  <c r="C16" i="18"/>
  <c r="B16" i="18"/>
  <c r="C20" i="18" s="1"/>
  <c r="C43" i="17"/>
  <c r="C47" i="17" s="1"/>
  <c r="C48" i="17" s="1"/>
  <c r="E43" i="17"/>
  <c r="K43" i="17"/>
  <c r="E47" i="17"/>
  <c r="E48" i="17" s="1"/>
  <c r="D47" i="17"/>
  <c r="D48" i="17" s="1"/>
  <c r="B47" i="17"/>
  <c r="B48" i="17" s="1"/>
  <c r="C12" i="17"/>
  <c r="O12" i="17" s="1"/>
  <c r="E28" i="17" s="1"/>
  <c r="O8" i="17"/>
  <c r="D27" i="17" s="1"/>
  <c r="K8" i="17"/>
  <c r="C27" i="17" s="1"/>
  <c r="G12" i="17"/>
  <c r="C28" i="17" s="1"/>
  <c r="G8" i="17"/>
  <c r="C10" i="17"/>
  <c r="G10" i="17" s="1"/>
  <c r="C11" i="17"/>
  <c r="K11" i="17" s="1"/>
  <c r="C13" i="17"/>
  <c r="O13" i="17" s="1"/>
  <c r="C14" i="17"/>
  <c r="G14" i="17" s="1"/>
  <c r="C15" i="17"/>
  <c r="K15" i="17" s="1"/>
  <c r="C16" i="17"/>
  <c r="C17" i="17"/>
  <c r="O17" i="17" s="1"/>
  <c r="C18" i="17"/>
  <c r="G18" i="17" s="1"/>
  <c r="C19" i="17"/>
  <c r="K19" i="17" s="1"/>
  <c r="C20" i="17"/>
  <c r="C21" i="17"/>
  <c r="O21" i="17" s="1"/>
  <c r="C22" i="17"/>
  <c r="G22" i="17" s="1"/>
  <c r="C23" i="17"/>
  <c r="G23" i="17" s="1"/>
  <c r="C9" i="17"/>
  <c r="O9" i="17" s="1"/>
  <c r="I22" i="6"/>
  <c r="I23" i="6"/>
  <c r="I24" i="6"/>
  <c r="I25" i="6"/>
  <c r="I26" i="6"/>
  <c r="I27" i="6"/>
  <c r="I28" i="6"/>
  <c r="I29" i="6"/>
  <c r="I30" i="6"/>
  <c r="I31" i="6"/>
  <c r="I32" i="6"/>
  <c r="I20" i="6"/>
  <c r="K20" i="6" s="1"/>
  <c r="K19" i="6"/>
  <c r="A31" i="6"/>
  <c r="H31" i="6" s="1"/>
  <c r="A32" i="6"/>
  <c r="H32" i="6" s="1"/>
  <c r="A30" i="6"/>
  <c r="H30" i="6" s="1"/>
  <c r="A29" i="6"/>
  <c r="H29" i="6" s="1"/>
  <c r="A28" i="6"/>
  <c r="H28" i="6" s="1"/>
  <c r="A27" i="6"/>
  <c r="H27" i="6" s="1"/>
  <c r="A26" i="6"/>
  <c r="H26" i="6" s="1"/>
  <c r="A25" i="6"/>
  <c r="H25" i="6" s="1"/>
  <c r="A24" i="6"/>
  <c r="H24" i="6" s="1"/>
  <c r="A23" i="6"/>
  <c r="H23" i="6" s="1"/>
  <c r="A22" i="6"/>
  <c r="H22" i="6" s="1"/>
  <c r="A21" i="6"/>
  <c r="H21" i="6" s="1"/>
  <c r="A20" i="6"/>
  <c r="H20" i="6" s="1"/>
  <c r="J19" i="6" s="1"/>
  <c r="D44" i="16"/>
  <c r="D45" i="16"/>
  <c r="D46" i="16"/>
  <c r="D47" i="16"/>
  <c r="D48" i="16"/>
  <c r="D49" i="16"/>
  <c r="C44" i="16"/>
  <c r="C45" i="16"/>
  <c r="C46" i="16"/>
  <c r="C47" i="16"/>
  <c r="C48" i="16"/>
  <c r="C49" i="16"/>
  <c r="B44" i="16"/>
  <c r="B45" i="16"/>
  <c r="B46" i="16"/>
  <c r="B47" i="16"/>
  <c r="B48" i="16"/>
  <c r="B49" i="16"/>
  <c r="B28" i="16"/>
  <c r="C28" i="16"/>
  <c r="D28" i="16"/>
  <c r="E28" i="16"/>
  <c r="F28" i="16"/>
  <c r="G28" i="16"/>
  <c r="B29" i="16"/>
  <c r="C29" i="16"/>
  <c r="D29" i="16"/>
  <c r="E29" i="16"/>
  <c r="F29" i="16"/>
  <c r="G29" i="16"/>
  <c r="B30" i="16"/>
  <c r="C30" i="16"/>
  <c r="D30" i="16"/>
  <c r="E30" i="16"/>
  <c r="F30" i="16"/>
  <c r="G30" i="16"/>
  <c r="J8" i="16"/>
  <c r="I8" i="16" s="1"/>
  <c r="J9" i="16"/>
  <c r="I9" i="16" s="1"/>
  <c r="J10" i="16"/>
  <c r="I10" i="16" s="1"/>
  <c r="J11" i="16"/>
  <c r="I11" i="16" s="1"/>
  <c r="J12" i="16"/>
  <c r="I12" i="16" s="1"/>
  <c r="J13" i="16"/>
  <c r="I13" i="16" s="1"/>
  <c r="J14" i="16"/>
  <c r="I14" i="16" s="1"/>
  <c r="J15" i="16"/>
  <c r="I15" i="16" s="1"/>
  <c r="J7" i="16"/>
  <c r="I7" i="16" s="1"/>
  <c r="G17" i="15"/>
  <c r="H17" i="15" s="1"/>
  <c r="G18" i="15"/>
  <c r="H18" i="15" s="1"/>
  <c r="G19" i="15"/>
  <c r="H19" i="15" s="1"/>
  <c r="G20" i="15"/>
  <c r="H20" i="15" s="1"/>
  <c r="G21" i="15"/>
  <c r="H21" i="15" s="1"/>
  <c r="G22" i="15"/>
  <c r="H22" i="15" s="1"/>
  <c r="G23" i="15"/>
  <c r="H23" i="15" s="1"/>
  <c r="G24" i="15"/>
  <c r="H24" i="15" s="1"/>
  <c r="O3" i="15"/>
  <c r="O2" i="15"/>
  <c r="N6" i="15"/>
  <c r="O6" i="15" s="1"/>
  <c r="N5" i="15"/>
  <c r="O5" i="15" s="1"/>
  <c r="N4" i="15"/>
  <c r="O4" i="15" s="1"/>
  <c r="O8" i="15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T15" i="13" s="1"/>
  <c r="B22" i="12"/>
  <c r="C22" i="12" s="1"/>
  <c r="D22" i="12" s="1"/>
  <c r="E22" i="12" s="1"/>
  <c r="F22" i="12" s="1"/>
  <c r="G22" i="12" s="1"/>
  <c r="H22" i="12" s="1"/>
  <c r="I22" i="12" s="1"/>
  <c r="J22" i="12" s="1"/>
  <c r="K22" i="12" s="1"/>
  <c r="J23" i="12" s="1"/>
  <c r="B21" i="11"/>
  <c r="C21" i="11" s="1"/>
  <c r="D21" i="11" s="1"/>
  <c r="E21" i="11" s="1"/>
  <c r="F21" i="11" s="1"/>
  <c r="F22" i="11" s="1"/>
  <c r="E22" i="11" s="1"/>
  <c r="D22" i="11" s="1"/>
  <c r="C22" i="11" s="1"/>
  <c r="B22" i="11" s="1"/>
  <c r="B23" i="11" s="1"/>
  <c r="C23" i="11" s="1"/>
  <c r="D23" i="11" s="1"/>
  <c r="E23" i="11" s="1"/>
  <c r="F23" i="11" s="1"/>
  <c r="F24" i="11" s="1"/>
  <c r="E24" i="11" s="1"/>
  <c r="D24" i="11" s="1"/>
  <c r="C24" i="11" s="1"/>
  <c r="B24" i="11" s="1"/>
  <c r="E18" i="11"/>
  <c r="E17" i="11"/>
  <c r="E16" i="11"/>
  <c r="E15" i="11"/>
  <c r="I19" i="9"/>
  <c r="I20" i="9"/>
  <c r="I21" i="9"/>
  <c r="I22" i="9"/>
  <c r="B8" i="9"/>
  <c r="K5" i="10"/>
  <c r="K6" i="10"/>
  <c r="J8" i="10" s="1"/>
  <c r="A9" i="10"/>
  <c r="A10" i="10"/>
  <c r="A11" i="10"/>
  <c r="A12" i="10"/>
  <c r="A13" i="10"/>
  <c r="A14" i="10"/>
  <c r="A15" i="10"/>
  <c r="A16" i="10"/>
  <c r="A17" i="10"/>
  <c r="A18" i="10"/>
  <c r="A19" i="10"/>
  <c r="A8" i="10"/>
  <c r="A7" i="10"/>
  <c r="M4" i="7"/>
  <c r="M5" i="7"/>
  <c r="M6" i="7"/>
  <c r="M7" i="7"/>
  <c r="M8" i="7"/>
  <c r="M9" i="7"/>
  <c r="M3" i="7"/>
  <c r="M2" i="7"/>
  <c r="C33" i="7" s="1"/>
  <c r="K6" i="6"/>
  <c r="K5" i="6"/>
  <c r="K4" i="6"/>
  <c r="J4" i="6"/>
  <c r="A6" i="6"/>
  <c r="A7" i="6"/>
  <c r="A8" i="6"/>
  <c r="A9" i="6"/>
  <c r="A10" i="6"/>
  <c r="A11" i="6"/>
  <c r="A12" i="6"/>
  <c r="A13" i="6"/>
  <c r="A14" i="6"/>
  <c r="A15" i="6"/>
  <c r="A5" i="6"/>
  <c r="J5" i="6" s="1"/>
  <c r="R11" i="4"/>
  <c r="R12" i="4"/>
  <c r="R13" i="4"/>
  <c r="R14" i="4"/>
  <c r="R15" i="4"/>
  <c r="O12" i="4"/>
  <c r="O13" i="4"/>
  <c r="O14" i="4"/>
  <c r="O15" i="4"/>
  <c r="P10" i="4"/>
  <c r="L12" i="4"/>
  <c r="L13" i="4"/>
  <c r="L14" i="4"/>
  <c r="L15" i="4"/>
  <c r="X12" i="1"/>
  <c r="Y12" i="1" s="1"/>
  <c r="X11" i="1"/>
  <c r="Y11" i="1" s="1"/>
  <c r="X10" i="1"/>
  <c r="Y10" i="1" s="1"/>
  <c r="X9" i="1"/>
  <c r="Y9" i="1" s="1"/>
  <c r="X8" i="1"/>
  <c r="Y8" i="1" s="1"/>
  <c r="X7" i="1"/>
  <c r="Y7" i="1" s="1"/>
  <c r="X6" i="1"/>
  <c r="Y6" i="1" s="1"/>
  <c r="R12" i="1"/>
  <c r="S12" i="1" s="1"/>
  <c r="R11" i="1"/>
  <c r="S11" i="1" s="1"/>
  <c r="R10" i="1"/>
  <c r="S10" i="1" s="1"/>
  <c r="R9" i="1"/>
  <c r="S9" i="1" s="1"/>
  <c r="R8" i="1"/>
  <c r="S8" i="1" s="1"/>
  <c r="R7" i="1"/>
  <c r="S7" i="1" s="1"/>
  <c r="R6" i="1"/>
  <c r="S6" i="1" s="1"/>
  <c r="L12" i="1"/>
  <c r="M12" i="1" s="1"/>
  <c r="Z12" i="1" s="1"/>
  <c r="L11" i="1"/>
  <c r="M11" i="1" s="1"/>
  <c r="L10" i="1"/>
  <c r="M10" i="1" s="1"/>
  <c r="L9" i="1"/>
  <c r="M9" i="1" s="1"/>
  <c r="L8" i="1"/>
  <c r="M8" i="1" s="1"/>
  <c r="Z8" i="1" s="1"/>
  <c r="L7" i="1"/>
  <c r="Z11" i="1" l="1"/>
  <c r="S10" i="4"/>
  <c r="I23" i="12"/>
  <c r="H23" i="12"/>
  <c r="G23" i="12" s="1"/>
  <c r="F23" i="12" s="1"/>
  <c r="E23" i="12" s="1"/>
  <c r="D23" i="12" s="1"/>
  <c r="C23" i="12" s="1"/>
  <c r="K23" i="12"/>
  <c r="D27" i="15"/>
  <c r="H30" i="16"/>
  <c r="H29" i="16"/>
  <c r="H28" i="16"/>
  <c r="N19" i="6"/>
  <c r="K20" i="17"/>
  <c r="D30" i="17" s="1"/>
  <c r="O20" i="17"/>
  <c r="E30" i="17" s="1"/>
  <c r="O16" i="17"/>
  <c r="E29" i="17" s="1"/>
  <c r="G16" i="17"/>
  <c r="B29" i="17" s="1"/>
  <c r="H21" i="18"/>
  <c r="H20" i="18"/>
  <c r="H22" i="18"/>
  <c r="H23" i="18"/>
  <c r="H19" i="18"/>
  <c r="K13" i="17"/>
  <c r="K16" i="17"/>
  <c r="C29" i="17" s="1"/>
  <c r="O14" i="17"/>
  <c r="C31" i="17"/>
  <c r="G21" i="17"/>
  <c r="G13" i="17"/>
  <c r="D32" i="17" s="1"/>
  <c r="O18" i="17"/>
  <c r="G20" i="17"/>
  <c r="B30" i="17" s="1"/>
  <c r="K17" i="17"/>
  <c r="G17" i="17"/>
  <c r="K12" i="17"/>
  <c r="D28" i="17" s="1"/>
  <c r="O11" i="17"/>
  <c r="K23" i="17"/>
  <c r="C34" i="17" s="1"/>
  <c r="O23" i="17"/>
  <c r="B27" i="17"/>
  <c r="G19" i="17"/>
  <c r="G15" i="17"/>
  <c r="G11" i="17"/>
  <c r="C33" i="17" s="1"/>
  <c r="K21" i="17"/>
  <c r="O22" i="17"/>
  <c r="K10" i="17"/>
  <c r="K14" i="17"/>
  <c r="K18" i="17"/>
  <c r="O10" i="17"/>
  <c r="K22" i="17"/>
  <c r="O15" i="17"/>
  <c r="O19" i="17"/>
  <c r="G9" i="17"/>
  <c r="K9" i="17"/>
  <c r="M8" i="16"/>
  <c r="S15" i="13"/>
  <c r="R15" i="13" s="1"/>
  <c r="Q15" i="13" s="1"/>
  <c r="P15" i="13" s="1"/>
  <c r="O15" i="13" s="1"/>
  <c r="N15" i="13" s="1"/>
  <c r="M15" i="13" s="1"/>
  <c r="L15" i="13" s="1"/>
  <c r="K15" i="13" s="1"/>
  <c r="J15" i="13" s="1"/>
  <c r="I15" i="13" s="1"/>
  <c r="H15" i="13" s="1"/>
  <c r="G15" i="13" s="1"/>
  <c r="F15" i="13" s="1"/>
  <c r="E15" i="13" s="1"/>
  <c r="D15" i="13" s="1"/>
  <c r="C15" i="13" s="1"/>
  <c r="B15" i="13" s="1"/>
  <c r="U15" i="13"/>
  <c r="T16" i="13" s="1"/>
  <c r="S16" i="13" s="1"/>
  <c r="R16" i="13" s="1"/>
  <c r="Q16" i="13" s="1"/>
  <c r="P16" i="13" s="1"/>
  <c r="O16" i="13" s="1"/>
  <c r="N16" i="13" s="1"/>
  <c r="M16" i="13" s="1"/>
  <c r="L16" i="13" s="1"/>
  <c r="K16" i="13" s="1"/>
  <c r="J16" i="13" s="1"/>
  <c r="I16" i="13" s="1"/>
  <c r="H16" i="13" s="1"/>
  <c r="G16" i="13" s="1"/>
  <c r="F16" i="13" s="1"/>
  <c r="E16" i="13" s="1"/>
  <c r="D16" i="13" s="1"/>
  <c r="C16" i="13" s="1"/>
  <c r="B16" i="13" s="1"/>
  <c r="Z9" i="1"/>
  <c r="Z10" i="1"/>
  <c r="Z13" i="1"/>
  <c r="B24" i="12" l="1"/>
  <c r="C24" i="12" s="1"/>
  <c r="D24" i="12" s="1"/>
  <c r="E24" i="12" s="1"/>
  <c r="F24" i="12" s="1"/>
  <c r="G24" i="12" s="1"/>
  <c r="H24" i="12" s="1"/>
  <c r="I24" i="12" s="1"/>
  <c r="J24" i="12" s="1"/>
  <c r="K24" i="12" s="1"/>
  <c r="J25" i="12" s="1"/>
  <c r="B23" i="12"/>
  <c r="C35" i="17"/>
  <c r="B32" i="17"/>
  <c r="E33" i="17"/>
  <c r="S20" i="17"/>
  <c r="E32" i="17"/>
  <c r="S18" i="17"/>
  <c r="S19" i="17"/>
  <c r="B34" i="17"/>
  <c r="D34" i="17"/>
  <c r="S21" i="17"/>
  <c r="E31" i="17"/>
  <c r="B31" i="17"/>
  <c r="D33" i="17"/>
  <c r="U16" i="13"/>
  <c r="H25" i="12" l="1"/>
  <c r="I25" i="12"/>
  <c r="K25" i="12"/>
  <c r="B35" i="17"/>
  <c r="E35" i="17"/>
  <c r="D35" i="17"/>
  <c r="G25" i="12" l="1"/>
  <c r="F25" i="12"/>
  <c r="D25" i="12" l="1"/>
  <c r="E25" i="12"/>
  <c r="B25" i="12" l="1"/>
  <c r="C25" i="12"/>
</calcChain>
</file>

<file path=xl/sharedStrings.xml><?xml version="1.0" encoding="utf-8"?>
<sst xmlns="http://schemas.openxmlformats.org/spreadsheetml/2006/main" count="909" uniqueCount="316">
  <si>
    <r>
      <t xml:space="preserve">Tiempo minimo de fabricación para producir </t>
    </r>
    <r>
      <rPr>
        <b/>
        <sz val="11"/>
        <color theme="1"/>
        <rFont val="Calibri"/>
        <family val="2"/>
        <scheme val="minor"/>
      </rPr>
      <t>120un</t>
    </r>
    <r>
      <rPr>
        <sz val="11"/>
        <color theme="1"/>
        <rFont val="Calibri"/>
        <family val="2"/>
        <scheme val="minor"/>
      </rPr>
      <t xml:space="preserve"> del item </t>
    </r>
    <r>
      <rPr>
        <b/>
        <sz val="11"/>
        <color theme="1"/>
        <rFont val="Calibri"/>
        <family val="2"/>
        <scheme val="minor"/>
      </rPr>
      <t>T01</t>
    </r>
  </si>
  <si>
    <t>nP1</t>
  </si>
  <si>
    <t>nP2</t>
  </si>
  <si>
    <t>OP5</t>
  </si>
  <si>
    <t>Qm</t>
  </si>
  <si>
    <t>OP10</t>
  </si>
  <si>
    <t>OP15</t>
  </si>
  <si>
    <t>nP3</t>
  </si>
  <si>
    <t>Item</t>
  </si>
  <si>
    <t>Q</t>
  </si>
  <si>
    <t>Precedente</t>
  </si>
  <si>
    <t>GTA</t>
  </si>
  <si>
    <t>P</t>
  </si>
  <si>
    <t>Ta</t>
  </si>
  <si>
    <t>tot</t>
  </si>
  <si>
    <t>Tta</t>
  </si>
  <si>
    <t>nP4</t>
  </si>
  <si>
    <t>T01</t>
  </si>
  <si>
    <t>P1</t>
  </si>
  <si>
    <t>P4</t>
  </si>
  <si>
    <t>P3</t>
  </si>
  <si>
    <t>A01</t>
  </si>
  <si>
    <t>P2</t>
  </si>
  <si>
    <t>Maquinas por puesto</t>
  </si>
  <si>
    <t>A02</t>
  </si>
  <si>
    <t>A03</t>
  </si>
  <si>
    <t>A21</t>
  </si>
  <si>
    <t>A22</t>
  </si>
  <si>
    <t>A23</t>
  </si>
  <si>
    <t>1 turno: 8hs/día</t>
  </si>
  <si>
    <t>Tiempo neto: 5hs/día</t>
  </si>
  <si>
    <t>Diagramas de gantt fecha tardía y proceso continuo</t>
  </si>
  <si>
    <t>Días de los puestos con valor entero</t>
  </si>
  <si>
    <t>Cantidad de días con interferencia</t>
  </si>
  <si>
    <t>Cantidad de días sin interferencia</t>
  </si>
  <si>
    <t>Gantt</t>
  </si>
  <si>
    <t>sin interferencia</t>
  </si>
  <si>
    <t>El cuadro muestra los tiempos productivos, de preparación y de paradas por causa. Determinar para cada operación y para el global lo siguiente</t>
  </si>
  <si>
    <t>El n productivo neto en base al TTA respecto del tiempo Tr</t>
  </si>
  <si>
    <t>El n total en base al tiempo total previsto respecto del subtotal real</t>
  </si>
  <si>
    <t>El índice total en base al tiempo total previsto respecto del subtotal real</t>
  </si>
  <si>
    <t>EL indice total en base al tiempo total previsto respecto del total real</t>
  </si>
  <si>
    <t>n= q*ta + tasig</t>
  </si>
  <si>
    <t>Productivo</t>
  </si>
  <si>
    <t>Preparación</t>
  </si>
  <si>
    <t>Paradas por causa</t>
  </si>
  <si>
    <t>Tr + tpreal + OP</t>
  </si>
  <si>
    <t>Tr</t>
  </si>
  <si>
    <t>asig</t>
  </si>
  <si>
    <t>Real</t>
  </si>
  <si>
    <t>Operario</t>
  </si>
  <si>
    <t>Energía</t>
  </si>
  <si>
    <t>Maqui</t>
  </si>
  <si>
    <t>Insu</t>
  </si>
  <si>
    <t>n productivo</t>
  </si>
  <si>
    <t>n global</t>
  </si>
  <si>
    <t>n previsto</t>
  </si>
  <si>
    <t>F14</t>
  </si>
  <si>
    <t>H33</t>
  </si>
  <si>
    <t>N20</t>
  </si>
  <si>
    <t>J10</t>
  </si>
  <si>
    <t>A12</t>
  </si>
  <si>
    <t>B58</t>
  </si>
  <si>
    <t>Determinar el redimiento de un operario que actúa en la máquina FCo84</t>
  </si>
  <si>
    <t>HORA</t>
  </si>
  <si>
    <t>Operac</t>
  </si>
  <si>
    <t>Obs</t>
  </si>
  <si>
    <t>Sanitario</t>
  </si>
  <si>
    <t>Tiempo total</t>
  </si>
  <si>
    <t>T18</t>
  </si>
  <si>
    <t>Operando Fco84</t>
  </si>
  <si>
    <t>K33</t>
  </si>
  <si>
    <t>refrigerio</t>
  </si>
  <si>
    <t>W8</t>
  </si>
  <si>
    <t>n</t>
  </si>
  <si>
    <t>corte energia</t>
  </si>
  <si>
    <t>Almuerzo</t>
  </si>
  <si>
    <t>R25</t>
  </si>
  <si>
    <t>G10</t>
  </si>
  <si>
    <t>B15</t>
  </si>
  <si>
    <t>tr</t>
  </si>
  <si>
    <t>ta</t>
  </si>
  <si>
    <t>refri</t>
  </si>
  <si>
    <t>corte</t>
  </si>
  <si>
    <t>almuerzo</t>
  </si>
  <si>
    <t>Nivel</t>
  </si>
  <si>
    <t>Ttr</t>
  </si>
  <si>
    <t>Ttc</t>
  </si>
  <si>
    <t>P B69</t>
  </si>
  <si>
    <t>A</t>
  </si>
  <si>
    <t>C</t>
  </si>
  <si>
    <t>PA1</t>
  </si>
  <si>
    <t>PA2</t>
  </si>
  <si>
    <t>PA3</t>
  </si>
  <si>
    <t>B</t>
  </si>
  <si>
    <t>PA4</t>
  </si>
  <si>
    <t>D</t>
  </si>
  <si>
    <t>F</t>
  </si>
  <si>
    <t>PA5</t>
  </si>
  <si>
    <t>E</t>
  </si>
  <si>
    <t>PA6</t>
  </si>
  <si>
    <t>PA7</t>
  </si>
  <si>
    <t>PA</t>
  </si>
  <si>
    <t>PB</t>
  </si>
  <si>
    <t>PC</t>
  </si>
  <si>
    <t>PD</t>
  </si>
  <si>
    <t>PE</t>
  </si>
  <si>
    <t>PF</t>
  </si>
  <si>
    <t xml:space="preserve">low </t>
  </si>
  <si>
    <t>Con interferencia</t>
  </si>
  <si>
    <t>Sin interferencia</t>
  </si>
  <si>
    <t>Ejercicio 1</t>
  </si>
  <si>
    <t>Rendimiento maquina T14</t>
  </si>
  <si>
    <t>Ttot</t>
  </si>
  <si>
    <t>Hora</t>
  </si>
  <si>
    <t>item</t>
  </si>
  <si>
    <t>OP</t>
  </si>
  <si>
    <t>sanitario</t>
  </si>
  <si>
    <t>operando</t>
  </si>
  <si>
    <t>n=</t>
  </si>
  <si>
    <t>corte de energia</t>
  </si>
  <si>
    <t>Ejercicio 2</t>
  </si>
  <si>
    <t>Tiempo</t>
  </si>
  <si>
    <t>MTX</t>
  </si>
  <si>
    <t>MTY</t>
  </si>
  <si>
    <t>MYZ</t>
  </si>
  <si>
    <t>D1</t>
  </si>
  <si>
    <t>M</t>
  </si>
  <si>
    <t>Produccion base tecnología instalada</t>
  </si>
  <si>
    <t>La empres no fabrica un produco, sino que realiza un servicio determinado, esta recibe un semielaborado y le realiza un servicio de mecanizado, por ejemplo, un tratemiento termico</t>
  </si>
  <si>
    <t>Relacion de existencia de partes y programación (conceptos, diagrama)</t>
  </si>
  <si>
    <t>D2</t>
  </si>
  <si>
    <t>D3</t>
  </si>
  <si>
    <t>5 un</t>
  </si>
  <si>
    <t>Operaciones: 10 -15, 20-25</t>
  </si>
  <si>
    <t>Jornada</t>
  </si>
  <si>
    <t>hs</t>
  </si>
  <si>
    <t>8 a 17hs</t>
  </si>
  <si>
    <t>12 a 13hs</t>
  </si>
  <si>
    <t>Comienzo de actividad: 9:00</t>
  </si>
  <si>
    <t>Aptos</t>
  </si>
  <si>
    <t>A no puede hacer 10 y 15</t>
  </si>
  <si>
    <t>Min</t>
  </si>
  <si>
    <t>B no puede hacer 15</t>
  </si>
  <si>
    <t>OP 10</t>
  </si>
  <si>
    <t>C no puede hacer 10 y 20</t>
  </si>
  <si>
    <t>OP 15</t>
  </si>
  <si>
    <t>D no puede hacer 25</t>
  </si>
  <si>
    <t>OP 20</t>
  </si>
  <si>
    <t>OP 25</t>
  </si>
  <si>
    <t>Ta 10</t>
  </si>
  <si>
    <t>min</t>
  </si>
  <si>
    <t>Ta 15</t>
  </si>
  <si>
    <t>Ta 20</t>
  </si>
  <si>
    <t>Ta 25</t>
  </si>
  <si>
    <t>Horario</t>
  </si>
  <si>
    <t>9 - 9.15</t>
  </si>
  <si>
    <t>9.15-9.30</t>
  </si>
  <si>
    <t>9.30-9.45</t>
  </si>
  <si>
    <t>9.45-10</t>
  </si>
  <si>
    <t>10-10.15</t>
  </si>
  <si>
    <t>9.27-9.39</t>
  </si>
  <si>
    <t>9.39-9.51</t>
  </si>
  <si>
    <t>9.51-10.03</t>
  </si>
  <si>
    <t>10.03-10.15</t>
  </si>
  <si>
    <t>10.15-10.27</t>
  </si>
  <si>
    <t>9.43-9.54</t>
  </si>
  <si>
    <t>9.54-10.05</t>
  </si>
  <si>
    <t>10.05-10.27</t>
  </si>
  <si>
    <t>10.16-10.27</t>
  </si>
  <si>
    <t>10.27 -10.38</t>
  </si>
  <si>
    <t>10.06-10.14</t>
  </si>
  <si>
    <t>10.14-10.22</t>
  </si>
  <si>
    <t>10.22-10.30</t>
  </si>
  <si>
    <t>10.30-10.38</t>
  </si>
  <si>
    <t>10.38- 10.46</t>
  </si>
  <si>
    <r>
      <t xml:space="preserve">Hay que fabricar </t>
    </r>
    <r>
      <rPr>
        <b/>
        <sz val="11"/>
        <color theme="1"/>
        <rFont val="Calibri"/>
        <family val="2"/>
        <scheme val="minor"/>
      </rPr>
      <t>5 un</t>
    </r>
  </si>
  <si>
    <t>nA</t>
  </si>
  <si>
    <t>nB</t>
  </si>
  <si>
    <t>nC</t>
  </si>
  <si>
    <t>nD</t>
  </si>
  <si>
    <t>pz</t>
  </si>
  <si>
    <t>Piezas</t>
  </si>
  <si>
    <t>Inicio</t>
  </si>
  <si>
    <t>Final</t>
  </si>
  <si>
    <t>Turno</t>
  </si>
  <si>
    <t>Hs extra</t>
  </si>
  <si>
    <t>Alm</t>
  </si>
  <si>
    <t>Refrigerio</t>
  </si>
  <si>
    <t>A1</t>
  </si>
  <si>
    <t>N</t>
  </si>
  <si>
    <t>Q*Ta/Tr</t>
  </si>
  <si>
    <t>n*Tr/Q</t>
  </si>
  <si>
    <t>A2</t>
  </si>
  <si>
    <t>Tr=</t>
  </si>
  <si>
    <t>Q*Ta/n</t>
  </si>
  <si>
    <t>A3</t>
  </si>
  <si>
    <t>Rendimiento del sector</t>
  </si>
  <si>
    <t>Determinar el rendimiento general del sector</t>
  </si>
  <si>
    <t>Q*ta/tr</t>
  </si>
  <si>
    <t>Unidades</t>
  </si>
  <si>
    <t>Operación</t>
  </si>
  <si>
    <t>Maquina</t>
  </si>
  <si>
    <t>X</t>
  </si>
  <si>
    <t>Y</t>
  </si>
  <si>
    <t>T1</t>
  </si>
  <si>
    <t>T2</t>
  </si>
  <si>
    <t>n general</t>
  </si>
  <si>
    <t>T3</t>
  </si>
  <si>
    <t>T4</t>
  </si>
  <si>
    <t>B1</t>
  </si>
  <si>
    <t>B2</t>
  </si>
  <si>
    <t>B3</t>
  </si>
  <si>
    <t>Paradas por C</t>
  </si>
  <si>
    <t>Asignado</t>
  </si>
  <si>
    <t>Planta</t>
  </si>
  <si>
    <t>T71</t>
  </si>
  <si>
    <t>T72</t>
  </si>
  <si>
    <t>T73</t>
  </si>
  <si>
    <t>T74</t>
  </si>
  <si>
    <t>T75</t>
  </si>
  <si>
    <t>T76</t>
  </si>
  <si>
    <t>Global</t>
  </si>
  <si>
    <t>np</t>
  </si>
  <si>
    <t>nt</t>
  </si>
  <si>
    <t>it</t>
  </si>
  <si>
    <t>T81</t>
  </si>
  <si>
    <t>T82</t>
  </si>
  <si>
    <t>T83</t>
  </si>
  <si>
    <t>T84</t>
  </si>
  <si>
    <t>T85</t>
  </si>
  <si>
    <t>Determinar carga horaria por puesto para la produccion de 4 conjuntos de 100 unidades cada uno</t>
  </si>
  <si>
    <t>HH</t>
  </si>
  <si>
    <t>OP 5</t>
  </si>
  <si>
    <t>Un</t>
  </si>
  <si>
    <t>Tot</t>
  </si>
  <si>
    <t>Puesto</t>
  </si>
  <si>
    <t>Ta min</t>
  </si>
  <si>
    <t>Tr hs</t>
  </si>
  <si>
    <t>Conj A</t>
  </si>
  <si>
    <t>Sub 1</t>
  </si>
  <si>
    <t>Sub2</t>
  </si>
  <si>
    <t>Sub 3</t>
  </si>
  <si>
    <t>Conj B</t>
  </si>
  <si>
    <t>Sub 4</t>
  </si>
  <si>
    <t>Conj C</t>
  </si>
  <si>
    <t>Conj D</t>
  </si>
  <si>
    <t>Sub4</t>
  </si>
  <si>
    <t>Totales</t>
  </si>
  <si>
    <t>Resto</t>
  </si>
  <si>
    <t>Costo minimo mensual para producir 3 conjuntos</t>
  </si>
  <si>
    <t>2 turnos de 120 horas</t>
  </si>
  <si>
    <t>60 hs extra -----&gt; 300hs por puesto</t>
  </si>
  <si>
    <t>TOTAL</t>
  </si>
  <si>
    <t>Costo</t>
  </si>
  <si>
    <t>Turno: 20UM/h</t>
  </si>
  <si>
    <t>Conj b</t>
  </si>
  <si>
    <t>Subconj 1</t>
  </si>
  <si>
    <t>HH: 40 UM/h</t>
  </si>
  <si>
    <t>Subconj 2</t>
  </si>
  <si>
    <t>Subconj 3</t>
  </si>
  <si>
    <t>Subconj 4</t>
  </si>
  <si>
    <t>Ter: 95 UM/h</t>
  </si>
  <si>
    <t>Subconj 5</t>
  </si>
  <si>
    <t>Subconj 6</t>
  </si>
  <si>
    <t>Total</t>
  </si>
  <si>
    <t>Tengo que llegar a</t>
  </si>
  <si>
    <t>Prueba</t>
  </si>
  <si>
    <t>Terciarizo</t>
  </si>
  <si>
    <t>1.2.3.4</t>
  </si>
  <si>
    <t>Tengo</t>
  </si>
  <si>
    <t>2.3.4.5.6</t>
  </si>
  <si>
    <t>3.4.5.6</t>
  </si>
  <si>
    <t>Hay fijas</t>
  </si>
  <si>
    <t>1.3.4.5.6</t>
  </si>
  <si>
    <t>1.4.5.6</t>
  </si>
  <si>
    <t>Tengo que llegar a en sub</t>
  </si>
  <si>
    <t>Costo H</t>
  </si>
  <si>
    <t>Ter</t>
  </si>
  <si>
    <t>Costo tot</t>
  </si>
  <si>
    <t>OP20</t>
  </si>
  <si>
    <t>PROD A</t>
  </si>
  <si>
    <t>Comp B</t>
  </si>
  <si>
    <t>Comp C</t>
  </si>
  <si>
    <t>Comp D</t>
  </si>
  <si>
    <t>Comp E</t>
  </si>
  <si>
    <t>Comp F</t>
  </si>
  <si>
    <t>Comp G</t>
  </si>
  <si>
    <t>Comp H</t>
  </si>
  <si>
    <t>Tiempo con interferecia</t>
  </si>
  <si>
    <t>Día 1</t>
  </si>
  <si>
    <t>Día 2</t>
  </si>
  <si>
    <t>Día 3</t>
  </si>
  <si>
    <t>MTW</t>
  </si>
  <si>
    <t>MTZ</t>
  </si>
  <si>
    <t>REPEAT</t>
  </si>
  <si>
    <t>H1</t>
  </si>
  <si>
    <t>H2</t>
  </si>
  <si>
    <t>M1</t>
  </si>
  <si>
    <t>M2</t>
  </si>
  <si>
    <t>M3</t>
  </si>
  <si>
    <t>M4</t>
  </si>
  <si>
    <t>M5</t>
  </si>
  <si>
    <t>TIEMPOS</t>
  </si>
  <si>
    <t>FP</t>
  </si>
  <si>
    <t>C5</t>
  </si>
  <si>
    <t>INT</t>
  </si>
  <si>
    <t>PROD</t>
  </si>
  <si>
    <t>RESTANTE</t>
  </si>
  <si>
    <t>C3</t>
  </si>
  <si>
    <t>OCUPACIÓN</t>
  </si>
  <si>
    <t>C2</t>
  </si>
  <si>
    <t>C4</t>
  </si>
  <si>
    <t>C1</t>
  </si>
  <si>
    <t>D5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</si>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</sst>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£&quot;* #,##0.00_-;\-&quot;£&quot;* #,##0.00_-;_-&quot;£&quot;* &quot;-&quot;??_-;_-@_-"/>
    <numFmt numFmtId="165" formatCode="0.000"/>
    <numFmt numFmtId="166" formatCode="[$-F400]h:mm:ss\ AM/PM"/>
    <numFmt numFmtId="167" formatCode="0.0000"/>
    <numFmt numFmtId="168" formatCode="0.0"/>
    <numFmt numFmtId="169" formatCode="_-[$$-2C0A]\ * #,##0.00_-;\-[$$-2C0A]\ * #,##0.00_-;_-[$$-2C0A]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9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0" borderId="7" xfId="0" applyBorder="1"/>
    <xf numFmtId="0" fontId="0" fillId="9" borderId="3" xfId="0" applyFill="1" applyBorder="1"/>
    <xf numFmtId="0" fontId="0" fillId="9" borderId="5" xfId="0" applyFill="1" applyBorder="1"/>
    <xf numFmtId="0" fontId="0" fillId="8" borderId="5" xfId="0" applyFill="1" applyBorder="1"/>
    <xf numFmtId="0" fontId="0" fillId="7" borderId="5" xfId="0" applyFill="1" applyBorder="1"/>
    <xf numFmtId="0" fontId="0" fillId="6" borderId="4" xfId="0" applyFill="1" applyBorder="1"/>
    <xf numFmtId="0" fontId="0" fillId="9" borderId="9" xfId="0" applyFill="1" applyBorder="1"/>
    <xf numFmtId="0" fontId="0" fillId="8" borderId="9" xfId="0" applyFill="1" applyBorder="1"/>
    <xf numFmtId="0" fontId="0" fillId="7" borderId="9" xfId="0" applyFill="1" applyBorder="1"/>
    <xf numFmtId="0" fontId="0" fillId="6" borderId="10" xfId="0" applyFill="1" applyBorder="1"/>
    <xf numFmtId="0" fontId="0" fillId="7" borderId="3" xfId="0" applyFill="1" applyBorder="1"/>
    <xf numFmtId="0" fontId="0" fillId="6" borderId="5" xfId="0" applyFill="1" applyBorder="1"/>
    <xf numFmtId="0" fontId="0" fillId="5" borderId="5" xfId="0" applyFill="1" applyBorder="1"/>
    <xf numFmtId="0" fontId="0" fillId="5" borderId="4" xfId="0" applyFill="1" applyBorder="1"/>
    <xf numFmtId="0" fontId="0" fillId="5" borderId="3" xfId="0" applyFill="1" applyBorder="1"/>
    <xf numFmtId="0" fontId="0" fillId="7" borderId="4" xfId="0" applyFill="1" applyBorder="1"/>
    <xf numFmtId="0" fontId="0" fillId="8" borderId="4" xfId="0" applyFill="1" applyBorder="1"/>
    <xf numFmtId="0" fontId="0" fillId="5" borderId="8" xfId="0" applyFill="1" applyBorder="1"/>
    <xf numFmtId="0" fontId="0" fillId="8" borderId="11" xfId="0" applyFill="1" applyBorder="1"/>
    <xf numFmtId="0" fontId="0" fillId="0" borderId="12" xfId="0" applyBorder="1" applyAlignment="1">
      <alignment horizontal="center"/>
    </xf>
    <xf numFmtId="165" fontId="0" fillId="0" borderId="1" xfId="0" applyNumberFormat="1" applyBorder="1"/>
    <xf numFmtId="20" fontId="0" fillId="0" borderId="0" xfId="0" applyNumberFormat="1"/>
    <xf numFmtId="20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165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0" fillId="19" borderId="0" xfId="0" applyFill="1" applyAlignment="1">
      <alignment vertical="center"/>
    </xf>
    <xf numFmtId="0" fontId="0" fillId="20" borderId="0" xfId="0" applyFill="1"/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20" fontId="0" fillId="22" borderId="0" xfId="0" applyNumberFormat="1" applyFill="1"/>
    <xf numFmtId="0" fontId="0" fillId="23" borderId="0" xfId="0" applyFill="1"/>
    <xf numFmtId="20" fontId="0" fillId="23" borderId="0" xfId="0" applyNumberFormat="1" applyFill="1"/>
    <xf numFmtId="0" fontId="0" fillId="8" borderId="0" xfId="0" applyFill="1"/>
    <xf numFmtId="0" fontId="0" fillId="24" borderId="0" xfId="0" applyFill="1"/>
    <xf numFmtId="0" fontId="0" fillId="24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20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20" fontId="0" fillId="0" borderId="1" xfId="0" applyNumberFormat="1" applyBorder="1" applyAlignment="1">
      <alignment horizontal="right"/>
    </xf>
    <xf numFmtId="20" fontId="0" fillId="0" borderId="0" xfId="0" applyNumberFormat="1" applyAlignment="1">
      <alignment horizontal="center"/>
    </xf>
    <xf numFmtId="20" fontId="0" fillId="26" borderId="1" xfId="0" applyNumberFormat="1" applyFill="1" applyBorder="1" applyAlignment="1">
      <alignment horizontal="center"/>
    </xf>
    <xf numFmtId="20" fontId="0" fillId="7" borderId="1" xfId="0" applyNumberFormat="1" applyFill="1" applyBorder="1" applyAlignment="1">
      <alignment horizontal="center"/>
    </xf>
    <xf numFmtId="20" fontId="0" fillId="23" borderId="1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167" fontId="0" fillId="0" borderId="1" xfId="0" applyNumberFormat="1" applyBorder="1" applyAlignment="1">
      <alignment horizontal="center"/>
    </xf>
    <xf numFmtId="166" fontId="0" fillId="0" borderId="0" xfId="0" applyNumberFormat="1"/>
    <xf numFmtId="0" fontId="0" fillId="0" borderId="1" xfId="0" applyBorder="1" applyAlignment="1">
      <alignment vertical="center"/>
    </xf>
    <xf numFmtId="0" fontId="0" fillId="17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" fontId="0" fillId="17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/>
    </xf>
    <xf numFmtId="1" fontId="0" fillId="13" borderId="1" xfId="0" applyNumberFormat="1" applyFill="1" applyBorder="1" applyAlignment="1">
      <alignment horizontal="center" vertical="center"/>
    </xf>
    <xf numFmtId="1" fontId="0" fillId="0" borderId="0" xfId="0" applyNumberFormat="1"/>
    <xf numFmtId="2" fontId="0" fillId="6" borderId="1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8" fontId="0" fillId="0" borderId="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27" borderId="1" xfId="0" applyFill="1" applyBorder="1"/>
    <xf numFmtId="0" fontId="0" fillId="0" borderId="2" xfId="0" applyBorder="1"/>
    <xf numFmtId="0" fontId="0" fillId="5" borderId="0" xfId="0" applyFill="1"/>
    <xf numFmtId="0" fontId="5" fillId="0" borderId="0" xfId="0" applyFont="1"/>
    <xf numFmtId="0" fontId="0" fillId="3" borderId="0" xfId="0" applyFill="1"/>
    <xf numFmtId="169" fontId="0" fillId="0" borderId="0" xfId="1" applyNumberFormat="1" applyFont="1"/>
    <xf numFmtId="0" fontId="0" fillId="28" borderId="1" xfId="0" applyFill="1" applyBorder="1" applyAlignment="1">
      <alignment horizontal="center"/>
    </xf>
    <xf numFmtId="0" fontId="0" fillId="17" borderId="0" xfId="0" applyFill="1"/>
    <xf numFmtId="0" fontId="0" fillId="22" borderId="0" xfId="0" applyFill="1"/>
    <xf numFmtId="0" fontId="0" fillId="12" borderId="0" xfId="0" applyFill="1"/>
    <xf numFmtId="0" fontId="0" fillId="6" borderId="0" xfId="0" applyFill="1"/>
    <xf numFmtId="0" fontId="0" fillId="29" borderId="0" xfId="0" applyFill="1"/>
    <xf numFmtId="0" fontId="0" fillId="21" borderId="0" xfId="0" applyFill="1"/>
    <xf numFmtId="0" fontId="0" fillId="12" borderId="12" xfId="0" applyFill="1" applyBorder="1"/>
    <xf numFmtId="0" fontId="0" fillId="17" borderId="12" xfId="0" applyFill="1" applyBorder="1"/>
    <xf numFmtId="0" fontId="0" fillId="23" borderId="12" xfId="0" applyFill="1" applyBorder="1"/>
    <xf numFmtId="0" fontId="0" fillId="31" borderId="0" xfId="0" applyFill="1"/>
    <xf numFmtId="0" fontId="0" fillId="32" borderId="0" xfId="0" applyFill="1"/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34" borderId="9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22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/>
    </xf>
    <xf numFmtId="0" fontId="3" fillId="18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center" vertical="center"/>
    </xf>
    <xf numFmtId="0" fontId="3" fillId="18" borderId="9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1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6" fillId="3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3" fillId="33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22" borderId="0" xfId="0" applyFont="1" applyFill="1" applyAlignment="1">
      <alignment horizontal="center" vertical="center"/>
    </xf>
    <xf numFmtId="0" fontId="6" fillId="34" borderId="0" xfId="0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ustomXml" Target="../ink/ink4.xml"/><Relationship Id="rId7" Type="http://schemas.openxmlformats.org/officeDocument/2006/relationships/customXml" Target="../ink/ink6.xml"/><Relationship Id="rId2" Type="http://schemas.openxmlformats.org/officeDocument/2006/relationships/image" Target="../media/image3.png"/><Relationship Id="rId1" Type="http://schemas.openxmlformats.org/officeDocument/2006/relationships/customXml" Target="../ink/ink3.xml"/><Relationship Id="rId6" Type="http://schemas.openxmlformats.org/officeDocument/2006/relationships/image" Target="../media/image5.png"/><Relationship Id="rId5" Type="http://schemas.openxmlformats.org/officeDocument/2006/relationships/customXml" Target="../ink/ink5.xml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.png"/><Relationship Id="rId18" Type="http://schemas.openxmlformats.org/officeDocument/2006/relationships/customXml" Target="../ink/ink16.xml"/><Relationship Id="rId26" Type="http://schemas.openxmlformats.org/officeDocument/2006/relationships/customXml" Target="../ink/ink20.xml"/><Relationship Id="rId39" Type="http://schemas.openxmlformats.org/officeDocument/2006/relationships/image" Target="../media/image25.png"/><Relationship Id="rId21" Type="http://schemas.openxmlformats.org/officeDocument/2006/relationships/image" Target="../media/image16.png"/><Relationship Id="rId34" Type="http://schemas.openxmlformats.org/officeDocument/2006/relationships/customXml" Target="../ink/ink24.xml"/><Relationship Id="rId7" Type="http://schemas.openxmlformats.org/officeDocument/2006/relationships/customXml" Target="../ink/ink10.xml"/><Relationship Id="rId12" Type="http://schemas.openxmlformats.org/officeDocument/2006/relationships/customXml" Target="../ink/ink13.xml"/><Relationship Id="rId17" Type="http://schemas.openxmlformats.org/officeDocument/2006/relationships/image" Target="../media/image14.png"/><Relationship Id="rId25" Type="http://schemas.openxmlformats.org/officeDocument/2006/relationships/image" Target="../media/image18.png"/><Relationship Id="rId33" Type="http://schemas.openxmlformats.org/officeDocument/2006/relationships/image" Target="../media/image22.png"/><Relationship Id="rId38" Type="http://schemas.openxmlformats.org/officeDocument/2006/relationships/customXml" Target="../ink/ink26.xml"/><Relationship Id="rId2" Type="http://schemas.openxmlformats.org/officeDocument/2006/relationships/image" Target="../media/image7.png"/><Relationship Id="rId16" Type="http://schemas.openxmlformats.org/officeDocument/2006/relationships/customXml" Target="../ink/ink15.xml"/><Relationship Id="rId20" Type="http://schemas.openxmlformats.org/officeDocument/2006/relationships/customXml" Target="../ink/ink17.xml"/><Relationship Id="rId29" Type="http://schemas.openxmlformats.org/officeDocument/2006/relationships/image" Target="../media/image20.png"/><Relationship Id="rId1" Type="http://schemas.openxmlformats.org/officeDocument/2006/relationships/customXml" Target="../ink/ink7.xml"/><Relationship Id="rId6" Type="http://schemas.openxmlformats.org/officeDocument/2006/relationships/image" Target="../media/image9.png"/><Relationship Id="rId11" Type="http://schemas.openxmlformats.org/officeDocument/2006/relationships/image" Target="../media/image11.png"/><Relationship Id="rId24" Type="http://schemas.openxmlformats.org/officeDocument/2006/relationships/customXml" Target="../ink/ink19.xml"/><Relationship Id="rId32" Type="http://schemas.openxmlformats.org/officeDocument/2006/relationships/customXml" Target="../ink/ink23.xml"/><Relationship Id="rId37" Type="http://schemas.openxmlformats.org/officeDocument/2006/relationships/image" Target="../media/image24.png"/><Relationship Id="rId5" Type="http://schemas.openxmlformats.org/officeDocument/2006/relationships/customXml" Target="../ink/ink9.xml"/><Relationship Id="rId15" Type="http://schemas.openxmlformats.org/officeDocument/2006/relationships/image" Target="../media/image13.png"/><Relationship Id="rId23" Type="http://schemas.openxmlformats.org/officeDocument/2006/relationships/image" Target="../media/image17.png"/><Relationship Id="rId28" Type="http://schemas.openxmlformats.org/officeDocument/2006/relationships/customXml" Target="../ink/ink21.xml"/><Relationship Id="rId36" Type="http://schemas.openxmlformats.org/officeDocument/2006/relationships/customXml" Target="../ink/ink25.xml"/><Relationship Id="rId10" Type="http://schemas.openxmlformats.org/officeDocument/2006/relationships/customXml" Target="../ink/ink12.xml"/><Relationship Id="rId19" Type="http://schemas.openxmlformats.org/officeDocument/2006/relationships/image" Target="../media/image15.png"/><Relationship Id="rId31" Type="http://schemas.openxmlformats.org/officeDocument/2006/relationships/image" Target="../media/image21.png"/><Relationship Id="rId4" Type="http://schemas.openxmlformats.org/officeDocument/2006/relationships/image" Target="../media/image8.png"/><Relationship Id="rId9" Type="http://schemas.openxmlformats.org/officeDocument/2006/relationships/customXml" Target="../ink/ink11.xml"/><Relationship Id="rId14" Type="http://schemas.openxmlformats.org/officeDocument/2006/relationships/customXml" Target="../ink/ink14.xml"/><Relationship Id="rId22" Type="http://schemas.openxmlformats.org/officeDocument/2006/relationships/customXml" Target="../ink/ink18.xml"/><Relationship Id="rId27" Type="http://schemas.openxmlformats.org/officeDocument/2006/relationships/image" Target="../media/image19.png"/><Relationship Id="rId30" Type="http://schemas.openxmlformats.org/officeDocument/2006/relationships/customXml" Target="../ink/ink22.xml"/><Relationship Id="rId35" Type="http://schemas.openxmlformats.org/officeDocument/2006/relationships/image" Target="../media/image23.png"/><Relationship Id="rId8" Type="http://schemas.openxmlformats.org/officeDocument/2006/relationships/image" Target="../media/image10.png"/><Relationship Id="rId3" Type="http://schemas.openxmlformats.org/officeDocument/2006/relationships/customXml" Target="../ink/ink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ustomXml" Target="../ink/ink28.xml"/><Relationship Id="rId2" Type="http://schemas.openxmlformats.org/officeDocument/2006/relationships/image" Target="../media/image27.png"/><Relationship Id="rId1" Type="http://schemas.openxmlformats.org/officeDocument/2006/relationships/customXml" Target="../ink/ink27.xml"/><Relationship Id="rId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200025</xdr:colOff>
      <xdr:row>15</xdr:row>
      <xdr:rowOff>104775</xdr:rowOff>
    </xdr:from>
    <xdr:to>
      <xdr:col>14</xdr:col>
      <xdr:colOff>219075</xdr:colOff>
      <xdr:row>17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D93F4D6-A5E1-628F-361D-E98B4639939D}"/>
            </a:ext>
          </a:extLst>
        </xdr:cNvPr>
        <xdr:cNvSpPr/>
      </xdr:nvSpPr>
      <xdr:spPr>
        <a:xfrm>
          <a:off x="6400800" y="2962275"/>
          <a:ext cx="628650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TO1</a:t>
          </a:r>
        </a:p>
      </xdr:txBody>
    </xdr:sp>
    <xdr:clientData/>
  </xdr:twoCellAnchor>
  <xdr:twoCellAnchor>
    <xdr:from>
      <xdr:col>14</xdr:col>
      <xdr:colOff>609600</xdr:colOff>
      <xdr:row>13</xdr:row>
      <xdr:rowOff>66675</xdr:rowOff>
    </xdr:from>
    <xdr:to>
      <xdr:col>19</xdr:col>
      <xdr:colOff>171450</xdr:colOff>
      <xdr:row>15</xdr:row>
      <xdr:rowOff>57150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14A217F-68AD-F3F5-2DEC-A2DB542B6278}"/>
            </a:ext>
          </a:extLst>
        </xdr:cNvPr>
        <xdr:cNvSpPr/>
      </xdr:nvSpPr>
      <xdr:spPr>
        <a:xfrm>
          <a:off x="7419975" y="2543175"/>
          <a:ext cx="800100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A01</a:t>
          </a:r>
        </a:p>
      </xdr:txBody>
    </xdr:sp>
    <xdr:clientData/>
  </xdr:twoCellAnchor>
  <xdr:twoCellAnchor>
    <xdr:from>
      <xdr:col>14</xdr:col>
      <xdr:colOff>609600</xdr:colOff>
      <xdr:row>16</xdr:row>
      <xdr:rowOff>19050</xdr:rowOff>
    </xdr:from>
    <xdr:to>
      <xdr:col>19</xdr:col>
      <xdr:colOff>171450</xdr:colOff>
      <xdr:row>18</xdr:row>
      <xdr:rowOff>9525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52FC776-E0BD-485D-BBEB-1409536FBB1C}"/>
            </a:ext>
          </a:extLst>
        </xdr:cNvPr>
        <xdr:cNvSpPr/>
      </xdr:nvSpPr>
      <xdr:spPr>
        <a:xfrm>
          <a:off x="7419975" y="3067050"/>
          <a:ext cx="800100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A02</a:t>
          </a:r>
        </a:p>
      </xdr:txBody>
    </xdr:sp>
    <xdr:clientData/>
  </xdr:twoCellAnchor>
  <xdr:twoCellAnchor>
    <xdr:from>
      <xdr:col>18</xdr:col>
      <xdr:colOff>9525</xdr:colOff>
      <xdr:row>18</xdr:row>
      <xdr:rowOff>171450</xdr:rowOff>
    </xdr:from>
    <xdr:to>
      <xdr:col>19</xdr:col>
      <xdr:colOff>200025</xdr:colOff>
      <xdr:row>20</xdr:row>
      <xdr:rowOff>161925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C118094-7890-42A6-89CC-BC54D1DC5DC2}"/>
            </a:ext>
          </a:extLst>
        </xdr:cNvPr>
        <xdr:cNvSpPr/>
      </xdr:nvSpPr>
      <xdr:spPr>
        <a:xfrm>
          <a:off x="7448550" y="3600450"/>
          <a:ext cx="800100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A03</a:t>
          </a:r>
        </a:p>
      </xdr:txBody>
    </xdr:sp>
    <xdr:clientData/>
  </xdr:twoCellAnchor>
  <xdr:twoCellAnchor>
    <xdr:from>
      <xdr:col>20</xdr:col>
      <xdr:colOff>66675</xdr:colOff>
      <xdr:row>16</xdr:row>
      <xdr:rowOff>9525</xdr:rowOff>
    </xdr:from>
    <xdr:to>
      <xdr:col>24</xdr:col>
      <xdr:colOff>257175</xdr:colOff>
      <xdr:row>18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25CD1618-7B65-4BBE-8E63-B682975E86E0}"/>
            </a:ext>
          </a:extLst>
        </xdr:cNvPr>
        <xdr:cNvSpPr/>
      </xdr:nvSpPr>
      <xdr:spPr>
        <a:xfrm>
          <a:off x="8724900" y="3057525"/>
          <a:ext cx="800100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A21</a:t>
          </a:r>
        </a:p>
      </xdr:txBody>
    </xdr:sp>
    <xdr:clientData/>
  </xdr:twoCellAnchor>
  <xdr:twoCellAnchor>
    <xdr:from>
      <xdr:col>20</xdr:col>
      <xdr:colOff>85725</xdr:colOff>
      <xdr:row>19</xdr:row>
      <xdr:rowOff>19050</xdr:rowOff>
    </xdr:from>
    <xdr:to>
      <xdr:col>24</xdr:col>
      <xdr:colOff>276225</xdr:colOff>
      <xdr:row>21</xdr:row>
      <xdr:rowOff>9525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596C86C-446C-41E5-B8A9-5553229110F8}"/>
            </a:ext>
          </a:extLst>
        </xdr:cNvPr>
        <xdr:cNvSpPr/>
      </xdr:nvSpPr>
      <xdr:spPr>
        <a:xfrm>
          <a:off x="8743950" y="3638550"/>
          <a:ext cx="800100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A22</a:t>
          </a:r>
        </a:p>
      </xdr:txBody>
    </xdr:sp>
    <xdr:clientData/>
  </xdr:twoCellAnchor>
  <xdr:twoCellAnchor>
    <xdr:from>
      <xdr:col>20</xdr:col>
      <xdr:colOff>76200</xdr:colOff>
      <xdr:row>13</xdr:row>
      <xdr:rowOff>85725</xdr:rowOff>
    </xdr:from>
    <xdr:to>
      <xdr:col>24</xdr:col>
      <xdr:colOff>266700</xdr:colOff>
      <xdr:row>15</xdr:row>
      <xdr:rowOff>76200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E02467F4-A739-4640-A08D-8E882597C19F}"/>
            </a:ext>
          </a:extLst>
        </xdr:cNvPr>
        <xdr:cNvSpPr/>
      </xdr:nvSpPr>
      <xdr:spPr>
        <a:xfrm>
          <a:off x="8734425" y="2562225"/>
          <a:ext cx="800100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A23</a:t>
          </a:r>
        </a:p>
      </xdr:txBody>
    </xdr:sp>
    <xdr:clientData/>
  </xdr:twoCellAnchor>
  <xdr:twoCellAnchor editAs="oneCell">
    <xdr:from>
      <xdr:col>19</xdr:col>
      <xdr:colOff>142455</xdr:colOff>
      <xdr:row>14</xdr:row>
      <xdr:rowOff>109500</xdr:rowOff>
    </xdr:from>
    <xdr:to>
      <xdr:col>20</xdr:col>
      <xdr:colOff>65655</xdr:colOff>
      <xdr:row>20</xdr:row>
      <xdr:rowOff>58020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62E95B57-5942-A69D-F95C-440724E82E23}"/>
                </a:ext>
              </a:extLst>
            </xdr14:cNvPr>
            <xdr14:cNvContentPartPr/>
          </xdr14:nvContentPartPr>
          <xdr14:nvPr macro=""/>
          <xdr14:xfrm>
            <a:off x="8191080" y="2776500"/>
            <a:ext cx="532800" cy="10915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62E95B57-5942-A69D-F95C-440724E82E2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182440" y="2767500"/>
              <a:ext cx="550440" cy="11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190185</xdr:colOff>
      <xdr:row>14</xdr:row>
      <xdr:rowOff>96180</xdr:rowOff>
    </xdr:from>
    <xdr:to>
      <xdr:col>15</xdr:col>
      <xdr:colOff>0</xdr:colOff>
      <xdr:row>19</xdr:row>
      <xdr:rowOff>165720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2BC1DC57-8043-CD58-1657-0EF850F08490}"/>
                </a:ext>
              </a:extLst>
            </xdr14:cNvPr>
            <xdr14:cNvContentPartPr/>
          </xdr14:nvContentPartPr>
          <xdr14:nvPr macro=""/>
          <xdr14:xfrm>
            <a:off x="7000560" y="2763180"/>
            <a:ext cx="438480" cy="10220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2BC1DC57-8043-CD58-1657-0EF850F0849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991920" y="2754180"/>
              <a:ext cx="456120" cy="1039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12</xdr:row>
      <xdr:rowOff>133350</xdr:rowOff>
    </xdr:from>
    <xdr:to>
      <xdr:col>2</xdr:col>
      <xdr:colOff>28575</xdr:colOff>
      <xdr:row>14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4FC1E22-4152-9E88-6E92-F1748991211A}"/>
            </a:ext>
          </a:extLst>
        </xdr:cNvPr>
        <xdr:cNvSpPr/>
      </xdr:nvSpPr>
      <xdr:spPr>
        <a:xfrm>
          <a:off x="685800" y="2419350"/>
          <a:ext cx="676275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 B69</a:t>
          </a:r>
          <a:r>
            <a:rPr lang="es-AR"/>
            <a:t> </a:t>
          </a:r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 B69</a:t>
          </a:r>
          <a:r>
            <a:rPr lang="es-AR"/>
            <a:t> </a:t>
          </a:r>
          <a:endParaRPr lang="es-AR" sz="1100"/>
        </a:p>
      </xdr:txBody>
    </xdr:sp>
    <xdr:clientData/>
  </xdr:twoCellAnchor>
  <xdr:twoCellAnchor>
    <xdr:from>
      <xdr:col>2</xdr:col>
      <xdr:colOff>342900</xdr:colOff>
      <xdr:row>9</xdr:row>
      <xdr:rowOff>171450</xdr:rowOff>
    </xdr:from>
    <xdr:to>
      <xdr:col>3</xdr:col>
      <xdr:colOff>485775</xdr:colOff>
      <xdr:row>11</xdr:row>
      <xdr:rowOff>152400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F4B3EB5-15C1-BC29-7F17-2F5C4910A2DA}"/>
            </a:ext>
          </a:extLst>
        </xdr:cNvPr>
        <xdr:cNvSpPr/>
      </xdr:nvSpPr>
      <xdr:spPr>
        <a:xfrm>
          <a:off x="1676400" y="1885950"/>
          <a:ext cx="752475" cy="361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PA1</a:t>
          </a:r>
          <a:r>
            <a:rPr lang="es-AR"/>
            <a:t> </a:t>
          </a:r>
          <a:endParaRPr lang="es-AR" sz="1100"/>
        </a:p>
      </xdr:txBody>
    </xdr:sp>
    <xdr:clientData/>
  </xdr:twoCellAnchor>
  <xdr:twoCellAnchor>
    <xdr:from>
      <xdr:col>2</xdr:col>
      <xdr:colOff>333375</xdr:colOff>
      <xdr:row>12</xdr:row>
      <xdr:rowOff>95250</xdr:rowOff>
    </xdr:from>
    <xdr:to>
      <xdr:col>3</xdr:col>
      <xdr:colOff>476250</xdr:colOff>
      <xdr:row>14</xdr:row>
      <xdr:rowOff>76200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7205DF6-3DA6-4A4C-86C4-D94FB999B320}"/>
            </a:ext>
          </a:extLst>
        </xdr:cNvPr>
        <xdr:cNvSpPr/>
      </xdr:nvSpPr>
      <xdr:spPr>
        <a:xfrm>
          <a:off x="1666875" y="2381250"/>
          <a:ext cx="752475" cy="361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PA2</a:t>
          </a:r>
          <a:r>
            <a:rPr lang="es-AR"/>
            <a:t>  </a:t>
          </a:r>
          <a:endParaRPr lang="es-AR" sz="1100"/>
        </a:p>
      </xdr:txBody>
    </xdr:sp>
    <xdr:clientData/>
  </xdr:twoCellAnchor>
  <xdr:twoCellAnchor>
    <xdr:from>
      <xdr:col>2</xdr:col>
      <xdr:colOff>333375</xdr:colOff>
      <xdr:row>15</xdr:row>
      <xdr:rowOff>38100</xdr:rowOff>
    </xdr:from>
    <xdr:to>
      <xdr:col>3</xdr:col>
      <xdr:colOff>476250</xdr:colOff>
      <xdr:row>17</xdr:row>
      <xdr:rowOff>19050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A0161CA-7021-464E-B4A3-2C5F490A8989}"/>
            </a:ext>
          </a:extLst>
        </xdr:cNvPr>
        <xdr:cNvSpPr/>
      </xdr:nvSpPr>
      <xdr:spPr>
        <a:xfrm>
          <a:off x="1666875" y="2895600"/>
          <a:ext cx="752475" cy="361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PA3</a:t>
          </a:r>
          <a:r>
            <a:rPr lang="es-AR"/>
            <a:t>  </a:t>
          </a:r>
          <a:endParaRPr lang="es-AR" sz="1100"/>
        </a:p>
      </xdr:txBody>
    </xdr:sp>
    <xdr:clientData/>
  </xdr:twoCellAnchor>
  <xdr:twoCellAnchor>
    <xdr:from>
      <xdr:col>4</xdr:col>
      <xdr:colOff>142875</xdr:colOff>
      <xdr:row>17</xdr:row>
      <xdr:rowOff>180975</xdr:rowOff>
    </xdr:from>
    <xdr:to>
      <xdr:col>5</xdr:col>
      <xdr:colOff>285750</xdr:colOff>
      <xdr:row>19</xdr:row>
      <xdr:rowOff>161925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21D4146-80A0-44FD-8D61-A3984EF69260}"/>
            </a:ext>
          </a:extLst>
        </xdr:cNvPr>
        <xdr:cNvSpPr/>
      </xdr:nvSpPr>
      <xdr:spPr>
        <a:xfrm>
          <a:off x="2695575" y="3419475"/>
          <a:ext cx="752475" cy="361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PA6</a:t>
          </a:r>
          <a:r>
            <a:rPr lang="es-AR"/>
            <a:t>  </a:t>
          </a:r>
          <a:endParaRPr lang="es-AR" sz="1100"/>
        </a:p>
      </xdr:txBody>
    </xdr:sp>
    <xdr:clientData/>
  </xdr:twoCellAnchor>
  <xdr:twoCellAnchor>
    <xdr:from>
      <xdr:col>4</xdr:col>
      <xdr:colOff>152400</xdr:colOff>
      <xdr:row>12</xdr:row>
      <xdr:rowOff>95250</xdr:rowOff>
    </xdr:from>
    <xdr:to>
      <xdr:col>5</xdr:col>
      <xdr:colOff>295275</xdr:colOff>
      <xdr:row>14</xdr:row>
      <xdr:rowOff>76200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3333FED-265E-49E2-9710-1EF53144BD92}"/>
            </a:ext>
          </a:extLst>
        </xdr:cNvPr>
        <xdr:cNvSpPr/>
      </xdr:nvSpPr>
      <xdr:spPr>
        <a:xfrm>
          <a:off x="2705100" y="2381250"/>
          <a:ext cx="752475" cy="361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PA5</a:t>
          </a:r>
          <a:r>
            <a:rPr lang="es-AR"/>
            <a:t>  </a:t>
          </a:r>
          <a:endParaRPr lang="es-AR" sz="1100"/>
        </a:p>
      </xdr:txBody>
    </xdr:sp>
    <xdr:clientData/>
  </xdr:twoCellAnchor>
  <xdr:twoCellAnchor>
    <xdr:from>
      <xdr:col>4</xdr:col>
      <xdr:colOff>142875</xdr:colOff>
      <xdr:row>9</xdr:row>
      <xdr:rowOff>161925</xdr:rowOff>
    </xdr:from>
    <xdr:to>
      <xdr:col>5</xdr:col>
      <xdr:colOff>285750</xdr:colOff>
      <xdr:row>11</xdr:row>
      <xdr:rowOff>142875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9A21EBE1-0053-4B64-9A33-F0D4E7037256}"/>
            </a:ext>
          </a:extLst>
        </xdr:cNvPr>
        <xdr:cNvSpPr/>
      </xdr:nvSpPr>
      <xdr:spPr>
        <a:xfrm>
          <a:off x="2695575" y="1876425"/>
          <a:ext cx="752475" cy="361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PA4</a:t>
          </a:r>
          <a:r>
            <a:rPr lang="es-AR"/>
            <a:t>  </a:t>
          </a:r>
          <a:endParaRPr lang="es-AR" sz="1100"/>
        </a:p>
      </xdr:txBody>
    </xdr:sp>
    <xdr:clientData/>
  </xdr:twoCellAnchor>
  <xdr:twoCellAnchor>
    <xdr:from>
      <xdr:col>4</xdr:col>
      <xdr:colOff>161925</xdr:colOff>
      <xdr:row>15</xdr:row>
      <xdr:rowOff>19050</xdr:rowOff>
    </xdr:from>
    <xdr:to>
      <xdr:col>5</xdr:col>
      <xdr:colOff>304800</xdr:colOff>
      <xdr:row>17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3DDE710-57C8-476C-BA57-B578B563234B}"/>
            </a:ext>
          </a:extLst>
        </xdr:cNvPr>
        <xdr:cNvSpPr/>
      </xdr:nvSpPr>
      <xdr:spPr>
        <a:xfrm>
          <a:off x="2714625" y="2876550"/>
          <a:ext cx="752475" cy="361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PA7</a:t>
          </a:r>
          <a:r>
            <a:rPr lang="es-AR"/>
            <a:t> </a:t>
          </a:r>
          <a:endParaRPr lang="es-AR" sz="1100"/>
        </a:p>
      </xdr:txBody>
    </xdr:sp>
    <xdr:clientData/>
  </xdr:twoCellAnchor>
  <xdr:twoCellAnchor editAs="oneCell">
    <xdr:from>
      <xdr:col>1</xdr:col>
      <xdr:colOff>637800</xdr:colOff>
      <xdr:row>12</xdr:row>
      <xdr:rowOff>18720</xdr:rowOff>
    </xdr:from>
    <xdr:to>
      <xdr:col>1</xdr:col>
      <xdr:colOff>638160</xdr:colOff>
      <xdr:row>12</xdr:row>
      <xdr:rowOff>19080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1692215-65B3-D93B-C16F-C9F95303D5EA}"/>
                </a:ext>
              </a:extLst>
            </xdr14:cNvPr>
            <xdr14:cNvContentPartPr/>
          </xdr14:nvContentPartPr>
          <xdr14:nvPr macro=""/>
          <xdr14:xfrm>
            <a:off x="1247400" y="230472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61692215-65B3-D93B-C16F-C9F95303D5E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9760" y="2196720"/>
              <a:ext cx="36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695040</xdr:colOff>
      <xdr:row>10</xdr:row>
      <xdr:rowOff>181200</xdr:rowOff>
    </xdr:from>
    <xdr:to>
      <xdr:col>2</xdr:col>
      <xdr:colOff>332220</xdr:colOff>
      <xdr:row>15</xdr:row>
      <xdr:rowOff>181260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C60F9C0C-3751-328B-D18C-D391C48D767C}"/>
                </a:ext>
              </a:extLst>
            </xdr14:cNvPr>
            <xdr14:cNvContentPartPr/>
          </xdr14:nvContentPartPr>
          <xdr14:nvPr macro=""/>
          <xdr14:xfrm>
            <a:off x="1304640" y="2086200"/>
            <a:ext cx="361080" cy="9525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C60F9C0C-3751-328B-D18C-D391C48D767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96000" y="2077560"/>
              <a:ext cx="378720" cy="97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447300</xdr:colOff>
      <xdr:row>10</xdr:row>
      <xdr:rowOff>152040</xdr:rowOff>
    </xdr:from>
    <xdr:to>
      <xdr:col>4</xdr:col>
      <xdr:colOff>180060</xdr:colOff>
      <xdr:row>13</xdr:row>
      <xdr:rowOff>69780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ED9FDACF-02BF-1C0E-1915-4936A4039D01}"/>
                </a:ext>
              </a:extLst>
            </xdr14:cNvPr>
            <xdr14:cNvContentPartPr/>
          </xdr14:nvContentPartPr>
          <xdr14:nvPr macro=""/>
          <xdr14:xfrm>
            <a:off x="2390400" y="2057040"/>
            <a:ext cx="342360" cy="4892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ED9FDACF-02BF-1C0E-1915-4936A4039D0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81760" y="2048040"/>
              <a:ext cx="360000" cy="50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466380</xdr:colOff>
      <xdr:row>15</xdr:row>
      <xdr:rowOff>187740</xdr:rowOff>
    </xdr:from>
    <xdr:to>
      <xdr:col>4</xdr:col>
      <xdr:colOff>156300</xdr:colOff>
      <xdr:row>18</xdr:row>
      <xdr:rowOff>134640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359AB782-E7C1-97A6-6926-E2A55CEBD351}"/>
                </a:ext>
              </a:extLst>
            </xdr14:cNvPr>
            <xdr14:cNvContentPartPr/>
          </xdr14:nvContentPartPr>
          <xdr14:nvPr macro=""/>
          <xdr14:xfrm>
            <a:off x="2409480" y="3045240"/>
            <a:ext cx="299520" cy="5184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359AB782-E7C1-97A6-6926-E2A55CEBD35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400840" y="3036240"/>
              <a:ext cx="317160" cy="536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14198</xdr:colOff>
      <xdr:row>23</xdr:row>
      <xdr:rowOff>48883</xdr:rowOff>
    </xdr:from>
    <xdr:to>
      <xdr:col>2</xdr:col>
      <xdr:colOff>607444</xdr:colOff>
      <xdr:row>23</xdr:row>
      <xdr:rowOff>48883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03C4111-AE2B-895B-0529-28D544CF4225}"/>
            </a:ext>
          </a:extLst>
        </xdr:cNvPr>
        <xdr:cNvCxnSpPr/>
      </xdr:nvCxnSpPr>
      <xdr:spPr>
        <a:xfrm>
          <a:off x="1254245" y="4430383"/>
          <a:ext cx="5932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7190</xdr:colOff>
      <xdr:row>36</xdr:row>
      <xdr:rowOff>43133</xdr:rowOff>
    </xdr:from>
    <xdr:to>
      <xdr:col>2</xdr:col>
      <xdr:colOff>600436</xdr:colOff>
      <xdr:row>36</xdr:row>
      <xdr:rowOff>43133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00105B9-5401-42A2-A3D5-D8655200FF02}"/>
            </a:ext>
          </a:extLst>
        </xdr:cNvPr>
        <xdr:cNvCxnSpPr/>
      </xdr:nvCxnSpPr>
      <xdr:spPr>
        <a:xfrm>
          <a:off x="1247237" y="6013331"/>
          <a:ext cx="5932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12223</xdr:colOff>
      <xdr:row>60</xdr:row>
      <xdr:rowOff>48166</xdr:rowOff>
    </xdr:from>
    <xdr:to>
      <xdr:col>2</xdr:col>
      <xdr:colOff>605469</xdr:colOff>
      <xdr:row>60</xdr:row>
      <xdr:rowOff>48166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6ABCDB7-0340-4CD4-A0C4-04673B46F857}"/>
            </a:ext>
          </a:extLst>
        </xdr:cNvPr>
        <xdr:cNvCxnSpPr/>
      </xdr:nvCxnSpPr>
      <xdr:spPr>
        <a:xfrm>
          <a:off x="1252270" y="8951345"/>
          <a:ext cx="5932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7188</xdr:colOff>
      <xdr:row>73</xdr:row>
      <xdr:rowOff>53915</xdr:rowOff>
    </xdr:from>
    <xdr:to>
      <xdr:col>2</xdr:col>
      <xdr:colOff>600434</xdr:colOff>
      <xdr:row>73</xdr:row>
      <xdr:rowOff>53915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4E02E7C-1513-4CF3-9E01-EF99A819A4C2}"/>
            </a:ext>
          </a:extLst>
        </xdr:cNvPr>
        <xdr:cNvCxnSpPr/>
      </xdr:nvCxnSpPr>
      <xdr:spPr>
        <a:xfrm>
          <a:off x="1247235" y="10545792"/>
          <a:ext cx="5932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14378</xdr:colOff>
      <xdr:row>80</xdr:row>
      <xdr:rowOff>71887</xdr:rowOff>
    </xdr:from>
    <xdr:to>
      <xdr:col>2</xdr:col>
      <xdr:colOff>607624</xdr:colOff>
      <xdr:row>80</xdr:row>
      <xdr:rowOff>71887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41D3E7E-CCB2-40D9-903A-D9B2259C7CE0}"/>
            </a:ext>
          </a:extLst>
        </xdr:cNvPr>
        <xdr:cNvCxnSpPr/>
      </xdr:nvCxnSpPr>
      <xdr:spPr>
        <a:xfrm>
          <a:off x="1254425" y="11419217"/>
          <a:ext cx="5932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8626</xdr:colOff>
      <xdr:row>94</xdr:row>
      <xdr:rowOff>40976</xdr:rowOff>
    </xdr:from>
    <xdr:to>
      <xdr:col>2</xdr:col>
      <xdr:colOff>601872</xdr:colOff>
      <xdr:row>94</xdr:row>
      <xdr:rowOff>40976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60524EC-EF3F-4B9C-AE87-8CA703063535}"/>
            </a:ext>
          </a:extLst>
        </xdr:cNvPr>
        <xdr:cNvCxnSpPr/>
      </xdr:nvCxnSpPr>
      <xdr:spPr>
        <a:xfrm>
          <a:off x="1248673" y="13099212"/>
          <a:ext cx="5932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12890</xdr:colOff>
      <xdr:row>86</xdr:row>
      <xdr:rowOff>54906</xdr:rowOff>
    </xdr:from>
    <xdr:to>
      <xdr:col>4</xdr:col>
      <xdr:colOff>606136</xdr:colOff>
      <xdr:row>86</xdr:row>
      <xdr:rowOff>54906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B56009E-E30C-4359-A2D3-6A81AFDBEEB5}"/>
            </a:ext>
          </a:extLst>
        </xdr:cNvPr>
        <xdr:cNvCxnSpPr/>
      </xdr:nvCxnSpPr>
      <xdr:spPr>
        <a:xfrm>
          <a:off x="2476252" y="12299458"/>
          <a:ext cx="5932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13138</xdr:colOff>
      <xdr:row>65</xdr:row>
      <xdr:rowOff>85397</xdr:rowOff>
    </xdr:from>
    <xdr:to>
      <xdr:col>4</xdr:col>
      <xdr:colOff>606384</xdr:colOff>
      <xdr:row>65</xdr:row>
      <xdr:rowOff>85397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A29810E-7E56-481A-9973-184DC8AFFB9F}"/>
            </a:ext>
          </a:extLst>
        </xdr:cNvPr>
        <xdr:cNvCxnSpPr/>
      </xdr:nvCxnSpPr>
      <xdr:spPr>
        <a:xfrm>
          <a:off x="2476500" y="9708931"/>
          <a:ext cx="5932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25565</xdr:colOff>
      <xdr:row>35</xdr:row>
      <xdr:rowOff>25784</xdr:rowOff>
    </xdr:from>
    <xdr:to>
      <xdr:col>10</xdr:col>
      <xdr:colOff>25925</xdr:colOff>
      <xdr:row>35</xdr:row>
      <xdr:rowOff>26144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100BD837-E10D-91AF-D758-4F9B3C8DE6B3}"/>
                </a:ext>
              </a:extLst>
            </xdr14:cNvPr>
            <xdr14:cNvContentPartPr/>
          </xdr14:nvContentPartPr>
          <xdr14:nvPr macro=""/>
          <xdr14:xfrm>
            <a:off x="6554520" y="596592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100BD837-E10D-91AF-D758-4F9B3C8DE6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5520" y="59569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549402</xdr:colOff>
      <xdr:row>31</xdr:row>
      <xdr:rowOff>121592</xdr:rowOff>
    </xdr:from>
    <xdr:to>
      <xdr:col>10</xdr:col>
      <xdr:colOff>591561</xdr:colOff>
      <xdr:row>34</xdr:row>
      <xdr:rowOff>37879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D45E6AF-31EA-6CF0-046C-D94650B0F3FF}"/>
                </a:ext>
              </a:extLst>
            </xdr14:cNvPr>
            <xdr14:cNvContentPartPr/>
          </xdr14:nvContentPartPr>
          <xdr14:nvPr macro=""/>
          <xdr14:xfrm>
            <a:off x="6509331" y="5584860"/>
            <a:ext cx="654480" cy="2836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DD45E6AF-31EA-6CF0-046C-D94650B0F3F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500331" y="5576220"/>
              <a:ext cx="672120" cy="30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78600</xdr:colOff>
      <xdr:row>32</xdr:row>
      <xdr:rowOff>47392</xdr:rowOff>
    </xdr:from>
    <xdr:to>
      <xdr:col>11</xdr:col>
      <xdr:colOff>547680</xdr:colOff>
      <xdr:row>34</xdr:row>
      <xdr:rowOff>36463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39703E12-5C47-DA26-60D9-6E4B2F96FECA}"/>
                </a:ext>
              </a:extLst>
            </xdr14:cNvPr>
            <xdr14:cNvContentPartPr/>
          </xdr14:nvContentPartPr>
          <xdr14:nvPr macro=""/>
          <xdr14:xfrm>
            <a:off x="7263171" y="5633124"/>
            <a:ext cx="469080" cy="2340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39703E12-5C47-DA26-60D9-6E4B2F96FEC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254538" y="5624497"/>
              <a:ext cx="486706" cy="2516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148838</xdr:colOff>
      <xdr:row>32</xdr:row>
      <xdr:rowOff>47392</xdr:rowOff>
    </xdr:from>
    <xdr:to>
      <xdr:col>13</xdr:col>
      <xdr:colOff>279197</xdr:colOff>
      <xdr:row>34</xdr:row>
      <xdr:rowOff>27823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13DCCA72-E46B-CA0F-A622-8A21940487DF}"/>
                </a:ext>
              </a:extLst>
            </xdr14:cNvPr>
            <xdr14:cNvContentPartPr/>
          </xdr14:nvContentPartPr>
          <xdr14:nvPr macro=""/>
          <xdr14:xfrm>
            <a:off x="7945731" y="5633124"/>
            <a:ext cx="742680" cy="225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13DCCA72-E46B-CA0F-A622-8A21940487D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7936731" y="5624484"/>
              <a:ext cx="76032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278721</xdr:colOff>
      <xdr:row>35</xdr:row>
      <xdr:rowOff>54039</xdr:rowOff>
    </xdr:from>
    <xdr:to>
      <xdr:col>10</xdr:col>
      <xdr:colOff>279081</xdr:colOff>
      <xdr:row>35</xdr:row>
      <xdr:rowOff>54399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95179B7-A4A3-D79B-B2EA-B0AEB31E7A73}"/>
                </a:ext>
              </a:extLst>
            </xdr14:cNvPr>
            <xdr14:cNvContentPartPr/>
          </xdr14:nvContentPartPr>
          <xdr14:nvPr macro=""/>
          <xdr14:xfrm>
            <a:off x="6850971" y="6007164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95179B7-A4A3-D79B-B2EA-B0AEB31E7A7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841971" y="5998524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283080</xdr:colOff>
      <xdr:row>35</xdr:row>
      <xdr:rowOff>19479</xdr:rowOff>
    </xdr:from>
    <xdr:to>
      <xdr:col>11</xdr:col>
      <xdr:colOff>505920</xdr:colOff>
      <xdr:row>37</xdr:row>
      <xdr:rowOff>114030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38CE4F22-8281-195B-165C-2C8DDEEACDF4}"/>
                </a:ext>
              </a:extLst>
            </xdr14:cNvPr>
            <xdr14:cNvContentPartPr/>
          </xdr14:nvContentPartPr>
          <xdr14:nvPr macro=""/>
          <xdr14:xfrm>
            <a:off x="7467651" y="5972604"/>
            <a:ext cx="222840" cy="33948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38CE4F22-8281-195B-165C-2C8DDEEACDF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459011" y="5963964"/>
              <a:ext cx="240480" cy="35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537201</xdr:colOff>
      <xdr:row>38</xdr:row>
      <xdr:rowOff>106406</xdr:rowOff>
    </xdr:from>
    <xdr:to>
      <xdr:col>13</xdr:col>
      <xdr:colOff>170477</xdr:colOff>
      <xdr:row>41</xdr:row>
      <xdr:rowOff>36013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18031480-1AB0-5278-2138-1E2C7B3788CF}"/>
                </a:ext>
              </a:extLst>
            </xdr14:cNvPr>
            <xdr14:cNvContentPartPr/>
          </xdr14:nvContentPartPr>
          <xdr14:nvPr macro=""/>
          <xdr14:xfrm>
            <a:off x="7109451" y="6426924"/>
            <a:ext cx="1470240" cy="2970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18031480-1AB0-5278-2138-1E2C7B3788C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100813" y="6418284"/>
              <a:ext cx="1487876" cy="31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464764</xdr:colOff>
      <xdr:row>39</xdr:row>
      <xdr:rowOff>59143</xdr:rowOff>
    </xdr:from>
    <xdr:to>
      <xdr:col>14</xdr:col>
      <xdr:colOff>582715</xdr:colOff>
      <xdr:row>43</xdr:row>
      <xdr:rowOff>45926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E47888C2-7745-2AE1-9FBE-123E4EF296AF}"/>
                </a:ext>
              </a:extLst>
            </xdr14:cNvPr>
            <xdr14:cNvContentPartPr/>
          </xdr14:nvContentPartPr>
          <xdr14:nvPr macro=""/>
          <xdr14:xfrm>
            <a:off x="5812371" y="6502125"/>
            <a:ext cx="3791880" cy="4766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E47888C2-7745-2AE1-9FBE-123E4EF296A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803674" y="6493639"/>
              <a:ext cx="3809636" cy="4939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571157</xdr:colOff>
      <xdr:row>44</xdr:row>
      <xdr:rowOff>141</xdr:rowOff>
    </xdr:from>
    <xdr:to>
      <xdr:col>15</xdr:col>
      <xdr:colOff>504274</xdr:colOff>
      <xdr:row>51</xdr:row>
      <xdr:rowOff>47571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BCA7159D-7453-9F6A-D591-531800CF41C3}"/>
                </a:ext>
              </a:extLst>
            </xdr14:cNvPr>
            <xdr14:cNvContentPartPr/>
          </xdr14:nvContentPartPr>
          <xdr14:nvPr macro=""/>
          <xdr14:xfrm>
            <a:off x="8980371" y="7055445"/>
            <a:ext cx="1157760" cy="90468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BCA7159D-7453-9F6A-D591-531800CF41C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971354" y="7046753"/>
              <a:ext cx="1175433" cy="9217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455237</xdr:colOff>
      <xdr:row>52</xdr:row>
      <xdr:rowOff>6788</xdr:rowOff>
    </xdr:from>
    <xdr:to>
      <xdr:col>14</xdr:col>
      <xdr:colOff>524035</xdr:colOff>
      <xdr:row>54</xdr:row>
      <xdr:rowOff>83340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141432AD-97DE-39E3-D177-196B8D86612F}"/>
                </a:ext>
              </a:extLst>
            </xdr14:cNvPr>
            <xdr14:cNvContentPartPr/>
          </xdr14:nvContentPartPr>
          <xdr14:nvPr macro=""/>
          <xdr14:xfrm>
            <a:off x="8864451" y="8041806"/>
            <a:ext cx="681120" cy="32148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141432AD-97DE-39E3-D177-196B8D86612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8855811" y="8032806"/>
              <a:ext cx="698760" cy="33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226238</xdr:colOff>
      <xdr:row>52</xdr:row>
      <xdr:rowOff>70148</xdr:rowOff>
    </xdr:from>
    <xdr:to>
      <xdr:col>13</xdr:col>
      <xdr:colOff>128717</xdr:colOff>
      <xdr:row>55</xdr:row>
      <xdr:rowOff>82195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B3BC77E1-8DC9-F22E-78F2-8454B5BCFE55}"/>
                </a:ext>
              </a:extLst>
            </xdr14:cNvPr>
            <xdr14:cNvContentPartPr/>
          </xdr14:nvContentPartPr>
          <xdr14:nvPr macro=""/>
          <xdr14:xfrm>
            <a:off x="8023131" y="8105166"/>
            <a:ext cx="514800" cy="37944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B3BC77E1-8DC9-F22E-78F2-8454B5BCFE5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014497" y="8096166"/>
              <a:ext cx="532428" cy="39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595920</xdr:colOff>
      <xdr:row>51</xdr:row>
      <xdr:rowOff>74532</xdr:rowOff>
    </xdr:from>
    <xdr:to>
      <xdr:col>13</xdr:col>
      <xdr:colOff>220157</xdr:colOff>
      <xdr:row>56</xdr:row>
      <xdr:rowOff>28131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C72F34E2-4852-2E75-6A17-78CDBFAFCE06}"/>
                </a:ext>
              </a:extLst>
            </xdr14:cNvPr>
            <xdr14:cNvContentPartPr/>
          </xdr14:nvContentPartPr>
          <xdr14:nvPr macro=""/>
          <xdr14:xfrm>
            <a:off x="7780491" y="7987086"/>
            <a:ext cx="848880" cy="56592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C72F34E2-4852-2E75-6A17-78CDBFAFCE0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7771468" y="7978779"/>
              <a:ext cx="866565" cy="5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108438</xdr:colOff>
      <xdr:row>43</xdr:row>
      <xdr:rowOff>108385</xdr:rowOff>
    </xdr:from>
    <xdr:to>
      <xdr:col>13</xdr:col>
      <xdr:colOff>163064</xdr:colOff>
      <xdr:row>45</xdr:row>
      <xdr:rowOff>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FF4D0CCB-6BC0-E2D0-CA8E-F97009F9C6AA}"/>
                </a:ext>
              </a:extLst>
            </xdr14:cNvPr>
            <xdr14:cNvContentPartPr/>
          </xdr14:nvContentPartPr>
          <xdr14:nvPr macro=""/>
          <xdr14:xfrm>
            <a:off x="7867650" y="7076289"/>
            <a:ext cx="662760" cy="14112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FF4D0CCB-6BC0-E2D0-CA8E-F97009F9C6A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7858650" y="7067289"/>
              <a:ext cx="68040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181253</xdr:colOff>
      <xdr:row>41</xdr:row>
      <xdr:rowOff>95061</xdr:rowOff>
    </xdr:from>
    <xdr:to>
      <xdr:col>12</xdr:col>
      <xdr:colOff>132558</xdr:colOff>
      <xdr:row>45</xdr:row>
      <xdr:rowOff>30990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7B026BBE-208E-F059-CDBF-B343FE6C06A8}"/>
                </a:ext>
              </a:extLst>
            </xdr14:cNvPr>
            <xdr14:cNvContentPartPr/>
          </xdr14:nvContentPartPr>
          <xdr14:nvPr macro=""/>
          <xdr14:xfrm>
            <a:off x="7332330" y="6813849"/>
            <a:ext cx="559440" cy="43416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7B026BBE-208E-F059-CDBF-B343FE6C06A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323690" y="6805216"/>
              <a:ext cx="577080" cy="4517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180798</xdr:colOff>
      <xdr:row>45</xdr:row>
      <xdr:rowOff>87150</xdr:rowOff>
    </xdr:from>
    <xdr:to>
      <xdr:col>13</xdr:col>
      <xdr:colOff>89984</xdr:colOff>
      <xdr:row>48</xdr:row>
      <xdr:rowOff>16597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E9A0F27F-9FD4-F32A-CA7A-204CE957B09B}"/>
                </a:ext>
              </a:extLst>
            </xdr14:cNvPr>
            <xdr14:cNvContentPartPr/>
          </xdr14:nvContentPartPr>
          <xdr14:nvPr macro=""/>
          <xdr14:xfrm>
            <a:off x="7940010" y="7304169"/>
            <a:ext cx="517320" cy="30312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E9A0F27F-9FD4-F32A-CA7A-204CE957B09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931370" y="7295529"/>
              <a:ext cx="534960" cy="32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254958</xdr:colOff>
      <xdr:row>47</xdr:row>
      <xdr:rowOff>104794</xdr:rowOff>
    </xdr:from>
    <xdr:to>
      <xdr:col>13</xdr:col>
      <xdr:colOff>317144</xdr:colOff>
      <xdr:row>49</xdr:row>
      <xdr:rowOff>83559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A9859B38-012E-48DD-D593-06687E29EB69}"/>
                </a:ext>
              </a:extLst>
            </xdr14:cNvPr>
            <xdr14:cNvContentPartPr/>
          </xdr14:nvContentPartPr>
          <xdr14:nvPr macro=""/>
          <xdr14:xfrm>
            <a:off x="8014170" y="7570929"/>
            <a:ext cx="670320" cy="22788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A9859B38-012E-48DD-D593-06687E29EB6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8005170" y="7561929"/>
              <a:ext cx="68796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562682</xdr:colOff>
      <xdr:row>43</xdr:row>
      <xdr:rowOff>7225</xdr:rowOff>
    </xdr:from>
    <xdr:to>
      <xdr:col>11</xdr:col>
      <xdr:colOff>109973</xdr:colOff>
      <xdr:row>46</xdr:row>
      <xdr:rowOff>16232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87E3A13B-925A-D63D-5D3A-1AF5AA43CC48}"/>
                </a:ext>
              </a:extLst>
            </xdr14:cNvPr>
            <xdr14:cNvContentPartPr/>
          </xdr14:nvContentPartPr>
          <xdr14:nvPr macro=""/>
          <xdr14:xfrm>
            <a:off x="6497490" y="6975129"/>
            <a:ext cx="763560" cy="38268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87E3A13B-925A-D63D-5D3A-1AF5AA43CC4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488850" y="6966129"/>
              <a:ext cx="781200" cy="40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175057</xdr:colOff>
      <xdr:row>44</xdr:row>
      <xdr:rowOff>80307</xdr:rowOff>
    </xdr:from>
    <xdr:to>
      <xdr:col>9</xdr:col>
      <xdr:colOff>229322</xdr:colOff>
      <xdr:row>46</xdr:row>
      <xdr:rowOff>60152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2AA1CE99-8EAB-031F-A823-F07C305D7B44}"/>
                </a:ext>
              </a:extLst>
            </xdr14:cNvPr>
            <xdr14:cNvContentPartPr/>
          </xdr14:nvContentPartPr>
          <xdr14:nvPr macro=""/>
          <xdr14:xfrm>
            <a:off x="5501730" y="7172769"/>
            <a:ext cx="662400" cy="22896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2AA1CE99-8EAB-031F-A823-F07C305D7B4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493085" y="7163755"/>
              <a:ext cx="680050" cy="2466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110428</xdr:colOff>
      <xdr:row>45</xdr:row>
      <xdr:rowOff>124230</xdr:rowOff>
    </xdr:from>
    <xdr:to>
      <xdr:col>11</xdr:col>
      <xdr:colOff>563573</xdr:colOff>
      <xdr:row>49</xdr:row>
      <xdr:rowOff>24159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91C1F9F7-F785-A726-D558-7D1EA85B38AD}"/>
                </a:ext>
              </a:extLst>
            </xdr14:cNvPr>
            <xdr14:cNvContentPartPr/>
          </xdr14:nvContentPartPr>
          <xdr14:nvPr macro=""/>
          <xdr14:xfrm>
            <a:off x="6653370" y="7341249"/>
            <a:ext cx="1061280" cy="39816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91C1F9F7-F785-A726-D558-7D1EA85B38A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644727" y="7332609"/>
              <a:ext cx="1078926" cy="41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63628</xdr:colOff>
      <xdr:row>50</xdr:row>
      <xdr:rowOff>18041</xdr:rowOff>
    </xdr:from>
    <xdr:to>
      <xdr:col>11</xdr:col>
      <xdr:colOff>598133</xdr:colOff>
      <xdr:row>57</xdr:row>
      <xdr:rowOff>2577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11D7CC37-B685-1F7F-292E-5278F0238747}"/>
                </a:ext>
              </a:extLst>
            </xdr14:cNvPr>
            <xdr14:cNvContentPartPr/>
          </xdr14:nvContentPartPr>
          <xdr14:nvPr macro=""/>
          <xdr14:xfrm>
            <a:off x="6606570" y="7857849"/>
            <a:ext cx="1142640" cy="85644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11D7CC37-B685-1F7F-292E-5278F023874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6597930" y="7848849"/>
              <a:ext cx="1160280" cy="874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142875</xdr:rowOff>
    </xdr:from>
    <xdr:to>
      <xdr:col>10</xdr:col>
      <xdr:colOff>344204</xdr:colOff>
      <xdr:row>14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512F52-4D9C-5305-7A9C-95B4F40C6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42875"/>
          <a:ext cx="6373529" cy="26193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132960</xdr:colOff>
      <xdr:row>14</xdr:row>
      <xdr:rowOff>138540</xdr:rowOff>
    </xdr:from>
    <xdr:to>
      <xdr:col>5</xdr:col>
      <xdr:colOff>334905</xdr:colOff>
      <xdr:row>20</xdr:row>
      <xdr:rowOff>163020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6EF54BB2-8DCF-7105-1022-B3A20A05EF30}"/>
                </a:ext>
              </a:extLst>
            </xdr14:cNvPr>
            <xdr14:cNvContentPartPr/>
          </xdr14:nvContentPartPr>
          <xdr14:nvPr macro=""/>
          <xdr14:xfrm>
            <a:off x="894960" y="2805540"/>
            <a:ext cx="2821320" cy="11674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6EF54BB2-8DCF-7105-1022-B3A20A05EF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86320" y="2796900"/>
              <a:ext cx="2838960" cy="118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85425</xdr:colOff>
      <xdr:row>12</xdr:row>
      <xdr:rowOff>104100</xdr:rowOff>
    </xdr:from>
    <xdr:to>
      <xdr:col>6</xdr:col>
      <xdr:colOff>383745</xdr:colOff>
      <xdr:row>15</xdr:row>
      <xdr:rowOff>170520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05935A31-EF4C-CFC9-6FA9-4B01DC4E653C}"/>
                </a:ext>
              </a:extLst>
            </xdr14:cNvPr>
            <xdr14:cNvContentPartPr/>
          </xdr14:nvContentPartPr>
          <xdr14:nvPr macro=""/>
          <xdr14:xfrm>
            <a:off x="3466800" y="2390100"/>
            <a:ext cx="907920" cy="6379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05935A31-EF4C-CFC9-6FA9-4B01DC4E653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458160" y="2381100"/>
              <a:ext cx="925560" cy="655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14:46:43.8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107 1362 24575,'0'-8'0,"1"-1"0,1 0 0,-1 1 0,2-1 0,-1 1 0,1 0 0,0-1 0,1 2 0,0-1 0,0 0 0,7-9 0,11-12 0,35-39 0,-7 9 0,-1-1 0,3 3 0,2 1 0,3 3 0,66-48 0,318-215 0,-352 263 0,-67 42 0,0-1 0,-1-1 0,-1-1 0,0-1 0,-1 0 0,28-31 0,-35 30 0,-2 0 0,0 0 0,-1-1 0,0 0 0,-2-1 0,0 0 0,6-23 0,12-31 0,-13 47-1365,0 5-5461</inkml:trace>
  <inkml:trace contextRef="#ctx0" brushRef="#br0" timeOffset="2172.67">54 1336 24575,'20'-1'0,"-1"-1"0,1-1 0,0-1 0,34-12 0,-33 9 0,1 1 0,0 1 0,34-4 0,8 6 0,-12 2 0,59-11 0,-56 5 0,98 1 0,-98 6 0,99-13 0,-95 2 0,-7 1 0,0 2 0,79-2 0,-26 11-1365,-82-1-5461</inkml:trace>
  <inkml:trace contextRef="#ctx0" brushRef="#br0" timeOffset="4006.33">1 1362 24575,'9'0'0,"1"1"0,0 0 0,-1 0 0,1 1 0,-1 0 0,1 0 0,-1 1 0,0 1 0,0-1 0,0 1 0,0 1 0,-1 0 0,0 0 0,0 1 0,0-1 0,10 12 0,-5-3 0,0 1 0,-2 1 0,0 0 0,0 0 0,-2 1 0,0 1 0,8 23 0,293 649 0,-257-589 0,49 84 0,-81-153 0,1-1 0,1 0 0,43 42 0,-19-27 0,-22-18 0,2-2 0,0 0 0,2-3 0,1 0 0,64 37 0,-76-52 0,2 3 0,0-1 0,1-1 0,0-1 0,0-1 0,1-1 0,0 0 0,0-2 0,36 3 0,21-8-1365,-57 0-5461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14:46:50.1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54 1029 24575,'17'-2'0,"0"-1"0,0-1 0,-1-1 0,1 0 0,-1-1 0,0-1 0,0-1 0,28-18 0,-39 24 0,34-22 0,0-2 0,-2-1 0,37-36 0,92-104 0,-142 142 0,78-74 0,-61 62 0,-2-2 0,-2-1 0,36-50 0,118-211-1365,-174 278-5461</inkml:trace>
  <inkml:trace contextRef="#ctx0" brushRef="#br0" timeOffset="1476.05">27 976 24575,'0'0'0,"0"-1"0,0 1 0,0-1 0,0 0 0,1 1 0,-1-1 0,0 1 0,1-1 0,-1 1 0,0-1 0,1 1 0,-1-1 0,1 1 0,-1-1 0,0 1 0,1-1 0,-1 1 0,1 0 0,0-1 0,-1 1 0,1 0 0,-1-1 0,1 1 0,-1 0 0,1 0 0,0 0 0,-1 0 0,1-1 0,0 1 0,-1 0 0,1 0 0,-1 0 0,2 0 0,27 1 0,-22 0 0,34 4 0,0 1 0,56 16 0,49 9 0,-81-20 0,0 4 0,79 29 0,27 8 0,-137-44-170,0 2-1,-1 1 0,-1 2 1,0 0-1,-1 3 0,0 1 1,46 33-1,-59-35-6655</inkml:trace>
  <inkml:trace contextRef="#ctx0" brushRef="#br0" timeOffset="3496.35">1 870 24575,'2'1'0,"0"-1"0,0 1 0,0 0 0,0-1 0,0 1 0,0 0 0,0 0 0,0 0 0,0 0 0,-1 1 0,1-1 0,0 0 0,-1 1 0,1-1 0,-1 1 0,1 0 0,-1-1 0,0 1 0,0 0 0,2 3 0,21 46 0,-20-41 0,91 273 0,7 13 0,-66-219 0,3-2 0,3-2 0,82 107 0,-72-107 0,59 75 0,-31-42 0,-61-77 0,1-2 0,1 0 0,1-1 0,39 34 0,-36-38 0,-1 1 0,0 2 0,-2 0 0,-1 2 0,-2 0 0,0 1 0,22 46 0,-32-59-151,-1 0-1,2-1 0,0 0 0,1-1 1,0 0-1,1 0 0,1-1 1,18 13-1,-13-11-6674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06-19T18:53:55.539"/>
    </inkml:context>
    <inkml:brush xml:id="br0">
      <inkml:brushProperty name="width" value="0.1" units="cm"/>
      <inkml:brushProperty name="height" value="0.6" units="cm"/>
      <inkml:brushProperty name="ignorePressure" value="1"/>
      <inkml:brushProperty name="inkEffects" value="pencil"/>
    </inkml:brush>
  </inkml:definitions>
  <inkml:trace contextRef="#ctx0" brushRef="#br0">1 0,'0'0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18:54:16.0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133 1322 24575,'50'-121'0,"-10"31"0,90-292 0,-121 349 0,3 1 0,0 1 0,2 0 0,1 1 0,1 0 0,2 1 0,1 1 0,1 1 0,28-29 0,-36 46 0,0 1 0,1-1 0,0 2 0,1 0 0,25-11 0,-23 12 0,0-1 0,-1 0 0,-1-1 0,24-19 0,-3-3 0,1 0 0,-1-2 0,48-59 0,-31 27-1365,-28 40-5461</inkml:trace>
  <inkml:trace contextRef="#ctx0" brushRef="#br0" timeOffset="1609.36">54 1375 24575,'722'0'0,"-695"-1"-455,0-1 0,45-11 0,-48 8-6371</inkml:trace>
  <inkml:trace contextRef="#ctx0" brushRef="#br0" timeOffset="3907.79">1 1295 24575,'0'2'0,"1"0"0,0 0 0,0 0 0,0 0 0,0-1 0,0 1 0,0 0 0,1-1 0,-1 1 0,0-1 0,1 1 0,-1-1 0,1 0 0,0 0 0,-1 0 0,3 1 0,3 4 0,29 26 0,-1 2 0,-1 1 0,-2 2 0,-2 1 0,-2 2 0,45 80 0,76 134 0,-123-217 0,2-1 0,2-1 0,1-1 0,53 44 0,-70-66 0,-1 0 0,1 1 0,-2 1 0,0 0 0,-1 1 0,0 0 0,-1 1 0,-1 0 0,0 0 0,-1 1 0,-1 0 0,-1 1 0,7 31 0,-6-24-151,1 0-1,2 0 0,0-1 0,1 0 1,1-1-1,2-1 0,0 1 1,27 31-1,-27-35-6674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18:54:23.5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133 0 24575,'1'3'0,"1"-1"0,0 0 0,0-1 0,0 1 0,1 0 0,-1-1 0,0 1 0,1-1 0,-1 1 0,1-1 0,-1 0 0,1 0 0,-1 0 0,1-1 0,0 1 0,5 0 0,0 1 0,24 7 0,1-2 0,0 0 0,66 2 0,107-11 0,-78-1 0,83 3-1365,-189 0-5461</inkml:trace>
  <inkml:trace contextRef="#ctx0" brushRef="#br0" timeOffset="1234.41">1 0 24575,'6'0'0,"1"1"0,0-1 0,0 1 0,-1 0 0,1 0 0,0 1 0,-1 0 0,1 0 0,-1 1 0,0 0 0,0 0 0,0 0 0,0 1 0,-1 0 0,1 0 0,-1 0 0,0 1 0,0-1 0,0 1 0,-1 1 0,0-1 0,0 0 0,0 1 0,-1 0 0,1 0 0,-2 0 0,1 0 0,0 1 0,2 11 0,8 33 0,3-1 0,2 0 0,47 93 0,99 132 0,-99-171 0,18 39 0,-33-54 0,64 84 0,-29-46-1365,-67-97-5461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18:54:29.6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61 24575,'68'0'0,"96"-2"0,-139 0 0,0-1 0,-1-2 0,1 0 0,35-13 0,-32 11 0,1 1 0,0 1 0,0 1 0,1 2 0,-1 0 0,0 3 0,31 3 0,28-1 0,-31-3-1365,-29 0-5461</inkml:trace>
  <inkml:trace contextRef="#ctx0" brushRef="#br0" timeOffset="2109.21">133 61 24575,'1'8'0,"1"1"0,1 0 0,0-1 0,0 1 0,0-1 0,1 0 0,0 0 0,1-1 0,0 1 0,0-1 0,10 11 0,10 16 0,153 281 0,-168-302 0,0 1 0,1-2 0,16 16 0,-16-18 0,0 1 0,-1 1 0,-1 0 0,12 18 0,-1 8 0,14 44 0,-20-47 0,35 65 0,-23-52 0,-2 1 0,19 53 0,-19-42 0,54 170-1365,-68-193-5461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28:52.0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28:56.9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269 210 24575,'-5'15'0,"1"0"0,0 0 0,2 0 0,-1 0 0,2 0 0,0 1 0,2 30 0,-1-9 0,-2 25 0,-2 1 0,-3-1 0,-3-1 0,-21 71 0,31-132 0,0 0 0,0 1 0,0-1 0,0 0 0,0 1 0,0-1 0,0 0 0,0 0 0,0 1 0,0-1 0,0 0 0,0 1 0,0-1 0,0 0 0,0 0 0,-1 1 0,1-1 0,0 0 0,0 0 0,0 1 0,0-1 0,-1 0 0,1 0 0,0 0 0,0 1 0,0-1 0,-1 0 0,1 0 0,0 0 0,0 0 0,-1 1 0,1-1 0,0 0 0,0 0 0,-1 0 0,1 0 0,0 0 0,0 0 0,-1 0 0,1 0 0,0 0 0,-1 0 0,1 0 0,0 0 0,0 0 0,-1 0 0,1 0 0,0 0 0,-1 0 0,1 0 0,0 0 0,-11-18 0,-3-28 0,1-31 0,3-1 0,4-1 0,3 1 0,9-97 0,-5 163 0,0 1 0,0-1 0,2 1 0,-1 0 0,1 0 0,1-1 0,0 2 0,0-1 0,1 0 0,0 1 0,1 0 0,0 0 0,15-17 0,-15 21 0,1-1 0,0 1 0,1 1 0,-1-1 0,1 1 0,0 1 0,0-1 0,0 1 0,1 1 0,0-1 0,-1 2 0,1-1 0,0 1 0,0 0 0,1 1 0,-1 0 0,0 1 0,10 0 0,-7 0 0,-1 1 0,1 1 0,0 0 0,0 1 0,-1 0 0,1 1 0,-1 0 0,0 0 0,0 1 0,-1 1 0,1 0 0,-1 0 0,17 15 0,-20-15 0,0 1 0,-1 0 0,0 0 0,0 0 0,0 1 0,-1 0 0,-1 0 0,1 0 0,-1 1 0,0 0 0,-1-1 0,0 1 0,-1 1 0,0-1 0,0 0 0,-1 0 0,0 1 0,0 10 0,-1-15 0,0 0 0,-1 0 0,1 0 0,-1 0 0,0 0 0,0 0 0,-1 0 0,1 0 0,-1 0 0,0 0 0,-1-1 0,1 1 0,-5 5 0,1-4 0,0 0 0,0 0 0,0-1 0,-1 1 0,0-2 0,0 1 0,-13 6 0,-3-1-1,-1 0 0,1-1 0,-2-1 0,-41 8 0,-105 6 61,13-2-1480,119-12-5406</inkml:trace>
  <inkml:trace contextRef="#ctx0" brushRef="#br0" timeOffset="1117.01">647 59 24575,'1'0'0,"0"1"0,-1-1 0,1 1 0,0-1 0,0 1 0,0-1 0,-1 1 0,1-1 0,0 1 0,-1 0 0,1-1 0,-1 1 0,1 0 0,-1 0 0,1 0 0,-1-1 0,1 1 0,-1 0 0,0 0 0,1 0 0,-1 0 0,0 0 0,0 0 0,0-1 0,0 1 0,0 2 0,3 31 0,-2-28 0,-2 171 0,-1-112 0,10 113 0,-7-172 0,-1 1 0,2 0 0,-1-1 0,1 1 0,0-1 0,0 1 0,1-1 0,0 0 0,0 0 0,8 11 0,-8-14 0,0 0 0,0 0 0,0-1 0,0 1 0,1-1 0,0 0 0,-1 0 0,1 0 0,0-1 0,0 1 0,-1-1 0,1 0 0,0 0 0,1 0 0,-1-1 0,0 1 0,0-1 0,0 0 0,5 0 0,10-1-1365,-2 0-5461</inkml:trace>
  <inkml:trace contextRef="#ctx0" brushRef="#br0" timeOffset="2808.37">893 248 24575,'0'-1'0,"1"0"0,-1 0 0,1 0 0,0 1 0,-1-1 0,1 0 0,0 0 0,-1 1 0,1-1 0,0 0 0,0 1 0,0-1 0,0 0 0,0 1 0,0-1 0,0 1 0,0 0 0,0-1 0,0 1 0,0 0 0,0 0 0,0 0 0,0-1 0,0 1 0,0 0 0,0 0 0,2 1 0,30-1 0,-24 2 0,1 1 0,-1 0 0,-1 0 0,1 1 0,0 1 0,-1-1 0,0 1 0,0 0 0,-1 1 0,1 0 0,-1 0 0,9 11 0,9 11 0,36 52 0,-46-59 0,-1 1 0,-1 0 0,-1 0 0,-1 1 0,-1 1 0,-1 0 0,-1 0 0,-1 1 0,5 36 0,-12-60 0,0 0 0,1 0 0,-1-1 0,0 1 0,0 0 0,0 0 0,0-1 0,0 1 0,0 0 0,0 0 0,0 0 0,0-1 0,0 1 0,-1 0 0,1 0 0,0-1 0,0 1 0,-1 0 0,1-1 0,0 1 0,-1 0 0,1-1 0,-1 1 0,1-1 0,-1 1 0,1 0 0,-2 0 0,1-1 0,0 0 0,0 0 0,0 0 0,0 0 0,0-1 0,0 1 0,0 0 0,0-1 0,0 1 0,0 0 0,1-1 0,-1 1 0,0-1 0,0 1 0,0-1 0,1 0 0,-2 0 0,-3-4 0,0 1 0,1-1 0,-1 0 0,1 0 0,-5-9 0,-2-9 0,4 7 0,0 1 0,-16-24 0,19 34 0,1 1 0,-1-1 0,0 1 0,0 0 0,-1 0 0,1 0 0,-1 1 0,0-1 0,0 1 0,0 0 0,-9-3 0,10 4 0,0 0 0,-1 0 0,1 1 0,0 0 0,-1 0 0,1 0 0,0 0 0,-1 1 0,1-1 0,-7 2 0,9-1 0,1 1 0,-1 0 0,1 0 0,-1 0 0,1 0 0,0 0 0,-1 0 0,1 0 0,0 1 0,0-1 0,0 0 0,0 1 0,0-1 0,0 1 0,0-1 0,0 1 0,1-1 0,-1 1 0,0 0 0,1-1 0,0 1 0,-1 0 0,1 0 0,0-1 0,0 1 0,0 0 0,0 0 0,0-1 0,0 3 0,0 4 0,-1 0 0,1 0 0,1 0 0,-1 0 0,1-1 0,1 1 0,-1 0 0,1 0 0,1-1 0,3 10 0,-4-14 0,0 0 0,1 0 0,-1 0 0,1 0 0,-1 0 0,1 0 0,0-1 0,0 1 0,0-1 0,0 0 0,0 0 0,1 0 0,-1 0 0,1-1 0,-1 1 0,1-1 0,0 0 0,-1 0 0,1 0 0,0-1 0,0 1 0,0-1 0,3 0 0,151-3-1365,-136 2-5461</inkml:trace>
  <inkml:trace contextRef="#ctx0" brushRef="#br0" timeOffset="3908.16">1441 682 24575,'0'0'0,"1"0"0,0 0 0,-1 0 0,1-1 0,-1 1 0,1 0 0,0-1 0,-1 1 0,1 0 0,-1-1 0,1 1 0,-1-1 0,1 1 0,-1-1 0,1 1 0,-1-1 0,0 1 0,1-1 0,-1 0 0,0 1 0,1-1 0,-1 1 0,0-1 0,0 0 0,0 1 0,0-1 0,1 0 0,-1 1 0,0-1 0,0 0 0,0 1 0,0-1 0,-1-1 0,0-27 0,0 24 0,-11-96 0,4 44 0,2 0 0,4-95 0,2 150 0,0 0 0,1 0 0,0 0 0,-1 0 0,1 0 0,0 0 0,0 0 0,0 1 0,0-1 0,0 0 0,0 1 0,1-1 0,-1 0 0,1 1 0,-1 0 0,1-1 0,-1 1 0,1 0 0,0 0 0,0 0 0,-1 0 0,1 0 0,0 0 0,0 0 0,0 1 0,0-1 0,0 1 0,0-1 0,0 1 0,0 0 0,3 0 0,10-1 0,1 0 0,0 1 0,18 3 0,-9-2 0,-8-1 0,1 1 0,-1 1 0,0 0 0,22 7 0,-32-7 0,-1 0 0,1 1 0,-1 0 0,0 0 0,0 1 0,0-1 0,-1 1 0,1 1 0,-1-1 0,0 1 0,0 0 0,-1 0 0,1 0 0,3 6 0,-2-1 4,0 0 0,-1 0 0,0 1-1,0 0 1,-1 0 0,0 0 0,-1 0-1,0 0 1,-1 1 0,1 19 0,-3 0-74,-1 0 0,-9 49 0,0 2-1127,9-63-5629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2:07.3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424 322 24575,'-82'-2'0,"44"-1"0,1 3 0,-1 1 0,-39 6 0,69-5 0,0 0 0,0 1 0,0 0 0,1 0 0,-1 1 0,1 0 0,0 0 0,0 0 0,0 1 0,1 0 0,0 0 0,0 1 0,0 0 0,0 0 0,1 0 0,0 1 0,0 0 0,1 0 0,-6 12 0,7-13 0,0 1 0,1 0 0,0 0 0,0 0 0,0 0 0,1 0 0,0 0 0,0 0 0,1 1 0,0-1 0,0 0 0,1 0 0,-1 1 0,2-1 0,-1 0 0,1 0 0,0 0 0,1 0 0,-1-1 0,1 1 0,1-1 0,5 9 0,-5-10 7,0-1 0,1 0-1,0 0 1,-1 0 0,2 0-1,-1-1 1,0 0-1,1 0 1,-1 0 0,1-1-1,0 0 1,0 0 0,0 0-1,0-1 1,0 0 0,0 0-1,12 0 1,-7-1-156,1 0 1,-1 0-1,0-1 1,0 0-1,1-1 1,-1-1-1,0 0 1,0 0-1,10-5 1,-6 0-6678</inkml:trace>
  <inkml:trace contextRef="#ctx0" brushRef="#br0" timeOffset="701.58">462 1 24575,'0'6'0,"0"12"0,0 10 0,0 8 0,0 10 0,-4 5 0,-3 4 0,-5-1 0,1-3 0,-2-4 0,1-4 0,4-5 0,2-6 0,2-9-8191</inkml:trace>
  <inkml:trace contextRef="#ctx0" brushRef="#br0" timeOffset="1784.77">651 435 24575,'117'1'0,"-22"1"0,0-3 0,157-24 0,-247 25 0,0-1 0,0 0 0,0 0 0,0-1 0,0 0 0,0 1 0,0-2 0,-1 1 0,1 0 0,-1-1 0,0 0 0,1 0 0,-1 0 0,-1-1 0,7-5 0,-8 4 0,0 1 0,0 0 0,0-1 0,-1 1 0,1-1 0,-1 0 0,0 1 0,-1-1 0,1 0 0,-1 0 0,0 0 0,0 1 0,0-1 0,-1 0 0,0 0 0,-2-8 0,2 7 0,-1 0 0,-1 0 0,1 0 0,-1 0 0,0 0 0,0 0 0,-1 1 0,1-1 0,-1 1 0,-1 0 0,1 0 0,-1 0 0,0 1 0,0 0 0,0 0 0,0 0 0,-1 0 0,1 1 0,-1 0 0,0 0 0,0 1 0,-12-4 0,-13-2 0,0 1 0,0 1 0,-48-3 0,45 6 0,-8-2 0,20 1 0,0 2 0,-1 0 0,1 1 0,-1 1 0,1 1 0,-29 5 0,48-5 0,1 0 0,0 1 0,-1-1 0,1 0 0,0 1 0,0-1 0,0 1 0,0 0 0,0 0 0,0 0 0,0 0 0,1 0 0,-1 0 0,1 0 0,0 0 0,-1 1 0,1-1 0,0 1 0,0-1 0,1 1 0,-1-1 0,0 1 0,1-1 0,0 1 0,-1 0 0,1-1 0,0 4 0,0 12 0,0 0 0,6 34 0,-3-34 0,-1-7 0,1-1 0,0 0 0,0 0 0,1 0 0,1 0 0,0-1 0,0 0 0,1 0 0,0 0 0,0-1 0,1 1 0,0-1 0,0-1 0,1 0 0,0 0 0,1 0 0,12 7 0,-2-2 0,1 0 0,0-2 0,1 0 0,0-1 0,1-1 0,0-1 0,24 5 0,-36-10-170,1 0-1,0-1 0,0 0 1,0-1-1,0 0 0,0-1 1,20-3-1,-19 0-6655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2:11.6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2 208 24575,'-2'107'0,"5"110"0,-4-215 0,1 0 0,0-1 0,0 1 0,0 0 0,1 0 0,-1-1 0,0 1 0,1 0 0,-1-1 0,1 1 0,0 0 0,-1-1 0,1 1 0,0-1 0,0 1 0,0-1 0,0 1 0,0-1 0,0 0 0,0 1 0,3 1 0,-3-3 0,1 0 0,-1 0 0,0 0 0,1 0 0,-1 0 0,0 0 0,1 0 0,-1 0 0,0-1 0,1 1 0,-1-1 0,0 1 0,0-1 0,1 1 0,-1-1 0,0 1 0,0-1 0,0 0 0,0 0 0,0 0 0,1-1 0,9-9 0,0 0 0,-1 0 0,13-20 0,-22 29 0,16-26 62,28-59 0,-31 57-806,31-49-1,-35 65-6081</inkml:trace>
  <inkml:trace contextRef="#ctx0" brushRef="#br0" timeOffset="1317.53">342 397 24575,'61'1'0,"68"-3"0,-127 2 0,0 0 0,-1 0 0,1 0 0,-1 0 0,1-1 0,-1 1 0,1-1 0,-1 1 0,1-1 0,-1 0 0,1 1 0,-1-1 0,0 0 0,1 0 0,-1 0 0,0 0 0,0 0 0,1 0 0,-1 0 0,0-1 0,0 1 0,-1 0 0,1-1 0,0 1 0,0-1 0,-1 1 0,1 0 0,0-1 0,-1 0 0,0 1 0,1-1 0,-1 1 0,0-1 0,0 1 0,0-1 0,0 0 0,0 1 0,0-1 0,0 1 0,-1-1 0,1 0 0,0 1 0,-1-1 0,1 1 0,-1-1 0,0 1 0,0 0 0,1-1 0,-1 1 0,0 0 0,0-1 0,0 1 0,0 0 0,0 0 0,-1 0 0,1 0 0,0 0 0,-1 0 0,1 0 0,0 0 0,-1 1 0,1-1 0,-1 0 0,1 1 0,-1-1 0,1 1 0,-1 0 0,1-1 0,-3 1 0,-5-2 0,1 1 0,-1-1 0,0 1 0,0 1 0,0 0 0,1 0 0,-1 1 0,0 0 0,-12 3 0,18-3 0,0 0 0,-1 1 0,1-1 0,0 0 0,0 1 0,1 0 0,-1 0 0,0 0 0,0 0 0,1 0 0,0 0 0,-1 1 0,1-1 0,0 1 0,0 0 0,0-1 0,0 1 0,1 0 0,-1 0 0,1 0 0,0 0 0,0 1 0,0-1 0,0 0 0,0 0 0,1 1 0,-1 3 0,0-1 0,1 1 0,-1-1 0,1 0 0,1 1 0,-1-1 0,1 1 0,0-1 0,1 0 0,-1 0 0,1 0 0,0 1 0,1-2 0,0 1 0,0 0 0,0-1 0,6 9 0,-3-8 0,-1-1 0,1 0 0,0 0 0,0-1 0,1 1 0,0-1 0,-1-1 0,1 1 0,1-1 0,-1 0 0,0-1 0,1 0 0,10 2 0,9 0-93,1-1 0,-1-2 0,37-2-1,-36 0-898,-12 1-5834</inkml:trace>
  <inkml:trace contextRef="#ctx0" brushRef="#br0" timeOffset="2364.52">777 548 24575,'-1'-73'0,"3"-81"0,-2 152 0,0 0 0,0 0 0,1 0 0,0 0 0,-1 0 0,1 1 0,0-1 0,0 0 0,0 0 0,0 1 0,0-1 0,0 0 0,0 1 0,1-1 0,-1 1 0,0-1 0,1 1 0,0 0 0,-1 0 0,1 0 0,0 0 0,-1 0 0,1 0 0,0 0 0,0 0 0,0 1 0,0-1 0,0 1 0,0-1 0,0 1 0,0 0 0,0 0 0,3 0 0,-1 0 0,0 0 0,0 0 0,0 1 0,0-1 0,0 1 0,-1 0 0,1 0 0,0 0 0,0 1 0,-1-1 0,1 1 0,-1 0 0,0 0 0,1 0 0,-1 0 0,5 5 0,-2 0 11,-1 0 0,1 0 0,-2 1 0,1 0 0,-1 0 0,0 0-1,0 0 1,-1 1 0,0-1 0,1 11 0,-1 1-382,0 1-1,-2-1 1,-2 28 0,1-31-6455</inkml:trace>
  <inkml:trace contextRef="#ctx0" brushRef="#br0" timeOffset="3313.15">1231 1 24575,'-5'115'0,"-21"119"0,22-203 0,1 5-360,2 45-1,1-69-283,0 5-6182</inkml:trace>
  <inkml:trace contextRef="#ctx0" brushRef="#br0" timeOffset="4136.75">1061 284 24575,'3'0'0,"14"-3"0,7-1 0,6-1 0,2 2 0,-3 1 0,-2 0 0,-2 1 0,-3 1 0,-2 0 0,0 0 0,-2 0 0,-2 1-8191</inkml:trace>
  <inkml:trace contextRef="#ctx0" brushRef="#br0" timeOffset="5620.26">1457 246 24575,'21'0'0,"-5"-1"0,-1 1 0,1 1 0,-1 0 0,0 1 0,24 6 0,-33-6 0,-2 0 0,1 1 0,0-1 0,0 1 0,-1 0 0,1 0 0,-1 1 0,0-1 0,0 1 0,0 0 0,-1 0 0,1 0 0,-1 0 0,0 1 0,0-1 0,-1 1 0,1 0 0,-1 0 0,0 0 0,2 6 0,0 9 0,0 0 0,-1 0 0,-1 0 0,0 0 0,-2 1 0,-2 23 0,0-2 0,-1-31 0,-4-21 0,-11-33 0,11 26 0,2 7 0,0 2 0,-1-1 0,-1 0 0,1 1 0,-1 0 0,-1 1 0,1-1 0,-1 2 0,-1-1 0,-10-6 0,14 10 0,1-1 0,-1 2 0,0-1 0,-1 0 0,1 1 0,0 0 0,-1 0 0,1 1 0,-1 0 0,0 0 0,1 0 0,-1 0 0,0 1 0,0 0 0,1 0 0,-1 1 0,0 0 0,0 0 0,1 0 0,-8 3 0,11-4 0,1 1 0,-1 0 0,1-1 0,-1 1 0,1 0 0,0 0 0,-1 0 0,1 0 0,0 0 0,-1 1 0,1-1 0,0 0 0,0 0 0,0 1 0,0-1 0,1 1 0,-1-1 0,0 1 0,1-1 0,-1 1 0,0 0 0,0 2 0,1-1 0,0 1 0,1-1 0,-1 0 0,0 0 0,1 0 0,0 0 0,-1 0 0,1 0 0,0 0 0,1 0 0,2 4 0,0 0 0,1 1 0,-1-1 0,2 0 0,-1-1 0,1 1 0,0-1 0,1-1 0,7 7 0,-9-8-85,0-1 0,0 1-1,1-1 1,-1 0 0,1 0-1,0-1 1,0 0 0,0 0-1,0 0 1,0-1 0,0 0-1,0 0 1,0 0 0,1-1-1,11 0 1,-7-4-6741</inkml:trace>
  <inkml:trace contextRef="#ctx0" brushRef="#br0" timeOffset="7424.54">2062 322 24575,'-15'0'0,"-8"-1"0,0 2 0,1 0 0,-28 6 0,46-6 0,0-1 0,1 1 0,-1 0 0,1 0 0,-1 0 0,1 0 0,0 0 0,-1 1 0,1-1 0,0 1 0,0 0 0,0 0 0,0 0 0,0 1 0,1-1 0,-1 1 0,1-1 0,-1 1 0,1 0 0,0 0 0,0 0 0,0 0 0,1 0 0,-1 1 0,1-1 0,0 0 0,-2 8 0,3-10 0,-1 1 0,1-1 0,0 1 0,1-1 0,-1 0 0,0 1 0,0-1 0,1 1 0,-1-1 0,0 0 0,1 1 0,0-1 0,-1 0 0,1 1 0,0-1 0,-1 0 0,1 0 0,0 0 0,0 1 0,0-1 0,0 0 0,0 0 0,0-1 0,1 1 0,-1 0 0,0 0 0,0-1 0,1 1 0,-1 0 0,0-1 0,1 1 0,-1-1 0,0 0 0,3 1 0,7 1 0,-1-1 0,1 0 0,21 0 0,7 1 0,-36-2 0,0 1 0,-1 0 0,1 0 0,-1 0 0,0 0 0,1 1 0,-1-1 0,0 1 0,0-1 0,0 1 0,0 0 0,0 0 0,0 0 0,0 0 0,-1 0 0,1 0 0,-1 1 0,1-1 0,-1 0 0,0 1 0,0-1 0,0 1 0,0-1 0,-1 1 0,1-1 0,-1 1 0,1 0 0,-1-1 0,0 1 0,0 0 0,0-1 0,0 1 0,-1 0 0,1-1 0,-1 1 0,-1 4 0,1-2 0,0-1 0,-1 1 0,0-1 0,1 1 0,-1-1 0,-1 0 0,1 0 0,-1 0 0,1 0 0,-1 0 0,0-1 0,-1 1 0,1-1 0,0 0 0,-1 0 0,0 0 0,0 0 0,0-1 0,0 1 0,-7 2 0,-5-1-120,0 2-191,-1-2 0,1 0-1,-27 2 1,27-6-6515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2:46.1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24575,'0'0'-8191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2:50.1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347 3 24575,'0'0'0,"0"0"0,0 0 0,-1 0 0,1 0 0,0 0 0,0 0 0,0 1 0,0-1 0,-1 0 0,1 0 0,0 0 0,0 0 0,0 0 0,-1 0 0,1 0 0,0 0 0,0 0 0,0 0 0,-1 0 0,1 0 0,0 0 0,0 0 0,0 0 0,-1 0 0,1 0 0,0 0 0,0 0 0,0 0 0,-1-1 0,1 1 0,0 0 0,0 0 0,0 0 0,-1 0 0,1 0 0,0 0 0,0-1 0,0 1 0,0 0 0,0 0 0,0 0 0,-1 0 0,1-1 0,0 1 0,0 0 0,-9 21 0,-4 65 0,5 0 0,3 0 0,8 111 0,-1-47 0,-2-112 0,-2-1 0,-7 44 0,7-67 0,-2 0 0,1-1 0,-1 1 0,-1-1 0,0 0 0,-1-1 0,-1 1 0,0-1 0,-10 13 0,16-23 0,0-1 0,0 0 0,0 0 0,0 0 0,-1 1 0,1-1 0,0-1 0,0 1 0,-1 0 0,1 0 0,-1 0 0,1-1 0,-1 1 0,1-1 0,-1 1 0,1-1 0,-1 1 0,1-1 0,-1 0 0,0 0 0,1 0 0,-1 0 0,1 0 0,-1 0 0,0 0 0,1-1 0,-1 1 0,1 0 0,-1-1 0,1 0 0,-1 1 0,1-1 0,-1 0 0,1 0 0,0 1 0,-1-1 0,1 0 0,0 0 0,0-1 0,0 1 0,-1 0 0,1 0 0,-1-2 0,-8-9 0,0-1 0,1 1 0,-13-24 0,11 17 0,-102-141 0,158 210 0,3-3 0,92 70 0,-135-113 0,0-1 0,0 0 0,0 0 0,0-1 0,1 1 0,0-1 0,-1-1 0,1 1 0,0-1 0,0 0 0,-1 0 0,1-1 0,0 1 0,0-1 0,0-1 0,0 1 0,0-1 0,0 0 0,-1 0 0,1-1 0,0 1 0,-1-1 0,1-1 0,5-2 0,12-8 0,-1-1 0,0-1 0,-1-1 0,24-24 0,16-10 0,-36 31-1365,-5 4-5461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2:53.4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65 24575,'25'290'0,"-14"-187"0,-13-302 0,5 98 0,-3 91 0,0 1 0,1 1 0,0-1 0,0 0 0,1 1 0,0 0 0,1-1 0,0 1 0,0 0 0,6-10 0,-6 13 0,-1 2 0,1-1 0,-1 1 0,1-1 0,0 1 0,0 0 0,1 0 0,-1 1 0,1-1 0,-1 1 0,1-1 0,-1 1 0,1 0 0,0 1 0,0-1 0,0 1 0,0-1 0,0 1 0,1 1 0,-1-1 0,0 0 0,6 1 0,20-1 0,-2 0 0,43 3 0,-65-2 0,-1 1 0,1 0 0,0 0 0,-2 0 0,2 1 0,-1 0 0,0 0 0,1 0 0,-1 0 0,0 1 0,0 0 0,0 0 0,8 8 0,-11-8 0,1 1 0,-1-1 0,0 1 0,-1 1 0,1-1 0,0 0 0,-1 0 0,1 0 0,-1 1 0,0-1 0,-1 0 0,1 1 0,-1-1 0,0 0 0,0 1 0,0-1 0,0 0 0,-1 1 0,0-1 0,0 0 0,-2 6 0,1-4 0,1 0 0,-1 0 0,0 1 0,-1-2 0,0 1 0,0-1 0,0 0 0,-1 0 0,0 0 0,0 0 0,0 0 0,-1-1 0,1 0 0,-8 5 0,-6 1 0,-2-2 0,0 0 0,0 0 0,1-2 0,-2 0 0,0-1 0,1-2 0,-2 0 0,-22-1 0,29 0-1365,2 2-5461</inkml:trace>
  <inkml:trace contextRef="#ctx0" brushRef="#br0" timeOffset="1014.9">336 445 24575,'-2'0'0,"1"-1"0,0 0 0,0 1 0,0-1 0,0 0 0,0 0 0,0 0 0,0 0 0,0 0 0,0 0 0,1 0 0,-1 0 0,0 0 0,0 0 0,1 0 0,-1-1 0,1 1 0,-1 0 0,1 0 0,0-1 0,-1 1 0,1 0 0,0-1 0,0 1 0,0 0 0,0-3 0,-1-38 0,1 39 4,1-2-1,0 2 1,0-1 0,0 1-1,0-1 1,0 1-1,1 0 1,0-1 0,0 1-1,0 0 1,0 0-1,0 0 1,0 1 0,1-1-1,-1 0 1,1 1-1,0 0 1,0 0 0,0-1-1,0 2 1,0-1-1,0 0 1,1 1-1,-1-1 1,-1 1 0,2 0-1,-1 0 1,1 0-1,5 0 1,13-2-286,0 0 1,-1 1-1,35 3 0,-47-1-64,9 1-6480</inkml:trace>
  <inkml:trace contextRef="#ctx0" brushRef="#br0" timeOffset="2430.91">634 312 24575,'-1'12'0,"1"1"0,1-1 0,0 0 0,0 1 0,1-1 0,6 19 0,-6-26 0,0-1 0,0 0 0,0-1 0,1 1 0,0 0 0,0-1 0,0 1 0,0-1 0,1 0 0,-1 0 0,1 0 0,-1-1 0,1 1 0,0-1 0,0 1 0,0-1 0,1 0 0,-2 0 0,1-1 0,9 2 0,-5-1 0,0 0 0,0-1 0,0 0 0,0 0 0,0 0 0,-1-1 0,1-1 0,0 1 0,0-1 0,-1-1 0,1 1 0,0-1 0,11-5 0,-16 5 0,1 0 0,-1-2 0,1 2 0,-1-1 0,0 0 0,0 1 0,0-2 0,0 1 0,0 0 0,-1-1 0,1 1 0,-1-1 0,0 1 0,0-1 0,0 0 0,-1 0 0,1 0 0,-1 0 0,0 0 0,0-1 0,-1 1 0,1 0 0,-1 0 0,0 0 0,0-1 0,-1-7 0,0 8 0,1 0 0,-1 0 0,0 0 0,0 1 0,0-1 0,0 1 0,-1-1 0,1 1 0,-1 0 0,0 0 0,0-1 0,0 1 0,0 0 0,-1 1 0,1-1 0,-1 0 0,0 1 0,1-1 0,-1 1 0,0 0 0,-1 0 0,1 0 0,0 1 0,-1-1 0,1 1 0,1-1 0,-2 1 0,0 0 0,1 1 0,-1-1 0,-6 0 0,-12-1 0,1 1 0,-1 1 0,0 0 0,-23 5 0,33-4 0,10-1-40,-1 1 0,1-1 0,-1 0 0,1 1-1,0-1 1,-1 1 0,1-1 0,-1 1 0,1 0 0,0 0 0,0 0-1,0 1 1,0-1 0,0 1 0,1-1 0,-1 1 0,0-1-1,0 1 1,0 0 0,1 0 0,-1 0 0,1 0 0,0 0 0,-1 0-1,1 0 1,0 0 0,0 1 0,0-1 0,1 0 0,-1 1-1,0-1 1,1 1 0,-1 4 0,0 8-6786</inkml:trace>
  <inkml:trace contextRef="#ctx0" brushRef="#br0" timeOffset="4671.2">1174 331 24575,'-3'-3'0,"0"1"0,-1 0 0,0 0 0,1 0 0,-1 0 0,0 1 0,0-1 0,0 1 0,0 0 0,0 0 0,0 1 0,0-1 0,-1 1 0,1 0 0,0 0 0,0 0 0,1 1 0,-1-1 0,0 1 0,0 0 0,0 0 0,0 1 0,0-1 0,0 1 0,0 0 0,1 0 0,-1 0 0,1 0 0,-1 1 0,1-1 0,0 1 0,0 0 0,0 0 0,0 0 0,1 0 0,0 1 0,-3 4 0,2-2 0,1-1 0,0 0 0,1 0 0,-1 0 0,1 0 0,0 0 0,0 0 0,1 1 0,0-1 0,-1 0 0,2 0 0,-1 1 0,1-1 0,-1 0 0,4 10 0,-2-12 0,-1 0 0,1 0 0,-1 0 0,1 0 0,0 1 0,0-1 0,0 0 0,0-1 0,0 1 0,1-1 0,-1 0 0,1 0 0,0 0 0,0 0 0,-1 0 0,1-1 0,1 1 0,-1-1 0,0 0 0,0 0 0,1 0 0,-1 0 0,0 0 0,7 0 0,-6-1 0,8 2 0,0-1 0,0-1 0,0 0 0,0-1 0,12-1 0,-21 1 0,-1 1 0,0-1 0,1 0 0,-1 1 0,0-1 0,0 0 0,1 0 0,-1-1 0,0 1 0,0 0 0,0-1 0,0 1 0,0-1 0,-1 0 0,1 1 0,0-1 0,-1 0 0,0 0 0,1 0 0,-1 0 0,0-1 0,0 1 0,0 0 0,0-1 0,0 0 0,0 1 0,-1 0 0,1-1 0,-1 1 0,0-1 0,0-2 0,-1-64 0,4 111 0,10 184 0,-12-198 0,0-12 0,-1-2 0,0 1 0,-1-1 0,-5 24 0,5-35 0,1 0 0,0-1 0,-1 2 0,0-1 0,0 0 0,-1-1 0,1 1 0,-1-1 0,1 1 0,-1-1 0,0 1 0,0-1 0,0 0 0,0 0 0,-1 0 0,1 0 0,0 0 0,-1-1 0,1 1 0,-1-1 0,0 0 0,1 1 0,-1-1 0,0 0 0,0-1 0,0 1 0,0 0 0,-3-1 0,-31 4 0,-1-3 0,-53-3 0,74 0 0,1 0 0,1 0 0,-1-2 0,0 0 0,0-1 0,2 0 0,-2-1 0,-17-11 0,21 4-17,19 5 51,29 2-1269,-34 5 1088,54-3-6679</inkml:trace>
  <inkml:trace contextRef="#ctx0" brushRef="#br0" timeOffset="5600.23">1341 503 24575,'-1'-41'0,"0"24"0,1 0 0,0 0 0,1-1 0,0 1 0,6-22 0,-6 36 0,0-1 0,0 1 0,1-1 0,-1 1 0,1-1 0,0 1 0,0 0 0,0 0 0,0 0 0,1 0 0,-1 0 0,1 0 0,-1 1 0,0-1 0,1 1 0,0 0 0,0 0 0,1 0 0,-1 0 0,0 1 0,1-1 0,-1 1 0,1 0 0,0 0 0,-1 0 0,1 0 0,0 1 0,-1-1 0,6 1 0,74 2-1365,-63-2-5461</inkml:trace>
  <inkml:trace contextRef="#ctx0" brushRef="#br0" timeOffset="7313.46">1657 236 24575,'23'-1'0,"-5"1"0,-2 0 0,2 1 0,-1 0 0,21 6 0,-32-6 0,-1 1 0,0 0 0,0 0 0,0 0 0,-1 0 0,1 1 0,-1 1 0,1-1 0,-1 0 0,0 1 0,0-1 0,-1 1 0,1 0 0,-1 0 0,0 0 0,0 1 0,0-1 0,3 8 0,-1-2 0,0 0 0,-1 1 0,5 21 0,-9-31 0,0-1 0,0 1 0,0 0 0,1 0 0,-1 0 0,0 0 0,0 0 0,0 0 0,0 0 0,0 0 0,-1 0 0,1-1 0,0 1 0,0 0 0,0 0 0,-1 0 0,1 0 0,-1 0 0,1-1 0,-1 1 0,1 0 0,-1 0 0,0 0 0,0 0 0,-1-1 0,1 0 0,-1 0 0,1 0 0,-1 0 0,1 0 0,-1 0 0,1 0 0,-1-1 0,1 1 0,-1 0 0,1-1 0,0 1 0,-1-1 0,1 0 0,0 1 0,-1-1 0,1 0 0,0 0 0,-2-1 0,-26-20 0,25 17 0,-1 1 0,1 1 0,-1 0 0,1-1 0,-1 2 0,0-1 0,0 1 0,-1 0 0,1 0 0,1 0 0,-2 1 0,1-1 0,-7 1 0,9 0 0,0 0 0,-1 1 0,1 0 0,0 0 0,-1 0 0,1 0 0,0 1 0,-1-1 0,1 1 0,0 0 0,-1 0 0,2 0 0,-1 0 0,0 0 0,0 1 0,0 0 0,-3 2 0,3-1 0,1 0 0,0 0 0,1 0 0,-1 0 0,0 0 0,1 0 0,0 1 0,0 0 0,0-1 0,0 0 0,0 1 0,1-1 0,-1 1 0,1-1 0,0 1 0,1 5 0,-1-1 0,-1 2 0,1 1 0,1-1 0,0 0 0,0 1 0,1 0 0,4 12 0,-5-20 0,0-1 0,1 1 0,-1 0 0,1-1 0,0 1 0,0-1 0,0 1 0,0-1 0,0 0 0,0 0 0,1 0 0,-1 0 0,1 0 0,-1-1 0,0 1 0,1-1 0,0 0 0,0 0 0,0 0 0,0 0 0,0 0 0,0 0 0,0-1 0,0 0 0,5 1 0,-3-1 0,0 1 0,1-1 0,-1 0 0,1 0 0,-2 0 0,2-1 0,-1 0 0,1 0 0,-1 0 0,0-1 0,1 0 0,-1 0 0,0 0 0,0-1 0,-1 1 0,8-6 0,-9 4 0,1 0 0,-1 0 0,0-1 0,1 1 0,-1-1 0,-1 0 0,1 0 0,-1 0 0,0 0 0,0-2 0,0 2 0,-1 0 0,1-1 0,-1 1 0,-1-1 0,1-8 0,0-22-1365,-1 20-5461</inkml:trace>
  <inkml:trace contextRef="#ctx0" brushRef="#br0" timeOffset="8713.65">1975 484 24575,'-3'-47'0,"2"33"0,0 0 0,0 0 0,1 1 0,1-1 0,1-1 0,5-23 0,-7 36 0,1 0 0,1 0 0,-1 0 0,1 1 0,-1-1 0,1 0 0,0 1 0,0-1 0,0 1 0,0 0 0,0 0 0,0 0 0,0 0 0,0 0 0,0 0 0,0 0 0,1 0 0,-1 1 0,0-1 0,1 1 0,-1 0 0,3 0 0,62 0 0,-51 1 0,24-2 0,-28 0 0,1 0 0,-2 1 0,1 1 0,1 0 0,-1 0 0,19 6 0,-28-5 5,-1 0 0,0 0 0,0 0 0,0 0 0,0 0 0,0 1 0,-1-1 0,1 1 0,-1-1 0,1 1 0,-1 0 0,0-1 0,0 1 0,0 0 0,0 0 0,-1 0 0,1 0 0,-1 0 0,1 0 0,-1 0 0,0 0 0,0-1 0,-1 5 0,0 9-500,0 0 0,-5 29 0,1-25-6331</inkml:trace>
  <inkml:trace contextRef="#ctx0" brushRef="#br0" timeOffset="9319.71">2123 331 24575,'0'3'0,"0"5"0,0 3 0,0 8 0,0 3 0,0 1 0,0-1 0,0 0 0,0-3-8191</inkml:trace>
  <inkml:trace contextRef="#ctx0" brushRef="#br0" timeOffset="10910.01">2421 274 24575,'0'-1'0,"1"1"0,-1-1 0,1 0 0,-1 0 0,1 0 0,-1 0 0,1 1 0,-1-1 0,1 0 0,0 0 0,-1 1 0,1-1 0,0 0 0,0 1 0,-1-1 0,1 1 0,0-2 0,0 2 0,0-1 0,0 1 0,0 0 0,0 0 0,-1-1 0,1 1 0,0 0 0,0 0 0,0 0 0,1 0 0,33-3 0,-30 2 0,12 0 0,-1 1 0,0 0 0,1 1 0,0 0 0,25 8 0,-37-7 0,0-1 0,0 1 0,0 1 0,0-1 0,0 1 0,0 0 0,-1 0 0,0 0 0,0 0 0,0 1 0,0 0 0,0 0 0,-1 0 0,0 0 0,1 1 0,-1-1 0,-1 1 0,1 0 0,-1 0 0,1 0 0,1 8 0,1 2 0,-2-9 0,-1 0 0,0 0 0,0 0 0,0 0 0,-1 1 0,0-1 0,0 0 0,0 1 0,-1 9 0,-1-15 0,0 0 0,0 0 0,0 0 0,1-1 0,-1 1 0,0 0 0,0-1 0,0 1 0,0-1 0,0 1 0,0-1 0,0 1 0,0-1 0,0 0 0,-1 0 0,1 1 0,0-1 0,0 0 0,0 0 0,0 0 0,0 0 0,0 0 0,0-1 0,-1 1 0,1 0 0,0 0 0,0-1 0,0 1 0,0-1 0,0 1 0,0-1 0,0 1 0,0-1 0,-1-1 0,-38-19 0,32 16 0,-1 0 0,1 1 0,-1 0 0,0 0 0,-1 1 0,2 0 0,-1 1 0,-1 0 0,0 0 0,1 1 0,-1 1 0,0-1 0,1 1 0,-1 1 0,1 0 0,-19 4 0,25-3 0,1 0 0,0 0 0,-1 0 0,1 1 0,1-1 0,-1 0 0,0 1 0,1-1 0,-1 1 0,1-1 0,-1 1 0,1 0 0,0 0 0,0 0 0,0 0 0,0 0 0,1 0 0,-1 0 0,1 0 0,0 0 0,0 0 0,0 0 0,0 4 0,0 0 0,0 0 0,1 0 0,-1-1 0,1 1 0,1-1 0,-1 0 0,1 1 0,0-1 0,0 0 0,4 7 0,-3-10 0,1 1 0,0-1 0,-1-1 0,1 1 0,0-1 0,1 1 0,-1-1 0,0 0 0,1-1 0,-1 1 0,1-1 0,-1 0 0,1 0 0,0 0 0,-1-1 0,0 1 0,1-1 0,0 0 0,0-1 0,7-1 0,-7 2 0,0 0 0,0-1 0,0 0 0,0 0 0,0 0 0,0-1 0,-1 0 0,0 0 0,1 0 0,-1 0 0,0-1 0,1 1 0,-1-1 0,0 0 0,0 0 0,-1-1 0,1 1 0,-1-1 0,5-6 0,-3-5-1365,-2 1-5461</inkml:trace>
  <inkml:trace contextRef="#ctx0" brushRef="#br0" timeOffset="12145.44">3054 274 24575,'-64'-1'0,"35"-1"0,-1 1 0,1 2 0,-37 6 0,64-7 0,0 1 0,-1 0 0,1-1 0,0 1 0,0 0 0,0 1 0,0-1 0,0 0 0,0 0 0,0 1 0,0-1 0,0 1 0,1 0 0,-1 0 0,1-1 0,-1 1 0,1 0 0,-2 4 0,0-1 0,1 0 0,0 0 0,0 1 0,1-1 0,0 0 0,0 1 0,0-1 0,0 7 0,1-2 0,0-2 0,0 1 0,1-1 0,0 1 0,0 0 0,1-1 0,0 1 0,1-1 0,0 0 0,7 15 0,-6-18 0,0-1 0,0 1 0,0-1 0,1 0 0,-1-1 0,1 1 0,0-1 0,0 0 0,0 0 0,0 0 0,0-1 0,1 0 0,0 0 0,-1 0 0,1-1 0,0 0 0,10 1 0,13 1 0,0-2 0,40-4 0,-28 2 0,-23 0-1365,-2 1-5461</inkml:trace>
  <inkml:trace contextRef="#ctx0" brushRef="#br0" timeOffset="12802.01">3241 350 24575,'0'7'0,"0"5"0,0 4 0,0 5 0,0 3 0,0 0 0,0 0 0,3-4 0,1-7-8191</inkml:trace>
  <inkml:trace contextRef="#ctx0" brushRef="#br0" timeOffset="13134.14">3259 254 24575,'0'0'-8191</inkml:trace>
  <inkml:trace contextRef="#ctx0" brushRef="#br0" timeOffset="15024.95">3445 331 24575,'-2'0'0,"-1"1"0,0 0 0,0 0 0,1 0 0,-1 0 0,1 0 0,-1 0 0,1 1 0,-1-1 0,1 1 0,0 0 0,-1 0 0,1-1 0,0 1 0,0 1 0,1-1 0,-1 0 0,0 0 0,1 1 0,-1-1 0,1 2 0,0-2 0,0 1 0,0 0 0,0-1 0,0 1 0,1 0 0,-1 4 0,-1 0 0,1-1 0,0 1 0,1 0 0,-1 0 0,1 0 0,0 0 0,0 0 0,1 0 0,0 0 0,2 13 0,-1-18 0,-1 0 0,1 0 0,-1 0 0,1 0 0,-1 0 0,1 0 0,0-1 0,0 1 0,0-1 0,0 1 0,0-1 0,1 0 0,-1 0 0,0 0 0,0 0 0,1 0 0,-1-1 0,1 1 0,-1-1 0,0 1 0,1-1 0,4 0 0,64-2 0,-49 1 0,-15 0 0,0 1 0,0-1 0,-1 0 0,1 0 0,0 0 0,0-1 0,-2 0 0,2-1 0,-1 0 0,0 0 0,0 0 0,8-5 0,-11 4 0,1 0 0,0 0 0,-1 0 0,1 0 0,-1 0 0,0 0 0,-1 0 0,0-1 0,0 1 0,0-1 0,0 0 0,0 0 0,-1 0 0,1 0 0,-1 0 0,-1 0 0,2-8 0,-2 13 0,1-10 0,0 1 0,-1-2 0,0 1 0,0 1 0,-4-18 0,3 24 0,1 1 0,-1 0 0,0 0 0,0 0 0,0 0 0,0 0 0,-1 0 0,1 0 0,0 0 0,-1 0 0,2 1 0,-2-1 0,0 1 0,1-1 0,-1 1 0,0 0 0,0-1 0,0 1 0,0 0 0,0 0 0,0 0 0,-1 1 0,1-1 0,0 0 0,0 1 0,-1 0 0,1-1 0,0 1 0,-4 0 0,2 0-35,-14-2 67,0 2 0,0 0 0,0 1 0,-25 4-1,40-4-82,-1 0 0,1-1-1,-1 1 1,1 1 0,-1-1-1,1 0 1,0 1 0,0 0-1,0-1 1,0 1-1,0 1 1,1-1 0,-1 0-1,1 1 1,-1-1 0,1 1-1,0 0 1,-1 0 0,1 0-1,1 0 1,-1 0 0,0 0-1,1 0 1,-1 1-1,1-1 1,0 0 0,0 1-1,0 7 1,0 5-6775</inkml:trace>
  <inkml:trace contextRef="#ctx0" brushRef="#br0" timeOffset="16344.27">3837 445 24575,'-1'-24'0,"0"15"0,1-1 0,0 0 0,0 1 0,1-1 0,3-14 0,-3 22 0,0-1 0,0 1 0,0 0 0,0 0 0,0 0 0,0 0 0,0 0 0,1 0 0,-1 0 0,1 0 0,0 1 0,-1-1 0,0 0 0,1 1 0,0 0 0,0-1 0,0 1 0,0 0 0,0 0 0,0 0 0,0 0 0,1 0 0,-1 1 0,0-1 0,0 1 0,1-1 0,2 1 0,1-1 0,0 0 0,1 1 0,-1 0 0,0 0 0,-1 1 0,1-1 0,0 1 0,0 1 0,0-1 0,0 1 0,0 0 0,0 0 0,8 5 0,-10-4 0,-1 0 0,-1-1 0,1 1 0,0 1 0,0-1 0,0 0 0,0 1 0,-1 0 0,0-1 0,0 1 0,0 1 0,0-1 0,0 0 0,-1 0 0,0 1 0,0-1 0,0 0 0,0 0 0,-1 9 0,1 42-1365,-1-37-5461</inkml:trace>
  <inkml:trace contextRef="#ctx0" brushRef="#br0" timeOffset="17025.12">3687 140 24575,'0'-3'0,"0"-5"0,3-3 0,2-4 0,2-2 0,1-2 0,1-1 0,-1 0 0,0 3-8191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3:24.1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8161 159 24575,'1'-2'0,"-1"0"0,1 1 0,0-1 0,0 0 0,0 1 0,0-1 0,0 1 0,0 0 0,0-1 0,0 1 0,0 0 0,1-1 0,-1 1 0,1 0 0,-1 0 0,1 0 0,-1 0 0,1 1 0,-1-1 0,1 0 0,0 1 0,2-2 0,42-11 0,-46 13 0,116-19 0,1 6 0,164 3 0,-114 5 0,585-2 0,-484 8 0,-176-11 0,-72 6 0,1 1 0,40 0 0,-59 4 0,1-1 0,-1 1 0,0-1 0,0 1 0,0 0 0,1 0 0,-1 0 0,0 0 0,0 0 0,0 1 0,-1-1 0,1 1 0,0-1 0,0 1 0,-1 0 0,1-1 0,-1 1 0,1 0 0,-1 0 0,0 0 0,0 0 0,0 1 0,0-1 0,0 0 0,0 0 0,-1 0 0,1 0 0,-1 0 0,1 0 0,-1 1 0,0 3 0,2 12 0,-1 1 0,-1-1 0,-3 22 0,2-14 0,-3 735 0,4-756 0,0-1 0,0 1 0,0 0 0,0-1 0,-1 1 0,0 0 0,0-1 0,0 1 0,-1-1 0,0 0 0,1 1 0,-4 3 0,5-7 0,-1 0 0,0-1 0,0 1 0,1 0 0,-1 0 0,0-1 0,0 1 0,0 0 0,0-1 0,0 1 0,0-1 0,0 1 0,0-1 0,0 0 0,0 1 0,0-1 0,-1 0 0,1 0 0,-2 0 0,0 0 0,0-1 0,1 1 0,-1-1 0,0 0 0,0 0 0,0 0 0,1 0 0,-1 0 0,0-1 0,-3-2 0,-33-24 0,2-3 0,-47-46 0,-29-24 0,97 92 0,20 23 0,23 29 0,-25-40 0,8 12 0,1 1 0,0-2 0,1 1 0,25 21 0,-33-32 0,1-1 0,-1 0 0,1 0 0,0 0 0,0 0 0,0-1 0,0 0 0,1 0 0,-1 0 0,1-1 0,-1 1 0,1-2 0,-1 1 0,1 0 0,0-1 0,-1 0 0,1-1 0,0 1 0,-1-1 0,7-2 0,10-4 10,0-1 0,-1-1 0,0-1 0,0 0 0,-1-2 0,-1 0 0,0-1 0,0-1 0,-1-2 0,-1 1 0,19-24 0,3-7-381,-3-1-1,-2-3 1,33-61 0,-57 92-6455</inkml:trace>
  <inkml:trace contextRef="#ctx0" brushRef="#br0" timeOffset="2844.19">3155 6 24575,'-778'1'0,"-1013"-5"0,1743 3 0,0 0 0,-67 6 0,112-5 0,1 0 0,0 0 0,-1 0 0,1 1 0,0-1 0,0 0 0,-1 1 0,1 0 0,0-1 0,0 1 0,0 0 0,0 0 0,0 1 0,0-1 0,0 0 0,0 1 0,0-1 0,1 1 0,-1-1 0,0 1 0,1 0 0,-1 0 0,1 0 0,0-1 0,0 2 0,-2 1 0,3 1 0,0-1 0,0 1 0,0-1 0,0 1 0,1-1 0,-1 1 0,1-1 0,0 0 0,1 1 0,-1-2 0,1 1 0,1 4 0,16 44 0,-2 1 0,-3 0 0,-2 1 0,10 106 0,-14 225 0,-6-110 0,7-198 0,-5-56 0,-1-1 0,-2 0 0,0 22 0,-1-40 0,0-1 0,0 0 0,0 1 0,-1-1 0,1 0 0,0 0 0,-1 1 0,1-1 0,-1 0 0,1 0 0,-1 0 0,0 0 0,1 1 0,-1-1 0,0 0 0,0 0 0,0-1 0,0 1 0,0 0 0,0 0 0,0 0 0,0-1 0,0 1 0,0 0 0,0-1 0,0 1 0,-1-1 0,1 1 0,0-1 0,0 0 0,0 1 0,-1-1 0,1 0 0,0 0 0,-1 0 0,1 0 0,0 0 0,0 0 0,-1-1 0,1 1 0,0 0 0,-2-1 0,-7-1 0,0-1 0,0 0 0,-19-9 0,27 11 0,-58-28 0,1-2 0,1-4 0,-71-57 0,98 63 0,25 19 0,23 18 0,11 11 0,-2 1 0,38 37 0,-40-34 0,1-1 0,43 26 0,-62-45 0,0 0 0,0 0 0,0-1 0,0 0 0,0 0 0,1-1 0,-1 0 0,1 0 0,-1 0 0,1-1 0,-1 0 0,1-1 0,-1 1 0,1-1 0,-1 0 0,0-1 0,1 1 0,-1-1 0,0-1 0,0 1 0,0-1 0,-1 0 0,1-1 0,0 1 0,4-5 0,15-11 0,0-1 0,-2-2 0,38-44 0,-51 55 0,144-176 0,-154 187-21,0 0 0,0-1-1,0 1 1,0 0 0,0-1-1,1 1 1,-1 0 0,0 0-1,0 0 1,0-1 0,0 1-1,1 0 1,-1 0 0,0-1-1,0 1 1,0 0 0,1 0-1,-1 0 1,0 0 0,0 0-1,1-1 1,-1 1 0,0 0-1,0 0 1,1 0 0,-1 0-1,0 0 1,1 0 0,-1 0-1,0 0 1,0 0 0,1 0-1,-1 0 1,0 0 0,1 0-1,-1 0 1,0 0 0,0 0-1,1 0 1,-1 0 0,0 1-1,0-1 1,1 0 0,-1 0-1,0 0 1,0 0 0,1 1-1,-1-1 1,0 0 0,0 0-1,0 0 1,0 1 0,1-1-1,-1 0 1,0 0 0,0 1-1,0-1 1,0 0 0,0 0-1,0 1 1,1-1 0,-1 0-1,0 1 1,2 11-6805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3:44.5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39 172 24575,'-2'118'0,"3"89"0,-19-305 0,12 76 0,1-1 0,1 2 0,1-2 0,1 1 0,2-40 0,1 60 0,-1 0 0,1 0 0,0 0 0,0 0 0,0 0 0,0 0 0,0 1 0,0-1 0,0 0 0,1 1 0,-1-1 0,1 0 0,-1 1 0,1-1 0,0 1 0,-1 0 0,1-1 0,0 1 0,0 0 0,0 0 0,0 0 0,0 1 0,0-1 0,0 0 0,0 1 0,3-1 0,69-8 0,-49 7 0,43-3-1365,-51 4-5461</inkml:trace>
  <inkml:trace contextRef="#ctx0" brushRef="#br0" timeOffset="531.25">57 325 24575,'3'0'0,"5"0"0,7 0 0,7 0 0,3 0 0,1 0 0,-3 0-8191</inkml:trace>
  <inkml:trace contextRef="#ctx0" brushRef="#br0" timeOffset="1062.33">76 459 24575,'4'0'0,"3"0"0,8 0 0,7 0 0,6 0 0,7 0 0,1 0 0,-1 0 0,-3 0 0,-7 0-8191</inkml:trace>
  <inkml:trace contextRef="#ctx0" brushRef="#br0" timeOffset="1984.37">379 517 24575,'-17'-170'0,"17"168"0,1 0 0,-1 0 0,0 0 0,1-1 0,-1 1 0,1 0 0,0 0 0,0 0 0,0 0 0,0 1 0,0-1 0,0 0 0,0 0 0,1 1 0,-1-1 0,1 0 0,-1 1 0,1 0 0,-1-1 0,1 1 0,0 0 0,0 0 0,0 1 0,-1-1 0,1 0 0,0 0 0,0 0 0,0 1 0,0-1 0,0 1 0,1 0 0,-1 0 0,0-1 0,2 2 0,14-3 0,0 2 0,-1 0 0,23 3 0,-16-1 0,-21-2 0,-1 0 0,0 0 0,1 0 0,-1 0 0,0 0 0,1 1 0,-1-1 0,1 1 0,-1-1 0,0 1 0,0 0 0,0 0 0,1 0 0,-1 0 0,0 1 0,0-1 0,-1 1 0,1-1 0,0 1 0,0 0 0,-1 0 0,1 0 0,2 3 0,-2 1 0,0 0 0,-1 0 0,0-1 0,0 1 0,0 0 0,0 0 0,-1 1 0,-1 10 0,1 2-108,1-6-143,-2 0-1,1-2 1,-2 2-1,-3 17 1,1-17-6575</inkml:trace>
  <inkml:trace contextRef="#ctx0" brushRef="#br0" timeOffset="2624.84">454 287 24575,'0'3'0,"0"5"0,0 3 0,0 8 0,0 6 0,0 2 0,0 0 0,0-1 0,4-6 0,3-5 0,5-6 0,3-4 0,-1-3-8191</inkml:trace>
  <inkml:trace contextRef="#ctx0" brushRef="#br0" timeOffset="3125">701 345 24575,'0'3'0,"0"7"0,0 7 0,0 2 0,0 1 0,0 2 0,0-1 0,0-4-8191</inkml:trace>
  <inkml:trace contextRef="#ctx0" brushRef="#br0" timeOffset="3453.12">719 191 24575,'0'0'-8191</inkml:trace>
  <inkml:trace contextRef="#ctx0" brushRef="#br0" timeOffset="4187.35">985 57 24575,'0'7'0,"3"8"0,4 9 0,1 2 0,-1 5 0,2 2 0,-1 3 0,-1-2 0,-3 8 0,-1-2 0,-2-4 0,0-5 0,-1-3 0,-1-9-8191</inkml:trace>
  <inkml:trace contextRef="#ctx0" brushRef="#br0" timeOffset="4811.92">852 287 24575,'3'0'0,"5"0"0,3 0 0,4 0 0,6-3 0,2-2 0,3 1 0,1 1 0,-1 0 0,-1-2 0,-3 1 0,-1 0 0,-1 0 0,-1 2 0,1 0 0,-5 2-8191</inkml:trace>
  <inkml:trace contextRef="#ctx0" brushRef="#br0" timeOffset="5527.72">1249 249 24575,'0'6'0,"0"6"0,0 10 0,0 5 0,0 2 0,0-3 0,3 0 0,2-6-8191</inkml:trace>
  <inkml:trace contextRef="#ctx0" brushRef="#br0" timeOffset="5902.89">1231 76 24575,'0'0'-8191</inkml:trace>
  <inkml:trace contextRef="#ctx0" brushRef="#br0" timeOffset="6434.03">1381 421 24575,'1'-1'0,"0"0"0,0 0 0,0 1 0,0-1 0,0 0 0,0 0 0,0 0 0,0 0 0,0 0 0,-1-1 0,1 1 0,0 0 0,-1 0 0,1 0 0,-1-1 0,1 1 0,-1 0 0,0 0 0,1 0 0,-1 0 0,0-1 0,0 1 0,0-3 0,4-36 0,-4 37 0,1-29 0,-1 22 0,0-2 0,1 1 0,0 0 0,1 0 0,0 1 0,5-16 0,-5 22 0,0 0 0,0 1 0,0 0 0,0 0 0,1 0 0,-1 0 0,1 0 0,0 0 0,0 0 0,0 1 0,0-1 0,0 1 0,2 0 0,-2 0 0,1 0 0,-1 0 0,1 1 0,0-1 0,-1 1 0,1 0 0,8-1 0,70-12-1365,-65 11-5461</inkml:trace>
  <inkml:trace contextRef="#ctx0" brushRef="#br0" timeOffset="8829.09">1911 307 24575,'-1'27'0,"1"-15"0,-1-2 0,1 1 0,1 0 0,0 1 0,4 15 0,-5-24 0,1-1 0,0 1 0,0-1 0,0 0 0,1 1 0,-1-1 0,1 0 0,-1 0 0,1 1 0,-1-1 0,1-1 0,0 1 0,0 0 0,0-1 0,0 0 0,0 1 0,1-1 0,-1 0 0,0 1 0,1-1 0,-1 0 0,0 0 0,1-1 0,0 1 0,-1-1 0,1 1 0,-1-1 0,4 0 0,0 1 0,12 0 0,0 0 0,0-1 0,19-2 0,-32 1 0,-1 1 0,1-1 0,-1 0 0,1-1 0,0 1 0,-1-1 0,0 0 0,0 0 0,0 0 0,0 0 0,0 0 0,0-1 0,-1 0 0,1 0 0,-1-1 0,0 1 0,4-6 0,-3 4 0,-1 0 0,0 0 0,0 1 0,-1-2 0,0 1 0,0-1 0,0 0 0,0 1 0,-1-1 0,0 0 0,0 0 0,0 1 0,-1-1 0,0 0 0,0 0 0,-1 0 0,1 0 0,-1 0 0,0 0 0,-3-7 0,2 9 0,0-1 0,-1 1 0,1 0 0,-1 0 0,0 0 0,0 0 0,0 0 0,0 2 0,0-2 0,-1 1 0,0 0 0,0 0 0,0 0 0,0 1 0,0-1 0,0 1 0,0 0 0,-1 1 0,1-1 0,-1 1 0,-1 0 0,2 0 0,-1 0 0,0 0 0,-5 1 0,8 0 0,-12-1 0,1 0 0,-1 1 0,1 1 0,0 0 0,-16 4 0,27-4 0,0-1 0,-1 1 0,1 0 0,0-1 0,1 1 0,-1 0 0,0 0 0,0 0 0,0 0 0,0 1 0,1-1 0,-1 1 0,0-1 0,1 1 0,0-1 0,-1 1 0,1 0 0,0 0 0,0-1 0,0 1 0,0 0 0,0-1 0,0 1 0,0 0 0,1 1 0,-1-1 0,1 0 0,-1 0 0,1 0 0,0 0 0,0 1 0,0-1 0,0 0 0,0 0 0,0 0 0,1 1 0,-1-1 0,1 0 0,-1 0 0,1 0 0,1 3 0,0-2 8,0 2 0,0 0 0,1 0 0,-1-1 0,1 0 0,0 1 0,1-1 0,-1 0 0,0-1 0,1 1 0,0-1 0,0 0 0,0 0 0,9 4 0,3 2-503,1-1 0,28 10 0,-15-9-6331</inkml:trace>
  <inkml:trace contextRef="#ctx0" brushRef="#br0" timeOffset="10250.94">2327 134 24575,'-1'0'0,"1"0"0,-1 1 0,0-1 0,0 1 0,1-1 0,-1 1 0,0-1 0,1 1 0,-1-1 0,0 1 0,1-1 0,-1 1 0,1 0 0,-1 0 0,1-1 0,0 1 0,-1 0 0,1 0 0,-1-1 0,1 1 0,0 0 0,0 0 0,0 0 0,-1-1 0,1 1 0,0 2 0,-3 26 0,2-24 0,0 223 0,-2-304 0,1 35 0,2 0 0,6-48 0,-4 81 0,0-2 0,1 1 0,1 0 0,0-1 0,0 2 0,0 0 0,1-1 0,1 1 0,-1 0 0,1 0 0,1 2 0,9-11 0,-12 12 0,1 0 0,0 1 0,0-1 0,0 1 0,1 1 0,-1 0 0,2 0 0,-1 0 0,0 0 0,0 1 0,0 0 0,1 0 0,-1 0 0,0 1 0,1 0 0,-1 0 0,1 1 0,-1-1 0,8 2 0,-11 0 0,0 1 0,1-1 0,-1 1 0,0 0 0,-1 0 0,1 0 0,0 0 0,0 1 0,-1-1 0,1 1 0,-1-2 0,0 2 0,0 0 0,0 0 0,0 0 0,-1 0 0,1 0 0,-1 1 0,1-1 0,-1 0 0,0 1 0,0-1 0,-1 1 0,1-1 0,-1 1 0,1 3 0,1 11 0,-1 0 0,0 0 0,-4 31 0,3-45 0,-1 0 0,0 0 0,-1 1 0,1-1 0,-1 0 0,0 0 0,0-1 0,0 0 0,0 1 0,0 0 0,-1-1 0,0 1 0,0-1 0,0 0 0,0 0 0,0 0 0,0-1 0,-1 1 0,1-1 0,-1 0 0,0 0 0,0 0 0,1 0 0,-1-1 0,0 1 0,-1-2 0,1 1 0,-6 0 0,-15 3 0,-1-1 0,0-1 0,-39-2 0,43-1 0,11 1 0,-15 0 0,24 3 0,17 4 0,31 10 60,67 34 0,-99-44-225,1 2 0,-2 0 0,1 1 0,-1 1 0,-1-1 0,0 2 0,0 0 0,15 20 0,-16-15-6661</inkml:trace>
  <inkml:trace contextRef="#ctx0" brushRef="#br0" timeOffset="13110.52">1325 689 24575,'-25'500'0,"-8"-123"0,33-376 0,1 0 0,-1 0 0,0 1 0,0-1 0,-1 0 0,1 0 0,0 0 0,0 0 0,0 0 0,-1 0 0,1 0 0,-1 1 0,1-2 0,-1 1 0,1 0 0,-1 0 0,1-1 0,-1 1 0,0 0 0,0 0 0,1 0 0,-1 0 0,0-1 0,0 1 0,0 0 0,0-1 0,-1 2 0,0-2 0,0 0 0,1-1 0,-1 1 0,1 0 0,-1-1 0,0 1 0,1-1 0,-1 0 0,1 1 0,-1-1 0,1 0 0,0 0 0,-1 0 0,1 0 0,0 0 0,-2-1 0,-10-11 0,2 0 0,-18-25 0,24 32 0,-58-83 0,99 112 0,-5 8 0,-16-17 0,0 0 0,1 0 0,32 20 0,-43-31 0,0 0 0,0-1 0,0 1 0,1-1 0,-1-1 0,1 1 0,-1-1 0,1 0 0,-1 0 0,1 0 0,0-1 0,0 0 0,-1 0 0,1-1 0,0 1 0,-1-1 0,1-1 0,9-2 0,-3-2-151,-1 0-1,1-1 0,-1 0 0,-1 0 1,1-1-1,0-1 0,-1 0 1,11-14-1,-8 9-6674</inkml:trace>
  <inkml:trace contextRef="#ctx0" brushRef="#br0" timeOffset="14360.47">568 1859 24575,'10'316'0,"0"15"0,-7-297 0,0-27 0,2-23 0,3-69 0,-4 0 0,-6-95 0,-1 43 0,1 78 0,0 34 0,2 2 0,0-2 0,1 1 0,5-25 0,-5 46 0,0 0 0,0 0 0,0 0 0,1 0 0,-1 0 0,1 0 0,-1 2 0,1-2 0,0 0 0,0 1 0,0 0 0,0-1 0,1 1 0,-1 0 0,1 0 0,-1 0 0,1 1 0,-1-1 0,1 1 0,0-1 0,0 1 0,0 0 0,0 0 0,0 0 0,0 0 0,0 1 0,0 0 0,0-1 0,0 1 0,4 0 0,1 0 0,1 1 0,-1 0 0,0 0 0,0 0 0,1 1 0,-1 1 0,0-1 0,-1 1 0,1 1 0,9 4 0,19 14 0,49 42 0,-72-53 0,-1-1 0,-1 2 0,1 1 0,-2 0 0,0-1 0,0 2 0,7 15 0,-14-21 0,0 0 0,0 0 0,-1 0 0,0 0 0,-1 0 0,0 0 0,0 1 0,0-1 0,-1 1 0,-2 15 0,1-18 0,1 0 0,-1-1 0,-1 1 0,1 0 0,-1-2 0,0 2 0,0-1 0,0 1 0,-1-1 0,0 0 0,0 0 0,0 0 0,-1-1 0,1 0 0,-1 0 0,-7 7 0,-6 0-105,-1-1 0,0-1 0,-1-1 0,0 0 0,0-1 0,-1-1 0,1-1 0,-2-1 0,0 0 0,1-2 0,0 0 0,-32-3 0,31 0-6721</inkml:trace>
  <inkml:trace contextRef="#ctx0" brushRef="#br0" timeOffset="15172.97">909 2433 24575,'19'-155'0,"-19"148"0,0 1 0,0 0 0,1 0 0,0-1 0,0 2 0,0-1 0,1 0 0,-1 0 0,2 0 0,-1 1 0,6-11 0,-6 14 0,1-1 0,0 0 0,0 0 0,0 1 0,1-1 0,-1 1 0,0 0 0,1 0 0,0 0 0,-1 0 0,1 0 0,0 1 0,0 0 0,0 0 0,0 0 0,0 0 0,0 1 0,6 0 0,123-1-1365,-100 2-5461</inkml:trace>
  <inkml:trace contextRef="#ctx0" brushRef="#br0" timeOffset="16188.78">1231 2223 24575,'-1'12'0,"1"-1"0,1 1 0,0 0 0,0 1 0,1-2 0,7 23 0,-8-31 0,1 1 0,0-2 0,0 1 0,0 0 0,0 0 0,1 0 0,-1 0 0,1 0 0,0-1 0,0 1 0,-1-1 0,2 0 0,-1 0 0,0 0 0,0 0 0,1-1 0,-1 0 0,0 1 0,1-1 0,0 0 0,-1-1 0,1 1 0,-1 0 0,1-1 0,0 0 0,5-1 0,-5 2 0,0-2 0,1 1 0,-1 0 0,1-1 0,-1 0 0,0 0 0,0 0 0,1-1 0,-1 1 0,0-1 0,0 0 0,0 0 0,-1-1 0,1 1 0,0-1 0,-1 0 0,0 0 0,1 0 0,-1 0 0,0-1 0,-1 1 0,1 0 0,-1-1 0,1 0 0,-1 0 0,0 0 0,0 0 0,1-5 0,0-1 0,0 1 0,-1-1 0,0 0 0,-1 0 0,0 0 0,0 0 0,-1 0 0,0 0 0,-1-1 0,0 1 0,-5-17 0,6 24 0,-1 1 0,0 0 0,1-1 0,-1 1 0,0 0 0,0-1 0,-1 1 0,1 0 0,0 1 0,-1-1 0,1 0 0,-1 0 0,0 1 0,0-1 0,0 0 0,1 1 0,-1-1 0,0 1 0,-1 0 0,1 0 0,0 0 0,0 0 0,0 0 0,-1 0 0,1 0 0,0 1 0,-1 0 0,1-1 0,-1 1 0,1 0 0,0 0 0,-1 0 0,1 0 0,-3 1 0,1 0 0,1 0 0,0-1 0,0 1 0,0 1 0,-1-1 0,1 0 0,0 1 0,1 0 0,-1 0 0,0 0 0,0 0 0,1 0 0,-1 0 0,1 0 0,0 0 0,0 1 0,0 0 0,0-1 0,0 1 0,0 0 0,1 0 0,-1 1 0,1-1 0,-2 5 0,-1 51-1365,4-42-5461</inkml:trace>
  <inkml:trace contextRef="#ctx0" brushRef="#br0" timeOffset="17255.97">1665 2185 24575,'-12'-1'0,"0"1"0,0 1 0,0 0 0,0 1 0,0 0 0,-20 6 0,27-6 0,0 1 0,0 0 0,0 0 0,0 1 0,1-1 0,-1 1 0,1 0 0,0 0 0,0 1 0,0 0 0,0-2 0,1 2 0,0 0 0,0 1 0,0-1 0,-1 6 0,1-6 0,1 0 0,0 0 0,0 0 0,1 0 0,-1 0 0,1 1 0,0-1 0,1 1 0,-1-1 0,1 1 0,0-1 0,0 0 0,1 1 0,0-1 0,0 1 0,0-1 0,0 1 0,1-1 0,0 0 0,0-1 0,0 1 0,1 0 0,-1 0 0,5 5 0,-1-3 0,-1-1 0,1-1 0,0 0 0,0 0 0,0 0 0,1-1 0,0 0 0,-1 0 0,2 0 0,-1-1 0,0 0 0,1 0 0,-1-1 0,1 0 0,0 0 0,8 0 0,-7-1 15,-1 0 0,1-1 0,0 0 0,-1 0 0,1-1 0,-1-1 0,13-2 0,-18 3-80,0 0 1,0 0-1,0-1 1,0 1-1,0-1 1,-1 0-1,1 0 0,0 0 1,-1 0-1,1 0 1,-1 0-1,0-1 1,0 1-1,0-1 0,0 1 1,0-1-1,0 0 1,-1 0-1,1 1 1,-1-1-1,0 0 1,1-6-1,1-6-6761</inkml:trace>
  <inkml:trace contextRef="#ctx0" brushRef="#br0" timeOffset="17703.87">1703 1897 24575,'0'7'0,"0"7"0,0 10 0,0 9 0,0 9 0,0 5 0,0 6 0,0-2 0,0-3 0,3-7 0,1-7 0,0-5 0,-1-6 0,3-5 0,0-7-8191</inkml:trace>
  <inkml:trace contextRef="#ctx0" brushRef="#br0" timeOffset="18283.96">1817 2146 24575,'1'18'0,"0"1"0,1-1 0,1 0 0,8 28 0,-9-38 0,1 0 0,0 0 0,0 0 0,1 0 0,-1-1 0,2 1 0,-1-1 0,1 1 0,0-3 0,1 2 0,11 11 0,-16-17 0,0 0 0,0 1 0,1-1 0,-1 0 0,1 0 0,-1 0 0,1 0 0,-1 0 0,1 0 0,0-1 0,-1 1 0,1 0 0,0-1 0,0 0 0,-1 1 0,1-1 0,0 0 0,0 0 0,0 0 0,-1 0 0,1 0 0,0 0 0,0-1 0,0 1 0,-1 0 0,1-1 0,0 0 0,-1 1 0,1-1 0,0 0 0,-1 0 0,1 0 0,-1 0 0,1 0 0,-1 0 0,0-1 0,1 1 0,-1 0 0,0-1 0,0 1 0,0-1 0,0 1 0,0-1 0,0 0 0,0 1 0,-1-1 0,1 0 0,0 0 0,-1 0 0,1-1 0,3-12 0,1 0 0,-2-1 0,0 1 0,0-24 0,1-173-1365,-5 189-5461</inkml:trace>
  <inkml:trace contextRef="#ctx0" brushRef="#br0" timeOffset="18955.91">2195 2050 24575,'-5'0'0,"0"-1"0,-1 1 0,1 1 0,0-1 0,-1 1 0,1 0 0,0 0 0,0 0 0,-1 0 0,1 1 0,1 0 0,-1 1 0,0-1 0,0 1 0,1 0 0,-1 0 0,1 1 0,0-1 0,0 1 0,-1 0 0,2 0 0,-1 0 0,1 0 0,0 0 0,0 1 0,1 0 0,-1 0 0,1 0 0,0 0 0,0 0 0,1 0 0,-1 1 0,1-2 0,0 2 0,0-1 0,1 1 0,0 8 0,0 3 0,-1-6 0,0 1 0,2-1 0,-1-1 0,1 2 0,5 19 0,-5-28 0,0-1 0,0 1 0,1 0 0,-1 0 0,1 0 0,0 0 0,0-1 0,0 1 0,0-1 0,0 0 0,0 1 0,1-1 0,-1 0 0,2 0 0,-2-1 0,1 1 0,0 0 0,-1-1 0,1 0 0,0 0 0,0 1 0,0-2 0,0 1 0,7 1 0,67 2-1365,-56-4-5461</inkml:trace>
  <inkml:trace contextRef="#ctx0" brushRef="#br0" timeOffset="21721.46">2460 2069 24575,'-7'0'0,"1"1"0,-1-1 0,1 2 0,0-1 0,-1 1 0,0-1 0,1 2 0,0-1 0,0 1 0,0 0 0,1 0 0,-1 1 0,1 0 0,-1-1 0,1 1 0,0 0 0,1 1 0,-1 0 0,1 0 0,0 0 0,-6 12 0,6-11 0,0 1 0,1 0 0,0 1 0,0 0 0,1 0 0,0-1 0,0 1 0,0 0 0,1 0 0,1 0 0,-1 0 0,1-1 0,1 2 0,-1-1 0,1 0 0,1 0 0,0 0 0,2 7 0,-1-10 0,-1 0 0,1 0 0,0 0 0,0-1 0,1 1 0,0-1 0,-1-1 0,1 1 0,0-1 0,1 1 0,-1-1 0,1 0 0,5 3 0,67 30 0,-61-31-195,0 0 0,0-1 0,1-1 0,0 0 0,-1-2 0,26 0 0,-22-1-6631</inkml:trace>
  <inkml:trace contextRef="#ctx0" brushRef="#br0" timeOffset="22239.25">2667 2203 24575,'0'3'0,"0"8"0,0 9 0,0 6 0,0 10 0,0 4 0,0 1 0,0-13 0,0-9-8191</inkml:trace>
  <inkml:trace contextRef="#ctx0" brushRef="#br0" timeOffset="22596.49">2667 2088 24575,'0'0'-8191</inkml:trace>
  <inkml:trace contextRef="#ctx0" brushRef="#br0" timeOffset="23596.71">2782 2185 24575,'-1'14'0,"1"1"0,1 0 0,1-1 0,0 1 0,1 0 0,7 22 0,-8-33 0,-1 1 0,1-1 0,1 0 0,-1 0 0,1 0 0,-1-2 0,1 2 0,0-1 0,0 1 0,0-1 0,1 0 0,-1 0 0,1 0 0,0-1 0,0 1 0,0-1 0,0 0 0,0 0 0,0-1 0,0 1 0,0-1 0,1 0 0,-1 0 0,1 0 0,6-1 0,-4 1 0,0 0 0,1-1 0,-1 0 0,0-1 0,0 1 0,0-2 0,0 1 0,0-1 0,0 0 0,0 0 0,8-5 0,-11 5 0,-1 0 0,0-1 0,0 0 0,0 1 0,0-1 0,-1 0 0,1 0 0,-1-1 0,0 2 0,0-1 0,0-1 0,0 1 0,0-1 0,-1 0 0,1 0 0,-1 0 0,0 1 0,0-1 0,-1 0 0,1 0 0,-1-1 0,0-3 0,2-12 0,-2-1 0,0 2 0,-1-2 0,-1 2 0,-7-32 0,8 46 0,0 1 0,-1-1 0,1 0 0,-1 1 0,0 0 0,-1 0 0,1 1 0,-1-1 0,0 0 0,0 0 0,0 0 0,0 1 0,0 0 0,-1 0 0,0 0 0,1 0 0,-1 0 0,0 1 0,0 0 0,-1-1 0,1 2 0,0-1 0,-1 1 0,1 0 0,-1 0 0,1 0 0,-1 1 0,1-1 0,-6 1 0,6 0 4,1-1-1,-1 1 1,1 1-1,-1-1 1,1 1 0,-1-1-1,1 1 1,0 0-1,-1 0 1,1 0-1,0 0 1,0 0-1,0 1 1,0 0 0,0 0-1,0 0 1,0 0-1,1 1 1,-1-1-1,1 1 1,-1-1-1,1 1 1,0 0 0,0 0-1,0 0 1,0 0-1,1 1 1,-1-1-1,1 0 1,0 0-1,-1 6 1,-2 9-261,1-1 0,1 1 0,0 1 0,2 33 0,1-47 63,-1 12-6632</inkml:trace>
  <inkml:trace contextRef="#ctx0" brushRef="#br0" timeOffset="24581.1">3066 2337 24575,'1'-1'0,"0"1"0,0 0 0,0-1 0,0 0 0,0 1 0,0-1 0,0 0 0,0 0 0,0 0 0,-1 0 0,1 0 0,0 0 0,0 0 0,-1 0 0,1 0 0,-1 0 0,1-1 0,-1 1 0,1 0 0,-1 0 0,0-1 0,0 1 0,1 0 0,-1 0 0,0-1 0,0 1 0,0 0 0,-1-3 0,0-38 0,-2 25 0,0 3 0,1-1 0,0 0 0,0 0 0,2-29 0,1 42 0,-1-1 0,0 1 0,1 0 0,-1 0 0,1 0 0,0 0 0,-1 0 0,1 0 0,0 0 0,0 1 0,0-1 0,0 0 0,1 0 0,-1 1 0,0-1 0,1 1 0,2-3 0,-1 3 0,-1 0 0,0 0 0,1 0 0,-1 1 0,1-1 0,-1 1 0,0-1 0,1 1 0,-1 0 0,1 0 0,-1 1 0,1-1 0,-1 0 0,1 1 0,-1-1 0,1 1 0,-1 0 0,4 2 0,-1-1 0,0 1 0,0 0 0,-1 0 0,1 1 0,-1-1 0,0 1 0,0 0 0,0 0 0,0 1 0,-1-1 0,1 0 0,-1 1 0,0 0 0,-1 0 0,1 0 0,-1 0 0,0 0 0,0 1 0,-1-1 0,1 0 0,0 12 0,2 10 0,-2-1 0,0 1 0,-3 30 0,1-52 0,0-3-116,0-2 92,0 0 0,0 1 0,0-1 0,0 0 0,0 0 0,0 0 0,0 1 0,0-1 0,0 0 0,1 0 0,-1 0 0,0 1 0,0-1 0,0 0 0,0 0 0,0 1 0,0-1 0,0 0 0,0 0 0,0 0 0,-1 1 0,1-1 0,0 0 0,0 0 0,0 0 0,0 1 0,0-1 0,0 0 0,0 0-1,0 0 1,0 0 0,-1 1 0,1-1 0,0 0 0,0 0 0,0 0 0,0 0 0,-1 0 0,1 1 0,0-1 0,0 0 0,0 0 0,-1 0 0,1 0 0,0 0 0,0 0 0,0 0 0,-1 0 0,1 0 0,0 0 0,-1 0 0</inkml:trace>
  <inkml:trace contextRef="#ctx0" brushRef="#br0" timeOffset="24987.22">2971 1897 24575,'0'-3'0,"0"-9"0,3-4 0,1-6 0,0-6 0,6-6 0,0-2 0,0 2 0,1-2 0,-2 4 0,-2 7-8191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4:18.3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1891 0 24575,'-3'158'0,"-8"-1"0,-39 204 0,47-342 0,1-6 0,-1 0 0,0 0 0,0 0 0,-8 16 0,10-26 0,-1-1 0,1 1 0,-1 0 0,1-1 0,-1 1 0,0-1 0,0 1 0,0-1 0,0 0 0,-1 0 0,1 0 0,-1 0 0,1-1 0,-1 1 0,1-1 0,-1 1 0,0-1 0,0 0 0,0 0 0,0 0 0,0 0 0,0-1 0,0 1 0,-3 0 0,-244-4 0,79-2 0,-980-46 0,1065 46 0,82 4 0,-4 1 0,0 0 0,0-1 0,0-1 0,0 1 0,-12-5 0,19 6 0,0-1 0,0 1 0,0-1 0,0 0 0,0 1 0,0-1 0,0 0 0,0 0 0,0 1 0,1-1 0,-1 0 0,0 0 0,0 0 0,1 0 0,-1 0 0,1 0 0,-1 0 0,1 0 0,-1-1 0,1 1 0,0 0 0,-1 0 0,1 0 0,0 0 0,0-1 0,0 1 0,0 0 0,0 0 0,0 0 0,0 0 0,0-1 0,1 1 0,-1 0 0,0 0 0,1 0 0,-1 0 0,1 0 0,-1 0 0,1 0 0,-1 0 0,1 0 0,0 0 0,1-2 0,13-20 0,1 1 0,1 0 0,1 1 0,1 1 0,0 0 0,2 2 0,0 0 0,1 1 0,1 2 0,0 0 0,28-12 0,-51 27 0,0 0 0,-1 0 0,1 1 0,0-1 0,0 0 0,0 0 0,0 1 0,0-1 0,0 0 0,0 0 0,0 1 0,0-1 0,0 0 0,0 0 0,0 0 0,0 1 0,0-1 0,0 0 0,1 0 0,-1 1 0,0-1 0,0 0 0,0 0 0,0 0 0,0 1 0,0-1 0,1 0 0,-1 0 0,0 0 0,0 0 0,0 1 0,0-1 0,1 0 0,-1 0 0,0 0 0,0 0 0,1 0 0,-1 0 0,0 0 0,0 0 0,0 1 0,1-1 0,-1 0 0,0 0 0,0 0 0,1 0 0,-1 0 0,0 0 0,0 0 0,1 0 0,-1 0 0,0-1 0,0 1 0,1 0 0,-14 20 0,-50 56 0,45-57 0,0 1 0,2 0 0,1 1 0,0 0 0,-21 45 0,35-64 0,0-1 0,1 1 0,0 0 0,-1 0 0,1 0 0,0-1 0,0 1 0,-1 0 0,1 0 0,1 0 0,-1 0 0,0-1 0,0 1 0,1 0 0,-1 0 0,1 0 0,0-1 0,-1 1 0,1 0 0,0-1 0,0 1 0,0-1 0,0 1 0,0-1 0,0 1 0,1-1 0,-1 0 0,0 1 0,1-1 0,-1 0 0,1 0 0,3 1 0,5 4 0,1-1 0,0 0 0,0-1 0,14 4 0,1 0 0,110 49-1365,-108-44-5461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4:19.6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184 89 24575,'-2'1'0,"0"0"0,0 0 0,0 1 0,0-1 0,1 1 0,-1-1 0,0 1 0,1 0 0,-1 0 0,1 0 0,-2 3 0,-1-1 0,-14 23 0,1 1 0,1 1 0,2 0 0,-15 42 0,-8 17 0,30-72 0,-9 17 0,13-31 0,6-21 0,11-24 0,1 0 0,3 1 0,25-44 0,18-41 0,-61 126 0,4-9 0,0 1 0,0-1 0,1 1 0,12-16 0,-16 24 0,0 0 0,-1 0 0,1 0 0,0 0 0,0 0 0,0 0 0,0 0 0,0 0 0,0 1 0,0-1 0,1 0 0,-1 1 0,0-1 0,0 1 0,0 0 0,1-1 0,-1 1 0,0 0 0,1-1 0,-1 1 0,0 0 0,0 0 0,1 0 0,-1 0 0,0 1 0,1-1 0,-1 0 0,0 0 0,0 1 0,1-1 0,-1 1 0,0-1 0,0 1 0,0 0 0,0-1 0,0 1 0,0 0 0,0 0 0,0-1 0,0 1 0,0 0 0,0 0 0,0 0 0,0 0 0,-1 0 0,1 1 0,0-1 0,-1 0 0,1 2 0,17 27 0,-3 1 0,0 1 0,-2 0 0,-1 1 0,-2 1 0,-1-1 0,8 64 0,-15-82-118,6 53 370,-8-64-367,1 0-1,-1 1 1,0-1 0,-1 0-1,1 0 1,-1 0 0,0 0-1,0 0 1,0 0 0,0 0 0,-1 0-1,-2 5 1,-5 0-6711</inkml:trace>
  <inkml:trace contextRef="#ctx0" brushRef="#br0" timeOffset="508.6">108 278 24575,'4'0'0,"6"0"0,6-3 0,3-2 0,8 1 0,6 1 0,0-3 0,-2 0 0,-3 2 0,-3 0 0,-6 2-8191</inkml:trace>
  <inkml:trace contextRef="#ctx0" brushRef="#br0" timeOffset="1233.25">468 51 24575,'-15'269'0,"14"-263"0,0 0 0,0 0 0,1-1 0,0 1 0,0 0 0,1 0 0,0-1 0,0 1 0,0 0 0,3 8 0,-2-12 0,-1 0 0,1 0 0,-1 0 0,1-1 0,0 1 0,0 0 0,0-1 0,0 0 0,0 1 0,0-1 0,0 0 0,1 0 0,-1 0 0,0 0 0,1 0 0,-1-1 0,0 1 0,1-1 0,-1 0 0,1 1 0,-1-1 0,1 0 0,-1 0 0,1-1 0,-1 1 0,0 0 0,4-2 0,16-2-1365,-1-1-5461</inkml:trace>
  <inkml:trace contextRef="#ctx0" brushRef="#br0" timeOffset="1846.36">713 89 24575,'0'3'0,"0"4"0,0 8 0,0 7 0,0 7 0,0 5 0,0 2 0,0 6 0,0 1 0,0-3 0,0-5 0,0-8-8191</inkml:trace>
  <inkml:trace contextRef="#ctx0" brushRef="#br0" timeOffset="2287.1">713 126 24575,'4'0'0,"3"4"0,1 6 0,3 6 0,2 3 0,2 1 0,2 5 0,1 0 0,-2 0 0,-1-5 0,-3-3 0,0-3 0,1-5 0,-2-4-8191</inkml:trace>
  <inkml:trace contextRef="#ctx0" brushRef="#br0" timeOffset="3184.34">1072 107 24575,'-10'6'0,"0"1"0,0 0 0,1 0 0,0 1 0,1 0 0,-1 1 0,-12 17 0,-44 72 0,58-87 0,-3 6 0,6-12 0,0 1 0,0 0 0,0 0 0,1 0 0,0 0 0,0 1 0,1-1 0,0 1 0,0 0 0,-1 9 0,3-16 0,0 1 0,0-1 0,0 0 0,0 1 0,0-1 0,0 0 0,0 1 0,0-1 0,0 0 0,0 1 0,0-1 0,0 0 0,0 1 0,0-1 0,0 0 0,0 1 0,0-1 0,1 0 0,-1 1 0,0-1 0,0 0 0,0 0 0,1 1 0,-1-1 0,0 0 0,0 0 0,1 1 0,-1-1 0,0 0 0,1 0 0,-1 0 0,0 0 0,0 1 0,1-1 0,-1 0 0,0 0 0,1 0 0,0 0 0,13-7 0,11-19 0,11-28 0,47-94 0,-83 148 0,0-1 0,0 1 0,0-1 0,0 1 0,0-1 0,0 1 0,1-1 0,-1 1 0,0-1 0,0 1 0,0-1 0,1 1 0,-1 0 0,0-1 0,1 1 0,-1-1 0,0 1 0,1 0 0,-1-1 0,0 1 0,1 0 0,-1-1 0,1 1 0,-1 0 0,1 0 0,-1-1 0,1 1 0,-1 0 0,1 0 0,-1 0 0,1 0 0,-1-1 0,1 1 0,-1 0 0,1 0 0,-1 0 0,1 0 0,5 22 0,-5 47 0,-1-61 0,-2 35 0,0-29 0,1-1 0,0 0 0,1 0 0,1 1 0,0-1 0,5 22 0,-5-34-54,-1 0-1,0 0 0,1-1 1,-1 1-1,0 0 1,1 0-1,-1 0 0,1 0 1,0-1-1,-1 1 1,1 0-1,0-1 0,-1 1 1,1 0-1,0-1 0,0 1 1,-1-1-1,1 1 1,0-1-1,0 0 0,0 1 1,0-1-1,0 0 1,2 1-1,8-1-6771</inkml:trace>
  <inkml:trace contextRef="#ctx0" brushRef="#br0" timeOffset="4154.84">1280 107 24575,'-2'10'0,"0"0"0,-1-1 0,1 1 0,-2-1 0,0 0 0,0 0 0,0 0 0,-9 12 0,-6 14 0,-57 152 0,76-186 0,0 0 0,0 0 0,0 0 0,0 0 0,-1 0 0,1-1 0,0 1 0,0 0 0,-1 0 0,1-1 0,-1 1 0,1 0 0,-1 0 0,1-1 0,-1 1 0,0 0 0,1-1 0,-1 1 0,1-1 0,-1 1 0,0-1 0,-1 1 0,-1-18 0,8-35 0,31-85 0,-30 119 0,0 1 0,2-1 0,0 1 0,1 0 0,16-21 0,-24 36 0,0 1 0,0-1 0,0 0 0,1 1 0,-1-1 0,0 1 0,1 0 0,-1 0 0,1-1 0,-1 1 0,1 0 0,0 0 0,-1 0 0,1 1 0,0-1 0,0 0 0,0 1 0,-1-1 0,1 1 0,0-1 0,0 1 0,0 0 0,0 0 0,0 0 0,2 0 0,-1 1 0,0 0 0,0 1 0,0-1 0,-1 1 0,1-1 0,0 1 0,-1 0 0,1 0 0,-1 0 0,0 0 0,0 1 0,0-1 0,4 6 0,4 8 0,-1 0 0,0 1 0,11 32 0,-20-49 0,2 7-227,1 0-1,0 0 1,0-1-1,1 1 1,5 6-1,-1-4-6598</inkml:trace>
  <inkml:trace contextRef="#ctx0" brushRef="#br0" timeOffset="4600.76">1110 202 24575,'3'0'0,"8"0"0,5 3 0,3 1 0,4 0 0,6 3 0,0 0 0,8-2 0,2-1 0,-3 2 0,-5 0 0,-4-1 0,-7-2-8191</inkml:trace>
  <inkml:trace contextRef="#ctx0" brushRef="#br0" timeOffset="5663.14">430 712 24575,'-2'0'0,"-11"0"0,0 0 0,0 0 0,0 1 0,0 1 0,-25 7 0,35-8 0,0 0 0,0 1 0,0-1 0,0 1 0,0 0 0,1 0 0,-1 0 0,1 0 0,-1 0 0,1 0 0,0 1 0,0-1 0,0 1 0,0 0 0,0 0 0,0 0 0,1-1 0,0 1 0,-1 1 0,1-1 0,0 0 0,1 0 0,-1 0 0,0 1 0,1-1 0,0 0 0,0 0 0,0 1 0,0 3 0,1 1 0,-1 0 0,1 0 0,1 0 0,-1 0 0,1 0 0,1 0 0,0 0 0,0-1 0,0 1 0,1-1 0,0 0 0,0 0 0,1-1 0,0 1 0,0-1 0,0 0 0,1 0 0,0-1 0,0 1 0,1-1 0,10 6 0,0-1 0,1-2 0,0 0 0,0 0 0,1-2 0,-1 0 0,1-1 0,34 3 0,30 1-1365,-51-6-5461</inkml:trace>
  <inkml:trace contextRef="#ctx0" brushRef="#br0" timeOffset="7128.92">638 806 24575,'52'2'0,"-35"0"0,1-1 0,-1-1 0,1-1 0,-1 0 0,0-1 0,24-6 0,-40 7 0,1 0 0,0 1 0,0-1 0,-1 0 0,1 0 0,0 0 0,-1 0 0,1 0 0,-1-1 0,1 1 0,-1 0 0,0-1 0,1 1 0,-1-1 0,0 1 0,0-1 0,0 0 0,0 1 0,0-1 0,-1 0 0,1 0 0,0 1 0,-1-1 0,0 0 0,1 0 0,-1 0 0,0 0 0,0 0 0,0 0 0,0 0 0,0 1 0,0-1 0,-1 0 0,1 0 0,0 0 0,-1 0 0,0 0 0,1 1 0,-1-1 0,0 0 0,0 0 0,0 1 0,0-1 0,0 1 0,-1-1 0,1 1 0,0 0 0,-1-1 0,1 1 0,-1 0 0,1 0 0,-1 0 0,0 0 0,1 0 0,-1 0 0,0 0 0,0 1 0,1-1 0,-1 1 0,-4-1 0,-5-1 0,0 1 0,0 0 0,0 1 0,-1 0 0,1 1 0,0 0 0,0 1 0,0 0 0,0 1 0,0 0 0,-19 9 0,26-10 0,-1 0 0,1 1 0,0-1 0,1 1 0,-1 0 0,0 0 0,1 0 0,0 1 0,-1-1 0,1 1 0,1 0 0,-1 0 0,0 0 0,1 0 0,0 0 0,0 0 0,0 1 0,1-1 0,-1 0 0,1 1 0,0 0 0,0-1 0,1 1 0,-1 0 0,1-1 0,0 1 0,1 0 0,-1 0 0,1-1 0,2 10 0,-1-8 0,0 1 0,0 0 0,1-1 0,0 1 0,0-1 0,0 0 0,1 0 0,0 0 0,0 0 0,1-1 0,0 0 0,0 0 0,0 0 0,0 0 0,1-1 0,-1 0 0,1 0 0,0-1 0,1 1 0,-1-1 0,1-1 0,-1 1 0,10 1 0,4 1 0,1 0 0,-1-2 0,1-1 0,0 0 0,0-2 0,33-3 0,-52 3 0,1 0 0,-1-1 0,0 1 0,1-1 0,-1 0 0,0 0 0,0 0 0,1 0 0,-1 0 0,0 0 0,0 0 0,0-1 0,0 1 0,-1-1 0,1 0 0,0 1 0,-1-1 0,1 0 0,-1 0 0,1 0 0,-1 0 0,0 0 0,0 0 0,0-1 0,0 1 0,0 0 0,0-1 0,-1 1 0,1 0 0,-1-1 0,0-3 0,2-10 0,-2-1 0,0 1 0,-4-31 0,1 7 0,2 35 0,1 0 0,1 0 0,-1-1 0,1 1 0,0 0 0,0 1 0,0-1 0,1 0 0,-1 0 0,5-7 0,-5 11 0,0-1 0,0 1 0,0 0 0,0-1 0,1 1 0,-1 0 0,0 0 0,1 0 0,-1 0 0,1 0 0,0 0 0,-1 0 0,1 1 0,0-1 0,-1 0 0,1 1 0,0-1 0,-1 1 0,1 0 0,0 0 0,0 0 0,0 0 0,-1 0 0,1 0 0,0 0 0,0 0 0,0 1 0,-1-1 0,1 1 0,0-1 0,-1 1 0,1 0 0,2 1 0,0 0 0,-1 0 0,1 0 0,-1 1 0,0-1 0,0 1 0,1 0 0,-2 0 0,1 0 0,0 1 0,-1-1 0,1 1 0,-1-1 0,0 1 0,0 0 0,-1 0 0,2 4 0,19 71 0,-19-65 0,1 4 0,0 1 0,-2 0 0,0-1 0,-1 1 0,-1 0 0,-3 19 0,3-37 4,0 0-1,0 0 0,0 0 1,0 0-1,-1 0 0,1-1 1,0 1-1,0 0 0,-1 0 1,1 0-1,0 0 0,-1-1 1,1 1-1,-1 0 0,1 0 1,-1-1-1,1 1 0,-1 0 1,0-1-1,1 1 1,-1-1-1,0 1 0,0-1 1,1 1-1,-1-1 0,0 1 1,0-1-1,0 0 0,1 1 1,-1-1-1,0 0 0,0 0 1,0 1-1,-1-1 0,0-1-95,0 1-1,0 0 0,1-1 1,-1 0-1,0 1 0,0-1 1,1 0-1,-1 0 1,1 0-1,-1 0 0,1 0 1,-1 0-1,1 0 0,-1-1 1,-1-2-1,-10-13-6733</inkml:trace>
  <inkml:trace contextRef="#ctx0" brushRef="#br0" timeOffset="7616.65">921 561 24575,'0'-3'0,"3"-2"0,2-2 0,5 0 0,5 0 0,0 0 0,0-1 0,-2 2-8191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4:36.1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1 24575,'5'13'0,"0"-1"0,-1 1 0,-1 0 0,0 0 0,-1 1 0,0-1 0,-1 27 0,1-10 0,10 850 0,-14-625 0,3-250 0,2-11 0,5-31 0,7-53 0,11-142 0,-2-8 0,71-297 0,-92 524 0,0 1 0,1-1 0,0 1 0,1-1 0,8-14 0,-10 23 0,-1 0 0,1 1 0,0-1 0,0 1 0,1 0 0,-1 1 0,0-1 0,1 0 0,0 1 0,-1-1 0,1 1 0,0 0 0,0 0 0,0 1 0,1-1 0,-2 1 0,1 0 0,1 0 0,5 0 0,96-5 0,-1 5 0,170 20 0,-201-12 0,353 48 0,-186-20 0,-189-30 0,91-4 0,-90-3 0,82 8 0,43 1 0,-34-2 0,-142-5 0,1 1 0,0-1 0,-1 1 0,1 0 0,-1 0 0,1 0 0,-1 0 0,0 0 0,1 0 0,-2 1 0,1-1 0,0 1 0,0-1 0,0 1 0,0 0 0,0 0 0,0-1 0,-1 1 0,1 1 0,-1-1 0,1 0 0,-1 1 0,0-1 0,0 1 0,0-1 0,0 1 0,0-1 0,-1 1 0,2 4 0,0 9 0,-1 0 0,0 0 0,-1 0 0,-2 16 0,1-3 0,-5 122 0,-48 294 0,32-316 0,6 0 0,-1 207 0,18-333 0,-1-1 0,0 1 0,0-1 0,0 0 0,-1 0 0,1 0 0,0 1 0,-1-1 0,0 1 0,1-1 0,-1 0 0,0 1 0,0-1 0,0 0 0,-1 0 0,1 0 0,0 0 0,-1 0 0,-2 2 0,1-2 0,0 0 0,-1-1 0,1 1 0,0-1 0,-1 1 0,1-1 0,-1-1 0,0 1 0,1 0 0,0-1 0,-1 0 0,-5 0 0,-60-1 0,-122-20 0,84 7 0,-452-24 0,-4 34 0,468 4 0,35-3 0,1-4 0,-115-27 0,38 6 0,72 17-1365,8 3-5461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4:57.6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85 167 24575,'48'2'0,"-35"0"0,0-1 0,0 0 0,0-1 0,0-1 0,0 0 0,-1-1 0,1 0 0,0-1 0,19-6 0,-31 8 0,1 1 0,-1-1 0,0 0 0,1 0 0,-1 0 0,0 1 0,0-1 0,1 0 0,-1-1 0,0 1 0,0 0 0,0 0 0,0 0 0,-1-1 0,1 1 0,0 0 0,0-1 0,-1 1 0,2-3 0,-2 3 0,-1 0 0,1 0 0,0-1 0,0 1 0,0 0 0,-1 0 0,1 0 0,0 0 0,-1 0 0,1 0 0,-1 0 0,0 0 0,1 0 0,-1 0 0,0 0 0,1 0 0,-1 1 0,0-1 0,0 0 0,-1 0 0,-2-3 0,-1 1 0,0 0 0,0 1 0,0-1 0,0 1 0,0 0 0,0 0 0,0 1 0,-8-2 0,3 2 0,1 0 0,-1 1 0,0 0 0,1 1 0,-1 0 0,1 0 0,-1 1 0,1 0 0,0 1 0,-1-1 0,1 2 0,1 0 0,-1 0 0,0 0 0,1 1 0,0 0 0,0 1 0,1 0 0,-1 0 0,1 1 0,1 0 0,-1 0 0,1 0 0,0 1 0,-6 11 0,10-16 0,1 1 0,-1-1 0,1 1 0,0 0 0,0-1 0,0 1 0,0 0 0,1 0 0,0-1 0,-1 1 0,1 0 0,1 0 0,-1 0 0,0-1 0,1 1 0,0 0 0,0 0 0,2 4 0,0-3 0,0 1 0,0-1 0,0 0 0,1-1 0,-1 1 0,1-1 0,1 1 0,-1-1 0,0 0 0,10 5 0,2 1 0,0-1 0,1-1 0,0 0 0,1-1 0,0-1 0,24 5 0,-33-9 0,0 0 0,0 0 0,1-1 0,-1-1 0,0 1 0,0-2 0,16-1 0,-21 1 0,0 0 0,-1 0 0,1-1 0,-1 1 0,1-1 0,-1 0 0,0 0 0,0 0 0,0 0 0,0-1 0,0 1 0,0-1 0,0 1 0,-1-1 0,1 0 0,-1 0 0,0-1 0,0 1 0,0 0 0,-1-1 0,2-3 0,6-17 0,-2-1 0,0 1 0,-2-1 0,-1-1 0,-1 1 0,0-26 0,-1 22 0,-2 29 0,-1-1 0,1 1 0,0-1 0,0 0 0,0 1 0,0-1 0,1 0 0,-1 1 0,0-1 0,0 1 0,0-1 0,0 0 0,1 1 0,-1-1 0,0 1 0,1-1 0,-1 1 0,0-1 0,1 1 0,-1-1 0,0 1 0,1-1 0,-1 1 0,1-1 0,-1 1 0,1 0 0,-1-1 0,1 1 0,-1 0 0,1-1 0,0 1 0,0 0 0,20 8 0,16 30 0,-33-30 0,0-1 0,0 1 0,-1 0 0,0-1 0,-1 2 0,0-1 0,0 0 0,0 0 0,-1 1 0,0 15 0,0-11 0,0 0 0,1-1 0,5 19 0,-7-30 0,0 0 0,0 0 0,1 0 0,-1 0 0,1 0 0,-1 0 0,1 0 0,-1 0 0,1-1 0,-1 1 0,1 0 0,0 0 0,-1-1 0,1 1 0,0 0 0,0-1 0,0 1 0,-1-1 0,1 1 0,0-1 0,0 1 0,0-1 0,0 0 0,0 1 0,0-1 0,0 0 0,0 0 0,0 0 0,0 0 0,0 0 0,0 0 0,0 0 0,0 0 0,0 0 0,0 0 0,0 0 0,0-1 0,0 1 0,0 0 0,0-1 0,0 1 0,-1-1 0,1 1 0,0-1 0,0 1 0,0-1 0,0 0 0,46-38 0,-39 31 0,62-51 0,-30 26 0,55-58 0,-94 90 0,1 0 0,-1-1 0,0 1 0,0 0 0,0-1 0,1 1 0,-1 0 0,-1-1 0,1 1 0,0-1 0,0 1 0,-1-1 0,1 0 0,0 1 0,-1-1 0,0 0 0,1 1 0,-1-1 0,0 0 0,0 0 0,0-2 0,-1 4 0,0-1 0,1 0 0,-1 0 0,0 0 0,0 1 0,0-1 0,0 0 0,0 1 0,1-1 0,-1 0 0,0 1 0,-1 0 0,1-1 0,0 1 0,0-1 0,0 1 0,0 0 0,0 0 0,0 0 0,0 0 0,0 0 0,-1 0 0,0 0 0,-6 0 0,1 1 0,0 0 0,-1 0 0,1 1 0,0-1 0,0 2 0,0-1 0,-11 6 0,13-5 0,0 1 0,1 0 0,-1-1 0,1 2 0,0-1 0,0 0 0,0 1 0,1 0 0,0-1 0,0 2 0,0-1 0,0 0 0,1 0 0,0 1 0,0-1 0,1 1 0,-2 8 0,1 1 0,0 0 0,2 1 0,0-1 0,0 1 0,5 22 0,-5-36 0,1 1 0,-1 0 0,1-1 0,0 1 0,0 0 0,0-1 0,0 1 0,1-1 0,-1 1 0,1-1 0,-1 0 0,1 0 0,0 0 0,0 0 0,0 0 0,0 0 0,0 0 0,1 0 0,3 1 0,0 0 0,0 0 0,0 0 0,1-1 0,-1 0 0,1-1 0,-1 1 0,1-1 0,7 0 0,2 0 0,0-2 0,0 1 0,-1-2 0,1 0 0,0-1 0,21-6 0,-27 5 0,0-1 0,0 0 0,0-1 0,-1 0 0,0 0 0,0-1 0,0 0 0,-1 0 0,11-14 0,-15 17 0,-1 0 0,1 0 0,-1 0 0,0-1 0,0 0 0,0 1 0,-1-1 0,0 0 0,0 0 0,0-1 0,0 1 0,-1 0 0,0-1 0,0 1 0,-1-1 0,1 1 0,-1-1 0,0 1 0,0-1 0,-3-9 0,3 16 0,0-1 0,0 1 0,0-1 0,-1 1 0,1-1 0,0 0 0,0 1 0,-1-1 0,1 1 0,0-1 0,0 1 0,-1-1 0,1 0 0,-1 1 0,1-1 0,0 0 0,-1 1 0,1-1 0,-1 0 0,1 0 0,-1 1 0,1-1 0,-1 0 0,1 0 0,-1 0 0,1 0 0,-1 0 0,1 1 0,-1-1 0,1 0 0,-1 0 0,1 0 0,-1 0 0,1-1 0,-1 1 0,1 0 0,-1 0 0,1 0 0,-1 0 0,1 0 0,-1-1 0,1 1 0,-1 0 0,1 0 0,0-1 0,-1 1 0,1 0 0,-1-1 0,1 1 0,0 0 0,-1-1 0,1 1 0,0-1 0,0 1 0,-1-1 0,1 1 0,0-1 0,0 1 0,-1 0 0,1-1 0,0 1 0,0-1 0,0 0 0,0 1 0,0-1 0,0 1 0,0-1 0,0 0 0,-15 38 0,13-26 0,0 0 0,1 0 0,1 1 0,0-1 0,0 1 0,3 14 0,-2-24 0,0 1 0,-1 0 0,1 0 0,0-1 0,0 1 0,1 0 0,-1-1 0,0 1 0,1-1 0,0 0 0,-1 1 0,1-1 0,0 0 0,0 0 0,0 0 0,1 0 0,-1-1 0,0 1 0,1-1 0,-1 1 0,1-1 0,-1 0 0,1 0 0,0 0 0,-1 0 0,1 0 0,0-1 0,0 1 0,5-1 0,-1 2 0,1-1 0,-1-1 0,1 1 0,-1-1 0,1-1 0,0 1 0,-1-1 0,1-1 0,-1 1 0,0-1 0,1 0 0,-1-1 0,0 0 0,0 0 0,-1-1 0,1 1 0,-1-1 0,1-1 0,-1 1 0,-1-1 0,1 0 0,-1-1 0,1 1 0,-2-1 0,1 0 0,7-13 0,20-46 0,-27 51 0,1 0 0,0 1 0,15-21 0,-18 35 0,-3 10 0,-4 12 0,-7 12 0,8-27 0,0-1 0,0 1 0,0 0 0,1 0 0,1 0 0,-1 0 0,1 0 0,1 1 0,0 11 0,1-18 0,0-1 0,0 1 0,0 0 0,0-1 0,0 0 0,0 1 0,0-1 0,1 0 0,-1 1 0,1-1 0,-1 0 0,1 0 0,-1 0 0,1 0 0,0 0 0,-1-1 0,1 1 0,0 0 0,0-1 0,-1 1 0,1-1 0,0 0 0,0 0 0,2 1 0,53-1 0,-44 0 0,8-1 0,-5 1 0,0 0 0,-1-1 0,1-1 0,20-5 0,-31 5 0,1 0 0,-1 0 0,1-1 0,-1 0 0,0 0 0,0 0 0,0-1 0,0 0 0,-1 1 0,1-2 0,-1 1 0,0 0 0,0-1 0,5-8 0,-4 5 0,-1 0 0,0 1 0,0-1 0,-1-1 0,0 1 0,0 0 0,0-1 0,-2 0 0,1 1 0,-1-1 0,0 0 0,-1-12 0,0 18 0,0-1 0,-1 1 0,1-1 0,-1 1 0,0-1 0,0 1 0,0 0 0,-1 0 0,1-1 0,-1 1 0,0 0 0,0 0 0,0 0 0,0 1 0,0-1 0,-1 0 0,1 1 0,-1 0 0,0-1 0,1 1 0,-1 0 0,0 0 0,-1 1 0,1-1 0,0 1 0,0-1 0,-1 1 0,1 0 0,0 0 0,-1 0 0,1 1 0,-1-1 0,-4 1 0,-3-1 0,-1 0 0,0 1 0,0 1 0,0 0 0,1 0 0,-1 1 0,0 1 0,1 0 0,0 1 0,-21 8 0,27-9 0,0 0 0,-1 0 0,2 0 0,-1 0 0,0 1 0,1 0 0,-1 0 0,1 0 0,0 1 0,1-1 0,-1 1 0,1 0 0,0 0 0,0 0 0,0 1 0,1-1 0,0 0 0,0 1 0,0 0 0,1-1 0,-1 1 0,1 0 0,0 8 0,1-6 0,-1 0 0,1 1 0,1-1 0,-1 0 0,1 0 0,1 0 0,0 0 0,4 13 0,-4-18 0,-1 0 0,1 0 0,0-1 0,0 1 0,0-1 0,1 0 0,-1 1 0,0-1 0,1 0 0,0 0 0,-1 0 0,1-1 0,0 1 0,0-1 0,0 1 0,0-1 0,0 0 0,0 0 0,0 0 0,1-1 0,-1 1 0,0-1 0,0 0 0,5 0 0,1 1 0,0-1 0,-1 0 0,1 0 0,0-1 0,-1 0 0,1 0 0,0-1 0,-1 0 0,0-1 0,1 0 0,-1 0 0,0-1 0,-1 0 0,1 0 0,-1-1 0,0 0 0,0 0 0,0-1 0,0 1 0,-1-2 0,0 1 0,-1-1 0,1 0 0,-1 0 0,5-10 0,6-4 0,-9 23 0,-1 13 0,-5-9 7,1 0-1,0 0 0,1 0 0,-1-1 1,1 1-1,0-1 0,1 1 1,-1-1-1,1 0 0,0-1 1,0 1-1,0-1 0,1 1 0,0-1 1,0-1-1,0 1 0,0-1 1,10 5-1,-3-2-171,-1-1 0,1-1 0,0 0 0,1-1 0,-1 0 0,1 0 0,-1-2 0,17 1 0,-6-2-6661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4:47.3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1267 1 24575,'1'109'0,"2"-37"0,-4 1 0,-19 136 0,20-206 0,0 0 0,-1 0 0,0 0 0,0 1 0,0-1 0,0 0 0,0 0 0,0 0 0,-1 0 0,0 0 0,1-1 0,-1 1 0,0 0 0,0-1 0,-1 0 0,1 1 0,0-1 0,-1 0 0,0 0 0,-5 3 0,4-4 0,0 0 0,0 0 0,0 0 0,0-1 0,0 0 0,-1 0 0,1 0 0,0 0 0,0-1 0,0 0 0,0 1 0,0-1 0,0-1 0,0 1 0,0-1 0,-4-1 0,-8-7 0,1 0 0,-1 0 0,2-2 0,-26-24 0,2-2 0,30 28 0,8 10 0,16 15 0,0 0 0,1-2 0,0 0 0,1-1 0,1-1 0,-1 0 0,2-2 0,0 0 0,0-1 0,0-1 0,34 7 0,-40-12 0,0 0 0,0 0 0,0-2 0,0 1 0,0-2 0,0 0 0,0-1 0,0 0 0,0-1 0,-1 0 0,1-2 0,-1 1 0,0-2 0,0 1 0,-1-2 0,1 0 0,-1 0 0,19-16 0,-13 7-1365,-3 1-5461</inkml:trace>
  <inkml:trace contextRef="#ctx0" brushRef="#br0" timeOffset="1013.56">5 713 24575,'-2'106'0,"0"-34"0,9 102 0,-6-170 0,0 1 0,0-1 0,0 1 0,0-1 0,1 1 0,-1-1 0,6 8 0,-7-12 0,0 1 0,0-1 0,0 0 0,0 0 0,0 1 0,1-1 0,-1 0 0,0 0 0,0 0 0,0 1 0,0-1 0,1 0 0,-1 0 0,0 0 0,0 0 0,0 0 0,1 0 0,-1 1 0,0-1 0,0 0 0,1 0 0,-1 0 0,0 0 0,0 0 0,1 0 0,-1 0 0,0 0 0,0 0 0,1 0 0,-1 0 0,0 0 0,0 0 0,1 0 0,-1 0 0,0 0 0,0 0 0,1 0 0,-1-1 0,0 1 0,0 0 0,0 0 0,1 0 0,-1 0 0,0 0 0,0-1 0,9-26 0,-6-11 0,0-53 0,-3 50 0,5-43 0,-3 70 0,0 0 0,1 1 0,1-1 0,0 1 0,1 0 0,0 0 0,8-12 0,-10 20 6,1 1-1,-1-1 1,1 1 0,0 0-1,0 1 1,0-1-1,1 1 1,-1 0-1,1 0 1,0 0 0,0 0-1,0 1 1,0 0-1,0 0 1,0 0 0,1 1-1,-1 0 1,8-1-1,12-1-366,-1 1-1,44 3 1,-57-1-26,7 1-6439</inkml:trace>
  <inkml:trace contextRef="#ctx0" brushRef="#br0" timeOffset="1405.25">46 916 24575,'6'0'0,"14"0"0,10 0 0,9 0 0,3 0 0,1 0 0,-4 0 0,-5 0 0,-5 0 0,-7 0-8191</inkml:trace>
  <inkml:trace contextRef="#ctx0" brushRef="#br0" timeOffset="1960.36">86 1038 24575,'0'4'0,"4"0"0,4 1 0,4-1 0,11-2 0,9 0 0,8-1 0,5-1 0,1 0 0,-3 0 0,-9 0-8191</inkml:trace>
  <inkml:trace contextRef="#ctx0" brushRef="#br0" timeOffset="2533.03">493 794 24575,'4'4'0,"0"4"0,4 8 0,4 4 0,6 14 0,5 3 0,0 0 0,-2-4 0,-2-7 0,-4-4 0,-2-7 0,-2-5-8191</inkml:trace>
  <inkml:trace contextRef="#ctx0" brushRef="#br0" timeOffset="2954.37">656 814 24575,'-3'0'0,"-2"4"0,-2 4 0,-5 5 0,-3 3 0,-3 6 0,3 2 0,-1 1 0,3 0 0,0-1 0,2-1 0,3-2 0,10-3 0,5-5-8191</inkml:trace>
  <inkml:trace contextRef="#ctx0" brushRef="#br0" timeOffset="3454">819 916 24575,'0'10'0,"-3"8"0,-2 3 0,1 2 0,0 4 0,1 1 0,2-4-8191</inkml:trace>
  <inkml:trace contextRef="#ctx0" brushRef="#br0" timeOffset="3794.46">799 754 24575,'3'0'0</inkml:trace>
  <inkml:trace contextRef="#ctx0" brushRef="#br0" timeOffset="4718.38">1063 896 24575,'-1'3'0,"-1"0"0,0-1 0,0 1 0,0-1 0,0 1 0,0-1 0,-1 0 0,1 1 0,-1-1 0,1 0 0,-1-1 0,0 1 0,0 0 0,0-1 0,0 0 0,-4 2 0,-18 11 0,23-12 0,1-1 0,-1 1 0,0-1 0,1 1 0,-1 0 0,1 0 0,-1 0 0,1 0 0,0 0 0,0 0 0,0 0 0,0 0 0,0 0 0,0 0 0,1 1 0,-1-1 0,1 0 0,-1 1 0,1-1 0,0 0 0,0 5 0,1-5 0,0 0 0,0 0 0,0 0 0,0 0 0,0-1 0,0 1 0,0 0 0,1 0 0,-1-1 0,0 1 0,1-1 0,0 1 0,-1-1 0,1 0 0,0 1 0,0-1 0,-1 0 0,1 0 0,0 0 0,0-1 0,0 1 0,0 0 0,4 0 0,186 33 0,-189-34 0,-1 0 0,0 0 0,0 1 0,0-1 0,0 1 0,0 0 0,0-1 0,0 1 0,0 0 0,-1 0 0,1 0 0,0 0 0,0 1 0,-1-1 0,1 0 0,-1 1 0,1-1 0,-1 1 0,0 0 0,1-1 0,-1 1 0,0 0 0,0 0 0,0 0 0,0 0 0,-1 0 0,1 0 0,0 0 0,-1 0 0,0 0 0,1 0 0,-1 0 0,0 0 0,0 0 0,0 0 0,0 0 0,0 1 0,-1-1 0,1 0 0,-1 0 0,0 3 0,-1-1 0,0 0 0,0 1 0,0-1 0,-1 0 0,0 0 0,1-1 0,-1 1 0,-1 0 0,1-1 0,0 0 0,-1 0 0,0 0 0,1 0 0,-1-1 0,0 1 0,-1-1 0,-7 3 0,-7 0-64,0-2-1,0 0 0,0-2 1,-1 0-1,-36-3 0,28 1-912,10 0-5849</inkml:trace>
  <inkml:trace contextRef="#ctx0" brushRef="#br0" timeOffset="5387.74">1308 754 24575,'0'7'0,"3"19"0,2 16 0,-1 8 0,0 2 0,-2-1 0,0-5 0,-2-8 0,1-6 0,-1-9-8191</inkml:trace>
  <inkml:trace contextRef="#ctx0" brushRef="#br0" timeOffset="5974.05">1267 896 24575,'3'0'0,"9"0"0,5 0 0,3-3 0,6-2 0,1 1 0,0 0 0,-5 2-8191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5:00.7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210 124 24575,'10'210'0,"1"3"0,-1-89 0,-5-88 0,-2 0 0,-2 40 0,0-75 0,-1 0 0,0 0 0,0 0 0,-1 0 0,1-1 0,0 1 0,0 0 0,0 0 0,-1 0 0,1 0 0,0 0 0,-1-1 0,1 1 0,0 0 0,-1 0 0,1-1 0,-1 1 0,1 0 0,-1-1 0,0 1 0,1 0 0,-1-1 0,0 1 0,1-1 0,-1 1 0,0-1 0,0 0 0,0 1 0,1-1 0,-1 0 0,0 1 0,0-1 0,0 0 0,0 0 0,0 0 0,1 0 0,-1 1 0,0-1 0,0-1 0,0 1 0,0 0 0,0 0 0,0 0 0,1 0 0,-1-1 0,0 1 0,0 0 0,0-1 0,1 1 0,-1 0 0,0-1 0,0 1 0,1-1 0,-2 0 0,-48-33 0,44 29 0,-47-33 0,23 17 0,-37-34 0,58 42 0,24 18 0,26 18 0,-15-3 20,2-2 0,0-1 0,2-2 0,-1-1 0,47 16 0,-68-27-77,0-1 0,1 0 0,0 0 0,-1-1-1,1 0 1,0 0 0,0-1 0,-1 0 0,1-1 0,0 0 0,0 0 0,-1-1-1,1 0 1,-1 0 0,1-1 0,-1 0 0,0-1 0,0 0 0,0 0 0,-1 0 0,1-1-1,-1 0 1,-1-1 0,1 0 0,10-11 0,-5 2-6769</inkml:trace>
  <inkml:trace contextRef="#ctx0" brushRef="#br0" timeOffset="1707.96">698 267 24575,'0'222'0,"-1"-283"0,-1 32 0,1 1 0,2 0 0,1 0 0,8-40 0,-10 67 0,0 0 0,0-1 0,0 1 0,1 0 0,-1-1 0,0 1 0,1 0 0,-1 0 0,1 0 0,0 0 0,-1-1 0,1 1 0,0 0 0,-1 0 0,1 0 0,0 0 0,0 0 0,0 1 0,0-1 0,0 0 0,0 0 0,0 1 0,0-1 0,0 0 0,2 0 0,-1 1 0,-1 1 0,1-1 0,-1 0 0,1 1 0,-1-1 0,1 1 0,-1-1 0,1 1 0,-1-1 0,0 1 0,1 0 0,-1 0 0,0 0 0,0 0 0,0 0 0,0 0 0,2 2 0,7 9 0,-1 0 0,0 1 0,9 16 0,-15-23 0,30 54 0,-24-40 0,2 0 0,0 0 0,1-2 0,22 28 0,-33-46 0,-1 1 0,1 0 0,-1-1 0,1 1 0,-1 0 0,1-1 0,-1 1 0,1-1 0,0 1 0,-1-1 0,1 1 0,0-1 0,-1 0 0,1 1 0,0-1 0,0 0 0,-1 0 0,1 1 0,0-1 0,0 0 0,-1 0 0,1 0 0,0 0 0,0 0 0,0 0 0,-1 0 0,1 0 0,1-1 0,-1 1 0,0-1 0,0 0 0,0 0 0,-1 0 0,1 0 0,0 0 0,-1 0 0,1 0 0,0-1 0,-1 1 0,1 0 0,-1 0 0,0 0 0,1 0 0,-1-3 0,3-56 0,-3 53 0,-3-330 0,1 427 0,1 77 0,3-145 0,0 0 0,1 0 0,1 0 0,2 0 0,8 25 0,-12-42 0,0-1 0,0 1 0,0 0 0,1 0 0,0-1 0,0 0 0,0 1 0,0-1 0,1 0 0,-1-1 0,1 1 0,0-1 0,0 1 0,1-1 0,-1 0 0,1-1 0,-1 1 0,1-1 0,9 3 0,2-1 0,-1-1 0,1-1 0,0-1 0,0-1 0,20-1 0,-23 1 0,15 0 0,-10 0 0,0 0 0,1-1 0,-1-1 0,34-8 0,-47 8 0,1 0 0,-1-1 0,1 1 0,-1-1 0,0 0 0,0 0 0,-1-1 0,1 1 0,-1-1 0,1 0 0,-1-1 0,0 1 0,-1-1 0,1 1 0,-1-1 0,0 0 0,0 0 0,0 0 0,2-10 0,0 0 0,-1 1 0,0-1 0,-2 0 0,0-1 0,0 1 0,-1 0 0,-1-1 0,-1 1 0,0 0 0,-1 0 0,-1-1 0,0 1 0,-7-18 0,3 11 0,-2-1 0,-1 2 0,0-1 0,-2 1 0,0 1 0,-1 0 0,-30-33 0,40 49 0,-2 0 0,1 0 0,0 0 0,-1 1 0,0 0 0,0 0 0,0 0 0,0 0 0,0 1 0,0-1 0,-1 1 0,1 1 0,-8-2 0,11 3 0,-1-1 0,0 1 0,1 0 0,-1 0 0,0 0 0,0 1 0,1-1 0,-1 1 0,0-1 0,1 1 0,-1 0 0,0 0 0,1 0 0,-1 0 0,1 0 0,0 1 0,-1-1 0,1 1 0,0 0 0,0 0 0,0 0 0,0 0 0,0 0 0,0 0 0,1 0 0,-1 0 0,1 1 0,0-1 0,-2 4 0,-8 19 14,1 0-1,2 2 0,1-1 0,0 1 1,2 0-1,1 0 0,2 0 1,0 39-1,3-25-310,2-1 0,2 1 0,2-1 0,23 78 0,-21-91-6529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5:05.7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24 299 24575,'1'43'0,"0"-24"0,-1-1 0,0 1 0,-6 31 0,4-43 0,-1-8 0,-2-17 0,-1-27 0,5 12 0,-1 10 0,1 0 0,1 0 0,5-30 0,-5 51 0,1-1 0,0 1 0,0 0 0,0-1 0,0 1 0,1 0 0,-1 0 0,1 0 0,-1 0 0,1 0 0,0 1 0,-1-1 0,1 0 0,0 1 0,0-1 0,0 1 0,0 0 0,1-1 0,-1 1 0,0 0 0,0 1 0,1-1 0,-1 0 0,1 1 0,-1-1 0,1 1 0,2-1 0,11 0 0,0 0 0,0 0 0,18 3 0,-14-1 0,-13-1 0,-1 0 0,0 1 0,0-1 0,0 1 0,0 0 0,10 4 0,-15-4 0,0-1 0,1 1 0,-1 0 0,0 0 0,0 0 0,0 0 0,0 0 0,0 0 0,0 0 0,0 0 0,0 0 0,0 0 0,0 0 0,-1 1 0,1-1 0,0 0 0,-1 1 0,1-1 0,-1 0 0,1 1 0,-1-1 0,0 1 0,0-1 0,0 0 0,0 1 0,0-1 0,0 1 0,0-1 0,0 1 0,0-1 0,-1 0 0,1 1 0,0-1 0,-2 2 0,-4 12 0,0 0 0,-1 0 0,-1-1 0,-1 0 0,0-1 0,0 0 0,-1 0 0,-21 19 0,-21 31 0,51-63 0,0 1 0,1-1 0,-1 1 0,1-1 0,-1 1 0,1 0 0,-1-1 0,1 1 0,-1 0 0,1-1 0,0 1 0,-1 0 0,1-1 0,0 1 0,0 0 0,0 0 0,-1 0 0,1-1 0,0 1 0,0 0 0,0 0 0,0-1 0,0 1 0,0 0 0,0 0 0,1 0 0,-1-1 0,0 1 0,0 0 0,1 0 0,-1-1 0,0 1 0,1 0 0,-1-1 0,1 1 0,-1 0 0,1-1 0,-1 1 0,1-1 0,-1 1 0,1-1 0,-1 1 0,1-1 0,0 1 0,-1-1 0,1 1 0,0-1 0,0 0 0,-1 1 0,1-1 0,0 0 0,0 0 0,-1 0 0,2 0 0,51 4 0,-43-4 0,161-4 0,-168 6 0,-8 1 0,-20 8 0,-36 9 0,38-14 0,-46 14 0,65-19 0,0 1 0,0-1 0,0 1 0,1 0 0,-1 0 0,0 1 0,1-1 0,-1 1 0,1-1 0,0 1 0,0 0 0,-4 4 0,7-6 0,0-1 0,0 0 0,0 1 0,0-1 0,0 1 0,-1-1 0,1 0 0,0 1 0,0-1 0,0 1 0,0-1 0,0 0 0,0 1 0,0-1 0,0 1 0,0-1 0,1 0 0,-1 1 0,0-1 0,0 0 0,0 1 0,0-1 0,1 1 0,-1-1 0,0 0 0,0 1 0,0-1 0,1 0 0,-1 0 0,0 1 0,1-1 0,-1 0 0,0 0 0,1 1 0,-1-1 0,0 0 0,1 0 0,-1 0 0,0 1 0,1-1 0,-1 0 0,1 0 0,0 0 0,20 5 0,-20-4 0,51 4-134,0-1 0,64-5 0,-76 0-829,-4 0-5863</inkml:trace>
  <inkml:trace contextRef="#ctx0" brushRef="#br0" timeOffset="2463.67">574 299 24575,'-1'25'0,"2"1"0,1-1 0,0 0 0,2 0 0,11 39 0,-12-56 0,0 0 0,1 0 0,-1-1 0,1 1 0,1-1 0,0 0 0,0 0 0,0 0 0,1 0 0,0-1 0,0 0 0,0-1 0,1 1 0,0-1 0,0 0 0,1-1 0,-1 0 0,1 0 0,0 0 0,10 2 0,-6-2 0,0-1 0,1-1 0,-1 0 0,1 0 0,-1-2 0,1 1 0,13-2 0,-21 0 0,-1 1 0,0 0 0,0-1 0,1 0 0,-1 0 0,0 0 0,0 0 0,0-1 0,0 0 0,0 1 0,-1-1 0,1-1 0,0 1 0,-1-1 0,0 1 0,0-1 0,1 0 0,-1 0 0,-1 0 0,1-1 0,0 1 0,-1 0 0,0-1 0,2-4 0,1-9 0,0 0 0,-2-1 0,0 0 0,-1 1 0,0-1 0,-2-28 0,-2 11 0,-2 0 0,-10-46 0,12 71 0,0 0 0,-1 1 0,-1-1 0,1 1 0,-2 0 0,1 0 0,-1 0 0,-1 0 0,1 1 0,-9-9 0,11 14 0,0-1 0,-1 1 0,0 1 0,1-1 0,-1 1 0,0-1 0,0 1 0,0 0 0,-1 0 0,1 1 0,0-1 0,-1 1 0,1 0 0,-1 0 0,1 1 0,-1-1 0,1 1 0,-1 0 0,1 0 0,-1 0 0,0 1 0,1 0 0,-1 0 0,-7 2 0,5 0 0,0 1 0,0-1 0,0 1 0,0 0 0,0 1 0,1-1 0,0 1 0,0 1 0,0-1 0,1 1 0,0 0 0,0 0 0,0 1 0,1-1 0,0 1 0,0 0 0,-5 14 0,4-7 0,0-1 0,1 1 0,0 1 0,1-1 0,0 0 0,2 1 0,0-1 0,0 1 0,2 15 0,0-24 0,1-1 0,0 1 0,0 0 0,0-1 0,1 1 0,0-1 0,0 0 0,0 0 0,0 0 0,1 0 0,0 0 0,0-1 0,0 0 0,1 0 0,-1 0 0,1 0 0,0-1 0,11 6 0,9 5 0,1-1 0,42 15 0,-61-26 0,25 10 0,0-2 0,1-1 0,0-1 0,0-2 0,44 3 0,-74-9 0,0 0 0,0 0 0,0 0 0,0-1 0,0 1 0,0-1 0,0 0 0,0 1 0,0-1 0,0-1 0,0 1 0,-1 0 0,1-1 0,0 1 0,-1-1 0,1 0 0,-1 0 0,0 0 0,1 0 0,-1 0 0,0 0 0,-1-1 0,1 1 0,0-1 0,0 1 0,-1-1 0,0 0 0,1 0 0,-1 1 0,0-1 0,-1 0 0,2-5 0,1-8 0,-1-1 0,-1 0 0,0 0 0,-4-30 0,2 17 0,-5-247 0,8 563 0,1-301 0,2 0 0,0 0 0,0 0 0,2 1 0,0 0 0,0 1 0,1-1 0,1 1 0,0 1 0,1 0 0,0 0 0,18-15 0,-22 21 0,1 1 0,-1 1 0,1-1 0,0 1 0,0 0 0,1 1 0,-1-1 0,1 1 0,-1 1 0,1 0 0,11-2 0,-12 3 0,-1 1 0,0 0 0,0 1 0,0-1 0,0 1 0,0 0 0,0 1 0,0-1 0,0 1 0,0 0 0,0 1 0,-1-1 0,1 1 0,-1 1 0,0-1 0,8 7 0,-7-5 0,-1 0 0,1 0 0,-1 0 0,-1 1 0,1 0 0,-1 0 0,0 0 0,0 1 0,-1-1 0,0 1 0,0 0 0,0-1 0,2 12 0,-1 4 0,-1-1 0,-1 1 0,-1 26 0,0-23 0,-1-23 0,0 1 0,0-1 0,1 1 0,-1-1 0,1 1 0,-1-1 0,1 0 0,0 1 0,0-1 0,0 0 0,1 0 0,-1 0 0,0 0 0,1 0 0,-1 0 0,1 0 0,0 0 0,0 0 0,0-1 0,2 2 0,0 0 0,0-1 0,1 0 0,-1 0 0,1 0 0,-1 0 0,1-1 0,0 1 0,0-1 0,-1-1 0,7 1 0,-5 0 0,-1-1 0,0 0 0,1 0 0,-1 0 0,1-1 0,-1 1 0,1-1 0,-1-1 0,0 1 0,1-1 0,-1 0 0,0 0 0,0-1 0,-1 1 0,1-1 0,0 0 0,-1 0 0,0-1 0,8-7 0,-8 6 0,-1 0 0,0-1 0,0 0 0,-1 1 0,1-1 0,-1 0 0,0 0 0,-1 0 0,0 0 0,0-1 0,0 1 0,0 0 0,-1 0 0,0-1 0,-1 1 0,1 0 0,-1-1 0,0 1 0,-3-7 0,1 4 0,0 1 0,-1 0 0,0-1 0,-1 1 0,0 1 0,0-1 0,-1 1 0,1 0 0,-2 0 0,1 0 0,-1 1 0,-12-9 0,-8-4 0,-2 1 0,-56-26 0,68 37 0,-1 0 0,1 1 0,-1 1 0,0 1 0,-1 0 0,-31-2 0,48 6 0,0 0 0,0-1 0,0 1 0,0 0 0,0 1 0,0-1 0,0 0 0,0 1 0,0-1 0,0 1 0,0-1 0,1 1 0,-1 0 0,0 0 0,0 0 0,1 0 0,-1 0 0,0 0 0,1 0 0,-1 0 0,1 1 0,0-1 0,-1 1 0,1-1 0,0 1 0,0-1 0,0 1 0,0 0 0,0 0 0,0-1 0,0 1 0,1 0 0,-1 0 0,1 0 0,-1 0 0,1 0 0,0 0 0,0 0 0,0 0 0,0 0 0,0 0 0,0 0 0,0 0 0,1 0 0,-1-1 0,1 1 0,0 3 0,2 4 0,-1 0 0,2 0 0,-1-1 0,1 1 0,0-1 0,1 0 0,0 0 0,10 13 0,-8-13 0,2 0 0,-1-1 0,1 0 0,0-1 0,0 0 0,1 0 0,0-1 0,12 5 0,-16-8 0,1 1 0,-1-1 0,1 0 0,0-1 0,0 1 0,0-1 0,0-1 0,0 1 0,0-1 0,0-1 0,0 1 0,0-1 0,-1 0 0,9-3 0,-13 3 0,0 0 0,0-1 0,0 1 0,0-1 0,0 1 0,0-1 0,0 0 0,0 0 0,-1 0 0,1 0 0,-1 0 0,1 0 0,-1-1 0,0 1 0,0 0 0,0-1 0,0 1 0,-1-1 0,1 1 0,0-1 0,-1 1 0,0-1 0,0 1 0,1-1 0,-2 0 0,1 1 0,0-1 0,-1-2 0,-1-13 0,0-1 0,-10-31 0,8 35 0,-34-152 0,34 162 0,3 19 0,2 23 0,2-16 0,1-1 0,0 0 0,2 0 0,0 0 0,1-1 0,1 0 0,1 0 0,12 19 0,-18-34 0,0-1 0,0 1 0,0-1 0,1 0 0,-1 0 0,1 0 0,0-1 0,0 1 0,0-1 0,0 0 0,0 0 0,0 0 0,1 0 0,-1-1 0,0 0 0,1 0 0,0 0 0,-1 0 0,1-1 0,-1 0 0,1 0 0,0 0 0,-1 0 0,1-1 0,-1 0 0,1 0 0,-1 0 0,1 0 0,5-3 0,-2 0 0,0 1 0,0-1 0,-1 0 0,0-1 0,1 1 0,-1-2 0,-1 1 0,1-1 0,-1 0 0,0 0 0,-1-1 0,1 1 0,-1-1 0,8-15 0,-8 10-195,-1 1 0,-1-1 0,0 0 0,0 0 0,-1-1 0,0-12 0,-1-1-6631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5:12.7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2121 590 24575,'-408'20'0,"76"0"0,-278-19 0,2 0 0,486 10 0,161-18 0,-1-3 0,1-1 0,-2-2 0,51-24 0,-15 7 0,216-90 0,-859 369 0,564-246 0,-45 25 0,50-28 0,0 1 0,0-1 0,0 0 0,0 1 0,1 0 0,-1-1 0,0 1 0,0-1 0,0 1 0,0 0 0,1 0 0,-1-1 0,0 1 0,1 0 0,-1 0 0,1 0 0,-1 0 0,1 0 0,-1 0 0,1 0 0,0 0 0,-1 0 0,1 0 0,0 0 0,0 0 0,0 0 0,0 0 0,0 0 0,0 0 0,0 0 0,0 0 0,0 0 0,0 0 0,0 0 0,1 0 0,-1 0 0,0 0 0,1 0 0,-1 0 0,1 0 0,0 1 0,17 14 0,1-1 0,0-1 0,1-1 0,1-1 0,31 14 0,-22-10 0,375 178-1365,-349-170-5461</inkml:trace>
  <inkml:trace contextRef="#ctx0" brushRef="#br0" timeOffset="1037.41">920 143 24575,'-44'-1'0,"-79"4"0,108-2 0,1 1 0,-1 1 0,1 0 0,0 1 0,0 1 0,-16 7 0,28-11 0,1-1 0,-1 1 0,1 0 0,-1-1 0,1 1 0,0 0 0,-1 0 0,1 0 0,0 0 0,0 0 0,-1 0 0,1 0 0,0 1 0,0-1 0,0 0 0,1 1 0,-1-1 0,-1 3 0,2-3 0,0 0 0,0 0 0,0 0 0,0 0 0,1 0 0,-1 0 0,0 0 0,0 0 0,1 0 0,-1 0 0,1 0 0,-1 0 0,1-1 0,-1 1 0,1 0 0,-1 0 0,1 0 0,0-1 0,0 1 0,-1 0 0,1-1 0,1 1 0,6 5 0,1-1 0,0 0 0,0-1 0,15 5 0,224 63 0,-67-24 0,-176-46 0,0-1 0,1 1 0,-1 1 0,0-1 0,0 1 0,-1 0 0,1 0 0,0 0 0,-1 1 0,0 0 0,5 4 0,-8-6 0,0-1 0,0 1 0,0-1 0,0 1 0,-1 0 0,1-1 0,0 1 0,-1 0 0,0-1 0,1 1 0,-1 0 0,0 0 0,0-1 0,0 1 0,0 0 0,0 0 0,0 0 0,0-1 0,-1 1 0,1 0 0,-1 0 0,1-1 0,-1 1 0,0 0 0,1-1 0,-1 1 0,0-1 0,0 1 0,0-1 0,0 1 0,-1-1 0,1 0 0,0 0 0,-1 1 0,1-1 0,0 0 0,-3 1 0,-7 6 0,0-1 0,0 0 0,-1 0 0,0-1 0,0-1 0,0 0 0,0 0 0,-1-1 0,0-1 0,-19 3 0,1-3 0,1 0 0,-1-3 0,-45-3 0,22-9-1365,31 2-5461</inkml:trace>
  <inkml:trace contextRef="#ctx0" brushRef="#br0" timeOffset="1428.64">1245 163 24575,'0'7'0,"0"9"0,4 13 0,0 7 0,1 6 0,-1-2 0,-2-4 0,0-4 0,-1-5 0,-1-3 0,0-6-8191</inkml:trace>
  <inkml:trace contextRef="#ctx0" brushRef="#br0" timeOffset="1881.34">1245 0 24575,'0'0'-8191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5:16.6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226 184 24575,'-1'-1'0,"1"0"0,-1 0 0,1 1 0,-1-1 0,0 0 0,1 1 0,-1-1 0,0 1 0,0-1 0,0 1 0,1-1 0,-1 1 0,0-1 0,0 1 0,0 0 0,0-1 0,0 1 0,0 0 0,0 0 0,0 0 0,1 0 0,-1 0 0,0 0 0,0 0 0,0 0 0,0 0 0,-1 0 0,-32 2 0,32-1 0,-11-1 0,0 1 0,1 1 0,-1 0 0,0 1 0,1 0 0,0 1 0,0 0 0,-20 11 0,31-15 0,0 0 0,0 1 0,1-1 0,-1 1 0,0-1 0,0 1 0,1 0 0,-1-1 0,0 1 0,1 0 0,-1-1 0,1 1 0,-1 0 0,1 0 0,-1-1 0,1 1 0,0 0 0,-1 0 0,1 0 0,0 0 0,0 0 0,-1-1 0,1 1 0,0 0 0,0 0 0,0 0 0,0 0 0,1 1 0,-1 0 0,1 0 0,0-1 0,0 1 0,0 0 0,0-1 0,1 0 0,-1 1 0,0-1 0,1 0 0,-1 1 0,1-1 0,-1 0 0,3 1 0,9 5 0,0-1 0,27 10 0,-34-14 0,100 33 0,-33-11 0,123 57 0,-192-79 0,-1-1 0,0 1 0,0 0 0,1 0 0,-1 0 0,0 1 0,-1-1 0,1 1 0,0-1 0,-1 1 0,1 0 0,-1 0 0,0 0 0,2 5 0,-3-6 0,-1-1 0,0 1 0,0 0 0,0 0 0,0-1 0,0 1 0,0 0 0,-1 0 0,1-1 0,-1 1 0,1 0 0,-1-1 0,1 1 0,-1 0 0,0-1 0,0 1 0,0-1 0,0 1 0,0-1 0,0 0 0,0 1 0,-1-1 0,1 0 0,0 0 0,-1 0 0,1 0 0,-1 0 0,1 0 0,-1 0 0,-2 1 0,-28 14 0,1 0 0,-2-3 0,0 0 0,-1-2 0,0-2 0,0-1 0,-1-1 0,0-2 0,0-2 0,0-1 0,-40-3 0,73 1-26,-1 0 0,1 0-1,-1 0 1,1-1 0,0 1 0,-1-1-1,1 1 1,0-1 0,-1 0 0,1 0-1,0 0 1,0 0 0,0 0 0,0 0-1,0 0 1,0-1 0,0 1 0,0-1-1,0 0 1,1 1 0,-1-1 0,1 0-1,-1 0 1,1 0 0,0 0 0,0 0-1,0-1 1,0 1 0,0 0 0,0 0-1,1-1 1,-1 1 0,1 0 0,-1-1-1,1 1 1,0 0 0,0-1 0,0 1-1,0-1 1,1 1 0,-1 0 0,0-1-1,1 1 1,0 0 0,0-1 0,-1 1-1,1 0 1,1 0 0,-1 0 0,0 0-1,2-2 1,6-11-6800</inkml:trace>
  <inkml:trace contextRef="#ctx0" brushRef="#br0" timeOffset="512.1">714 0 24575,'0'4'0,"0"8"0,0 12 0,0 12 0,0 11 0,0 8 0,0 15 0,0-1 0,0-6 0,0-9 0,0-11 0,0-9 0,0-10-8191</inkml:trace>
  <inkml:trace contextRef="#ctx0" brushRef="#br0" timeOffset="994.06">551 286 24575,'4'0'0,"4"-4"0,4 0 0,8-4 0,3 0 0,1-3 0,1 1 0,-2 3 0,0 1 0,-1 3 0,-4-2 0,-2-1 0,-3 2-8191</inkml:trace>
  <inkml:trace contextRef="#ctx0" brushRef="#br0" timeOffset="1652.06">816 224 24575,'0'15'0,"2"1"0,-1-1 0,2-1 0,0 1 0,1 0 0,0-1 0,1 1 0,1-1 0,0-1 0,10 17 0,-10-24 0,0 0 0,0-1 0,0 1 0,1-1 0,0-1 0,-1 1 0,2-1 0,-1 0 0,0-1 0,1 0 0,0 0 0,0 0 0,0-1 0,0 0 0,15 1 0,-16-2 0,0 0 0,0 0 0,0-1 0,0 0 0,0 0 0,0-1 0,0 0 0,-1 0 0,1-1 0,0 1 0,0-2 0,-1 1 0,1-1 0,-1 0 0,1 0 0,-1 0 0,0-1 0,7-6 0,-8 3 0,0 1 0,-1-1 0,0 0 0,0 0 0,0 0 0,-1-1 0,-1 1 0,1-1 0,-1 0 0,0 0 0,-1 0 0,0 0 0,0-9 0,0 0 0,-1 0 0,0 0 0,-2 0 0,0 0 0,-6-21 0,5 31 0,0 0 0,0 1 0,-1-1 0,1 1 0,-2 0 0,1 0 0,-1 0 0,0 1 0,0-1 0,0 1 0,-1 1 0,1-1 0,-11-5 0,11 6 0,0 1 0,0 0 0,0 0 0,0 1 0,-1-1 0,1 1 0,-1 0 0,1 1 0,-1-1 0,0 1 0,0 0 0,0 1 0,0-1 0,1 1 0,-1 0 0,0 1 0,-8 1 0,11-1 0,0 1 0,1-1 0,-1 1 0,0 0 0,1 0 0,-1 0 0,1 0 0,0 0 0,0 1 0,0-1 0,0 1 0,0-1 0,0 1 0,1 0 0,0 0 0,-1-1 0,1 1 0,0 0 0,0 0 0,0 1 0,1-1 0,-1 0 0,1 3 0,-3 13 0,2 0 0,1 31 0,1-31 0,-1 27-111,-1-5-307,2 0 0,11 69 0,-7-90-6408</inkml:trace>
  <inkml:trace contextRef="#ctx0" brushRef="#br0" timeOffset="2800.31">1508 103 24575,'0'-1'0,"0"1"0,0-1 0,-1 1 0,1-1 0,0 1 0,-1-1 0,1 1 0,0-1 0,-1 1 0,1-1 0,-1 1 0,1-1 0,-1 1 0,1 0 0,-1-1 0,1 1 0,-1 0 0,1-1 0,-1 1 0,1 0 0,-1 0 0,1 0 0,-1-1 0,0 1 0,1 0 0,-1 0 0,1 0 0,-1 0 0,0 0 0,1 0 0,-1 0 0,1 0 0,-1 0 0,0 1 0,1-1 0,-1 0 0,1 0 0,-1 0 0,1 1 0,-1-1 0,0 0 0,1 1 0,-1 0 0,-30 11 0,31-12 0,-35 19 0,0 1 0,1 1 0,1 2 0,1 1 0,1 2 0,1 1 0,-43 51 0,69-73 0,0-1 0,1 1 0,-1 0 0,1 0 0,0 0 0,1 0 0,0 1 0,-1-1 0,2 1 0,-1-1 0,0 1 0,1 0 0,0 0 0,1 0 0,-1 9 0,3-9 0,-1 0 0,1 0 0,-1 0 0,2-1 0,-1 1 0,1-1 0,0 0 0,0 1 0,0-1 0,0-1 0,1 1 0,0 0 0,0-1 0,1 0 0,4 4 0,6 5-85,0-2 0,1 0-1,0-1 1,1 0 0,0-2-1,1 0 1,-1 0 0,1-2-1,1 0 1,-1-2 0,1 0-1,0 0 1,0-2 0,0-1-1,22 0 1,-24-2-6741</inkml:trace>
  <inkml:trace contextRef="#ctx0" brushRef="#br0" timeOffset="3822.74">1711 184 24575,'-1'81'0,"3"90"0,-2-170 0,-1 1 0,1 0 0,0-1 0,0 1 0,0 0 0,0-1 0,1 1 0,-1 0 0,0-1 0,1 1 0,-1-1 0,1 1 0,-1-1 0,1 1 0,0-1 0,0 1 0,-1-1 0,1 0 0,0 1 0,0-1 0,1 0 0,-1 0 0,0 1 0,0-1 0,1 0 0,-1 0 0,0-1 0,1 1 0,-1 0 0,3 1 0,-1-3 0,0 1 0,-1 0 0,1-1 0,0 0 0,0 0 0,-1 0 0,1 0 0,0 0 0,-1 0 0,1-1 0,-1 1 0,1-1 0,-1 0 0,0 1 0,0-1 0,3-4 0,14-9 0,-15 12 0,0 1 0,0-1 0,0 0 0,-1-1 0,1 1 0,-1 0 0,0-1 0,0 0 0,3-5 0,-6 9 0,0-1 0,0 1 0,0-1 0,0 1 0,0 0 0,0-1 0,0 1 0,0 0 0,-1-1 0,1 1 0,0-1 0,0 1 0,0 0 0,0-1 0,-1 1 0,1 0 0,0-1 0,0 1 0,-1 0 0,1-1 0,0 1 0,0 0 0,-1 0 0,1-1 0,0 1 0,-1 0 0,1 0 0,0 0 0,-1-1 0,1 1 0,0 0 0,-1 0 0,1 0 0,-1 0 0,1 0 0,0 0 0,-1 0 0,1 0 0,0 0 0,-1 0 0,1 0 0,-1 0 0,1 0 0,0 0 0,-1 0 0,1 0 0,-1 0 0,1 1 0,0-1 0,-1 0 0,0 0 0,-22 5 0,19-3 6,1-1 0,-1 0 0,1 1 0,0 0 0,0 0 0,-1 0 0,1 0 0,1 0 0,-1 0 0,0 1 0,0 0 0,1-1 0,-1 1 0,1 0 0,0 0 0,0 0 0,0 1 0,1-1 0,-3 6 0,3-6-68,0 1 0,1-1 0,0 0 0,-1 0 1,1 0-1,1 0 0,-1 0 0,0 1 0,1-1 0,-1 0 0,1 0 0,0 0 1,0 0-1,0 0 0,1 0 0,-1 0 0,1-1 0,-1 1 0,1 0 0,0-1 1,0 1-1,0-1 0,3 3 0,11 9-6764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5:26.6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548 1 24575,'0'1050'0,"0"-1048"0,0 0 0,0 0 0,0 0 0,-1 0 0,1 1 0,-1-1 0,1 0 0,-1 0 0,1 0 0,-1 0 0,0-1 0,0 1 0,0 0 0,0 0 0,0 0 0,-1-1 0,1 1 0,0 0 0,-1-1 0,1 0 0,-3 2 0,0-1 0,1 0 0,0 0 0,-1-1 0,0 1 0,1-1 0,-1 0 0,0 0 0,0-1 0,0 1 0,-7-1 0,-7 0 0,1-2 0,-1 0 0,1-1 0,-20-6 0,-12-6 0,0-3 0,2-2 0,0-2 0,1-2 0,-76-54 0,110 64 0,22 9 0,29 9 0,-3 9 0,0 1 0,35 21 0,-48-22 0,0-1 0,1-2 0,0 0 0,1-1 0,0-2 0,0 0 0,26 2 0,-44-8 0,0-1 0,0-1 0,0 0 0,0 0 0,0 0 0,-1-1 0,1 1 0,0-2 0,-1 1 0,1-1 0,-1 0 0,0 0 0,0-1 0,0 0 0,0 0 0,-1 0 0,0-1 0,0 0 0,7-8 0,6-9 0,-1-1 0,0-1 0,17-37 0,-14 26 0,-12 22-341,-1 0 0,-1-1-1,9-26 1,-10 20-6485</inkml:trace>
  <inkml:trace contextRef="#ctx0" brushRef="#br0" timeOffset="923.01">873 347 24575,'23'331'0,"-5"-121"0,-27-324 0,0 20 0,4 1 0,11-136 0,-6 223 0,1 1 0,0 0 0,0 0 0,1 0 0,-1 0 0,1 1 0,0-1 0,1 0 0,-1 1 0,1-1 0,0 1 0,0 0 0,0 0 0,1 0 0,-1 0 0,1 1 0,5-4 0,-6 4 0,1 1 0,-1 1 0,1-1 0,-1 0 0,1 1 0,0 0 0,0 0 0,0 0 0,-1 0 0,1 1 0,0 0 0,0-1 0,0 1 0,0 1 0,0-1 0,0 0 0,0 1 0,0 0 0,0 0 0,0 0 0,-1 1 0,1-1 0,4 3 0,-1 1 0,0-1 0,0 1 0,-1 1 0,0-1 0,0 1 0,0 0 0,-1 0 0,0 1 0,0 0 0,-1 0 0,0 0 0,0 0 0,0 0 0,-1 1 0,0 0 0,-1 0 0,1 0 0,-2 0 0,2 9 0,2 18 0,-1 0 0,-2 0 0,-3 37 0,1-67-41,0-1 0,0 0-1,0 0 1,0 0-1,-1 0 1,0 0 0,1 0-1,-2 0 1,1 0 0,0 0-1,-1 0 1,0-1-1,0 1 1,0 0 0,0-1-1,0 0 1,-1 1 0,0-1-1,1 0 1,-1 0-1,0-1 1,-1 1 0,1 0-1,0-1 1,-1 0 0,1 0-1,-1 0 1,0 0-1,1-1 1,-1 1 0,0-1-1,-8 1 1,-6 1-6785</inkml:trace>
  <inkml:trace contextRef="#ctx0" brushRef="#br0" timeOffset="3049.72">1199 509 24575,'14'0'0,"0"0"0,0 1 0,0 1 0,-1 0 0,1 1 0,-1 0 0,1 1 0,23 11 0,-28-11 0,-1 2 0,1 0 0,-1 0 0,0 0 0,-1 1 0,0 0 0,0 0 0,0 1 0,-1 0 0,0 0 0,0 1 0,8 17 0,-6-9 0,1-2 0,-2 0 0,0 0 0,-1 1 0,7 26 0,-13-42 0,0 0 0,0 1 0,0-1 0,0 0 0,1 0 0,-1 1 0,0-1 0,0 0 0,0 0 0,0 1 0,0-1 0,0 0 0,0 0 0,0 1 0,0-1 0,0 0 0,0 0 0,0 0 0,0 1 0,-1-1 0,1 0 0,0 0 0,0 1 0,0-1 0,0 0 0,0 0 0,0 0 0,-1 1 0,1-1 0,0 0 0,0 0 0,0 0 0,0 1 0,-1-1 0,1 0 0,0 0 0,0 0 0,0 0 0,-1 0 0,1 0 0,0 0 0,0 1 0,-1-1 0,1 0 0,0 0 0,0 0 0,-1 0 0,-15-7 0,-19-21 0,32 26 0,-4-5 0,-12-9 0,0 1 0,-32-19 0,46 31 0,1 0 0,0 1 0,-1 0 0,0 0 0,1 0 0,-1 0 0,0 1 0,0 0 0,0 0 0,0 0 0,0 1 0,0-1 0,0 1 0,0 0 0,0 1 0,0-1 0,0 1 0,-10 3 0,13-3 0,-1 1 0,1-1 0,0 1 0,0 0 0,0 0 0,1 0 0,-1 0 0,0 0 0,1 0 0,-1 0 0,1 0 0,0 1 0,0-1 0,0 1 0,0-1 0,0 1 0,0-1 0,1 1 0,-1-1 0,1 1 0,0-1 0,-1 1 0,1 0 0,0-1 0,1 1 0,-1 0 0,0-1 0,2 4 0,-2-1 0,1 1 0,1-1 0,-1 1 0,1-1 0,0 0 0,0 0 0,0 1 0,1-1 0,0-1 0,0 1 0,0 0 0,7 7 0,5-1 0,0 0 0,0-1 0,1-1 0,1 0 0,-1-2 0,1 1 0,32 7 0,-24-8 0,1-1 0,0-1 0,0-2 0,52 1 0,-73-5 0,1 1 0,0-1 0,0 0 0,0 0 0,-1-1 0,1 0 0,-1 0 0,1 0 0,-1-1 0,0 0 0,0 0 0,0 0 0,0 0 0,-1-1 0,1 0 0,-1 0 0,0 0 0,0-1 0,0 1 0,-1-1 0,1 0 0,-1 0 0,0 0 0,-1 0 0,1 0 0,-1-1 0,0 1 0,1-7 0,2-8 0,-1 0 0,0-1 0,-2 1 0,0-1 0,-1 1 0,-4-39 0,1 44 0,2 13 0,-1-1 0,1 1 0,0 0 0,-1 0 0,1-1 0,0 1 0,0 0 0,1-1 0,-1 1 0,0 0 0,1-1 0,0 1 0,1-4 0,0 5 0,0-1 0,0 1 0,0-1 0,0 1 0,0 0 0,1 0 0,-1 0 0,0 0 0,1 0 0,-1 1 0,0-1 0,1 1 0,-1 0 0,1-1 0,-1 1 0,5 1 0,107-3 0,-82 3 0,1-1 0,-1-1 0,1-2 0,38-9 0,-69 12 0,1-1 0,0 0 0,0 0 0,0 0 0,-1-1 0,1 1 0,-1 0 0,1-1 0,-1 0 0,1 0 0,-1 0 0,0 0 0,0 0 0,0 0 0,0 0 0,2-3 0,-4 4 0,0 0 0,0 1 0,1-1 0,-1 1 0,0-1 0,0 0 0,0 1 0,0-1 0,0 0 0,0 1 0,0-1 0,0 1 0,0-1 0,0 0 0,0 1 0,0-1 0,0 0 0,0 1 0,-1-1 0,1 0 0,0 1 0,0-1 0,-1 1 0,1-1 0,0 1 0,-2-2 0,1 1 0,-1 0 0,0 0 0,1-1 0,-1 1 0,0 0 0,0 1 0,0-1 0,0 0 0,0 0 0,0 1 0,0-1 0,-4 1 0,0-1 0,-1 1 0,0 0 0,1 0 0,-1 1 0,0 0 0,1 0 0,-1 0 0,1 1 0,0 0 0,-1 0 0,1 1 0,0 0 0,0 0 0,1 0 0,-1 1 0,0 0 0,1 0 0,0 0 0,0 1 0,1-1 0,-6 8 0,3-5 0,1 1 0,0 0 0,1 0 0,0 0 0,0 1 0,1 0 0,0 0 0,0 0 0,1 0 0,1 0 0,-1 1 0,1 0 0,-1 18 0,3-18 0,0 0 0,1 1 0,-1-1 0,2 0 0,4 18 0,-5-26 0,0 1 0,1 0 0,-1-1 0,0 1 0,1-1 0,0 0 0,-1 1 0,1-1 0,0 0 0,0 0 0,1 0 0,-1 0 0,0-1 0,0 1 0,1-1 0,-1 1 0,1-1 0,0 0 0,-1 0 0,1 0 0,0 0 0,-1 0 0,1-1 0,0 1 0,4-1 0,4 2 0,0-1 0,0 0 0,0-1 0,0 0 0,0-1 0,0-1 0,18-4 0,-25 5 0,1 0 0,-1-1 0,0 0 0,0 0 0,-1-1 0,1 1 0,0-1 0,-1 1 0,0-1 0,1 0 0,-1 0 0,0-1 0,0 1 0,-1-1 0,1 1 0,-1-1 0,0 0 0,0 0 0,0 0 0,0 0 0,-1 0 0,2-5 0,0-11 0,0 1 0,-1-1 0,-1 1 0,-2-38 0,0 51 0,0-2 0,-1 9 0,-4 22 0,-3 36 0,6-33 0,-3 54 0,6-76 0,0 0 0,0 1 0,1-1 0,-1 1 0,1-1 0,0 0 0,0 0 0,1 1 0,-1-1 0,1 0 0,0 0 0,0 0 0,0 0 0,3 3 0,-4-5 4,0-1-1,1 0 1,-1 1-1,0-1 1,1 0-1,-1 0 1,1 0-1,-1 0 1,1 0-1,-1 0 1,1 0 0,0 0-1,-1-1 1,1 1-1,0-1 1,0 1-1,-1-1 1,1 0-1,0 0 1,0 1-1,0-1 1,0 0-1,-1-1 1,1 1-1,0 0 1,0-1-1,0 1 1,-1 0-1,1-1 1,0 0-1,-1 0 1,1 1-1,2-3 1,-1 1-87,-1 0 1,1-1-1,-1 1 1,0-1-1,1 1 1,-1-1-1,-1 0 1,1 0-1,0 0 1,-1 0-1,1 0 1,-1 0-1,0 0 1,0 0-1,0-1 1,-1 1-1,1-4 1,0-10-6744</inkml:trace>
  <inkml:trace contextRef="#ctx0" brushRef="#br0" timeOffset="3423.88">2217 286 24575,'0'-4'0,"3"3"0</inkml:trace>
  <inkml:trace contextRef="#ctx0" brushRef="#br0" timeOffset="4832.85">2379 469 24575,'1'-1'0,"-1"0"0,1 0 0,-1 0 0,1 0 0,-1 0 0,1 1 0,0-1 0,0 0 0,-1 1 0,1-1 0,0 0 0,0 1 0,0-1 0,0 1 0,0-1 0,-1 1 0,1-1 0,0 1 0,0 0 0,0 0 0,0-1 0,0 1 0,0 0 0,0 0 0,0 0 0,3 0 0,28-1 0,-26 2 0,0 0 0,-1 1 0,1-1 0,0 1 0,0 0 0,-1 1 0,1-1 0,-1 1 0,0 0 0,0 1 0,0-1 0,0 1 0,0 0 0,-1 0 0,6 7 0,-8-8 0,1 0 0,-1 0 0,0 0 0,0 0 0,-1 0 0,1 1 0,0-1 0,-1 0 0,0 1 0,0-1 0,0 1 0,0 0 0,-1-1 0,1 1 0,-1 0 0,0-1 0,0 1 0,0 0 0,-1 0 0,1-1 0,-1 1 0,0-1 0,0 1 0,0 0 0,-1-1 0,-1 5 0,1-6 0,0 1 0,1-1 0,-1 1 0,0-1 0,0 0 0,-1 0 0,1 0 0,0 0 0,-1 0 0,1-1 0,-1 1 0,0-1 0,1 0 0,-1 1 0,0-1 0,0 0 0,0-1 0,1 1 0,-6 0 0,-7 1 0,1-2 0,-30-1 0,33 0 0,1 1 0,-1 0 0,1 0 0,-16 3 0,24-2 0,1-1 0,-1 1 0,0-1 0,1 1 0,-1 0 0,1 0 0,-1 0 0,1-1 0,-1 2 0,1-1 0,0 0 0,-1 0 0,1 0 0,0 1 0,0-1 0,0 0 0,0 1 0,0-1 0,0 1 0,0-1 0,0 1 0,1 0 0,-1-1 0,1 1 0,-1 0 0,1-1 0,0 1 0,-1 0 0,1 0 0,0-1 0,0 1 0,0 0 0,1 0 0,-1-1 0,1 3 0,-1 0 0,1-1 0,0 0 0,0 0 0,0 0 0,0-1 0,1 1 0,-1 0 0,1 0 0,0-1 0,0 1 0,0-1 0,0 1 0,0-1 0,0 0 0,1 0 0,-1 0 0,1 0 0,-1 0 0,4 1 0,9 2 0,1 0 0,0-2 0,0 0 0,0 0 0,0-2 0,0 0 0,1 0 0,-1-2 0,0 0 0,0-1 0,18-4 0,-29 4 0,0 0 0,-1 0 0,1-1 0,-1 1 0,1-1 0,-1 0 0,0 0 0,0-1 0,-1 1 0,1-1 0,-1 0 0,1 0 0,-1 0 0,0 0 0,-1 0 0,1-1 0,-1 1 0,0-1 0,0 0 0,0 0 0,0 1 0,-1-1 0,0 0 0,0-7 0,3-15 0,-2 0 0,0-1 0,-4-37 0,0 28 0,2 4 0,1 13 0,-1-1 0,-2 1 0,0-1 0,0 1 0,-9-29 0,11 48 0,0 1 0,0-1 0,0 1 0,0-1 0,0 0 0,-1 1 0,1-1 0,0 1 0,0-1 0,-1 0 0,1 1 0,0-1 0,-1 1 0,1-1 0,0 1 0,-1-1 0,1 1 0,-1-1 0,1 1 0,-1-1 0,1 1 0,-1 0 0,1-1 0,-1 1 0,1 0 0,-1 0 0,0-1 0,-6 15 0,1 29 0,4-16 0,2 0 0,1 0 0,1 0 0,1 0 0,1 0 0,2-1 0,1 1 0,0-1 0,19 40 0,-20-55 0,0 0 0,0-1 0,1 0 0,0 0 0,1-1 0,0 1 0,0-2 0,1 1 0,0-1 0,14 9 0,-15-12 0,1-1 0,0 1 0,0-2 0,0 1 0,0-1 0,1-1 0,-1 1 0,1-2 0,0 1 0,-1-1 0,1-1 0,0 0 0,0 0 0,13-3 0,-21 3-105,0 0 0,0-1 0,0 0 0,1 1 0,-1-1 0,0 0 0,0 0 0,0 0 0,0 0 0,0 0 0,-1 0 0,3-2 0,5-7-6721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5:35.1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47 174 24575,'-1'0'0,"0"1"0,0-1 0,-1 1 0,1 0 0,0 0 0,1-1 0,-1 1 0,0 0 0,0 0 0,0 0 0,0 0 0,1 0 0,-1 0 0,0 0 0,1 0 0,-1 0 0,1 1 0,-1-1 0,1 0 0,0 0 0,-1 0 0,1 2 0,-9 35 0,8-34 0,-8 68 0,2 1 0,4-1 0,8 102 0,3-121 0,-8-53 0,0 0 0,0 0 0,0 0 0,0 0 0,0 0 0,0 0 0,0 0 0,0 0 0,0 0 0,0 0 0,0 0 0,0-1 0,0 1 0,0 0 0,1 0 0,-1 0 0,0 0 0,0 0 0,0 0 0,0 0 0,0 0 0,0 0 0,0 0 0,0 0 0,0 0 0,1 0 0,-1 0 0,0 0 0,0 0 0,0 0 0,0 0 0,0 0 0,0 0 0,0 0 0,0 0 0,0 0 0,1 0 0,-1 0 0,0 0 0,0 0 0,0 0 0,0 0 0,0 1 0,0-1 0,0 0 0,0 0 0,0 0 0,0 0 0,0 0 0,0 0 0,1 0 0,-1 0 0,0 0 0,0 0 0,0 0 0,0 1 0,0-1 0,0 0 0,0 0 0,0 0 0,0 0 0,0 0 0,4-14 0,0-19 0,-4-184 0,1-27 0,-1 242 0,0-1 0,0 1 0,0 0 0,0-1 0,1 1 0,-1 0 0,1-1 0,0 1 0,0 0 0,-1 0 0,1 0 0,1 0 0,-1 0 0,3-4 0,-4 6 0,1-1 0,0 1 0,0-1 0,0 1 0,0-1 0,0 1 0,0-1 0,0 1 0,0 0 0,0-1 0,0 1 0,0 0 0,0 0 0,0 0 0,0 0 0,0 0 0,0 0 0,0 0 0,0 0 0,0 0 0,0 1 0,0-1 0,1 1 0,5 2 0,0 1 0,-1-1 0,1 1 0,-1 1 0,0-1 0,0 1 0,7 9 0,14 14 0,-2 2 0,-1 0 0,-2 2 0,-1 1 0,-1 0 0,29 70 0,-14-11 0,36 148 0,-71-237 0,6 38 0,-6-40 0,-1-1 0,1 1 0,0 0 0,0 0 0,-1 0 0,1-1 0,0 1 0,-1 0 0,1 0 0,-1-1 0,1 1 0,-1 0 0,1-1 0,-1 1 0,0-1 0,1 1 0,-1 0 0,0-1 0,1 0 0,-1 1 0,0-1 0,0 1 0,0-1 0,1 0 0,-1 0 0,0 1 0,0-1 0,0 0 0,1 0 0,-1 0 0,0 0 0,0 0 0,0 0 0,0 0 0,0 0 0,1 0 0,-1 0 0,0-1 0,0 1 0,0 0 0,1 0 0,-1-1 0,0 1 0,-1-1 0,-29-12 0,0-1 0,0-1 0,2-2 0,0 0 0,-44-37 0,35 27 0,7 6 0,21 16 0,0-1 0,0-1 0,1 0 0,0 0 0,0-1 0,1 0 0,-9-11 0,16 18 0,1 0 0,-1 0 0,0 0 0,1 0 0,-1-1 0,1 1 0,-1 0 0,1 0 0,0-1 0,-1 1 0,1 0 0,0 0 0,0-1 0,0 1 0,0 0 0,0-1 0,0 1 0,1 0 0,-1-1 0,0 1 0,1 0 0,-1 0 0,0 0 0,1-1 0,1-1 0,0 0 0,0 0 0,1 1 0,-1-1 0,1 1 0,0-1 0,0 1 0,-1 0 0,1 0 0,5-2 0,7-3 0,1 1 0,-1 0 0,19-4 0,40-5-455,1 2 0,146-4 0,-169 16-6371</inkml:trace>
  <inkml:trace contextRef="#ctx0" brushRef="#br0" timeOffset="1829.93">800 357 24575,'0'-1'0,"0"0"0,-1 0 0,1 1 0,0-1 0,-1 0 0,1 1 0,0-1 0,-1 0 0,1 1 0,-1-1 0,1 0 0,-1 1 0,0-1 0,1 1 0,-1-1 0,1 1 0,-1-1 0,0 1 0,0-1 0,1 1 0,-1 0 0,0-1 0,0 1 0,1 0 0,-1 0 0,0 0 0,0 0 0,1-1 0,-1 1 0,0 0 0,-1 0 0,-27 2 0,22 0 0,0 0 0,0 1 0,0 1 0,1-1 0,-1 1 0,1 0 0,0 0 0,0 1 0,1 0 0,-1 0 0,1 0 0,0 1 0,0 0 0,1-1 0,0 2 0,0-1 0,0 0 0,1 1 0,-1 0 0,2 0 0,-3 7 0,-1 5 0,1-1 0,1 1 0,0 0 0,1 0 0,1 0 0,1 0 0,2 22 0,0-35 0,0-1 0,0 1 0,0-1 0,1 1 0,0-1 0,0 0 0,0 0 0,0 0 0,1 0 0,0 0 0,0 0 0,1-1 0,-1 1 0,1-1 0,0 0 0,0 0 0,0-1 0,1 1 0,-1-1 0,1 0 0,0 0 0,5 2 0,-6-3 0,0 0 0,1 0 0,-1 0 0,1-1 0,-1 0 0,1 0 0,0 0 0,-1-1 0,1 1 0,0-1 0,0 0 0,-1-1 0,1 1 0,0-1 0,-1 0 0,1 0 0,-1 0 0,1-1 0,-1 1 0,1-1 0,-1 0 0,0-1 0,0 1 0,0-1 0,0 1 0,5-6 0,-5 3 0,0 0 0,-1-1 0,1 1 0,-1-1 0,0 1 0,-1-1 0,1 0 0,-1 0 0,0 0 0,-1 0 0,1 0 0,-1-1 0,-1 1 0,1 0 0,-1-12 0,-1-11 0,-2 0 0,-6-32 0,-8-18 0,-33-89 0,25 90 0,-18-95 0,111 396 0,-48-163 0,-8-22 0,30 81 0,-36-105 0,0-1 0,1 1 0,1-1 0,0 0 0,20 22 0,-24-31 0,0-1 0,0 0 0,0-1 0,1 1 0,-1-1 0,1 1 0,0-1 0,-1-1 0,1 1 0,0-1 0,0 0 0,0 0 0,0 0 0,0-1 0,1 1 0,-1-1 0,0-1 0,0 1 0,0-1 0,0 0 0,0 0 0,0 0 0,8-3 0,4-2 0,0-1 0,0 0 0,-1-1 0,0-1 0,19-13 0,-28 17 0,0-1 0,0 0 0,0 0 0,-1 0 0,0-1 0,0 0 0,-1 0 0,0 0 0,0-1 0,-1 0 0,0 0 0,0 0 0,-1 0 0,0 0 0,3-13 0,-5 14 0,0-1 0,-1 1 0,1-1 0,-1 1 0,-1 0 0,1-1 0,-1 1 0,-1 0 0,1-1 0,-1 1 0,0 0 0,-1 0 0,0 0 0,0 1 0,0-1 0,-1 1 0,0-1 0,-9-9 0,11 13 0,1 1 0,-1-1 0,0 1 0,0 0 0,0 0 0,-1 0 0,1 0 0,0 0 0,-1 1 0,1-1 0,-1 1 0,0-1 0,0 1 0,1 0 0,-1 0 0,0 0 0,0 1 0,-4-2 0,5 3 0,0-1 0,0 1 0,0-1 0,0 1 0,0-1 0,0 1 0,0 0 0,0 0 0,0 0 0,0 0 0,1 1 0,-1-1 0,0 0 0,1 1 0,-1-1 0,1 1 0,-1-1 0,1 1 0,-2 3 0,-3 5 0,1 0 0,0 1 0,1-1 0,0 1 0,1 0 0,0 1 0,0-1 0,0 12 0,-9 135 0,12-141 0,0-1 0,2 0 0,0 0 0,0 1 0,2-1 0,0-1 0,10 28 0,-11-39 0,-1 0 0,0 0 0,1 0 0,0-1 0,0 1 0,0-1 0,1 1 0,-1-1 0,1 0 0,0 0 0,-1-1 0,1 1 0,1-1 0,-1 0 0,0 0 0,0 0 0,1-1 0,-1 1 0,1-1 0,-1 0 0,8 0 0,3 1 0,-1-2 0,0 0 0,0 0 0,0-2 0,27-5 0,-37 6 0,1 0 0,-1 0 0,0-1 0,0 1 0,0-1 0,-1 0 0,1 0 0,0-1 0,-1 1 0,0-1 0,1 0 0,-1 0 0,0 0 0,0 0 0,0 0 0,2-5 0,-1 1 0,0 0 0,-1 0 0,0 0 0,0-1 0,0 0 0,-1 1 0,0-1 0,0-9 0,0-5 0,-1 1 0,0-1 0,-2 1 0,-1 0 0,-8-37 0,9 51 0,-16-57 0,15 60 0,1 0 0,0 0 0,-1 0 0,0 1 0,0-1 0,0 0 0,0 1 0,-1 0 0,1 0 0,-1-1 0,0 1 0,-5-4 0,7 7 0,1-1 0,0 1 0,-1 0 0,1 0 0,0 0 0,-1 0 0,1 0 0,0 0 0,-1 0 0,1 0 0,0 0 0,-1 0 0,1 0 0,0 0 0,-1 0 0,1 0 0,0 0 0,-1 0 0,1 0 0,0 0 0,-1 0 0,1 0 0,0 0 0,-1 1 0,1-1 0,0 0 0,0 0 0,-1 0 0,1 1 0,0-1 0,0 0 0,-1 0 0,1 1 0,0-1 0,0 0 0,0 1 0,-1-1 0,1 1 0,-7 19 0,3 22 0,6-2 0,1 0 0,3 0 0,1-1 0,12 40 0,57 151 0,-64-195-195,2 0 0,1-2 0,1 1 0,2-2 0,1 0 0,25 30 0,-37-53-6631</inkml:trace>
  <inkml:trace contextRef="#ctx0" brushRef="#br0" timeOffset="3291.64">800 845 24575,'12'43'0,"-1"488"0,-13-338 0,1 85 0,0-272 0,-4 40 0,5-45 0,0 0 0,0-1 0,-1 1 0,1 0 0,0 0 0,-1 0 0,1-1 0,0 1 0,-1 0 0,1 0 0,-1-1 0,1 1 0,-1 0 0,1-1 0,-1 1 0,0-1 0,1 1 0,-1-1 0,0 1 0,0-1 0,1 1 0,-1-1 0,0 0 0,0 1 0,1-1 0,-1 0 0,0 0 0,0 1 0,0-1 0,0 0 0,1 0 0,-1 0 0,0 0 0,0 0 0,0 0 0,0 0 0,1-1 0,-1 1 0,0 0 0,0 0 0,0-1 0,1 1 0,-1 0 0,0-1 0,0 1 0,0-1 0,-10-6 0,1 0 0,0-1 0,0 0 0,0 0 0,1-1 0,-12-15 0,-49-71 0,29 38 0,-52-64 0,160 177 0,-54-44 0,1 0 0,0-1 0,1 0 0,0-1 0,1-1 0,0 0 0,0-1 0,33 10 0,-35-14 0,0-1 0,0 0 0,0-2 0,1 1 0,-1-2 0,1 0 0,-1 0 0,0-2 0,1 0 0,-1 0 0,23-8 0,-18 3 9,-1-1 1,-1 0-1,1-1 0,-1-1 0,-1-1 1,0 0-1,0-1 0,-1-1 0,-1-1 0,0 0 1,-1 0-1,21-31 0,-6 2-380,-1-1-1,-3-1 1,31-82 0,-39 85-6455</inkml:trace>
  <inkml:trace contextRef="#ctx0" brushRef="#br0" timeOffset="5524.52">128 1904 24575,'0'0'0,"-1"0"0,0 0 0,1 1 0,-1-1 0,1 0 0,-1 1 0,0-1 0,1 0 0,-1 1 0,1-1 0,-1 1 0,1-1 0,-1 1 0,1-1 0,-1 1 0,1-1 0,0 1 0,-1-1 0,1 1 0,0 0 0,-1-1 0,1 1 0,0-1 0,0 1 0,0 0 0,-1-1 0,1 1 0,0 0 0,0-1 0,0 1 0,0 1 0,0 26 0,0-24 0,13 341 0,-29-521 0,12 111 0,0 13 0,5-85 0,0 124 0,0-1 0,1 1 0,1 0 0,0-1 0,1 1 0,0 1 0,1-1 0,1 1 0,0-1 0,0 1 0,11-14 0,-10 20 0,-1-1 0,1 1 0,0 0 0,1 1 0,-1 0 0,1 0 0,0 0 0,1 1 0,-1 0 0,1 1 0,-1 0 0,1 0 0,0 1 0,0 0 0,0 1 0,10-1 0,14 0 0,-1 1 0,0 2 0,38 6 0,-55-6 0,-1 2 0,1 0 0,-1 0 0,1 2 0,-1-1 0,0 2 0,-1 0 0,24 14 0,-33-17 0,0 0 0,1 0 0,-1 1 0,0-1 0,-1 1 0,1 0 0,-1 0 0,1 0 0,-1 1 0,-1-1 0,1 1 0,-1 0 0,1-1 0,-1 1 0,-1 0 0,1 0 0,-1 1 0,1-1 0,-2 0 0,1 0 0,0 1 0,-1-1 0,0 0 0,-1 1 0,1-1 0,-1 0 0,-2 8 0,2-9 0,0-1 0,-1 0 0,1 0 0,-1-1 0,0 1 0,0 0 0,0 0 0,-1-1 0,1 1 0,0-1 0,-1 0 0,0 0 0,1 0 0,-1 0 0,0 0 0,0-1 0,-5 3 0,-60 20 0,57-20 0,-269 58 0,180-43 0,93-18 0,-43 14 0,49-15 0,0 0 0,0 1 0,0-1 0,0 1 0,0-1 0,0 1 0,0 0 0,1-1 0,-1 1 0,0 0 0,0 0 0,0-1 0,1 1 0,-1 0 0,0 0 0,1 0 0,-1 0 0,1 0 0,-1 0 0,1 0 0,0 0 0,-1 0 0,1 0 0,0 0 0,0 0 0,-1 0 0,1 0 0,0 1 0,0-1 0,0 0 0,1 0 0,-1 0 0,0 0 0,0 0 0,0 0 0,1 0 0,-1 0 0,2 2 0,5 10 0,1-1 0,0 0 0,1 0 0,0-1 0,1 0 0,14 11 0,72 56 0,-85-70 0,0-1 0,0 0 0,0-1 0,1 0 0,21 8 0,-31-13 0,0-1 0,1 1 0,-1 0 0,1-1 0,-1 1 0,0-1 0,1 0 0,-1 0 0,1 0 0,-1 0 0,1 0 0,-1 0 0,0-1 0,1 1 0,-1-1 0,1 0 0,-1 0 0,0 0 0,0 0 0,0 0 0,1 0 0,-1 0 0,0-1 0,0 1 0,-1-1 0,1 0 0,0 1 0,0-1 0,-1 0 0,1 0 0,-1 0 0,0 0 0,1 0 0,-1 0 0,0-1 0,0 1 0,1-5 0,3-13 0,-1-1 0,-1 0 0,0 0 0,-1-25 0,-2 26 0,1 0 0,2-1 0,-1 1 0,12-37 0,-12 51 0,0 0 0,1 1 0,0-1 0,1 0 0,-1 1 0,1 0 0,0-1 0,0 2 0,0-1 0,1 0 0,0 1 0,0 0 0,0 0 0,0 0 0,1 1 0,-1 0 0,1 0 0,0 0 0,10-3 0,0 2 0,0 0 0,0 1 0,0 0 0,0 1 0,0 1 0,17 1 0,-25 0 0,0 1 0,0-1 0,0 1 0,0 1 0,-1-1 0,1 1 0,-1 1 0,1-1 0,-1 1 0,0 1 0,0-1 0,0 1 0,0 1 0,7 5 0,-11-6 0,0-1 0,-1 1 0,0-1 0,0 1 0,0 0 0,0 0 0,-1 0 0,0 0 0,1 0 0,-1 0 0,-1 1 0,1-1 0,-1 0 0,1 5 0,-5 66 0,3-56 0,-11 56 0,8-58 0,1 0 0,1-1 0,0 2 0,1-1 0,1 0 0,3 25 0,-2-40 0,0 1 0,0-1 0,1 1 0,-1-1 0,0 1 0,1-1 0,0 0 0,0 0 0,0 1 0,0-2 0,0 1 0,0 0 0,0 0 0,0 0 0,1-1 0,-1 0 0,1 1 0,-1-1 0,1 0 0,0 0 0,-1 0 0,1 0 0,0-1 0,0 1 0,-1-1 0,1 0 0,3 0 0,13 2 0,1-1 0,35-4 0,-41 2 0,-7 1 0,0 0 0,-1-1 0,1 0 0,-1 0 0,1-1 0,-1 0 0,1 0 0,-1-1 0,0 1 0,0-1 0,0-1 0,9-6 0,-11 7 0,0-1 0,-1-1 0,1 1 0,-1-1 0,0 1 0,0-1 0,0 0 0,0 0 0,-1 0 0,0 0 0,0-1 0,-1 1 0,1 0 0,-1-1 0,1-8 0,2-35 0,-1 1 0,-3 0 0,-2-1 0,-8-54 0,9 99 0,0 0 0,0 0 0,-1 0 0,1 0 0,-1 0 0,0 0 0,0 1 0,0-1 0,0 1 0,-1-1 0,1 1 0,-1 0 0,-6-6 0,8 8 0,0 0 0,-1 1 0,1-1 0,0 0 0,-1 0 0,1 1 0,-1-1 0,1 0 0,-1 1 0,1 0 0,-1-1 0,1 1 0,-1 0 0,0 0 0,1 0 0,-1 0 0,1 0 0,-1 0 0,1 0 0,-1 1 0,0-1 0,1 0 0,-1 1 0,1-1 0,-1 1 0,1 0 0,0 0 0,-1-1 0,1 1 0,0 0 0,-1 0 0,1 0 0,0 0 0,0 1 0,0-1 0,0 0 0,0 0 0,0 1 0,-1 1 0,-1 1 0,0 0 0,0 0 0,0 0 0,1 0 0,-1 1 0,1-1 0,0 1 0,1 0 0,-1-1 0,1 1 0,0 0 0,0 0 0,0 0 0,1 0 0,-1 0 0,1 0 0,1 0 0,-1 0 0,1 0 0,-1 0 0,1 0 0,1-1 0,-1 1 0,1 0 0,0-1 0,0 1 0,0-1 0,1 1 0,-1-1 0,1 0 0,0 0 0,0 0 0,1 0 0,-1-1 0,1 0 0,6 5 0,20 11 0,-20-14 0,-1 0 0,0 0 0,0 1 0,0 0 0,-1 1 0,0 0 0,0 1 0,-1-1 0,0 1 0,0 0 0,-1 1 0,0 0 0,6 11 0,-6-4 0,-1 0 0,0 1 0,3 26 0,-5-27 0,1 1 0,0-1 0,9 24 0,-12-37 0,0-1 0,0 0 0,0 0 0,0 0 0,0 0 0,0 0 0,1 0 0,-1 0 0,1 0 0,-1-1 0,1 1 0,0-1 0,0 1 0,0-1 0,0 1 0,0-1 0,0 0 0,0 0 0,0 0 0,0 0 0,0 0 0,1-1 0,2 2 0,-1-3 0,0 1 0,0 0 0,0-1 0,0 1 0,0-1 0,0 0 0,-1-1 0,1 1 0,0-1 0,-1 1 0,1-1 0,5-4 0,8-8 0,0 1 0,-1-2 0,27-31 0,-40 42 0,40-47-682,62-99-1,-87 119-6143</inkml:trace>
  <inkml:trace contextRef="#ctx0" brushRef="#br0" timeOffset="6783.42">1736 1843 24575,'12'-5'0,"-1"1"0,1 1 0,0 0 0,0 1 0,0 0 0,0 0 0,22 1 0,1-1 0,502-14 0,-262 13 0,-270 3 0,4 0 0,0 0 0,0-1 0,0 0 0,0 0 0,13-4 0,-21 4 0,0 1 0,1-1 0,-1 0 0,0 1 0,1-1 0,-1 0 0,0 0 0,0 1 0,0-1 0,0 0 0,0 0 0,0-1 0,0 1 0,0 0 0,0 0 0,0 0 0,-1-1 0,1 1 0,0 0 0,-1-1 0,1 1 0,-1 0 0,0-1 0,1 1 0,-1-1 0,0 1 0,0 0 0,0-1 0,0 1 0,0-1 0,0 1 0,0-1 0,0 1 0,-1-1 0,1 1 0,-1 0 0,1-1 0,-1 1 0,0-2 0,-23-53 0,-35-62 0,31 64 0,-24-63 0,51 117 0,1 0 0,0-1 0,0 1 0,-1-1 0,1 1 0,0-1 0,0 1 0,0-1 0,0 1 0,0 0 0,-1-1 0,1 1 0,0-1 0,0 1 0,0-1 0,0 1 0,0-1 0,0 1 0,1-1 0,-1 1 0,0-1 0,0 1 0,0-1 0,0 1 0,0-1 0,1 1 0,-1 0 0,0-1 0,0 1 0,1-1 0,-1 1 0,0 0 0,1-1 0,-1 1 0,1 0 0,-1-1 0,0 1 0,1-1 0,24 4 0,35 22 0,-57-24 0,113 59 0,145 97 0,-253-152 0,-1 0 0,0 0 0,-1 1 0,0-1 0,1 2 0,-2-1 0,1 0 0,-1 1 0,0 0 0,5 10 0,-9-13 0,0-1 0,0 1 0,0-1 0,0 1 0,-1-1 0,0 1 0,1-1 0,-1 1 0,-1 0 0,1-1 0,0 1 0,-1-1 0,0 1 0,0-1 0,0 1 0,0-1 0,-1 1 0,1-1 0,-1 0 0,0 0 0,0 0 0,0 0 0,0 0 0,0 0 0,-1-1 0,1 1 0,-1-1 0,0 1 0,-3 1 0,-37 29 0,-2-1 0,-1-3 0,-99 47 0,69-38 0,-74 39 0,-277 157 0,382-201-1365,18-8-5461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20T22:42:16.6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1653 24575,'5'-1'0,"0"0"0,1-1 0,-1 1 0,0-1 0,0 0 0,0 0 0,0 0 0,0-1 0,0 0 0,-1 0 0,6-4 0,1-2 0,0 0 0,-1-1 0,13-13 0,-15 11 0,0 0 0,0 0 0,-1 0 0,-1-1 0,0 0 0,7-24 0,17-90 0,-3 7 0,-20 96 0,-6 18 0,1-1 0,0 0 0,0 0 0,0 1 0,1 0 0,0-1 0,0 1 0,0 0 0,1 0 0,0 1 0,5-7 0,-8 11 0,-1 1 0,1-1 0,-1 1 0,1 0 0,-1-1 0,1 1 0,-1 0 0,1-1 0,-1 1 0,1 0 0,0 0 0,-1-1 0,1 1 0,-1 0 0,1 0 0,0 0 0,-1 0 0,1 0 0,-1 0 0,1 0 0,0 0 0,-1 0 0,1 0 0,0 0 0,-1 0 0,1 0 0,-1 1 0,1-1 0,0 0 0,-1 0 0,1 1 0,11 19 0,-2 37 0,-9-51 0,3 31 0,2 0 0,1-1 0,2 0 0,1-1 0,2 0 0,2 0 0,27 50 0,-11-30-1365,-18-27-5461</inkml:trace>
  <inkml:trace contextRef="#ctx0" brushRef="#br0" timeOffset="1265.7">186 1521 24575,'4'0'0,"7"0"0,5 0 0,5 0 0,-2 0-8191</inkml:trace>
  <inkml:trace contextRef="#ctx0" brushRef="#br0" timeOffset="4017.49">1006 1494 24575,'21'0'0,"0"0"0,1-1 0,25-3 0,-39 3 0,-1-1 0,1 0 0,-1-1 0,0 1 0,0-1 0,0-1 0,0 1 0,-1-1 0,12-9 0,9-11 0,-1-2 0,-1-1 0,32-45 0,-30 35 0,53-53 0,-10 28 0,2 4 0,2 2 0,162-88 0,-52 47 0,242-91 0,-365 161-1365,-41 15-5461</inkml:trace>
  <inkml:trace contextRef="#ctx0" brushRef="#br0" timeOffset="5205.22">1165 1494 24575,'21'-1'0,"0"1"0,0 0 0,1 2 0,-1 1 0,0 1 0,-1 0 0,24 9 0,25 10 0,110 23 0,-107-30 0,101 21 0,1-8 0,180 7 0,-14-34 77,-168-4-1519,-150 2-5384</inkml:trace>
  <inkml:trace contextRef="#ctx0" brushRef="#br0" timeOffset="7627.09">3494 304 24575,'-2'30'0,"-10"56"0,-1 15 0,13 34 0,11-195 0,4 1 0,2 0 0,44-103 0,-58 155 0,0 1 0,0-1 0,0 1 0,1 0 0,0 0 0,0 0 0,1 1 0,-1-1 0,1 1 0,0 0 0,1 1 0,7-6 0,-6 6 0,0 1 0,0 1 0,0-1 0,1 1 0,-1 0 0,0 1 0,1 0 0,-1 0 0,1 1 0,0-1 0,9 2 0,-12 0 0,11-1 0,0 0 0,0 1 0,0 1 0,-1 1 0,25 7 0,-36-8 0,0 0 0,0 0 0,0 0 0,0 0 0,-1 1 0,1-1 0,-1 1 0,1 0 0,-1 0 0,0 0 0,0 1 0,-1-1 0,1 1 0,-1-1 0,1 1 0,-1 0 0,0 0 0,-1 0 0,1 0 0,-1 0 0,1 1 0,-1-1 0,-1 0 0,2 9 0,-1-5 0,-1 0 0,1 0 0,-1 0 0,-1 0 0,1 0 0,-1 0 0,-1 0 0,1 0 0,-2 0 0,1 0 0,-7 13 0,7-17 0,-1 0 0,0 0 0,0 0 0,0 0 0,0-1 0,-1 1 0,1-1 0,-1 0 0,0 0 0,0 0 0,0-1 0,-1 1 0,1-1 0,0 0 0,-1 0 0,0-1 0,1 1 0,-1-1 0,0 0 0,-8 1 0,-36 0 0,-80-6 0,84 2 0,130 1 0,120 3 0,-202-2 0,0 1 0,0-1 0,-1 1 0,1-1 0,0 1 0,0 0 0,-1 0 0,1 0 0,0 1 0,-1-1 0,1 0 0,-1 1 0,0 0 0,1-1 0,-1 1 0,0 0 0,0 0 0,0 1 0,2 2 0,-1 0 0,0 0 0,-1 0 0,0 0 0,0 1 0,0-1 0,0 1 0,-1-1 0,0 1 0,0 7 0,0 7 0,-1 0 0,-1 0 0,-1 0 0,-7 34 0,8-50 0,0 1 0,0 0 0,0-1 0,-1 0 0,0 1 0,0-1 0,0 0 0,0 0 0,0 0 0,-1 0 0,0 0 0,0-1 0,0 1 0,0-1 0,0 0 0,-1 1 0,1-2 0,-1 1 0,0 0 0,0-1 0,0 0 0,0 0 0,-7 3 0,-4-2 0,0 0 0,1-1 0,-1-1 0,0 0 0,-29-3 0,19 2 0,-210-3-1365,211 3-5461</inkml:trace>
  <inkml:trace contextRef="#ctx0" brushRef="#br0" timeOffset="9439.64">3652 1468 24575,'-1'-2'0,"1"0"0,-1 0 0,0 0 0,0 1 0,0-1 0,1 0 0,-2 1 0,1-1 0,0 1 0,0-1 0,0 1 0,-1-1 0,1 1 0,0 0 0,-1 0 0,0 0 0,1 0 0,-1 0 0,1 0 0,-1 0 0,0 0 0,-2 0 0,-42-14 0,21 10 0,0 1 0,-1 2 0,0 0 0,-36 4 0,50-2 0,0 1 0,0 1 0,0 0 0,0 1 0,0 0 0,1 1 0,-1 0 0,1 1 0,0 0 0,0 0 0,-13 11 0,21-15 0,1 1 0,0 0 0,0-1 0,0 1 0,0 0 0,0 0 0,0 0 0,0 1 0,1-1 0,-1 0 0,1 1 0,0-1 0,0 1 0,0-1 0,0 1 0,0 0 0,0-1 0,0 1 0,1 0 0,0-1 0,-1 1 0,1 0 0,0 0 0,0 0 0,1-1 0,-1 1 0,1 0 0,0 3 0,1-2 0,0 0 0,0 0 0,1-1 0,-1 1 0,1-1 0,0 1 0,0-1 0,0 0 0,1 0 0,-1 0 0,1-1 0,-1 1 0,1-1 0,0 0 0,0 0 0,0 0 0,4 1 0,157 68 0,-132-56-341,0-2 0,1-1-1,60 13 1,-71-20-6485</inkml:trace>
  <inkml:trace contextRef="#ctx0" brushRef="#br0" timeOffset="15205.58">1086 1494 24575,'0'3'0,"0"0"0,1 0 0,0 1 0,0-1 0,0 0 0,0 0 0,1 0 0,-1 0 0,1 0 0,-1 0 0,1-1 0,0 1 0,0 0 0,4 3 0,40 34 0,-34-30 0,126 96 0,252 147 0,15 15 0,-229-146 0,-146-101 0,401 278 0,-220-156 120,-171-119-491,2-1-1,0-3 1,64 22 0,-83-35-6455</inkml:trace>
  <inkml:trace contextRef="#ctx0" brushRef="#br0" timeOffset="17424.48">3705 2658 24575,'-2'119'0,"4"130"0,-2-244 0,1 0 0,-1 0 0,1 0 0,0 0 0,0 0 0,0 0 0,1 0 0,0 0 0,0 0 0,3 4 0,-3-13 0,0 0 0,-1-1 0,0 0 0,1 1 0,-2-1 0,1 0 0,0 0 0,-1-5 0,1-67 0,-1 41 0,5-50 0,-3 74 0,1-1 0,0 1 0,0-1 0,1 1 0,1 0 0,0 0 0,11-18 0,-11 23 0,-1-1 0,2 1 0,-1 1 0,1-1 0,0 1 0,0 0 0,1 0 0,-1 1 0,1 0 0,1 0 0,-1 1 0,1-1 0,-1 2 0,1-1 0,0 1 0,1 0 0,-1 1 0,14-3 0,45-11 0,1 3 0,1 3 0,0 3 0,0 3 0,90 6 0,-151-1 0,0-1 0,0 1 0,0 1 0,-1 0 0,1 0 0,0 0 0,-1 1 0,0 0 0,1 1 0,-1 0 0,-1 0 0,1 0 0,0 1 0,-1 0 0,0 0 0,0 0 0,-1 1 0,8 9 0,-6-5 0,-1 0 0,-1 1 0,0-1 0,0 1 0,-1 0 0,-1 0 0,1 1 0,-2-1 0,0 1 0,0-1 0,0 23 0,-1-2 0,-2 1 0,-8 62 0,6-82 0,0 1 0,-1-1 0,-1 0 0,0 0 0,-1 0 0,0-1 0,-1 0 0,0 0 0,-13 15 0,11-15 0,0-1 0,-1-1 0,0 1 0,-1-1 0,0-1 0,-1 0 0,0-1 0,0 0 0,-1-1 0,0 0 0,0-1 0,-1-1 0,0 0 0,0 0 0,0-2 0,0 0 0,0 0 0,-1-1 0,1-1 0,-17-1 0,-347-3 0,358 2 41,1-1 0,-34-7-1,-5-2-1527,37 9-5339</inkml:trace>
  <inkml:trace contextRef="#ctx0" brushRef="#br0" timeOffset="19502.75">4314 1547 24575,'19'-2'0,"0"0"0,0 0 0,-1-2 0,1-1 0,-1 0 0,0-1 0,0-1 0,33-17 0,7-10 0,62-47 0,-110 74 0,349-293 0,-181 142 0,156-116 0,-160 152-1365,-151 107-5461</inkml:trace>
  <inkml:trace contextRef="#ctx0" brushRef="#br0" timeOffset="20784.08">4367 1600 24575,'405'-13'0,"-51"0"0,-8 11 0,399 50 0,-312 8-1365,-404-53-5461</inkml:trace>
  <inkml:trace contextRef="#ctx0" brushRef="#br0" timeOffset="22096.67">6536 144 24575,'0'229'0,"-2"-300"0,0 35 0,1 0 0,3 0 0,6-46 0,-7 78 2,0 0 1,0 0-1,0 0 0,1 0 0,0 0 0,0 0 1,0 1-1,0-1 0,0 1 0,1-1 0,-1 1 1,1 0-1,0 0 0,0 0 0,0 0 0,1 0 1,-1 1-1,1-1 0,-1 1 0,5-2 0,5-1-51,1 0-1,-1 1 0,1 1 1,23-4-1,12-2-1113,-21 2-5663</inkml:trace>
  <inkml:trace contextRef="#ctx0" brushRef="#br0" timeOffset="22784.22">6430 276 24575,'4'0'0,"7"0"0,5 0 0,5 0 0,3 0 0,7 0 0,2 0 0,5 0 0,4 0 0,1 0 0,-4 0 0,-3-4 0,1-2 0,-6-4 0,-3-1 0,-16 7 0</inkml:trace>
  <inkml:trace contextRef="#ctx0" brushRef="#br0" timeOffset="23378.01">6563 514 24575,'4'0'0,"6"0"0,7 0 0,3 0 0,4 0 0,7 0 0,11 0 0,8 0 0,-1 0 0,-3 0 0,-6 0 0,-4 0 0,-9 0-8191</inkml:trace>
  <inkml:trace contextRef="#ctx0" brushRef="#br0" timeOffset="24612.47">7145 1388 24575,'3'0'0,"1"1"0,0 0 0,-1 0 0,1 0 0,-1 0 0,0 1 0,1-1 0,-1 1 0,0 0 0,0 0 0,0 0 0,0 1 0,0-1 0,0 1 0,-1-1 0,1 1 0,-1 0 0,0 0 0,0 0 0,0 0 0,2 4 0,2 4 0,0 1 0,-1-1 0,0 1 0,-1-1 0,3 15 0,-2 11 0,-1 0 0,-2 1 0,-5 71 0,3-101 0,-2-145 0,2-81 0,2 197 0,0 1 0,2 0 0,0 0 0,1 1 0,1-1 0,1 1 0,0 0 0,16-26 0,-17 36 0,1 0 0,0 1 0,0 0 0,1 1 0,0-1 0,0 1 0,0 1 0,1 0 0,16-9 0,11-2 0,48-18 0,-52 23 0,-6 1 0,0 2 0,1 1 0,0 1 0,0 1 0,0 1 0,1 1 0,35 1 0,-44 7-1365,-8 1-5461</inkml:trace>
  <inkml:trace contextRef="#ctx0" brushRef="#br0" timeOffset="25237.51">7224 1600 24575,'9'0'0,"7"0"0,6 0 0,12-5 0,1-5 0,3-2 0,0 2 0,2-3 0,-1-3 0,-2 2 0,-4-3 0,-2 3 0,-3 3 0,-5-1 0,-3 2 0,0 2 0,-3 3-8191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20T22:42:47.0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1218 24575,'0'-7'0,"1"0"0,0 0 0,0 0 0,1 0 0,0 0 0,0 1 0,1-1 0,0 1 0,0-1 0,0 1 0,1 0 0,0 0 0,6-7 0,8-8 0,1 1 0,23-19 0,-19 18 0,39-31 0,1 3 0,3 3 0,2 2 0,2 4 0,108-46 0,-145 69 0,-1-1 0,-1-1 0,45-36 0,75-79 0,-106 92 0,53-51-1365,-76 76-5461</inkml:trace>
  <inkml:trace contextRef="#ctx0" brushRef="#br0" timeOffset="1187.58">54 1298 24575,'46'0'0,"1"2"0,0 1 0,68 15 0,-33 0 0,702 141 0,-738-152-455,1-3 0,83-1 0,-105-4-6371</inkml:trace>
  <inkml:trace contextRef="#ctx0" brushRef="#br0" timeOffset="2890.82">2197 1 24575,'-37'0'0,"10"-1"0,1 1 0,0 2 0,0 0 0,-27 7 0,45-8 0,0 2 0,1-1 0,-1 1 0,1 1 0,0-1 0,0 1 0,0 1 0,0-1 0,1 1 0,0 0 0,0 0 0,0 1 0,0 0 0,1 0 0,0 0 0,1 1 0,-7 10 0,1 3 0,1 0 0,1 1 0,1 0 0,1 0 0,1 1 0,0 0 0,2 0 0,1 0 0,0 0 0,3 32 0,-1-50 0,1 0 0,0 0 0,0 0 0,0 0 0,0 0 0,0 0 0,1 0 0,0 0 0,0-1 0,0 1 0,0-1 0,1 1 0,-1-1 0,1 0 0,5 5 0,-2-3 0,0-1 0,0-1 0,0 1 0,0-1 0,0 0 0,1 0 0,-1-1 0,13 4 0,9-2 0,0 0 0,1-1 0,48-3 0,-48 0 0,34 2 0,-36 0 0,0-1 0,0-2 0,0 0 0,40-8 0,-63 7 0,1 1 0,-1 0 0,0-1 0,0 0 0,0 0 0,-1 0 0,1-1 0,0 1 0,-1-1 0,1 0 0,-1 0 0,0 0 0,0 0 0,0-1 0,0 1 0,-1-1 0,0 0 0,1 1 0,-1-1 0,-1 0 0,4-7 0,-5 8 0,1 0 0,-1 0 0,0 1 0,0-1 0,0 0 0,0 0 0,0 0 0,0 1 0,-1-1 0,1 0 0,-1 1 0,0-1 0,0 0 0,0 1 0,0-1 0,0 1 0,-1-1 0,1 1 0,-1 0 0,0-1 0,1 1 0,-1 0 0,0 0 0,0 0 0,0 1 0,-1-1 0,1 0 0,0 1 0,-1-1 0,1 1 0,-1 0 0,1 0 0,-1 0 0,1 0 0,-4 0 0,-16-4 0,0 1 0,0 1 0,0 1 0,-1 0 0,1 2 0,-38 5 0,-10-2 0,45-3-1365,2 1-5461</inkml:trace>
  <inkml:trace contextRef="#ctx0" brushRef="#br0" timeOffset="5344.11">2012 1192 24575,'2'1'0,"0"-1"0,0 0 0,0 1 0,0-1 0,1 1 0,-1 0 0,0-1 0,0 1 0,0 0 0,0 0 0,-1 1 0,1-1 0,0 0 0,0 1 0,-1-1 0,1 1 0,-1-1 0,1 1 0,-1 0 0,0-1 0,1 1 0,-1 0 0,0 0 0,0 0 0,0 0 0,-1 0 0,2 4 0,2 7 0,0 1 0,-1 0 0,1 19 0,-1-7 0,12 47 0,-7-40 0,-1 0 0,-2 0 0,1 55 0,-6-86 0,0 0 0,0 0 0,0-1 0,0 1 0,-1 0 0,1 0 0,0 0 0,-1 0 0,1 0 0,-1-1 0,0 1 0,0 0 0,1 0 0,-1-1 0,0 1 0,0-1 0,-1 1 0,-1 2 0,2-4 0,1 0 0,-1 1 0,0-1 0,0 0 0,1 0 0,-1 1 0,0-1 0,0 0 0,1 0 0,-1 0 0,0 0 0,0 0 0,0 0 0,1 0 0,-1 0 0,0-1 0,0 1 0,1 0 0,-1 0 0,0-1 0,0 1 0,1 0 0,-1-1 0,0 1 0,1-1 0,-1 1 0,1-1 0,-1 1 0,0-1 0,0-1 0,-1 1 0,1-1 0,0 1 0,-1-1 0,1 0 0,0 0 0,0 1 0,0-1 0,1 0 0,-1 0 0,0 0 0,1 0 0,-1 0 0,1 0 0,0 0 0,0 0 0,-1 0 0,1 0 0,1 0 0,-1 0 0,0 0 0,0 0 0,1 0 0,-1 0 0,1 0 0,0 0 0,-1 0 0,1 0 0,0 0 0,0 1 0,0-1 0,3-3 0,0 1 0,1-1 0,0 0 0,0 1 0,1 0 0,-1 0 0,1 1 0,0 0 0,0 0 0,0 0 0,0 1 0,1-1 0,-1 1 0,12-1 0,10-1 0,0 1 0,30 1 0,13-2 0,-57 3 0,1-1 0,-1 0 0,0-1 0,-1-1 0,28-11 0,-38 13 0,1 0 0,0 0 0,0-1 0,-1 1 0,0-1 0,1 0 0,-1 0 0,0-1 0,-1 1 0,1 0 0,0-1 0,-1 0 0,0 0 0,0 1 0,0-1 0,0 0 0,-1-1 0,1 1 0,-1 0 0,0 0 0,-1-1 0,1 1 0,0-8 0,-1 0 0,0-1 0,-1 1 0,0-1 0,-1 1 0,0-1 0,-1 1 0,-1 0 0,0 0 0,0 0 0,-1 1 0,0 0 0,-12-18 0,17 29 0,0 0 0,0 0 0,0 0 0,0 0 0,0 1 0,0-1 0,-1 0 0,1 0 0,0 0 0,0 1 0,0-1 0,0 0 0,0 0 0,0 0 0,0 0 0,0 0 0,0 1 0,0-1 0,-1 0 0,1 0 0,0 0 0,0 0 0,0 0 0,0 0 0,0 1 0,-1-1 0,1 0 0,0 0 0,0 0 0,0 0 0,0 0 0,-1 0 0,1 0 0,0 0 0,0 0 0,0 0 0,-1 0 0,1 0 0,0 0 0,0 0 0,0 0 0,0 0 0,-1 0 0,1 0 0,0 0 0,0 0 0,0 0 0,0 0 0,-1 0 0,1-1 0,0 1 0,0 0 0,0 0 0,0 0 0,0 0 0,-1 0 0,1 0 0,0 0 0,0-1 0,0 1 0,0 0 0,0 0 0,0 0 0,0 0 0,0-1 0,-1 1 0,-3 28 0,1 34 0,6 14 0,18 118 0,-16-107 111,1 5-1587,0-67-5350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6"/>
  <sheetViews>
    <sheetView workbookViewId="0">
      <selection activeCell="AA17" sqref="AA17"/>
    </sheetView>
  </sheetViews>
  <sheetFormatPr baseColWidth="10" defaultColWidth="9.140625" defaultRowHeight="15" x14ac:dyDescent="0.25"/>
  <cols>
    <col min="7" max="7" width="10.85546875" style="1" customWidth="1"/>
    <col min="8" max="8" width="9.140625" style="1"/>
    <col min="9" max="9" width="9" style="1" customWidth="1"/>
    <col min="10" max="10" width="6.28515625" style="1" customWidth="1"/>
    <col min="11" max="11" width="5" style="1" bestFit="1" customWidth="1"/>
    <col min="12" max="12" width="4.5703125" style="1" bestFit="1" customWidth="1"/>
    <col min="13" max="14" width="9.140625" style="1"/>
    <col min="15" max="15" width="9.42578125" style="1" customWidth="1"/>
    <col min="16" max="16" width="4.140625" style="1" bestFit="1" customWidth="1"/>
    <col min="17" max="17" width="5" style="1" bestFit="1" customWidth="1"/>
    <col min="18" max="18" width="4.5703125" style="1" bestFit="1" customWidth="1"/>
    <col min="19" max="21" width="9.140625" style="1"/>
    <col min="22" max="22" width="4.140625" style="1" bestFit="1" customWidth="1"/>
    <col min="23" max="23" width="5" style="1" bestFit="1" customWidth="1"/>
    <col min="24" max="24" width="4.5703125" bestFit="1" customWidth="1"/>
  </cols>
  <sheetData>
    <row r="1" spans="1:26" x14ac:dyDescent="0.25">
      <c r="A1" t="s">
        <v>0</v>
      </c>
    </row>
    <row r="3" spans="1:26" x14ac:dyDescent="0.25">
      <c r="A3" t="s">
        <v>1</v>
      </c>
      <c r="B3">
        <v>0.82</v>
      </c>
    </row>
    <row r="4" spans="1:26" x14ac:dyDescent="0.25">
      <c r="A4" t="s">
        <v>2</v>
      </c>
      <c r="B4">
        <v>0.98</v>
      </c>
      <c r="E4" s="2"/>
      <c r="F4" s="2"/>
      <c r="G4" s="2"/>
      <c r="H4" s="2"/>
      <c r="I4" s="2" t="s">
        <v>3</v>
      </c>
      <c r="J4" s="2" t="s">
        <v>4</v>
      </c>
      <c r="K4" s="2"/>
      <c r="L4" s="2"/>
      <c r="M4" s="2"/>
      <c r="N4" s="2"/>
      <c r="O4" s="2" t="s">
        <v>5</v>
      </c>
      <c r="P4" s="2" t="s">
        <v>4</v>
      </c>
      <c r="Q4" s="2"/>
      <c r="R4" s="2"/>
      <c r="S4" s="2"/>
      <c r="T4" s="2"/>
      <c r="U4" s="2" t="s">
        <v>6</v>
      </c>
      <c r="V4" s="2" t="s">
        <v>4</v>
      </c>
      <c r="W4" s="2"/>
      <c r="X4" s="2"/>
      <c r="Y4" s="2"/>
      <c r="Z4" s="2"/>
    </row>
    <row r="5" spans="1:26" x14ac:dyDescent="0.25">
      <c r="A5" t="s">
        <v>7</v>
      </c>
      <c r="B5">
        <v>1.05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/>
      <c r="K5" s="2" t="s">
        <v>13</v>
      </c>
      <c r="L5" s="2" t="s">
        <v>14</v>
      </c>
      <c r="M5" s="2" t="s">
        <v>14</v>
      </c>
      <c r="N5" s="2" t="s">
        <v>11</v>
      </c>
      <c r="O5" s="2" t="s">
        <v>12</v>
      </c>
      <c r="P5" s="2"/>
      <c r="Q5" s="2" t="s">
        <v>13</v>
      </c>
      <c r="R5" s="2" t="s">
        <v>14</v>
      </c>
      <c r="S5" s="2" t="s">
        <v>14</v>
      </c>
      <c r="T5" s="2" t="s">
        <v>11</v>
      </c>
      <c r="U5" s="2" t="s">
        <v>12</v>
      </c>
      <c r="V5" s="2"/>
      <c r="W5" s="2" t="s">
        <v>13</v>
      </c>
      <c r="X5" s="2" t="s">
        <v>14</v>
      </c>
      <c r="Y5" s="2" t="s">
        <v>14</v>
      </c>
      <c r="Z5" s="2" t="s">
        <v>15</v>
      </c>
    </row>
    <row r="6" spans="1:26" x14ac:dyDescent="0.25">
      <c r="A6" t="s">
        <v>16</v>
      </c>
      <c r="B6">
        <v>1.19</v>
      </c>
      <c r="E6" s="2" t="s">
        <v>17</v>
      </c>
      <c r="F6" s="2">
        <v>1</v>
      </c>
      <c r="G6" s="3"/>
      <c r="H6" s="3"/>
      <c r="I6" s="13" t="s">
        <v>18</v>
      </c>
      <c r="J6" s="13">
        <v>2</v>
      </c>
      <c r="K6" s="13">
        <v>12.3</v>
      </c>
      <c r="L6" s="13">
        <f>+((F6*K6*120)/B3)/(60*5)/J6</f>
        <v>3</v>
      </c>
      <c r="M6" s="13">
        <f>+CEILING(L6,1)</f>
        <v>3</v>
      </c>
      <c r="N6" s="3"/>
      <c r="O6" s="16" t="s">
        <v>19</v>
      </c>
      <c r="P6" s="16">
        <v>3</v>
      </c>
      <c r="Q6" s="16">
        <v>26.7</v>
      </c>
      <c r="R6" s="23">
        <f>+((120*Q6*F6)/B6)/(5*60)/P6</f>
        <v>2.9915966386554622</v>
      </c>
      <c r="S6" s="24">
        <f>+CEILING(R6,1)</f>
        <v>3</v>
      </c>
      <c r="T6" s="3"/>
      <c r="U6" s="15" t="s">
        <v>20</v>
      </c>
      <c r="V6" s="15">
        <v>2</v>
      </c>
      <c r="W6" s="15">
        <v>15.7</v>
      </c>
      <c r="X6" s="19">
        <f>+((120*F6*W6)/(B5)/(5*60)/V6)</f>
        <v>2.9904761904761905</v>
      </c>
      <c r="Y6" s="20">
        <f>+CEILING(X6,1)</f>
        <v>3</v>
      </c>
      <c r="Z6" s="7">
        <f>+H6+M6+N6+S6+T6+Y6</f>
        <v>9</v>
      </c>
    </row>
    <row r="7" spans="1:26" x14ac:dyDescent="0.25">
      <c r="E7" s="2" t="s">
        <v>21</v>
      </c>
      <c r="F7" s="2">
        <v>2</v>
      </c>
      <c r="G7" s="2" t="s">
        <v>17</v>
      </c>
      <c r="H7" s="2">
        <v>3</v>
      </c>
      <c r="I7" s="10" t="s">
        <v>22</v>
      </c>
      <c r="J7" s="14">
        <v>1</v>
      </c>
      <c r="K7" s="14">
        <v>1.2</v>
      </c>
      <c r="L7" s="17">
        <f>+((F7*K7*120)/B4)/(60*5)/J7</f>
        <v>0.97959183673469397</v>
      </c>
      <c r="M7" s="18">
        <f>+CEILING(L7,1)</f>
        <v>1</v>
      </c>
      <c r="N7" s="3"/>
      <c r="O7" s="13" t="s">
        <v>18</v>
      </c>
      <c r="P7" s="13">
        <v>2</v>
      </c>
      <c r="Q7" s="13">
        <v>4.0999999999999996</v>
      </c>
      <c r="R7" s="21">
        <f>+((120*Q7*F7)/B3)/(5*60)/P7</f>
        <v>2</v>
      </c>
      <c r="S7" s="22">
        <f t="shared" ref="S7:S12" si="0">+CEILING(R7,1)</f>
        <v>2</v>
      </c>
      <c r="T7" s="2">
        <v>4</v>
      </c>
      <c r="U7" s="16" t="s">
        <v>19</v>
      </c>
      <c r="V7" s="16">
        <v>3</v>
      </c>
      <c r="W7" s="16">
        <v>4.4000000000000004</v>
      </c>
      <c r="X7" s="23">
        <f>+((120*F7*W7)/(B6)/(5*60)/V7)</f>
        <v>0.98599439775910369</v>
      </c>
      <c r="Y7" s="24">
        <f t="shared" ref="Y7:Y12" si="1">+CEILING(X7,1)</f>
        <v>1</v>
      </c>
      <c r="Z7" s="7">
        <f>+H7+M7+N7+S7+T7+Y7</f>
        <v>11</v>
      </c>
    </row>
    <row r="8" spans="1:26" x14ac:dyDescent="0.25">
      <c r="A8" t="s">
        <v>23</v>
      </c>
      <c r="E8" s="2" t="s">
        <v>24</v>
      </c>
      <c r="F8" s="2">
        <v>1</v>
      </c>
      <c r="G8" s="2" t="s">
        <v>17</v>
      </c>
      <c r="H8" s="3"/>
      <c r="I8" s="15" t="s">
        <v>20</v>
      </c>
      <c r="J8" s="15">
        <v>2</v>
      </c>
      <c r="K8" s="15">
        <v>5.2</v>
      </c>
      <c r="L8" s="19">
        <f>+((F8*K8*120)/B5)/(60*5)/J8</f>
        <v>0.9904761904761904</v>
      </c>
      <c r="M8" s="20">
        <f t="shared" ref="M7:M12" si="2">+CEILING(L8,1)</f>
        <v>1</v>
      </c>
      <c r="N8" s="3"/>
      <c r="O8" s="14" t="s">
        <v>22</v>
      </c>
      <c r="P8" s="14">
        <v>1</v>
      </c>
      <c r="Q8" s="14">
        <v>2.4</v>
      </c>
      <c r="R8" s="17">
        <f>+((120*Q8*F8)/B4)/(5*60)/P8</f>
        <v>0.97959183673469397</v>
      </c>
      <c r="S8" s="18">
        <f t="shared" si="0"/>
        <v>1</v>
      </c>
      <c r="T8" s="3"/>
      <c r="U8" s="13" t="s">
        <v>18</v>
      </c>
      <c r="V8" s="2">
        <v>2</v>
      </c>
      <c r="W8" s="2">
        <v>12.3</v>
      </c>
      <c r="X8" s="8">
        <f>+((120*F8*W8)/(B3)/(5*60)/V8)</f>
        <v>3</v>
      </c>
      <c r="Y8" s="22">
        <f t="shared" si="1"/>
        <v>3</v>
      </c>
      <c r="Z8" s="7">
        <f t="shared" ref="Z7:Z12" si="3">+H8+M8+N8+S8+T8+Y8</f>
        <v>5</v>
      </c>
    </row>
    <row r="9" spans="1:26" x14ac:dyDescent="0.25">
      <c r="E9" s="2" t="s">
        <v>25</v>
      </c>
      <c r="F9" s="2">
        <v>3</v>
      </c>
      <c r="G9" s="2" t="s">
        <v>17</v>
      </c>
      <c r="H9" s="2">
        <v>2</v>
      </c>
      <c r="I9" s="16" t="s">
        <v>19</v>
      </c>
      <c r="J9" s="16">
        <v>3</v>
      </c>
      <c r="K9" s="16">
        <v>5.9</v>
      </c>
      <c r="L9" s="23">
        <f>+((F9*K9*120)/B6)/(60*5)/J9</f>
        <v>1.9831932773109251</v>
      </c>
      <c r="M9" s="24">
        <f t="shared" si="2"/>
        <v>2</v>
      </c>
      <c r="N9" s="3"/>
      <c r="O9" s="15" t="s">
        <v>20</v>
      </c>
      <c r="P9" s="15">
        <v>2</v>
      </c>
      <c r="Q9" s="15">
        <v>1.7</v>
      </c>
      <c r="R9" s="19">
        <f>+((120*Q9*F9)/B5)/(5*60)/P9</f>
        <v>0.97142857142857131</v>
      </c>
      <c r="S9" s="20">
        <f t="shared" si="0"/>
        <v>1</v>
      </c>
      <c r="T9" s="2">
        <v>3</v>
      </c>
      <c r="U9" s="14" t="s">
        <v>22</v>
      </c>
      <c r="V9" s="14">
        <v>1</v>
      </c>
      <c r="W9" s="14">
        <v>0.8</v>
      </c>
      <c r="X9" s="17">
        <f>+((120*F9*W9)/(B4)/(5*60)/V9)</f>
        <v>0.97959183673469397</v>
      </c>
      <c r="Y9" s="18">
        <f t="shared" si="1"/>
        <v>1</v>
      </c>
      <c r="Z9" s="7">
        <f t="shared" si="3"/>
        <v>9</v>
      </c>
    </row>
    <row r="10" spans="1:26" x14ac:dyDescent="0.25">
      <c r="A10" t="s">
        <v>18</v>
      </c>
      <c r="B10">
        <v>2</v>
      </c>
      <c r="E10" s="2" t="s">
        <v>26</v>
      </c>
      <c r="F10" s="2">
        <v>4</v>
      </c>
      <c r="G10" s="2" t="s">
        <v>24</v>
      </c>
      <c r="H10" s="2">
        <v>4</v>
      </c>
      <c r="I10" s="13" t="s">
        <v>18</v>
      </c>
      <c r="J10" s="13">
        <v>2</v>
      </c>
      <c r="K10" s="13">
        <v>2</v>
      </c>
      <c r="L10" s="21">
        <f>+((F10*K10*120)/B3)/(60*5)/J10</f>
        <v>1.9512195121951219</v>
      </c>
      <c r="M10" s="22">
        <f t="shared" si="2"/>
        <v>2</v>
      </c>
      <c r="N10" s="2">
        <v>3</v>
      </c>
      <c r="O10" s="16" t="s">
        <v>19</v>
      </c>
      <c r="P10" s="16">
        <v>3</v>
      </c>
      <c r="Q10" s="16">
        <v>4.4000000000000004</v>
      </c>
      <c r="R10" s="23">
        <f>+((120*Q10*F10)/B6)/(5*60)/P10</f>
        <v>1.9719887955182074</v>
      </c>
      <c r="S10" s="24">
        <f t="shared" si="0"/>
        <v>2</v>
      </c>
      <c r="T10" s="3"/>
      <c r="U10" s="15" t="s">
        <v>20</v>
      </c>
      <c r="V10" s="15">
        <v>2</v>
      </c>
      <c r="W10" s="15">
        <v>1.3</v>
      </c>
      <c r="X10" s="19">
        <f>+((120*F10*W10)/(B5)/(5*60)/V10)</f>
        <v>0.9904761904761904</v>
      </c>
      <c r="Y10" s="20">
        <f t="shared" si="1"/>
        <v>1</v>
      </c>
      <c r="Z10" s="7">
        <f t="shared" si="3"/>
        <v>12</v>
      </c>
    </row>
    <row r="11" spans="1:26" x14ac:dyDescent="0.25">
      <c r="A11" t="s">
        <v>22</v>
      </c>
      <c r="B11">
        <v>1</v>
      </c>
      <c r="E11" s="2" t="s">
        <v>27</v>
      </c>
      <c r="F11" s="2">
        <v>1</v>
      </c>
      <c r="G11" s="2" t="s">
        <v>24</v>
      </c>
      <c r="H11" s="2">
        <v>5</v>
      </c>
      <c r="I11" s="13" t="s">
        <v>18</v>
      </c>
      <c r="J11" s="13">
        <v>2</v>
      </c>
      <c r="K11" s="13">
        <v>4.0999999999999996</v>
      </c>
      <c r="L11" s="21">
        <f>+((F11*K11*120)/B3)/(60*5)/J11</f>
        <v>1</v>
      </c>
      <c r="M11" s="22">
        <f t="shared" si="2"/>
        <v>1</v>
      </c>
      <c r="N11" s="2">
        <v>2</v>
      </c>
      <c r="O11" s="13" t="s">
        <v>18</v>
      </c>
      <c r="P11" s="13">
        <v>2</v>
      </c>
      <c r="Q11" s="13">
        <v>1.1000000000000001</v>
      </c>
      <c r="R11" s="21">
        <f>+((120*Q11*F11)/B3)/(5*60)/P11</f>
        <v>0.26829268292682928</v>
      </c>
      <c r="S11" s="22">
        <f t="shared" si="0"/>
        <v>1</v>
      </c>
      <c r="T11" s="3"/>
      <c r="U11" s="16" t="s">
        <v>19</v>
      </c>
      <c r="V11" s="16">
        <v>3</v>
      </c>
      <c r="W11" s="16">
        <v>17.8</v>
      </c>
      <c r="X11" s="23">
        <f>+((120*F11*W11)/(B6)/(5*60)/V11)</f>
        <v>1.9943977591036415</v>
      </c>
      <c r="Y11" s="24">
        <f t="shared" si="1"/>
        <v>2</v>
      </c>
      <c r="Z11" s="7">
        <f t="shared" si="3"/>
        <v>11</v>
      </c>
    </row>
    <row r="12" spans="1:26" x14ac:dyDescent="0.25">
      <c r="A12" t="s">
        <v>20</v>
      </c>
      <c r="B12">
        <v>2</v>
      </c>
      <c r="E12" s="2" t="s">
        <v>28</v>
      </c>
      <c r="F12" s="2">
        <v>2</v>
      </c>
      <c r="G12" s="2" t="s">
        <v>24</v>
      </c>
      <c r="H12" s="2">
        <v>3</v>
      </c>
      <c r="I12" s="15" t="s">
        <v>20</v>
      </c>
      <c r="J12" s="15">
        <v>2</v>
      </c>
      <c r="K12" s="15">
        <v>2.6</v>
      </c>
      <c r="L12" s="19">
        <f>+((F12*K12*120)/B5)/(60*5)/J12</f>
        <v>0.9904761904761904</v>
      </c>
      <c r="M12" s="20">
        <f t="shared" si="2"/>
        <v>1</v>
      </c>
      <c r="N12" s="3"/>
      <c r="O12" s="14" t="s">
        <v>22</v>
      </c>
      <c r="P12" s="14">
        <v>1</v>
      </c>
      <c r="Q12" s="14">
        <v>3.6</v>
      </c>
      <c r="R12" s="17">
        <f>+((120*Q12*F12)/B4)/(5*60)/P12</f>
        <v>2.9387755102040813</v>
      </c>
      <c r="S12" s="18">
        <f t="shared" si="0"/>
        <v>3</v>
      </c>
      <c r="T12" s="2">
        <v>2</v>
      </c>
      <c r="U12" s="13" t="s">
        <v>18</v>
      </c>
      <c r="V12" s="2">
        <v>2</v>
      </c>
      <c r="W12" s="2">
        <v>4.0999999999999996</v>
      </c>
      <c r="X12" s="8">
        <f>+((120*F12*W12)/(B3)/(5*60)/V12)</f>
        <v>2</v>
      </c>
      <c r="Y12" s="22">
        <f t="shared" si="1"/>
        <v>2</v>
      </c>
      <c r="Z12" s="7">
        <f t="shared" si="3"/>
        <v>11</v>
      </c>
    </row>
    <row r="13" spans="1:26" x14ac:dyDescent="0.25">
      <c r="A13" t="s">
        <v>19</v>
      </c>
      <c r="B13">
        <v>3</v>
      </c>
      <c r="Z13" s="5">
        <f>SUM(Z6:Z12)</f>
        <v>68</v>
      </c>
    </row>
    <row r="16" spans="1:26" x14ac:dyDescent="0.25">
      <c r="A16" t="s">
        <v>29</v>
      </c>
      <c r="E16" s="9" t="s">
        <v>18</v>
      </c>
      <c r="F16" s="10" t="s">
        <v>22</v>
      </c>
      <c r="G16" s="11" t="s">
        <v>20</v>
      </c>
      <c r="H16" s="12" t="s">
        <v>19</v>
      </c>
    </row>
    <row r="17" spans="1:31" x14ac:dyDescent="0.25">
      <c r="A17" t="s">
        <v>30</v>
      </c>
    </row>
    <row r="18" spans="1:31" x14ac:dyDescent="0.25">
      <c r="A18" t="s">
        <v>31</v>
      </c>
    </row>
    <row r="19" spans="1:31" x14ac:dyDescent="0.25">
      <c r="A19" t="s">
        <v>32</v>
      </c>
    </row>
    <row r="22" spans="1:31" x14ac:dyDescent="0.25">
      <c r="A22" t="s">
        <v>33</v>
      </c>
      <c r="E22">
        <v>26</v>
      </c>
    </row>
    <row r="23" spans="1:31" x14ac:dyDescent="0.25">
      <c r="A23" t="s">
        <v>34</v>
      </c>
      <c r="E23">
        <v>28</v>
      </c>
    </row>
    <row r="28" spans="1:31" x14ac:dyDescent="0.25">
      <c r="A28" s="6" t="s">
        <v>35</v>
      </c>
      <c r="B28" s="6">
        <v>30</v>
      </c>
      <c r="C28" s="6">
        <v>29</v>
      </c>
      <c r="D28" s="6">
        <v>28</v>
      </c>
      <c r="E28" s="6">
        <v>27</v>
      </c>
      <c r="F28" s="6">
        <v>26</v>
      </c>
      <c r="G28" s="6">
        <v>25</v>
      </c>
      <c r="H28" s="6">
        <v>24</v>
      </c>
      <c r="I28" s="6">
        <v>23</v>
      </c>
      <c r="J28" s="6">
        <v>22</v>
      </c>
      <c r="K28" s="6">
        <v>21</v>
      </c>
      <c r="L28" s="6">
        <v>20</v>
      </c>
      <c r="M28" s="6">
        <v>19</v>
      </c>
      <c r="N28" s="6">
        <v>18</v>
      </c>
      <c r="O28" s="6">
        <v>17</v>
      </c>
      <c r="P28" s="6">
        <v>16</v>
      </c>
      <c r="Q28" s="6">
        <v>15</v>
      </c>
      <c r="R28" s="6">
        <v>14</v>
      </c>
      <c r="S28" s="6">
        <v>13</v>
      </c>
      <c r="T28" s="6">
        <v>12</v>
      </c>
      <c r="U28" s="6">
        <v>11</v>
      </c>
      <c r="V28" s="6">
        <v>10</v>
      </c>
      <c r="W28" s="25">
        <v>9</v>
      </c>
      <c r="X28" s="25">
        <v>8</v>
      </c>
      <c r="Y28" s="25">
        <v>7</v>
      </c>
      <c r="Z28" s="25">
        <v>6</v>
      </c>
      <c r="AA28" s="25">
        <v>5</v>
      </c>
      <c r="AB28" s="25">
        <v>4</v>
      </c>
      <c r="AC28" s="25">
        <v>3</v>
      </c>
      <c r="AD28" s="25">
        <v>2</v>
      </c>
      <c r="AE28" s="25">
        <v>1</v>
      </c>
    </row>
    <row r="29" spans="1:31" x14ac:dyDescent="0.25">
      <c r="A29" s="2" t="s">
        <v>17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 s="35"/>
      <c r="X29" s="29"/>
      <c r="Y29" s="29"/>
      <c r="Z29" s="36"/>
      <c r="AA29" s="36"/>
      <c r="AB29" s="36"/>
      <c r="AC29" s="37"/>
      <c r="AD29" s="37"/>
      <c r="AE29" s="38"/>
    </row>
    <row r="30" spans="1:31" x14ac:dyDescent="0.25">
      <c r="A30" s="2" t="s">
        <v>21</v>
      </c>
      <c r="G30"/>
      <c r="H30"/>
      <c r="I30" s="26"/>
      <c r="J30" s="27"/>
      <c r="K30" s="27"/>
      <c r="L30" s="27"/>
      <c r="M30" s="27"/>
      <c r="N30" s="27"/>
      <c r="O30" s="27"/>
      <c r="P30" s="27"/>
      <c r="Q30" s="27"/>
      <c r="R30" s="31"/>
      <c r="S30" s="32"/>
      <c r="T30" s="33"/>
      <c r="U30" s="33"/>
      <c r="V30" s="34"/>
      <c r="W30"/>
    </row>
    <row r="31" spans="1:31" x14ac:dyDescent="0.25">
      <c r="A31" s="2" t="s">
        <v>24</v>
      </c>
      <c r="G31"/>
      <c r="H31"/>
      <c r="I31"/>
      <c r="J31"/>
      <c r="K31"/>
      <c r="L31"/>
      <c r="M31"/>
      <c r="N31"/>
      <c r="O31"/>
      <c r="P31"/>
      <c r="Q31"/>
      <c r="R31" s="39"/>
      <c r="S31" s="28"/>
      <c r="T31" s="29"/>
      <c r="U31" s="29"/>
      <c r="V31" s="40"/>
      <c r="W31"/>
    </row>
    <row r="32" spans="1:31" x14ac:dyDescent="0.25">
      <c r="A32" s="2" t="s">
        <v>25</v>
      </c>
      <c r="G32"/>
      <c r="H32"/>
      <c r="I32"/>
      <c r="J32"/>
      <c r="K32"/>
      <c r="L32"/>
      <c r="M32"/>
      <c r="N32" s="26"/>
      <c r="O32" s="27"/>
      <c r="P32" s="27"/>
      <c r="Q32" s="27"/>
      <c r="R32" s="27"/>
      <c r="S32" s="36"/>
      <c r="T32" s="36"/>
      <c r="U32" s="37"/>
      <c r="V32" s="41"/>
      <c r="W32"/>
    </row>
    <row r="33" spans="1:31" x14ac:dyDescent="0.25">
      <c r="A33" s="2" t="s">
        <v>26</v>
      </c>
      <c r="F33" s="26"/>
      <c r="G33" s="27"/>
      <c r="H33" s="27"/>
      <c r="I33" s="27"/>
      <c r="J33" s="27"/>
      <c r="K33" s="27"/>
      <c r="L33" s="27"/>
      <c r="M33" s="29"/>
      <c r="N33" s="29"/>
      <c r="O33" s="36"/>
      <c r="P33" s="36"/>
      <c r="Q33" s="38"/>
      <c r="R33"/>
      <c r="S33"/>
      <c r="T33"/>
      <c r="U33"/>
      <c r="V33"/>
      <c r="W33"/>
    </row>
    <row r="34" spans="1:31" x14ac:dyDescent="0.25">
      <c r="A34" s="2" t="s">
        <v>27</v>
      </c>
      <c r="G34" s="26"/>
      <c r="H34" s="27"/>
      <c r="I34" s="27"/>
      <c r="J34" s="27"/>
      <c r="K34" s="27"/>
      <c r="L34" s="27"/>
      <c r="M34" s="27"/>
      <c r="N34" s="29"/>
      <c r="O34" s="29"/>
      <c r="P34" s="36"/>
      <c r="Q34" s="30"/>
      <c r="R34"/>
      <c r="S34"/>
      <c r="T34"/>
      <c r="U34"/>
      <c r="V34"/>
      <c r="W34"/>
    </row>
    <row r="35" spans="1:31" x14ac:dyDescent="0.25">
      <c r="A35" s="2" t="s">
        <v>28</v>
      </c>
      <c r="G35" s="26"/>
      <c r="H35" s="27"/>
      <c r="I35" s="27"/>
      <c r="J35" s="27"/>
      <c r="K35" s="27"/>
      <c r="L35" s="37"/>
      <c r="M35" s="28"/>
      <c r="N35" s="28"/>
      <c r="O35" s="28"/>
      <c r="P35" s="29"/>
      <c r="Q35" s="40"/>
      <c r="R35"/>
      <c r="S35"/>
      <c r="T35"/>
      <c r="U35"/>
      <c r="V35"/>
      <c r="W35"/>
    </row>
    <row r="36" spans="1:31" x14ac:dyDescent="0.25"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31" x14ac:dyDescent="0.25">
      <c r="A37" s="1" t="s">
        <v>36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31" x14ac:dyDescent="0.25"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31" x14ac:dyDescent="0.25">
      <c r="A39" s="6" t="s">
        <v>35</v>
      </c>
      <c r="B39" s="6">
        <v>30</v>
      </c>
      <c r="C39" s="6">
        <v>29</v>
      </c>
      <c r="D39" s="6">
        <v>28</v>
      </c>
      <c r="E39" s="6">
        <v>27</v>
      </c>
      <c r="F39" s="6">
        <v>26</v>
      </c>
      <c r="G39" s="6">
        <v>25</v>
      </c>
      <c r="H39" s="6">
        <v>24</v>
      </c>
      <c r="I39" s="6">
        <v>23</v>
      </c>
      <c r="J39" s="6">
        <v>22</v>
      </c>
      <c r="K39" s="6">
        <v>21</v>
      </c>
      <c r="L39" s="6">
        <v>20</v>
      </c>
      <c r="M39" s="6">
        <v>19</v>
      </c>
      <c r="N39" s="6">
        <v>18</v>
      </c>
      <c r="O39" s="6">
        <v>17</v>
      </c>
      <c r="P39" s="6">
        <v>16</v>
      </c>
      <c r="Q39" s="6">
        <v>15</v>
      </c>
      <c r="R39" s="6">
        <v>14</v>
      </c>
      <c r="S39" s="6">
        <v>13</v>
      </c>
      <c r="T39" s="6">
        <v>12</v>
      </c>
      <c r="U39" s="6">
        <v>11</v>
      </c>
      <c r="V39" s="6">
        <v>10</v>
      </c>
      <c r="W39" s="25">
        <v>9</v>
      </c>
      <c r="X39" s="25">
        <v>8</v>
      </c>
      <c r="Y39" s="25">
        <v>7</v>
      </c>
      <c r="Z39" s="25">
        <v>6</v>
      </c>
      <c r="AA39" s="25">
        <v>5</v>
      </c>
      <c r="AB39" s="25">
        <v>4</v>
      </c>
      <c r="AC39" s="25">
        <v>3</v>
      </c>
      <c r="AD39" s="25">
        <v>2</v>
      </c>
      <c r="AE39" s="25">
        <v>1</v>
      </c>
    </row>
    <row r="40" spans="1:31" x14ac:dyDescent="0.25">
      <c r="A40" s="2" t="s">
        <v>17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 s="35"/>
      <c r="X40" s="29"/>
      <c r="Y40" s="29"/>
      <c r="Z40" s="36"/>
      <c r="AA40" s="36"/>
      <c r="AB40" s="36"/>
      <c r="AC40" s="37"/>
      <c r="AD40" s="37"/>
      <c r="AE40" s="38"/>
    </row>
    <row r="41" spans="1:31" x14ac:dyDescent="0.25">
      <c r="A41" s="2" t="s">
        <v>21</v>
      </c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8"/>
      <c r="R41" s="29"/>
      <c r="S41" s="29"/>
      <c r="T41" s="30"/>
      <c r="U41"/>
      <c r="V41"/>
      <c r="W41"/>
    </row>
    <row r="42" spans="1:31" x14ac:dyDescent="0.25">
      <c r="A42" s="2" t="s">
        <v>24</v>
      </c>
      <c r="G42"/>
      <c r="H42"/>
      <c r="I42"/>
      <c r="J42"/>
      <c r="K42"/>
      <c r="L42"/>
      <c r="M42"/>
      <c r="N42"/>
      <c r="O42"/>
      <c r="P42"/>
      <c r="Q42"/>
      <c r="R42" s="42"/>
      <c r="S42" s="43"/>
      <c r="T42" s="29"/>
      <c r="U42" s="29"/>
      <c r="V42" s="40"/>
      <c r="W42"/>
    </row>
    <row r="43" spans="1:31" x14ac:dyDescent="0.25">
      <c r="A43" s="2" t="s">
        <v>25</v>
      </c>
      <c r="D43" s="26"/>
      <c r="E43" s="27"/>
      <c r="F43" s="27"/>
      <c r="G43" s="27"/>
      <c r="H43" s="27"/>
      <c r="I43" s="36"/>
      <c r="J43" s="36"/>
      <c r="K43" s="37"/>
      <c r="L43" s="41"/>
      <c r="M43"/>
      <c r="N43"/>
      <c r="O43"/>
      <c r="P43"/>
      <c r="Q43"/>
      <c r="R43"/>
      <c r="S43"/>
      <c r="T43"/>
      <c r="U43"/>
      <c r="V43"/>
      <c r="W43"/>
    </row>
    <row r="44" spans="1:31" x14ac:dyDescent="0.25">
      <c r="A44" s="2" t="s">
        <v>26</v>
      </c>
      <c r="E44" s="26"/>
      <c r="F44" s="27"/>
      <c r="G44" s="27"/>
      <c r="H44" s="27"/>
      <c r="I44" s="27"/>
      <c r="J44" s="27"/>
      <c r="K44" s="27"/>
      <c r="L44" s="29"/>
      <c r="M44" s="29"/>
      <c r="N44" s="36"/>
      <c r="O44" s="36"/>
      <c r="P44" s="38"/>
      <c r="Q44"/>
      <c r="R44"/>
      <c r="S44"/>
      <c r="T44"/>
      <c r="U44"/>
      <c r="V44"/>
      <c r="W44"/>
    </row>
    <row r="45" spans="1:31" x14ac:dyDescent="0.25">
      <c r="A45" s="2" t="s">
        <v>27</v>
      </c>
      <c r="G45" s="26"/>
      <c r="H45" s="27"/>
      <c r="I45" s="27"/>
      <c r="J45" s="27"/>
      <c r="K45" s="27"/>
      <c r="L45" s="27"/>
      <c r="M45" s="27"/>
      <c r="N45" s="29"/>
      <c r="O45" s="29"/>
      <c r="P45" s="36"/>
      <c r="Q45" s="30"/>
      <c r="R45"/>
      <c r="S45"/>
      <c r="T45"/>
      <c r="U45"/>
      <c r="V45"/>
      <c r="W45"/>
    </row>
    <row r="46" spans="1:31" x14ac:dyDescent="0.25">
      <c r="A46" s="2" t="s">
        <v>28</v>
      </c>
      <c r="G46" s="26"/>
      <c r="H46" s="27"/>
      <c r="I46" s="27"/>
      <c r="J46" s="27"/>
      <c r="K46" s="27"/>
      <c r="L46" s="37"/>
      <c r="M46" s="28"/>
      <c r="N46" s="28"/>
      <c r="O46" s="28"/>
      <c r="P46" s="29"/>
      <c r="Q46" s="40"/>
      <c r="R46"/>
      <c r="S46"/>
      <c r="T46"/>
      <c r="U46"/>
      <c r="V46"/>
      <c r="W46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8B8A-A5D7-4716-8597-0900868992A5}">
  <dimension ref="A1:Y19"/>
  <sheetViews>
    <sheetView workbookViewId="0">
      <selection activeCell="R10" sqref="R10"/>
    </sheetView>
  </sheetViews>
  <sheetFormatPr baseColWidth="10" defaultColWidth="7.140625" defaultRowHeight="15" customHeight="1" x14ac:dyDescent="0.25"/>
  <cols>
    <col min="2" max="2" width="6.85546875" customWidth="1"/>
    <col min="7" max="7" width="8.5703125" customWidth="1"/>
    <col min="12" max="12" width="12" customWidth="1"/>
    <col min="13" max="13" width="11.85546875" bestFit="1" customWidth="1"/>
    <col min="15" max="15" width="12.42578125" customWidth="1"/>
    <col min="18" max="18" width="10.5703125" customWidth="1"/>
  </cols>
  <sheetData>
    <row r="1" spans="1:25" ht="15" customHeight="1" x14ac:dyDescent="0.25">
      <c r="A1" t="s">
        <v>37</v>
      </c>
    </row>
    <row r="3" spans="1:25" ht="15" customHeight="1" x14ac:dyDescent="0.25">
      <c r="A3" t="s">
        <v>38</v>
      </c>
    </row>
    <row r="4" spans="1:25" ht="15" customHeight="1" x14ac:dyDescent="0.25">
      <c r="A4" t="s">
        <v>39</v>
      </c>
    </row>
    <row r="5" spans="1:25" ht="15" customHeight="1" x14ac:dyDescent="0.25">
      <c r="A5" t="s">
        <v>40</v>
      </c>
    </row>
    <row r="6" spans="1:25" ht="15" customHeight="1" x14ac:dyDescent="0.25">
      <c r="A6" t="s">
        <v>41</v>
      </c>
    </row>
    <row r="7" spans="1:25" ht="15" customHeight="1" x14ac:dyDescent="0.25">
      <c r="Y7" s="44" t="s">
        <v>42</v>
      </c>
    </row>
    <row r="8" spans="1:25" ht="15" customHeight="1" x14ac:dyDescent="0.25">
      <c r="B8" s="163" t="s">
        <v>43</v>
      </c>
      <c r="C8" s="163"/>
      <c r="D8" s="163"/>
      <c r="E8" s="163" t="s">
        <v>44</v>
      </c>
      <c r="F8" s="163"/>
      <c r="G8" s="163" t="s">
        <v>45</v>
      </c>
      <c r="H8" s="163"/>
      <c r="I8" s="163"/>
      <c r="J8" s="163"/>
      <c r="Y8" t="s">
        <v>46</v>
      </c>
    </row>
    <row r="9" spans="1:25" ht="15" customHeight="1" x14ac:dyDescent="0.25">
      <c r="A9" s="2" t="s">
        <v>8</v>
      </c>
      <c r="B9" s="2" t="s">
        <v>9</v>
      </c>
      <c r="C9" s="2" t="s">
        <v>13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52</v>
      </c>
      <c r="J9" s="2" t="s">
        <v>53</v>
      </c>
      <c r="L9" s="2" t="s">
        <v>54</v>
      </c>
      <c r="M9" s="2" t="s">
        <v>55</v>
      </c>
      <c r="O9" s="2" t="s">
        <v>56</v>
      </c>
      <c r="P9" s="2" t="s">
        <v>55</v>
      </c>
      <c r="R9" s="2" t="s">
        <v>56</v>
      </c>
      <c r="S9" s="2" t="s">
        <v>55</v>
      </c>
    </row>
    <row r="10" spans="1:25" ht="15" customHeight="1" x14ac:dyDescent="0.25">
      <c r="A10" s="2" t="s">
        <v>57</v>
      </c>
      <c r="B10" s="2">
        <v>180</v>
      </c>
      <c r="C10" s="2">
        <v>2</v>
      </c>
      <c r="D10" s="2">
        <v>336</v>
      </c>
      <c r="E10" s="2">
        <v>20</v>
      </c>
      <c r="F10" s="2">
        <v>25</v>
      </c>
      <c r="G10" s="2">
        <v>12</v>
      </c>
      <c r="H10" s="2">
        <v>0</v>
      </c>
      <c r="I10" s="2">
        <v>12</v>
      </c>
      <c r="J10" s="2">
        <v>18</v>
      </c>
      <c r="L10" s="45">
        <f>+(B10*C10)/D10</f>
        <v>1.0714285714285714</v>
      </c>
      <c r="M10" s="162">
        <f>+(B10*C10+B11*C11+B12*C12+B13*C13+B14*C14+B15*C15)/(SUM(D10:D15))</f>
        <v>1.0229938995776631</v>
      </c>
      <c r="O10" s="8">
        <f>+(B10*C10+E10)/(D10+F10+G10)</f>
        <v>1.0187667560321716</v>
      </c>
      <c r="P10" s="162">
        <f>+AVERAGE(O10:O15)</f>
        <v>1.0099336516091046</v>
      </c>
      <c r="R10" s="8">
        <f>+(B10*C10+E10)/(D10+F10+G10+H10+I10+J10)</f>
        <v>0.94292803970223327</v>
      </c>
      <c r="S10" s="162">
        <f>+AVERAGE(R10:R15)</f>
        <v>0.96228405383089655</v>
      </c>
    </row>
    <row r="11" spans="1:25" ht="15" customHeight="1" x14ac:dyDescent="0.25">
      <c r="A11" s="2" t="s">
        <v>58</v>
      </c>
      <c r="B11" s="2">
        <v>115</v>
      </c>
      <c r="C11" s="2">
        <v>3</v>
      </c>
      <c r="D11" s="2">
        <v>355</v>
      </c>
      <c r="E11" s="2">
        <v>36</v>
      </c>
      <c r="F11" s="2">
        <v>34</v>
      </c>
      <c r="G11" s="2">
        <v>3</v>
      </c>
      <c r="H11" s="2">
        <v>4</v>
      </c>
      <c r="I11" s="2">
        <v>0</v>
      </c>
      <c r="J11" s="2">
        <v>5</v>
      </c>
      <c r="L11" s="45">
        <f>+(B11*C11)/D11</f>
        <v>0.971830985915493</v>
      </c>
      <c r="M11" s="162"/>
      <c r="O11" s="8">
        <f>+(B11*C11+E11)/(D11+F11+G11)</f>
        <v>0.97193877551020413</v>
      </c>
      <c r="P11" s="162"/>
      <c r="R11" s="8">
        <f t="shared" ref="R11:R15" si="0">+(B11*C11+E11)/(D11+F11+G11+H11+I11+J11)</f>
        <v>0.95012468827930174</v>
      </c>
      <c r="S11" s="162"/>
    </row>
    <row r="12" spans="1:25" ht="15" customHeight="1" x14ac:dyDescent="0.25">
      <c r="A12" s="2" t="s">
        <v>59</v>
      </c>
      <c r="B12" s="2">
        <v>340</v>
      </c>
      <c r="C12" s="2">
        <v>1</v>
      </c>
      <c r="D12" s="2">
        <v>346</v>
      </c>
      <c r="E12" s="2">
        <v>15</v>
      </c>
      <c r="F12" s="2">
        <v>18</v>
      </c>
      <c r="G12" s="2">
        <v>0</v>
      </c>
      <c r="H12" s="2">
        <v>15</v>
      </c>
      <c r="I12" s="2">
        <v>19</v>
      </c>
      <c r="J12" s="2">
        <v>0</v>
      </c>
      <c r="L12" s="45">
        <f t="shared" ref="L11:L15" si="1">+(B12*C12)/D12</f>
        <v>0.98265895953757221</v>
      </c>
      <c r="M12" s="162"/>
      <c r="O12" s="8">
        <f t="shared" ref="O11:O15" si="2">+(B12*C12+E12)/(D12+F12+G12)</f>
        <v>0.97527472527472525</v>
      </c>
      <c r="P12" s="162"/>
      <c r="R12" s="8">
        <f t="shared" si="0"/>
        <v>0.89195979899497491</v>
      </c>
      <c r="S12" s="162"/>
    </row>
    <row r="13" spans="1:25" ht="15" customHeight="1" x14ac:dyDescent="0.25">
      <c r="A13" s="2" t="s">
        <v>60</v>
      </c>
      <c r="B13" s="2">
        <v>120</v>
      </c>
      <c r="C13" s="2">
        <v>3</v>
      </c>
      <c r="D13" s="2">
        <v>362</v>
      </c>
      <c r="E13" s="2">
        <v>18</v>
      </c>
      <c r="F13" s="2">
        <v>16</v>
      </c>
      <c r="G13" s="2">
        <v>5</v>
      </c>
      <c r="H13" s="2">
        <v>0</v>
      </c>
      <c r="I13" s="2">
        <v>0</v>
      </c>
      <c r="J13" s="2">
        <v>13</v>
      </c>
      <c r="L13" s="45">
        <f t="shared" si="1"/>
        <v>0.99447513812154698</v>
      </c>
      <c r="M13" s="162"/>
      <c r="O13" s="8">
        <f t="shared" si="2"/>
        <v>0.98694516971279378</v>
      </c>
      <c r="P13" s="162"/>
      <c r="R13" s="8">
        <f t="shared" si="0"/>
        <v>0.95454545454545459</v>
      </c>
      <c r="S13" s="162"/>
    </row>
    <row r="14" spans="1:25" ht="15" customHeight="1" x14ac:dyDescent="0.25">
      <c r="A14" s="2" t="s">
        <v>61</v>
      </c>
      <c r="B14" s="2">
        <v>100</v>
      </c>
      <c r="C14" s="2">
        <v>4</v>
      </c>
      <c r="D14" s="2">
        <v>370</v>
      </c>
      <c r="E14" s="2">
        <v>24</v>
      </c>
      <c r="F14" s="2">
        <v>24</v>
      </c>
      <c r="G14" s="2">
        <v>0</v>
      </c>
      <c r="H14" s="2">
        <v>6</v>
      </c>
      <c r="I14" s="2">
        <v>0</v>
      </c>
      <c r="J14" s="2">
        <v>10</v>
      </c>
      <c r="L14" s="45">
        <f t="shared" si="1"/>
        <v>1.0810810810810811</v>
      </c>
      <c r="M14" s="162"/>
      <c r="O14" s="8">
        <f t="shared" si="2"/>
        <v>1.0761421319796953</v>
      </c>
      <c r="P14" s="162"/>
      <c r="R14" s="8">
        <f t="shared" si="0"/>
        <v>1.0341463414634147</v>
      </c>
      <c r="S14" s="162"/>
    </row>
    <row r="15" spans="1:25" ht="15" customHeight="1" x14ac:dyDescent="0.25">
      <c r="A15" s="2" t="s">
        <v>62</v>
      </c>
      <c r="B15" s="2">
        <v>125</v>
      </c>
      <c r="C15" s="2">
        <v>3</v>
      </c>
      <c r="D15" s="2">
        <v>362</v>
      </c>
      <c r="E15" s="2">
        <v>30</v>
      </c>
      <c r="F15" s="2">
        <v>31</v>
      </c>
      <c r="G15" s="2">
        <v>0</v>
      </c>
      <c r="H15" s="2">
        <v>0</v>
      </c>
      <c r="I15" s="2">
        <v>12</v>
      </c>
      <c r="J15" s="2">
        <v>0</v>
      </c>
      <c r="L15" s="45">
        <f t="shared" si="1"/>
        <v>1.0359116022099448</v>
      </c>
      <c r="M15" s="162"/>
      <c r="O15" s="8">
        <f t="shared" si="2"/>
        <v>1.0305343511450382</v>
      </c>
      <c r="P15" s="162"/>
      <c r="R15" s="8">
        <f t="shared" si="0"/>
        <v>1</v>
      </c>
      <c r="S15" s="162"/>
    </row>
    <row r="19" spans="13:19" ht="15" customHeight="1" x14ac:dyDescent="0.25">
      <c r="M19" s="72">
        <f>+AVERAGE(L10:L15)</f>
        <v>1.022897723049035</v>
      </c>
      <c r="P19" s="72">
        <f>+AVERAGE(O10:O15)</f>
        <v>1.0099336516091046</v>
      </c>
      <c r="S19" s="72">
        <f>+AVERAGE(R10:R15)</f>
        <v>0.96228405383089655</v>
      </c>
    </row>
  </sheetData>
  <mergeCells count="6">
    <mergeCell ref="S10:S15"/>
    <mergeCell ref="B8:D8"/>
    <mergeCell ref="E8:F8"/>
    <mergeCell ref="G8:J8"/>
    <mergeCell ref="M10:M15"/>
    <mergeCell ref="P10:P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4600-4685-4EBA-B0A9-715F76D3406A}">
  <dimension ref="A1:N33"/>
  <sheetViews>
    <sheetView workbookViewId="0">
      <selection activeCell="N17" sqref="N17"/>
    </sheetView>
  </sheetViews>
  <sheetFormatPr baseColWidth="10" defaultColWidth="9.140625" defaultRowHeight="15" x14ac:dyDescent="0.25"/>
  <cols>
    <col min="1" max="1" width="15.140625" customWidth="1"/>
    <col min="2" max="2" width="11.5703125" bestFit="1" customWidth="1"/>
    <col min="7" max="7" width="17.5703125" customWidth="1"/>
    <col min="8" max="8" width="11.5703125" bestFit="1" customWidth="1"/>
    <col min="9" max="9" width="15.28515625" customWidth="1"/>
    <col min="10" max="10" width="12" bestFit="1" customWidth="1"/>
  </cols>
  <sheetData>
    <row r="1" spans="1:12" x14ac:dyDescent="0.25">
      <c r="A1" t="s">
        <v>63</v>
      </c>
    </row>
    <row r="3" spans="1:12" x14ac:dyDescent="0.25">
      <c r="A3" s="164" t="s">
        <v>64</v>
      </c>
      <c r="B3" s="164"/>
      <c r="C3" s="2" t="s">
        <v>8</v>
      </c>
      <c r="D3" s="2" t="s">
        <v>65</v>
      </c>
      <c r="E3" s="2" t="s">
        <v>9</v>
      </c>
      <c r="F3" s="2" t="s">
        <v>13</v>
      </c>
      <c r="G3" s="2" t="s">
        <v>66</v>
      </c>
    </row>
    <row r="4" spans="1:12" x14ac:dyDescent="0.25">
      <c r="A4" s="48">
        <v>0.25</v>
      </c>
      <c r="B4" s="48">
        <v>0.25347222222222221</v>
      </c>
      <c r="C4" s="2"/>
      <c r="D4" s="2"/>
      <c r="E4" s="2"/>
      <c r="F4" s="2"/>
      <c r="G4" s="2" t="s">
        <v>67</v>
      </c>
      <c r="I4" t="s">
        <v>68</v>
      </c>
      <c r="J4">
        <f>14-6</f>
        <v>8</v>
      </c>
      <c r="K4">
        <f>8*60</f>
        <v>480</v>
      </c>
      <c r="L4" s="46"/>
    </row>
    <row r="5" spans="1:12" x14ac:dyDescent="0.25">
      <c r="A5" s="48">
        <f>+B4</f>
        <v>0.25347222222222221</v>
      </c>
      <c r="B5" s="48">
        <v>0.35555555555555557</v>
      </c>
      <c r="C5" s="2" t="s">
        <v>69</v>
      </c>
      <c r="D5" s="2">
        <v>10</v>
      </c>
      <c r="E5" s="2">
        <v>130</v>
      </c>
      <c r="F5" s="2">
        <v>1.2</v>
      </c>
      <c r="G5" s="2" t="s">
        <v>70</v>
      </c>
      <c r="I5" t="s">
        <v>47</v>
      </c>
      <c r="J5" s="46">
        <f>+B5-A5+B6-A6+B8-A8+B10-A10+B12-A12+B13-A13+B14-A14</f>
        <v>0.27916666666666679</v>
      </c>
      <c r="K5">
        <f>60*6+42</f>
        <v>402</v>
      </c>
    </row>
    <row r="6" spans="1:12" x14ac:dyDescent="0.25">
      <c r="A6" s="48">
        <f t="shared" ref="A6:A15" si="0">+B5</f>
        <v>0.35555555555555557</v>
      </c>
      <c r="B6" s="48">
        <v>0.3923611111111111</v>
      </c>
      <c r="C6" s="2" t="s">
        <v>71</v>
      </c>
      <c r="D6" s="2">
        <v>25</v>
      </c>
      <c r="E6" s="2">
        <v>35</v>
      </c>
      <c r="F6" s="2">
        <v>1.8</v>
      </c>
      <c r="G6" s="2" t="s">
        <v>70</v>
      </c>
      <c r="I6" t="s">
        <v>13</v>
      </c>
      <c r="K6">
        <f>+F5*E5+F6*E6+F8*E8+F10*E10+F12*E12+F13*E13+F14*E14</f>
        <v>421</v>
      </c>
    </row>
    <row r="7" spans="1:12" x14ac:dyDescent="0.25">
      <c r="A7" s="48">
        <f t="shared" si="0"/>
        <v>0.3923611111111111</v>
      </c>
      <c r="B7" s="48">
        <v>0.40277777777777773</v>
      </c>
      <c r="C7" s="2"/>
      <c r="D7" s="2"/>
      <c r="E7" s="2"/>
      <c r="F7" s="2"/>
      <c r="G7" s="2" t="s">
        <v>72</v>
      </c>
    </row>
    <row r="8" spans="1:12" x14ac:dyDescent="0.25">
      <c r="A8" s="48">
        <f t="shared" si="0"/>
        <v>0.40277777777777773</v>
      </c>
      <c r="B8" s="48">
        <v>0.44166666666666665</v>
      </c>
      <c r="C8" s="2" t="s">
        <v>73</v>
      </c>
      <c r="D8" s="2">
        <v>20</v>
      </c>
      <c r="E8" s="2">
        <v>60</v>
      </c>
      <c r="F8" s="2">
        <v>0.9</v>
      </c>
      <c r="G8" s="2" t="s">
        <v>70</v>
      </c>
      <c r="I8" t="s">
        <v>74</v>
      </c>
      <c r="J8">
        <f>+K6/K5</f>
        <v>1.0472636815920398</v>
      </c>
    </row>
    <row r="9" spans="1:12" x14ac:dyDescent="0.25">
      <c r="A9" s="48">
        <f t="shared" si="0"/>
        <v>0.44166666666666665</v>
      </c>
      <c r="B9" s="48">
        <v>0.45833333333333331</v>
      </c>
      <c r="C9" s="2"/>
      <c r="D9" s="2"/>
      <c r="E9" s="2"/>
      <c r="F9" s="2"/>
      <c r="G9" s="2" t="s">
        <v>75</v>
      </c>
    </row>
    <row r="10" spans="1:12" x14ac:dyDescent="0.25">
      <c r="A10" s="48">
        <f t="shared" si="0"/>
        <v>0.45833333333333331</v>
      </c>
      <c r="B10" s="48">
        <v>0.47916666666666669</v>
      </c>
      <c r="C10" s="2" t="s">
        <v>73</v>
      </c>
      <c r="D10" s="2">
        <v>20</v>
      </c>
      <c r="E10" s="2">
        <v>30</v>
      </c>
      <c r="F10" s="2">
        <v>0.9</v>
      </c>
      <c r="G10" s="2" t="s">
        <v>70</v>
      </c>
    </row>
    <row r="11" spans="1:12" x14ac:dyDescent="0.25">
      <c r="A11" s="48">
        <f t="shared" si="0"/>
        <v>0.47916666666666669</v>
      </c>
      <c r="B11" s="48">
        <v>0.5</v>
      </c>
      <c r="C11" s="2"/>
      <c r="D11" s="2"/>
      <c r="E11" s="2"/>
      <c r="F11" s="2"/>
      <c r="G11" s="2" t="s">
        <v>76</v>
      </c>
    </row>
    <row r="12" spans="1:12" x14ac:dyDescent="0.25">
      <c r="A12" s="48">
        <f t="shared" si="0"/>
        <v>0.5</v>
      </c>
      <c r="B12" s="48">
        <v>0.53333333333333333</v>
      </c>
      <c r="C12" s="2" t="s">
        <v>77</v>
      </c>
      <c r="D12" s="2">
        <v>10</v>
      </c>
      <c r="E12" s="2">
        <v>25</v>
      </c>
      <c r="F12" s="2">
        <v>1.6</v>
      </c>
      <c r="G12" s="2" t="s">
        <v>70</v>
      </c>
    </row>
    <row r="13" spans="1:12" x14ac:dyDescent="0.25">
      <c r="A13" s="48">
        <f t="shared" si="0"/>
        <v>0.53333333333333333</v>
      </c>
      <c r="B13" s="48">
        <v>0.55833333333333335</v>
      </c>
      <c r="C13" s="2" t="s">
        <v>78</v>
      </c>
      <c r="D13" s="2">
        <v>25</v>
      </c>
      <c r="E13" s="2">
        <v>24</v>
      </c>
      <c r="F13" s="2">
        <v>1.5</v>
      </c>
      <c r="G13" s="2" t="s">
        <v>70</v>
      </c>
    </row>
    <row r="14" spans="1:12" x14ac:dyDescent="0.25">
      <c r="A14" s="48">
        <f t="shared" si="0"/>
        <v>0.55833333333333335</v>
      </c>
      <c r="B14" s="48">
        <v>0.5805555555555556</v>
      </c>
      <c r="C14" s="2" t="s">
        <v>79</v>
      </c>
      <c r="D14" s="2">
        <v>20</v>
      </c>
      <c r="E14" s="2">
        <v>18</v>
      </c>
      <c r="F14" s="2">
        <v>2.5</v>
      </c>
      <c r="G14" s="2" t="s">
        <v>70</v>
      </c>
    </row>
    <row r="15" spans="1:12" x14ac:dyDescent="0.25">
      <c r="A15" s="48">
        <f t="shared" si="0"/>
        <v>0.5805555555555556</v>
      </c>
      <c r="B15" s="48">
        <v>0.58333333333333337</v>
      </c>
      <c r="C15" s="2"/>
      <c r="D15" s="2"/>
      <c r="E15" s="2"/>
      <c r="F15" s="2"/>
      <c r="G15" s="2" t="s">
        <v>67</v>
      </c>
    </row>
    <row r="18" spans="1:14" x14ac:dyDescent="0.25">
      <c r="A18" s="164" t="s">
        <v>64</v>
      </c>
      <c r="B18" s="164"/>
      <c r="C18" s="2" t="s">
        <v>8</v>
      </c>
      <c r="D18" s="2" t="s">
        <v>65</v>
      </c>
      <c r="E18" s="2" t="s">
        <v>9</v>
      </c>
      <c r="F18" s="2" t="s">
        <v>13</v>
      </c>
      <c r="G18" s="2" t="s">
        <v>66</v>
      </c>
      <c r="I18" s="44"/>
    </row>
    <row r="19" spans="1:14" x14ac:dyDescent="0.25">
      <c r="A19" s="48">
        <v>0.25</v>
      </c>
      <c r="B19" s="48">
        <v>0.25347222222222221</v>
      </c>
      <c r="C19" s="2"/>
      <c r="D19" s="2"/>
      <c r="E19" s="2"/>
      <c r="F19" s="2"/>
      <c r="G19" s="2" t="s">
        <v>67</v>
      </c>
      <c r="H19" s="106">
        <f>+B19-A19</f>
        <v>3.4722222222222099E-3</v>
      </c>
      <c r="J19" s="106">
        <f>+H20+H21+H22+H23+H25+H27+H29+H30+H31</f>
        <v>0.28263888888888888</v>
      </c>
      <c r="K19">
        <f>6*60+47</f>
        <v>407</v>
      </c>
      <c r="L19" t="s">
        <v>80</v>
      </c>
      <c r="N19">
        <f>+K20/K19</f>
        <v>1.0245700245700247</v>
      </c>
    </row>
    <row r="20" spans="1:14" x14ac:dyDescent="0.25">
      <c r="A20" s="48">
        <f>+B19</f>
        <v>0.25347222222222221</v>
      </c>
      <c r="B20" s="48">
        <v>0.2722222222222222</v>
      </c>
      <c r="C20" s="2"/>
      <c r="D20" s="2">
        <v>25</v>
      </c>
      <c r="E20" s="2">
        <v>12</v>
      </c>
      <c r="F20" s="2">
        <v>2.5</v>
      </c>
      <c r="G20" s="2" t="s">
        <v>70</v>
      </c>
      <c r="H20" s="106">
        <f t="shared" ref="H20:H32" si="1">+B20-A20</f>
        <v>1.8749999999999989E-2</v>
      </c>
      <c r="I20">
        <f>+F20*E20</f>
        <v>30</v>
      </c>
      <c r="K20">
        <f>SUM(I20:I32)</f>
        <v>417</v>
      </c>
      <c r="L20" t="s">
        <v>81</v>
      </c>
    </row>
    <row r="21" spans="1:14" x14ac:dyDescent="0.25">
      <c r="A21" s="48">
        <f t="shared" ref="A21:A32" si="2">+B20</f>
        <v>0.2722222222222222</v>
      </c>
      <c r="B21" s="48">
        <v>0.30902777777777779</v>
      </c>
      <c r="C21" s="2"/>
      <c r="D21" s="2">
        <v>25</v>
      </c>
      <c r="E21" s="2">
        <v>35</v>
      </c>
      <c r="F21" s="2">
        <v>1.8</v>
      </c>
      <c r="G21" s="2" t="s">
        <v>70</v>
      </c>
      <c r="H21" s="106">
        <f t="shared" si="1"/>
        <v>3.6805555555555591E-2</v>
      </c>
      <c r="I21">
        <f>+F21*E21</f>
        <v>63</v>
      </c>
    </row>
    <row r="22" spans="1:14" x14ac:dyDescent="0.25">
      <c r="A22" s="48">
        <f t="shared" si="2"/>
        <v>0.30902777777777779</v>
      </c>
      <c r="B22" s="48">
        <v>0.35069444444444442</v>
      </c>
      <c r="C22" s="2"/>
      <c r="D22" s="2">
        <v>30</v>
      </c>
      <c r="E22" s="2">
        <v>30</v>
      </c>
      <c r="F22" s="2">
        <v>1.8</v>
      </c>
      <c r="G22" s="2" t="s">
        <v>70</v>
      </c>
      <c r="H22" s="106">
        <f t="shared" si="1"/>
        <v>4.166666666666663E-2</v>
      </c>
      <c r="I22">
        <f t="shared" ref="I21:I32" si="3">+F22*E22</f>
        <v>54</v>
      </c>
    </row>
    <row r="23" spans="1:14" x14ac:dyDescent="0.25">
      <c r="A23" s="48">
        <f t="shared" si="2"/>
        <v>0.35069444444444442</v>
      </c>
      <c r="B23" s="48">
        <v>0.3923611111111111</v>
      </c>
      <c r="C23" s="2"/>
      <c r="D23" s="2">
        <v>45</v>
      </c>
      <c r="E23" s="2">
        <v>10</v>
      </c>
      <c r="F23" s="2">
        <v>5.7</v>
      </c>
      <c r="G23" s="2" t="s">
        <v>70</v>
      </c>
      <c r="H23" s="106">
        <f t="shared" si="1"/>
        <v>4.1666666666666685E-2</v>
      </c>
      <c r="I23">
        <f t="shared" si="3"/>
        <v>57</v>
      </c>
    </row>
    <row r="24" spans="1:14" x14ac:dyDescent="0.25">
      <c r="A24" s="48">
        <f t="shared" si="2"/>
        <v>0.3923611111111111</v>
      </c>
      <c r="B24" s="48">
        <v>0.40277777777777773</v>
      </c>
      <c r="C24" s="2"/>
      <c r="D24" s="2"/>
      <c r="E24" s="2"/>
      <c r="F24" s="2"/>
      <c r="G24" s="2" t="s">
        <v>82</v>
      </c>
      <c r="H24" s="106">
        <f t="shared" si="1"/>
        <v>1.041666666666663E-2</v>
      </c>
      <c r="I24">
        <f t="shared" si="3"/>
        <v>0</v>
      </c>
    </row>
    <row r="25" spans="1:14" x14ac:dyDescent="0.25">
      <c r="A25" s="48">
        <f t="shared" si="2"/>
        <v>0.40277777777777773</v>
      </c>
      <c r="B25" s="48">
        <v>0.44166666666666665</v>
      </c>
      <c r="C25" s="2"/>
      <c r="D25" s="2">
        <v>10</v>
      </c>
      <c r="E25" s="2">
        <v>60</v>
      </c>
      <c r="F25" s="2">
        <v>0.9</v>
      </c>
      <c r="G25" s="2" t="s">
        <v>70</v>
      </c>
      <c r="H25" s="106">
        <f t="shared" si="1"/>
        <v>3.8888888888888917E-2</v>
      </c>
      <c r="I25">
        <f t="shared" si="3"/>
        <v>54</v>
      </c>
    </row>
    <row r="26" spans="1:14" x14ac:dyDescent="0.25">
      <c r="A26" s="48">
        <f t="shared" si="2"/>
        <v>0.44166666666666665</v>
      </c>
      <c r="B26" s="48">
        <v>0.4513888888888889</v>
      </c>
      <c r="C26" s="2"/>
      <c r="D26" s="2"/>
      <c r="E26" s="2"/>
      <c r="F26" s="2"/>
      <c r="G26" s="2" t="s">
        <v>83</v>
      </c>
      <c r="H26" s="106">
        <f t="shared" si="1"/>
        <v>9.7222222222222432E-3</v>
      </c>
      <c r="I26">
        <f t="shared" si="3"/>
        <v>0</v>
      </c>
    </row>
    <row r="27" spans="1:14" x14ac:dyDescent="0.25">
      <c r="A27" s="48">
        <f t="shared" si="2"/>
        <v>0.4513888888888889</v>
      </c>
      <c r="B27" s="48">
        <v>0.47916666666666669</v>
      </c>
      <c r="C27" s="2"/>
      <c r="D27" s="2">
        <v>20</v>
      </c>
      <c r="E27" s="2">
        <v>40</v>
      </c>
      <c r="F27" s="2">
        <v>0.9</v>
      </c>
      <c r="G27" s="2" t="s">
        <v>70</v>
      </c>
      <c r="H27" s="106">
        <f t="shared" si="1"/>
        <v>2.777777777777779E-2</v>
      </c>
      <c r="I27">
        <f t="shared" si="3"/>
        <v>36</v>
      </c>
    </row>
    <row r="28" spans="1:14" x14ac:dyDescent="0.25">
      <c r="A28" s="48">
        <f t="shared" si="2"/>
        <v>0.47916666666666669</v>
      </c>
      <c r="B28" s="48">
        <v>0.5</v>
      </c>
      <c r="C28" s="2"/>
      <c r="D28" s="2"/>
      <c r="E28" s="2"/>
      <c r="F28" s="2"/>
      <c r="G28" s="2" t="s">
        <v>84</v>
      </c>
      <c r="H28" s="106">
        <f t="shared" si="1"/>
        <v>2.0833333333333315E-2</v>
      </c>
      <c r="I28">
        <f t="shared" si="3"/>
        <v>0</v>
      </c>
    </row>
    <row r="29" spans="1:14" x14ac:dyDescent="0.25">
      <c r="A29" s="48">
        <f t="shared" si="2"/>
        <v>0.5</v>
      </c>
      <c r="B29" s="48">
        <v>0.52638888888888891</v>
      </c>
      <c r="C29" s="2"/>
      <c r="D29" s="2">
        <v>10</v>
      </c>
      <c r="E29" s="2">
        <v>20</v>
      </c>
      <c r="F29" s="2">
        <v>2.2000000000000002</v>
      </c>
      <c r="G29" s="2" t="s">
        <v>70</v>
      </c>
      <c r="H29" s="106">
        <f t="shared" si="1"/>
        <v>2.6388888888888906E-2</v>
      </c>
      <c r="I29">
        <f t="shared" si="3"/>
        <v>44</v>
      </c>
    </row>
    <row r="30" spans="1:14" x14ac:dyDescent="0.25">
      <c r="A30" s="48">
        <f t="shared" si="2"/>
        <v>0.52638888888888891</v>
      </c>
      <c r="B30" s="48">
        <v>0.55833333333333335</v>
      </c>
      <c r="C30" s="2"/>
      <c r="D30" s="2">
        <v>25</v>
      </c>
      <c r="E30" s="2">
        <v>35</v>
      </c>
      <c r="F30" s="2">
        <v>1.4</v>
      </c>
      <c r="G30" s="2" t="s">
        <v>70</v>
      </c>
      <c r="H30" s="106">
        <f t="shared" si="1"/>
        <v>3.1944444444444442E-2</v>
      </c>
      <c r="I30">
        <f t="shared" si="3"/>
        <v>49</v>
      </c>
    </row>
    <row r="31" spans="1:14" x14ac:dyDescent="0.25">
      <c r="A31" s="48">
        <f t="shared" si="2"/>
        <v>0.55833333333333335</v>
      </c>
      <c r="B31" s="48">
        <v>0.57708333333333328</v>
      </c>
      <c r="C31" s="48"/>
      <c r="D31" s="2">
        <v>35</v>
      </c>
      <c r="E31" s="2">
        <v>15</v>
      </c>
      <c r="F31" s="2">
        <v>2</v>
      </c>
      <c r="G31" s="2" t="s">
        <v>70</v>
      </c>
      <c r="H31" s="106">
        <f t="shared" si="1"/>
        <v>1.8749999999999933E-2</v>
      </c>
      <c r="I31">
        <f t="shared" si="3"/>
        <v>30</v>
      </c>
    </row>
    <row r="32" spans="1:14" x14ac:dyDescent="0.25">
      <c r="A32" s="48">
        <f t="shared" si="2"/>
        <v>0.57708333333333328</v>
      </c>
      <c r="B32" s="48">
        <v>0.58333333333333337</v>
      </c>
      <c r="C32" s="48"/>
      <c r="D32" s="2"/>
      <c r="E32" s="2"/>
      <c r="F32" s="2"/>
      <c r="G32" s="48" t="s">
        <v>67</v>
      </c>
      <c r="H32" s="106">
        <f t="shared" si="1"/>
        <v>6.2500000000000888E-3</v>
      </c>
      <c r="I32">
        <f t="shared" si="3"/>
        <v>0</v>
      </c>
    </row>
    <row r="33" spans="8:8" x14ac:dyDescent="0.25">
      <c r="H33" s="106">
        <f>SUM(H19:H32)</f>
        <v>0.33333333333333337</v>
      </c>
    </row>
  </sheetData>
  <mergeCells count="2">
    <mergeCell ref="A3:B3"/>
    <mergeCell ref="A18:B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D6E4-B09A-4279-9E7F-104FA14243D0}">
  <dimension ref="A1:AG35"/>
  <sheetViews>
    <sheetView topLeftCell="A7" workbookViewId="0">
      <selection activeCell="I15" sqref="I15"/>
    </sheetView>
  </sheetViews>
  <sheetFormatPr baseColWidth="10" defaultColWidth="9.140625" defaultRowHeight="15" x14ac:dyDescent="0.25"/>
  <cols>
    <col min="1" max="1" width="9.140625" style="1"/>
    <col min="2" max="2" width="10.85546875" style="1" customWidth="1"/>
    <col min="3" max="16384" width="9.140625" style="1"/>
  </cols>
  <sheetData>
    <row r="1" spans="1:14" x14ac:dyDescent="0.25">
      <c r="A1" s="2" t="s">
        <v>8</v>
      </c>
      <c r="B1" s="2" t="s">
        <v>10</v>
      </c>
      <c r="C1" s="2" t="s">
        <v>85</v>
      </c>
      <c r="D1" s="2" t="s">
        <v>11</v>
      </c>
      <c r="E1" s="2" t="s">
        <v>12</v>
      </c>
      <c r="F1" s="49" t="s">
        <v>86</v>
      </c>
      <c r="G1" s="2" t="s">
        <v>12</v>
      </c>
      <c r="H1" s="49" t="s">
        <v>86</v>
      </c>
      <c r="I1" s="2" t="s">
        <v>12</v>
      </c>
      <c r="J1" s="49" t="s">
        <v>86</v>
      </c>
      <c r="K1" s="2" t="s">
        <v>12</v>
      </c>
      <c r="L1" s="49" t="s">
        <v>86</v>
      </c>
      <c r="M1" s="2" t="s">
        <v>87</v>
      </c>
    </row>
    <row r="2" spans="1:14" x14ac:dyDescent="0.25">
      <c r="A2" s="2" t="s">
        <v>88</v>
      </c>
      <c r="B2" s="2"/>
      <c r="C2" s="2">
        <v>1</v>
      </c>
      <c r="D2" s="2">
        <v>0</v>
      </c>
      <c r="E2" s="13" t="s">
        <v>89</v>
      </c>
      <c r="F2" s="13">
        <v>1</v>
      </c>
      <c r="G2" s="53" t="s">
        <v>90</v>
      </c>
      <c r="H2" s="53">
        <v>3</v>
      </c>
      <c r="I2" s="2"/>
      <c r="J2" s="49"/>
      <c r="K2" s="2"/>
      <c r="L2" s="49"/>
      <c r="M2" s="2">
        <f>+D2+F2+H2+J2+K2</f>
        <v>4</v>
      </c>
    </row>
    <row r="3" spans="1:14" x14ac:dyDescent="0.25">
      <c r="A3" s="2" t="s">
        <v>91</v>
      </c>
      <c r="B3" s="2" t="s">
        <v>88</v>
      </c>
      <c r="C3" s="2">
        <v>2</v>
      </c>
      <c r="D3" s="2">
        <v>0</v>
      </c>
      <c r="E3" s="53" t="s">
        <v>90</v>
      </c>
      <c r="F3" s="53">
        <v>2</v>
      </c>
      <c r="G3" s="53" t="s">
        <v>90</v>
      </c>
      <c r="H3" s="53">
        <v>2</v>
      </c>
      <c r="I3" s="13" t="s">
        <v>89</v>
      </c>
      <c r="J3" s="13">
        <v>1</v>
      </c>
      <c r="K3" s="13" t="s">
        <v>89</v>
      </c>
      <c r="L3" s="13">
        <v>1</v>
      </c>
      <c r="M3" s="2">
        <f>+D3+F3+H3+J3+L3</f>
        <v>6</v>
      </c>
    </row>
    <row r="4" spans="1:14" x14ac:dyDescent="0.25">
      <c r="A4" s="2" t="s">
        <v>92</v>
      </c>
      <c r="B4" s="2" t="s">
        <v>88</v>
      </c>
      <c r="C4" s="2">
        <v>2</v>
      </c>
      <c r="D4" s="2">
        <v>3</v>
      </c>
      <c r="E4" s="13" t="s">
        <v>89</v>
      </c>
      <c r="F4" s="13">
        <v>3</v>
      </c>
      <c r="G4" s="53" t="s">
        <v>90</v>
      </c>
      <c r="H4" s="53">
        <v>3</v>
      </c>
      <c r="I4" s="2"/>
      <c r="J4" s="49"/>
      <c r="K4" s="2"/>
      <c r="L4" s="49"/>
      <c r="M4" s="2">
        <f t="shared" ref="M4:M9" si="0">+D4+F4+H4+J4+L4</f>
        <v>9</v>
      </c>
    </row>
    <row r="5" spans="1:14" x14ac:dyDescent="0.25">
      <c r="A5" s="2" t="s">
        <v>93</v>
      </c>
      <c r="B5" s="2" t="s">
        <v>88</v>
      </c>
      <c r="C5" s="2">
        <v>2</v>
      </c>
      <c r="D5" s="2">
        <v>0</v>
      </c>
      <c r="E5" s="15" t="s">
        <v>94</v>
      </c>
      <c r="F5" s="15">
        <v>5</v>
      </c>
      <c r="G5" s="15" t="s">
        <v>94</v>
      </c>
      <c r="H5" s="15">
        <v>2</v>
      </c>
      <c r="I5" s="2"/>
      <c r="J5" s="49"/>
      <c r="K5" s="2"/>
      <c r="L5" s="49"/>
      <c r="M5" s="2">
        <f t="shared" si="0"/>
        <v>7</v>
      </c>
    </row>
    <row r="6" spans="1:14" x14ac:dyDescent="0.25">
      <c r="A6" s="2" t="s">
        <v>95</v>
      </c>
      <c r="B6" s="2" t="s">
        <v>91</v>
      </c>
      <c r="C6" s="2">
        <v>3</v>
      </c>
      <c r="D6" s="2">
        <v>1</v>
      </c>
      <c r="E6" s="55" t="s">
        <v>96</v>
      </c>
      <c r="F6" s="55">
        <v>2</v>
      </c>
      <c r="G6" s="58" t="s">
        <v>97</v>
      </c>
      <c r="H6" s="58">
        <v>3</v>
      </c>
      <c r="I6" s="55" t="s">
        <v>96</v>
      </c>
      <c r="J6" s="55">
        <v>2</v>
      </c>
      <c r="K6" s="2"/>
      <c r="L6" s="49"/>
      <c r="M6" s="2">
        <f t="shared" si="0"/>
        <v>8</v>
      </c>
    </row>
    <row r="7" spans="1:14" x14ac:dyDescent="0.25">
      <c r="A7" s="2" t="s">
        <v>98</v>
      </c>
      <c r="B7" s="2" t="s">
        <v>91</v>
      </c>
      <c r="C7" s="2">
        <v>3</v>
      </c>
      <c r="D7" s="2">
        <v>3</v>
      </c>
      <c r="E7" s="56" t="s">
        <v>99</v>
      </c>
      <c r="F7" s="56">
        <v>3</v>
      </c>
      <c r="G7" s="58" t="s">
        <v>97</v>
      </c>
      <c r="H7" s="58">
        <v>3</v>
      </c>
      <c r="I7" s="2"/>
      <c r="J7" s="49"/>
      <c r="K7" s="2"/>
      <c r="L7" s="49"/>
      <c r="M7" s="2">
        <f t="shared" si="0"/>
        <v>9</v>
      </c>
    </row>
    <row r="8" spans="1:14" x14ac:dyDescent="0.25">
      <c r="A8" s="2" t="s">
        <v>100</v>
      </c>
      <c r="B8" s="2" t="s">
        <v>93</v>
      </c>
      <c r="C8" s="2">
        <v>3</v>
      </c>
      <c r="D8" s="2">
        <v>5</v>
      </c>
      <c r="E8" s="55" t="s">
        <v>96</v>
      </c>
      <c r="F8" s="55">
        <v>1</v>
      </c>
      <c r="G8" s="56" t="s">
        <v>99</v>
      </c>
      <c r="H8" s="56">
        <v>3</v>
      </c>
      <c r="I8" s="2"/>
      <c r="J8" s="49"/>
      <c r="K8" s="2"/>
      <c r="L8" s="49"/>
      <c r="M8" s="2">
        <f t="shared" si="0"/>
        <v>9</v>
      </c>
    </row>
    <row r="9" spans="1:14" x14ac:dyDescent="0.25">
      <c r="A9" s="2" t="s">
        <v>101</v>
      </c>
      <c r="B9" s="2" t="s">
        <v>93</v>
      </c>
      <c r="C9" s="2">
        <v>3</v>
      </c>
      <c r="D9" s="2">
        <v>4</v>
      </c>
      <c r="E9" s="55" t="s">
        <v>96</v>
      </c>
      <c r="F9" s="55">
        <v>2</v>
      </c>
      <c r="G9" s="2"/>
      <c r="H9" s="49"/>
      <c r="I9" s="2"/>
      <c r="J9" s="49"/>
      <c r="K9" s="2"/>
      <c r="L9" s="49"/>
      <c r="M9" s="2">
        <f t="shared" si="0"/>
        <v>6</v>
      </c>
    </row>
    <row r="12" spans="1:14" x14ac:dyDescent="0.25">
      <c r="I12" s="50" t="s">
        <v>102</v>
      </c>
      <c r="J12" s="11" t="s">
        <v>103</v>
      </c>
      <c r="K12" s="51" t="s">
        <v>104</v>
      </c>
      <c r="L12" s="52" t="s">
        <v>105</v>
      </c>
      <c r="M12" s="54" t="s">
        <v>106</v>
      </c>
      <c r="N12" s="57" t="s">
        <v>107</v>
      </c>
    </row>
    <row r="22" spans="1:33" x14ac:dyDescent="0.25">
      <c r="A22" s="1" t="s">
        <v>35</v>
      </c>
      <c r="B22" s="2">
        <v>30</v>
      </c>
      <c r="C22" s="2">
        <v>29</v>
      </c>
      <c r="D22" s="2">
        <v>28</v>
      </c>
      <c r="E22" s="2">
        <v>27</v>
      </c>
      <c r="F22" s="2">
        <v>26</v>
      </c>
      <c r="G22" s="2">
        <v>25</v>
      </c>
      <c r="H22" s="2">
        <v>24</v>
      </c>
      <c r="I22" s="2">
        <v>23</v>
      </c>
      <c r="J22" s="2">
        <v>22</v>
      </c>
      <c r="K22" s="2">
        <v>21</v>
      </c>
      <c r="L22" s="2">
        <v>20</v>
      </c>
      <c r="M22" s="2">
        <v>19</v>
      </c>
      <c r="N22" s="2">
        <v>18</v>
      </c>
      <c r="O22" s="2">
        <v>17</v>
      </c>
      <c r="P22" s="2">
        <v>16</v>
      </c>
      <c r="Q22" s="2">
        <v>15</v>
      </c>
      <c r="R22" s="2">
        <v>14</v>
      </c>
      <c r="S22" s="2">
        <v>13</v>
      </c>
      <c r="T22" s="2">
        <v>12</v>
      </c>
      <c r="U22" s="71">
        <v>11</v>
      </c>
      <c r="V22" s="2">
        <v>10</v>
      </c>
      <c r="W22" s="2">
        <v>9</v>
      </c>
      <c r="X22" s="2">
        <v>8</v>
      </c>
      <c r="Y22" s="2">
        <v>7</v>
      </c>
      <c r="Z22" s="2">
        <v>6</v>
      </c>
      <c r="AA22" s="2">
        <v>5</v>
      </c>
      <c r="AB22" s="2">
        <v>4</v>
      </c>
      <c r="AC22" s="2">
        <v>3</v>
      </c>
      <c r="AD22" s="2">
        <v>2</v>
      </c>
      <c r="AE22" s="2">
        <v>1</v>
      </c>
      <c r="AF22" s="2">
        <v>0</v>
      </c>
    </row>
    <row r="23" spans="1:33" x14ac:dyDescent="0.25">
      <c r="A23" s="2" t="s">
        <v>88</v>
      </c>
      <c r="T23" s="70"/>
      <c r="AA23" s="62"/>
      <c r="AB23" s="50"/>
      <c r="AC23" s="51"/>
      <c r="AD23" s="51"/>
      <c r="AE23" s="51"/>
    </row>
    <row r="24" spans="1:33" x14ac:dyDescent="0.25">
      <c r="A24" s="2" t="s">
        <v>91</v>
      </c>
      <c r="U24" s="64"/>
      <c r="V24" s="51"/>
      <c r="W24" s="51"/>
      <c r="X24" s="51"/>
      <c r="Y24" s="51"/>
      <c r="Z24" s="50"/>
      <c r="AA24" s="63"/>
    </row>
    <row r="25" spans="1:33" x14ac:dyDescent="0.25">
      <c r="A25" s="2" t="s">
        <v>92</v>
      </c>
      <c r="M25" s="59"/>
      <c r="N25" s="59"/>
      <c r="O25" s="59"/>
      <c r="P25" s="50"/>
      <c r="Q25" s="50"/>
      <c r="R25" s="50"/>
      <c r="S25" s="51"/>
      <c r="T25" s="51"/>
      <c r="U25" s="66"/>
      <c r="AA25" s="64"/>
      <c r="AG25" s="1" t="s">
        <v>108</v>
      </c>
    </row>
    <row r="26" spans="1:33" x14ac:dyDescent="0.25">
      <c r="A26" s="2" t="s">
        <v>93</v>
      </c>
      <c r="T26" s="64"/>
      <c r="U26" s="65"/>
      <c r="V26" s="11"/>
      <c r="W26" s="11"/>
      <c r="X26" s="11"/>
      <c r="Y26" s="11"/>
      <c r="Z26" s="11"/>
      <c r="AA26" s="65"/>
    </row>
    <row r="27" spans="1:33" x14ac:dyDescent="0.25">
      <c r="A27" s="2" t="s">
        <v>95</v>
      </c>
      <c r="L27" s="59"/>
      <c r="M27" s="60"/>
      <c r="N27" s="60"/>
      <c r="O27" s="57"/>
      <c r="P27" s="57"/>
      <c r="Q27" s="57"/>
      <c r="R27" s="67"/>
      <c r="S27" s="67"/>
      <c r="AA27" s="64"/>
    </row>
    <row r="28" spans="1:33" x14ac:dyDescent="0.25">
      <c r="A28" s="2" t="s">
        <v>98</v>
      </c>
      <c r="L28" s="59"/>
      <c r="M28" s="59"/>
      <c r="N28" s="59"/>
      <c r="O28" s="54"/>
      <c r="P28" s="54"/>
      <c r="Q28" s="54"/>
      <c r="R28" s="57"/>
      <c r="S28" s="68"/>
      <c r="T28" s="68"/>
      <c r="AA28" s="64"/>
    </row>
    <row r="29" spans="1:33" x14ac:dyDescent="0.25">
      <c r="A29" s="2" t="s">
        <v>100</v>
      </c>
      <c r="L29" s="59"/>
      <c r="M29" s="59"/>
      <c r="N29" s="59"/>
      <c r="O29" s="59"/>
      <c r="P29" s="59"/>
      <c r="Q29" s="60"/>
      <c r="R29" s="54"/>
      <c r="S29" s="54"/>
      <c r="T29" s="69"/>
      <c r="AA29" s="64"/>
    </row>
    <row r="30" spans="1:33" x14ac:dyDescent="0.25">
      <c r="A30" s="2" t="s">
        <v>101</v>
      </c>
      <c r="K30" s="59"/>
      <c r="L30" s="59"/>
      <c r="M30" s="59"/>
      <c r="N30" s="59"/>
      <c r="O30" s="60"/>
      <c r="P30" s="67"/>
      <c r="U30" s="64"/>
      <c r="AA30" s="64"/>
    </row>
    <row r="33" spans="1:3" ht="45" x14ac:dyDescent="0.25">
      <c r="A33" s="61" t="s">
        <v>109</v>
      </c>
      <c r="C33" s="1">
        <f>+'Gantt 2'!M2+'Gantt 2'!M5+'Gantt 2'!M8</f>
        <v>20</v>
      </c>
    </row>
    <row r="35" spans="1:3" x14ac:dyDescent="0.25">
      <c r="A35" s="1" t="s">
        <v>110</v>
      </c>
      <c r="C35" s="1">
        <v>21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3B3E-4F43-40DB-9663-44ABDA0AEDA0}">
  <dimension ref="A1:K96"/>
  <sheetViews>
    <sheetView zoomScaleNormal="100" workbookViewId="0">
      <selection activeCell="H64" sqref="H64"/>
    </sheetView>
  </sheetViews>
  <sheetFormatPr baseColWidth="10" defaultColWidth="9.140625" defaultRowHeight="15" x14ac:dyDescent="0.25"/>
  <cols>
    <col min="1" max="1" width="9.42578125" customWidth="1"/>
    <col min="2" max="6" width="9.140625" style="75"/>
    <col min="7" max="7" width="15.7109375" customWidth="1"/>
  </cols>
  <sheetData>
    <row r="1" spans="1:11" x14ac:dyDescent="0.25">
      <c r="A1" s="73" t="s">
        <v>111</v>
      </c>
    </row>
    <row r="3" spans="1:11" x14ac:dyDescent="0.25">
      <c r="A3" t="s">
        <v>112</v>
      </c>
    </row>
    <row r="4" spans="1:11" x14ac:dyDescent="0.25">
      <c r="I4" t="s">
        <v>113</v>
      </c>
      <c r="J4" s="46">
        <f>+(B6-A6+B7-A7+B8-A8+B9-A9+B10-A10+B11-A11+B12-A12+B13-A13+B14-A14+B15-A15+B16-A16+B17-A17+B18-A18+B19-A19)</f>
        <v>0.33333333333333348</v>
      </c>
      <c r="K4">
        <f>8*60</f>
        <v>480</v>
      </c>
    </row>
    <row r="5" spans="1:11" x14ac:dyDescent="0.25">
      <c r="A5" s="165" t="s">
        <v>114</v>
      </c>
      <c r="B5" s="166"/>
      <c r="C5" s="77" t="s">
        <v>115</v>
      </c>
      <c r="D5" s="77" t="s">
        <v>116</v>
      </c>
      <c r="E5" s="77" t="s">
        <v>9</v>
      </c>
      <c r="F5" s="77" t="s">
        <v>13</v>
      </c>
      <c r="G5" s="2" t="s">
        <v>66</v>
      </c>
      <c r="I5" s="44" t="s">
        <v>47</v>
      </c>
      <c r="J5" s="46">
        <f>+(D6-C6+B7-A7+B8-A8+B9-A9+B10-A10+D11-C11+B12-A12+D13-C13+B14-A14+D15-C15+B16-A16+B17-A17+B18-A18+D19-C19)</f>
        <v>0.28263888888888888</v>
      </c>
      <c r="K5">
        <f>6*60+47</f>
        <v>407</v>
      </c>
    </row>
    <row r="6" spans="1:11" x14ac:dyDescent="0.25">
      <c r="A6" s="47">
        <v>0.25</v>
      </c>
      <c r="B6" s="78">
        <v>0.25347222222222221</v>
      </c>
      <c r="C6" s="77"/>
      <c r="D6" s="77"/>
      <c r="E6" s="77"/>
      <c r="F6" s="77"/>
      <c r="G6" s="2" t="s">
        <v>117</v>
      </c>
      <c r="I6" s="1" t="s">
        <v>13</v>
      </c>
      <c r="K6">
        <f>+F7*E7+F8*E8+F9*E9+F10*E10+F12*E12+F14*E14+F16*E16+F17*E17+F18*E18</f>
        <v>417</v>
      </c>
    </row>
    <row r="7" spans="1:11" x14ac:dyDescent="0.25">
      <c r="A7" s="47">
        <f>+B6</f>
        <v>0.25347222222222221</v>
      </c>
      <c r="B7" s="78">
        <v>0.2722222222222222</v>
      </c>
      <c r="C7" s="77"/>
      <c r="D7" s="77"/>
      <c r="E7" s="77">
        <v>12</v>
      </c>
      <c r="F7" s="77">
        <v>2.5</v>
      </c>
      <c r="G7" s="2" t="s">
        <v>118</v>
      </c>
    </row>
    <row r="8" spans="1:11" x14ac:dyDescent="0.25">
      <c r="A8" s="47">
        <f>+B7</f>
        <v>0.2722222222222222</v>
      </c>
      <c r="B8" s="78">
        <v>0.30902777777777779</v>
      </c>
      <c r="C8" s="77"/>
      <c r="D8" s="77"/>
      <c r="E8" s="77">
        <v>35</v>
      </c>
      <c r="F8" s="77">
        <v>1.8</v>
      </c>
      <c r="G8" s="2" t="s">
        <v>118</v>
      </c>
      <c r="I8" t="s">
        <v>119</v>
      </c>
      <c r="J8" s="72">
        <f>+K6/K5</f>
        <v>1.0245700245700247</v>
      </c>
    </row>
    <row r="9" spans="1:11" x14ac:dyDescent="0.25">
      <c r="A9" s="47">
        <f t="shared" ref="A9:A19" si="0">+B8</f>
        <v>0.30902777777777779</v>
      </c>
      <c r="B9" s="78">
        <v>0.35069444444444442</v>
      </c>
      <c r="C9" s="77"/>
      <c r="D9" s="77"/>
      <c r="E9" s="77">
        <v>30</v>
      </c>
      <c r="F9" s="77">
        <v>1.8</v>
      </c>
      <c r="G9" s="2" t="s">
        <v>118</v>
      </c>
    </row>
    <row r="10" spans="1:11" x14ac:dyDescent="0.25">
      <c r="A10" s="47">
        <f t="shared" si="0"/>
        <v>0.35069444444444442</v>
      </c>
      <c r="B10" s="78">
        <v>0.3923611111111111</v>
      </c>
      <c r="C10" s="77"/>
      <c r="D10" s="77"/>
      <c r="E10" s="77">
        <v>10</v>
      </c>
      <c r="F10" s="77">
        <v>5.7</v>
      </c>
      <c r="G10" s="2" t="s">
        <v>118</v>
      </c>
    </row>
    <row r="11" spans="1:11" x14ac:dyDescent="0.25">
      <c r="A11" s="47">
        <f t="shared" si="0"/>
        <v>0.3923611111111111</v>
      </c>
      <c r="B11" s="78">
        <v>0.40277777777777773</v>
      </c>
      <c r="C11" s="77"/>
      <c r="D11" s="77"/>
      <c r="E11" s="77"/>
      <c r="F11" s="77"/>
      <c r="G11" s="2" t="s">
        <v>82</v>
      </c>
    </row>
    <row r="12" spans="1:11" x14ac:dyDescent="0.25">
      <c r="A12" s="47">
        <f t="shared" si="0"/>
        <v>0.40277777777777773</v>
      </c>
      <c r="B12" s="78">
        <v>0.44166666666666665</v>
      </c>
      <c r="C12" s="77"/>
      <c r="D12" s="77"/>
      <c r="E12" s="77">
        <v>60</v>
      </c>
      <c r="F12" s="77">
        <v>0.9</v>
      </c>
      <c r="G12" s="2" t="s">
        <v>118</v>
      </c>
    </row>
    <row r="13" spans="1:11" x14ac:dyDescent="0.25">
      <c r="A13" s="47">
        <f t="shared" si="0"/>
        <v>0.44166666666666665</v>
      </c>
      <c r="B13" s="78">
        <v>0.4513888888888889</v>
      </c>
      <c r="C13" s="77"/>
      <c r="D13" s="77"/>
      <c r="E13" s="77"/>
      <c r="F13" s="77"/>
      <c r="G13" s="2" t="s">
        <v>120</v>
      </c>
    </row>
    <row r="14" spans="1:11" x14ac:dyDescent="0.25">
      <c r="A14" s="47">
        <f t="shared" si="0"/>
        <v>0.4513888888888889</v>
      </c>
      <c r="B14" s="78">
        <v>0.47916666666666669</v>
      </c>
      <c r="C14" s="77"/>
      <c r="D14" s="77"/>
      <c r="E14" s="77">
        <v>40</v>
      </c>
      <c r="F14" s="77">
        <v>0.9</v>
      </c>
      <c r="G14" s="2" t="s">
        <v>118</v>
      </c>
    </row>
    <row r="15" spans="1:11" x14ac:dyDescent="0.25">
      <c r="A15" s="47">
        <f t="shared" si="0"/>
        <v>0.47916666666666669</v>
      </c>
      <c r="B15" s="78">
        <v>0.5</v>
      </c>
      <c r="C15" s="77"/>
      <c r="D15" s="77"/>
      <c r="E15" s="77"/>
      <c r="F15" s="77"/>
      <c r="G15" s="2" t="s">
        <v>84</v>
      </c>
    </row>
    <row r="16" spans="1:11" x14ac:dyDescent="0.25">
      <c r="A16" s="47">
        <f t="shared" si="0"/>
        <v>0.5</v>
      </c>
      <c r="B16" s="78">
        <v>0.52638888888888891</v>
      </c>
      <c r="C16" s="77"/>
      <c r="D16" s="77"/>
      <c r="E16" s="77">
        <v>20</v>
      </c>
      <c r="F16" s="77">
        <v>2.2000000000000002</v>
      </c>
      <c r="G16" s="2" t="s">
        <v>118</v>
      </c>
    </row>
    <row r="17" spans="1:8" x14ac:dyDescent="0.25">
      <c r="A17" s="47">
        <f t="shared" si="0"/>
        <v>0.52638888888888891</v>
      </c>
      <c r="B17" s="78">
        <v>0.55833333333333335</v>
      </c>
      <c r="C17" s="77"/>
      <c r="D17" s="77"/>
      <c r="E17" s="77">
        <v>35</v>
      </c>
      <c r="F17" s="77">
        <v>1.4</v>
      </c>
      <c r="G17" s="2" t="s">
        <v>118</v>
      </c>
    </row>
    <row r="18" spans="1:8" x14ac:dyDescent="0.25">
      <c r="A18" s="47">
        <f t="shared" si="0"/>
        <v>0.55833333333333335</v>
      </c>
      <c r="B18" s="78">
        <v>0.57708333333333328</v>
      </c>
      <c r="C18" s="77"/>
      <c r="D18" s="77"/>
      <c r="E18" s="77">
        <v>15</v>
      </c>
      <c r="F18" s="77">
        <v>2</v>
      </c>
      <c r="G18" s="2" t="s">
        <v>118</v>
      </c>
    </row>
    <row r="19" spans="1:8" x14ac:dyDescent="0.25">
      <c r="A19" s="47">
        <f t="shared" si="0"/>
        <v>0.57708333333333328</v>
      </c>
      <c r="B19" s="78">
        <v>0.58333333333333337</v>
      </c>
      <c r="C19" s="77"/>
      <c r="D19" s="77"/>
      <c r="E19" s="77"/>
      <c r="F19" s="77"/>
      <c r="G19" s="2" t="s">
        <v>67</v>
      </c>
    </row>
    <row r="21" spans="1:8" x14ac:dyDescent="0.25">
      <c r="A21" s="73" t="s">
        <v>121</v>
      </c>
    </row>
    <row r="23" spans="1:8" x14ac:dyDescent="0.25">
      <c r="A23" s="1"/>
      <c r="B23" s="74" t="s">
        <v>122</v>
      </c>
      <c r="C23" s="74" t="s">
        <v>123</v>
      </c>
      <c r="D23" s="74" t="s">
        <v>124</v>
      </c>
      <c r="E23" s="74" t="s">
        <v>125</v>
      </c>
      <c r="F23" s="74"/>
    </row>
    <row r="24" spans="1:8" ht="12.75" customHeight="1" x14ac:dyDescent="0.25">
      <c r="A24" s="167" t="s">
        <v>126</v>
      </c>
      <c r="B24" s="79">
        <v>1</v>
      </c>
      <c r="C24" s="168" t="s">
        <v>116</v>
      </c>
      <c r="D24" s="81"/>
      <c r="E24" s="169" t="s">
        <v>127</v>
      </c>
      <c r="F24" s="80">
        <v>0</v>
      </c>
      <c r="G24" s="76">
        <v>3</v>
      </c>
      <c r="H24" s="73" t="s">
        <v>128</v>
      </c>
    </row>
    <row r="25" spans="1:8" ht="9.75" customHeight="1" x14ac:dyDescent="0.25">
      <c r="A25" s="167"/>
      <c r="B25" s="79">
        <v>2</v>
      </c>
      <c r="C25" s="168"/>
      <c r="D25" s="81"/>
      <c r="E25" s="169"/>
      <c r="F25" s="80">
        <v>4.1666666666666664E-2</v>
      </c>
      <c r="G25" s="76"/>
    </row>
    <row r="26" spans="1:8" ht="9.75" customHeight="1" x14ac:dyDescent="0.25">
      <c r="A26" s="167"/>
      <c r="B26" s="79">
        <v>3</v>
      </c>
      <c r="C26" s="168"/>
      <c r="D26" s="81"/>
      <c r="E26" s="169"/>
      <c r="F26" s="80">
        <v>8.3333333333333301E-2</v>
      </c>
      <c r="G26" s="76"/>
      <c r="H26" t="s">
        <v>129</v>
      </c>
    </row>
    <row r="27" spans="1:8" ht="9.75" customHeight="1" x14ac:dyDescent="0.25">
      <c r="A27" s="167"/>
      <c r="B27" s="79">
        <v>4</v>
      </c>
      <c r="C27" s="168"/>
      <c r="D27" s="81"/>
      <c r="E27" s="169"/>
      <c r="F27" s="80">
        <v>0.125</v>
      </c>
      <c r="G27" s="76"/>
    </row>
    <row r="28" spans="1:8" ht="14.25" customHeight="1" x14ac:dyDescent="0.25">
      <c r="A28" s="167"/>
      <c r="B28" s="79">
        <v>5</v>
      </c>
      <c r="C28" s="168"/>
      <c r="D28" s="81"/>
      <c r="E28" s="169"/>
      <c r="F28" s="80">
        <v>0.16666666666666699</v>
      </c>
      <c r="G28" s="76">
        <v>4</v>
      </c>
      <c r="H28" s="73" t="s">
        <v>130</v>
      </c>
    </row>
    <row r="29" spans="1:8" ht="9.75" customHeight="1" x14ac:dyDescent="0.25">
      <c r="A29" s="167"/>
      <c r="B29" s="79">
        <v>6</v>
      </c>
      <c r="C29" s="168"/>
      <c r="D29" s="81"/>
      <c r="E29" s="169"/>
      <c r="F29" s="80">
        <v>0.20833333333333301</v>
      </c>
      <c r="G29" s="76"/>
    </row>
    <row r="30" spans="1:8" ht="9.75" customHeight="1" x14ac:dyDescent="0.25">
      <c r="A30" s="167"/>
      <c r="B30" s="79">
        <v>7</v>
      </c>
      <c r="C30" s="168"/>
      <c r="D30" s="81"/>
      <c r="E30" s="169"/>
      <c r="F30" s="80">
        <v>0.25</v>
      </c>
      <c r="G30" s="76"/>
    </row>
    <row r="31" spans="1:8" ht="9.75" customHeight="1" x14ac:dyDescent="0.25">
      <c r="A31" s="167"/>
      <c r="B31" s="79">
        <v>8</v>
      </c>
      <c r="C31" s="168"/>
      <c r="D31" s="81"/>
      <c r="E31" s="168" t="s">
        <v>116</v>
      </c>
      <c r="F31" s="80">
        <v>0.29166666666666702</v>
      </c>
      <c r="G31" s="76"/>
    </row>
    <row r="32" spans="1:8" ht="9.75" customHeight="1" x14ac:dyDescent="0.25">
      <c r="A32" s="167"/>
      <c r="B32" s="79">
        <v>9</v>
      </c>
      <c r="C32" s="168"/>
      <c r="D32" s="81"/>
      <c r="E32" s="168"/>
      <c r="F32" s="80">
        <v>0.33333333333333298</v>
      </c>
      <c r="G32" s="76"/>
    </row>
    <row r="33" spans="1:7" ht="9.75" customHeight="1" x14ac:dyDescent="0.25">
      <c r="A33" s="167"/>
      <c r="B33" s="79">
        <v>10</v>
      </c>
      <c r="C33" s="168"/>
      <c r="D33" s="81"/>
      <c r="E33" s="168"/>
      <c r="F33" s="80">
        <v>0.375</v>
      </c>
      <c r="G33" s="76"/>
    </row>
    <row r="34" spans="1:7" ht="9.75" customHeight="1" x14ac:dyDescent="0.25">
      <c r="A34" s="167"/>
      <c r="B34" s="79">
        <v>11</v>
      </c>
      <c r="C34" s="168"/>
      <c r="D34" s="81"/>
      <c r="E34" s="168"/>
      <c r="F34" s="80">
        <v>0.41666666666666702</v>
      </c>
      <c r="G34" s="76"/>
    </row>
    <row r="35" spans="1:7" ht="9.75" customHeight="1" x14ac:dyDescent="0.25">
      <c r="A35" s="167"/>
      <c r="B35" s="79">
        <v>12</v>
      </c>
      <c r="C35" s="168"/>
      <c r="D35" s="81" t="s">
        <v>97</v>
      </c>
      <c r="E35" s="168"/>
      <c r="F35" s="80">
        <v>0.45833333333333298</v>
      </c>
      <c r="G35" s="76"/>
    </row>
    <row r="36" spans="1:7" ht="9.75" customHeight="1" x14ac:dyDescent="0.25">
      <c r="A36" s="167"/>
      <c r="B36" s="79">
        <v>13</v>
      </c>
      <c r="C36" s="168"/>
      <c r="D36" s="81"/>
      <c r="E36" s="168"/>
      <c r="F36" s="80">
        <v>0.5</v>
      </c>
      <c r="G36" s="76"/>
    </row>
    <row r="37" spans="1:7" ht="9.75" customHeight="1" x14ac:dyDescent="0.25">
      <c r="A37" s="167"/>
      <c r="B37" s="79">
        <v>14</v>
      </c>
      <c r="C37" s="168"/>
      <c r="D37" s="81"/>
      <c r="E37" s="168"/>
      <c r="F37" s="80">
        <v>0.54166666666666696</v>
      </c>
      <c r="G37" s="76"/>
    </row>
    <row r="38" spans="1:7" ht="9.75" customHeight="1" x14ac:dyDescent="0.25">
      <c r="A38" s="167"/>
      <c r="B38" s="79">
        <v>15</v>
      </c>
      <c r="C38" s="169" t="s">
        <v>127</v>
      </c>
      <c r="D38" s="81"/>
      <c r="E38" s="168"/>
      <c r="F38" s="80">
        <v>0.58333333333333304</v>
      </c>
      <c r="G38" s="76"/>
    </row>
    <row r="39" spans="1:7" ht="9.75" customHeight="1" x14ac:dyDescent="0.25">
      <c r="A39" s="167"/>
      <c r="B39" s="79">
        <v>16</v>
      </c>
      <c r="C39" s="169"/>
      <c r="D39" s="81"/>
      <c r="E39" s="168"/>
      <c r="F39" s="80">
        <v>0.625</v>
      </c>
      <c r="G39" s="76"/>
    </row>
    <row r="40" spans="1:7" ht="9.75" customHeight="1" x14ac:dyDescent="0.25">
      <c r="A40" s="167"/>
      <c r="B40" s="79">
        <v>17</v>
      </c>
      <c r="C40" s="169"/>
      <c r="D40" s="81"/>
      <c r="E40" s="168"/>
      <c r="F40" s="80">
        <v>0.66666666666666696</v>
      </c>
      <c r="G40" s="76"/>
    </row>
    <row r="41" spans="1:7" ht="9.75" customHeight="1" x14ac:dyDescent="0.25">
      <c r="A41" s="167"/>
      <c r="B41" s="79">
        <v>18</v>
      </c>
      <c r="C41" s="169"/>
      <c r="D41" s="81"/>
      <c r="E41" s="168"/>
      <c r="F41" s="80">
        <v>0.70833333333333304</v>
      </c>
      <c r="G41" s="76"/>
    </row>
    <row r="42" spans="1:7" ht="9.75" customHeight="1" x14ac:dyDescent="0.25">
      <c r="A42" s="167"/>
      <c r="B42" s="79">
        <v>19</v>
      </c>
      <c r="C42" s="169"/>
      <c r="D42" s="81"/>
      <c r="E42" s="168"/>
      <c r="F42" s="80">
        <v>0.75</v>
      </c>
      <c r="G42" s="76"/>
    </row>
    <row r="43" spans="1:7" ht="9.75" customHeight="1" x14ac:dyDescent="0.25">
      <c r="A43" s="167"/>
      <c r="B43" s="79">
        <v>20</v>
      </c>
      <c r="C43" s="169"/>
      <c r="D43" s="81"/>
      <c r="E43" s="173" t="s">
        <v>90</v>
      </c>
      <c r="F43" s="80">
        <v>0.79166666666666696</v>
      </c>
      <c r="G43" s="76"/>
    </row>
    <row r="44" spans="1:7" ht="9.75" customHeight="1" x14ac:dyDescent="0.25">
      <c r="A44" s="167"/>
      <c r="B44" s="79">
        <v>21</v>
      </c>
      <c r="C44" s="169"/>
      <c r="D44" s="81"/>
      <c r="E44" s="174"/>
      <c r="F44" s="80">
        <v>0.83333333333333304</v>
      </c>
      <c r="G44" s="76"/>
    </row>
    <row r="45" spans="1:7" ht="9.75" customHeight="1" x14ac:dyDescent="0.25">
      <c r="A45" s="167"/>
      <c r="B45" s="79">
        <v>22</v>
      </c>
      <c r="C45" s="169"/>
      <c r="D45" s="81"/>
      <c r="E45" s="174"/>
      <c r="F45" s="80">
        <v>0.875</v>
      </c>
      <c r="G45" s="76"/>
    </row>
    <row r="46" spans="1:7" ht="9.75" customHeight="1" x14ac:dyDescent="0.25">
      <c r="A46" s="167"/>
      <c r="B46" s="79">
        <v>23</v>
      </c>
      <c r="C46" s="169"/>
      <c r="D46" s="81"/>
      <c r="E46" s="174"/>
      <c r="F46" s="80">
        <v>0.91666666666666696</v>
      </c>
      <c r="G46" s="76"/>
    </row>
    <row r="47" spans="1:7" ht="9.75" customHeight="1" x14ac:dyDescent="0.25">
      <c r="A47" s="167"/>
      <c r="B47" s="79">
        <v>24</v>
      </c>
      <c r="C47" s="169"/>
      <c r="D47" s="81"/>
      <c r="E47" s="174"/>
      <c r="F47" s="80">
        <v>0.95833333333333304</v>
      </c>
      <c r="G47" s="76"/>
    </row>
    <row r="48" spans="1:7" ht="9.75" customHeight="1" x14ac:dyDescent="0.25">
      <c r="A48" s="167" t="s">
        <v>131</v>
      </c>
      <c r="B48" s="79">
        <v>1</v>
      </c>
      <c r="C48" s="169"/>
      <c r="D48" s="169" t="s">
        <v>127</v>
      </c>
      <c r="E48" s="174"/>
      <c r="F48" s="80">
        <v>0</v>
      </c>
      <c r="G48" s="76"/>
    </row>
    <row r="49" spans="1:7" ht="9.75" customHeight="1" x14ac:dyDescent="0.25">
      <c r="A49" s="167"/>
      <c r="B49" s="79">
        <v>2</v>
      </c>
      <c r="C49" s="169"/>
      <c r="D49" s="169"/>
      <c r="E49" s="174"/>
      <c r="F49" s="80">
        <v>4.1666666666666664E-2</v>
      </c>
      <c r="G49" s="76"/>
    </row>
    <row r="50" spans="1:7" ht="9.75" customHeight="1" x14ac:dyDescent="0.25">
      <c r="A50" s="167"/>
      <c r="B50" s="79">
        <v>3</v>
      </c>
      <c r="C50" s="169"/>
      <c r="D50" s="169"/>
      <c r="E50" s="174"/>
      <c r="F50" s="80">
        <v>8.3333333333333301E-2</v>
      </c>
      <c r="G50" s="76"/>
    </row>
    <row r="51" spans="1:7" ht="9.75" customHeight="1" x14ac:dyDescent="0.25">
      <c r="A51" s="167"/>
      <c r="B51" s="79">
        <v>4</v>
      </c>
      <c r="C51" s="169"/>
      <c r="D51" s="169"/>
      <c r="E51" s="81"/>
      <c r="F51" s="80">
        <v>0.125</v>
      </c>
      <c r="G51" s="76"/>
    </row>
    <row r="52" spans="1:7" ht="9.75" customHeight="1" x14ac:dyDescent="0.25">
      <c r="A52" s="167"/>
      <c r="B52" s="79">
        <v>5</v>
      </c>
      <c r="C52" s="169"/>
      <c r="D52" s="169"/>
      <c r="E52" s="82"/>
      <c r="F52" s="80">
        <v>0.16666666666666699</v>
      </c>
      <c r="G52" s="76"/>
    </row>
    <row r="53" spans="1:7" ht="9.75" customHeight="1" x14ac:dyDescent="0.25">
      <c r="A53" s="167"/>
      <c r="B53" s="79">
        <v>6</v>
      </c>
      <c r="C53" s="169"/>
      <c r="D53" s="169"/>
      <c r="E53" s="81"/>
      <c r="F53" s="80">
        <v>0.20833333333333301</v>
      </c>
      <c r="G53" s="76"/>
    </row>
    <row r="54" spans="1:7" ht="9.75" customHeight="1" x14ac:dyDescent="0.25">
      <c r="A54" s="167"/>
      <c r="B54" s="79">
        <v>7</v>
      </c>
      <c r="C54" s="169"/>
      <c r="D54" s="169"/>
      <c r="E54" s="81" t="s">
        <v>97</v>
      </c>
      <c r="F54" s="80">
        <v>0.25</v>
      </c>
      <c r="G54" s="76"/>
    </row>
    <row r="55" spans="1:7" ht="9.75" customHeight="1" x14ac:dyDescent="0.25">
      <c r="A55" s="167"/>
      <c r="B55" s="79">
        <v>8</v>
      </c>
      <c r="C55" s="169"/>
      <c r="D55" s="169"/>
      <c r="E55" s="81"/>
      <c r="F55" s="80">
        <v>0.29166666666666702</v>
      </c>
      <c r="G55" s="76"/>
    </row>
    <row r="56" spans="1:7" ht="9.75" customHeight="1" x14ac:dyDescent="0.25">
      <c r="A56" s="167"/>
      <c r="B56" s="79">
        <v>9</v>
      </c>
      <c r="C56" s="169"/>
      <c r="D56" s="169"/>
      <c r="E56" s="81"/>
      <c r="F56" s="80">
        <v>0.33333333333333298</v>
      </c>
      <c r="G56" s="76"/>
    </row>
    <row r="57" spans="1:7" ht="9.75" customHeight="1" x14ac:dyDescent="0.25">
      <c r="A57" s="167"/>
      <c r="B57" s="79">
        <v>10</v>
      </c>
      <c r="C57" s="169"/>
      <c r="D57" s="169"/>
      <c r="E57" s="81"/>
      <c r="F57" s="80">
        <v>0.375</v>
      </c>
      <c r="G57" s="76"/>
    </row>
    <row r="58" spans="1:7" ht="9.75" customHeight="1" x14ac:dyDescent="0.25">
      <c r="A58" s="167"/>
      <c r="B58" s="79">
        <v>11</v>
      </c>
      <c r="C58" s="169"/>
      <c r="D58" s="169"/>
      <c r="E58" s="175" t="s">
        <v>127</v>
      </c>
      <c r="F58" s="80">
        <v>0.41666666666666702</v>
      </c>
      <c r="G58" s="76"/>
    </row>
    <row r="59" spans="1:7" ht="9.75" customHeight="1" x14ac:dyDescent="0.25">
      <c r="A59" s="167"/>
      <c r="B59" s="79">
        <v>12</v>
      </c>
      <c r="C59" s="169"/>
      <c r="D59" s="169"/>
      <c r="E59" s="176"/>
      <c r="F59" s="80">
        <v>0.45833333333333298</v>
      </c>
      <c r="G59" s="76"/>
    </row>
    <row r="60" spans="1:7" ht="9.75" customHeight="1" x14ac:dyDescent="0.25">
      <c r="A60" s="167"/>
      <c r="B60" s="79">
        <v>13</v>
      </c>
      <c r="C60" s="169"/>
      <c r="D60" s="169"/>
      <c r="E60" s="176"/>
      <c r="F60" s="80">
        <v>0.5</v>
      </c>
      <c r="G60" s="76"/>
    </row>
    <row r="61" spans="1:7" ht="9.75" customHeight="1" x14ac:dyDescent="0.25">
      <c r="A61" s="167"/>
      <c r="B61" s="79">
        <v>14</v>
      </c>
      <c r="C61" s="168" t="s">
        <v>116</v>
      </c>
      <c r="D61" s="169"/>
      <c r="E61" s="176"/>
      <c r="F61" s="80">
        <v>0.54166666666666696</v>
      </c>
      <c r="G61" s="76"/>
    </row>
    <row r="62" spans="1:7" ht="9.75" customHeight="1" x14ac:dyDescent="0.25">
      <c r="A62" s="167"/>
      <c r="B62" s="79">
        <v>15</v>
      </c>
      <c r="C62" s="168"/>
      <c r="D62" s="169"/>
      <c r="E62" s="176"/>
      <c r="F62" s="80">
        <v>0.58333333333333304</v>
      </c>
      <c r="G62" s="76"/>
    </row>
    <row r="63" spans="1:7" ht="9.75" customHeight="1" x14ac:dyDescent="0.25">
      <c r="A63" s="167"/>
      <c r="B63" s="79">
        <v>16</v>
      </c>
      <c r="C63" s="168"/>
      <c r="D63" s="169"/>
      <c r="E63" s="176"/>
      <c r="F63" s="80">
        <v>0.625</v>
      </c>
      <c r="G63" s="76"/>
    </row>
    <row r="64" spans="1:7" ht="9.75" customHeight="1" x14ac:dyDescent="0.25">
      <c r="A64" s="167"/>
      <c r="B64" s="79">
        <v>17</v>
      </c>
      <c r="C64" s="168"/>
      <c r="D64" s="169"/>
      <c r="E64" s="176"/>
      <c r="F64" s="80">
        <v>0.66666666666666696</v>
      </c>
      <c r="G64" s="76"/>
    </row>
    <row r="65" spans="1:7" ht="9.75" customHeight="1" x14ac:dyDescent="0.25">
      <c r="A65" s="167"/>
      <c r="B65" s="79">
        <v>18</v>
      </c>
      <c r="C65" s="168"/>
      <c r="D65" s="169"/>
      <c r="E65" s="177"/>
      <c r="F65" s="80">
        <v>0.70833333333333304</v>
      </c>
      <c r="G65" s="76"/>
    </row>
    <row r="66" spans="1:7" ht="9.75" customHeight="1" x14ac:dyDescent="0.25">
      <c r="A66" s="167"/>
      <c r="B66" s="79">
        <v>19</v>
      </c>
      <c r="C66" s="168"/>
      <c r="D66" s="169"/>
      <c r="E66" s="168" t="s">
        <v>116</v>
      </c>
      <c r="F66" s="80">
        <v>0.75</v>
      </c>
      <c r="G66" s="76"/>
    </row>
    <row r="67" spans="1:7" ht="9.75" customHeight="1" x14ac:dyDescent="0.25">
      <c r="A67" s="167"/>
      <c r="B67" s="79">
        <v>20</v>
      </c>
      <c r="C67" s="168"/>
      <c r="D67" s="169"/>
      <c r="E67" s="168"/>
      <c r="F67" s="80">
        <v>0.79166666666666696</v>
      </c>
      <c r="G67" s="76"/>
    </row>
    <row r="68" spans="1:7" ht="9.75" customHeight="1" x14ac:dyDescent="0.25">
      <c r="A68" s="167"/>
      <c r="B68" s="79">
        <v>21</v>
      </c>
      <c r="C68" s="168"/>
      <c r="D68" s="169"/>
      <c r="E68" s="168"/>
      <c r="F68" s="80">
        <v>0.83333333333333304</v>
      </c>
      <c r="G68" s="76"/>
    </row>
    <row r="69" spans="1:7" ht="9.75" customHeight="1" x14ac:dyDescent="0.25">
      <c r="A69" s="167"/>
      <c r="B69" s="79">
        <v>22</v>
      </c>
      <c r="C69" s="168"/>
      <c r="D69" s="169"/>
      <c r="E69" s="168"/>
      <c r="F69" s="80">
        <v>0.875</v>
      </c>
      <c r="G69" s="76"/>
    </row>
    <row r="70" spans="1:7" ht="9.75" customHeight="1" x14ac:dyDescent="0.25">
      <c r="A70" s="167"/>
      <c r="B70" s="79">
        <v>23</v>
      </c>
      <c r="C70" s="168"/>
      <c r="D70" s="169"/>
      <c r="E70" s="168"/>
      <c r="F70" s="80">
        <v>0.91666666666666696</v>
      </c>
      <c r="G70" s="76"/>
    </row>
    <row r="71" spans="1:7" ht="9.75" customHeight="1" x14ac:dyDescent="0.25">
      <c r="A71" s="167"/>
      <c r="B71" s="79">
        <v>24</v>
      </c>
      <c r="C71" s="168"/>
      <c r="D71" s="169"/>
      <c r="E71" s="168"/>
      <c r="F71" s="80">
        <v>0.95833333333333304</v>
      </c>
      <c r="G71" s="76"/>
    </row>
    <row r="72" spans="1:7" ht="9.75" customHeight="1" x14ac:dyDescent="0.25">
      <c r="A72" s="167" t="s">
        <v>132</v>
      </c>
      <c r="B72" s="79">
        <v>1</v>
      </c>
      <c r="C72" s="168"/>
      <c r="D72" s="169"/>
      <c r="E72" s="168"/>
      <c r="F72" s="80">
        <v>0</v>
      </c>
      <c r="G72" s="76"/>
    </row>
    <row r="73" spans="1:7" ht="9.75" customHeight="1" x14ac:dyDescent="0.25">
      <c r="A73" s="167"/>
      <c r="B73" s="79">
        <v>2</v>
      </c>
      <c r="C73" s="168"/>
      <c r="D73" s="169"/>
      <c r="E73" s="168"/>
      <c r="F73" s="80">
        <v>4.1666666666666664E-2</v>
      </c>
      <c r="G73" s="76"/>
    </row>
    <row r="74" spans="1:7" ht="9.75" customHeight="1" x14ac:dyDescent="0.25">
      <c r="A74" s="167"/>
      <c r="B74" s="79">
        <v>3</v>
      </c>
      <c r="C74" s="170" t="s">
        <v>90</v>
      </c>
      <c r="D74" s="169"/>
      <c r="E74" s="168"/>
      <c r="F74" s="80">
        <v>8.3333333333333301E-2</v>
      </c>
      <c r="G74" s="76"/>
    </row>
    <row r="75" spans="1:7" ht="9.75" customHeight="1" x14ac:dyDescent="0.25">
      <c r="A75" s="167"/>
      <c r="B75" s="79">
        <v>4</v>
      </c>
      <c r="C75" s="171"/>
      <c r="D75" s="169"/>
      <c r="E75" s="168"/>
      <c r="F75" s="80">
        <v>0.125</v>
      </c>
      <c r="G75" s="76"/>
    </row>
    <row r="76" spans="1:7" ht="9.75" customHeight="1" x14ac:dyDescent="0.25">
      <c r="A76" s="167"/>
      <c r="B76" s="79">
        <v>5</v>
      </c>
      <c r="C76" s="171"/>
      <c r="D76" s="169"/>
      <c r="E76" s="168"/>
      <c r="F76" s="80">
        <v>0.16666666666666699</v>
      </c>
      <c r="G76" s="76"/>
    </row>
    <row r="77" spans="1:7" ht="9.75" customHeight="1" x14ac:dyDescent="0.25">
      <c r="A77" s="167"/>
      <c r="B77" s="79">
        <v>6</v>
      </c>
      <c r="C77" s="171"/>
      <c r="D77" s="169"/>
      <c r="E77" s="168"/>
      <c r="F77" s="80">
        <v>0.20833333333333301</v>
      </c>
      <c r="G77" s="76"/>
    </row>
    <row r="78" spans="1:7" ht="9.75" customHeight="1" x14ac:dyDescent="0.25">
      <c r="A78" s="167"/>
      <c r="B78" s="79">
        <v>7</v>
      </c>
      <c r="C78" s="171"/>
      <c r="D78" s="168" t="s">
        <v>116</v>
      </c>
      <c r="E78" s="168"/>
      <c r="F78" s="80">
        <v>0.25</v>
      </c>
      <c r="G78" s="76"/>
    </row>
    <row r="79" spans="1:7" ht="9.75" customHeight="1" x14ac:dyDescent="0.25">
      <c r="A79" s="167"/>
      <c r="B79" s="79">
        <v>8</v>
      </c>
      <c r="C79" s="171"/>
      <c r="D79" s="168"/>
      <c r="E79" s="168"/>
      <c r="F79" s="80">
        <v>0.29166666666666702</v>
      </c>
      <c r="G79" s="76"/>
    </row>
    <row r="80" spans="1:7" ht="9.75" customHeight="1" x14ac:dyDescent="0.25">
      <c r="A80" s="167"/>
      <c r="B80" s="79">
        <v>9</v>
      </c>
      <c r="C80" s="172"/>
      <c r="D80" s="168"/>
      <c r="E80" s="168"/>
      <c r="F80" s="80">
        <v>0.33333333333333298</v>
      </c>
      <c r="G80" s="76"/>
    </row>
    <row r="81" spans="1:7" ht="9.75" customHeight="1" x14ac:dyDescent="0.25">
      <c r="A81" s="167"/>
      <c r="B81" s="79">
        <v>10</v>
      </c>
      <c r="C81" s="168" t="s">
        <v>116</v>
      </c>
      <c r="D81" s="168"/>
      <c r="E81" s="168"/>
      <c r="F81" s="80">
        <v>0.375</v>
      </c>
      <c r="G81" s="76"/>
    </row>
    <row r="82" spans="1:7" ht="9.75" customHeight="1" x14ac:dyDescent="0.25">
      <c r="A82" s="167"/>
      <c r="B82" s="79">
        <v>11</v>
      </c>
      <c r="C82" s="168"/>
      <c r="D82" s="168"/>
      <c r="E82" s="168"/>
      <c r="F82" s="80">
        <v>0.41666666666666702</v>
      </c>
      <c r="G82" s="76"/>
    </row>
    <row r="83" spans="1:7" ht="9.75" customHeight="1" x14ac:dyDescent="0.25">
      <c r="A83" s="167"/>
      <c r="B83" s="79">
        <v>12</v>
      </c>
      <c r="C83" s="168"/>
      <c r="D83" s="168"/>
      <c r="E83" s="168"/>
      <c r="F83" s="80">
        <v>0.45833333333333298</v>
      </c>
      <c r="G83" s="76"/>
    </row>
    <row r="84" spans="1:7" ht="9.75" customHeight="1" x14ac:dyDescent="0.25">
      <c r="A84" s="167"/>
      <c r="B84" s="79">
        <v>13</v>
      </c>
      <c r="C84" s="168"/>
      <c r="D84" s="168"/>
      <c r="E84" s="168"/>
      <c r="F84" s="80">
        <v>0.5</v>
      </c>
      <c r="G84" s="76"/>
    </row>
    <row r="85" spans="1:7" ht="9.75" customHeight="1" x14ac:dyDescent="0.25">
      <c r="A85" s="167"/>
      <c r="B85" s="79">
        <v>14</v>
      </c>
      <c r="C85" s="168"/>
      <c r="D85" s="168"/>
      <c r="E85" s="168"/>
      <c r="F85" s="80">
        <v>0.54166666666666696</v>
      </c>
      <c r="G85" s="76"/>
    </row>
    <row r="86" spans="1:7" ht="9.75" customHeight="1" x14ac:dyDescent="0.25">
      <c r="A86" s="167"/>
      <c r="B86" s="79">
        <v>15</v>
      </c>
      <c r="C86" s="168"/>
      <c r="D86" s="168"/>
      <c r="E86" s="168"/>
      <c r="F86" s="80">
        <v>0.58333333333333304</v>
      </c>
      <c r="G86" s="76"/>
    </row>
    <row r="87" spans="1:7" ht="9.75" customHeight="1" x14ac:dyDescent="0.25">
      <c r="A87" s="167"/>
      <c r="B87" s="79">
        <v>16</v>
      </c>
      <c r="C87" s="168"/>
      <c r="D87" s="168"/>
      <c r="E87" s="168"/>
      <c r="F87" s="80">
        <v>0.625</v>
      </c>
      <c r="G87" s="76"/>
    </row>
    <row r="88" spans="1:7" ht="9.75" customHeight="1" x14ac:dyDescent="0.25">
      <c r="A88" s="167"/>
      <c r="B88" s="79">
        <v>17</v>
      </c>
      <c r="C88" s="168"/>
      <c r="D88" s="168"/>
      <c r="E88" s="169" t="s">
        <v>127</v>
      </c>
      <c r="F88" s="80">
        <v>0.66666666666666696</v>
      </c>
      <c r="G88" s="76"/>
    </row>
    <row r="89" spans="1:7" ht="9.75" customHeight="1" x14ac:dyDescent="0.25">
      <c r="A89" s="167"/>
      <c r="B89" s="79">
        <v>18</v>
      </c>
      <c r="C89" s="168"/>
      <c r="D89" s="168"/>
      <c r="E89" s="169"/>
      <c r="F89" s="80">
        <v>0.70833333333333304</v>
      </c>
      <c r="G89" s="76"/>
    </row>
    <row r="90" spans="1:7" ht="9.75" customHeight="1" x14ac:dyDescent="0.25">
      <c r="A90" s="167"/>
      <c r="B90" s="79">
        <v>19</v>
      </c>
      <c r="C90" s="168"/>
      <c r="D90" s="168"/>
      <c r="E90" s="169"/>
      <c r="F90" s="80">
        <v>0.75</v>
      </c>
      <c r="G90" s="76"/>
    </row>
    <row r="91" spans="1:7" ht="9.75" customHeight="1" x14ac:dyDescent="0.25">
      <c r="A91" s="167"/>
      <c r="B91" s="79">
        <v>20</v>
      </c>
      <c r="C91" s="168"/>
      <c r="D91" s="168"/>
      <c r="E91" s="169"/>
      <c r="F91" s="80">
        <v>0.79166666666666696</v>
      </c>
      <c r="G91" s="76"/>
    </row>
    <row r="92" spans="1:7" ht="9.75" customHeight="1" x14ac:dyDescent="0.25">
      <c r="A92" s="167"/>
      <c r="B92" s="79">
        <v>21</v>
      </c>
      <c r="C92" s="168"/>
      <c r="D92" s="168"/>
      <c r="E92" s="169"/>
      <c r="F92" s="80">
        <v>0.83333333333333304</v>
      </c>
      <c r="G92" s="76"/>
    </row>
    <row r="93" spans="1:7" ht="9.75" customHeight="1" x14ac:dyDescent="0.25">
      <c r="A93" s="167"/>
      <c r="B93" s="79">
        <v>22</v>
      </c>
      <c r="C93" s="168"/>
      <c r="D93" s="168"/>
      <c r="E93" s="169"/>
      <c r="F93" s="80">
        <v>0.875</v>
      </c>
      <c r="G93" s="76"/>
    </row>
    <row r="94" spans="1:7" ht="9.75" customHeight="1" x14ac:dyDescent="0.25">
      <c r="A94" s="167"/>
      <c r="B94" s="79">
        <v>23</v>
      </c>
      <c r="C94" s="168"/>
      <c r="D94" s="168"/>
      <c r="E94" s="169"/>
      <c r="F94" s="80">
        <v>0.91666666666666696</v>
      </c>
      <c r="G94" s="76"/>
    </row>
    <row r="95" spans="1:7" ht="9.75" customHeight="1" x14ac:dyDescent="0.25">
      <c r="A95" s="167"/>
      <c r="B95" s="79">
        <v>24</v>
      </c>
      <c r="C95" s="168"/>
      <c r="D95" s="168"/>
      <c r="E95" s="169"/>
      <c r="F95" s="80">
        <v>0.95833333333333304</v>
      </c>
      <c r="G95" s="76"/>
    </row>
    <row r="96" spans="1:7" ht="9.75" customHeight="1" x14ac:dyDescent="0.25">
      <c r="A96" s="75"/>
      <c r="B96" s="79"/>
    </row>
  </sheetData>
  <mergeCells count="17">
    <mergeCell ref="E66:E87"/>
    <mergeCell ref="E31:E42"/>
    <mergeCell ref="C24:C37"/>
    <mergeCell ref="C38:C60"/>
    <mergeCell ref="D78:D95"/>
    <mergeCell ref="D48:D77"/>
    <mergeCell ref="E24:E30"/>
    <mergeCell ref="E88:E95"/>
    <mergeCell ref="C74:C80"/>
    <mergeCell ref="E43:E50"/>
    <mergeCell ref="E58:E65"/>
    <mergeCell ref="A5:B5"/>
    <mergeCell ref="A24:A47"/>
    <mergeCell ref="A48:A71"/>
    <mergeCell ref="A72:A95"/>
    <mergeCell ref="C61:C73"/>
    <mergeCell ref="C81:C9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5078-926B-4681-86D6-DF4991912015}">
  <dimension ref="A1:J28"/>
  <sheetViews>
    <sheetView topLeftCell="A13" workbookViewId="0">
      <selection activeCell="K27" sqref="K27"/>
    </sheetView>
  </sheetViews>
  <sheetFormatPr baseColWidth="10" defaultColWidth="9.140625" defaultRowHeight="15" x14ac:dyDescent="0.25"/>
  <cols>
    <col min="2" max="2" width="14.7109375" customWidth="1"/>
    <col min="4" max="5" width="10.7109375" customWidth="1"/>
    <col min="6" max="6" width="12.140625" customWidth="1"/>
    <col min="7" max="7" width="12.42578125" customWidth="1"/>
    <col min="8" max="8" width="12.140625" customWidth="1"/>
  </cols>
  <sheetData>
    <row r="1" spans="1:10" x14ac:dyDescent="0.25">
      <c r="A1" s="73" t="s">
        <v>133</v>
      </c>
    </row>
    <row r="3" spans="1:10" x14ac:dyDescent="0.25">
      <c r="A3" t="s">
        <v>89</v>
      </c>
      <c r="B3">
        <v>0.75</v>
      </c>
      <c r="D3" t="s">
        <v>134</v>
      </c>
    </row>
    <row r="4" spans="1:10" x14ac:dyDescent="0.25">
      <c r="A4" t="s">
        <v>94</v>
      </c>
      <c r="B4">
        <v>1.2</v>
      </c>
    </row>
    <row r="5" spans="1:10" x14ac:dyDescent="0.25">
      <c r="A5" t="s">
        <v>90</v>
      </c>
      <c r="B5">
        <v>1</v>
      </c>
    </row>
    <row r="6" spans="1:10" x14ac:dyDescent="0.25">
      <c r="A6" t="s">
        <v>96</v>
      </c>
      <c r="B6">
        <v>1</v>
      </c>
    </row>
    <row r="8" spans="1:10" x14ac:dyDescent="0.25">
      <c r="A8" t="s">
        <v>135</v>
      </c>
      <c r="B8">
        <f>17-8</f>
        <v>9</v>
      </c>
      <c r="C8" t="s">
        <v>136</v>
      </c>
      <c r="D8" t="s">
        <v>137</v>
      </c>
    </row>
    <row r="9" spans="1:10" x14ac:dyDescent="0.25">
      <c r="A9" t="s">
        <v>76</v>
      </c>
      <c r="B9">
        <v>1</v>
      </c>
      <c r="C9" t="s">
        <v>136</v>
      </c>
      <c r="D9" t="s">
        <v>138</v>
      </c>
    </row>
    <row r="11" spans="1:10" x14ac:dyDescent="0.25">
      <c r="A11" t="s">
        <v>139</v>
      </c>
    </row>
    <row r="12" spans="1:10" x14ac:dyDescent="0.25">
      <c r="F12" s="164" t="s">
        <v>140</v>
      </c>
      <c r="G12" s="164"/>
      <c r="H12" s="164"/>
      <c r="I12" s="164"/>
    </row>
    <row r="13" spans="1:10" x14ac:dyDescent="0.25">
      <c r="A13" t="s">
        <v>141</v>
      </c>
      <c r="E13" s="2" t="s">
        <v>116</v>
      </c>
      <c r="F13" s="86">
        <v>0.75</v>
      </c>
      <c r="G13" s="84">
        <v>1.2</v>
      </c>
      <c r="H13" s="13">
        <v>1</v>
      </c>
      <c r="I13" s="85">
        <v>1</v>
      </c>
      <c r="J13" s="2" t="s">
        <v>142</v>
      </c>
    </row>
    <row r="14" spans="1:10" x14ac:dyDescent="0.25">
      <c r="A14" t="s">
        <v>143</v>
      </c>
      <c r="E14" s="2" t="s">
        <v>144</v>
      </c>
      <c r="F14" s="2"/>
      <c r="G14" s="2" t="s">
        <v>94</v>
      </c>
      <c r="H14" s="2"/>
      <c r="I14" s="2" t="s">
        <v>96</v>
      </c>
      <c r="J14" s="84">
        <v>18</v>
      </c>
    </row>
    <row r="15" spans="1:10" x14ac:dyDescent="0.25">
      <c r="A15" t="s">
        <v>145</v>
      </c>
      <c r="E15" s="2" t="s">
        <v>146</v>
      </c>
      <c r="F15" s="2"/>
      <c r="G15" s="2"/>
      <c r="H15" s="2" t="s">
        <v>90</v>
      </c>
      <c r="I15" s="2" t="s">
        <v>96</v>
      </c>
      <c r="J15" s="13">
        <v>12</v>
      </c>
    </row>
    <row r="16" spans="1:10" x14ac:dyDescent="0.25">
      <c r="A16" t="s">
        <v>147</v>
      </c>
      <c r="E16" s="2" t="s">
        <v>148</v>
      </c>
      <c r="F16" s="2" t="s">
        <v>89</v>
      </c>
      <c r="G16" s="2" t="s">
        <v>94</v>
      </c>
      <c r="H16" s="2"/>
      <c r="I16" s="2" t="s">
        <v>96</v>
      </c>
      <c r="J16" s="85">
        <v>11</v>
      </c>
    </row>
    <row r="17" spans="1:10" x14ac:dyDescent="0.25">
      <c r="E17" s="2" t="s">
        <v>149</v>
      </c>
      <c r="F17" s="2" t="s">
        <v>89</v>
      </c>
      <c r="G17" s="2" t="s">
        <v>94</v>
      </c>
      <c r="H17" s="2" t="s">
        <v>90</v>
      </c>
      <c r="I17" s="2"/>
      <c r="J17" s="86">
        <v>6</v>
      </c>
    </row>
    <row r="18" spans="1:10" x14ac:dyDescent="0.25">
      <c r="A18" t="s">
        <v>150</v>
      </c>
      <c r="B18">
        <v>18</v>
      </c>
      <c r="C18" t="s">
        <v>151</v>
      </c>
    </row>
    <row r="19" spans="1:10" x14ac:dyDescent="0.25">
      <c r="A19" t="s">
        <v>152</v>
      </c>
      <c r="B19">
        <v>12</v>
      </c>
      <c r="C19" t="s">
        <v>151</v>
      </c>
      <c r="E19" s="1" t="s">
        <v>144</v>
      </c>
      <c r="F19" s="1" t="s">
        <v>94</v>
      </c>
      <c r="G19" s="1">
        <v>18</v>
      </c>
      <c r="H19" s="1">
        <v>1.2</v>
      </c>
      <c r="I19">
        <f t="shared" ref="I19:I21" si="0">G19/H19</f>
        <v>15</v>
      </c>
    </row>
    <row r="20" spans="1:10" x14ac:dyDescent="0.25">
      <c r="A20" t="s">
        <v>153</v>
      </c>
      <c r="B20">
        <v>11</v>
      </c>
      <c r="C20" t="s">
        <v>151</v>
      </c>
      <c r="E20" s="1" t="s">
        <v>146</v>
      </c>
      <c r="F20" s="1" t="s">
        <v>90</v>
      </c>
      <c r="G20" s="1">
        <v>12</v>
      </c>
      <c r="H20" s="1">
        <v>1</v>
      </c>
      <c r="I20">
        <f t="shared" si="0"/>
        <v>12</v>
      </c>
    </row>
    <row r="21" spans="1:10" x14ac:dyDescent="0.25">
      <c r="A21" t="s">
        <v>154</v>
      </c>
      <c r="B21">
        <v>6</v>
      </c>
      <c r="C21" t="s">
        <v>151</v>
      </c>
      <c r="E21" s="1" t="s">
        <v>148</v>
      </c>
      <c r="F21" s="1" t="s">
        <v>96</v>
      </c>
      <c r="G21" s="1">
        <v>11</v>
      </c>
      <c r="H21" s="1">
        <v>1</v>
      </c>
      <c r="I21">
        <f t="shared" si="0"/>
        <v>11</v>
      </c>
    </row>
    <row r="22" spans="1:10" x14ac:dyDescent="0.25">
      <c r="E22" s="1" t="s">
        <v>149</v>
      </c>
      <c r="F22" s="1" t="s">
        <v>89</v>
      </c>
      <c r="G22" s="1">
        <v>6</v>
      </c>
      <c r="H22" s="1">
        <v>0.75</v>
      </c>
      <c r="I22">
        <f>G22/H22</f>
        <v>8</v>
      </c>
    </row>
    <row r="24" spans="1:10" x14ac:dyDescent="0.25">
      <c r="D24" t="s">
        <v>155</v>
      </c>
    </row>
    <row r="25" spans="1:10" x14ac:dyDescent="0.25">
      <c r="A25" s="1" t="s">
        <v>144</v>
      </c>
      <c r="B25">
        <v>15</v>
      </c>
      <c r="C25" s="1" t="s">
        <v>94</v>
      </c>
      <c r="D25" s="87" t="s">
        <v>156</v>
      </c>
      <c r="E25" s="87" t="s">
        <v>157</v>
      </c>
      <c r="F25" s="87" t="s">
        <v>158</v>
      </c>
      <c r="G25" s="87" t="s">
        <v>159</v>
      </c>
      <c r="H25" s="87" t="s">
        <v>160</v>
      </c>
    </row>
    <row r="26" spans="1:10" x14ac:dyDescent="0.25">
      <c r="A26" s="1" t="s">
        <v>146</v>
      </c>
      <c r="B26">
        <v>12</v>
      </c>
      <c r="C26" s="1" t="s">
        <v>90</v>
      </c>
      <c r="D26" s="88" t="s">
        <v>161</v>
      </c>
      <c r="E26" s="88" t="s">
        <v>162</v>
      </c>
      <c r="F26" s="88" t="s">
        <v>163</v>
      </c>
      <c r="G26" s="89" t="s">
        <v>164</v>
      </c>
      <c r="H26" s="88" t="s">
        <v>165</v>
      </c>
    </row>
    <row r="27" spans="1:10" x14ac:dyDescent="0.25">
      <c r="A27" s="1" t="s">
        <v>148</v>
      </c>
      <c r="B27">
        <v>11</v>
      </c>
      <c r="C27" s="1" t="s">
        <v>96</v>
      </c>
      <c r="D27" s="90" t="s">
        <v>166</v>
      </c>
      <c r="E27" s="90" t="s">
        <v>167</v>
      </c>
      <c r="F27" s="90" t="s">
        <v>168</v>
      </c>
      <c r="G27" s="90" t="s">
        <v>169</v>
      </c>
      <c r="H27" s="90" t="s">
        <v>170</v>
      </c>
    </row>
    <row r="28" spans="1:10" x14ac:dyDescent="0.25">
      <c r="A28" s="1" t="s">
        <v>149</v>
      </c>
      <c r="B28">
        <v>8</v>
      </c>
      <c r="C28" s="1" t="s">
        <v>89</v>
      </c>
      <c r="D28" s="91" t="s">
        <v>171</v>
      </c>
      <c r="E28" s="91" t="s">
        <v>172</v>
      </c>
      <c r="F28" s="91" t="s">
        <v>173</v>
      </c>
      <c r="G28" s="91" t="s">
        <v>174</v>
      </c>
      <c r="H28" s="91" t="s">
        <v>175</v>
      </c>
    </row>
  </sheetData>
  <mergeCells count="1">
    <mergeCell ref="F12:I1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30A2-4400-4512-9F39-749392F3FFDE}">
  <dimension ref="A1:I24"/>
  <sheetViews>
    <sheetView workbookViewId="0">
      <selection activeCell="A7" sqref="A7"/>
    </sheetView>
  </sheetViews>
  <sheetFormatPr baseColWidth="10" defaultColWidth="9.140625" defaultRowHeight="15" x14ac:dyDescent="0.25"/>
  <cols>
    <col min="2" max="2" width="11.7109375" customWidth="1"/>
    <col min="3" max="3" width="10.85546875" customWidth="1"/>
    <col min="4" max="4" width="11.5703125" customWidth="1"/>
    <col min="5" max="6" width="12.7109375" customWidth="1"/>
  </cols>
  <sheetData>
    <row r="1" spans="1:7" x14ac:dyDescent="0.25">
      <c r="A1" t="s">
        <v>176</v>
      </c>
    </row>
    <row r="3" spans="1:7" x14ac:dyDescent="0.25">
      <c r="A3" t="s">
        <v>177</v>
      </c>
      <c r="B3">
        <v>0.75</v>
      </c>
    </row>
    <row r="4" spans="1:7" x14ac:dyDescent="0.25">
      <c r="A4" t="s">
        <v>178</v>
      </c>
      <c r="B4">
        <v>1.2</v>
      </c>
    </row>
    <row r="5" spans="1:7" x14ac:dyDescent="0.25">
      <c r="A5" t="s">
        <v>179</v>
      </c>
      <c r="B5">
        <v>1</v>
      </c>
    </row>
    <row r="6" spans="1:7" x14ac:dyDescent="0.25">
      <c r="A6" t="s">
        <v>180</v>
      </c>
      <c r="B6">
        <v>1</v>
      </c>
    </row>
    <row r="7" spans="1:7" x14ac:dyDescent="0.25">
      <c r="C7" s="164" t="s">
        <v>140</v>
      </c>
      <c r="D7" s="164"/>
      <c r="E7" s="164"/>
      <c r="F7" s="164"/>
    </row>
    <row r="8" spans="1:7" x14ac:dyDescent="0.25">
      <c r="A8" s="2"/>
      <c r="B8" s="2" t="s">
        <v>142</v>
      </c>
      <c r="C8" s="94">
        <v>0.75</v>
      </c>
      <c r="D8" s="92">
        <v>1.2</v>
      </c>
      <c r="E8" s="85">
        <v>1</v>
      </c>
      <c r="F8" s="93">
        <v>1</v>
      </c>
      <c r="G8" s="1"/>
    </row>
    <row r="9" spans="1:7" x14ac:dyDescent="0.25">
      <c r="A9" s="2" t="s">
        <v>144</v>
      </c>
      <c r="B9" s="93">
        <v>18</v>
      </c>
      <c r="C9" s="2"/>
      <c r="D9" s="2"/>
      <c r="E9" s="2" t="s">
        <v>90</v>
      </c>
      <c r="F9" s="2" t="s">
        <v>96</v>
      </c>
      <c r="G9" s="1"/>
    </row>
    <row r="10" spans="1:7" x14ac:dyDescent="0.25">
      <c r="A10" s="2" t="s">
        <v>146</v>
      </c>
      <c r="B10" s="92">
        <v>12</v>
      </c>
      <c r="C10" s="2" t="s">
        <v>89</v>
      </c>
      <c r="D10" s="2" t="s">
        <v>94</v>
      </c>
      <c r="E10" s="2" t="s">
        <v>90</v>
      </c>
      <c r="F10" s="2" t="s">
        <v>96</v>
      </c>
      <c r="G10" s="1"/>
    </row>
    <row r="11" spans="1:7" x14ac:dyDescent="0.25">
      <c r="A11" s="2" t="s">
        <v>148</v>
      </c>
      <c r="B11" s="85">
        <v>11</v>
      </c>
      <c r="C11" s="2" t="s">
        <v>89</v>
      </c>
      <c r="D11" s="2"/>
      <c r="E11" s="2" t="s">
        <v>90</v>
      </c>
      <c r="F11" s="2"/>
      <c r="G11" s="1"/>
    </row>
    <row r="12" spans="1:7" x14ac:dyDescent="0.25">
      <c r="A12" s="2" t="s">
        <v>149</v>
      </c>
      <c r="B12" s="94">
        <v>6</v>
      </c>
      <c r="C12" s="2" t="s">
        <v>89</v>
      </c>
      <c r="D12" s="2"/>
      <c r="E12" s="2"/>
      <c r="F12" s="2" t="s">
        <v>96</v>
      </c>
      <c r="G12" s="1"/>
    </row>
    <row r="13" spans="1:7" x14ac:dyDescent="0.25">
      <c r="A13" s="1"/>
      <c r="B13" s="60"/>
      <c r="C13" s="1"/>
      <c r="D13" s="1"/>
      <c r="E13" s="1"/>
      <c r="F13" s="1"/>
      <c r="G13" s="1"/>
    </row>
    <row r="14" spans="1:7" x14ac:dyDescent="0.25">
      <c r="B14" s="6" t="s">
        <v>116</v>
      </c>
      <c r="C14" s="2" t="s">
        <v>74</v>
      </c>
      <c r="D14" s="2" t="s">
        <v>151</v>
      </c>
      <c r="E14" s="86" t="s">
        <v>15</v>
      </c>
    </row>
    <row r="15" spans="1:7" x14ac:dyDescent="0.25">
      <c r="A15" s="4" t="s">
        <v>144</v>
      </c>
      <c r="B15" s="2" t="s">
        <v>96</v>
      </c>
      <c r="C15" s="2">
        <v>1</v>
      </c>
      <c r="D15" s="2">
        <v>18</v>
      </c>
      <c r="E15" s="86">
        <f>+D15/C15</f>
        <v>18</v>
      </c>
    </row>
    <row r="16" spans="1:7" x14ac:dyDescent="0.25">
      <c r="A16" s="4" t="s">
        <v>146</v>
      </c>
      <c r="B16" s="2" t="s">
        <v>94</v>
      </c>
      <c r="C16" s="2">
        <v>1.2</v>
      </c>
      <c r="D16" s="2">
        <v>12</v>
      </c>
      <c r="E16" s="86">
        <f t="shared" ref="E16:E18" si="0">+D16/C16</f>
        <v>10</v>
      </c>
    </row>
    <row r="17" spans="1:9" x14ac:dyDescent="0.25">
      <c r="A17" s="4" t="s">
        <v>148</v>
      </c>
      <c r="B17" s="2" t="s">
        <v>90</v>
      </c>
      <c r="C17" s="2">
        <v>1</v>
      </c>
      <c r="D17" s="2">
        <v>11</v>
      </c>
      <c r="E17" s="86">
        <f t="shared" si="0"/>
        <v>11</v>
      </c>
    </row>
    <row r="18" spans="1:9" x14ac:dyDescent="0.25">
      <c r="A18" s="4" t="s">
        <v>149</v>
      </c>
      <c r="B18" s="2" t="s">
        <v>89</v>
      </c>
      <c r="C18" s="2">
        <v>0.75</v>
      </c>
      <c r="D18" s="2">
        <v>6</v>
      </c>
      <c r="E18" s="86">
        <f t="shared" si="0"/>
        <v>8</v>
      </c>
    </row>
    <row r="20" spans="1:9" x14ac:dyDescent="0.25">
      <c r="B20" s="1">
        <v>1</v>
      </c>
      <c r="C20" s="1">
        <v>2</v>
      </c>
      <c r="D20" s="1">
        <v>3</v>
      </c>
      <c r="E20" s="1">
        <v>4</v>
      </c>
      <c r="F20" s="1">
        <v>5</v>
      </c>
      <c r="G20" t="s">
        <v>181</v>
      </c>
      <c r="H20" s="46">
        <v>1.2499999999999999E-2</v>
      </c>
      <c r="I20" s="46">
        <v>0.375</v>
      </c>
    </row>
    <row r="21" spans="1:9" x14ac:dyDescent="0.25">
      <c r="A21" s="2" t="s">
        <v>144</v>
      </c>
      <c r="B21" s="47">
        <f>+I20+H20</f>
        <v>0.38750000000000001</v>
      </c>
      <c r="C21" s="47">
        <f>+B21+$H$20</f>
        <v>0.4</v>
      </c>
      <c r="D21" s="47">
        <f t="shared" ref="D21:F21" si="1">+C21+$H$20</f>
        <v>0.41250000000000003</v>
      </c>
      <c r="E21" s="47">
        <f t="shared" si="1"/>
        <v>0.42500000000000004</v>
      </c>
      <c r="F21" s="47">
        <f t="shared" si="1"/>
        <v>0.43750000000000006</v>
      </c>
      <c r="H21" s="46">
        <v>6.9444444444444441E-3</v>
      </c>
    </row>
    <row r="22" spans="1:9" x14ac:dyDescent="0.25">
      <c r="A22" s="2" t="s">
        <v>146</v>
      </c>
      <c r="B22" s="47">
        <f t="shared" ref="B22:D22" si="2">+C22-$H$21</f>
        <v>0.4166666666666668</v>
      </c>
      <c r="C22" s="47">
        <f t="shared" si="2"/>
        <v>0.42361111111111122</v>
      </c>
      <c r="D22" s="47">
        <f t="shared" si="2"/>
        <v>0.43055555555555564</v>
      </c>
      <c r="E22" s="47">
        <f>+F22-$H$21</f>
        <v>0.43750000000000006</v>
      </c>
      <c r="F22" s="47">
        <f>+F21+$H$21</f>
        <v>0.44444444444444448</v>
      </c>
      <c r="H22" s="46">
        <v>7.6388888888888886E-3</v>
      </c>
    </row>
    <row r="23" spans="1:9" x14ac:dyDescent="0.25">
      <c r="A23" s="2" t="s">
        <v>148</v>
      </c>
      <c r="B23" s="47">
        <f>+B22+H22</f>
        <v>0.42430555555555566</v>
      </c>
      <c r="C23" s="47">
        <f>+B23+$H$22</f>
        <v>0.43194444444444452</v>
      </c>
      <c r="D23" s="47">
        <f t="shared" ref="D23:F23" si="3">+C23+$H$22</f>
        <v>0.43958333333333338</v>
      </c>
      <c r="E23" s="47">
        <f t="shared" si="3"/>
        <v>0.44722222222222224</v>
      </c>
      <c r="F23" s="47">
        <f t="shared" si="3"/>
        <v>0.4548611111111111</v>
      </c>
      <c r="H23" s="46">
        <v>5.5555555555555558E-3</v>
      </c>
    </row>
    <row r="24" spans="1:9" x14ac:dyDescent="0.25">
      <c r="A24" s="2" t="s">
        <v>149</v>
      </c>
      <c r="B24" s="47">
        <f t="shared" ref="B24:D24" si="4">+C24-$H$23</f>
        <v>0.4381944444444445</v>
      </c>
      <c r="C24" s="47">
        <f t="shared" si="4"/>
        <v>0.44375000000000003</v>
      </c>
      <c r="D24" s="47">
        <f t="shared" si="4"/>
        <v>0.44930555555555557</v>
      </c>
      <c r="E24" s="47">
        <f>+F24-$H$23</f>
        <v>0.4548611111111111</v>
      </c>
      <c r="F24" s="47">
        <f>+F23+H23</f>
        <v>0.46041666666666664</v>
      </c>
    </row>
  </sheetData>
  <mergeCells count="1">
    <mergeCell ref="C7:F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6F65-2AE3-4CE6-94D1-58575866EDD9}">
  <dimension ref="A2:N25"/>
  <sheetViews>
    <sheetView topLeftCell="A10" workbookViewId="0">
      <selection activeCell="A20" sqref="A20:K25"/>
    </sheetView>
  </sheetViews>
  <sheetFormatPr baseColWidth="10" defaultColWidth="9.140625" defaultRowHeight="15" x14ac:dyDescent="0.25"/>
  <cols>
    <col min="2" max="2" width="9.140625" customWidth="1"/>
  </cols>
  <sheetData>
    <row r="2" spans="1:6" x14ac:dyDescent="0.25">
      <c r="A2" t="s">
        <v>177</v>
      </c>
      <c r="B2">
        <v>0.8</v>
      </c>
    </row>
    <row r="3" spans="1:6" x14ac:dyDescent="0.25">
      <c r="A3" t="s">
        <v>178</v>
      </c>
      <c r="B3">
        <v>1.2</v>
      </c>
    </row>
    <row r="4" spans="1:6" x14ac:dyDescent="0.25">
      <c r="A4" t="s">
        <v>179</v>
      </c>
      <c r="B4">
        <v>0.9</v>
      </c>
    </row>
    <row r="5" spans="1:6" x14ac:dyDescent="0.25">
      <c r="A5" t="s">
        <v>180</v>
      </c>
      <c r="B5">
        <v>1</v>
      </c>
    </row>
    <row r="7" spans="1:6" x14ac:dyDescent="0.25">
      <c r="C7" s="164" t="s">
        <v>140</v>
      </c>
      <c r="D7" s="164"/>
      <c r="E7" s="164"/>
      <c r="F7" s="164"/>
    </row>
    <row r="8" spans="1:6" x14ac:dyDescent="0.25">
      <c r="A8" s="2"/>
      <c r="B8" s="2" t="s">
        <v>142</v>
      </c>
      <c r="C8" s="98">
        <v>0.8</v>
      </c>
      <c r="D8" s="96">
        <v>1.2</v>
      </c>
      <c r="E8" s="97">
        <v>0.9</v>
      </c>
      <c r="F8" s="86">
        <v>1</v>
      </c>
    </row>
    <row r="9" spans="1:6" x14ac:dyDescent="0.25">
      <c r="A9" s="86" t="s">
        <v>144</v>
      </c>
      <c r="B9" s="2">
        <v>18</v>
      </c>
      <c r="C9" s="2" t="s">
        <v>89</v>
      </c>
      <c r="D9" s="2"/>
      <c r="E9" s="2" t="s">
        <v>90</v>
      </c>
      <c r="F9" s="2" t="s">
        <v>96</v>
      </c>
    </row>
    <row r="10" spans="1:6" x14ac:dyDescent="0.25">
      <c r="A10" s="96" t="s">
        <v>146</v>
      </c>
      <c r="B10" s="2">
        <v>12</v>
      </c>
      <c r="C10" s="2" t="s">
        <v>89</v>
      </c>
      <c r="D10" s="2" t="s">
        <v>94</v>
      </c>
      <c r="E10" s="2" t="s">
        <v>90</v>
      </c>
      <c r="F10" s="2" t="s">
        <v>96</v>
      </c>
    </row>
    <row r="11" spans="1:6" x14ac:dyDescent="0.25">
      <c r="A11" s="97" t="s">
        <v>148</v>
      </c>
      <c r="B11" s="2">
        <v>10</v>
      </c>
      <c r="C11" s="2"/>
      <c r="D11" s="2" t="s">
        <v>94</v>
      </c>
      <c r="E11" s="2" t="s">
        <v>90</v>
      </c>
      <c r="F11" s="2" t="s">
        <v>96</v>
      </c>
    </row>
    <row r="12" spans="1:6" x14ac:dyDescent="0.25">
      <c r="A12" s="98" t="s">
        <v>149</v>
      </c>
      <c r="B12" s="2">
        <v>6</v>
      </c>
      <c r="C12" s="2" t="s">
        <v>89</v>
      </c>
      <c r="D12" s="2" t="s">
        <v>94</v>
      </c>
      <c r="E12" s="2"/>
      <c r="F12" s="2" t="s">
        <v>96</v>
      </c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B14" s="6" t="s">
        <v>116</v>
      </c>
      <c r="C14" s="2" t="s">
        <v>74</v>
      </c>
      <c r="D14" s="2" t="s">
        <v>151</v>
      </c>
      <c r="E14" s="2" t="s">
        <v>15</v>
      </c>
    </row>
    <row r="15" spans="1:6" x14ac:dyDescent="0.25">
      <c r="A15" s="4" t="s">
        <v>144</v>
      </c>
      <c r="B15" s="2" t="s">
        <v>96</v>
      </c>
      <c r="C15" s="2">
        <v>1</v>
      </c>
      <c r="D15" s="2">
        <v>18</v>
      </c>
      <c r="E15" s="2">
        <v>18</v>
      </c>
    </row>
    <row r="16" spans="1:6" x14ac:dyDescent="0.25">
      <c r="A16" s="4" t="s">
        <v>146</v>
      </c>
      <c r="B16" s="2" t="s">
        <v>94</v>
      </c>
      <c r="C16" s="2">
        <v>1.2</v>
      </c>
      <c r="D16" s="2">
        <v>12</v>
      </c>
      <c r="E16" s="2">
        <v>10</v>
      </c>
    </row>
    <row r="17" spans="1:14" x14ac:dyDescent="0.25">
      <c r="A17" s="4" t="s">
        <v>148</v>
      </c>
      <c r="B17" s="2" t="s">
        <v>90</v>
      </c>
      <c r="C17" s="2">
        <v>0.9</v>
      </c>
      <c r="D17" s="2">
        <v>10</v>
      </c>
      <c r="E17" s="2">
        <v>12</v>
      </c>
    </row>
    <row r="18" spans="1:14" x14ac:dyDescent="0.25">
      <c r="A18" s="4" t="s">
        <v>149</v>
      </c>
      <c r="B18" s="2" t="s">
        <v>89</v>
      </c>
      <c r="C18" s="2">
        <v>0.8</v>
      </c>
      <c r="D18" s="2">
        <v>6</v>
      </c>
      <c r="E18" s="2">
        <v>8</v>
      </c>
    </row>
    <row r="20" spans="1:14" x14ac:dyDescent="0.25">
      <c r="A20" s="1" t="s">
        <v>182</v>
      </c>
      <c r="B20" s="164">
        <v>1</v>
      </c>
      <c r="C20" s="164"/>
      <c r="D20" s="164">
        <v>2</v>
      </c>
      <c r="E20" s="164"/>
      <c r="F20" s="164">
        <v>3</v>
      </c>
      <c r="G20" s="164"/>
      <c r="H20" s="164">
        <v>4</v>
      </c>
      <c r="I20" s="164"/>
      <c r="J20" s="164">
        <v>5</v>
      </c>
      <c r="K20" s="164"/>
    </row>
    <row r="21" spans="1:14" x14ac:dyDescent="0.25">
      <c r="A21" s="1"/>
      <c r="B21" s="2" t="s">
        <v>183</v>
      </c>
      <c r="C21" s="2" t="s">
        <v>184</v>
      </c>
      <c r="D21" s="2" t="s">
        <v>183</v>
      </c>
      <c r="E21" s="2" t="s">
        <v>184</v>
      </c>
      <c r="F21" s="2" t="s">
        <v>183</v>
      </c>
      <c r="G21" s="2" t="s">
        <v>184</v>
      </c>
      <c r="H21" s="2" t="s">
        <v>183</v>
      </c>
      <c r="I21" s="2" t="s">
        <v>184</v>
      </c>
      <c r="J21" s="2" t="s">
        <v>183</v>
      </c>
      <c r="K21" s="2" t="s">
        <v>184</v>
      </c>
    </row>
    <row r="22" spans="1:14" x14ac:dyDescent="0.25">
      <c r="A22" s="2" t="s">
        <v>144</v>
      </c>
      <c r="B22" s="47">
        <f>+M22</f>
        <v>0.375</v>
      </c>
      <c r="C22" s="47">
        <f>+B22+N22</f>
        <v>0.38750000000000001</v>
      </c>
      <c r="D22" s="47">
        <f>+C22</f>
        <v>0.38750000000000001</v>
      </c>
      <c r="E22" s="47">
        <f>+D22+$N$22</f>
        <v>0.4</v>
      </c>
      <c r="F22" s="47">
        <f>+E22</f>
        <v>0.4</v>
      </c>
      <c r="G22" s="47">
        <f>+F22+$N$22</f>
        <v>0.41250000000000003</v>
      </c>
      <c r="H22" s="47">
        <f>+G22</f>
        <v>0.41250000000000003</v>
      </c>
      <c r="I22" s="47">
        <f>+H22+$N$22</f>
        <v>0.42500000000000004</v>
      </c>
      <c r="J22" s="47">
        <f>+I22</f>
        <v>0.42500000000000004</v>
      </c>
      <c r="K22" s="101">
        <f>+J22+$N$22</f>
        <v>0.43750000000000006</v>
      </c>
      <c r="M22" s="46">
        <v>0.375</v>
      </c>
      <c r="N22" s="95">
        <v>1.2499999999999999E-2</v>
      </c>
    </row>
    <row r="23" spans="1:14" x14ac:dyDescent="0.25">
      <c r="A23" s="2" t="s">
        <v>146</v>
      </c>
      <c r="B23" s="47">
        <f>+C23-$N$23</f>
        <v>0.40972222222222238</v>
      </c>
      <c r="C23" s="101">
        <f>+D23</f>
        <v>0.4166666666666668</v>
      </c>
      <c r="D23" s="47">
        <f>+E23-$N$23</f>
        <v>0.4166666666666668</v>
      </c>
      <c r="E23" s="47">
        <f>+F23</f>
        <v>0.42361111111111122</v>
      </c>
      <c r="F23" s="47">
        <f>+G23-$N$23</f>
        <v>0.42361111111111122</v>
      </c>
      <c r="G23" s="47">
        <f>+H23</f>
        <v>0.43055555555555564</v>
      </c>
      <c r="H23" s="47">
        <f>+J23-N23</f>
        <v>0.43055555555555564</v>
      </c>
      <c r="I23" s="100">
        <f>+J23</f>
        <v>0.43750000000000006</v>
      </c>
      <c r="J23" s="101">
        <f>+K22</f>
        <v>0.43750000000000006</v>
      </c>
      <c r="K23" s="47">
        <f>+J23+N23</f>
        <v>0.44444444444444448</v>
      </c>
      <c r="N23" s="95">
        <v>6.9444444444444441E-3</v>
      </c>
    </row>
    <row r="24" spans="1:14" x14ac:dyDescent="0.25">
      <c r="A24" s="2" t="s">
        <v>148</v>
      </c>
      <c r="B24" s="101">
        <f>+C23</f>
        <v>0.4166666666666668</v>
      </c>
      <c r="C24" s="47">
        <f>+B24+$N$24</f>
        <v>0.42500000000000016</v>
      </c>
      <c r="D24" s="47">
        <f>+C24</f>
        <v>0.42500000000000016</v>
      </c>
      <c r="E24" s="47">
        <f>+D24+$N$24</f>
        <v>0.43333333333333351</v>
      </c>
      <c r="F24" s="47">
        <f>+E24</f>
        <v>0.43333333333333351</v>
      </c>
      <c r="G24" s="47">
        <f>+F24+$N$24</f>
        <v>0.44166666666666687</v>
      </c>
      <c r="H24" s="47">
        <f>+G24</f>
        <v>0.44166666666666687</v>
      </c>
      <c r="I24" s="47">
        <f>+H24+$N$24</f>
        <v>0.45000000000000023</v>
      </c>
      <c r="J24" s="47">
        <f>+I24</f>
        <v>0.45000000000000023</v>
      </c>
      <c r="K24" s="101">
        <f>+J24+$N$24</f>
        <v>0.45833333333333359</v>
      </c>
      <c r="N24" s="95">
        <v>8.3333333333333332E-3</v>
      </c>
    </row>
    <row r="25" spans="1:14" x14ac:dyDescent="0.25">
      <c r="A25" s="2" t="s">
        <v>149</v>
      </c>
      <c r="B25" s="47">
        <f>+D25-$N$25</f>
        <v>0.43611111111111145</v>
      </c>
      <c r="C25" s="47">
        <f>+D25</f>
        <v>0.44166666666666698</v>
      </c>
      <c r="D25" s="47">
        <f>+F25-$N$25</f>
        <v>0.44166666666666698</v>
      </c>
      <c r="E25" s="47">
        <f>+F25</f>
        <v>0.44722222222222252</v>
      </c>
      <c r="F25" s="47">
        <f>+H25-$N$25</f>
        <v>0.44722222222222252</v>
      </c>
      <c r="G25" s="47">
        <f>+H25</f>
        <v>0.45277777777777806</v>
      </c>
      <c r="H25" s="47">
        <f>+J25-$N$25</f>
        <v>0.45277777777777806</v>
      </c>
      <c r="I25" s="47">
        <f>+J25</f>
        <v>0.45833333333333359</v>
      </c>
      <c r="J25" s="101">
        <f>+K24</f>
        <v>0.45833333333333359</v>
      </c>
      <c r="K25" s="47">
        <f>+J25+N25</f>
        <v>0.46388888888888913</v>
      </c>
      <c r="N25" s="99">
        <v>5.5555555555555558E-3</v>
      </c>
    </row>
  </sheetData>
  <mergeCells count="6">
    <mergeCell ref="J20:K20"/>
    <mergeCell ref="C7:F7"/>
    <mergeCell ref="B20:C20"/>
    <mergeCell ref="D20:E20"/>
    <mergeCell ref="F20:G20"/>
    <mergeCell ref="H20:I20"/>
  </mergeCells>
  <pageMargins left="0.7" right="0.7" top="0.75" bottom="0.75" header="0.3" footer="0.3"/>
  <ignoredErrors>
    <ignoredError sqref="G22 E22 I22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7AC1-8D41-4D11-B6D4-48CB9BB2050A}">
  <dimension ref="A2:U20"/>
  <sheetViews>
    <sheetView topLeftCell="B1" workbookViewId="0">
      <selection activeCell="N20" sqref="N20"/>
    </sheetView>
  </sheetViews>
  <sheetFormatPr baseColWidth="10" defaultColWidth="9.140625" defaultRowHeight="15" x14ac:dyDescent="0.25"/>
  <sheetData>
    <row r="2" spans="1:21" x14ac:dyDescent="0.25">
      <c r="A2" t="s">
        <v>177</v>
      </c>
      <c r="B2">
        <v>1</v>
      </c>
    </row>
    <row r="3" spans="1:21" x14ac:dyDescent="0.25">
      <c r="A3" t="s">
        <v>178</v>
      </c>
      <c r="B3">
        <v>1.25</v>
      </c>
    </row>
    <row r="4" spans="1:21" x14ac:dyDescent="0.25">
      <c r="A4" t="s">
        <v>179</v>
      </c>
      <c r="B4">
        <v>0.8</v>
      </c>
    </row>
    <row r="6" spans="1:21" x14ac:dyDescent="0.25">
      <c r="A6" s="4" t="s">
        <v>146</v>
      </c>
      <c r="B6" s="2">
        <v>18</v>
      </c>
      <c r="C6" s="2" t="s">
        <v>89</v>
      </c>
      <c r="D6" s="2">
        <v>1</v>
      </c>
      <c r="E6" s="2">
        <v>18</v>
      </c>
    </row>
    <row r="7" spans="1:21" x14ac:dyDescent="0.25">
      <c r="A7" s="4" t="s">
        <v>148</v>
      </c>
      <c r="B7" s="2">
        <v>15</v>
      </c>
      <c r="C7" s="2" t="s">
        <v>94</v>
      </c>
      <c r="D7" s="2">
        <v>1.25</v>
      </c>
      <c r="E7" s="2">
        <v>12</v>
      </c>
    </row>
    <row r="8" spans="1:21" x14ac:dyDescent="0.25">
      <c r="A8" s="4" t="s">
        <v>149</v>
      </c>
      <c r="B8" s="2">
        <v>8</v>
      </c>
      <c r="C8" s="2" t="s">
        <v>90</v>
      </c>
      <c r="D8" s="2">
        <v>0.8</v>
      </c>
      <c r="E8" s="2">
        <v>10</v>
      </c>
    </row>
    <row r="12" spans="1:21" x14ac:dyDescent="0.25">
      <c r="A12" s="1" t="s">
        <v>182</v>
      </c>
      <c r="B12" s="164">
        <v>1</v>
      </c>
      <c r="C12" s="164"/>
      <c r="D12" s="164">
        <v>2</v>
      </c>
      <c r="E12" s="164"/>
      <c r="F12" s="164">
        <v>3</v>
      </c>
      <c r="G12" s="164"/>
      <c r="H12" s="164">
        <v>4</v>
      </c>
      <c r="I12" s="164"/>
      <c r="J12" s="164">
        <v>5</v>
      </c>
      <c r="K12" s="164"/>
      <c r="L12" s="164">
        <v>6</v>
      </c>
      <c r="M12" s="164"/>
      <c r="N12" s="164">
        <v>7</v>
      </c>
      <c r="O12" s="164"/>
      <c r="P12" s="164">
        <v>8</v>
      </c>
      <c r="Q12" s="164"/>
      <c r="R12" s="164">
        <v>9</v>
      </c>
      <c r="S12" s="164"/>
      <c r="T12" s="164">
        <v>10</v>
      </c>
      <c r="U12" s="164"/>
    </row>
    <row r="13" spans="1:21" x14ac:dyDescent="0.25">
      <c r="A13" s="1"/>
      <c r="B13" s="2" t="s">
        <v>183</v>
      </c>
      <c r="C13" s="2" t="s">
        <v>184</v>
      </c>
      <c r="D13" s="2" t="s">
        <v>183</v>
      </c>
      <c r="E13" s="2" t="s">
        <v>184</v>
      </c>
      <c r="F13" s="2" t="s">
        <v>183</v>
      </c>
      <c r="G13" s="2" t="s">
        <v>184</v>
      </c>
      <c r="H13" s="2" t="s">
        <v>183</v>
      </c>
      <c r="I13" s="2" t="s">
        <v>184</v>
      </c>
      <c r="J13" s="2" t="s">
        <v>183</v>
      </c>
      <c r="K13" s="2" t="s">
        <v>184</v>
      </c>
      <c r="L13" s="2" t="s">
        <v>183</v>
      </c>
      <c r="M13" s="2" t="s">
        <v>184</v>
      </c>
      <c r="N13" s="2" t="s">
        <v>183</v>
      </c>
      <c r="O13" s="2" t="s">
        <v>184</v>
      </c>
      <c r="P13" s="2" t="s">
        <v>183</v>
      </c>
      <c r="Q13" s="2" t="s">
        <v>184</v>
      </c>
      <c r="R13" s="2" t="s">
        <v>183</v>
      </c>
      <c r="S13" s="2" t="s">
        <v>184</v>
      </c>
      <c r="T13" s="2" t="s">
        <v>183</v>
      </c>
      <c r="U13" s="2" t="s">
        <v>184</v>
      </c>
    </row>
    <row r="14" spans="1:21" x14ac:dyDescent="0.25">
      <c r="A14" s="2" t="s">
        <v>146</v>
      </c>
      <c r="B14" s="47">
        <f>+A18</f>
        <v>0.33333333333333331</v>
      </c>
      <c r="C14" s="47">
        <f>+B14+$B$18</f>
        <v>0.34583333333333333</v>
      </c>
      <c r="D14" s="47">
        <f>+C14</f>
        <v>0.34583333333333333</v>
      </c>
      <c r="E14" s="47">
        <f>+D14+$B$18</f>
        <v>0.35833333333333334</v>
      </c>
      <c r="F14" s="47">
        <f>+E14</f>
        <v>0.35833333333333334</v>
      </c>
      <c r="G14" s="47">
        <f>+F14+$B$18</f>
        <v>0.37083333333333335</v>
      </c>
      <c r="H14" s="47">
        <f>+G14</f>
        <v>0.37083333333333335</v>
      </c>
      <c r="I14" s="47">
        <f>+H14+$B$18</f>
        <v>0.38333333333333336</v>
      </c>
      <c r="J14" s="47">
        <f>+I14</f>
        <v>0.38333333333333336</v>
      </c>
      <c r="K14" s="47">
        <f>+J14+$B$18</f>
        <v>0.39583333333333337</v>
      </c>
      <c r="L14" s="47">
        <f>+K14</f>
        <v>0.39583333333333337</v>
      </c>
      <c r="M14" s="47">
        <f>+L14+$B$18</f>
        <v>0.40833333333333338</v>
      </c>
      <c r="N14" s="47">
        <f>+M14</f>
        <v>0.40833333333333338</v>
      </c>
      <c r="O14" s="47">
        <f>+N14+$B$18</f>
        <v>0.42083333333333339</v>
      </c>
      <c r="P14" s="47">
        <f>+O14</f>
        <v>0.42083333333333339</v>
      </c>
      <c r="Q14" s="47">
        <f>+P14+$B$18</f>
        <v>0.4333333333333334</v>
      </c>
      <c r="R14" s="47">
        <f>+Q14</f>
        <v>0.4333333333333334</v>
      </c>
      <c r="S14" s="47">
        <f>+R14+$B$18</f>
        <v>0.44583333333333341</v>
      </c>
      <c r="T14" s="47">
        <f>+S14</f>
        <v>0.44583333333333341</v>
      </c>
      <c r="U14" s="102">
        <f>+T14+$B$18</f>
        <v>0.45833333333333343</v>
      </c>
    </row>
    <row r="15" spans="1:21" x14ac:dyDescent="0.25">
      <c r="A15" s="2" t="s">
        <v>148</v>
      </c>
      <c r="B15" s="47">
        <f>+C15-$B$19</f>
        <v>0.38333333333333319</v>
      </c>
      <c r="C15" s="47">
        <f>+D15</f>
        <v>0.39166666666666655</v>
      </c>
      <c r="D15" s="47">
        <f>+E15-$B$19</f>
        <v>0.39166666666666655</v>
      </c>
      <c r="E15" s="47">
        <f>+F15</f>
        <v>0.39999999999999991</v>
      </c>
      <c r="F15" s="47">
        <f>+G15-$B$19</f>
        <v>0.39999999999999991</v>
      </c>
      <c r="G15" s="47">
        <f>+H15</f>
        <v>0.40833333333333327</v>
      </c>
      <c r="H15" s="47">
        <f>+I15-$B$19</f>
        <v>0.40833333333333327</v>
      </c>
      <c r="I15" s="47">
        <f>+J15</f>
        <v>0.41666666666666663</v>
      </c>
      <c r="J15" s="47">
        <f>+K15-$B$19</f>
        <v>0.41666666666666663</v>
      </c>
      <c r="K15" s="47">
        <f>+L15</f>
        <v>0.42499999999999999</v>
      </c>
      <c r="L15" s="47">
        <f>+M15-$B$19</f>
        <v>0.42499999999999999</v>
      </c>
      <c r="M15" s="47">
        <f>+N15</f>
        <v>0.43333333333333335</v>
      </c>
      <c r="N15" s="47">
        <f>+O15-$B$19</f>
        <v>0.43333333333333335</v>
      </c>
      <c r="O15" s="47">
        <f>+P15</f>
        <v>0.44166666666666671</v>
      </c>
      <c r="P15" s="47">
        <f>+Q15-$B$19</f>
        <v>0.44166666666666671</v>
      </c>
      <c r="Q15" s="47">
        <f>+R15</f>
        <v>0.45000000000000007</v>
      </c>
      <c r="R15" s="47">
        <f>+S15-$B$19</f>
        <v>0.45000000000000007</v>
      </c>
      <c r="S15" s="47">
        <f>+T15</f>
        <v>0.45833333333333343</v>
      </c>
      <c r="T15" s="102">
        <f>+U14</f>
        <v>0.45833333333333343</v>
      </c>
      <c r="U15" s="103">
        <f>+T15+B19</f>
        <v>0.46666666666666679</v>
      </c>
    </row>
    <row r="16" spans="1:21" x14ac:dyDescent="0.25">
      <c r="A16" s="2" t="s">
        <v>149</v>
      </c>
      <c r="B16" s="47">
        <f>+C16-$B$20</f>
        <v>0.41666666666666696</v>
      </c>
      <c r="C16" s="47">
        <f>+D16</f>
        <v>0.4222222222222225</v>
      </c>
      <c r="D16" s="47">
        <f>+E16-$B$20</f>
        <v>0.4222222222222225</v>
      </c>
      <c r="E16" s="47">
        <f>+F16</f>
        <v>0.42777777777777803</v>
      </c>
      <c r="F16" s="47">
        <f>+G16-$B$20</f>
        <v>0.42777777777777803</v>
      </c>
      <c r="G16" s="47">
        <f>+H16</f>
        <v>0.43333333333333357</v>
      </c>
      <c r="H16" s="47">
        <f>+I16-$B$20</f>
        <v>0.43333333333333357</v>
      </c>
      <c r="I16" s="47">
        <f>+J16</f>
        <v>0.43888888888888911</v>
      </c>
      <c r="J16" s="47">
        <f>+K16-$B$20</f>
        <v>0.43888888888888911</v>
      </c>
      <c r="K16" s="47">
        <f>+L16</f>
        <v>0.44444444444444464</v>
      </c>
      <c r="L16" s="47">
        <f>+M16-$B$20</f>
        <v>0.44444444444444464</v>
      </c>
      <c r="M16" s="47">
        <f>+N16</f>
        <v>0.45000000000000018</v>
      </c>
      <c r="N16" s="47">
        <f>+O16-$B$20</f>
        <v>0.45000000000000018</v>
      </c>
      <c r="O16" s="47">
        <f>+P16</f>
        <v>0.45555555555555571</v>
      </c>
      <c r="P16" s="47">
        <f>+Q16-$B$20</f>
        <v>0.45555555555555571</v>
      </c>
      <c r="Q16" s="47">
        <f>+R16</f>
        <v>0.46111111111111125</v>
      </c>
      <c r="R16" s="47">
        <f>+S16-$B$20</f>
        <v>0.46111111111111125</v>
      </c>
      <c r="S16" s="47">
        <f>+T16</f>
        <v>0.46666666666666679</v>
      </c>
      <c r="T16" s="103">
        <f>+U15</f>
        <v>0.46666666666666679</v>
      </c>
      <c r="U16" s="47">
        <f>+T16+B20</f>
        <v>0.47222222222222232</v>
      </c>
    </row>
    <row r="18" spans="1:2" x14ac:dyDescent="0.25">
      <c r="A18" s="46">
        <v>0.33333333333333331</v>
      </c>
      <c r="B18" s="46">
        <v>1.2499999999999999E-2</v>
      </c>
    </row>
    <row r="19" spans="1:2" x14ac:dyDescent="0.25">
      <c r="B19" s="46">
        <v>8.3333333333333332E-3</v>
      </c>
    </row>
    <row r="20" spans="1:2" x14ac:dyDescent="0.25">
      <c r="B20" s="46">
        <v>5.5555555555555558E-3</v>
      </c>
    </row>
  </sheetData>
  <mergeCells count="10">
    <mergeCell ref="N12:O12"/>
    <mergeCell ref="P12:Q12"/>
    <mergeCell ref="R12:S12"/>
    <mergeCell ref="T12:U12"/>
    <mergeCell ref="B12:C12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F8C1-26F0-4166-96A7-37C70FD6CAC7}">
  <dimension ref="A2:S27"/>
  <sheetViews>
    <sheetView workbookViewId="0">
      <selection activeCell="D28" sqref="D28"/>
    </sheetView>
  </sheetViews>
  <sheetFormatPr baseColWidth="10" defaultColWidth="9.140625" defaultRowHeight="15" x14ac:dyDescent="0.25"/>
  <cols>
    <col min="13" max="13" width="10.28515625" customWidth="1"/>
  </cols>
  <sheetData>
    <row r="2" spans="1:19" x14ac:dyDescent="0.25">
      <c r="M2" t="s">
        <v>185</v>
      </c>
      <c r="N2">
        <v>9</v>
      </c>
      <c r="O2">
        <f>+N2*60</f>
        <v>540</v>
      </c>
    </row>
    <row r="3" spans="1:19" x14ac:dyDescent="0.25">
      <c r="M3" t="s">
        <v>186</v>
      </c>
      <c r="N3">
        <v>2</v>
      </c>
      <c r="O3">
        <f t="shared" ref="O3:O6" si="0">+N3*60</f>
        <v>120</v>
      </c>
      <c r="R3">
        <v>60</v>
      </c>
      <c r="S3">
        <v>1</v>
      </c>
    </row>
    <row r="4" spans="1:19" x14ac:dyDescent="0.25">
      <c r="M4" t="s">
        <v>187</v>
      </c>
      <c r="N4">
        <f>50/60</f>
        <v>0.83333333333333337</v>
      </c>
      <c r="O4">
        <f t="shared" si="0"/>
        <v>50</v>
      </c>
      <c r="R4">
        <v>50</v>
      </c>
    </row>
    <row r="5" spans="1:19" x14ac:dyDescent="0.25">
      <c r="M5" t="s">
        <v>188</v>
      </c>
      <c r="N5">
        <f>20/60</f>
        <v>0.33333333333333331</v>
      </c>
      <c r="O5">
        <f t="shared" si="0"/>
        <v>20</v>
      </c>
    </row>
    <row r="6" spans="1:19" x14ac:dyDescent="0.25">
      <c r="M6" t="s">
        <v>67</v>
      </c>
      <c r="N6">
        <f>40/60</f>
        <v>0.66666666666666663</v>
      </c>
      <c r="O6">
        <f t="shared" si="0"/>
        <v>40</v>
      </c>
    </row>
    <row r="8" spans="1:19" x14ac:dyDescent="0.25">
      <c r="O8">
        <f>SUM(O4:O6)</f>
        <v>110</v>
      </c>
    </row>
    <row r="9" spans="1:19" x14ac:dyDescent="0.25">
      <c r="M9" s="1"/>
    </row>
    <row r="10" spans="1:19" x14ac:dyDescent="0.25">
      <c r="M10" s="1"/>
    </row>
    <row r="11" spans="1:19" x14ac:dyDescent="0.25">
      <c r="M11" s="1"/>
    </row>
    <row r="12" spans="1:19" x14ac:dyDescent="0.25">
      <c r="M12" s="1"/>
    </row>
    <row r="13" spans="1:19" x14ac:dyDescent="0.25">
      <c r="M13" s="1"/>
    </row>
    <row r="14" spans="1:19" x14ac:dyDescent="0.25">
      <c r="M14" s="1"/>
    </row>
    <row r="15" spans="1:19" x14ac:dyDescent="0.25">
      <c r="M15" s="1"/>
    </row>
    <row r="16" spans="1:19" x14ac:dyDescent="0.25">
      <c r="A16" s="1"/>
      <c r="B16" s="1" t="s">
        <v>89</v>
      </c>
      <c r="C16" s="1" t="s">
        <v>94</v>
      </c>
      <c r="D16" s="1" t="s">
        <v>90</v>
      </c>
      <c r="E16" s="1" t="s">
        <v>9</v>
      </c>
      <c r="F16" s="1" t="s">
        <v>74</v>
      </c>
      <c r="G16" s="1" t="s">
        <v>47</v>
      </c>
      <c r="H16" s="1" t="s">
        <v>13</v>
      </c>
      <c r="M16" s="1"/>
    </row>
    <row r="17" spans="1:13" x14ac:dyDescent="0.25">
      <c r="A17" s="1" t="s">
        <v>189</v>
      </c>
      <c r="B17" s="1">
        <v>35</v>
      </c>
      <c r="C17" s="1">
        <v>53</v>
      </c>
      <c r="D17" s="1">
        <v>0</v>
      </c>
      <c r="E17" s="1">
        <v>210</v>
      </c>
      <c r="F17" s="1">
        <v>1</v>
      </c>
      <c r="G17">
        <f>+(9*60)+10 -B17-C17-D17</f>
        <v>462</v>
      </c>
      <c r="H17">
        <f>+F17*G17</f>
        <v>462</v>
      </c>
    </row>
    <row r="18" spans="1:13" x14ac:dyDescent="0.25">
      <c r="A18" s="1" t="s">
        <v>189</v>
      </c>
      <c r="B18" s="1">
        <v>54</v>
      </c>
      <c r="C18" s="1">
        <v>36</v>
      </c>
      <c r="D18" s="1">
        <v>20</v>
      </c>
      <c r="E18" s="1">
        <v>190</v>
      </c>
      <c r="F18" s="1">
        <v>0.95</v>
      </c>
      <c r="G18">
        <f t="shared" ref="G18:G24" si="1">+(9*60)+10 -B18-C18-D18</f>
        <v>440</v>
      </c>
      <c r="H18">
        <f t="shared" ref="H18:H24" si="2">+F18*G18</f>
        <v>418</v>
      </c>
      <c r="J18" t="s">
        <v>190</v>
      </c>
      <c r="K18" t="s">
        <v>191</v>
      </c>
      <c r="M18" t="s">
        <v>192</v>
      </c>
    </row>
    <row r="19" spans="1:13" x14ac:dyDescent="0.25">
      <c r="A19" s="1" t="s">
        <v>189</v>
      </c>
      <c r="B19" s="1">
        <v>45</v>
      </c>
      <c r="C19" s="1">
        <v>42</v>
      </c>
      <c r="D19" s="1">
        <v>23</v>
      </c>
      <c r="E19" s="1">
        <v>220</v>
      </c>
      <c r="F19" s="1">
        <v>1.1000000000000001</v>
      </c>
      <c r="G19">
        <f t="shared" si="1"/>
        <v>440</v>
      </c>
      <c r="H19">
        <f t="shared" si="2"/>
        <v>484.00000000000006</v>
      </c>
    </row>
    <row r="20" spans="1:13" x14ac:dyDescent="0.25">
      <c r="A20" s="1" t="s">
        <v>193</v>
      </c>
      <c r="B20" s="1">
        <v>25</v>
      </c>
      <c r="C20" s="1">
        <v>0</v>
      </c>
      <c r="D20" s="1">
        <v>0</v>
      </c>
      <c r="E20" s="1">
        <v>280</v>
      </c>
      <c r="F20" s="1">
        <v>0.8</v>
      </c>
      <c r="G20">
        <f t="shared" si="1"/>
        <v>525</v>
      </c>
      <c r="H20">
        <f t="shared" si="2"/>
        <v>420</v>
      </c>
      <c r="J20" t="s">
        <v>194</v>
      </c>
      <c r="K20" t="s">
        <v>195</v>
      </c>
    </row>
    <row r="21" spans="1:13" x14ac:dyDescent="0.25">
      <c r="A21" s="1" t="s">
        <v>193</v>
      </c>
      <c r="B21" s="1">
        <v>35</v>
      </c>
      <c r="C21" s="1">
        <v>90</v>
      </c>
      <c r="D21" s="1">
        <v>0</v>
      </c>
      <c r="E21" s="1">
        <v>340</v>
      </c>
      <c r="F21" s="1">
        <v>1.2</v>
      </c>
      <c r="G21">
        <f t="shared" si="1"/>
        <v>425</v>
      </c>
      <c r="H21">
        <f t="shared" si="2"/>
        <v>510</v>
      </c>
    </row>
    <row r="22" spans="1:13" x14ac:dyDescent="0.25">
      <c r="A22" s="1" t="s">
        <v>196</v>
      </c>
      <c r="B22" s="1">
        <v>37</v>
      </c>
      <c r="C22" s="1">
        <v>29</v>
      </c>
      <c r="D22" s="1">
        <v>94</v>
      </c>
      <c r="E22" s="1">
        <v>195</v>
      </c>
      <c r="F22" s="1">
        <v>1</v>
      </c>
      <c r="G22">
        <f t="shared" si="1"/>
        <v>390</v>
      </c>
      <c r="H22">
        <f t="shared" si="2"/>
        <v>390</v>
      </c>
    </row>
    <row r="23" spans="1:13" x14ac:dyDescent="0.25">
      <c r="A23" s="1" t="s">
        <v>196</v>
      </c>
      <c r="B23" s="1">
        <v>22</v>
      </c>
      <c r="C23" s="1">
        <v>59</v>
      </c>
      <c r="D23" s="1">
        <v>77</v>
      </c>
      <c r="E23" s="1">
        <v>245</v>
      </c>
      <c r="F23" s="1">
        <v>1.25</v>
      </c>
      <c r="G23">
        <f t="shared" si="1"/>
        <v>392</v>
      </c>
      <c r="H23">
        <f t="shared" si="2"/>
        <v>490</v>
      </c>
    </row>
    <row r="24" spans="1:13" x14ac:dyDescent="0.25">
      <c r="A24" s="1" t="s">
        <v>196</v>
      </c>
      <c r="B24" s="1">
        <v>44</v>
      </c>
      <c r="C24" s="1">
        <v>0</v>
      </c>
      <c r="D24" s="1">
        <v>26</v>
      </c>
      <c r="E24" s="1">
        <v>180</v>
      </c>
      <c r="F24" s="1">
        <v>0.75</v>
      </c>
      <c r="G24">
        <f t="shared" si="1"/>
        <v>480</v>
      </c>
      <c r="H24">
        <f t="shared" si="2"/>
        <v>360</v>
      </c>
    </row>
    <row r="27" spans="1:13" x14ac:dyDescent="0.25">
      <c r="A27" s="104" t="s">
        <v>197</v>
      </c>
      <c r="D27">
        <f>SUM(H17:H24)/SUM(G17:G24)</f>
        <v>0.99437253798536862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E416-350E-46F1-8462-AA8C0302E9BE}">
  <dimension ref="A1:M49"/>
  <sheetViews>
    <sheetView topLeftCell="A31" workbookViewId="0">
      <selection activeCell="M49" sqref="M49"/>
    </sheetView>
  </sheetViews>
  <sheetFormatPr baseColWidth="10" defaultColWidth="9.140625" defaultRowHeight="15" x14ac:dyDescent="0.25"/>
  <cols>
    <col min="2" max="2" width="10.85546875" customWidth="1"/>
    <col min="3" max="3" width="10.28515625" customWidth="1"/>
    <col min="4" max="4" width="10.42578125" customWidth="1"/>
  </cols>
  <sheetData>
    <row r="1" spans="1:13" x14ac:dyDescent="0.25">
      <c r="A1" t="s">
        <v>198</v>
      </c>
    </row>
    <row r="2" spans="1:13" x14ac:dyDescent="0.25">
      <c r="K2" t="s">
        <v>119</v>
      </c>
      <c r="L2" t="s">
        <v>199</v>
      </c>
    </row>
    <row r="4" spans="1:13" x14ac:dyDescent="0.25">
      <c r="A4" t="s">
        <v>200</v>
      </c>
      <c r="B4">
        <v>525</v>
      </c>
    </row>
    <row r="6" spans="1:13" x14ac:dyDescent="0.25">
      <c r="A6" s="2" t="s">
        <v>8</v>
      </c>
      <c r="B6" s="2" t="s">
        <v>201</v>
      </c>
      <c r="C6" s="2" t="s">
        <v>50</v>
      </c>
      <c r="D6" s="2" t="s">
        <v>202</v>
      </c>
      <c r="E6" s="2" t="s">
        <v>203</v>
      </c>
      <c r="F6" s="2" t="s">
        <v>204</v>
      </c>
      <c r="G6" s="2" t="s">
        <v>9</v>
      </c>
      <c r="H6" s="2" t="s">
        <v>74</v>
      </c>
      <c r="I6" s="2" t="s">
        <v>13</v>
      </c>
      <c r="J6" s="2" t="s">
        <v>47</v>
      </c>
    </row>
    <row r="7" spans="1:13" x14ac:dyDescent="0.25">
      <c r="A7" s="2" t="s">
        <v>69</v>
      </c>
      <c r="B7" s="2">
        <v>20</v>
      </c>
      <c r="C7" s="2">
        <v>22</v>
      </c>
      <c r="D7" s="2" t="s">
        <v>205</v>
      </c>
      <c r="E7" s="2">
        <v>30</v>
      </c>
      <c r="F7" s="2">
        <v>0</v>
      </c>
      <c r="G7" s="2">
        <v>150</v>
      </c>
      <c r="H7" s="2">
        <v>1</v>
      </c>
      <c r="I7" s="2">
        <f>+H7*J7</f>
        <v>450</v>
      </c>
      <c r="J7" s="2">
        <f>480-E7-F7</f>
        <v>450</v>
      </c>
    </row>
    <row r="8" spans="1:13" x14ac:dyDescent="0.25">
      <c r="A8" s="2" t="s">
        <v>69</v>
      </c>
      <c r="B8" s="2">
        <v>20</v>
      </c>
      <c r="C8" s="2">
        <v>50</v>
      </c>
      <c r="D8" s="2" t="s">
        <v>206</v>
      </c>
      <c r="E8" s="2">
        <v>60</v>
      </c>
      <c r="F8" s="2">
        <v>20</v>
      </c>
      <c r="G8" s="2">
        <v>125</v>
      </c>
      <c r="H8" s="2">
        <v>1</v>
      </c>
      <c r="I8" s="2">
        <f t="shared" ref="I8:I15" si="0">+H8*J8</f>
        <v>400</v>
      </c>
      <c r="J8" s="2">
        <f t="shared" ref="J8:J15" si="1">480-E8-F8</f>
        <v>400</v>
      </c>
      <c r="L8" t="s">
        <v>207</v>
      </c>
      <c r="M8">
        <f>SUM(I7:I15)/SUM(J7:J15)</f>
        <v>0.96194349315068495</v>
      </c>
    </row>
    <row r="9" spans="1:13" x14ac:dyDescent="0.25">
      <c r="A9" s="2" t="s">
        <v>69</v>
      </c>
      <c r="B9" s="2">
        <v>20</v>
      </c>
      <c r="C9" s="2">
        <v>70</v>
      </c>
      <c r="D9" s="2" t="s">
        <v>208</v>
      </c>
      <c r="E9" s="2">
        <v>0</v>
      </c>
      <c r="F9" s="2">
        <v>60</v>
      </c>
      <c r="G9" s="2">
        <v>120</v>
      </c>
      <c r="H9" s="2">
        <v>1</v>
      </c>
      <c r="I9" s="2">
        <f t="shared" si="0"/>
        <v>420</v>
      </c>
      <c r="J9" s="2">
        <f t="shared" si="1"/>
        <v>420</v>
      </c>
    </row>
    <row r="10" spans="1:13" x14ac:dyDescent="0.25">
      <c r="A10" s="2" t="s">
        <v>69</v>
      </c>
      <c r="B10" s="2">
        <v>20</v>
      </c>
      <c r="C10" s="2">
        <v>66</v>
      </c>
      <c r="D10" s="2" t="s">
        <v>209</v>
      </c>
      <c r="E10" s="2">
        <v>60</v>
      </c>
      <c r="F10" s="2">
        <v>30</v>
      </c>
      <c r="G10" s="2">
        <v>130</v>
      </c>
      <c r="H10" s="2">
        <v>1</v>
      </c>
      <c r="I10" s="2">
        <f t="shared" si="0"/>
        <v>390</v>
      </c>
      <c r="J10" s="2">
        <f t="shared" si="1"/>
        <v>390</v>
      </c>
    </row>
    <row r="11" spans="1:13" x14ac:dyDescent="0.25">
      <c r="A11" s="2" t="s">
        <v>69</v>
      </c>
      <c r="B11" s="2">
        <v>25</v>
      </c>
      <c r="C11" s="2">
        <v>33</v>
      </c>
      <c r="D11" s="2" t="s">
        <v>210</v>
      </c>
      <c r="E11" s="2">
        <v>95</v>
      </c>
      <c r="F11" s="2">
        <v>15</v>
      </c>
      <c r="G11" s="2">
        <v>185</v>
      </c>
      <c r="H11" s="2">
        <v>1.1000000000000001</v>
      </c>
      <c r="I11" s="2">
        <f t="shared" si="0"/>
        <v>407.00000000000006</v>
      </c>
      <c r="J11" s="2">
        <f t="shared" si="1"/>
        <v>370</v>
      </c>
    </row>
    <row r="12" spans="1:13" x14ac:dyDescent="0.25">
      <c r="A12" s="2" t="s">
        <v>69</v>
      </c>
      <c r="B12" s="2">
        <v>25</v>
      </c>
      <c r="C12" s="2">
        <v>8</v>
      </c>
      <c r="D12" s="2" t="s">
        <v>211</v>
      </c>
      <c r="E12" s="2">
        <v>5</v>
      </c>
      <c r="F12" s="2">
        <v>90</v>
      </c>
      <c r="G12" s="2">
        <v>175</v>
      </c>
      <c r="H12" s="2">
        <v>0.9</v>
      </c>
      <c r="I12" s="2">
        <f t="shared" si="0"/>
        <v>346.5</v>
      </c>
      <c r="J12" s="2">
        <f t="shared" si="1"/>
        <v>385</v>
      </c>
    </row>
    <row r="13" spans="1:13" x14ac:dyDescent="0.25">
      <c r="A13" s="2" t="s">
        <v>69</v>
      </c>
      <c r="B13" s="2">
        <v>25</v>
      </c>
      <c r="C13" s="2">
        <v>21</v>
      </c>
      <c r="D13" s="2" t="s">
        <v>212</v>
      </c>
      <c r="E13" s="2">
        <v>55</v>
      </c>
      <c r="F13" s="2">
        <v>95</v>
      </c>
      <c r="G13" s="2">
        <v>165</v>
      </c>
      <c r="H13" s="2">
        <v>1</v>
      </c>
      <c r="I13" s="2">
        <f t="shared" si="0"/>
        <v>330</v>
      </c>
      <c r="J13" s="2">
        <f t="shared" si="1"/>
        <v>330</v>
      </c>
    </row>
    <row r="14" spans="1:13" x14ac:dyDescent="0.25">
      <c r="A14" s="2" t="s">
        <v>69</v>
      </c>
      <c r="B14" s="2">
        <v>30</v>
      </c>
      <c r="C14" s="2">
        <v>25</v>
      </c>
      <c r="D14" s="2" t="s">
        <v>189</v>
      </c>
      <c r="E14" s="2">
        <v>30</v>
      </c>
      <c r="F14" s="2">
        <v>90</v>
      </c>
      <c r="G14" s="2">
        <v>240</v>
      </c>
      <c r="H14" s="2">
        <v>0.8</v>
      </c>
      <c r="I14" s="2">
        <f t="shared" si="0"/>
        <v>288</v>
      </c>
      <c r="J14" s="2">
        <f t="shared" si="1"/>
        <v>360</v>
      </c>
    </row>
    <row r="15" spans="1:13" x14ac:dyDescent="0.25">
      <c r="A15" s="2" t="s">
        <v>69</v>
      </c>
      <c r="B15" s="2">
        <v>30</v>
      </c>
      <c r="C15" s="2">
        <v>27</v>
      </c>
      <c r="D15" s="2" t="s">
        <v>193</v>
      </c>
      <c r="E15" s="2">
        <v>31</v>
      </c>
      <c r="F15" s="2">
        <v>50</v>
      </c>
      <c r="G15" s="2">
        <v>285</v>
      </c>
      <c r="H15" s="2">
        <v>0.85</v>
      </c>
      <c r="I15" s="2">
        <f t="shared" si="0"/>
        <v>339.15</v>
      </c>
      <c r="J15" s="2">
        <f t="shared" si="1"/>
        <v>399</v>
      </c>
    </row>
    <row r="18" spans="1:8" x14ac:dyDescent="0.25">
      <c r="A18" s="178" t="s">
        <v>8</v>
      </c>
      <c r="B18" s="164" t="s">
        <v>43</v>
      </c>
      <c r="C18" s="164"/>
      <c r="D18" s="164"/>
      <c r="E18" s="164" t="s">
        <v>44</v>
      </c>
      <c r="F18" s="164"/>
      <c r="G18" s="164" t="s">
        <v>213</v>
      </c>
      <c r="H18" s="164"/>
    </row>
    <row r="19" spans="1:8" x14ac:dyDescent="0.25">
      <c r="A19" s="179"/>
      <c r="B19" s="2" t="s">
        <v>9</v>
      </c>
      <c r="C19" s="2" t="s">
        <v>13</v>
      </c>
      <c r="D19" s="2" t="s">
        <v>47</v>
      </c>
      <c r="E19" s="2" t="s">
        <v>214</v>
      </c>
      <c r="F19" s="2" t="s">
        <v>49</v>
      </c>
      <c r="G19" s="2" t="s">
        <v>50</v>
      </c>
      <c r="H19" s="2" t="s">
        <v>215</v>
      </c>
    </row>
    <row r="20" spans="1:8" x14ac:dyDescent="0.25">
      <c r="A20" s="2" t="s">
        <v>216</v>
      </c>
      <c r="B20" s="2">
        <v>25</v>
      </c>
      <c r="C20" s="2">
        <v>15</v>
      </c>
      <c r="D20" s="2">
        <v>365</v>
      </c>
      <c r="E20" s="2">
        <v>12</v>
      </c>
      <c r="F20" s="2">
        <v>12</v>
      </c>
      <c r="G20" s="2">
        <v>8</v>
      </c>
      <c r="H20" s="2">
        <v>0</v>
      </c>
    </row>
    <row r="21" spans="1:8" x14ac:dyDescent="0.25">
      <c r="A21" s="2" t="s">
        <v>217</v>
      </c>
      <c r="B21" s="2">
        <v>36</v>
      </c>
      <c r="C21" s="2">
        <v>11</v>
      </c>
      <c r="D21" s="2">
        <v>355</v>
      </c>
      <c r="E21" s="2">
        <v>14</v>
      </c>
      <c r="F21" s="2">
        <v>15</v>
      </c>
      <c r="G21" s="2">
        <v>14</v>
      </c>
      <c r="H21" s="2">
        <v>6</v>
      </c>
    </row>
    <row r="22" spans="1:8" x14ac:dyDescent="0.25">
      <c r="A22" s="2" t="s">
        <v>218</v>
      </c>
      <c r="B22" s="2">
        <v>28</v>
      </c>
      <c r="C22" s="2">
        <v>14</v>
      </c>
      <c r="D22" s="2">
        <v>368</v>
      </c>
      <c r="E22" s="2">
        <v>12</v>
      </c>
      <c r="F22" s="2">
        <v>11</v>
      </c>
      <c r="G22" s="2">
        <v>12</v>
      </c>
      <c r="H22" s="2">
        <v>14</v>
      </c>
    </row>
    <row r="23" spans="1:8" x14ac:dyDescent="0.25">
      <c r="A23" s="2" t="s">
        <v>219</v>
      </c>
      <c r="B23" s="2">
        <v>14</v>
      </c>
      <c r="C23" s="2">
        <v>27</v>
      </c>
      <c r="D23" s="2">
        <v>390</v>
      </c>
      <c r="E23" s="2">
        <v>22</v>
      </c>
      <c r="F23" s="2">
        <v>20</v>
      </c>
      <c r="G23" s="2">
        <v>0</v>
      </c>
      <c r="H23" s="2">
        <v>5</v>
      </c>
    </row>
    <row r="24" spans="1:8" x14ac:dyDescent="0.25">
      <c r="A24" s="2" t="s">
        <v>220</v>
      </c>
      <c r="B24" s="2">
        <v>15</v>
      </c>
      <c r="C24" s="2">
        <v>24</v>
      </c>
      <c r="D24" s="2">
        <v>358</v>
      </c>
      <c r="E24" s="2">
        <v>36</v>
      </c>
      <c r="F24" s="2">
        <v>35</v>
      </c>
      <c r="G24" s="2">
        <v>0</v>
      </c>
      <c r="H24" s="2">
        <v>0</v>
      </c>
    </row>
    <row r="25" spans="1:8" x14ac:dyDescent="0.25">
      <c r="A25" s="2" t="s">
        <v>221</v>
      </c>
      <c r="B25" s="2">
        <v>32</v>
      </c>
      <c r="C25" s="2">
        <v>12</v>
      </c>
      <c r="D25" s="2">
        <v>362</v>
      </c>
      <c r="E25" s="2">
        <v>18</v>
      </c>
      <c r="F25" s="2">
        <v>22</v>
      </c>
      <c r="G25" s="2">
        <v>5</v>
      </c>
      <c r="H25" s="2">
        <v>16</v>
      </c>
    </row>
    <row r="27" spans="1:8" x14ac:dyDescent="0.25">
      <c r="A27" s="2" t="s">
        <v>8</v>
      </c>
      <c r="B27" s="2" t="s">
        <v>216</v>
      </c>
      <c r="C27" s="2" t="s">
        <v>217</v>
      </c>
      <c r="D27" s="2" t="s">
        <v>218</v>
      </c>
      <c r="E27" s="2" t="s">
        <v>219</v>
      </c>
      <c r="F27" s="2" t="s">
        <v>220</v>
      </c>
      <c r="G27" s="2" t="s">
        <v>221</v>
      </c>
      <c r="H27" s="2" t="s">
        <v>222</v>
      </c>
    </row>
    <row r="28" spans="1:8" x14ac:dyDescent="0.25">
      <c r="A28" s="2" t="s">
        <v>223</v>
      </c>
      <c r="B28" s="105">
        <f>+B20*C20/D20</f>
        <v>1.0273972602739727</v>
      </c>
      <c r="C28" s="105">
        <f>+B21*C21/D21</f>
        <v>1.1154929577464789</v>
      </c>
      <c r="D28" s="105">
        <f>+B22*C22/D22</f>
        <v>1.0652173913043479</v>
      </c>
      <c r="E28" s="105">
        <f>+B23*C23/D23</f>
        <v>0.96923076923076923</v>
      </c>
      <c r="F28" s="105">
        <f>+B24*C24/D24</f>
        <v>1.005586592178771</v>
      </c>
      <c r="G28" s="105">
        <f>+B25*C25/D25</f>
        <v>1.0607734806629834</v>
      </c>
      <c r="H28" s="105">
        <f>+AVERAGE(B28:G28)</f>
        <v>1.0406164085662206</v>
      </c>
    </row>
    <row r="29" spans="1:8" x14ac:dyDescent="0.25">
      <c r="A29" s="2" t="s">
        <v>224</v>
      </c>
      <c r="B29" s="105">
        <f>+(B20*C20+E20)/(F20+D20+G20)</f>
        <v>1.0051948051948052</v>
      </c>
      <c r="C29" s="105">
        <f>+(B21*C21+E21)/(F21+D21+G21)</f>
        <v>1.0677083333333333</v>
      </c>
      <c r="D29" s="105">
        <f>+(B22*C22+E22)/(F22+D22+G22)</f>
        <v>1.0332480818414322</v>
      </c>
      <c r="E29" s="105">
        <f>+(B23*C23+E23)/(F23+D23+G23)</f>
        <v>0.97560975609756095</v>
      </c>
      <c r="F29" s="105">
        <f>+(B24*C24+E24)/(F24+D24+G24)</f>
        <v>1.0076335877862594</v>
      </c>
      <c r="G29" s="105">
        <f>+(B25*C25+E25)/(F25+D25+G25)</f>
        <v>1.0334190231362468</v>
      </c>
      <c r="H29" s="105">
        <f>+AVERAGE(B29:G29)</f>
        <v>1.0204689312316064</v>
      </c>
    </row>
    <row r="30" spans="1:8" x14ac:dyDescent="0.25">
      <c r="A30" s="2" t="s">
        <v>225</v>
      </c>
      <c r="B30" s="105">
        <f>+(B20*C20 +E20)/(D20+F20+G20+H20)</f>
        <v>1.0051948051948052</v>
      </c>
      <c r="C30" s="105">
        <f>+(B21*C21 +E21)/(D21+F21+G21+H21)</f>
        <v>1.0512820512820513</v>
      </c>
      <c r="D30" s="105">
        <f>+(B22*C22 +E22)/(D22+F22+G22+H22)</f>
        <v>0.9975308641975309</v>
      </c>
      <c r="E30" s="105">
        <f>+(B23*C23 +E23)/(D23+F23+G23+H23)</f>
        <v>0.96385542168674698</v>
      </c>
      <c r="F30" s="105">
        <f>+(B24*C24 +E24)/(D24+F24+G24+H24)</f>
        <v>1.0076335877862594</v>
      </c>
      <c r="G30" s="105">
        <f>+(B25*C25 +E25)/(D25+F25+G25+H25)</f>
        <v>0.99259259259259258</v>
      </c>
      <c r="H30" s="105">
        <f>+AVERAGE(B30:G30)</f>
        <v>1.0030148871233311</v>
      </c>
    </row>
    <row r="33" spans="1:8" x14ac:dyDescent="0.25">
      <c r="A33" s="178" t="s">
        <v>8</v>
      </c>
      <c r="B33" s="164" t="s">
        <v>43</v>
      </c>
      <c r="C33" s="164"/>
      <c r="D33" s="164"/>
      <c r="E33" s="164" t="s">
        <v>44</v>
      </c>
      <c r="F33" s="164"/>
      <c r="G33" s="164" t="s">
        <v>213</v>
      </c>
      <c r="H33" s="164"/>
    </row>
    <row r="34" spans="1:8" x14ac:dyDescent="0.25">
      <c r="A34" s="179"/>
      <c r="B34" s="2" t="s">
        <v>9</v>
      </c>
      <c r="C34" s="2" t="s">
        <v>13</v>
      </c>
      <c r="D34" s="2" t="s">
        <v>47</v>
      </c>
      <c r="E34" s="2" t="s">
        <v>214</v>
      </c>
      <c r="F34" s="2" t="s">
        <v>49</v>
      </c>
      <c r="G34" s="2" t="s">
        <v>50</v>
      </c>
      <c r="H34" s="2" t="s">
        <v>215</v>
      </c>
    </row>
    <row r="35" spans="1:8" x14ac:dyDescent="0.25">
      <c r="A35" s="2" t="s">
        <v>226</v>
      </c>
      <c r="B35" s="2">
        <v>23</v>
      </c>
      <c r="C35" s="2">
        <v>12</v>
      </c>
      <c r="D35" s="2">
        <v>310</v>
      </c>
      <c r="E35" s="2">
        <v>12</v>
      </c>
      <c r="F35" s="2">
        <v>10</v>
      </c>
      <c r="G35" s="2">
        <v>8</v>
      </c>
      <c r="H35" s="2">
        <v>4</v>
      </c>
    </row>
    <row r="36" spans="1:8" x14ac:dyDescent="0.25">
      <c r="A36" s="2" t="s">
        <v>227</v>
      </c>
      <c r="B36" s="2">
        <v>31</v>
      </c>
      <c r="C36" s="2">
        <v>14</v>
      </c>
      <c r="D36" s="2">
        <v>348</v>
      </c>
      <c r="E36" s="2">
        <v>12</v>
      </c>
      <c r="F36" s="2">
        <v>11</v>
      </c>
      <c r="G36" s="2">
        <v>0</v>
      </c>
      <c r="H36" s="2">
        <v>9</v>
      </c>
    </row>
    <row r="37" spans="1:8" x14ac:dyDescent="0.25">
      <c r="A37" s="2" t="s">
        <v>228</v>
      </c>
      <c r="B37" s="2">
        <v>25</v>
      </c>
      <c r="C37" s="2">
        <v>14</v>
      </c>
      <c r="D37" s="2">
        <v>350</v>
      </c>
      <c r="E37" s="2">
        <v>14</v>
      </c>
      <c r="F37" s="2">
        <v>11</v>
      </c>
      <c r="G37" s="2">
        <v>10</v>
      </c>
      <c r="H37" s="2">
        <v>14</v>
      </c>
    </row>
    <row r="38" spans="1:8" x14ac:dyDescent="0.25">
      <c r="A38" s="2" t="s">
        <v>229</v>
      </c>
      <c r="B38" s="2">
        <v>12</v>
      </c>
      <c r="C38" s="2">
        <v>22</v>
      </c>
      <c r="D38" s="2">
        <v>290</v>
      </c>
      <c r="E38" s="2">
        <v>21</v>
      </c>
      <c r="F38" s="2">
        <v>20</v>
      </c>
      <c r="G38" s="2">
        <v>7</v>
      </c>
      <c r="H38" s="2">
        <v>0</v>
      </c>
    </row>
    <row r="39" spans="1:8" x14ac:dyDescent="0.25">
      <c r="A39" s="2" t="s">
        <v>230</v>
      </c>
      <c r="B39" s="2">
        <v>12</v>
      </c>
      <c r="C39" s="2">
        <v>25</v>
      </c>
      <c r="D39" s="2">
        <v>365</v>
      </c>
      <c r="E39" s="2">
        <v>32</v>
      </c>
      <c r="F39" s="2">
        <v>25</v>
      </c>
      <c r="G39" s="2">
        <v>0</v>
      </c>
      <c r="H39" s="2">
        <v>8</v>
      </c>
    </row>
    <row r="40" spans="1:8" x14ac:dyDescent="0.25">
      <c r="A40" s="2" t="s">
        <v>221</v>
      </c>
      <c r="B40" s="2">
        <v>30</v>
      </c>
      <c r="C40" s="2">
        <v>14</v>
      </c>
      <c r="D40" s="2">
        <v>374</v>
      </c>
      <c r="E40" s="2">
        <v>20</v>
      </c>
      <c r="F40" s="2">
        <v>22</v>
      </c>
      <c r="G40" s="2">
        <v>5</v>
      </c>
      <c r="H40" s="2">
        <v>0</v>
      </c>
    </row>
    <row r="42" spans="1:8" x14ac:dyDescent="0.25">
      <c r="A42" s="2" t="s">
        <v>8</v>
      </c>
      <c r="B42" s="2" t="s">
        <v>223</v>
      </c>
      <c r="C42" s="2" t="s">
        <v>224</v>
      </c>
      <c r="D42" s="2" t="s">
        <v>225</v>
      </c>
    </row>
    <row r="43" spans="1:8" x14ac:dyDescent="0.25">
      <c r="A43" s="2" t="s">
        <v>216</v>
      </c>
      <c r="B43" s="105">
        <f>+(B35*C35)/D35</f>
        <v>0.89032258064516134</v>
      </c>
      <c r="C43" s="105">
        <f>+(B35*C35+E35)/(D35+F35+G35)</f>
        <v>0.87804878048780488</v>
      </c>
      <c r="D43" s="105">
        <f>+(B35*C35+E35)/(D35+F35+G35+H35)</f>
        <v>0.86746987951807231</v>
      </c>
    </row>
    <row r="44" spans="1:8" x14ac:dyDescent="0.25">
      <c r="A44" s="2" t="s">
        <v>217</v>
      </c>
      <c r="B44" s="105">
        <f t="shared" ref="B44:B48" si="2">+(B36*C36)/D36</f>
        <v>1.2471264367816093</v>
      </c>
      <c r="C44" s="105">
        <f t="shared" ref="C44:C48" si="3">+(B36*C36+E36)/(D36+F36+G36)</f>
        <v>1.2423398328690807</v>
      </c>
      <c r="D44" s="105">
        <f t="shared" ref="D44:D48" si="4">+(B36*C36+E36)/(D36+F36+G36+H36)</f>
        <v>1.2119565217391304</v>
      </c>
    </row>
    <row r="45" spans="1:8" x14ac:dyDescent="0.25">
      <c r="A45" s="2" t="s">
        <v>218</v>
      </c>
      <c r="B45" s="105">
        <f t="shared" si="2"/>
        <v>1</v>
      </c>
      <c r="C45" s="105">
        <f t="shared" si="3"/>
        <v>0.98113207547169812</v>
      </c>
      <c r="D45" s="105">
        <f t="shared" si="4"/>
        <v>0.94545454545454544</v>
      </c>
    </row>
    <row r="46" spans="1:8" x14ac:dyDescent="0.25">
      <c r="A46" s="2" t="s">
        <v>219</v>
      </c>
      <c r="B46" s="105">
        <f t="shared" si="2"/>
        <v>0.91034482758620694</v>
      </c>
      <c r="C46" s="105">
        <f t="shared" si="3"/>
        <v>0.89905362776025233</v>
      </c>
      <c r="D46" s="105">
        <f t="shared" si="4"/>
        <v>0.89905362776025233</v>
      </c>
    </row>
    <row r="47" spans="1:8" x14ac:dyDescent="0.25">
      <c r="A47" s="2" t="s">
        <v>220</v>
      </c>
      <c r="B47" s="105">
        <f t="shared" si="2"/>
        <v>0.82191780821917804</v>
      </c>
      <c r="C47" s="105">
        <f t="shared" si="3"/>
        <v>0.85128205128205126</v>
      </c>
      <c r="D47" s="105">
        <f t="shared" si="4"/>
        <v>0.83417085427135673</v>
      </c>
    </row>
    <row r="48" spans="1:8" x14ac:dyDescent="0.25">
      <c r="A48" s="2" t="s">
        <v>221</v>
      </c>
      <c r="B48" s="105">
        <f t="shared" si="2"/>
        <v>1.1229946524064172</v>
      </c>
      <c r="C48" s="105">
        <f t="shared" si="3"/>
        <v>1.0972568578553616</v>
      </c>
      <c r="D48" s="105">
        <f t="shared" si="4"/>
        <v>1.0972568578553616</v>
      </c>
    </row>
    <row r="49" spans="1:4" x14ac:dyDescent="0.25">
      <c r="A49" s="2" t="s">
        <v>222</v>
      </c>
      <c r="B49" s="105">
        <f>+AVERAGE(B43:B48)</f>
        <v>0.99878438427309535</v>
      </c>
      <c r="C49" s="105">
        <f>+AVERAGE(C43:C48)</f>
        <v>0.99151887095437463</v>
      </c>
      <c r="D49" s="105">
        <f>+AVERAGE(D43:D48)</f>
        <v>0.9758937144331199</v>
      </c>
    </row>
  </sheetData>
  <mergeCells count="8">
    <mergeCell ref="B18:D18"/>
    <mergeCell ref="E18:F18"/>
    <mergeCell ref="G18:H18"/>
    <mergeCell ref="A18:A19"/>
    <mergeCell ref="A33:A34"/>
    <mergeCell ref="B33:D33"/>
    <mergeCell ref="E33:F33"/>
    <mergeCell ref="G33:H3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5BB0-EBB7-4040-918C-5A2EAFB0DE21}">
  <dimension ref="A1:S48"/>
  <sheetViews>
    <sheetView workbookViewId="0">
      <selection activeCell="C44" sqref="C44"/>
    </sheetView>
  </sheetViews>
  <sheetFormatPr baseColWidth="10" defaultColWidth="9.140625" defaultRowHeight="15" x14ac:dyDescent="0.25"/>
  <cols>
    <col min="2" max="15" width="9" customWidth="1"/>
  </cols>
  <sheetData>
    <row r="1" spans="1:15" x14ac:dyDescent="0.25">
      <c r="A1" t="s">
        <v>231</v>
      </c>
    </row>
    <row r="3" spans="1:15" x14ac:dyDescent="0.25">
      <c r="A3" t="s">
        <v>185</v>
      </c>
      <c r="B3">
        <v>130</v>
      </c>
      <c r="D3" t="s">
        <v>136</v>
      </c>
    </row>
    <row r="4" spans="1:15" x14ac:dyDescent="0.25">
      <c r="A4" t="s">
        <v>232</v>
      </c>
      <c r="B4">
        <v>40</v>
      </c>
      <c r="D4" t="s">
        <v>136</v>
      </c>
    </row>
    <row r="6" spans="1:15" x14ac:dyDescent="0.25">
      <c r="A6" s="107" t="s">
        <v>8</v>
      </c>
      <c r="B6" s="180" t="s">
        <v>9</v>
      </c>
      <c r="C6" s="180"/>
      <c r="D6" s="180" t="s">
        <v>233</v>
      </c>
      <c r="E6" s="180"/>
      <c r="F6" s="180"/>
      <c r="G6" s="180"/>
      <c r="H6" s="180" t="s">
        <v>144</v>
      </c>
      <c r="I6" s="180"/>
      <c r="J6" s="180"/>
      <c r="K6" s="180"/>
      <c r="L6" s="180" t="s">
        <v>146</v>
      </c>
      <c r="M6" s="180"/>
      <c r="N6" s="180"/>
      <c r="O6" s="180"/>
    </row>
    <row r="7" spans="1:15" x14ac:dyDescent="0.25">
      <c r="A7" s="107"/>
      <c r="B7" s="77" t="s">
        <v>234</v>
      </c>
      <c r="C7" s="77" t="s">
        <v>235</v>
      </c>
      <c r="D7" s="77" t="s">
        <v>236</v>
      </c>
      <c r="E7" s="77" t="s">
        <v>237</v>
      </c>
      <c r="F7" s="77" t="s">
        <v>74</v>
      </c>
      <c r="G7" s="77" t="s">
        <v>238</v>
      </c>
      <c r="H7" s="77" t="s">
        <v>236</v>
      </c>
      <c r="I7" s="77" t="s">
        <v>237</v>
      </c>
      <c r="J7" s="77" t="s">
        <v>74</v>
      </c>
      <c r="K7" s="77" t="s">
        <v>238</v>
      </c>
      <c r="L7" s="77" t="s">
        <v>236</v>
      </c>
      <c r="M7" s="77" t="s">
        <v>237</v>
      </c>
      <c r="N7" s="77" t="s">
        <v>74</v>
      </c>
      <c r="O7" s="77" t="s">
        <v>238</v>
      </c>
    </row>
    <row r="8" spans="1:15" x14ac:dyDescent="0.25">
      <c r="A8" s="77" t="s">
        <v>239</v>
      </c>
      <c r="B8" s="109">
        <v>1</v>
      </c>
      <c r="C8" s="109">
        <v>100</v>
      </c>
      <c r="D8" s="22" t="s">
        <v>18</v>
      </c>
      <c r="E8" s="109">
        <v>5</v>
      </c>
      <c r="F8" s="109">
        <v>0.8</v>
      </c>
      <c r="G8" s="22">
        <f>+C8*E8/F8/60</f>
        <v>10.416666666666666</v>
      </c>
      <c r="H8" s="110" t="s">
        <v>22</v>
      </c>
      <c r="I8" s="109">
        <v>4</v>
      </c>
      <c r="J8" s="109">
        <v>1</v>
      </c>
      <c r="K8" s="110">
        <f>+C8*I8/J8/60</f>
        <v>6.666666666666667</v>
      </c>
      <c r="L8" s="115" t="s">
        <v>20</v>
      </c>
      <c r="M8" s="109">
        <v>4</v>
      </c>
      <c r="N8" s="109">
        <v>0.9</v>
      </c>
      <c r="O8" s="115">
        <f>+C8*M8/N8/60</f>
        <v>7.4074074074074074</v>
      </c>
    </row>
    <row r="9" spans="1:15" x14ac:dyDescent="0.25">
      <c r="A9" s="77" t="s">
        <v>240</v>
      </c>
      <c r="B9" s="109">
        <v>2</v>
      </c>
      <c r="C9" s="109">
        <f>100*B9</f>
        <v>200</v>
      </c>
      <c r="D9" s="116" t="s">
        <v>19</v>
      </c>
      <c r="E9" s="109">
        <v>2</v>
      </c>
      <c r="F9" s="109">
        <v>0.9</v>
      </c>
      <c r="G9" s="117">
        <f t="shared" ref="G9:G23" si="0">+C9*E9/F9/60</f>
        <v>7.4074074074074074</v>
      </c>
      <c r="H9" s="111" t="s">
        <v>18</v>
      </c>
      <c r="I9" s="109">
        <v>4</v>
      </c>
      <c r="J9" s="109">
        <v>0.8</v>
      </c>
      <c r="K9" s="22">
        <f t="shared" ref="K9:K23" si="1">+C9*I9/J9/60</f>
        <v>16.666666666666668</v>
      </c>
      <c r="L9" s="110" t="s">
        <v>22</v>
      </c>
      <c r="M9" s="109">
        <v>4</v>
      </c>
      <c r="N9" s="109">
        <v>0.8</v>
      </c>
      <c r="O9" s="110">
        <f t="shared" ref="O9:O23" si="2">+C9*M9/N9/60</f>
        <v>16.666666666666668</v>
      </c>
    </row>
    <row r="10" spans="1:15" x14ac:dyDescent="0.25">
      <c r="A10" s="77" t="s">
        <v>241</v>
      </c>
      <c r="B10" s="109">
        <v>2</v>
      </c>
      <c r="C10" s="109">
        <f t="shared" ref="C10:C23" si="3">100*B10</f>
        <v>200</v>
      </c>
      <c r="D10" s="115" t="s">
        <v>20</v>
      </c>
      <c r="E10" s="109">
        <v>1</v>
      </c>
      <c r="F10" s="109">
        <v>1.2</v>
      </c>
      <c r="G10" s="115">
        <f t="shared" si="0"/>
        <v>2.7777777777777781</v>
      </c>
      <c r="H10" s="117" t="s">
        <v>19</v>
      </c>
      <c r="I10" s="109">
        <v>2</v>
      </c>
      <c r="J10" s="109">
        <v>1.1000000000000001</v>
      </c>
      <c r="K10" s="117">
        <f t="shared" si="1"/>
        <v>6.0606060606060606</v>
      </c>
      <c r="L10" s="111" t="s">
        <v>18</v>
      </c>
      <c r="M10" s="109">
        <v>2</v>
      </c>
      <c r="N10" s="109">
        <v>1.1000000000000001</v>
      </c>
      <c r="O10" s="22">
        <f t="shared" si="2"/>
        <v>6.0606060606060606</v>
      </c>
    </row>
    <row r="11" spans="1:15" x14ac:dyDescent="0.25">
      <c r="A11" s="77" t="s">
        <v>242</v>
      </c>
      <c r="B11" s="109">
        <v>4</v>
      </c>
      <c r="C11" s="109">
        <f t="shared" si="3"/>
        <v>400</v>
      </c>
      <c r="D11" s="110" t="s">
        <v>22</v>
      </c>
      <c r="E11" s="109">
        <v>5</v>
      </c>
      <c r="F11" s="109">
        <v>1.1000000000000001</v>
      </c>
      <c r="G11" s="110">
        <f t="shared" si="0"/>
        <v>30.303030303030301</v>
      </c>
      <c r="H11" s="115" t="s">
        <v>20</v>
      </c>
      <c r="I11" s="109">
        <v>3</v>
      </c>
      <c r="J11" s="109">
        <v>1.2</v>
      </c>
      <c r="K11" s="115">
        <f t="shared" si="1"/>
        <v>16.666666666666668</v>
      </c>
      <c r="L11" s="117" t="s">
        <v>19</v>
      </c>
      <c r="M11" s="109">
        <v>3</v>
      </c>
      <c r="N11" s="109">
        <v>1</v>
      </c>
      <c r="O11" s="117">
        <f t="shared" si="2"/>
        <v>20</v>
      </c>
    </row>
    <row r="12" spans="1:15" x14ac:dyDescent="0.25">
      <c r="A12" s="108" t="s">
        <v>243</v>
      </c>
      <c r="B12" s="112">
        <v>1</v>
      </c>
      <c r="C12" s="112">
        <f t="shared" si="3"/>
        <v>100</v>
      </c>
      <c r="D12" s="110" t="s">
        <v>22</v>
      </c>
      <c r="E12" s="112">
        <v>4</v>
      </c>
      <c r="F12" s="112">
        <v>0.9</v>
      </c>
      <c r="G12" s="110">
        <f t="shared" si="0"/>
        <v>7.4074074074074074</v>
      </c>
      <c r="H12" s="115" t="s">
        <v>20</v>
      </c>
      <c r="I12" s="112">
        <v>2</v>
      </c>
      <c r="J12" s="112">
        <v>1</v>
      </c>
      <c r="K12" s="115">
        <f t="shared" si="1"/>
        <v>3.3333333333333335</v>
      </c>
      <c r="L12" s="117" t="s">
        <v>19</v>
      </c>
      <c r="M12" s="112">
        <v>2</v>
      </c>
      <c r="N12" s="112">
        <v>1</v>
      </c>
      <c r="O12" s="117">
        <f t="shared" si="2"/>
        <v>3.3333333333333335</v>
      </c>
    </row>
    <row r="13" spans="1:15" x14ac:dyDescent="0.25">
      <c r="A13" s="108" t="s">
        <v>241</v>
      </c>
      <c r="B13" s="112">
        <v>2</v>
      </c>
      <c r="C13" s="112">
        <f t="shared" si="3"/>
        <v>200</v>
      </c>
      <c r="D13" s="115" t="s">
        <v>20</v>
      </c>
      <c r="E13" s="112">
        <v>1</v>
      </c>
      <c r="F13" s="112">
        <v>1.2</v>
      </c>
      <c r="G13" s="115">
        <f t="shared" si="0"/>
        <v>2.7777777777777781</v>
      </c>
      <c r="H13" s="117" t="s">
        <v>19</v>
      </c>
      <c r="I13" s="112">
        <v>2</v>
      </c>
      <c r="J13" s="112">
        <v>1.1000000000000001</v>
      </c>
      <c r="K13" s="117">
        <f t="shared" si="1"/>
        <v>6.0606060606060606</v>
      </c>
      <c r="L13" s="22" t="s">
        <v>18</v>
      </c>
      <c r="M13" s="112">
        <v>2</v>
      </c>
      <c r="N13" s="112">
        <v>1.1000000000000001</v>
      </c>
      <c r="O13" s="22">
        <f t="shared" si="2"/>
        <v>6.0606060606060606</v>
      </c>
    </row>
    <row r="14" spans="1:15" x14ac:dyDescent="0.25">
      <c r="A14" s="108" t="s">
        <v>242</v>
      </c>
      <c r="B14" s="112">
        <v>4</v>
      </c>
      <c r="C14" s="112">
        <f t="shared" si="3"/>
        <v>400</v>
      </c>
      <c r="D14" s="110" t="s">
        <v>22</v>
      </c>
      <c r="E14" s="112">
        <v>5</v>
      </c>
      <c r="F14" s="112">
        <v>1.1000000000000001</v>
      </c>
      <c r="G14" s="110">
        <f t="shared" si="0"/>
        <v>30.303030303030301</v>
      </c>
      <c r="H14" s="115" t="s">
        <v>20</v>
      </c>
      <c r="I14" s="112">
        <v>3</v>
      </c>
      <c r="J14" s="112">
        <v>1.2</v>
      </c>
      <c r="K14" s="115">
        <f t="shared" si="1"/>
        <v>16.666666666666668</v>
      </c>
      <c r="L14" s="117" t="s">
        <v>19</v>
      </c>
      <c r="M14" s="112">
        <v>3</v>
      </c>
      <c r="N14" s="112">
        <v>1</v>
      </c>
      <c r="O14" s="117">
        <f t="shared" si="2"/>
        <v>20</v>
      </c>
    </row>
    <row r="15" spans="1:15" x14ac:dyDescent="0.25">
      <c r="A15" s="108" t="s">
        <v>244</v>
      </c>
      <c r="B15" s="112">
        <v>1</v>
      </c>
      <c r="C15" s="112">
        <f t="shared" si="3"/>
        <v>100</v>
      </c>
      <c r="D15" s="111" t="s">
        <v>18</v>
      </c>
      <c r="E15" s="112">
        <v>4</v>
      </c>
      <c r="F15" s="112">
        <v>0.9</v>
      </c>
      <c r="G15" s="22">
        <f t="shared" si="0"/>
        <v>7.4074074074074074</v>
      </c>
      <c r="H15" s="110" t="s">
        <v>22</v>
      </c>
      <c r="I15" s="112">
        <v>5</v>
      </c>
      <c r="J15" s="112">
        <v>0.8</v>
      </c>
      <c r="K15" s="110">
        <f t="shared" si="1"/>
        <v>10.416666666666666</v>
      </c>
      <c r="L15" s="115" t="s">
        <v>20</v>
      </c>
      <c r="M15" s="112">
        <v>5</v>
      </c>
      <c r="N15" s="112">
        <v>0.8</v>
      </c>
      <c r="O15" s="115">
        <f t="shared" si="2"/>
        <v>10.416666666666666</v>
      </c>
    </row>
    <row r="16" spans="1:15" x14ac:dyDescent="0.25">
      <c r="A16" s="77" t="s">
        <v>245</v>
      </c>
      <c r="B16" s="109">
        <v>1</v>
      </c>
      <c r="C16" s="109">
        <f t="shared" si="3"/>
        <v>100</v>
      </c>
      <c r="D16" s="111" t="s">
        <v>18</v>
      </c>
      <c r="E16" s="109">
        <v>2</v>
      </c>
      <c r="F16" s="109">
        <v>1</v>
      </c>
      <c r="G16" s="111">
        <f t="shared" si="0"/>
        <v>3.3333333333333335</v>
      </c>
      <c r="H16" s="110" t="s">
        <v>22</v>
      </c>
      <c r="I16" s="109">
        <v>1</v>
      </c>
      <c r="J16" s="109">
        <v>0.9</v>
      </c>
      <c r="K16" s="110">
        <f t="shared" si="1"/>
        <v>1.8518518518518519</v>
      </c>
      <c r="L16" s="117" t="s">
        <v>19</v>
      </c>
      <c r="M16" s="109">
        <v>1</v>
      </c>
      <c r="N16" s="109">
        <v>0.9</v>
      </c>
      <c r="O16" s="117">
        <f t="shared" si="2"/>
        <v>1.8518518518518519</v>
      </c>
    </row>
    <row r="17" spans="1:19" x14ac:dyDescent="0.25">
      <c r="A17" s="77" t="s">
        <v>240</v>
      </c>
      <c r="B17" s="109">
        <v>5</v>
      </c>
      <c r="C17" s="109">
        <f t="shared" si="3"/>
        <v>500</v>
      </c>
      <c r="D17" s="117" t="s">
        <v>19</v>
      </c>
      <c r="E17" s="109">
        <v>2</v>
      </c>
      <c r="F17" s="109">
        <v>0.9</v>
      </c>
      <c r="G17" s="117">
        <f t="shared" si="0"/>
        <v>18.518518518518519</v>
      </c>
      <c r="H17" s="111" t="s">
        <v>18</v>
      </c>
      <c r="I17" s="109">
        <v>4</v>
      </c>
      <c r="J17" s="109">
        <v>0.8</v>
      </c>
      <c r="K17" s="111">
        <f t="shared" si="1"/>
        <v>41.666666666666664</v>
      </c>
      <c r="L17" s="110" t="s">
        <v>22</v>
      </c>
      <c r="M17" s="109">
        <v>4</v>
      </c>
      <c r="N17" s="109">
        <v>0.8</v>
      </c>
      <c r="O17" s="110">
        <f t="shared" si="2"/>
        <v>41.666666666666664</v>
      </c>
    </row>
    <row r="18" spans="1:19" x14ac:dyDescent="0.25">
      <c r="A18" s="77" t="s">
        <v>241</v>
      </c>
      <c r="B18" s="109">
        <v>5</v>
      </c>
      <c r="C18" s="109">
        <f t="shared" si="3"/>
        <v>500</v>
      </c>
      <c r="D18" s="115" t="s">
        <v>20</v>
      </c>
      <c r="E18" s="109">
        <v>1</v>
      </c>
      <c r="F18" s="109">
        <v>1.2</v>
      </c>
      <c r="G18" s="115">
        <f t="shared" si="0"/>
        <v>6.9444444444444446</v>
      </c>
      <c r="H18" s="117" t="s">
        <v>19</v>
      </c>
      <c r="I18" s="109">
        <v>2</v>
      </c>
      <c r="J18" s="109">
        <v>1.1000000000000001</v>
      </c>
      <c r="K18" s="117">
        <f t="shared" si="1"/>
        <v>15.15151515151515</v>
      </c>
      <c r="L18" s="111" t="s">
        <v>18</v>
      </c>
      <c r="M18" s="109">
        <v>2</v>
      </c>
      <c r="N18" s="109">
        <v>1.1000000000000001</v>
      </c>
      <c r="O18" s="22">
        <f t="shared" si="2"/>
        <v>15.15151515151515</v>
      </c>
      <c r="R18" s="111" t="s">
        <v>18</v>
      </c>
      <c r="S18" s="114">
        <f>+G8+G15+G16+G19+G20+G23+K9+K17+K21+O10+O18+O13</f>
        <v>170.6523569023569</v>
      </c>
    </row>
    <row r="19" spans="1:19" x14ac:dyDescent="0.25">
      <c r="A19" s="77" t="s">
        <v>244</v>
      </c>
      <c r="B19" s="109">
        <v>2</v>
      </c>
      <c r="C19" s="109">
        <f t="shared" si="3"/>
        <v>200</v>
      </c>
      <c r="D19" s="111" t="s">
        <v>18</v>
      </c>
      <c r="E19" s="109">
        <v>4</v>
      </c>
      <c r="F19" s="109">
        <v>0.9</v>
      </c>
      <c r="G19" s="111">
        <f t="shared" si="0"/>
        <v>14.814814814814815</v>
      </c>
      <c r="H19" s="110" t="s">
        <v>22</v>
      </c>
      <c r="I19" s="109">
        <v>5</v>
      </c>
      <c r="J19" s="109">
        <v>0.8</v>
      </c>
      <c r="K19" s="110">
        <f t="shared" si="1"/>
        <v>20.833333333333332</v>
      </c>
      <c r="L19" s="115" t="s">
        <v>20</v>
      </c>
      <c r="M19" s="109">
        <v>5</v>
      </c>
      <c r="N19" s="109">
        <v>0.8</v>
      </c>
      <c r="O19" s="115">
        <f t="shared" si="2"/>
        <v>20.833333333333332</v>
      </c>
      <c r="R19" s="110" t="s">
        <v>22</v>
      </c>
      <c r="S19" s="113">
        <f>+G11+G12+G14+G22+K8+K15+K16+K19+K23+O9+O17+O21</f>
        <v>227.10016835016833</v>
      </c>
    </row>
    <row r="20" spans="1:19" x14ac:dyDescent="0.25">
      <c r="A20" s="108" t="s">
        <v>246</v>
      </c>
      <c r="B20" s="112">
        <v>1</v>
      </c>
      <c r="C20" s="112">
        <f t="shared" si="3"/>
        <v>100</v>
      </c>
      <c r="D20" s="111" t="s">
        <v>18</v>
      </c>
      <c r="E20" s="112">
        <v>5</v>
      </c>
      <c r="F20" s="112">
        <v>0.9</v>
      </c>
      <c r="G20" s="22">
        <f t="shared" si="0"/>
        <v>9.2592592592592595</v>
      </c>
      <c r="H20" s="115" t="s">
        <v>20</v>
      </c>
      <c r="I20" s="112">
        <v>5</v>
      </c>
      <c r="J20" s="112">
        <v>1</v>
      </c>
      <c r="K20" s="115">
        <f t="shared" si="1"/>
        <v>8.3333333333333339</v>
      </c>
      <c r="L20" s="117" t="s">
        <v>19</v>
      </c>
      <c r="M20" s="112">
        <v>5</v>
      </c>
      <c r="N20" s="112">
        <v>1</v>
      </c>
      <c r="O20" s="117">
        <f t="shared" si="2"/>
        <v>8.3333333333333339</v>
      </c>
      <c r="R20" s="115" t="s">
        <v>20</v>
      </c>
      <c r="S20" s="119">
        <f>+G10+G13+G18+K11+K20+K22+O8+O19+O23+O15+K14+K12</f>
        <v>125.32407407407408</v>
      </c>
    </row>
    <row r="21" spans="1:19" x14ac:dyDescent="0.25">
      <c r="A21" s="108" t="s">
        <v>240</v>
      </c>
      <c r="B21" s="112">
        <v>3</v>
      </c>
      <c r="C21" s="112">
        <f t="shared" si="3"/>
        <v>300</v>
      </c>
      <c r="D21" s="117" t="s">
        <v>19</v>
      </c>
      <c r="E21" s="112">
        <v>2</v>
      </c>
      <c r="F21" s="112">
        <v>0.9</v>
      </c>
      <c r="G21" s="117">
        <f t="shared" si="0"/>
        <v>11.111111111111111</v>
      </c>
      <c r="H21" s="111" t="s">
        <v>18</v>
      </c>
      <c r="I21" s="112">
        <v>4</v>
      </c>
      <c r="J21" s="112">
        <v>0.8</v>
      </c>
      <c r="K21" s="111">
        <f t="shared" si="1"/>
        <v>25</v>
      </c>
      <c r="L21" s="110" t="s">
        <v>22</v>
      </c>
      <c r="M21" s="112">
        <v>4</v>
      </c>
      <c r="N21" s="112">
        <v>0.8</v>
      </c>
      <c r="O21" s="110">
        <f t="shared" si="2"/>
        <v>25</v>
      </c>
      <c r="R21" s="117" t="s">
        <v>19</v>
      </c>
      <c r="S21" s="120">
        <f>+G9+G17+G21+K10+K18+O11+O12+O16+O20+O22+O14+K13</f>
        <v>127.82828282828282</v>
      </c>
    </row>
    <row r="22" spans="1:19" x14ac:dyDescent="0.25">
      <c r="A22" s="108" t="s">
        <v>242</v>
      </c>
      <c r="B22" s="112">
        <v>2</v>
      </c>
      <c r="C22" s="112">
        <f t="shared" si="3"/>
        <v>200</v>
      </c>
      <c r="D22" s="110" t="s">
        <v>22</v>
      </c>
      <c r="E22" s="112">
        <v>5</v>
      </c>
      <c r="F22" s="112">
        <v>1.1000000000000001</v>
      </c>
      <c r="G22" s="110">
        <f t="shared" si="0"/>
        <v>15.15151515151515</v>
      </c>
      <c r="H22" s="115" t="s">
        <v>20</v>
      </c>
      <c r="I22" s="112">
        <v>3</v>
      </c>
      <c r="J22" s="112">
        <v>1.2</v>
      </c>
      <c r="K22" s="115">
        <f t="shared" si="1"/>
        <v>8.3333333333333339</v>
      </c>
      <c r="L22" s="117" t="s">
        <v>19</v>
      </c>
      <c r="M22" s="112">
        <v>3</v>
      </c>
      <c r="N22" s="112">
        <v>1</v>
      </c>
      <c r="O22" s="117">
        <f t="shared" si="2"/>
        <v>10</v>
      </c>
    </row>
    <row r="23" spans="1:19" x14ac:dyDescent="0.25">
      <c r="A23" s="108" t="s">
        <v>247</v>
      </c>
      <c r="B23" s="112">
        <v>2</v>
      </c>
      <c r="C23" s="112">
        <f t="shared" si="3"/>
        <v>200</v>
      </c>
      <c r="D23" s="111" t="s">
        <v>18</v>
      </c>
      <c r="E23" s="112">
        <v>4</v>
      </c>
      <c r="F23" s="112">
        <v>0.9</v>
      </c>
      <c r="G23" s="22">
        <f t="shared" si="0"/>
        <v>14.814814814814815</v>
      </c>
      <c r="H23" s="110" t="s">
        <v>22</v>
      </c>
      <c r="I23" s="112">
        <v>5</v>
      </c>
      <c r="J23" s="112">
        <v>0.8</v>
      </c>
      <c r="K23" s="110">
        <f t="shared" si="1"/>
        <v>20.833333333333332</v>
      </c>
      <c r="L23" s="115" t="s">
        <v>20</v>
      </c>
      <c r="M23" s="112">
        <v>5</v>
      </c>
      <c r="N23" s="112">
        <v>0.8</v>
      </c>
      <c r="O23" s="115">
        <f t="shared" si="2"/>
        <v>20.833333333333332</v>
      </c>
    </row>
    <row r="26" spans="1:19" x14ac:dyDescent="0.25">
      <c r="B26" t="s">
        <v>18</v>
      </c>
      <c r="C26" t="s">
        <v>22</v>
      </c>
      <c r="D26" t="s">
        <v>20</v>
      </c>
      <c r="E26" t="s">
        <v>19</v>
      </c>
    </row>
    <row r="27" spans="1:19" x14ac:dyDescent="0.25">
      <c r="A27" s="77" t="s">
        <v>239</v>
      </c>
      <c r="B27" s="7">
        <f>+G8</f>
        <v>10.416666666666666</v>
      </c>
      <c r="C27" s="7">
        <f>+K8</f>
        <v>6.666666666666667</v>
      </c>
      <c r="D27" s="7">
        <f>+O8</f>
        <v>7.4074074074074074</v>
      </c>
      <c r="E27" s="2"/>
    </row>
    <row r="28" spans="1:19" x14ac:dyDescent="0.25">
      <c r="A28" s="77" t="s">
        <v>243</v>
      </c>
      <c r="B28" s="2"/>
      <c r="C28" s="7">
        <f>+G12</f>
        <v>7.4074074074074074</v>
      </c>
      <c r="D28" s="7">
        <f>+K12</f>
        <v>3.3333333333333335</v>
      </c>
      <c r="E28" s="7">
        <f>+O12</f>
        <v>3.3333333333333335</v>
      </c>
    </row>
    <row r="29" spans="1:19" x14ac:dyDescent="0.25">
      <c r="A29" s="77" t="s">
        <v>245</v>
      </c>
      <c r="B29" s="7">
        <f>+G16</f>
        <v>3.3333333333333335</v>
      </c>
      <c r="C29" s="7">
        <f>+K16</f>
        <v>1.8518518518518519</v>
      </c>
      <c r="D29" s="2"/>
      <c r="E29" s="7">
        <f>+O16</f>
        <v>1.8518518518518519</v>
      </c>
    </row>
    <row r="30" spans="1:19" x14ac:dyDescent="0.25">
      <c r="A30" s="77" t="s">
        <v>246</v>
      </c>
      <c r="B30" s="7">
        <f>+G20</f>
        <v>9.2592592592592595</v>
      </c>
      <c r="C30" s="2"/>
      <c r="D30" s="7">
        <f>+K20</f>
        <v>8.3333333333333339</v>
      </c>
      <c r="E30" s="7">
        <f>+O20</f>
        <v>8.3333333333333339</v>
      </c>
    </row>
    <row r="31" spans="1:19" x14ac:dyDescent="0.25">
      <c r="A31" s="77" t="s">
        <v>240</v>
      </c>
      <c r="B31" s="7">
        <f>+K9+K17+K21</f>
        <v>83.333333333333329</v>
      </c>
      <c r="C31" s="7">
        <f>+O9+O17+O21</f>
        <v>83.333333333333329</v>
      </c>
      <c r="D31" s="2"/>
      <c r="E31" s="7">
        <f>+G9+G17+G21</f>
        <v>37.037037037037038</v>
      </c>
    </row>
    <row r="32" spans="1:19" x14ac:dyDescent="0.25">
      <c r="A32" s="77" t="s">
        <v>241</v>
      </c>
      <c r="B32" s="7">
        <f>+O10+O13+O18</f>
        <v>27.272727272727273</v>
      </c>
      <c r="C32" s="2"/>
      <c r="D32" s="122">
        <f>+G10+G13+G18</f>
        <v>12.5</v>
      </c>
      <c r="E32" s="7">
        <f>+K10+K13+K18</f>
        <v>27.272727272727273</v>
      </c>
    </row>
    <row r="33" spans="1:11" x14ac:dyDescent="0.25">
      <c r="A33" s="77" t="s">
        <v>242</v>
      </c>
      <c r="B33" s="2"/>
      <c r="C33" s="7">
        <f>+G11+G14+G22</f>
        <v>75.757575757575751</v>
      </c>
      <c r="D33" s="7">
        <f>+K14+K22+K11</f>
        <v>41.666666666666671</v>
      </c>
      <c r="E33" s="7">
        <f>+O11+O14+O22</f>
        <v>50</v>
      </c>
    </row>
    <row r="34" spans="1:11" x14ac:dyDescent="0.25">
      <c r="A34" s="77" t="s">
        <v>244</v>
      </c>
      <c r="B34" s="7">
        <f>+G19+G23+G15</f>
        <v>37.037037037037038</v>
      </c>
      <c r="C34" s="7">
        <f>+K15+K19+K23</f>
        <v>52.083333333333329</v>
      </c>
      <c r="D34" s="7">
        <f>+O15+O19+O23</f>
        <v>52.083333333333329</v>
      </c>
      <c r="E34" s="2"/>
    </row>
    <row r="35" spans="1:11" x14ac:dyDescent="0.25">
      <c r="A35" s="77" t="s">
        <v>248</v>
      </c>
      <c r="B35" s="7">
        <f>SUM(B27:B34)</f>
        <v>170.6523569023569</v>
      </c>
      <c r="C35" s="7">
        <f>SUM(C27:C34)</f>
        <v>227.1001683501683</v>
      </c>
      <c r="D35" s="7">
        <f>SUM(D27:D34)</f>
        <v>125.32407407407408</v>
      </c>
      <c r="E35" s="7">
        <f>SUM(E27:E34)</f>
        <v>127.82828282828282</v>
      </c>
    </row>
    <row r="38" spans="1:11" x14ac:dyDescent="0.25">
      <c r="B38" t="s">
        <v>18</v>
      </c>
      <c r="C38" t="s">
        <v>22</v>
      </c>
      <c r="D38" t="s">
        <v>20</v>
      </c>
      <c r="E38" t="s">
        <v>19</v>
      </c>
    </row>
    <row r="39" spans="1:11" x14ac:dyDescent="0.25">
      <c r="A39" s="77" t="s">
        <v>239</v>
      </c>
      <c r="B39" s="7">
        <v>10.416666666666666</v>
      </c>
      <c r="C39" s="7">
        <v>6.666666666666667</v>
      </c>
      <c r="D39" s="7">
        <v>7.4074074074074074</v>
      </c>
      <c r="E39" s="7"/>
    </row>
    <row r="40" spans="1:11" x14ac:dyDescent="0.25">
      <c r="A40" s="77" t="s">
        <v>243</v>
      </c>
      <c r="B40" s="7"/>
      <c r="C40" s="7">
        <v>7.4074074074074074</v>
      </c>
      <c r="D40" s="7">
        <v>3.3333333333333335</v>
      </c>
      <c r="E40" s="7">
        <v>3.3333333333333335</v>
      </c>
    </row>
    <row r="41" spans="1:11" x14ac:dyDescent="0.25">
      <c r="A41" s="77" t="s">
        <v>245</v>
      </c>
      <c r="B41" s="7">
        <v>2</v>
      </c>
      <c r="C41" s="7">
        <v>1.8518518518518519</v>
      </c>
      <c r="D41" s="7">
        <v>2</v>
      </c>
      <c r="E41" s="7">
        <v>1.8518518518518519</v>
      </c>
      <c r="G41" s="123">
        <v>170</v>
      </c>
    </row>
    <row r="42" spans="1:11" x14ac:dyDescent="0.25">
      <c r="A42" s="77" t="s">
        <v>246</v>
      </c>
      <c r="B42" s="7">
        <v>9.2592592592592595</v>
      </c>
      <c r="C42" s="7"/>
      <c r="D42" s="7">
        <v>8.3333333333333339</v>
      </c>
      <c r="E42" s="7">
        <v>8.3333333333333339</v>
      </c>
    </row>
    <row r="43" spans="1:11" x14ac:dyDescent="0.25">
      <c r="A43" s="77" t="s">
        <v>240</v>
      </c>
      <c r="B43" s="7">
        <v>83.333333333333329</v>
      </c>
      <c r="C43" s="7">
        <f>83.3333333333333-57</f>
        <v>26.3333333333333</v>
      </c>
      <c r="D43" s="7">
        <v>28.5</v>
      </c>
      <c r="E43" s="7">
        <f>37.037037037037 +28.5</f>
        <v>65.53703703703701</v>
      </c>
      <c r="K43">
        <f>57/2</f>
        <v>28.5</v>
      </c>
    </row>
    <row r="44" spans="1:11" x14ac:dyDescent="0.25">
      <c r="A44" s="77" t="s">
        <v>241</v>
      </c>
      <c r="B44" s="7">
        <v>27.272727272727273</v>
      </c>
      <c r="C44" s="7"/>
      <c r="D44" s="7">
        <v>12.5</v>
      </c>
      <c r="E44" s="7">
        <v>27.272727272727273</v>
      </c>
    </row>
    <row r="45" spans="1:11" x14ac:dyDescent="0.25">
      <c r="A45" s="77" t="s">
        <v>242</v>
      </c>
      <c r="B45" s="7"/>
      <c r="C45" s="7">
        <v>75.757575757575751</v>
      </c>
      <c r="D45" s="7">
        <v>41.666666666666671</v>
      </c>
      <c r="E45" s="7">
        <v>50</v>
      </c>
    </row>
    <row r="46" spans="1:11" x14ac:dyDescent="0.25">
      <c r="A46" s="77" t="s">
        <v>244</v>
      </c>
      <c r="B46" s="7">
        <v>37.037037037037038</v>
      </c>
      <c r="C46" s="7">
        <v>52.083333333333329</v>
      </c>
      <c r="D46" s="7">
        <v>52.083333333333329</v>
      </c>
      <c r="E46" s="7"/>
    </row>
    <row r="47" spans="1:11" x14ac:dyDescent="0.25">
      <c r="A47" s="77" t="s">
        <v>248</v>
      </c>
      <c r="B47" s="7">
        <f>SUM(B39:B46)</f>
        <v>169.31902356902356</v>
      </c>
      <c r="C47" s="7">
        <f>SUM(C39:C46)</f>
        <v>170.1001683501683</v>
      </c>
      <c r="D47" s="7">
        <f>SUM(D39:D46)</f>
        <v>155.82407407407408</v>
      </c>
      <c r="E47" s="7">
        <f>SUM(E39:E46)</f>
        <v>156.32828282828279</v>
      </c>
    </row>
    <row r="48" spans="1:11" x14ac:dyDescent="0.25">
      <c r="A48" s="121" t="s">
        <v>249</v>
      </c>
      <c r="B48" s="118">
        <f>+B47-$G$41</f>
        <v>-0.68097643097644323</v>
      </c>
      <c r="C48" s="118">
        <f t="shared" ref="C48:E48" si="4">+C47-$G$41</f>
        <v>0.10016835016830328</v>
      </c>
      <c r="D48" s="118">
        <f t="shared" si="4"/>
        <v>-14.175925925925924</v>
      </c>
      <c r="E48" s="118">
        <f t="shared" si="4"/>
        <v>-13.671717171717205</v>
      </c>
    </row>
  </sheetData>
  <mergeCells count="4">
    <mergeCell ref="D6:G6"/>
    <mergeCell ref="H6:K6"/>
    <mergeCell ref="L6:O6"/>
    <mergeCell ref="B6:C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5010-37D0-447D-B582-5623ED8881A4}">
  <dimension ref="A1:J1048573"/>
  <sheetViews>
    <sheetView topLeftCell="A16" workbookViewId="0">
      <selection activeCell="B40" sqref="B40"/>
    </sheetView>
  </sheetViews>
  <sheetFormatPr baseColWidth="10" defaultColWidth="9.140625" defaultRowHeight="15" x14ac:dyDescent="0.25"/>
  <cols>
    <col min="1" max="1" width="10.5703125" customWidth="1"/>
    <col min="2" max="2" width="12.85546875" customWidth="1"/>
    <col min="6" max="6" width="9" customWidth="1"/>
    <col min="10" max="10" width="17.7109375" customWidth="1"/>
  </cols>
  <sheetData>
    <row r="1" spans="1:10" x14ac:dyDescent="0.25">
      <c r="A1" t="s">
        <v>250</v>
      </c>
    </row>
    <row r="3" spans="1:10" x14ac:dyDescent="0.25">
      <c r="A3" t="s">
        <v>251</v>
      </c>
    </row>
    <row r="4" spans="1:10" x14ac:dyDescent="0.25">
      <c r="A4" t="s">
        <v>252</v>
      </c>
    </row>
    <row r="6" spans="1:10" x14ac:dyDescent="0.25">
      <c r="A6" s="6" t="s">
        <v>8</v>
      </c>
      <c r="B6" s="6" t="s">
        <v>18</v>
      </c>
      <c r="C6" s="6" t="s">
        <v>22</v>
      </c>
      <c r="D6" s="6" t="s">
        <v>20</v>
      </c>
      <c r="E6" s="6" t="s">
        <v>19</v>
      </c>
      <c r="F6" s="6" t="s">
        <v>253</v>
      </c>
      <c r="J6" s="6" t="s">
        <v>254</v>
      </c>
    </row>
    <row r="7" spans="1:10" x14ac:dyDescent="0.25">
      <c r="A7" s="124" t="s">
        <v>239</v>
      </c>
      <c r="B7" s="124">
        <v>22</v>
      </c>
      <c r="C7" s="124">
        <v>18</v>
      </c>
      <c r="D7" s="124">
        <v>45</v>
      </c>
      <c r="E7" s="124">
        <v>33</v>
      </c>
      <c r="F7" s="124">
        <f t="shared" ref="F7:F15" si="0">SUM(B7:E7)</f>
        <v>118</v>
      </c>
      <c r="J7" s="180" t="s">
        <v>255</v>
      </c>
    </row>
    <row r="8" spans="1:10" x14ac:dyDescent="0.25">
      <c r="A8" s="124" t="s">
        <v>256</v>
      </c>
      <c r="B8" s="124">
        <v>24</v>
      </c>
      <c r="C8" s="124">
        <v>60</v>
      </c>
      <c r="D8" s="124">
        <v>55</v>
      </c>
      <c r="E8" s="124">
        <v>12</v>
      </c>
      <c r="F8" s="124">
        <f t="shared" si="0"/>
        <v>151</v>
      </c>
      <c r="J8" s="180"/>
    </row>
    <row r="9" spans="1:10" x14ac:dyDescent="0.25">
      <c r="A9" s="124" t="s">
        <v>245</v>
      </c>
      <c r="B9" s="124">
        <v>35</v>
      </c>
      <c r="C9" s="124">
        <v>32</v>
      </c>
      <c r="D9" s="124">
        <v>39</v>
      </c>
      <c r="E9" s="124">
        <v>47</v>
      </c>
      <c r="F9" s="124">
        <f t="shared" si="0"/>
        <v>153</v>
      </c>
      <c r="J9" s="180"/>
    </row>
    <row r="10" spans="1:10" x14ac:dyDescent="0.25">
      <c r="A10" s="6" t="s">
        <v>257</v>
      </c>
      <c r="B10" s="6">
        <v>44</v>
      </c>
      <c r="C10" s="6">
        <v>62</v>
      </c>
      <c r="D10" s="6">
        <v>60</v>
      </c>
      <c r="E10" s="6">
        <v>75</v>
      </c>
      <c r="F10" s="6">
        <f t="shared" si="0"/>
        <v>241</v>
      </c>
      <c r="J10" s="180" t="s">
        <v>258</v>
      </c>
    </row>
    <row r="11" spans="1:10" x14ac:dyDescent="0.25">
      <c r="A11" s="6" t="s">
        <v>259</v>
      </c>
      <c r="B11" s="6">
        <v>24</v>
      </c>
      <c r="C11" s="6">
        <v>36</v>
      </c>
      <c r="D11" s="6">
        <v>18</v>
      </c>
      <c r="E11" s="6">
        <v>43</v>
      </c>
      <c r="F11" s="6">
        <f t="shared" si="0"/>
        <v>121</v>
      </c>
      <c r="J11" s="180"/>
    </row>
    <row r="12" spans="1:10" x14ac:dyDescent="0.25">
      <c r="A12" s="6" t="s">
        <v>260</v>
      </c>
      <c r="B12" s="6">
        <v>25</v>
      </c>
      <c r="C12" s="6">
        <v>32</v>
      </c>
      <c r="D12" s="6">
        <v>22</v>
      </c>
      <c r="E12" s="6">
        <v>36</v>
      </c>
      <c r="F12" s="6">
        <f t="shared" si="0"/>
        <v>115</v>
      </c>
      <c r="J12" s="180"/>
    </row>
    <row r="13" spans="1:10" x14ac:dyDescent="0.25">
      <c r="A13" s="6" t="s">
        <v>261</v>
      </c>
      <c r="B13" s="6">
        <v>55</v>
      </c>
      <c r="C13" s="6">
        <v>68</v>
      </c>
      <c r="D13" s="6">
        <v>74</v>
      </c>
      <c r="E13" s="6">
        <v>41</v>
      </c>
      <c r="F13" s="6">
        <f t="shared" si="0"/>
        <v>238</v>
      </c>
      <c r="J13" s="180" t="s">
        <v>262</v>
      </c>
    </row>
    <row r="14" spans="1:10" x14ac:dyDescent="0.25">
      <c r="A14" s="6" t="s">
        <v>263</v>
      </c>
      <c r="B14" s="6">
        <v>48</v>
      </c>
      <c r="C14" s="6">
        <v>20</v>
      </c>
      <c r="D14" s="6">
        <v>41</v>
      </c>
      <c r="E14" s="6">
        <v>43</v>
      </c>
      <c r="F14" s="6">
        <f t="shared" si="0"/>
        <v>152</v>
      </c>
      <c r="J14" s="180"/>
    </row>
    <row r="15" spans="1:10" x14ac:dyDescent="0.25">
      <c r="A15" s="6" t="s">
        <v>264</v>
      </c>
      <c r="B15" s="6">
        <v>40</v>
      </c>
      <c r="C15" s="6">
        <v>23</v>
      </c>
      <c r="D15" s="6">
        <v>35</v>
      </c>
      <c r="E15" s="6">
        <v>48</v>
      </c>
      <c r="F15" s="6">
        <f t="shared" si="0"/>
        <v>146</v>
      </c>
      <c r="J15" s="180"/>
    </row>
    <row r="16" spans="1:10" x14ac:dyDescent="0.25">
      <c r="A16" s="125" t="s">
        <v>265</v>
      </c>
      <c r="B16">
        <f>SUM(B7:B15)</f>
        <v>317</v>
      </c>
      <c r="C16">
        <f>SUM(C7:C15)</f>
        <v>351</v>
      </c>
      <c r="D16">
        <f>SUM(D7:D15)</f>
        <v>389</v>
      </c>
      <c r="E16">
        <f>SUM(E7:E15)</f>
        <v>378</v>
      </c>
    </row>
    <row r="18" spans="1:10" x14ac:dyDescent="0.25">
      <c r="A18" t="s">
        <v>266</v>
      </c>
      <c r="C18">
        <f>300*4</f>
        <v>1200</v>
      </c>
      <c r="G18" t="s">
        <v>267</v>
      </c>
      <c r="I18" t="s">
        <v>268</v>
      </c>
    </row>
    <row r="19" spans="1:10" x14ac:dyDescent="0.25">
      <c r="G19" t="s">
        <v>269</v>
      </c>
      <c r="H19">
        <f>+F10+F11+F12+F13</f>
        <v>715</v>
      </c>
      <c r="I19">
        <v>5.6</v>
      </c>
    </row>
    <row r="20" spans="1:10" x14ac:dyDescent="0.25">
      <c r="A20" t="s">
        <v>270</v>
      </c>
      <c r="C20">
        <f>+B16+C16+D16+E16</f>
        <v>1435</v>
      </c>
      <c r="G20" t="s">
        <v>271</v>
      </c>
      <c r="H20">
        <f>+F11+F12+F13+F14+F15</f>
        <v>772</v>
      </c>
      <c r="I20">
        <v>1</v>
      </c>
    </row>
    <row r="21" spans="1:10" x14ac:dyDescent="0.25">
      <c r="G21" s="127" t="s">
        <v>272</v>
      </c>
      <c r="H21" s="127">
        <f>+F12+F13+F14+F15</f>
        <v>651</v>
      </c>
    </row>
    <row r="22" spans="1:10" x14ac:dyDescent="0.25">
      <c r="A22" t="s">
        <v>273</v>
      </c>
      <c r="C22">
        <f>+F7+F8+F9</f>
        <v>422</v>
      </c>
      <c r="G22" s="127" t="s">
        <v>274</v>
      </c>
      <c r="H22" s="127">
        <f>+F10+F12+F13+F14+F15</f>
        <v>892</v>
      </c>
    </row>
    <row r="23" spans="1:10" x14ac:dyDescent="0.25">
      <c r="G23" s="128" t="s">
        <v>275</v>
      </c>
      <c r="H23" s="128">
        <f>+F10+F13+F14+F15</f>
        <v>777</v>
      </c>
      <c r="I23" s="128">
        <v>2.2999999999999998</v>
      </c>
    </row>
    <row r="24" spans="1:10" x14ac:dyDescent="0.25">
      <c r="A24" t="s">
        <v>276</v>
      </c>
      <c r="C24" s="126">
        <f>+C18-C22</f>
        <v>778</v>
      </c>
    </row>
    <row r="27" spans="1:10" x14ac:dyDescent="0.25">
      <c r="A27" s="6" t="s">
        <v>8</v>
      </c>
      <c r="B27" s="6" t="s">
        <v>18</v>
      </c>
      <c r="C27" s="6" t="s">
        <v>22</v>
      </c>
      <c r="D27" s="6" t="s">
        <v>20</v>
      </c>
      <c r="E27" s="6" t="s">
        <v>19</v>
      </c>
      <c r="F27" s="6" t="s">
        <v>253</v>
      </c>
    </row>
    <row r="28" spans="1:10" x14ac:dyDescent="0.25">
      <c r="A28" s="124" t="s">
        <v>239</v>
      </c>
      <c r="B28" s="124">
        <v>22</v>
      </c>
      <c r="C28" s="124">
        <v>18</v>
      </c>
      <c r="D28" s="124">
        <v>45</v>
      </c>
      <c r="E28" s="124">
        <v>33</v>
      </c>
      <c r="F28" s="124">
        <v>118</v>
      </c>
    </row>
    <row r="29" spans="1:10" x14ac:dyDescent="0.25">
      <c r="A29" s="124" t="s">
        <v>256</v>
      </c>
      <c r="B29" s="124">
        <v>24</v>
      </c>
      <c r="C29" s="124">
        <v>60</v>
      </c>
      <c r="D29" s="124">
        <v>55</v>
      </c>
      <c r="E29" s="124">
        <v>12</v>
      </c>
      <c r="F29" s="124">
        <v>151</v>
      </c>
    </row>
    <row r="30" spans="1:10" x14ac:dyDescent="0.25">
      <c r="A30" s="124" t="s">
        <v>245</v>
      </c>
      <c r="B30" s="124">
        <v>35</v>
      </c>
      <c r="C30" s="124">
        <v>32</v>
      </c>
      <c r="D30" s="124">
        <v>39</v>
      </c>
      <c r="E30" s="124">
        <v>47</v>
      </c>
      <c r="F30" s="124">
        <v>153</v>
      </c>
    </row>
    <row r="31" spans="1:10" x14ac:dyDescent="0.25">
      <c r="A31" s="6" t="s">
        <v>257</v>
      </c>
      <c r="B31" s="6">
        <f>44+32</f>
        <v>76</v>
      </c>
      <c r="C31" s="6">
        <v>62</v>
      </c>
      <c r="D31" s="6">
        <f>60-32</f>
        <v>28</v>
      </c>
      <c r="E31" s="6">
        <v>75</v>
      </c>
      <c r="F31" s="6">
        <v>241</v>
      </c>
      <c r="J31">
        <f>300-283</f>
        <v>17</v>
      </c>
    </row>
    <row r="32" spans="1:10" x14ac:dyDescent="0.25">
      <c r="A32" s="6" t="s">
        <v>261</v>
      </c>
      <c r="B32" s="6">
        <v>55</v>
      </c>
      <c r="C32" s="6">
        <v>68</v>
      </c>
      <c r="D32" s="6">
        <v>74</v>
      </c>
      <c r="E32" s="6">
        <v>41</v>
      </c>
      <c r="F32" s="6">
        <v>238</v>
      </c>
    </row>
    <row r="33" spans="1:10" x14ac:dyDescent="0.25">
      <c r="A33" s="6" t="s">
        <v>263</v>
      </c>
      <c r="B33" s="6">
        <v>48</v>
      </c>
      <c r="C33" s="6">
        <v>20</v>
      </c>
      <c r="D33" s="6">
        <v>41</v>
      </c>
      <c r="E33" s="6">
        <v>43</v>
      </c>
      <c r="F33" s="6">
        <v>152</v>
      </c>
      <c r="J33">
        <f>300-268</f>
        <v>32</v>
      </c>
    </row>
    <row r="34" spans="1:10" x14ac:dyDescent="0.25">
      <c r="A34" s="6" t="s">
        <v>264</v>
      </c>
      <c r="B34" s="6">
        <v>40</v>
      </c>
      <c r="C34" s="6">
        <f>23+17</f>
        <v>40</v>
      </c>
      <c r="D34" s="6">
        <f>35-17</f>
        <v>18</v>
      </c>
      <c r="E34" s="6">
        <v>48</v>
      </c>
      <c r="F34" s="6">
        <v>146</v>
      </c>
    </row>
    <row r="35" spans="1:10" x14ac:dyDescent="0.25">
      <c r="A35" s="125" t="s">
        <v>265</v>
      </c>
      <c r="B35">
        <f>SUM(B28:B34)</f>
        <v>300</v>
      </c>
      <c r="C35">
        <f>SUM(C28:C34)</f>
        <v>300</v>
      </c>
      <c r="D35">
        <f>SUM(D28:D34)</f>
        <v>300</v>
      </c>
      <c r="E35">
        <f>SUM(E28:E34)</f>
        <v>299</v>
      </c>
    </row>
    <row r="38" spans="1:10" x14ac:dyDescent="0.25">
      <c r="A38" t="s">
        <v>277</v>
      </c>
      <c r="B38" s="129">
        <f>+(240*20)*4</f>
        <v>19200</v>
      </c>
    </row>
    <row r="39" spans="1:10" x14ac:dyDescent="0.25">
      <c r="A39" t="s">
        <v>232</v>
      </c>
      <c r="B39" s="129">
        <f>+(60*3 +59)*40</f>
        <v>9560</v>
      </c>
    </row>
    <row r="40" spans="1:10" x14ac:dyDescent="0.25">
      <c r="A40" t="s">
        <v>278</v>
      </c>
      <c r="B40" s="129">
        <f>+(121+115)*95</f>
        <v>22420</v>
      </c>
    </row>
    <row r="41" spans="1:10" x14ac:dyDescent="0.25">
      <c r="B41" s="129"/>
    </row>
    <row r="42" spans="1:10" x14ac:dyDescent="0.25">
      <c r="A42" t="s">
        <v>279</v>
      </c>
      <c r="B42" s="129">
        <f>SUM(B38:B40)</f>
        <v>51180</v>
      </c>
    </row>
    <row r="1048573" spans="1:1" x14ac:dyDescent="0.25">
      <c r="A1048573" t="s">
        <v>257</v>
      </c>
    </row>
  </sheetData>
  <mergeCells count="3">
    <mergeCell ref="J7:J9"/>
    <mergeCell ref="J10:J12"/>
    <mergeCell ref="J13:J1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A0C1-0F22-4B67-8ABF-B5672FCF6E85}">
  <dimension ref="A2:BY14"/>
  <sheetViews>
    <sheetView workbookViewId="0">
      <selection activeCell="M14" sqref="M14"/>
    </sheetView>
  </sheetViews>
  <sheetFormatPr baseColWidth="10" defaultColWidth="9.140625" defaultRowHeight="15" x14ac:dyDescent="0.25"/>
  <cols>
    <col min="1" max="1" width="11.42578125" customWidth="1"/>
    <col min="2" max="2" width="11.85546875" customWidth="1"/>
    <col min="15" max="15" width="9.85546875" customWidth="1"/>
    <col min="16" max="78" width="2.85546875" customWidth="1"/>
  </cols>
  <sheetData>
    <row r="2" spans="1:77" x14ac:dyDescent="0.25">
      <c r="A2" s="2"/>
      <c r="B2" s="2"/>
      <c r="C2" s="2"/>
      <c r="D2" s="165" t="s">
        <v>3</v>
      </c>
      <c r="E2" s="166"/>
      <c r="F2" s="165" t="s">
        <v>5</v>
      </c>
      <c r="G2" s="166"/>
      <c r="H2" s="165" t="s">
        <v>6</v>
      </c>
      <c r="I2" s="166"/>
      <c r="J2" s="165" t="s">
        <v>280</v>
      </c>
      <c r="K2" s="166"/>
      <c r="O2" t="s">
        <v>35</v>
      </c>
      <c r="P2">
        <v>62</v>
      </c>
      <c r="Q2">
        <v>61</v>
      </c>
      <c r="R2">
        <v>60</v>
      </c>
      <c r="S2">
        <v>59</v>
      </c>
      <c r="T2">
        <v>58</v>
      </c>
      <c r="U2">
        <v>57</v>
      </c>
      <c r="V2">
        <v>56</v>
      </c>
      <c r="W2">
        <v>55</v>
      </c>
      <c r="X2">
        <v>54</v>
      </c>
      <c r="Y2">
        <v>53</v>
      </c>
      <c r="Z2">
        <v>52</v>
      </c>
      <c r="AA2">
        <v>51</v>
      </c>
      <c r="AB2">
        <v>50</v>
      </c>
      <c r="AC2">
        <v>49</v>
      </c>
      <c r="AD2">
        <v>48</v>
      </c>
      <c r="AE2">
        <v>47</v>
      </c>
      <c r="AF2">
        <v>46</v>
      </c>
      <c r="AG2">
        <v>45</v>
      </c>
      <c r="AH2">
        <v>44</v>
      </c>
      <c r="AI2">
        <v>43</v>
      </c>
      <c r="AJ2">
        <v>42</v>
      </c>
      <c r="AK2">
        <v>41</v>
      </c>
      <c r="AL2">
        <v>40</v>
      </c>
      <c r="AM2">
        <v>39</v>
      </c>
      <c r="AN2">
        <v>38</v>
      </c>
      <c r="AO2">
        <v>37</v>
      </c>
      <c r="AP2">
        <v>36</v>
      </c>
      <c r="AQ2">
        <v>35</v>
      </c>
      <c r="AR2">
        <v>34</v>
      </c>
      <c r="AS2">
        <v>33</v>
      </c>
      <c r="AT2">
        <v>32</v>
      </c>
      <c r="AU2">
        <v>31</v>
      </c>
      <c r="AV2">
        <v>30</v>
      </c>
      <c r="AW2">
        <v>29</v>
      </c>
      <c r="AX2">
        <v>28</v>
      </c>
      <c r="AY2">
        <v>27</v>
      </c>
      <c r="AZ2">
        <v>26</v>
      </c>
      <c r="BA2">
        <v>25</v>
      </c>
      <c r="BB2">
        <v>24</v>
      </c>
      <c r="BC2">
        <v>23</v>
      </c>
      <c r="BD2">
        <v>22</v>
      </c>
      <c r="BE2">
        <v>21</v>
      </c>
      <c r="BF2">
        <v>20</v>
      </c>
      <c r="BG2">
        <v>19</v>
      </c>
      <c r="BH2">
        <v>18</v>
      </c>
      <c r="BI2">
        <v>17</v>
      </c>
      <c r="BJ2">
        <v>16</v>
      </c>
      <c r="BK2">
        <v>15</v>
      </c>
      <c r="BL2">
        <v>14</v>
      </c>
      <c r="BM2">
        <v>13</v>
      </c>
      <c r="BN2">
        <v>12</v>
      </c>
      <c r="BO2">
        <v>11</v>
      </c>
      <c r="BP2">
        <v>10</v>
      </c>
      <c r="BQ2">
        <v>9</v>
      </c>
      <c r="BR2">
        <v>8</v>
      </c>
      <c r="BS2">
        <v>7</v>
      </c>
      <c r="BT2">
        <v>6</v>
      </c>
      <c r="BU2">
        <v>5</v>
      </c>
      <c r="BV2">
        <v>4</v>
      </c>
      <c r="BW2">
        <v>3</v>
      </c>
      <c r="BX2">
        <v>2</v>
      </c>
      <c r="BY2">
        <v>1</v>
      </c>
    </row>
    <row r="3" spans="1:77" x14ac:dyDescent="0.25">
      <c r="A3" s="2" t="s">
        <v>8</v>
      </c>
      <c r="B3" s="2" t="s">
        <v>10</v>
      </c>
      <c r="C3" s="2" t="s">
        <v>11</v>
      </c>
      <c r="D3" s="2" t="s">
        <v>12</v>
      </c>
      <c r="E3" s="2" t="s">
        <v>86</v>
      </c>
      <c r="F3" s="2" t="s">
        <v>12</v>
      </c>
      <c r="G3" s="2" t="s">
        <v>86</v>
      </c>
      <c r="H3" s="2" t="s">
        <v>12</v>
      </c>
      <c r="I3" s="2" t="s">
        <v>86</v>
      </c>
      <c r="J3" s="2" t="s">
        <v>12</v>
      </c>
      <c r="K3" s="2" t="s">
        <v>86</v>
      </c>
      <c r="L3" s="2" t="s">
        <v>87</v>
      </c>
      <c r="O3" s="2" t="s">
        <v>281</v>
      </c>
      <c r="BM3" s="138"/>
      <c r="BN3" s="131"/>
      <c r="BO3" s="131"/>
      <c r="BP3" s="131"/>
      <c r="BQ3" s="134"/>
      <c r="BR3" s="134"/>
      <c r="BS3" s="134"/>
      <c r="BT3" s="134"/>
      <c r="BU3" s="134"/>
      <c r="BV3" s="9"/>
      <c r="BW3" s="9"/>
      <c r="BX3" s="9"/>
      <c r="BY3" s="9"/>
    </row>
    <row r="4" spans="1:77" x14ac:dyDescent="0.25">
      <c r="A4" s="2" t="s">
        <v>281</v>
      </c>
      <c r="B4" s="2"/>
      <c r="C4" s="2"/>
      <c r="D4" s="130" t="s">
        <v>90</v>
      </c>
      <c r="E4" s="130">
        <v>4</v>
      </c>
      <c r="F4" s="16" t="s">
        <v>94</v>
      </c>
      <c r="G4" s="16">
        <v>5</v>
      </c>
      <c r="H4" s="96" t="s">
        <v>89</v>
      </c>
      <c r="I4" s="96">
        <v>4</v>
      </c>
      <c r="J4" s="2"/>
      <c r="K4" s="2"/>
      <c r="L4" s="2">
        <v>13</v>
      </c>
      <c r="O4" s="2" t="s">
        <v>282</v>
      </c>
      <c r="AG4" s="135"/>
      <c r="AH4" s="135"/>
      <c r="AI4" s="135"/>
      <c r="AJ4" s="135"/>
      <c r="AK4" s="135"/>
      <c r="AL4" s="135"/>
      <c r="AM4" s="135"/>
      <c r="AN4" s="135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83"/>
      <c r="BH4" s="83"/>
    </row>
    <row r="5" spans="1:77" x14ac:dyDescent="0.25">
      <c r="A5" s="2" t="s">
        <v>282</v>
      </c>
      <c r="B5" s="2" t="s">
        <v>89</v>
      </c>
      <c r="C5" s="2">
        <v>8</v>
      </c>
      <c r="D5" s="15" t="s">
        <v>97</v>
      </c>
      <c r="E5" s="15">
        <v>12</v>
      </c>
      <c r="F5" s="15" t="s">
        <v>97</v>
      </c>
      <c r="G5" s="15">
        <v>6</v>
      </c>
      <c r="H5" s="84" t="s">
        <v>99</v>
      </c>
      <c r="I5" s="84">
        <v>2</v>
      </c>
      <c r="J5" s="2"/>
      <c r="K5" s="2"/>
      <c r="L5" s="2">
        <v>28</v>
      </c>
      <c r="O5" s="2" t="s">
        <v>283</v>
      </c>
      <c r="BC5" s="137"/>
      <c r="BD5" s="133"/>
      <c r="BE5" s="133"/>
      <c r="BF5" s="133"/>
      <c r="BG5" s="133"/>
      <c r="BH5" s="133"/>
      <c r="BI5" s="134"/>
      <c r="BJ5" s="134"/>
      <c r="BK5" s="88"/>
      <c r="BL5" s="88"/>
    </row>
    <row r="6" spans="1:77" x14ac:dyDescent="0.25">
      <c r="A6" s="2" t="s">
        <v>283</v>
      </c>
      <c r="B6" s="2" t="s">
        <v>89</v>
      </c>
      <c r="C6" s="2"/>
      <c r="D6" s="130" t="s">
        <v>90</v>
      </c>
      <c r="E6" s="130">
        <v>3</v>
      </c>
      <c r="F6" s="130" t="s">
        <v>90</v>
      </c>
      <c r="G6" s="130">
        <v>3</v>
      </c>
      <c r="H6" s="16" t="s">
        <v>94</v>
      </c>
      <c r="I6" s="16">
        <v>2</v>
      </c>
      <c r="J6" s="96" t="s">
        <v>89</v>
      </c>
      <c r="K6" s="96">
        <v>2</v>
      </c>
      <c r="L6" s="2">
        <v>10</v>
      </c>
      <c r="O6" s="2" t="s">
        <v>284</v>
      </c>
      <c r="AY6" s="135"/>
      <c r="AZ6" s="135"/>
      <c r="BA6" s="135"/>
      <c r="BB6" s="135"/>
      <c r="BC6" s="135"/>
      <c r="BD6" s="135"/>
      <c r="BE6" s="136"/>
      <c r="BF6" s="136"/>
      <c r="BG6" s="132"/>
      <c r="BH6" s="132"/>
      <c r="BI6" s="132"/>
      <c r="BJ6" s="132"/>
      <c r="BK6" s="136"/>
      <c r="BL6" s="136"/>
    </row>
    <row r="7" spans="1:77" x14ac:dyDescent="0.25">
      <c r="A7" s="2" t="s">
        <v>284</v>
      </c>
      <c r="B7" s="2" t="s">
        <v>89</v>
      </c>
      <c r="C7" s="2">
        <v>6</v>
      </c>
      <c r="D7" s="97" t="s">
        <v>96</v>
      </c>
      <c r="E7" s="97">
        <v>2</v>
      </c>
      <c r="F7" s="15" t="s">
        <v>97</v>
      </c>
      <c r="G7" s="15">
        <v>4</v>
      </c>
      <c r="H7" s="97" t="s">
        <v>96</v>
      </c>
      <c r="I7" s="97">
        <v>2</v>
      </c>
      <c r="J7" s="2"/>
      <c r="K7" s="2"/>
      <c r="L7" s="2">
        <v>14</v>
      </c>
      <c r="O7" s="2" t="s">
        <v>285</v>
      </c>
      <c r="AQ7" s="139"/>
      <c r="AR7" s="88"/>
      <c r="AS7" s="88"/>
      <c r="AT7" s="88"/>
      <c r="AU7" s="88"/>
      <c r="AV7" s="133"/>
      <c r="AW7" s="133"/>
      <c r="AX7" s="133"/>
      <c r="AY7" s="133"/>
      <c r="AZ7" s="134"/>
      <c r="BA7" s="134"/>
      <c r="BB7" s="134"/>
    </row>
    <row r="8" spans="1:77" x14ac:dyDescent="0.25">
      <c r="A8" s="2" t="s">
        <v>285</v>
      </c>
      <c r="B8" s="2" t="s">
        <v>90</v>
      </c>
      <c r="C8" s="2"/>
      <c r="D8" s="96" t="s">
        <v>89</v>
      </c>
      <c r="E8" s="96">
        <v>5</v>
      </c>
      <c r="F8" s="130" t="s">
        <v>90</v>
      </c>
      <c r="G8" s="130">
        <v>2</v>
      </c>
      <c r="H8" s="130" t="s">
        <v>90</v>
      </c>
      <c r="I8" s="130">
        <v>2</v>
      </c>
      <c r="J8" s="16" t="s">
        <v>94</v>
      </c>
      <c r="K8" s="16">
        <v>3</v>
      </c>
      <c r="L8" s="2">
        <v>12</v>
      </c>
      <c r="O8" s="2" t="s">
        <v>286</v>
      </c>
      <c r="AE8" s="135"/>
      <c r="AF8" s="135"/>
      <c r="AG8" s="135"/>
      <c r="AH8" s="135"/>
      <c r="AI8" s="135"/>
      <c r="AJ8" s="83"/>
      <c r="AK8" s="83"/>
      <c r="AL8" s="132"/>
      <c r="AM8" s="132"/>
      <c r="AN8" s="132"/>
      <c r="AO8" s="83"/>
      <c r="AP8" s="83"/>
      <c r="AQ8" s="83"/>
      <c r="AR8" s="83"/>
      <c r="AS8" s="83"/>
      <c r="AT8" s="83"/>
    </row>
    <row r="9" spans="1:77" x14ac:dyDescent="0.25">
      <c r="A9" s="2" t="s">
        <v>286</v>
      </c>
      <c r="B9" s="2" t="s">
        <v>90</v>
      </c>
      <c r="C9" s="2">
        <v>5</v>
      </c>
      <c r="D9" s="84" t="s">
        <v>99</v>
      </c>
      <c r="E9" s="84">
        <v>2</v>
      </c>
      <c r="F9" s="15" t="s">
        <v>97</v>
      </c>
      <c r="G9" s="15">
        <v>3</v>
      </c>
      <c r="H9" s="84" t="s">
        <v>99</v>
      </c>
      <c r="I9" s="84">
        <v>2</v>
      </c>
      <c r="J9" s="84" t="s">
        <v>99</v>
      </c>
      <c r="K9" s="84">
        <v>4</v>
      </c>
      <c r="L9" s="2">
        <v>16</v>
      </c>
      <c r="O9" s="2" t="s">
        <v>287</v>
      </c>
      <c r="AF9" s="135"/>
      <c r="AG9" s="135"/>
      <c r="AH9" s="135"/>
      <c r="AI9" s="135"/>
      <c r="AJ9" s="134"/>
      <c r="AK9" s="134"/>
      <c r="AL9" s="88"/>
      <c r="AM9" s="88"/>
      <c r="AN9" s="88"/>
      <c r="AO9" s="88"/>
      <c r="AP9" s="88"/>
    </row>
    <row r="10" spans="1:77" x14ac:dyDescent="0.25">
      <c r="A10" s="2" t="s">
        <v>287</v>
      </c>
      <c r="B10" s="2" t="s">
        <v>99</v>
      </c>
      <c r="C10" s="2">
        <v>4</v>
      </c>
      <c r="D10" s="16" t="s">
        <v>94</v>
      </c>
      <c r="E10" s="16">
        <v>2</v>
      </c>
      <c r="F10" s="96" t="s">
        <v>89</v>
      </c>
      <c r="G10" s="96">
        <v>5</v>
      </c>
      <c r="H10" s="2"/>
      <c r="I10" s="2"/>
      <c r="J10" s="2"/>
      <c r="K10" s="2"/>
      <c r="L10" s="2">
        <v>11</v>
      </c>
      <c r="O10" s="2" t="s">
        <v>288</v>
      </c>
      <c r="W10" s="135"/>
      <c r="X10" s="135"/>
      <c r="Y10" s="135"/>
      <c r="Z10" s="135"/>
      <c r="AA10" s="136"/>
      <c r="AB10" s="136"/>
      <c r="AC10" s="132"/>
      <c r="AD10" s="132"/>
      <c r="AE10" s="132"/>
      <c r="AF10" s="83"/>
      <c r="AG10" s="83"/>
      <c r="AH10" s="132"/>
      <c r="AI10" s="132"/>
      <c r="AJ10" s="132"/>
      <c r="AK10" s="132"/>
    </row>
    <row r="11" spans="1:77" x14ac:dyDescent="0.25">
      <c r="A11" s="2" t="s">
        <v>288</v>
      </c>
      <c r="B11" s="2" t="s">
        <v>99</v>
      </c>
      <c r="C11" s="2">
        <v>4</v>
      </c>
      <c r="D11" s="97" t="s">
        <v>96</v>
      </c>
      <c r="E11" s="97">
        <v>2</v>
      </c>
      <c r="F11" s="15" t="s">
        <v>97</v>
      </c>
      <c r="G11" s="15">
        <v>3</v>
      </c>
      <c r="H11" s="84" t="s">
        <v>99</v>
      </c>
      <c r="I11" s="84">
        <v>2</v>
      </c>
      <c r="J11" s="15" t="s">
        <v>97</v>
      </c>
      <c r="K11" s="15">
        <v>4</v>
      </c>
      <c r="L11" s="2">
        <v>15</v>
      </c>
    </row>
    <row r="14" spans="1:77" x14ac:dyDescent="0.25">
      <c r="A14" s="104" t="s">
        <v>289</v>
      </c>
    </row>
  </sheetData>
  <mergeCells count="4">
    <mergeCell ref="D2:E2"/>
    <mergeCell ref="F2:G2"/>
    <mergeCell ref="H2:I2"/>
    <mergeCell ref="J2:K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7E5E-91F5-4746-82B4-F92C43DD918E}">
  <dimension ref="A1:BU6"/>
  <sheetViews>
    <sheetView zoomScale="80" zoomScaleNormal="80" workbookViewId="0">
      <selection activeCell="AA23" sqref="AA23"/>
    </sheetView>
  </sheetViews>
  <sheetFormatPr baseColWidth="10" defaultColWidth="3" defaultRowHeight="15" x14ac:dyDescent="0.25"/>
  <cols>
    <col min="1" max="1" width="6.85546875" customWidth="1"/>
  </cols>
  <sheetData>
    <row r="1" spans="1:73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1</v>
      </c>
      <c r="AA1">
        <v>2</v>
      </c>
      <c r="AB1">
        <v>3</v>
      </c>
      <c r="AC1">
        <v>4</v>
      </c>
      <c r="AD1">
        <v>5</v>
      </c>
      <c r="AE1">
        <v>6</v>
      </c>
      <c r="AF1">
        <v>7</v>
      </c>
      <c r="AG1">
        <v>8</v>
      </c>
      <c r="AH1">
        <v>9</v>
      </c>
      <c r="AI1">
        <v>10</v>
      </c>
      <c r="AJ1">
        <v>11</v>
      </c>
      <c r="AK1">
        <v>12</v>
      </c>
      <c r="AL1">
        <v>13</v>
      </c>
      <c r="AM1">
        <v>14</v>
      </c>
      <c r="AN1">
        <v>15</v>
      </c>
      <c r="AO1">
        <v>16</v>
      </c>
      <c r="AP1">
        <v>17</v>
      </c>
      <c r="AQ1">
        <v>18</v>
      </c>
      <c r="AR1">
        <v>19</v>
      </c>
      <c r="AS1">
        <v>20</v>
      </c>
      <c r="AT1">
        <v>21</v>
      </c>
      <c r="AU1">
        <v>22</v>
      </c>
      <c r="AV1">
        <v>23</v>
      </c>
      <c r="AW1">
        <v>24</v>
      </c>
      <c r="AX1">
        <v>1</v>
      </c>
      <c r="AY1">
        <v>2</v>
      </c>
      <c r="AZ1">
        <v>3</v>
      </c>
      <c r="BA1">
        <v>4</v>
      </c>
      <c r="BB1">
        <v>5</v>
      </c>
      <c r="BC1">
        <v>6</v>
      </c>
      <c r="BD1">
        <v>7</v>
      </c>
      <c r="BE1">
        <v>8</v>
      </c>
      <c r="BF1">
        <v>9</v>
      </c>
      <c r="BG1">
        <v>10</v>
      </c>
      <c r="BH1">
        <v>11</v>
      </c>
      <c r="BI1">
        <v>12</v>
      </c>
      <c r="BJ1">
        <v>13</v>
      </c>
      <c r="BK1">
        <v>14</v>
      </c>
      <c r="BL1">
        <v>15</v>
      </c>
      <c r="BM1">
        <v>16</v>
      </c>
      <c r="BN1">
        <v>17</v>
      </c>
      <c r="BO1">
        <v>18</v>
      </c>
      <c r="BP1">
        <v>19</v>
      </c>
      <c r="BQ1">
        <v>20</v>
      </c>
      <c r="BR1">
        <v>21</v>
      </c>
      <c r="BS1">
        <v>22</v>
      </c>
      <c r="BT1">
        <v>23</v>
      </c>
      <c r="BU1">
        <v>24</v>
      </c>
    </row>
    <row r="2" spans="1:73" x14ac:dyDescent="0.25">
      <c r="A2" t="s">
        <v>35</v>
      </c>
      <c r="B2" s="181" t="s">
        <v>290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2" t="s">
        <v>291</v>
      </c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3" t="s">
        <v>292</v>
      </c>
      <c r="AY2" s="183"/>
      <c r="AZ2" s="183"/>
      <c r="BA2" s="183"/>
      <c r="BB2" s="183"/>
      <c r="BC2" s="183"/>
      <c r="BD2" s="183"/>
      <c r="BE2" s="183"/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</row>
    <row r="3" spans="1:73" x14ac:dyDescent="0.25">
      <c r="A3" t="s">
        <v>293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34"/>
      <c r="BF3" s="134"/>
      <c r="BG3" s="134"/>
      <c r="BH3" s="134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</row>
    <row r="4" spans="1:73" x14ac:dyDescent="0.25">
      <c r="A4" t="s">
        <v>123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</row>
    <row r="5" spans="1:73" x14ac:dyDescent="0.25">
      <c r="A5" t="s">
        <v>124</v>
      </c>
    </row>
    <row r="6" spans="1:73" x14ac:dyDescent="0.25">
      <c r="A6" t="s">
        <v>294</v>
      </c>
      <c r="R6" t="s">
        <v>295</v>
      </c>
    </row>
  </sheetData>
  <mergeCells count="3">
    <mergeCell ref="B2:Y2"/>
    <mergeCell ref="Z2:AW2"/>
    <mergeCell ref="AX2:BU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281A-3BA7-4248-ACC2-BF6666245244}">
  <dimension ref="A1:Q65"/>
  <sheetViews>
    <sheetView tabSelected="1" topLeftCell="A37" workbookViewId="0">
      <selection activeCell="H2" sqref="H2:H4"/>
    </sheetView>
  </sheetViews>
  <sheetFormatPr baseColWidth="10" defaultColWidth="9.140625" defaultRowHeight="15" x14ac:dyDescent="0.25"/>
  <cols>
    <col min="1" max="1" width="4.140625" style="142" customWidth="1"/>
    <col min="2" max="2" width="7" style="142" customWidth="1"/>
    <col min="3" max="8" width="9.140625" style="142"/>
    <col min="9" max="16384" width="9.140625" style="74"/>
  </cols>
  <sheetData>
    <row r="1" spans="1:17" s="79" customFormat="1" ht="11.25" customHeight="1" x14ac:dyDescent="0.25">
      <c r="A1" s="143" t="s">
        <v>142</v>
      </c>
      <c r="B1" s="144" t="s">
        <v>296</v>
      </c>
      <c r="C1" s="144" t="s">
        <v>297</v>
      </c>
      <c r="D1" s="145" t="s">
        <v>298</v>
      </c>
      <c r="E1" s="146" t="s">
        <v>299</v>
      </c>
      <c r="F1" s="147" t="s">
        <v>300</v>
      </c>
      <c r="G1" s="148" t="s">
        <v>301</v>
      </c>
      <c r="H1" s="149" t="s">
        <v>302</v>
      </c>
      <c r="J1" s="155" t="s">
        <v>303</v>
      </c>
      <c r="K1" s="156" t="s">
        <v>296</v>
      </c>
      <c r="L1" s="156" t="s">
        <v>297</v>
      </c>
      <c r="M1" s="157" t="s">
        <v>298</v>
      </c>
      <c r="N1" s="158" t="s">
        <v>299</v>
      </c>
      <c r="O1" s="159" t="s">
        <v>300</v>
      </c>
      <c r="P1" s="160" t="s">
        <v>301</v>
      </c>
      <c r="Q1" s="161" t="s">
        <v>302</v>
      </c>
    </row>
    <row r="2" spans="1:17" s="79" customFormat="1" ht="9" customHeight="1" x14ac:dyDescent="0.25">
      <c r="A2" s="150">
        <v>1</v>
      </c>
      <c r="B2" s="184" t="s">
        <v>304</v>
      </c>
      <c r="C2" s="185" t="s">
        <v>305</v>
      </c>
      <c r="D2" s="184" t="s">
        <v>104</v>
      </c>
      <c r="E2" s="184" t="s">
        <v>104</v>
      </c>
      <c r="F2" s="184" t="s">
        <v>104</v>
      </c>
      <c r="G2" s="188" t="s">
        <v>104</v>
      </c>
      <c r="H2" s="151"/>
      <c r="J2" s="155" t="s">
        <v>304</v>
      </c>
      <c r="K2" s="155"/>
      <c r="L2" s="155"/>
      <c r="M2" s="155"/>
      <c r="N2" s="155"/>
      <c r="O2" s="155"/>
      <c r="P2" s="155"/>
      <c r="Q2" s="155"/>
    </row>
    <row r="3" spans="1:17" s="79" customFormat="1" ht="9" customHeight="1" x14ac:dyDescent="0.25">
      <c r="A3" s="150">
        <v>2</v>
      </c>
      <c r="B3" s="184"/>
      <c r="C3" s="185"/>
      <c r="D3" s="184"/>
      <c r="E3" s="184"/>
      <c r="F3" s="184"/>
      <c r="G3" s="188"/>
      <c r="H3" s="151"/>
      <c r="J3" s="155" t="s">
        <v>306</v>
      </c>
      <c r="K3" s="155">
        <v>7</v>
      </c>
      <c r="L3" s="155">
        <v>13</v>
      </c>
      <c r="M3" s="155"/>
      <c r="N3" s="155"/>
      <c r="O3" s="155"/>
      <c r="P3" s="155"/>
      <c r="Q3" s="155"/>
    </row>
    <row r="4" spans="1:17" s="79" customFormat="1" ht="9" customHeight="1" x14ac:dyDescent="0.25">
      <c r="A4" s="150">
        <v>3</v>
      </c>
      <c r="B4" s="184"/>
      <c r="C4" s="185"/>
      <c r="D4" s="184"/>
      <c r="E4" s="184"/>
      <c r="F4" s="184"/>
      <c r="G4" s="188"/>
      <c r="H4" s="151"/>
      <c r="J4" s="155" t="s">
        <v>307</v>
      </c>
      <c r="K4" s="155">
        <f>5*4+2*6</f>
        <v>32</v>
      </c>
      <c r="L4" s="155">
        <f>70-K4</f>
        <v>38</v>
      </c>
      <c r="M4" s="155"/>
      <c r="N4" s="155"/>
      <c r="O4" s="155"/>
      <c r="P4" s="155"/>
      <c r="Q4" s="155"/>
    </row>
    <row r="5" spans="1:17" s="79" customFormat="1" ht="9" customHeight="1" x14ac:dyDescent="0.25">
      <c r="A5" s="150">
        <v>4</v>
      </c>
      <c r="B5" s="184"/>
      <c r="C5" s="185"/>
      <c r="D5" s="184"/>
      <c r="E5" s="184"/>
      <c r="G5" s="188"/>
      <c r="H5" s="186">
        <v>1</v>
      </c>
      <c r="J5" s="155" t="s">
        <v>308</v>
      </c>
      <c r="L5" s="155"/>
      <c r="M5" s="155"/>
      <c r="N5" s="155"/>
      <c r="O5" s="155"/>
      <c r="P5" s="155"/>
      <c r="Q5" s="155"/>
    </row>
    <row r="6" spans="1:17" s="79" customFormat="1" ht="9" customHeight="1" x14ac:dyDescent="0.25">
      <c r="A6" s="150">
        <v>5</v>
      </c>
      <c r="B6" s="184"/>
      <c r="C6" s="187" t="s">
        <v>309</v>
      </c>
      <c r="D6" s="184"/>
      <c r="E6" s="184"/>
      <c r="G6" s="188"/>
      <c r="H6" s="186"/>
      <c r="J6" s="155" t="s">
        <v>310</v>
      </c>
      <c r="K6" s="155"/>
      <c r="L6" s="155"/>
      <c r="M6" s="155"/>
      <c r="N6" s="155"/>
      <c r="O6" s="155"/>
      <c r="P6" s="155"/>
      <c r="Q6" s="155"/>
    </row>
    <row r="7" spans="1:17" s="79" customFormat="1" ht="9" customHeight="1" x14ac:dyDescent="0.25">
      <c r="A7" s="150">
        <v>6</v>
      </c>
      <c r="B7" s="184"/>
      <c r="C7" s="187"/>
      <c r="D7" s="184"/>
      <c r="E7" s="184"/>
      <c r="G7" s="188"/>
      <c r="H7" s="186"/>
    </row>
    <row r="8" spans="1:17" s="79" customFormat="1" ht="9" customHeight="1" x14ac:dyDescent="0.25">
      <c r="A8" s="150">
        <v>7</v>
      </c>
      <c r="B8" s="184"/>
      <c r="C8" s="187"/>
      <c r="D8" s="184"/>
      <c r="F8" s="142"/>
      <c r="G8" s="188"/>
      <c r="H8" s="186"/>
    </row>
    <row r="9" spans="1:17" s="79" customFormat="1" ht="9" customHeight="1" x14ac:dyDescent="0.25">
      <c r="A9" s="150">
        <v>8</v>
      </c>
      <c r="B9" s="184"/>
      <c r="C9" s="187"/>
      <c r="D9" s="184"/>
      <c r="F9" s="187">
        <v>1</v>
      </c>
      <c r="G9" s="188"/>
      <c r="H9" s="186"/>
    </row>
    <row r="10" spans="1:17" s="79" customFormat="1" ht="9" customHeight="1" x14ac:dyDescent="0.25">
      <c r="A10" s="150">
        <v>9</v>
      </c>
      <c r="B10" s="184"/>
      <c r="C10" s="189" t="s">
        <v>311</v>
      </c>
      <c r="D10" s="184"/>
      <c r="F10" s="187"/>
      <c r="G10" s="188"/>
      <c r="H10" s="186"/>
    </row>
    <row r="11" spans="1:17" s="79" customFormat="1" ht="9" customHeight="1" x14ac:dyDescent="0.25">
      <c r="A11" s="150">
        <v>10</v>
      </c>
      <c r="B11" s="184"/>
      <c r="C11" s="189"/>
      <c r="D11" s="184"/>
      <c r="F11" s="187"/>
      <c r="G11" s="188"/>
      <c r="H11" s="186"/>
    </row>
    <row r="12" spans="1:17" s="79" customFormat="1" ht="9" customHeight="1" x14ac:dyDescent="0.25">
      <c r="A12" s="150">
        <v>11</v>
      </c>
      <c r="B12" s="142"/>
      <c r="C12" s="189"/>
      <c r="D12" s="184"/>
      <c r="F12" s="187"/>
      <c r="G12" s="188"/>
      <c r="H12" s="186"/>
    </row>
    <row r="13" spans="1:17" s="79" customFormat="1" ht="9" customHeight="1" x14ac:dyDescent="0.25">
      <c r="A13" s="150">
        <v>12</v>
      </c>
      <c r="B13" s="142"/>
      <c r="C13" s="189"/>
      <c r="D13" s="184"/>
      <c r="F13" s="187"/>
      <c r="G13" s="188"/>
      <c r="H13" s="186"/>
    </row>
    <row r="14" spans="1:17" s="79" customFormat="1" ht="9" customHeight="1" x14ac:dyDescent="0.25">
      <c r="A14" s="150">
        <v>13</v>
      </c>
      <c r="B14" s="190" t="s">
        <v>312</v>
      </c>
      <c r="C14" s="142"/>
      <c r="D14" s="184"/>
      <c r="E14" s="189">
        <v>1</v>
      </c>
      <c r="F14" s="187"/>
      <c r="G14" s="142"/>
      <c r="H14" s="186"/>
    </row>
    <row r="15" spans="1:17" s="79" customFormat="1" ht="9" customHeight="1" x14ac:dyDescent="0.25">
      <c r="A15" s="150">
        <v>14</v>
      </c>
      <c r="B15" s="190"/>
      <c r="C15" s="191" t="s">
        <v>313</v>
      </c>
      <c r="D15" s="142"/>
      <c r="E15" s="189"/>
      <c r="F15" s="187"/>
      <c r="G15" s="142"/>
      <c r="H15" s="186"/>
    </row>
    <row r="16" spans="1:17" s="79" customFormat="1" ht="9" customHeight="1" x14ac:dyDescent="0.25">
      <c r="A16" s="150">
        <v>15</v>
      </c>
      <c r="B16" s="190"/>
      <c r="C16" s="191"/>
      <c r="D16" s="142"/>
      <c r="E16" s="189"/>
      <c r="F16" s="187"/>
      <c r="G16" s="142"/>
      <c r="H16" s="186"/>
    </row>
    <row r="17" spans="1:8" s="79" customFormat="1" ht="9" customHeight="1" x14ac:dyDescent="0.25">
      <c r="A17" s="150">
        <v>16</v>
      </c>
      <c r="B17" s="190"/>
      <c r="C17" s="191"/>
      <c r="D17" s="142"/>
      <c r="E17" s="189"/>
      <c r="F17" s="187"/>
      <c r="G17" s="142"/>
      <c r="H17" s="186"/>
    </row>
    <row r="18" spans="1:8" s="79" customFormat="1" ht="9" customHeight="1" x14ac:dyDescent="0.25">
      <c r="A18" s="150">
        <v>17</v>
      </c>
      <c r="B18" s="142"/>
      <c r="C18" s="191"/>
      <c r="D18" s="142"/>
      <c r="E18" s="189"/>
      <c r="F18" s="187"/>
      <c r="G18" s="190">
        <v>1</v>
      </c>
      <c r="H18" s="186"/>
    </row>
    <row r="19" spans="1:8" s="79" customFormat="1" ht="9" customHeight="1" x14ac:dyDescent="0.25">
      <c r="A19" s="150">
        <v>18</v>
      </c>
      <c r="B19" s="142"/>
      <c r="C19" s="142"/>
      <c r="D19" s="191">
        <v>1</v>
      </c>
      <c r="E19" s="189"/>
      <c r="F19" s="187"/>
      <c r="G19" s="190"/>
      <c r="H19" s="186"/>
    </row>
    <row r="20" spans="1:8" s="79" customFormat="1" ht="9" customHeight="1" x14ac:dyDescent="0.25">
      <c r="A20" s="150">
        <v>19</v>
      </c>
      <c r="B20" s="185" t="s">
        <v>314</v>
      </c>
      <c r="C20" s="142"/>
      <c r="D20" s="191"/>
      <c r="E20" s="189"/>
      <c r="F20" s="187"/>
      <c r="G20" s="190"/>
      <c r="H20" s="151"/>
    </row>
    <row r="21" spans="1:8" s="79" customFormat="1" ht="9" customHeight="1" x14ac:dyDescent="0.25">
      <c r="A21" s="150">
        <v>20</v>
      </c>
      <c r="B21" s="185"/>
      <c r="C21" s="142"/>
      <c r="D21" s="191"/>
      <c r="E21" s="189"/>
      <c r="F21" s="187"/>
      <c r="G21" s="190"/>
      <c r="H21" s="151"/>
    </row>
    <row r="22" spans="1:8" s="79" customFormat="1" ht="9" customHeight="1" x14ac:dyDescent="0.25">
      <c r="A22" s="150">
        <v>21</v>
      </c>
      <c r="B22" s="185" t="s">
        <v>305</v>
      </c>
      <c r="C22" s="184" t="s">
        <v>304</v>
      </c>
      <c r="D22" s="191"/>
      <c r="E22" s="189"/>
      <c r="F22" s="187"/>
      <c r="G22" s="190"/>
      <c r="H22" s="151"/>
    </row>
    <row r="23" spans="1:8" s="79" customFormat="1" ht="9" customHeight="1" x14ac:dyDescent="0.25">
      <c r="A23" s="150">
        <v>22</v>
      </c>
      <c r="B23" s="185"/>
      <c r="C23" s="184"/>
      <c r="D23" s="191"/>
      <c r="E23" s="189"/>
      <c r="F23" s="187"/>
      <c r="G23" s="190"/>
      <c r="H23" s="151"/>
    </row>
    <row r="24" spans="1:8" s="79" customFormat="1" ht="9" customHeight="1" x14ac:dyDescent="0.25">
      <c r="A24" s="150">
        <v>23</v>
      </c>
      <c r="B24" s="185"/>
      <c r="C24" s="184"/>
      <c r="D24" s="191"/>
      <c r="E24" s="189"/>
      <c r="F24" s="142"/>
      <c r="G24" s="190"/>
      <c r="H24" s="151"/>
    </row>
    <row r="25" spans="1:8" s="79" customFormat="1" ht="9" customHeight="1" x14ac:dyDescent="0.25">
      <c r="A25" s="150">
        <v>24</v>
      </c>
      <c r="B25" s="185"/>
      <c r="C25" s="184"/>
      <c r="D25" s="191"/>
      <c r="E25" s="189"/>
      <c r="F25" s="142"/>
      <c r="G25" s="190"/>
      <c r="H25" s="151"/>
    </row>
    <row r="26" spans="1:8" s="79" customFormat="1" ht="9" customHeight="1" x14ac:dyDescent="0.25">
      <c r="A26" s="150">
        <v>25</v>
      </c>
      <c r="B26" s="187" t="s">
        <v>132</v>
      </c>
      <c r="C26" s="184"/>
      <c r="D26" s="191"/>
      <c r="E26" s="189"/>
      <c r="F26" s="142"/>
      <c r="G26" s="190"/>
      <c r="H26" s="186">
        <v>2</v>
      </c>
    </row>
    <row r="27" spans="1:8" s="79" customFormat="1" ht="9" customHeight="1" x14ac:dyDescent="0.25">
      <c r="A27" s="150">
        <v>26</v>
      </c>
      <c r="B27" s="187"/>
      <c r="C27" s="184"/>
      <c r="D27" s="191"/>
      <c r="E27" s="189"/>
      <c r="F27" s="142"/>
      <c r="G27" s="190"/>
      <c r="H27" s="186"/>
    </row>
    <row r="28" spans="1:8" s="79" customFormat="1" ht="9" customHeight="1" x14ac:dyDescent="0.25">
      <c r="A28" s="150">
        <v>27</v>
      </c>
      <c r="B28" s="187" t="s">
        <v>309</v>
      </c>
      <c r="C28" s="184"/>
      <c r="D28" s="191"/>
      <c r="E28" s="189"/>
      <c r="F28" s="142"/>
      <c r="G28" s="190"/>
      <c r="H28" s="186"/>
    </row>
    <row r="29" spans="1:8" s="79" customFormat="1" ht="9" customHeight="1" x14ac:dyDescent="0.25">
      <c r="A29" s="150">
        <v>28</v>
      </c>
      <c r="B29" s="187"/>
      <c r="C29" s="184"/>
      <c r="D29" s="191"/>
      <c r="E29" s="142"/>
      <c r="F29" s="142"/>
      <c r="G29" s="190"/>
      <c r="H29" s="186"/>
    </row>
    <row r="30" spans="1:8" s="79" customFormat="1" ht="9" customHeight="1" x14ac:dyDescent="0.25">
      <c r="A30" s="150">
        <v>29</v>
      </c>
      <c r="B30" s="187"/>
      <c r="C30" s="184"/>
      <c r="D30" s="191"/>
      <c r="E30" s="142"/>
      <c r="F30" s="142"/>
      <c r="G30" s="190"/>
      <c r="H30" s="186"/>
    </row>
    <row r="31" spans="1:8" s="79" customFormat="1" ht="9" customHeight="1" x14ac:dyDescent="0.25">
      <c r="A31" s="150">
        <v>30</v>
      </c>
      <c r="B31" s="187"/>
      <c r="C31" s="184"/>
      <c r="D31" s="191"/>
      <c r="E31" s="142"/>
      <c r="F31" s="142"/>
      <c r="G31" s="190"/>
      <c r="H31" s="186"/>
    </row>
    <row r="32" spans="1:8" s="79" customFormat="1" ht="9" customHeight="1" x14ac:dyDescent="0.25">
      <c r="A32" s="150">
        <v>31</v>
      </c>
      <c r="B32" s="189" t="s">
        <v>131</v>
      </c>
      <c r="C32" s="142"/>
      <c r="D32" s="191"/>
      <c r="E32" s="142"/>
      <c r="F32" s="187">
        <v>2</v>
      </c>
      <c r="G32" s="190"/>
      <c r="H32" s="186"/>
    </row>
    <row r="33" spans="1:8" s="79" customFormat="1" ht="9" customHeight="1" x14ac:dyDescent="0.25">
      <c r="A33" s="150">
        <v>32</v>
      </c>
      <c r="B33" s="189"/>
      <c r="C33" s="142"/>
      <c r="D33" s="191"/>
      <c r="E33" s="142"/>
      <c r="F33" s="187"/>
      <c r="G33" s="142"/>
      <c r="H33" s="186"/>
    </row>
    <row r="34" spans="1:8" s="79" customFormat="1" ht="9" customHeight="1" x14ac:dyDescent="0.25">
      <c r="A34" s="150">
        <v>33</v>
      </c>
      <c r="B34" s="189" t="s">
        <v>311</v>
      </c>
      <c r="C34" s="191" t="s">
        <v>126</v>
      </c>
      <c r="D34" s="142"/>
      <c r="E34" s="142"/>
      <c r="F34" s="187"/>
      <c r="G34" s="142"/>
      <c r="H34" s="186"/>
    </row>
    <row r="35" spans="1:8" s="79" customFormat="1" ht="9" customHeight="1" x14ac:dyDescent="0.25">
      <c r="A35" s="150">
        <v>34</v>
      </c>
      <c r="B35" s="189"/>
      <c r="C35" s="191"/>
      <c r="D35" s="142"/>
      <c r="E35" s="142"/>
      <c r="F35" s="187"/>
      <c r="G35" s="142"/>
      <c r="H35" s="186"/>
    </row>
    <row r="36" spans="1:8" s="79" customFormat="1" ht="9" customHeight="1" x14ac:dyDescent="0.25">
      <c r="A36" s="150">
        <v>35</v>
      </c>
      <c r="B36" s="189"/>
      <c r="C36" s="191" t="s">
        <v>313</v>
      </c>
      <c r="D36" s="142"/>
      <c r="E36" s="142"/>
      <c r="F36" s="187"/>
      <c r="G36" s="142"/>
      <c r="H36" s="186"/>
    </row>
    <row r="37" spans="1:8" s="79" customFormat="1" ht="9" customHeight="1" x14ac:dyDescent="0.25">
      <c r="A37" s="150">
        <v>36</v>
      </c>
      <c r="B37" s="189"/>
      <c r="C37" s="191"/>
      <c r="D37" s="142"/>
      <c r="E37" s="142"/>
      <c r="F37" s="187"/>
      <c r="G37" s="142"/>
      <c r="H37" s="186"/>
    </row>
    <row r="38" spans="1:8" s="79" customFormat="1" ht="9" customHeight="1" x14ac:dyDescent="0.25">
      <c r="A38" s="150">
        <v>37</v>
      </c>
      <c r="B38" s="190" t="s">
        <v>315</v>
      </c>
      <c r="C38" s="191"/>
      <c r="D38" s="142"/>
      <c r="E38" s="189">
        <v>2</v>
      </c>
      <c r="F38" s="187"/>
      <c r="G38" s="142"/>
      <c r="H38" s="186"/>
    </row>
    <row r="39" spans="1:8" s="79" customFormat="1" ht="9" customHeight="1" x14ac:dyDescent="0.25">
      <c r="A39" s="150">
        <v>38</v>
      </c>
      <c r="B39" s="190"/>
      <c r="C39" s="191"/>
      <c r="D39" s="142"/>
      <c r="E39" s="189"/>
      <c r="F39" s="187"/>
      <c r="G39" s="142"/>
      <c r="H39" s="186"/>
    </row>
    <row r="40" spans="1:8" s="79" customFormat="1" ht="9" customHeight="1" x14ac:dyDescent="0.25">
      <c r="A40" s="150">
        <v>39</v>
      </c>
      <c r="B40" s="142"/>
      <c r="C40" s="190" t="s">
        <v>312</v>
      </c>
      <c r="D40" s="191">
        <v>2</v>
      </c>
      <c r="E40" s="189"/>
      <c r="F40" s="187"/>
      <c r="G40" s="142"/>
      <c r="H40" s="186"/>
    </row>
    <row r="41" spans="1:8" s="79" customFormat="1" ht="9" customHeight="1" x14ac:dyDescent="0.25">
      <c r="A41" s="150">
        <v>40</v>
      </c>
      <c r="B41" s="185" t="s">
        <v>314</v>
      </c>
      <c r="C41" s="190"/>
      <c r="D41" s="191"/>
      <c r="E41" s="189"/>
      <c r="F41" s="187"/>
      <c r="G41" s="142"/>
      <c r="H41" s="151"/>
    </row>
    <row r="42" spans="1:8" s="79" customFormat="1" ht="9" customHeight="1" x14ac:dyDescent="0.25">
      <c r="A42" s="150">
        <v>41</v>
      </c>
      <c r="B42" s="185"/>
      <c r="C42" s="190"/>
      <c r="D42" s="191"/>
      <c r="E42" s="189"/>
      <c r="F42" s="187"/>
      <c r="G42" s="142"/>
      <c r="H42" s="151"/>
    </row>
    <row r="43" spans="1:8" s="79" customFormat="1" ht="9" customHeight="1" x14ac:dyDescent="0.25">
      <c r="A43" s="150">
        <v>42</v>
      </c>
      <c r="B43" s="184" t="s">
        <v>304</v>
      </c>
      <c r="C43" s="190"/>
      <c r="D43" s="191"/>
      <c r="E43" s="189"/>
      <c r="F43" s="187"/>
      <c r="G43" s="190">
        <v>2</v>
      </c>
      <c r="H43" s="151"/>
    </row>
    <row r="44" spans="1:8" s="79" customFormat="1" ht="9" customHeight="1" x14ac:dyDescent="0.25">
      <c r="A44" s="150">
        <v>43</v>
      </c>
      <c r="B44" s="184"/>
      <c r="C44" s="142"/>
      <c r="D44" s="191"/>
      <c r="E44" s="189"/>
      <c r="F44" s="187"/>
      <c r="G44" s="190"/>
      <c r="H44" s="151"/>
    </row>
    <row r="45" spans="1:8" s="79" customFormat="1" ht="9" customHeight="1" x14ac:dyDescent="0.25">
      <c r="A45" s="150">
        <v>44</v>
      </c>
      <c r="B45" s="184"/>
      <c r="C45" s="142"/>
      <c r="D45" s="191"/>
      <c r="E45" s="189"/>
      <c r="F45" s="187"/>
      <c r="G45" s="190"/>
      <c r="H45" s="151"/>
    </row>
    <row r="46" spans="1:8" s="79" customFormat="1" ht="9" customHeight="1" x14ac:dyDescent="0.25">
      <c r="A46" s="150">
        <v>45</v>
      </c>
      <c r="B46" s="184"/>
      <c r="C46" s="142"/>
      <c r="D46" s="191"/>
      <c r="E46" s="189"/>
      <c r="F46" s="187"/>
      <c r="G46" s="190"/>
      <c r="H46" s="151"/>
    </row>
    <row r="47" spans="1:8" s="79" customFormat="1" ht="9" customHeight="1" x14ac:dyDescent="0.25">
      <c r="A47" s="150">
        <v>46</v>
      </c>
      <c r="B47" s="184"/>
      <c r="C47" s="187" t="s">
        <v>132</v>
      </c>
      <c r="D47" s="191"/>
      <c r="E47" s="189"/>
      <c r="F47" s="142"/>
      <c r="G47" s="190"/>
      <c r="H47" s="151"/>
    </row>
    <row r="48" spans="1:8" s="79" customFormat="1" ht="9" customHeight="1" x14ac:dyDescent="0.25">
      <c r="A48" s="150">
        <v>47</v>
      </c>
      <c r="B48" s="184"/>
      <c r="C48" s="187"/>
      <c r="D48" s="191"/>
      <c r="E48" s="189"/>
      <c r="F48" s="142"/>
      <c r="G48" s="190"/>
      <c r="H48" s="151"/>
    </row>
    <row r="49" spans="1:8" s="79" customFormat="1" ht="9" customHeight="1" x14ac:dyDescent="0.25">
      <c r="A49" s="150">
        <v>48</v>
      </c>
      <c r="B49" s="184"/>
      <c r="C49" s="142"/>
      <c r="D49" s="191"/>
      <c r="E49" s="189"/>
      <c r="F49" s="142"/>
      <c r="G49" s="190"/>
      <c r="H49" s="151"/>
    </row>
    <row r="50" spans="1:8" s="79" customFormat="1" ht="9" customHeight="1" x14ac:dyDescent="0.25">
      <c r="A50" s="150">
        <v>49</v>
      </c>
      <c r="B50" s="184"/>
      <c r="C50" s="142"/>
      <c r="D50" s="191"/>
      <c r="E50" s="189"/>
      <c r="F50" s="142"/>
      <c r="G50" s="190"/>
      <c r="H50" s="151"/>
    </row>
    <row r="51" spans="1:8" s="79" customFormat="1" ht="9" customHeight="1" x14ac:dyDescent="0.25">
      <c r="A51" s="150">
        <v>50</v>
      </c>
      <c r="B51" s="184"/>
      <c r="C51" s="142"/>
      <c r="D51" s="191"/>
      <c r="E51" s="189"/>
      <c r="F51" s="142"/>
      <c r="G51" s="190"/>
      <c r="H51" s="151"/>
    </row>
    <row r="52" spans="1:8" s="79" customFormat="1" ht="9" customHeight="1" x14ac:dyDescent="0.25">
      <c r="A52" s="150">
        <v>51</v>
      </c>
      <c r="B52" s="142"/>
      <c r="C52" s="142"/>
      <c r="D52" s="191"/>
      <c r="E52" s="189"/>
      <c r="F52" s="142"/>
      <c r="G52" s="190"/>
      <c r="H52" s="151"/>
    </row>
    <row r="53" spans="1:8" s="79" customFormat="1" ht="9" customHeight="1" x14ac:dyDescent="0.25">
      <c r="A53" s="150">
        <v>52</v>
      </c>
      <c r="B53" s="189" t="s">
        <v>131</v>
      </c>
      <c r="C53" s="184" t="s">
        <v>304</v>
      </c>
      <c r="D53" s="191"/>
      <c r="E53" s="142"/>
      <c r="F53" s="142"/>
      <c r="G53" s="190"/>
      <c r="H53" s="151"/>
    </row>
    <row r="54" spans="1:8" s="79" customFormat="1" ht="9" customHeight="1" x14ac:dyDescent="0.25">
      <c r="A54" s="150">
        <v>53</v>
      </c>
      <c r="B54" s="189"/>
      <c r="C54" s="184"/>
      <c r="D54" s="191"/>
      <c r="E54" s="142"/>
      <c r="F54" s="142"/>
      <c r="G54" s="190"/>
      <c r="H54" s="151"/>
    </row>
    <row r="55" spans="1:8" s="79" customFormat="1" ht="9" customHeight="1" x14ac:dyDescent="0.25">
      <c r="A55" s="150">
        <v>54</v>
      </c>
      <c r="B55" s="142"/>
      <c r="C55" s="184"/>
      <c r="D55" s="142"/>
      <c r="E55" s="142"/>
      <c r="F55" s="142"/>
      <c r="G55" s="190"/>
      <c r="H55" s="151"/>
    </row>
    <row r="56" spans="1:8" s="79" customFormat="1" ht="9" customHeight="1" x14ac:dyDescent="0.25">
      <c r="A56" s="150">
        <v>55</v>
      </c>
      <c r="B56" s="184" t="s">
        <v>304</v>
      </c>
      <c r="C56" s="184"/>
      <c r="D56" s="142"/>
      <c r="E56" s="142"/>
      <c r="F56" s="142"/>
      <c r="G56" s="190"/>
      <c r="H56" s="151"/>
    </row>
    <row r="57" spans="1:8" s="79" customFormat="1" ht="9" customHeight="1" x14ac:dyDescent="0.25">
      <c r="A57" s="150">
        <v>56</v>
      </c>
      <c r="B57" s="184"/>
      <c r="C57" s="184"/>
      <c r="D57" s="142"/>
      <c r="E57" s="142"/>
      <c r="F57" s="142"/>
      <c r="G57" s="190"/>
      <c r="H57" s="151"/>
    </row>
    <row r="58" spans="1:8" s="79" customFormat="1" ht="9" customHeight="1" x14ac:dyDescent="0.25">
      <c r="A58" s="150">
        <v>57</v>
      </c>
      <c r="B58" s="184"/>
      <c r="C58" s="184"/>
      <c r="D58" s="142"/>
      <c r="E58" s="142"/>
      <c r="F58" s="142"/>
      <c r="G58" s="142"/>
      <c r="H58" s="151"/>
    </row>
    <row r="59" spans="1:8" s="79" customFormat="1" ht="9" customHeight="1" x14ac:dyDescent="0.25">
      <c r="A59" s="150">
        <v>58</v>
      </c>
      <c r="B59" s="184"/>
      <c r="C59" s="184"/>
      <c r="D59" s="142"/>
      <c r="E59" s="142"/>
      <c r="F59" s="142"/>
      <c r="G59" s="142"/>
      <c r="H59" s="151"/>
    </row>
    <row r="60" spans="1:8" s="79" customFormat="1" ht="9" customHeight="1" x14ac:dyDescent="0.25">
      <c r="A60" s="150">
        <v>59</v>
      </c>
      <c r="B60" s="184"/>
      <c r="C60" s="191" t="s">
        <v>126</v>
      </c>
      <c r="D60" s="142"/>
      <c r="E60" s="142"/>
      <c r="F60" s="142"/>
      <c r="G60" s="142"/>
      <c r="H60" s="151"/>
    </row>
    <row r="61" spans="1:8" s="79" customFormat="1" ht="9" customHeight="1" x14ac:dyDescent="0.25">
      <c r="A61" s="150">
        <v>60</v>
      </c>
      <c r="B61" s="142"/>
      <c r="C61" s="191"/>
      <c r="D61" s="142"/>
      <c r="E61" s="142"/>
      <c r="F61" s="142"/>
      <c r="G61" s="142"/>
      <c r="H61" s="151"/>
    </row>
    <row r="62" spans="1:8" s="79" customFormat="1" ht="9" customHeight="1" x14ac:dyDescent="0.25">
      <c r="A62" s="150">
        <v>61</v>
      </c>
      <c r="B62" s="142"/>
      <c r="C62" s="142"/>
      <c r="D62" s="142"/>
      <c r="E62" s="142"/>
      <c r="F62" s="142"/>
      <c r="G62" s="142"/>
      <c r="H62" s="151"/>
    </row>
    <row r="63" spans="1:8" s="79" customFormat="1" ht="9" customHeight="1" x14ac:dyDescent="0.25">
      <c r="A63" s="150">
        <v>62</v>
      </c>
      <c r="B63" s="142"/>
      <c r="C63" s="142"/>
      <c r="D63" s="142"/>
      <c r="E63" s="142"/>
      <c r="F63" s="142"/>
      <c r="G63" s="142"/>
      <c r="H63" s="151"/>
    </row>
    <row r="64" spans="1:8" s="79" customFormat="1" ht="9" customHeight="1" x14ac:dyDescent="0.25">
      <c r="A64" s="150">
        <v>63</v>
      </c>
      <c r="B64" s="142"/>
      <c r="C64" s="142"/>
      <c r="D64" s="142"/>
      <c r="E64" s="142"/>
      <c r="F64" s="142"/>
      <c r="G64" s="142"/>
      <c r="H64" s="151"/>
    </row>
    <row r="65" spans="1:8" s="79" customFormat="1" ht="9" customHeight="1" x14ac:dyDescent="0.25">
      <c r="A65" s="152">
        <v>64</v>
      </c>
      <c r="B65" s="153"/>
      <c r="C65" s="153"/>
      <c r="D65" s="153"/>
      <c r="E65" s="153"/>
      <c r="F65" s="153"/>
      <c r="G65" s="153"/>
      <c r="H65" s="154"/>
    </row>
  </sheetData>
  <mergeCells count="38">
    <mergeCell ref="G43:G57"/>
    <mergeCell ref="B41:B42"/>
    <mergeCell ref="C47:C48"/>
    <mergeCell ref="B53:B54"/>
    <mergeCell ref="C60:C61"/>
    <mergeCell ref="F32:F46"/>
    <mergeCell ref="B32:B33"/>
    <mergeCell ref="B34:B37"/>
    <mergeCell ref="E38:E52"/>
    <mergeCell ref="C34:C35"/>
    <mergeCell ref="C36:C39"/>
    <mergeCell ref="D40:D54"/>
    <mergeCell ref="B38:B39"/>
    <mergeCell ref="C40:C43"/>
    <mergeCell ref="G18:G32"/>
    <mergeCell ref="B20:B21"/>
    <mergeCell ref="C15:C18"/>
    <mergeCell ref="D19:D33"/>
    <mergeCell ref="B22:B25"/>
    <mergeCell ref="H26:H40"/>
    <mergeCell ref="B26:B27"/>
    <mergeCell ref="B28:B31"/>
    <mergeCell ref="B43:B51"/>
    <mergeCell ref="B56:B60"/>
    <mergeCell ref="C53:C59"/>
    <mergeCell ref="C2:C5"/>
    <mergeCell ref="H5:H19"/>
    <mergeCell ref="C6:C9"/>
    <mergeCell ref="B2:B11"/>
    <mergeCell ref="C22:C31"/>
    <mergeCell ref="D2:D14"/>
    <mergeCell ref="E2:E7"/>
    <mergeCell ref="F2:F4"/>
    <mergeCell ref="G2:G13"/>
    <mergeCell ref="F9:F23"/>
    <mergeCell ref="C10:C13"/>
    <mergeCell ref="E14:E28"/>
    <mergeCell ref="B14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Gantt</vt:lpstr>
      <vt:lpstr>Rendimientos</vt:lpstr>
      <vt:lpstr>Rend. 2</vt:lpstr>
      <vt:lpstr>Gantt 2</vt:lpstr>
      <vt:lpstr>Parcial 10-6</vt:lpstr>
      <vt:lpstr>Hs. Empleados</vt:lpstr>
      <vt:lpstr>Hs. Empleados 2</vt:lpstr>
      <vt:lpstr>Hs. Empleados 3</vt:lpstr>
      <vt:lpstr>Hs. Empleados 4</vt:lpstr>
      <vt:lpstr>Rend. 3</vt:lpstr>
      <vt:lpstr>Rend. 4</vt:lpstr>
      <vt:lpstr>Pol. Fabri</vt:lpstr>
      <vt:lpstr>Pol Fabri 2</vt:lpstr>
      <vt:lpstr>Gantt 3</vt:lpstr>
      <vt:lpstr>Gantt 4</vt:lpstr>
      <vt:lpstr>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Luciano</dc:creator>
  <cp:keywords/>
  <dc:description/>
  <cp:lastModifiedBy>Santiago Greco</cp:lastModifiedBy>
  <cp:revision/>
  <dcterms:created xsi:type="dcterms:W3CDTF">2015-06-05T18:17:20Z</dcterms:created>
  <dcterms:modified xsi:type="dcterms:W3CDTF">2025-08-08T03:19:29Z</dcterms:modified>
  <cp:category/>
  <cp:contentStatus/>
</cp:coreProperties>
</file>