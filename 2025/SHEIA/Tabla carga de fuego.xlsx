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PIME\Comision SCI\"/>
    </mc:Choice>
  </mc:AlternateContent>
  <xr:revisionPtr revIDLastSave="0" documentId="8_{9B48DC7F-B18F-40DB-8E4B-BDA579596181}" xr6:coauthVersionLast="47" xr6:coauthVersionMax="47" xr10:uidLastSave="{00000000-0000-0000-0000-000000000000}"/>
  <bookViews>
    <workbookView xWindow="-120" yWindow="-120" windowWidth="20730" windowHeight="11160" tabRatio="32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10" i="1"/>
  <c r="D9" i="1"/>
  <c r="D7" i="1"/>
  <c r="D6" i="1"/>
  <c r="D5" i="1"/>
  <c r="D20" i="1"/>
  <c r="D19" i="1"/>
  <c r="D21" i="1"/>
  <c r="D22" i="1"/>
  <c r="D23" i="1"/>
  <c r="D24" i="1"/>
  <c r="F25" i="1"/>
  <c r="D11" i="1" l="1"/>
  <c r="D12" i="1" s="1"/>
  <c r="D13" i="1" s="1"/>
  <c r="D25" i="1"/>
  <c r="D26" i="1" s="1"/>
  <c r="D27" i="1" s="1"/>
</calcChain>
</file>

<file path=xl/sharedStrings.xml><?xml version="1.0" encoding="utf-8"?>
<sst xmlns="http://schemas.openxmlformats.org/spreadsheetml/2006/main" count="125" uniqueCount="71">
  <si>
    <t>Descripción material</t>
  </si>
  <si>
    <t>Cantidad (kg)</t>
  </si>
  <si>
    <t>Riesgo del Sector</t>
  </si>
  <si>
    <t>Poder Calorífico (Kcal/kg)</t>
  </si>
  <si>
    <t>Calor Generado (Kcal)</t>
  </si>
  <si>
    <t>TOTAL CALOR GENERADO</t>
  </si>
  <si>
    <t>Clase de Fuego</t>
  </si>
  <si>
    <t>Sector</t>
  </si>
  <si>
    <t>Superficie (m2)</t>
  </si>
  <si>
    <t>Kg Madera Equivalente</t>
  </si>
  <si>
    <t>Carga de Fuego (kg/m2)</t>
  </si>
  <si>
    <t>Superficie del Sector (m2)</t>
  </si>
  <si>
    <t>Carga de Fuego Clase B (kg/m2)</t>
  </si>
  <si>
    <t>Carga de Fuego Clase A (kg/m2)</t>
  </si>
  <si>
    <t>Recomendaciones</t>
  </si>
  <si>
    <t>Polvo Químico ABC 5kg Potencial Extintor 6A 40B</t>
  </si>
  <si>
    <t>Cumple ó excede</t>
  </si>
  <si>
    <t>Tipo de Extintor necesario *</t>
  </si>
  <si>
    <t>Cantidad **</t>
  </si>
  <si>
    <t>* Según Decreto 351 Cap 18 Anexo VII Tablas I y II</t>
  </si>
  <si>
    <t>* * Según Decreto 351 Cap 18 Art 176</t>
  </si>
  <si>
    <t>PB</t>
  </si>
  <si>
    <t>1er PISO</t>
  </si>
  <si>
    <t>A</t>
  </si>
  <si>
    <t xml:space="preserve"> </t>
  </si>
  <si>
    <t>NOTA: en los extintores de Polvo el potencial extintor mencionado se logra con Polvo Químico Seco ABC color VERDE IRAM 3569</t>
  </si>
  <si>
    <t>Extintores con Sello IRAM, instalados de acuerdo a IRAM 10005</t>
  </si>
  <si>
    <t>SECTOR</t>
  </si>
  <si>
    <t>Condición de situación</t>
  </si>
  <si>
    <t>Condición de construcción</t>
  </si>
  <si>
    <t>Condición de extinción</t>
  </si>
  <si>
    <t>Resistencia al fuego</t>
  </si>
  <si>
    <t>S2</t>
  </si>
  <si>
    <t>C1/C4</t>
  </si>
  <si>
    <t>E4/E11/E13</t>
  </si>
  <si>
    <t>B</t>
  </si>
  <si>
    <t xml:space="preserve">ACEITE </t>
  </si>
  <si>
    <t>CABLES ELECTRICOS</t>
  </si>
  <si>
    <t>PLASTICOS</t>
  </si>
  <si>
    <t>SI</t>
  </si>
  <si>
    <t>calle Acevedo &gt;&gt;&gt;&gt;</t>
  </si>
  <si>
    <t>calle J R Velazco &gt;&gt;&gt;</t>
  </si>
  <si>
    <t>sector Acevedo 1er piso (265m2)</t>
  </si>
  <si>
    <t>sector Velazco 1er piso (230m2)</t>
  </si>
  <si>
    <t>POLIURETANO</t>
  </si>
  <si>
    <t>PAPEL</t>
  </si>
  <si>
    <t>MADERA</t>
  </si>
  <si>
    <t>CARTON</t>
  </si>
  <si>
    <t>2DO PISO DEPOSITO</t>
  </si>
  <si>
    <t>3ER PISO VARIOS</t>
  </si>
  <si>
    <t>F60</t>
  </si>
  <si>
    <t>PLANTA</t>
  </si>
  <si>
    <t>PATIO EXTERIOR</t>
  </si>
  <si>
    <t>PINTURAS</t>
  </si>
  <si>
    <t>SOLVENTES</t>
  </si>
  <si>
    <t xml:space="preserve">HCFC 123 5kg </t>
  </si>
  <si>
    <t xml:space="preserve">HCFC 123 10kg </t>
  </si>
  <si>
    <t>MANTENIMIENTO</t>
  </si>
  <si>
    <t>DEPOSITO</t>
  </si>
  <si>
    <t>LOGISTICA</t>
  </si>
  <si>
    <t>SALA DE MAQUINAS</t>
  </si>
  <si>
    <t>PASILLO TECNICO</t>
  </si>
  <si>
    <t>GLICOLES</t>
  </si>
  <si>
    <t>CO2 10LB UL</t>
  </si>
  <si>
    <t>C1/C3</t>
  </si>
  <si>
    <t>E3/E11/E12/E13</t>
  </si>
  <si>
    <t>F90</t>
  </si>
  <si>
    <t>TODA LA PLANTA</t>
  </si>
  <si>
    <t>Polvo Químico ABC 10kg Potencial Extintor 6A 60B</t>
  </si>
  <si>
    <t>SALA DE MAQUINAS Y PASILLO TECNICO BAJO NIVEL</t>
  </si>
  <si>
    <t>LA GRAN EMPRESA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</si>
</sst>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2" xfId="0" applyFont="1" applyBorder="1"/>
    <xf numFmtId="0" fontId="1" fillId="0" borderId="21" xfId="0" applyFont="1" applyBorder="1" applyAlignment="1">
      <alignment horizontal="center"/>
    </xf>
    <xf numFmtId="0" fontId="0" fillId="2" borderId="24" xfId="0" applyFill="1" applyBorder="1"/>
    <xf numFmtId="0" fontId="0" fillId="0" borderId="25" xfId="0" applyBorder="1" applyAlignment="1">
      <alignment horizontal="center"/>
    </xf>
    <xf numFmtId="0" fontId="1" fillId="0" borderId="18" xfId="0" applyFont="1" applyBorder="1"/>
    <xf numFmtId="0" fontId="1" fillId="0" borderId="26" xfId="0" applyFont="1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30" xfId="0" applyFont="1" applyBorder="1" applyAlignment="1">
      <alignment horizontal="center"/>
    </xf>
    <xf numFmtId="0" fontId="4" fillId="0" borderId="1" xfId="0" applyFont="1" applyBorder="1"/>
    <xf numFmtId="0" fontId="4" fillId="0" borderId="2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11" xfId="0" applyFont="1" applyBorder="1"/>
    <xf numFmtId="0" fontId="8" fillId="0" borderId="27" xfId="0" applyFont="1" applyBorder="1" applyAlignment="1">
      <alignment horizontal="left"/>
    </xf>
    <xf numFmtId="0" fontId="8" fillId="0" borderId="0" xfId="0" applyFont="1"/>
    <xf numFmtId="0" fontId="8" fillId="0" borderId="10" xfId="0" applyFont="1" applyBorder="1"/>
    <xf numFmtId="0" fontId="8" fillId="0" borderId="11" xfId="0" applyFont="1" applyBorder="1" applyAlignment="1">
      <alignment horizontal="left"/>
    </xf>
    <xf numFmtId="0" fontId="8" fillId="0" borderId="17" xfId="0" applyFont="1" applyBorder="1"/>
    <xf numFmtId="0" fontId="8" fillId="0" borderId="12" xfId="0" applyFont="1" applyBorder="1"/>
    <xf numFmtId="0" fontId="0" fillId="3" borderId="9" xfId="0" applyFill="1" applyBorder="1"/>
    <xf numFmtId="0" fontId="0" fillId="3" borderId="16" xfId="0" applyFill="1" applyBorder="1"/>
    <xf numFmtId="0" fontId="0" fillId="3" borderId="33" xfId="0" applyFill="1" applyBorder="1"/>
    <xf numFmtId="0" fontId="0" fillId="3" borderId="27" xfId="0" applyFill="1" applyBorder="1"/>
    <xf numFmtId="0" fontId="0" fillId="3" borderId="0" xfId="0" applyFill="1"/>
    <xf numFmtId="0" fontId="0" fillId="3" borderId="10" xfId="0" applyFill="1" applyBorder="1"/>
    <xf numFmtId="0" fontId="1" fillId="3" borderId="0" xfId="0" applyFont="1" applyFill="1"/>
    <xf numFmtId="0" fontId="0" fillId="3" borderId="11" xfId="0" applyFill="1" applyBorder="1"/>
    <xf numFmtId="0" fontId="0" fillId="3" borderId="17" xfId="0" applyFill="1" applyBorder="1"/>
    <xf numFmtId="0" fontId="0" fillId="3" borderId="12" xfId="0" applyFill="1" applyBorder="1"/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4" fillId="0" borderId="0" xfId="0" applyFont="1"/>
    <xf numFmtId="17" fontId="0" fillId="0" borderId="0" xfId="0" applyNumberFormat="1"/>
    <xf numFmtId="0" fontId="6" fillId="7" borderId="29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13" fillId="0" borderId="4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  <xf numFmtId="0" fontId="9" fillId="6" borderId="30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9" xfId="0" applyFont="1" applyBorder="1" applyAlignment="1">
      <alignment horizontal="center" vertical="center" textRotation="89" wrapText="1"/>
    </xf>
    <xf numFmtId="0" fontId="0" fillId="0" borderId="29" xfId="0" applyBorder="1" applyAlignment="1">
      <alignment horizontal="center" vertical="center" textRotation="89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7" fillId="0" borderId="47" xfId="0" applyFont="1" applyBorder="1"/>
    <xf numFmtId="0" fontId="7" fillId="0" borderId="48" xfId="0" applyFont="1" applyBorder="1"/>
    <xf numFmtId="0" fontId="7" fillId="0" borderId="15" xfId="0" applyFont="1" applyBorder="1"/>
    <xf numFmtId="0" fontId="7" fillId="0" borderId="3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46" zoomScale="85" zoomScaleNormal="85" workbookViewId="0">
      <selection activeCell="B47" sqref="B47:C54"/>
    </sheetView>
  </sheetViews>
  <sheetFormatPr baseColWidth="10" defaultRowHeight="12.75" x14ac:dyDescent="0.2"/>
  <cols>
    <col min="1" max="1" width="20.28515625" customWidth="1"/>
    <col min="2" max="3" width="26.140625" customWidth="1"/>
    <col min="4" max="4" width="30.5703125" customWidth="1"/>
    <col min="5" max="5" width="23.5703125" customWidth="1"/>
    <col min="6" max="7" width="14.140625" customWidth="1"/>
    <col min="8" max="8" width="37.85546875" customWidth="1"/>
    <col min="9" max="9" width="16.7109375" customWidth="1"/>
  </cols>
  <sheetData>
    <row r="1" spans="1:4" ht="30" customHeight="1" thickBot="1" x14ac:dyDescent="0.25">
      <c r="A1" s="57" t="s">
        <v>7</v>
      </c>
      <c r="B1" s="61" t="s">
        <v>60</v>
      </c>
      <c r="C1" s="58" t="s">
        <v>11</v>
      </c>
      <c r="D1" s="59">
        <v>400</v>
      </c>
    </row>
    <row r="2" spans="1:4" ht="13.5" thickBot="1" x14ac:dyDescent="0.25">
      <c r="A2" s="17"/>
      <c r="B2" s="31"/>
      <c r="C2" s="56" t="s">
        <v>6</v>
      </c>
      <c r="D2" s="28" t="s">
        <v>35</v>
      </c>
    </row>
    <row r="3" spans="1:4" ht="13.5" thickBot="1" x14ac:dyDescent="0.25">
      <c r="A3" s="17" t="s">
        <v>2</v>
      </c>
      <c r="B3" s="18"/>
      <c r="C3" s="7"/>
      <c r="D3" s="8"/>
    </row>
    <row r="4" spans="1:4" x14ac:dyDescent="0.2">
      <c r="A4" s="5" t="s">
        <v>0</v>
      </c>
      <c r="B4" s="6" t="s">
        <v>1</v>
      </c>
      <c r="C4" s="3" t="s">
        <v>3</v>
      </c>
      <c r="D4" s="4" t="s">
        <v>4</v>
      </c>
    </row>
    <row r="5" spans="1:4" x14ac:dyDescent="0.2">
      <c r="A5" s="27" t="s">
        <v>36</v>
      </c>
      <c r="B5" s="15">
        <v>1900</v>
      </c>
      <c r="C5" s="15">
        <v>9500</v>
      </c>
      <c r="D5" s="16">
        <f t="shared" ref="D5" si="0">B5*C5</f>
        <v>18050000</v>
      </c>
    </row>
    <row r="6" spans="1:4" x14ac:dyDescent="0.2">
      <c r="A6" s="27" t="s">
        <v>37</v>
      </c>
      <c r="B6" s="15">
        <v>6500</v>
      </c>
      <c r="C6" s="15">
        <v>5000</v>
      </c>
      <c r="D6" s="16">
        <f>B6*C6</f>
        <v>32500000</v>
      </c>
    </row>
    <row r="7" spans="1:4" x14ac:dyDescent="0.2">
      <c r="A7" s="27" t="s">
        <v>38</v>
      </c>
      <c r="B7" s="15">
        <v>3500</v>
      </c>
      <c r="C7" s="15">
        <v>5000</v>
      </c>
      <c r="D7" s="16">
        <f>B7*C7</f>
        <v>17500000</v>
      </c>
    </row>
    <row r="8" spans="1:4" x14ac:dyDescent="0.2">
      <c r="A8" s="27" t="s">
        <v>53</v>
      </c>
      <c r="B8" s="30">
        <v>0</v>
      </c>
      <c r="C8" s="30">
        <v>11000</v>
      </c>
      <c r="D8" s="16">
        <f t="shared" ref="D8:D10" si="1">B8*C8</f>
        <v>0</v>
      </c>
    </row>
    <row r="9" spans="1:4" x14ac:dyDescent="0.2">
      <c r="A9" s="27" t="s">
        <v>54</v>
      </c>
      <c r="B9" s="15">
        <v>0</v>
      </c>
      <c r="C9" s="15">
        <v>11000</v>
      </c>
      <c r="D9" s="16">
        <f t="shared" si="1"/>
        <v>0</v>
      </c>
    </row>
    <row r="10" spans="1:4" ht="13.5" thickBot="1" x14ac:dyDescent="0.25">
      <c r="A10" s="27" t="s">
        <v>62</v>
      </c>
      <c r="B10" s="15">
        <v>1100</v>
      </c>
      <c r="C10" s="20">
        <v>9500</v>
      </c>
      <c r="D10" s="16">
        <f t="shared" si="1"/>
        <v>10450000</v>
      </c>
    </row>
    <row r="11" spans="1:4" ht="13.5" thickBot="1" x14ac:dyDescent="0.25">
      <c r="A11" s="9"/>
      <c r="B11" s="19"/>
      <c r="C11" s="21" t="s">
        <v>5</v>
      </c>
      <c r="D11" s="14">
        <f>SUM(D5:D10)</f>
        <v>78500000</v>
      </c>
    </row>
    <row r="12" spans="1:4" ht="13.5" thickBot="1" x14ac:dyDescent="0.25">
      <c r="A12" s="10"/>
      <c r="B12" s="12"/>
      <c r="C12" s="21" t="s">
        <v>9</v>
      </c>
      <c r="D12" s="14">
        <f>ROUND(D11/4400,0)</f>
        <v>17841</v>
      </c>
    </row>
    <row r="13" spans="1:4" ht="16.5" thickBot="1" x14ac:dyDescent="0.3">
      <c r="A13" s="11"/>
      <c r="B13" s="13"/>
      <c r="C13" s="22" t="s">
        <v>10</v>
      </c>
      <c r="D13" s="60">
        <f>ROUND(D12/D1,1)</f>
        <v>44.6</v>
      </c>
    </row>
    <row r="14" spans="1:4" ht="13.5" thickBot="1" x14ac:dyDescent="0.25"/>
    <row r="15" spans="1:4" ht="27" customHeight="1" thickBot="1" x14ac:dyDescent="0.25">
      <c r="A15" s="57" t="s">
        <v>7</v>
      </c>
      <c r="B15" s="61" t="s">
        <v>60</v>
      </c>
      <c r="C15" s="58" t="s">
        <v>11</v>
      </c>
      <c r="D15" s="59">
        <v>400</v>
      </c>
    </row>
    <row r="16" spans="1:4" ht="13.5" thickBot="1" x14ac:dyDescent="0.25">
      <c r="A16" s="17"/>
      <c r="B16" s="31"/>
      <c r="C16" s="56" t="s">
        <v>6</v>
      </c>
      <c r="D16" s="28" t="s">
        <v>23</v>
      </c>
    </row>
    <row r="17" spans="1:8" ht="12" customHeight="1" thickBot="1" x14ac:dyDescent="0.25">
      <c r="A17" s="17" t="s">
        <v>2</v>
      </c>
      <c r="B17" s="18"/>
      <c r="C17" s="7"/>
      <c r="D17" s="8"/>
    </row>
    <row r="18" spans="1:8" s="1" customFormat="1" x14ac:dyDescent="0.2">
      <c r="A18" s="5" t="s">
        <v>0</v>
      </c>
      <c r="B18" s="6" t="s">
        <v>1</v>
      </c>
      <c r="C18" s="3" t="s">
        <v>3</v>
      </c>
      <c r="D18" s="4" t="s">
        <v>4</v>
      </c>
    </row>
    <row r="19" spans="1:8" x14ac:dyDescent="0.2">
      <c r="A19" s="27" t="s">
        <v>44</v>
      </c>
      <c r="B19" s="30">
        <v>400</v>
      </c>
      <c r="C19" s="15">
        <v>6000</v>
      </c>
      <c r="D19" s="16">
        <f t="shared" ref="D19:D24" si="2">B19*C19</f>
        <v>2400000</v>
      </c>
    </row>
    <row r="20" spans="1:8" x14ac:dyDescent="0.2">
      <c r="A20" s="27" t="s">
        <v>46</v>
      </c>
      <c r="B20" s="30">
        <v>5000</v>
      </c>
      <c r="C20" s="15">
        <v>4400</v>
      </c>
      <c r="D20" s="16">
        <f>B20*C20</f>
        <v>22000000</v>
      </c>
    </row>
    <row r="21" spans="1:8" x14ac:dyDescent="0.2">
      <c r="A21" s="27" t="s">
        <v>47</v>
      </c>
      <c r="B21" s="15">
        <v>3000</v>
      </c>
      <c r="C21" s="15">
        <v>4000</v>
      </c>
      <c r="D21" s="16">
        <f>B21*C21</f>
        <v>12000000</v>
      </c>
    </row>
    <row r="22" spans="1:8" x14ac:dyDescent="0.2">
      <c r="A22" s="27" t="s">
        <v>45</v>
      </c>
      <c r="B22" s="15">
        <v>200</v>
      </c>
      <c r="C22" s="30">
        <v>4000</v>
      </c>
      <c r="D22" s="16">
        <f t="shared" si="2"/>
        <v>800000</v>
      </c>
    </row>
    <row r="23" spans="1:8" x14ac:dyDescent="0.2">
      <c r="A23" s="2"/>
      <c r="B23" s="15"/>
      <c r="C23" s="15"/>
      <c r="D23" s="16">
        <f t="shared" si="2"/>
        <v>0</v>
      </c>
    </row>
    <row r="24" spans="1:8" ht="13.5" thickBot="1" x14ac:dyDescent="0.25">
      <c r="A24" s="2"/>
      <c r="B24" s="15"/>
      <c r="C24" s="20"/>
      <c r="D24" s="16">
        <f t="shared" si="2"/>
        <v>0</v>
      </c>
    </row>
    <row r="25" spans="1:8" ht="13.5" thickBot="1" x14ac:dyDescent="0.25">
      <c r="A25" s="9"/>
      <c r="B25" s="19"/>
      <c r="C25" s="21" t="s">
        <v>5</v>
      </c>
      <c r="D25" s="14">
        <f>SUM(D19:D24)</f>
        <v>37200000</v>
      </c>
      <c r="F25">
        <f>250*100</f>
        <v>25000</v>
      </c>
    </row>
    <row r="26" spans="1:8" ht="13.5" thickBot="1" x14ac:dyDescent="0.25">
      <c r="A26" s="10"/>
      <c r="B26" s="12"/>
      <c r="C26" s="21" t="s">
        <v>9</v>
      </c>
      <c r="D26" s="14">
        <f>ROUND(D25/4400,0)</f>
        <v>8455</v>
      </c>
      <c r="H26" s="25"/>
    </row>
    <row r="27" spans="1:8" ht="16.5" thickBot="1" x14ac:dyDescent="0.3">
      <c r="A27" s="11"/>
      <c r="B27" s="13"/>
      <c r="C27" s="22" t="s">
        <v>10</v>
      </c>
      <c r="D27" s="60">
        <f>ROUND(D26/D15,1)</f>
        <v>21.1</v>
      </c>
    </row>
    <row r="30" spans="1:8" ht="13.5" thickBot="1" x14ac:dyDescent="0.25"/>
    <row r="31" spans="1:8" s="24" customFormat="1" ht="54" customHeight="1" thickBot="1" x14ac:dyDescent="0.25">
      <c r="A31" s="62" t="s">
        <v>7</v>
      </c>
      <c r="B31" s="63" t="s">
        <v>8</v>
      </c>
      <c r="C31" s="64" t="s">
        <v>13</v>
      </c>
      <c r="D31" s="63" t="s">
        <v>12</v>
      </c>
      <c r="E31" s="64" t="s">
        <v>17</v>
      </c>
      <c r="F31" s="63" t="s">
        <v>18</v>
      </c>
      <c r="G31" s="64" t="s">
        <v>16</v>
      </c>
      <c r="H31" s="63" t="s">
        <v>14</v>
      </c>
    </row>
    <row r="32" spans="1:8" s="23" customFormat="1" ht="48.75" customHeight="1" x14ac:dyDescent="0.2">
      <c r="A32" s="91" t="s">
        <v>57</v>
      </c>
      <c r="B32" s="88">
        <v>400</v>
      </c>
      <c r="C32" s="86">
        <v>3.2</v>
      </c>
      <c r="D32" s="86">
        <v>5.4</v>
      </c>
      <c r="E32" s="65" t="s">
        <v>15</v>
      </c>
      <c r="F32" s="66">
        <v>3</v>
      </c>
      <c r="G32" s="67" t="s">
        <v>39</v>
      </c>
      <c r="H32" s="66" t="s">
        <v>26</v>
      </c>
    </row>
    <row r="33" spans="1:8" s="23" customFormat="1" ht="47.25" x14ac:dyDescent="0.2">
      <c r="A33" s="105" t="s">
        <v>51</v>
      </c>
      <c r="B33" s="108">
        <v>1589</v>
      </c>
      <c r="C33" s="98">
        <v>3.5</v>
      </c>
      <c r="D33" s="98">
        <v>9.6</v>
      </c>
      <c r="E33" s="68" t="s">
        <v>15</v>
      </c>
      <c r="F33" s="69">
        <v>2</v>
      </c>
      <c r="G33" s="70" t="s">
        <v>39</v>
      </c>
      <c r="H33" s="69" t="s">
        <v>26</v>
      </c>
    </row>
    <row r="34" spans="1:8" s="23" customFormat="1" ht="47.25" x14ac:dyDescent="0.2">
      <c r="A34" s="106"/>
      <c r="B34" s="109"/>
      <c r="C34" s="99"/>
      <c r="D34" s="99"/>
      <c r="E34" s="68" t="s">
        <v>68</v>
      </c>
      <c r="F34" s="87">
        <v>1</v>
      </c>
      <c r="G34" s="70" t="s">
        <v>39</v>
      </c>
      <c r="H34" s="69" t="s">
        <v>26</v>
      </c>
    </row>
    <row r="35" spans="1:8" s="23" customFormat="1" ht="31.5" x14ac:dyDescent="0.2">
      <c r="A35" s="106"/>
      <c r="B35" s="109"/>
      <c r="C35" s="99"/>
      <c r="D35" s="99"/>
      <c r="E35" s="71" t="s">
        <v>56</v>
      </c>
      <c r="F35" s="87">
        <v>5</v>
      </c>
      <c r="G35" s="72" t="s">
        <v>39</v>
      </c>
      <c r="H35" s="87" t="s">
        <v>26</v>
      </c>
    </row>
    <row r="36" spans="1:8" s="23" customFormat="1" ht="31.5" x14ac:dyDescent="0.2">
      <c r="A36" s="107"/>
      <c r="B36" s="110"/>
      <c r="C36" s="100"/>
      <c r="D36" s="100"/>
      <c r="E36" s="71" t="s">
        <v>55</v>
      </c>
      <c r="F36" s="87">
        <v>5</v>
      </c>
      <c r="G36" s="72" t="s">
        <v>39</v>
      </c>
      <c r="H36" s="87" t="s">
        <v>26</v>
      </c>
    </row>
    <row r="37" spans="1:8" s="23" customFormat="1" ht="47.25" x14ac:dyDescent="0.2">
      <c r="A37" s="92" t="s">
        <v>58</v>
      </c>
      <c r="B37" s="89">
        <v>1547</v>
      </c>
      <c r="C37" s="90">
        <v>63.5</v>
      </c>
      <c r="D37" s="90">
        <v>133.5</v>
      </c>
      <c r="E37" s="68" t="s">
        <v>15</v>
      </c>
      <c r="F37" s="69">
        <v>6</v>
      </c>
      <c r="G37" s="70" t="s">
        <v>39</v>
      </c>
      <c r="H37" s="69" t="s">
        <v>26</v>
      </c>
    </row>
    <row r="38" spans="1:8" s="23" customFormat="1" ht="47.25" x14ac:dyDescent="0.2">
      <c r="A38" s="92" t="s">
        <v>59</v>
      </c>
      <c r="B38" s="89">
        <v>420</v>
      </c>
      <c r="C38" s="90">
        <v>20.100000000000001</v>
      </c>
      <c r="D38" s="90">
        <v>49</v>
      </c>
      <c r="E38" s="68" t="s">
        <v>15</v>
      </c>
      <c r="F38" s="69">
        <v>2</v>
      </c>
      <c r="G38" s="70" t="s">
        <v>39</v>
      </c>
      <c r="H38" s="69" t="s">
        <v>26</v>
      </c>
    </row>
    <row r="39" spans="1:8" s="23" customFormat="1" ht="47.25" x14ac:dyDescent="0.2">
      <c r="A39" s="111" t="s">
        <v>69</v>
      </c>
      <c r="B39" s="108">
        <v>445</v>
      </c>
      <c r="C39" s="98">
        <v>21.1</v>
      </c>
      <c r="D39" s="98">
        <v>44.6</v>
      </c>
      <c r="E39" s="68" t="s">
        <v>15</v>
      </c>
      <c r="F39" s="69">
        <v>4</v>
      </c>
      <c r="G39" s="70" t="s">
        <v>39</v>
      </c>
      <c r="H39" s="69" t="s">
        <v>26</v>
      </c>
    </row>
    <row r="40" spans="1:8" s="23" customFormat="1" ht="53.25" customHeight="1" x14ac:dyDescent="0.2">
      <c r="A40" s="112"/>
      <c r="B40" s="110"/>
      <c r="C40" s="100"/>
      <c r="D40" s="100"/>
      <c r="E40" s="71" t="s">
        <v>63</v>
      </c>
      <c r="F40" s="87">
        <v>3</v>
      </c>
      <c r="G40" s="72" t="s">
        <v>39</v>
      </c>
      <c r="H40" s="87" t="s">
        <v>26</v>
      </c>
    </row>
    <row r="41" spans="1:8" ht="15" x14ac:dyDescent="0.25">
      <c r="A41" s="32" t="s">
        <v>25</v>
      </c>
      <c r="B41" s="33"/>
      <c r="C41" s="33"/>
      <c r="D41" s="33"/>
      <c r="E41" s="33"/>
      <c r="F41" s="33"/>
      <c r="G41" s="33"/>
      <c r="H41" s="34"/>
    </row>
    <row r="42" spans="1:8" ht="15" x14ac:dyDescent="0.25">
      <c r="A42" s="32" t="s">
        <v>19</v>
      </c>
      <c r="B42" s="33"/>
      <c r="C42" s="33"/>
      <c r="D42" s="33"/>
      <c r="E42" s="33"/>
      <c r="F42" s="33"/>
      <c r="G42" s="33"/>
      <c r="H42" s="34"/>
    </row>
    <row r="43" spans="1:8" ht="15" x14ac:dyDescent="0.25">
      <c r="A43" s="32" t="s">
        <v>20</v>
      </c>
      <c r="B43" s="33"/>
      <c r="C43" s="33"/>
      <c r="D43" s="33"/>
      <c r="E43" s="33"/>
      <c r="F43" s="33"/>
      <c r="G43" s="33"/>
      <c r="H43" s="34"/>
    </row>
    <row r="44" spans="1:8" ht="15.75" thickBot="1" x14ac:dyDescent="0.3">
      <c r="A44" s="35"/>
      <c r="B44" s="36"/>
      <c r="C44" s="36"/>
      <c r="D44" s="36"/>
      <c r="E44" s="36"/>
      <c r="F44" s="36"/>
      <c r="G44" s="36"/>
      <c r="H44" s="37"/>
    </row>
    <row r="46" spans="1:8" ht="13.5" thickBot="1" x14ac:dyDescent="0.25"/>
    <row r="47" spans="1:8" ht="29.25" customHeight="1" thickBot="1" x14ac:dyDescent="0.25">
      <c r="B47" s="103" t="s">
        <v>70</v>
      </c>
      <c r="C47" s="104"/>
    </row>
    <row r="48" spans="1:8" ht="22.5" customHeight="1" thickBot="1" x14ac:dyDescent="0.3">
      <c r="A48" s="26" t="s">
        <v>7</v>
      </c>
      <c r="B48" s="55" t="s">
        <v>7</v>
      </c>
      <c r="C48" s="54" t="s">
        <v>8</v>
      </c>
    </row>
    <row r="49" spans="1:7" ht="15.75" x14ac:dyDescent="0.25">
      <c r="A49" s="101" t="s">
        <v>21</v>
      </c>
      <c r="B49" s="134" t="s">
        <v>57</v>
      </c>
      <c r="C49" s="137">
        <v>309</v>
      </c>
    </row>
    <row r="50" spans="1:7" ht="16.5" thickBot="1" x14ac:dyDescent="0.3">
      <c r="A50" s="113"/>
      <c r="B50" s="135" t="s">
        <v>51</v>
      </c>
      <c r="C50" s="138">
        <v>1589</v>
      </c>
    </row>
    <row r="51" spans="1:7" ht="15.75" x14ac:dyDescent="0.25">
      <c r="A51" s="101" t="s">
        <v>22</v>
      </c>
      <c r="B51" s="135" t="s">
        <v>58</v>
      </c>
      <c r="C51" s="138">
        <v>1547</v>
      </c>
    </row>
    <row r="52" spans="1:7" ht="15.75" x14ac:dyDescent="0.25">
      <c r="A52" s="102"/>
      <c r="B52" s="135" t="s">
        <v>59</v>
      </c>
      <c r="C52" s="138">
        <v>420</v>
      </c>
    </row>
    <row r="53" spans="1:7" ht="15.75" x14ac:dyDescent="0.25">
      <c r="B53" s="135" t="s">
        <v>60</v>
      </c>
      <c r="C53" s="139">
        <v>400</v>
      </c>
    </row>
    <row r="54" spans="1:7" ht="16.5" thickBot="1" x14ac:dyDescent="0.3">
      <c r="B54" s="136" t="s">
        <v>61</v>
      </c>
      <c r="C54" s="140">
        <v>60</v>
      </c>
    </row>
    <row r="58" spans="1:7" ht="13.5" thickBot="1" x14ac:dyDescent="0.25"/>
    <row r="59" spans="1:7" s="52" customFormat="1" ht="42" customHeight="1" thickBot="1" x14ac:dyDescent="0.25">
      <c r="C59" s="77" t="s">
        <v>27</v>
      </c>
      <c r="D59" s="77" t="s">
        <v>28</v>
      </c>
      <c r="E59" s="77" t="s">
        <v>29</v>
      </c>
      <c r="F59" s="77" t="s">
        <v>30</v>
      </c>
      <c r="G59" s="77" t="s">
        <v>31</v>
      </c>
    </row>
    <row r="60" spans="1:7" ht="36.75" customHeight="1" thickBot="1" x14ac:dyDescent="0.25">
      <c r="C60" s="93" t="s">
        <v>67</v>
      </c>
      <c r="D60" s="97" t="s">
        <v>32</v>
      </c>
      <c r="E60" s="95" t="s">
        <v>64</v>
      </c>
      <c r="F60" s="97" t="s">
        <v>65</v>
      </c>
      <c r="G60" s="96" t="s">
        <v>66</v>
      </c>
    </row>
    <row r="61" spans="1:7" ht="21" customHeight="1" thickBot="1" x14ac:dyDescent="0.25">
      <c r="C61" s="93" t="s">
        <v>52</v>
      </c>
      <c r="D61" s="94" t="s">
        <v>32</v>
      </c>
      <c r="E61" s="95" t="s">
        <v>33</v>
      </c>
      <c r="F61" s="94" t="s">
        <v>34</v>
      </c>
      <c r="G61" s="96" t="s">
        <v>50</v>
      </c>
    </row>
    <row r="62" spans="1:7" ht="21" customHeight="1" x14ac:dyDescent="0.2">
      <c r="C62" s="83" t="s">
        <v>48</v>
      </c>
      <c r="D62" s="85" t="s">
        <v>32</v>
      </c>
      <c r="E62" s="78" t="s">
        <v>33</v>
      </c>
      <c r="F62" s="85" t="s">
        <v>34</v>
      </c>
      <c r="G62" s="79" t="s">
        <v>50</v>
      </c>
    </row>
    <row r="63" spans="1:7" ht="21" customHeight="1" thickBot="1" x14ac:dyDescent="0.25">
      <c r="C63" s="84" t="s">
        <v>49</v>
      </c>
      <c r="D63" s="80" t="s">
        <v>32</v>
      </c>
      <c r="E63" s="81" t="s">
        <v>33</v>
      </c>
      <c r="F63" s="80" t="s">
        <v>34</v>
      </c>
      <c r="G63" s="82" t="s">
        <v>50</v>
      </c>
    </row>
    <row r="64" spans="1:7" ht="13.5" thickBot="1" x14ac:dyDescent="0.25">
      <c r="C64" s="73"/>
      <c r="D64" s="74" t="s">
        <v>24</v>
      </c>
      <c r="E64" s="75" t="s">
        <v>24</v>
      </c>
      <c r="F64" s="74" t="s">
        <v>24</v>
      </c>
      <c r="G64" s="76" t="s">
        <v>24</v>
      </c>
    </row>
    <row r="65" spans="4:4" x14ac:dyDescent="0.2">
      <c r="D65" s="29" t="s">
        <v>24</v>
      </c>
    </row>
  </sheetData>
  <mergeCells count="11">
    <mergeCell ref="D33:D36"/>
    <mergeCell ref="A51:A52"/>
    <mergeCell ref="B47:C47"/>
    <mergeCell ref="A33:A36"/>
    <mergeCell ref="B33:B36"/>
    <mergeCell ref="C33:C36"/>
    <mergeCell ref="A39:A40"/>
    <mergeCell ref="B39:B40"/>
    <mergeCell ref="C39:C40"/>
    <mergeCell ref="D39:D40"/>
    <mergeCell ref="A49:A50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L33"/>
  <sheetViews>
    <sheetView topLeftCell="A18" workbookViewId="0">
      <selection activeCell="E33" sqref="E4:L33"/>
    </sheetView>
  </sheetViews>
  <sheetFormatPr baseColWidth="10" defaultRowHeight="12.75" x14ac:dyDescent="0.2"/>
  <sheetData>
    <row r="3" spans="5:12" ht="13.5" thickBot="1" x14ac:dyDescent="0.25"/>
    <row r="4" spans="5:12" x14ac:dyDescent="0.2">
      <c r="E4" s="38"/>
      <c r="F4" s="114" t="s">
        <v>40</v>
      </c>
      <c r="G4" s="115"/>
      <c r="H4" s="39"/>
      <c r="I4" s="39"/>
      <c r="J4" s="39"/>
      <c r="K4" s="39"/>
      <c r="L4" s="40"/>
    </row>
    <row r="5" spans="5:12" ht="13.5" thickBot="1" x14ac:dyDescent="0.25">
      <c r="E5" s="41"/>
      <c r="F5" s="116"/>
      <c r="G5" s="116"/>
      <c r="H5" s="42"/>
      <c r="I5" s="42"/>
      <c r="J5" s="42"/>
      <c r="K5" s="42"/>
      <c r="L5" s="43"/>
    </row>
    <row r="6" spans="5:12" x14ac:dyDescent="0.2">
      <c r="E6" s="41"/>
      <c r="F6" s="48"/>
      <c r="G6" s="49"/>
      <c r="H6" s="44"/>
      <c r="I6" s="44"/>
      <c r="J6" s="44"/>
      <c r="K6" s="44"/>
      <c r="L6" s="43"/>
    </row>
    <row r="7" spans="5:12" x14ac:dyDescent="0.2">
      <c r="E7" s="41"/>
      <c r="F7" s="50"/>
      <c r="G7" s="51"/>
      <c r="H7" s="44"/>
      <c r="I7" s="44"/>
      <c r="J7" s="44"/>
      <c r="K7" s="44"/>
      <c r="L7" s="43"/>
    </row>
    <row r="8" spans="5:12" x14ac:dyDescent="0.2">
      <c r="E8" s="41"/>
      <c r="F8" s="50"/>
      <c r="G8" s="51"/>
      <c r="H8" s="44"/>
      <c r="I8" s="44"/>
      <c r="J8" s="44"/>
      <c r="K8" s="44"/>
      <c r="L8" s="43"/>
    </row>
    <row r="9" spans="5:12" x14ac:dyDescent="0.2">
      <c r="E9" s="41"/>
      <c r="F9" s="50"/>
      <c r="G9" s="51"/>
      <c r="H9" s="44"/>
      <c r="I9" s="44"/>
      <c r="J9" s="44"/>
      <c r="K9" s="44"/>
      <c r="L9" s="43"/>
    </row>
    <row r="10" spans="5:12" x14ac:dyDescent="0.2">
      <c r="E10" s="41"/>
      <c r="F10" s="50"/>
      <c r="G10" s="51"/>
      <c r="H10" s="44"/>
      <c r="I10" s="44"/>
      <c r="J10" s="44"/>
      <c r="K10" s="44"/>
      <c r="L10" s="43"/>
    </row>
    <row r="11" spans="5:12" x14ac:dyDescent="0.2">
      <c r="E11" s="41"/>
      <c r="F11" s="50"/>
      <c r="G11" s="51"/>
      <c r="H11" s="44"/>
      <c r="I11" s="44"/>
      <c r="J11" s="44"/>
      <c r="K11" s="44"/>
      <c r="L11" s="43"/>
    </row>
    <row r="12" spans="5:12" x14ac:dyDescent="0.2">
      <c r="E12" s="41"/>
      <c r="F12" s="50"/>
      <c r="G12" s="51"/>
      <c r="H12" s="44"/>
      <c r="I12" s="44"/>
      <c r="J12" s="44"/>
      <c r="K12" s="44"/>
      <c r="L12" s="43"/>
    </row>
    <row r="13" spans="5:12" x14ac:dyDescent="0.2">
      <c r="E13" s="41"/>
      <c r="F13" s="50"/>
      <c r="G13" s="51"/>
      <c r="H13" s="44"/>
      <c r="I13" s="44"/>
      <c r="J13" s="44"/>
      <c r="K13" s="44"/>
      <c r="L13" s="43"/>
    </row>
    <row r="14" spans="5:12" x14ac:dyDescent="0.2">
      <c r="E14" s="41"/>
      <c r="F14" s="50"/>
      <c r="G14" s="51"/>
      <c r="H14" s="44"/>
      <c r="I14" s="44"/>
      <c r="J14" s="44"/>
      <c r="K14" s="44"/>
      <c r="L14" s="43"/>
    </row>
    <row r="15" spans="5:12" x14ac:dyDescent="0.2">
      <c r="E15" s="41"/>
      <c r="F15" s="50"/>
      <c r="G15" s="51"/>
      <c r="H15" s="44"/>
      <c r="I15" s="44"/>
      <c r="J15" s="44"/>
      <c r="K15" s="44"/>
      <c r="L15" s="43"/>
    </row>
    <row r="16" spans="5:12" ht="13.5" thickBot="1" x14ac:dyDescent="0.25">
      <c r="E16" s="41"/>
      <c r="F16" s="50"/>
      <c r="G16" s="51"/>
      <c r="H16" s="44"/>
      <c r="I16" s="44"/>
      <c r="J16" s="44"/>
      <c r="K16" s="44"/>
      <c r="L16" s="43"/>
    </row>
    <row r="17" spans="5:12" ht="13.5" thickBot="1" x14ac:dyDescent="0.25">
      <c r="E17" s="41"/>
      <c r="F17" s="128" t="s">
        <v>42</v>
      </c>
      <c r="G17" s="129"/>
      <c r="H17" s="44"/>
      <c r="I17" s="44"/>
      <c r="J17" s="44"/>
      <c r="K17" s="44"/>
      <c r="L17" s="43"/>
    </row>
    <row r="18" spans="5:12" x14ac:dyDescent="0.2">
      <c r="E18" s="41"/>
      <c r="F18" s="130"/>
      <c r="G18" s="131"/>
      <c r="H18" s="119" t="s">
        <v>43</v>
      </c>
      <c r="I18" s="120"/>
      <c r="J18" s="120"/>
      <c r="K18" s="121"/>
      <c r="L18" s="117" t="s">
        <v>41</v>
      </c>
    </row>
    <row r="19" spans="5:12" x14ac:dyDescent="0.2">
      <c r="E19" s="41"/>
      <c r="F19" s="130"/>
      <c r="G19" s="131"/>
      <c r="H19" s="122"/>
      <c r="I19" s="123"/>
      <c r="J19" s="123"/>
      <c r="K19" s="124"/>
      <c r="L19" s="118"/>
    </row>
    <row r="20" spans="5:12" x14ac:dyDescent="0.2">
      <c r="E20" s="41"/>
      <c r="F20" s="130"/>
      <c r="G20" s="131"/>
      <c r="H20" s="122"/>
      <c r="I20" s="123"/>
      <c r="J20" s="123"/>
      <c r="K20" s="124"/>
      <c r="L20" s="118"/>
    </row>
    <row r="21" spans="5:12" x14ac:dyDescent="0.2">
      <c r="E21" s="41"/>
      <c r="F21" s="130"/>
      <c r="G21" s="131"/>
      <c r="H21" s="122"/>
      <c r="I21" s="123"/>
      <c r="J21" s="123"/>
      <c r="K21" s="124"/>
      <c r="L21" s="118"/>
    </row>
    <row r="22" spans="5:12" x14ac:dyDescent="0.2">
      <c r="E22" s="41"/>
      <c r="F22" s="130"/>
      <c r="G22" s="131"/>
      <c r="H22" s="122"/>
      <c r="I22" s="123"/>
      <c r="J22" s="123"/>
      <c r="K22" s="124"/>
      <c r="L22" s="118"/>
    </row>
    <row r="23" spans="5:12" x14ac:dyDescent="0.2">
      <c r="E23" s="41"/>
      <c r="F23" s="130"/>
      <c r="G23" s="131"/>
      <c r="H23" s="122"/>
      <c r="I23" s="123"/>
      <c r="J23" s="123"/>
      <c r="K23" s="124"/>
      <c r="L23" s="118"/>
    </row>
    <row r="24" spans="5:12" x14ac:dyDescent="0.2">
      <c r="E24" s="41"/>
      <c r="F24" s="130"/>
      <c r="G24" s="131"/>
      <c r="H24" s="122"/>
      <c r="I24" s="123"/>
      <c r="J24" s="123"/>
      <c r="K24" s="124"/>
      <c r="L24" s="118"/>
    </row>
    <row r="25" spans="5:12" ht="13.5" thickBot="1" x14ac:dyDescent="0.25">
      <c r="E25" s="41"/>
      <c r="F25" s="130"/>
      <c r="G25" s="131"/>
      <c r="H25" s="125"/>
      <c r="I25" s="126"/>
      <c r="J25" s="126"/>
      <c r="K25" s="127"/>
      <c r="L25" s="118"/>
    </row>
    <row r="26" spans="5:12" x14ac:dyDescent="0.2">
      <c r="E26" s="41"/>
      <c r="F26" s="130"/>
      <c r="G26" s="131"/>
      <c r="H26" s="44"/>
      <c r="I26" s="44"/>
      <c r="J26" s="44"/>
      <c r="K26" s="44"/>
      <c r="L26" s="43"/>
    </row>
    <row r="27" spans="5:12" x14ac:dyDescent="0.2">
      <c r="E27" s="41"/>
      <c r="F27" s="130"/>
      <c r="G27" s="131"/>
      <c r="H27" s="44"/>
      <c r="I27" s="44"/>
      <c r="J27" s="44"/>
      <c r="K27" s="44"/>
      <c r="L27" s="43"/>
    </row>
    <row r="28" spans="5:12" x14ac:dyDescent="0.2">
      <c r="E28" s="41"/>
      <c r="F28" s="130"/>
      <c r="G28" s="131"/>
      <c r="H28" s="44"/>
      <c r="I28" s="44"/>
      <c r="J28" s="44"/>
      <c r="K28" s="44"/>
      <c r="L28" s="43"/>
    </row>
    <row r="29" spans="5:12" x14ac:dyDescent="0.2">
      <c r="E29" s="41"/>
      <c r="F29" s="130"/>
      <c r="G29" s="131"/>
      <c r="H29" s="44"/>
      <c r="I29" s="44"/>
      <c r="J29" s="44"/>
      <c r="K29" s="44"/>
      <c r="L29" s="43"/>
    </row>
    <row r="30" spans="5:12" x14ac:dyDescent="0.2">
      <c r="E30" s="41"/>
      <c r="F30" s="130"/>
      <c r="G30" s="131"/>
      <c r="H30" s="44"/>
      <c r="I30" s="44"/>
      <c r="J30" s="44"/>
      <c r="K30" s="44"/>
      <c r="L30" s="43"/>
    </row>
    <row r="31" spans="5:12" x14ac:dyDescent="0.2">
      <c r="E31" s="41"/>
      <c r="F31" s="130"/>
      <c r="G31" s="131"/>
      <c r="H31" s="44"/>
      <c r="I31" s="44"/>
      <c r="J31" s="44"/>
      <c r="K31" s="44"/>
      <c r="L31" s="43"/>
    </row>
    <row r="32" spans="5:12" ht="13.5" thickBot="1" x14ac:dyDescent="0.25">
      <c r="E32" s="41"/>
      <c r="F32" s="132"/>
      <c r="G32" s="133"/>
      <c r="H32" s="44"/>
      <c r="I32" s="44"/>
      <c r="J32" s="44"/>
      <c r="K32" s="44"/>
      <c r="L32" s="43"/>
    </row>
    <row r="33" spans="5:12" ht="13.5" thickBot="1" x14ac:dyDescent="0.25">
      <c r="E33" s="45"/>
      <c r="F33" s="46"/>
      <c r="G33" s="46"/>
      <c r="H33" s="46"/>
      <c r="I33" s="46"/>
      <c r="J33" s="46"/>
      <c r="K33" s="46"/>
      <c r="L33" s="47"/>
    </row>
  </sheetData>
  <mergeCells count="4">
    <mergeCell ref="F4:G5"/>
    <mergeCell ref="L18:L25"/>
    <mergeCell ref="H18:K25"/>
    <mergeCell ref="F17:G32"/>
  </mergeCells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7"/>
  <sheetViews>
    <sheetView workbookViewId="0">
      <selection activeCell="F18" sqref="F18"/>
    </sheetView>
  </sheetViews>
  <sheetFormatPr baseColWidth="10" defaultRowHeight="12.75" x14ac:dyDescent="0.2"/>
  <cols>
    <col min="7" max="7" width="15" customWidth="1"/>
    <col min="8" max="8" width="13" customWidth="1"/>
  </cols>
  <sheetData>
    <row r="7" spans="11:11" x14ac:dyDescent="0.2">
      <c r="K7" s="53"/>
    </row>
  </sheetData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2008-12-26T01:31:26Z</dcterms:created>
  <dcterms:modified xsi:type="dcterms:W3CDTF">2023-05-23T18:59:48Z</dcterms:modified>
</cp:coreProperties>
</file>