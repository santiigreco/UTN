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fiew\Downloads\"/>
    </mc:Choice>
  </mc:AlternateContent>
  <xr:revisionPtr revIDLastSave="0" documentId="13_ncr:1_{18CBD258-F0A9-4D94-8FA8-F463355DC02E}" xr6:coauthVersionLast="47" xr6:coauthVersionMax="47" xr10:uidLastSave="{00000000-0000-0000-0000-000000000000}"/>
  <bookViews>
    <workbookView xWindow="-110" yWindow="-110" windowWidth="19420" windowHeight="10300" activeTab="3" xr2:uid="{CC583580-BD70-4EF9-B88E-ACF2E5ECF40E}"/>
  </bookViews>
  <sheets>
    <sheet name="Línea Telefónica" sheetId="1" r:id="rId1"/>
    <sheet name="Ciudades" sheetId="2" r:id="rId2"/>
    <sheet name="Consecionarias" sheetId="3" r:id="rId3"/>
    <sheet name="Aut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 a="1"/>
  <c r="B6" i="4" s="1"/>
  <c r="B9" i="3" a="1"/>
  <c r="B9" i="3" s="1"/>
  <c r="B15" i="2" a="1"/>
  <c r="B15" i="2" s="1"/>
  <c r="B11" i="2" a="1"/>
  <c r="B11" i="2" s="1"/>
  <c r="B7" i="2" a="1"/>
  <c r="B7" i="2" s="1"/>
  <c r="C11" i="1"/>
  <c r="F11" i="1" s="1"/>
  <c r="C10" i="1"/>
  <c r="F10" i="1" s="1"/>
  <c r="B11" i="1"/>
  <c r="E11" i="1" s="1"/>
  <c r="B10" i="1"/>
  <c r="E10" i="1" s="1"/>
  <c r="B13" i="1" s="1" a="1"/>
  <c r="B13" i="1" s="1"/>
  <c r="E13" i="1" l="1" a="1"/>
  <c r="E13" i="1" s="1"/>
  <c r="B16" i="1" s="1" a="1"/>
  <c r="B16" i="1" l="1"/>
  <c r="F17" i="1"/>
  <c r="E17" i="1"/>
  <c r="F16" i="1"/>
  <c r="E16" i="1" l="1"/>
  <c r="B19" i="1" s="1" a="1"/>
  <c r="B19" i="1" l="1"/>
  <c r="F19" i="1"/>
  <c r="F20" i="1"/>
  <c r="E20" i="1"/>
  <c r="E19" i="1" l="1"/>
  <c r="B22" i="1" a="1"/>
  <c r="B22" i="1" l="1"/>
  <c r="E22" i="1" s="1"/>
  <c r="E23" i="1"/>
  <c r="F23" i="1"/>
  <c r="F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<sst xmlns="http://schemas.openxmlformats.org/spreadsheetml/2006/main" count="32" uniqueCount="14">
  <si>
    <t>*</t>
  </si>
  <si>
    <t>CHAPMAN - KOLMOGOROV</t>
  </si>
  <si>
    <t>A</t>
  </si>
  <si>
    <t>B</t>
  </si>
  <si>
    <t>C</t>
  </si>
  <si>
    <t>Dsps de 2 días</t>
  </si>
  <si>
    <t>Dsps de 3 días</t>
  </si>
  <si>
    <t>Dsps de 4 días</t>
  </si>
  <si>
    <t>T</t>
  </si>
  <si>
    <t>F</t>
  </si>
  <si>
    <t>VW</t>
  </si>
  <si>
    <t>Al cabo de 2 años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</si>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</sst>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">
    <font>
      <sz val="10"/>
      <color theme="1"/>
      <name val="Trebuchet"/>
      <family val="2"/>
    </font>
    <font>
      <b/>
      <sz val="10"/>
      <color theme="1"/>
      <name val="Trebuche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2" borderId="0" xfId="0" applyNumberFormat="1" applyFill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329E-FB25-43ED-B075-F9B18D3776DD}">
  <dimension ref="A1:F23"/>
  <sheetViews>
    <sheetView workbookViewId="0">
      <selection activeCell="A2" sqref="A2"/>
    </sheetView>
  </sheetViews>
  <sheetFormatPr baseColWidth="10" defaultRowHeight="12.5"/>
  <cols>
    <col min="4" max="4" width="3.7265625" customWidth="1"/>
  </cols>
  <sheetData>
    <row r="1" spans="1:6" ht="13">
      <c r="A1" s="3" t="s">
        <v>1</v>
      </c>
      <c r="B1" s="3"/>
      <c r="C1" s="3"/>
      <c r="D1" s="3"/>
      <c r="E1" s="3"/>
      <c r="F1" s="3"/>
    </row>
    <row r="2" spans="1:6">
      <c r="B2">
        <v>0</v>
      </c>
      <c r="C2">
        <v>1</v>
      </c>
    </row>
    <row r="3" spans="1:6">
      <c r="A3">
        <v>0</v>
      </c>
      <c r="B3">
        <v>0.9</v>
      </c>
      <c r="C3">
        <v>0.1</v>
      </c>
    </row>
    <row r="4" spans="1:6">
      <c r="A4">
        <v>1</v>
      </c>
      <c r="B4">
        <v>0.3</v>
      </c>
      <c r="C4">
        <v>0.7</v>
      </c>
    </row>
    <row r="6" spans="1:6">
      <c r="E6">
        <v>0</v>
      </c>
      <c r="F6">
        <v>1</v>
      </c>
    </row>
    <row r="7" spans="1:6">
      <c r="A7">
        <v>0</v>
      </c>
      <c r="B7">
        <v>0.9</v>
      </c>
      <c r="C7">
        <v>0.1</v>
      </c>
      <c r="D7" s="1" t="s">
        <v>0</v>
      </c>
      <c r="E7">
        <v>0.9</v>
      </c>
      <c r="F7">
        <v>0.1</v>
      </c>
    </row>
    <row r="8" spans="1:6">
      <c r="A8">
        <v>1</v>
      </c>
      <c r="B8">
        <v>0.3</v>
      </c>
      <c r="C8">
        <v>0.7</v>
      </c>
      <c r="E8">
        <v>0.3</v>
      </c>
      <c r="F8">
        <v>0.7</v>
      </c>
    </row>
    <row r="10" spans="1:6">
      <c r="A10">
        <v>0</v>
      </c>
      <c r="B10">
        <f>B7*E7+C7*E8</f>
        <v>0.84000000000000008</v>
      </c>
      <c r="C10">
        <f>B7*F7+C7*F8</f>
        <v>0.16</v>
      </c>
      <c r="E10">
        <f>+B10</f>
        <v>0.84000000000000008</v>
      </c>
      <c r="F10">
        <f>+C10</f>
        <v>0.16</v>
      </c>
    </row>
    <row r="11" spans="1:6">
      <c r="A11">
        <v>1</v>
      </c>
      <c r="B11">
        <f>B8*E7+C8*E8</f>
        <v>0.48</v>
      </c>
      <c r="C11">
        <f>B8*F7+C8*F8</f>
        <v>0.51999999999999991</v>
      </c>
      <c r="E11">
        <f>+B11</f>
        <v>0.48</v>
      </c>
      <c r="F11">
        <f>+C11</f>
        <v>0.51999999999999991</v>
      </c>
    </row>
    <row r="13" spans="1:6">
      <c r="A13">
        <v>0</v>
      </c>
      <c r="B13" s="2" cm="1">
        <f t="array" ref="B13:C14">MMULT(B10:C11,E10:F11)</f>
        <v>0.7824000000000001</v>
      </c>
      <c r="C13" s="2">
        <v>0.21760000000000002</v>
      </c>
      <c r="E13" s="2" cm="1">
        <f t="array" ref="E13:F14">+B13:C14</f>
        <v>0.7824000000000001</v>
      </c>
      <c r="F13" s="2">
        <v>0.21760000000000002</v>
      </c>
    </row>
    <row r="14" spans="1:6">
      <c r="A14">
        <v>1</v>
      </c>
      <c r="B14" s="2">
        <v>0.65279999999999994</v>
      </c>
      <c r="C14" s="2">
        <v>0.3471999999999999</v>
      </c>
      <c r="E14" s="2">
        <v>0.65279999999999994</v>
      </c>
      <c r="F14" s="2">
        <v>0.3471999999999999</v>
      </c>
    </row>
    <row r="16" spans="1:6">
      <c r="A16">
        <v>0</v>
      </c>
      <c r="B16" s="2" cm="1">
        <f t="array" ref="B16:C17">MMULT(_xlfn.ANCHORARRAY(B13),_xlfn.ANCHORARRAY(E13))</f>
        <v>0.75419904000000004</v>
      </c>
      <c r="C16" s="2">
        <v>0.24580096000000001</v>
      </c>
      <c r="E16" s="2">
        <f>+B16</f>
        <v>0.75419904000000004</v>
      </c>
      <c r="F16" s="2">
        <f>+C16</f>
        <v>0.24580096000000001</v>
      </c>
    </row>
    <row r="17" spans="1:6">
      <c r="A17">
        <v>1</v>
      </c>
      <c r="B17" s="2">
        <v>0.73740287999999987</v>
      </c>
      <c r="C17" s="2">
        <v>0.26259711999999991</v>
      </c>
      <c r="E17" s="2">
        <f>+B17</f>
        <v>0.73740287999999987</v>
      </c>
      <c r="F17" s="2">
        <f>+C17</f>
        <v>0.26259711999999991</v>
      </c>
    </row>
    <row r="19" spans="1:6">
      <c r="A19">
        <v>0</v>
      </c>
      <c r="B19" s="2" cm="1">
        <f t="array" ref="B19:C20">MMULT(_xlfn.ANCHORARRAY(B16),E16:F17)</f>
        <v>0.75007052774768646</v>
      </c>
      <c r="C19" s="2">
        <v>0.2499294722523136</v>
      </c>
      <c r="E19" s="2">
        <f>+B19</f>
        <v>0.75007052774768646</v>
      </c>
      <c r="F19" s="2">
        <f>+C19</f>
        <v>0.2499294722523136</v>
      </c>
    </row>
    <row r="20" spans="1:6">
      <c r="A20">
        <v>1</v>
      </c>
      <c r="B20" s="2">
        <v>0.74978841675694063</v>
      </c>
      <c r="C20" s="2">
        <v>0.25021158324305914</v>
      </c>
      <c r="E20" s="2">
        <f>+B20</f>
        <v>0.74978841675694063</v>
      </c>
      <c r="F20" s="2">
        <f>+C20</f>
        <v>0.25021158324305914</v>
      </c>
    </row>
    <row r="22" spans="1:6">
      <c r="A22">
        <v>0</v>
      </c>
      <c r="B22" s="2" cm="1">
        <f t="array" ref="B22:C23">MMULT(_xlfn.ANCHORARRAY(B19),E19:F20)</f>
        <v>0.75000001989665277</v>
      </c>
      <c r="C22" s="2">
        <v>0.24999998010334723</v>
      </c>
      <c r="E22" s="2">
        <f>+B22</f>
        <v>0.75000001989665277</v>
      </c>
      <c r="F22" s="2">
        <f>C22</f>
        <v>0.24999998010334723</v>
      </c>
    </row>
    <row r="23" spans="1:6">
      <c r="A23">
        <v>1</v>
      </c>
      <c r="B23" s="2">
        <v>0.74999994031004147</v>
      </c>
      <c r="C23" s="2">
        <v>0.25000005968995825</v>
      </c>
      <c r="E23" s="2">
        <f>+B23</f>
        <v>0.74999994031004147</v>
      </c>
      <c r="F23" s="2">
        <f>+C23</f>
        <v>0.25000005968995825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809C-52C1-4B2A-8C1C-ADDAB3C776C8}">
  <dimension ref="A1:H17"/>
  <sheetViews>
    <sheetView workbookViewId="0">
      <selection activeCell="E15" sqref="E15"/>
    </sheetView>
  </sheetViews>
  <sheetFormatPr baseColWidth="10" defaultRowHeight="12.5"/>
  <cols>
    <col min="1" max="1" width="14.81640625" customWidth="1"/>
  </cols>
  <sheetData>
    <row r="1" spans="1:8">
      <c r="B1" t="s">
        <v>2</v>
      </c>
      <c r="C1" t="s">
        <v>3</v>
      </c>
      <c r="D1" t="s">
        <v>4</v>
      </c>
    </row>
    <row r="2" spans="1:8">
      <c r="A2" t="s">
        <v>2</v>
      </c>
      <c r="B2">
        <v>0.1</v>
      </c>
      <c r="C2">
        <v>0.3</v>
      </c>
      <c r="D2">
        <v>0.6</v>
      </c>
      <c r="F2">
        <v>0.1</v>
      </c>
      <c r="G2">
        <v>0.3</v>
      </c>
      <c r="H2">
        <v>0.6</v>
      </c>
    </row>
    <row r="3" spans="1:8">
      <c r="A3" t="s">
        <v>3</v>
      </c>
      <c r="B3">
        <v>0.2</v>
      </c>
      <c r="C3">
        <v>0.2</v>
      </c>
      <c r="D3">
        <v>0.6</v>
      </c>
      <c r="F3">
        <v>0.2</v>
      </c>
      <c r="G3">
        <v>0.2</v>
      </c>
      <c r="H3">
        <v>0.6</v>
      </c>
    </row>
    <row r="4" spans="1:8">
      <c r="A4" t="s">
        <v>4</v>
      </c>
      <c r="B4">
        <v>0.2</v>
      </c>
      <c r="C4">
        <v>0.4</v>
      </c>
      <c r="D4">
        <v>0.4</v>
      </c>
      <c r="F4">
        <v>0.2</v>
      </c>
      <c r="G4">
        <v>0.4</v>
      </c>
      <c r="H4">
        <v>0.4</v>
      </c>
    </row>
    <row r="7" spans="1:8" ht="13">
      <c r="A7" s="8" t="s">
        <v>5</v>
      </c>
      <c r="B7" s="7" cm="1">
        <f t="array" ref="B7:D9">MMULT(B2:D4,F2:H4)</f>
        <v>0.19</v>
      </c>
      <c r="C7" s="7">
        <v>0.32999999999999996</v>
      </c>
      <c r="D7" s="7">
        <v>0.48</v>
      </c>
      <c r="F7">
        <v>0.1</v>
      </c>
      <c r="G7">
        <v>0.3</v>
      </c>
      <c r="H7">
        <v>0.6</v>
      </c>
    </row>
    <row r="8" spans="1:8">
      <c r="B8" s="7">
        <v>0.18</v>
      </c>
      <c r="C8" s="7">
        <v>0.33999999999999997</v>
      </c>
      <c r="D8" s="7">
        <v>0.48</v>
      </c>
      <c r="F8">
        <v>0.2</v>
      </c>
      <c r="G8">
        <v>0.2</v>
      </c>
      <c r="H8">
        <v>0.6</v>
      </c>
    </row>
    <row r="9" spans="1:8">
      <c r="B9" s="7">
        <v>0.18000000000000005</v>
      </c>
      <c r="C9" s="7">
        <v>0.30000000000000004</v>
      </c>
      <c r="D9" s="7">
        <v>0.52</v>
      </c>
      <c r="F9">
        <v>0.2</v>
      </c>
      <c r="G9">
        <v>0.4</v>
      </c>
      <c r="H9">
        <v>0.4</v>
      </c>
    </row>
    <row r="11" spans="1:8" ht="13">
      <c r="A11" s="8" t="s">
        <v>6</v>
      </c>
      <c r="B11" s="6" cm="1">
        <f t="array" ref="B11:D13">MMULT(_xlfn.ANCHORARRAY(B7),F7:H9)</f>
        <v>0.18099999999999999</v>
      </c>
      <c r="C11" s="6">
        <v>0.315</v>
      </c>
      <c r="D11" s="6">
        <v>0.504</v>
      </c>
      <c r="F11" s="2">
        <v>0.1</v>
      </c>
      <c r="G11" s="2">
        <v>0.3</v>
      </c>
      <c r="H11" s="2">
        <v>0.6</v>
      </c>
    </row>
    <row r="12" spans="1:8">
      <c r="B12" s="6">
        <v>0.182</v>
      </c>
      <c r="C12" s="6">
        <v>0.314</v>
      </c>
      <c r="D12" s="6">
        <v>0.504</v>
      </c>
      <c r="F12" s="2">
        <v>0.2</v>
      </c>
      <c r="G12" s="2">
        <v>0.2</v>
      </c>
      <c r="H12" s="2">
        <v>0.6</v>
      </c>
    </row>
    <row r="13" spans="1:8">
      <c r="B13" s="6">
        <v>0.18200000000000002</v>
      </c>
      <c r="C13" s="6">
        <v>0.32200000000000006</v>
      </c>
      <c r="D13" s="6">
        <v>0.49600000000000005</v>
      </c>
      <c r="F13" s="2">
        <v>0.2</v>
      </c>
      <c r="G13" s="2">
        <v>0.4</v>
      </c>
      <c r="H13" s="2">
        <v>0.4</v>
      </c>
    </row>
    <row r="15" spans="1:8" ht="13">
      <c r="A15" s="8" t="s">
        <v>7</v>
      </c>
      <c r="B15" s="6" cm="1">
        <f t="array" ref="B15:D17">MMULT(_xlfn.ANCHORARRAY(B11),F11:H13)</f>
        <v>0.18190000000000001</v>
      </c>
      <c r="C15" s="6">
        <v>0.31889999999999996</v>
      </c>
      <c r="D15" s="6">
        <v>0.49919999999999998</v>
      </c>
    </row>
    <row r="16" spans="1:8">
      <c r="B16" s="6">
        <v>0.18180000000000002</v>
      </c>
      <c r="C16" s="6">
        <v>0.31900000000000001</v>
      </c>
      <c r="D16" s="6">
        <v>0.49919999999999998</v>
      </c>
    </row>
    <row r="17" spans="2:4">
      <c r="B17" s="6">
        <v>0.18180000000000002</v>
      </c>
      <c r="C17" s="6">
        <v>0.31740000000000002</v>
      </c>
      <c r="D17" s="6">
        <v>0.50080000000000013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889C-4E87-4BAD-9139-303FCB162F74}">
  <dimension ref="A1:L13"/>
  <sheetViews>
    <sheetView workbookViewId="0">
      <selection activeCell="F19" sqref="F19"/>
    </sheetView>
  </sheetViews>
  <sheetFormatPr baseColWidth="10" defaultRowHeight="12.5"/>
  <cols>
    <col min="2" max="2" width="11.7265625" bestFit="1" customWidth="1"/>
  </cols>
  <sheetData>
    <row r="1" spans="1:12" ht="13">
      <c r="A1" s="8"/>
      <c r="B1" s="8">
        <v>0</v>
      </c>
      <c r="C1" s="8">
        <v>1</v>
      </c>
      <c r="D1" s="8">
        <v>2</v>
      </c>
      <c r="E1" s="8">
        <v>3</v>
      </c>
      <c r="F1" s="8">
        <v>4</v>
      </c>
    </row>
    <row r="2" spans="1:12" ht="13">
      <c r="A2" s="8">
        <v>0</v>
      </c>
      <c r="B2">
        <v>1</v>
      </c>
      <c r="C2">
        <v>0</v>
      </c>
      <c r="D2">
        <v>0</v>
      </c>
      <c r="E2">
        <v>0</v>
      </c>
      <c r="F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 ht="13">
      <c r="A3" s="8">
        <v>1</v>
      </c>
      <c r="B3">
        <v>0.5</v>
      </c>
      <c r="C3">
        <v>0</v>
      </c>
      <c r="D3">
        <v>0.5</v>
      </c>
      <c r="E3">
        <v>0</v>
      </c>
      <c r="F3">
        <v>0</v>
      </c>
      <c r="H3">
        <v>0.5</v>
      </c>
      <c r="I3">
        <v>0</v>
      </c>
      <c r="J3">
        <v>0.5</v>
      </c>
      <c r="K3">
        <v>0</v>
      </c>
      <c r="L3">
        <v>0</v>
      </c>
    </row>
    <row r="4" spans="1:12" ht="13">
      <c r="A4" s="8">
        <v>2</v>
      </c>
      <c r="B4">
        <v>0</v>
      </c>
      <c r="C4">
        <v>0.5</v>
      </c>
      <c r="D4">
        <v>0</v>
      </c>
      <c r="E4">
        <v>0.5</v>
      </c>
      <c r="F4">
        <v>0</v>
      </c>
      <c r="H4">
        <v>0</v>
      </c>
      <c r="I4">
        <v>0.5</v>
      </c>
      <c r="J4">
        <v>0</v>
      </c>
      <c r="K4">
        <v>0.5</v>
      </c>
      <c r="L4">
        <v>0</v>
      </c>
    </row>
    <row r="5" spans="1:12" ht="13">
      <c r="A5" s="8">
        <v>3</v>
      </c>
      <c r="B5">
        <v>0</v>
      </c>
      <c r="C5">
        <v>0</v>
      </c>
      <c r="D5">
        <v>0.5</v>
      </c>
      <c r="E5">
        <v>0</v>
      </c>
      <c r="F5">
        <v>0.5</v>
      </c>
      <c r="H5">
        <v>0</v>
      </c>
      <c r="I5">
        <v>0</v>
      </c>
      <c r="J5">
        <v>0.5</v>
      </c>
      <c r="K5">
        <v>0</v>
      </c>
      <c r="L5">
        <v>0.5</v>
      </c>
    </row>
    <row r="6" spans="1:12" ht="13">
      <c r="A6" s="8">
        <v>4</v>
      </c>
      <c r="B6">
        <v>0</v>
      </c>
      <c r="C6">
        <v>0</v>
      </c>
      <c r="D6">
        <v>0</v>
      </c>
      <c r="E6">
        <v>0</v>
      </c>
      <c r="F6">
        <v>1</v>
      </c>
      <c r="H6">
        <v>0</v>
      </c>
      <c r="I6">
        <v>0</v>
      </c>
      <c r="J6">
        <v>0</v>
      </c>
      <c r="K6">
        <v>0</v>
      </c>
      <c r="L6">
        <v>1</v>
      </c>
    </row>
    <row r="9" spans="1:12">
      <c r="B9" cm="1">
        <f t="array" ref="B9:F13">MMULT(B2:F6,H2:L6)</f>
        <v>1</v>
      </c>
      <c r="C9">
        <v>0</v>
      </c>
      <c r="D9">
        <v>0</v>
      </c>
      <c r="E9">
        <v>0</v>
      </c>
      <c r="F9">
        <v>0</v>
      </c>
    </row>
    <row r="10" spans="1:12">
      <c r="B10">
        <v>0.5</v>
      </c>
      <c r="C10">
        <v>0.25</v>
      </c>
      <c r="D10">
        <v>0</v>
      </c>
      <c r="E10">
        <v>0.25</v>
      </c>
      <c r="F10">
        <v>0</v>
      </c>
    </row>
    <row r="11" spans="1:12" ht="13">
      <c r="B11" s="8">
        <v>0.25</v>
      </c>
      <c r="C11" s="8">
        <v>0</v>
      </c>
      <c r="D11" s="8">
        <v>0.5</v>
      </c>
      <c r="E11" s="8">
        <v>0</v>
      </c>
      <c r="F11" s="8">
        <v>0.25</v>
      </c>
    </row>
    <row r="12" spans="1:12">
      <c r="B12">
        <v>0</v>
      </c>
      <c r="C12">
        <v>0.25</v>
      </c>
      <c r="D12">
        <v>0</v>
      </c>
      <c r="E12">
        <v>0.25</v>
      </c>
      <c r="F12">
        <v>0.5</v>
      </c>
    </row>
    <row r="13" spans="1:12">
      <c r="B13">
        <v>0</v>
      </c>
      <c r="C13">
        <v>0</v>
      </c>
      <c r="D13">
        <v>0</v>
      </c>
      <c r="E13">
        <v>0</v>
      </c>
      <c r="F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BE79-2C8F-4789-B1B3-768F718E7FE5}">
  <dimension ref="A1:K16"/>
  <sheetViews>
    <sheetView tabSelected="1" workbookViewId="0">
      <selection activeCell="E21" sqref="E21"/>
    </sheetView>
  </sheetViews>
  <sheetFormatPr baseColWidth="10" defaultRowHeight="12.5"/>
  <cols>
    <col min="2" max="2" width="11.453125" customWidth="1"/>
  </cols>
  <sheetData>
    <row r="1" spans="1:11">
      <c r="B1" t="s">
        <v>8</v>
      </c>
      <c r="C1" t="s">
        <v>9</v>
      </c>
      <c r="D1" t="s">
        <v>10</v>
      </c>
    </row>
    <row r="2" spans="1:11">
      <c r="A2" t="s">
        <v>8</v>
      </c>
      <c r="B2">
        <v>0.8</v>
      </c>
      <c r="C2">
        <v>0.1</v>
      </c>
      <c r="D2">
        <v>0.1</v>
      </c>
      <c r="G2">
        <v>0.8</v>
      </c>
      <c r="H2">
        <v>0.1</v>
      </c>
      <c r="I2">
        <v>0.1</v>
      </c>
    </row>
    <row r="3" spans="1:11">
      <c r="A3" t="s">
        <v>9</v>
      </c>
      <c r="B3">
        <v>0.05</v>
      </c>
      <c r="C3">
        <v>0.85</v>
      </c>
      <c r="D3">
        <v>0.1</v>
      </c>
      <c r="G3">
        <v>0.05</v>
      </c>
      <c r="H3">
        <v>0.85</v>
      </c>
      <c r="I3">
        <v>0.1</v>
      </c>
    </row>
    <row r="4" spans="1:11">
      <c r="A4" t="s">
        <v>10</v>
      </c>
      <c r="B4">
        <v>0.1</v>
      </c>
      <c r="C4">
        <v>0.2</v>
      </c>
      <c r="D4">
        <v>0.7</v>
      </c>
      <c r="G4">
        <v>0.1</v>
      </c>
      <c r="H4">
        <v>0.2</v>
      </c>
      <c r="I4">
        <v>0.7</v>
      </c>
    </row>
    <row r="6" spans="1:11">
      <c r="A6" t="s">
        <v>8</v>
      </c>
      <c r="B6" s="5" cm="1">
        <f t="array" ref="B6:D8">MMULT(B2:D4,G2:I4)</f>
        <v>0.65500000000000014</v>
      </c>
      <c r="C6" s="5">
        <v>0.18500000000000005</v>
      </c>
      <c r="D6" s="5">
        <v>0.16000000000000003</v>
      </c>
      <c r="G6" t="s">
        <v>8</v>
      </c>
      <c r="H6" t="s">
        <v>9</v>
      </c>
      <c r="I6" t="s">
        <v>10</v>
      </c>
    </row>
    <row r="7" spans="1:11" ht="13">
      <c r="A7" s="9" t="s">
        <v>9</v>
      </c>
      <c r="B7" s="10">
        <v>9.2500000000000027E-2</v>
      </c>
      <c r="C7" s="10">
        <v>0.74749999999999994</v>
      </c>
      <c r="D7" s="10">
        <v>0.16</v>
      </c>
      <c r="F7" t="s">
        <v>12</v>
      </c>
      <c r="G7">
        <v>0</v>
      </c>
      <c r="H7">
        <v>1</v>
      </c>
      <c r="I7">
        <v>0</v>
      </c>
      <c r="K7" s="8" t="s">
        <v>11</v>
      </c>
    </row>
    <row r="8" spans="1:11">
      <c r="A8" t="s">
        <v>10</v>
      </c>
      <c r="B8" s="5">
        <v>0.16000000000000003</v>
      </c>
      <c r="C8" s="5">
        <v>0.32</v>
      </c>
      <c r="D8" s="5">
        <v>0.51999999999999991</v>
      </c>
    </row>
    <row r="10" spans="1:11">
      <c r="A10" t="s">
        <v>8</v>
      </c>
      <c r="B10">
        <v>0.8</v>
      </c>
      <c r="C10">
        <v>0.1</v>
      </c>
      <c r="D10">
        <v>0.1</v>
      </c>
      <c r="G10" t="s">
        <v>8</v>
      </c>
      <c r="H10" t="s">
        <v>9</v>
      </c>
      <c r="I10" t="s">
        <v>10</v>
      </c>
    </row>
    <row r="11" spans="1:11">
      <c r="A11" t="s">
        <v>9</v>
      </c>
      <c r="B11">
        <v>0.05</v>
      </c>
      <c r="C11">
        <v>0.85</v>
      </c>
      <c r="D11">
        <v>0.1</v>
      </c>
      <c r="F11" t="s">
        <v>13</v>
      </c>
      <c r="G11">
        <v>0.25</v>
      </c>
      <c r="H11">
        <v>0.35</v>
      </c>
      <c r="I11">
        <v>0.4</v>
      </c>
    </row>
    <row r="12" spans="1:11">
      <c r="A12" t="s">
        <v>10</v>
      </c>
      <c r="B12">
        <v>0.1</v>
      </c>
      <c r="C12">
        <v>0.2</v>
      </c>
      <c r="D12">
        <v>0.7</v>
      </c>
    </row>
    <row r="14" spans="1:11">
      <c r="B14" s="4"/>
      <c r="C14" s="4"/>
      <c r="D14" s="4"/>
    </row>
    <row r="15" spans="1:11">
      <c r="B15" s="4"/>
      <c r="C15" s="4"/>
      <c r="D15" s="4"/>
    </row>
    <row r="16" spans="1:11">
      <c r="B16" s="4"/>
      <c r="C16" s="4"/>
      <c r="D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Línea Telefónica</vt:lpstr>
      <vt:lpstr>Ciudades</vt:lpstr>
      <vt:lpstr>Consecionarias</vt:lpstr>
      <vt:lpstr>Autos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Atlas</dc:creator>
  <cp:lastModifiedBy>Ximena Atlas</cp:lastModifiedBy>
  <dcterms:created xsi:type="dcterms:W3CDTF">2024-06-15T21:44:59Z</dcterms:created>
  <dcterms:modified xsi:type="dcterms:W3CDTF">2024-06-17T16:58:51Z</dcterms:modified>
</cp:coreProperties>
</file>