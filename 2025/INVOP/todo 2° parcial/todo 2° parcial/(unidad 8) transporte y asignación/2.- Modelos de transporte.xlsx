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heckCompatibility="1" defaultThemeVersion="124226"/>
  <bookViews>
    <workbookView xWindow="120" yWindow="60" windowWidth="19440" windowHeight="8475" activeTab="1"/>
  </bookViews>
  <sheets>
    <sheet name="Noroeste" sheetId="2" r:id="rId1"/>
    <sheet name="Costos Minimos" sheetId="3" r:id="rId2"/>
    <sheet name="Vogel" sheetId="4" r:id="rId3"/>
  </sheets>
  <calcPr calcId="145621"/>
</workbook>
</file>

<file path=xl/calcChain.xml><?xml version="1.0" encoding="utf-8"?>
<calcChain xmlns="http://schemas.openxmlformats.org/spreadsheetml/2006/main">
  <c r="G38" i="2" l="1"/>
  <c r="K21" i="3"/>
  <c r="R21" i="3" s="1"/>
  <c r="I20" i="3"/>
  <c r="K20" i="3"/>
  <c r="R20" i="3" s="1"/>
  <c r="J20" i="3"/>
  <c r="Q20" i="3" s="1"/>
  <c r="J21" i="3"/>
  <c r="I20" i="4"/>
  <c r="K21" i="4"/>
  <c r="K20" i="4"/>
  <c r="R20" i="4" s="1"/>
  <c r="J20" i="4"/>
  <c r="P20" i="4"/>
  <c r="R21" i="4"/>
  <c r="E38" i="4"/>
  <c r="F32" i="4"/>
  <c r="F31" i="4"/>
  <c r="E33" i="4"/>
  <c r="C33" i="4"/>
  <c r="F27" i="4"/>
  <c r="F26" i="4"/>
  <c r="E28" i="4"/>
  <c r="D28" i="4"/>
  <c r="C28" i="4"/>
  <c r="J21" i="4"/>
  <c r="Q21" i="4" s="1"/>
  <c r="I21" i="4"/>
  <c r="P21" i="4" s="1"/>
  <c r="Q20" i="4"/>
  <c r="H9" i="4"/>
  <c r="H5" i="4"/>
  <c r="I21" i="3"/>
  <c r="P21" i="3" s="1"/>
  <c r="H9" i="3"/>
  <c r="H5" i="3"/>
  <c r="I47" i="2"/>
  <c r="P47" i="2" s="1"/>
  <c r="I48" i="2"/>
  <c r="P48" i="2" s="1"/>
  <c r="K48" i="2"/>
  <c r="R48" i="2" s="1"/>
  <c r="K47" i="2"/>
  <c r="R47" i="2" s="1"/>
  <c r="J47" i="2"/>
  <c r="Q47" i="2" s="1"/>
  <c r="C48" i="2"/>
  <c r="E48" i="2"/>
  <c r="D47" i="2"/>
  <c r="J48" i="2"/>
  <c r="Q48" i="2" s="1"/>
  <c r="Q41" i="2"/>
  <c r="Q36" i="2"/>
  <c r="P35" i="2"/>
  <c r="J36" i="2"/>
  <c r="K36" i="2"/>
  <c r="R36" i="2" s="1"/>
  <c r="I36" i="2"/>
  <c r="P36" i="2" s="1"/>
  <c r="J35" i="2"/>
  <c r="Q35" i="2" s="1"/>
  <c r="I35" i="2"/>
  <c r="K35" i="2"/>
  <c r="R35" i="2" s="1"/>
  <c r="C35" i="2"/>
  <c r="D35" i="2"/>
  <c r="K21" i="2"/>
  <c r="R21" i="2" s="1"/>
  <c r="J21" i="2"/>
  <c r="Q21" i="2" s="1"/>
  <c r="J20" i="2"/>
  <c r="Q20" i="2" s="1"/>
  <c r="I20" i="2"/>
  <c r="G23" i="2" s="1"/>
  <c r="K20" i="2"/>
  <c r="R20" i="2" s="1"/>
  <c r="I21" i="2"/>
  <c r="P21" i="2" s="1"/>
  <c r="H9" i="2"/>
  <c r="H5" i="2"/>
  <c r="G50" i="2" l="1"/>
  <c r="G23" i="4"/>
  <c r="G23" i="3"/>
  <c r="Q21" i="3"/>
  <c r="P20" i="3"/>
  <c r="P20" i="2"/>
</calcChain>
</file>

<file path=xl/sharedStrings.xml><?xml version="1.0" encoding="utf-8"?>
<sst xmlns="http://schemas.openxmlformats.org/spreadsheetml/2006/main" count="96" uniqueCount="37">
  <si>
    <t>¿Con qué cantidad se debe confeccionar la orden de compra a cada depósito para que el costo total del pedido sea el mínimo, sabiendo que la siguiente matriz representa los costos (del producto y del transporte hasta destino final) para cada una de las opciones?</t>
  </si>
  <si>
    <t>Supuesto: todos los productos tienen las mismas especificaciones de calidad requeridas por el cliente.</t>
  </si>
  <si>
    <t>Z</t>
  </si>
  <si>
    <t>Si las cantidades requeridas en cada distribuidor son:</t>
  </si>
  <si>
    <t>Distribuidor 1</t>
  </si>
  <si>
    <t>Distribuidor 2</t>
  </si>
  <si>
    <t>Distribuidor 3</t>
  </si>
  <si>
    <t>Y el stock disponible en cada fábrica es:</t>
  </si>
  <si>
    <t>Fábrica 1</t>
  </si>
  <si>
    <t>Fábrica 2</t>
  </si>
  <si>
    <t>F1</t>
  </si>
  <si>
    <t>F2</t>
  </si>
  <si>
    <t>D1</t>
  </si>
  <si>
    <t>D2</t>
  </si>
  <si>
    <t>D3</t>
  </si>
  <si>
    <t>Demanda</t>
  </si>
  <si>
    <t>Oferta</t>
  </si>
  <si>
    <t>Paso 1: Construyo tabla de ofertas y demandas</t>
  </si>
  <si>
    <t>Paso 2: Calculo del Zij</t>
  </si>
  <si>
    <t>Paso 3: Calculo del Zij-Cij. Elección de pivote</t>
  </si>
  <si>
    <t>Paso 4: Selecciono Tita</t>
  </si>
  <si>
    <t>θ</t>
  </si>
  <si>
    <t>θ =</t>
  </si>
  <si>
    <t>Paso 5: Actualizo ofertas y demandas</t>
  </si>
  <si>
    <t>2 fábricas envían su producto a 3 distribuidores.</t>
  </si>
  <si>
    <t>350-θ</t>
  </si>
  <si>
    <t>170-θ</t>
  </si>
  <si>
    <t>450+θ</t>
  </si>
  <si>
    <t>330-θ</t>
  </si>
  <si>
    <t>170+θ</t>
  </si>
  <si>
    <t>180-θ</t>
  </si>
  <si>
    <t>Respuesta</t>
  </si>
  <si>
    <t>-</t>
  </si>
  <si>
    <t>a.-</t>
  </si>
  <si>
    <t>Diferencia</t>
  </si>
  <si>
    <t>b.-</t>
  </si>
  <si>
    <t>c.-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</si>
</sst>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8"/>
      <name val="Arial"/>
    </font>
    <font>
      <sz val="10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0" xfId="0" applyAlignment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2"/>
  <sheetViews>
    <sheetView showGridLines="0" topLeftCell="H29" workbookViewId="0">
      <selection activeCell="W48" sqref="W48"/>
    </sheetView>
  </sheetViews>
  <sheetFormatPr baseColWidth="10" defaultRowHeight="12.75" x14ac:dyDescent="0.2"/>
  <cols>
    <col min="2" max="3" width="7.5703125" customWidth="1"/>
    <col min="4" max="8" width="11.85546875" bestFit="1" customWidth="1"/>
    <col min="9" max="9" width="7.5703125" customWidth="1"/>
    <col min="10" max="10" width="8.85546875" bestFit="1" customWidth="1"/>
    <col min="11" max="12" width="7.5703125" style="3" customWidth="1"/>
    <col min="13" max="16" width="7.5703125" customWidth="1"/>
    <col min="17" max="17" width="6.42578125" customWidth="1"/>
    <col min="18" max="19" width="11.42578125" style="4"/>
  </cols>
  <sheetData>
    <row r="2" spans="2:15" x14ac:dyDescent="0.2">
      <c r="B2" s="15" t="s">
        <v>24</v>
      </c>
    </row>
    <row r="3" spans="2:15" x14ac:dyDescent="0.2">
      <c r="B3" t="s">
        <v>3</v>
      </c>
    </row>
    <row r="4" spans="2:15" x14ac:dyDescent="0.2">
      <c r="D4" s="2" t="s">
        <v>4</v>
      </c>
      <c r="E4" s="2" t="s">
        <v>5</v>
      </c>
      <c r="F4" s="2" t="s">
        <v>6</v>
      </c>
      <c r="G4" s="8"/>
      <c r="H4" s="9" t="s">
        <v>15</v>
      </c>
    </row>
    <row r="5" spans="2:15" x14ac:dyDescent="0.2">
      <c r="D5" s="2">
        <v>350</v>
      </c>
      <c r="E5" s="2">
        <v>620</v>
      </c>
      <c r="F5" s="2">
        <v>330</v>
      </c>
      <c r="G5" s="8"/>
      <c r="H5" s="2">
        <f>SUM(D5:F5)</f>
        <v>1300</v>
      </c>
    </row>
    <row r="7" spans="2:15" x14ac:dyDescent="0.2">
      <c r="B7" t="s">
        <v>7</v>
      </c>
    </row>
    <row r="8" spans="2:15" x14ac:dyDescent="0.2">
      <c r="D8" s="2" t="s">
        <v>8</v>
      </c>
      <c r="E8" s="2" t="s">
        <v>9</v>
      </c>
      <c r="F8" s="8"/>
      <c r="H8" s="2" t="s">
        <v>16</v>
      </c>
    </row>
    <row r="9" spans="2:15" x14ac:dyDescent="0.2">
      <c r="D9" s="2">
        <v>800</v>
      </c>
      <c r="E9" s="2">
        <v>500</v>
      </c>
      <c r="F9" s="8"/>
      <c r="H9" s="2">
        <f>SUM(D9:F9)</f>
        <v>1300</v>
      </c>
    </row>
    <row r="11" spans="2:15" ht="43.5" customHeight="1" x14ac:dyDescent="0.2">
      <c r="B11" s="27" t="s">
        <v>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5" x14ac:dyDescent="0.2">
      <c r="C12" s="1" t="s">
        <v>12</v>
      </c>
      <c r="D12" s="1" t="s">
        <v>13</v>
      </c>
      <c r="E12" s="1" t="s">
        <v>14</v>
      </c>
      <c r="F12" s="8"/>
      <c r="G12" s="8"/>
    </row>
    <row r="13" spans="2:15" x14ac:dyDescent="0.2">
      <c r="B13" s="1" t="s">
        <v>10</v>
      </c>
      <c r="C13" s="2">
        <v>35</v>
      </c>
      <c r="D13" s="2">
        <v>40</v>
      </c>
      <c r="E13" s="2">
        <v>28</v>
      </c>
      <c r="F13" s="8"/>
      <c r="G13" s="8"/>
    </row>
    <row r="14" spans="2:15" x14ac:dyDescent="0.2">
      <c r="B14" s="1" t="s">
        <v>11</v>
      </c>
      <c r="C14" s="2">
        <v>32</v>
      </c>
      <c r="D14" s="2">
        <v>43</v>
      </c>
      <c r="E14" s="2">
        <v>31</v>
      </c>
      <c r="F14" s="8"/>
      <c r="G14" s="8"/>
    </row>
    <row r="15" spans="2:15" x14ac:dyDescent="0.2">
      <c r="B15" s="1"/>
      <c r="C15" s="8"/>
      <c r="D15" s="8"/>
      <c r="E15" s="8"/>
      <c r="F15" s="8"/>
      <c r="G15" s="8"/>
    </row>
    <row r="16" spans="2:15" x14ac:dyDescent="0.2">
      <c r="B16" t="s">
        <v>1</v>
      </c>
    </row>
    <row r="18" spans="1:20" x14ac:dyDescent="0.2">
      <c r="A18" s="6"/>
      <c r="B18" s="25" t="s">
        <v>17</v>
      </c>
      <c r="C18" s="25"/>
      <c r="D18" s="25"/>
      <c r="E18" s="25"/>
      <c r="F18" s="25"/>
      <c r="H18" s="25" t="s">
        <v>18</v>
      </c>
      <c r="I18" s="25"/>
      <c r="J18" s="25"/>
      <c r="K18" s="25"/>
      <c r="L18" s="25"/>
      <c r="M18" s="25"/>
      <c r="O18" s="25" t="s">
        <v>19</v>
      </c>
      <c r="P18" s="25"/>
      <c r="Q18" s="25"/>
      <c r="R18" s="25"/>
      <c r="S18" s="25"/>
      <c r="T18" s="25"/>
    </row>
    <row r="19" spans="1:20" x14ac:dyDescent="0.2">
      <c r="B19" s="1"/>
      <c r="C19" s="1">
        <v>350</v>
      </c>
      <c r="D19" s="1">
        <v>620</v>
      </c>
      <c r="E19" s="1">
        <v>330</v>
      </c>
      <c r="F19" s="8"/>
      <c r="K19"/>
      <c r="L19"/>
      <c r="M19" s="3"/>
      <c r="N19" s="3"/>
      <c r="R19"/>
      <c r="S19"/>
      <c r="T19" s="4"/>
    </row>
    <row r="20" spans="1:20" x14ac:dyDescent="0.2">
      <c r="B20" s="1">
        <v>800</v>
      </c>
      <c r="C20" s="2">
        <v>350</v>
      </c>
      <c r="D20" s="2">
        <v>450</v>
      </c>
      <c r="E20" s="2"/>
      <c r="F20" s="8"/>
      <c r="H20" s="7"/>
      <c r="I20" s="10">
        <f>C13</f>
        <v>35</v>
      </c>
      <c r="J20" s="10">
        <f>D13</f>
        <v>40</v>
      </c>
      <c r="K20" s="9">
        <f>K22+L20</f>
        <v>28</v>
      </c>
      <c r="L20" s="7">
        <v>20</v>
      </c>
      <c r="M20" s="3"/>
      <c r="N20" s="3"/>
      <c r="O20" s="7"/>
      <c r="P20" s="9">
        <f t="shared" ref="P20:R21" si="0">I20-C13</f>
        <v>0</v>
      </c>
      <c r="Q20" s="9">
        <f t="shared" si="0"/>
        <v>0</v>
      </c>
      <c r="R20" s="9">
        <f t="shared" si="0"/>
        <v>0</v>
      </c>
      <c r="S20" s="7"/>
      <c r="T20" s="4"/>
    </row>
    <row r="21" spans="1:20" x14ac:dyDescent="0.2">
      <c r="B21" s="1">
        <v>500</v>
      </c>
      <c r="C21" s="2"/>
      <c r="D21" s="2">
        <v>170</v>
      </c>
      <c r="E21" s="2">
        <v>330</v>
      </c>
      <c r="F21" s="8"/>
      <c r="H21" s="7"/>
      <c r="I21" s="9">
        <f>I22+L21</f>
        <v>38</v>
      </c>
      <c r="J21" s="10">
        <f>D14</f>
        <v>43</v>
      </c>
      <c r="K21" s="10">
        <f>E14</f>
        <v>31</v>
      </c>
      <c r="L21" s="7">
        <v>23</v>
      </c>
      <c r="M21" s="3"/>
      <c r="N21" s="3"/>
      <c r="O21" s="7"/>
      <c r="P21" s="11">
        <f t="shared" si="0"/>
        <v>6</v>
      </c>
      <c r="Q21" s="9">
        <f t="shared" si="0"/>
        <v>0</v>
      </c>
      <c r="R21" s="9">
        <f t="shared" si="0"/>
        <v>0</v>
      </c>
      <c r="S21" s="7"/>
    </row>
    <row r="22" spans="1:20" x14ac:dyDescent="0.2">
      <c r="B22" s="8"/>
      <c r="C22" s="8"/>
      <c r="D22" s="8"/>
      <c r="E22" s="8"/>
      <c r="F22" s="8"/>
      <c r="H22" s="7"/>
      <c r="I22" s="7">
        <v>15</v>
      </c>
      <c r="J22" s="7">
        <v>20</v>
      </c>
      <c r="K22" s="7">
        <v>8</v>
      </c>
      <c r="L22" s="7"/>
      <c r="M22" s="3"/>
      <c r="N22" s="3"/>
      <c r="O22" s="7"/>
      <c r="P22" s="7"/>
      <c r="Q22" s="7"/>
      <c r="R22" s="7"/>
      <c r="S22" s="7"/>
      <c r="T22" s="4"/>
    </row>
    <row r="23" spans="1:20" x14ac:dyDescent="0.2">
      <c r="B23" s="8"/>
      <c r="C23" s="8"/>
      <c r="D23" s="8"/>
      <c r="E23" s="8"/>
      <c r="F23" s="4" t="s">
        <v>2</v>
      </c>
      <c r="G23" s="5">
        <f>(C20*I20)+(D20*J20)+(D21*J21)+(E21*K21)</f>
        <v>47790</v>
      </c>
      <c r="H23" s="7"/>
      <c r="I23" s="7"/>
      <c r="J23" s="7"/>
      <c r="K23" s="7"/>
      <c r="L23" s="7"/>
      <c r="M23" s="3"/>
      <c r="N23" s="3"/>
      <c r="O23" s="7"/>
      <c r="P23" s="7"/>
      <c r="Q23" s="7"/>
      <c r="R23" s="7"/>
      <c r="S23" s="7"/>
      <c r="T23" s="4"/>
    </row>
    <row r="24" spans="1:20" x14ac:dyDescent="0.2">
      <c r="H24" s="1"/>
      <c r="I24" s="1"/>
      <c r="J24" s="1"/>
      <c r="K24" s="1"/>
      <c r="L24" s="1"/>
      <c r="M24" s="3"/>
      <c r="N24" s="3"/>
      <c r="R24"/>
      <c r="S24"/>
      <c r="T24" s="4"/>
    </row>
    <row r="25" spans="1:20" x14ac:dyDescent="0.2">
      <c r="K25"/>
      <c r="L25"/>
      <c r="M25" s="3"/>
      <c r="N25" s="6"/>
      <c r="O25" s="25" t="s">
        <v>20</v>
      </c>
      <c r="P25" s="25"/>
      <c r="Q25" s="25"/>
      <c r="R25" s="25"/>
      <c r="S25" s="25"/>
      <c r="T25" s="4"/>
    </row>
    <row r="26" spans="1:20" x14ac:dyDescent="0.2">
      <c r="B26" s="1"/>
      <c r="C26" s="1"/>
      <c r="D26" s="1"/>
      <c r="E26" s="1"/>
      <c r="F26" s="1"/>
      <c r="G26" s="1"/>
      <c r="H26" s="1"/>
      <c r="I26" s="1"/>
      <c r="J26" s="1"/>
      <c r="M26" s="1"/>
      <c r="N26" s="1"/>
      <c r="O26" s="1"/>
      <c r="P26" s="1">
        <v>350</v>
      </c>
      <c r="Q26" s="1">
        <v>620</v>
      </c>
      <c r="R26" s="1">
        <v>330</v>
      </c>
      <c r="S26" s="8"/>
    </row>
    <row r="27" spans="1:20" x14ac:dyDescent="0.2">
      <c r="B27" s="1"/>
      <c r="C27" s="1"/>
      <c r="D27" s="1"/>
      <c r="E27" s="1"/>
      <c r="F27" s="1"/>
      <c r="G27" s="1"/>
      <c r="H27" s="1"/>
      <c r="I27" s="1"/>
      <c r="J27" s="1"/>
      <c r="M27" s="1"/>
      <c r="N27" s="1"/>
      <c r="O27" s="1">
        <v>800</v>
      </c>
      <c r="P27" s="13" t="s">
        <v>25</v>
      </c>
      <c r="Q27" s="13" t="s">
        <v>27</v>
      </c>
      <c r="R27" s="2"/>
      <c r="S27" s="8"/>
    </row>
    <row r="28" spans="1:20" x14ac:dyDescent="0.2">
      <c r="B28" s="1"/>
      <c r="C28" s="1"/>
      <c r="D28" s="1"/>
      <c r="E28" s="1"/>
      <c r="F28" s="1"/>
      <c r="G28" s="1"/>
      <c r="H28" s="1"/>
      <c r="I28" s="1"/>
      <c r="J28" s="1"/>
      <c r="M28" s="1"/>
      <c r="N28" s="1"/>
      <c r="O28" s="1">
        <v>500</v>
      </c>
      <c r="P28" s="12" t="s">
        <v>21</v>
      </c>
      <c r="Q28" s="13" t="s">
        <v>26</v>
      </c>
      <c r="R28" s="2">
        <v>330</v>
      </c>
      <c r="S28" s="8"/>
    </row>
    <row r="29" spans="1:20" x14ac:dyDescent="0.2">
      <c r="B29" s="1"/>
      <c r="C29" s="1"/>
      <c r="D29" s="1"/>
      <c r="E29" s="1"/>
      <c r="F29" s="1"/>
      <c r="G29" s="1"/>
      <c r="H29" s="1"/>
      <c r="I29" s="1"/>
      <c r="J29" s="1"/>
      <c r="M29" s="1"/>
      <c r="N29" s="1"/>
      <c r="O29" s="8"/>
      <c r="P29" s="8"/>
      <c r="Q29" s="16"/>
      <c r="R29" s="8"/>
      <c r="S29" s="16"/>
    </row>
    <row r="30" spans="1:20" x14ac:dyDescent="0.2">
      <c r="B30" s="1"/>
      <c r="C30" s="1"/>
      <c r="D30" s="1"/>
      <c r="E30" s="1"/>
      <c r="F30" s="1"/>
      <c r="G30" s="1"/>
      <c r="H30" s="1"/>
      <c r="I30" s="1"/>
      <c r="J30" s="1"/>
      <c r="M30" s="1"/>
      <c r="N30" s="1"/>
      <c r="O30" s="17"/>
      <c r="P30" s="14" t="s">
        <v>22</v>
      </c>
      <c r="Q30" s="14">
        <v>170</v>
      </c>
      <c r="R30" s="8"/>
      <c r="S30" s="16"/>
    </row>
    <row r="31" spans="1:20" x14ac:dyDescent="0.2">
      <c r="B31" s="1"/>
      <c r="C31" s="1"/>
      <c r="D31" s="1"/>
      <c r="E31" s="1"/>
      <c r="F31" s="1"/>
      <c r="G31" s="1"/>
      <c r="H31" s="1"/>
      <c r="I31" s="1"/>
      <c r="J31" s="1"/>
      <c r="M31" s="1"/>
      <c r="N31" s="1"/>
      <c r="O31" s="1"/>
      <c r="P31" s="1"/>
      <c r="Q31" s="1"/>
    </row>
    <row r="32" spans="1:20" x14ac:dyDescent="0.2">
      <c r="A32" s="6"/>
      <c r="B32" s="24" t="s">
        <v>23</v>
      </c>
      <c r="C32" s="25"/>
      <c r="D32" s="25"/>
      <c r="E32" s="25"/>
      <c r="F32" s="25"/>
      <c r="G32" s="1"/>
      <c r="H32" s="1"/>
      <c r="I32" s="1"/>
      <c r="J32" s="1"/>
      <c r="M32" s="1"/>
      <c r="N32" s="1"/>
      <c r="O32" s="1"/>
      <c r="P32" s="1"/>
      <c r="Q32" s="1"/>
    </row>
    <row r="33" spans="2:18" x14ac:dyDescent="0.2">
      <c r="B33" s="1"/>
      <c r="C33" s="1"/>
      <c r="D33" s="1"/>
      <c r="E33" s="1"/>
      <c r="F33" s="1"/>
      <c r="G33" s="1"/>
      <c r="H33" s="1"/>
      <c r="I33" s="1"/>
      <c r="J33" s="1"/>
      <c r="M33" s="1"/>
      <c r="N33" s="1"/>
      <c r="O33" s="1"/>
      <c r="P33" s="1"/>
      <c r="Q33" s="1"/>
    </row>
    <row r="34" spans="2:18" x14ac:dyDescent="0.2">
      <c r="B34" s="1"/>
      <c r="C34" s="1">
        <v>350</v>
      </c>
      <c r="D34" s="1">
        <v>620</v>
      </c>
      <c r="E34" s="1">
        <v>330</v>
      </c>
      <c r="F34" s="1"/>
      <c r="G34" s="1"/>
      <c r="H34" s="1"/>
      <c r="I34" s="1"/>
      <c r="J34" s="1"/>
      <c r="M34" s="1"/>
      <c r="N34" s="1"/>
      <c r="O34" s="1"/>
      <c r="P34" s="1"/>
      <c r="Q34" s="1"/>
    </row>
    <row r="35" spans="2:18" x14ac:dyDescent="0.2">
      <c r="B35" s="1">
        <v>800</v>
      </c>
      <c r="C35" s="13">
        <f>350-170</f>
        <v>180</v>
      </c>
      <c r="D35" s="13">
        <f>450+170</f>
        <v>620</v>
      </c>
      <c r="E35" s="2"/>
      <c r="F35" s="1"/>
      <c r="G35" s="1"/>
      <c r="H35" s="1"/>
      <c r="I35" s="10">
        <f>C13</f>
        <v>35</v>
      </c>
      <c r="J35" s="10">
        <f>D13</f>
        <v>40</v>
      </c>
      <c r="K35" s="9">
        <f>K37+L35</f>
        <v>34</v>
      </c>
      <c r="L35" s="7">
        <v>20</v>
      </c>
      <c r="M35" s="1"/>
      <c r="N35" s="1"/>
      <c r="O35" s="1"/>
      <c r="P35" s="9">
        <f t="shared" ref="P35:R36" si="1">I35-C13</f>
        <v>0</v>
      </c>
      <c r="Q35" s="9">
        <f t="shared" si="1"/>
        <v>0</v>
      </c>
      <c r="R35" s="11">
        <f t="shared" si="1"/>
        <v>6</v>
      </c>
    </row>
    <row r="36" spans="2:18" x14ac:dyDescent="0.2">
      <c r="B36" s="1">
        <v>500</v>
      </c>
      <c r="C36" s="13">
        <v>170</v>
      </c>
      <c r="D36" s="13">
        <v>0</v>
      </c>
      <c r="E36" s="2">
        <v>330</v>
      </c>
      <c r="F36" s="1"/>
      <c r="G36" s="1"/>
      <c r="H36" s="1"/>
      <c r="I36" s="10">
        <f>C14</f>
        <v>32</v>
      </c>
      <c r="J36" s="9">
        <f>J37+L36</f>
        <v>37</v>
      </c>
      <c r="K36" s="10">
        <f>E14</f>
        <v>31</v>
      </c>
      <c r="L36" s="7">
        <v>17</v>
      </c>
      <c r="M36" s="1"/>
      <c r="N36" s="1"/>
      <c r="O36" s="1"/>
      <c r="P36" s="9">
        <f t="shared" si="1"/>
        <v>0</v>
      </c>
      <c r="Q36" s="9">
        <f t="shared" si="1"/>
        <v>-6</v>
      </c>
      <c r="R36" s="9">
        <f t="shared" si="1"/>
        <v>0</v>
      </c>
    </row>
    <row r="37" spans="2:18" x14ac:dyDescent="0.2">
      <c r="B37" s="1"/>
      <c r="C37" s="1"/>
      <c r="D37" s="1"/>
      <c r="E37" s="1"/>
      <c r="F37" s="1"/>
      <c r="G37" s="1"/>
      <c r="H37" s="1"/>
      <c r="I37" s="7">
        <v>15</v>
      </c>
      <c r="J37" s="7">
        <v>20</v>
      </c>
      <c r="K37" s="7">
        <v>14</v>
      </c>
      <c r="L37" s="7"/>
      <c r="M37" s="1"/>
      <c r="N37" s="1"/>
      <c r="O37" s="1"/>
      <c r="P37" s="1"/>
      <c r="Q37" s="1"/>
    </row>
    <row r="38" spans="2:18" x14ac:dyDescent="0.2">
      <c r="B38" s="1"/>
      <c r="C38" s="1"/>
      <c r="D38" s="1"/>
      <c r="E38" s="1"/>
      <c r="F38" s="4" t="s">
        <v>2</v>
      </c>
      <c r="G38" s="5">
        <f>(C35*I35)+(D35*J35)+(C36*I36)+(E36*K36)</f>
        <v>46770</v>
      </c>
      <c r="H38" s="1"/>
      <c r="I38" s="1"/>
      <c r="J38" s="1"/>
      <c r="M38" s="1"/>
      <c r="N38" s="1"/>
      <c r="O38" s="1"/>
      <c r="P38" s="1"/>
      <c r="Q38" s="1"/>
    </row>
    <row r="39" spans="2:18" x14ac:dyDescent="0.2">
      <c r="B39" s="1"/>
      <c r="C39" s="1"/>
      <c r="D39" s="1"/>
      <c r="E39" s="1"/>
      <c r="F39" s="1"/>
      <c r="G39" s="1"/>
      <c r="H39" s="1"/>
      <c r="I39" s="1"/>
      <c r="J39" s="1"/>
      <c r="M39" s="1"/>
      <c r="N39" s="1"/>
      <c r="O39" s="1"/>
      <c r="P39" s="1"/>
      <c r="Q39" s="1"/>
    </row>
    <row r="40" spans="2:18" x14ac:dyDescent="0.2">
      <c r="B40" s="1"/>
      <c r="C40" s="1"/>
      <c r="D40" s="1"/>
      <c r="E40" s="1"/>
      <c r="F40" s="1"/>
      <c r="G40" s="1"/>
      <c r="H40" s="1"/>
      <c r="I40" s="1"/>
      <c r="J40" s="1"/>
      <c r="M40" s="1"/>
      <c r="N40" s="1"/>
      <c r="O40" s="1"/>
      <c r="P40" s="1">
        <v>350</v>
      </c>
      <c r="Q40" s="1">
        <v>620</v>
      </c>
      <c r="R40" s="1">
        <v>330</v>
      </c>
    </row>
    <row r="41" spans="2:18" x14ac:dyDescent="0.2">
      <c r="B41" s="1"/>
      <c r="C41" s="1"/>
      <c r="D41" s="1"/>
      <c r="E41" s="1"/>
      <c r="F41" s="1"/>
      <c r="G41" s="1"/>
      <c r="H41" s="1"/>
      <c r="I41" s="1"/>
      <c r="J41" s="1"/>
      <c r="M41" s="1"/>
      <c r="N41" s="1"/>
      <c r="O41" s="1">
        <v>800</v>
      </c>
      <c r="P41" s="13" t="s">
        <v>30</v>
      </c>
      <c r="Q41" s="13">
        <f>450+170</f>
        <v>620</v>
      </c>
      <c r="R41" s="12" t="s">
        <v>21</v>
      </c>
    </row>
    <row r="42" spans="2:18" x14ac:dyDescent="0.2">
      <c r="B42" s="1"/>
      <c r="C42" s="1"/>
      <c r="D42" s="1"/>
      <c r="E42" s="1"/>
      <c r="F42" s="1"/>
      <c r="G42" s="1"/>
      <c r="H42" s="1"/>
      <c r="I42" s="1"/>
      <c r="J42" s="1"/>
      <c r="M42" s="1"/>
      <c r="N42" s="1"/>
      <c r="O42" s="1">
        <v>500</v>
      </c>
      <c r="P42" s="13" t="s">
        <v>29</v>
      </c>
      <c r="Q42" s="13"/>
      <c r="R42" s="13" t="s">
        <v>28</v>
      </c>
    </row>
    <row r="43" spans="2:18" x14ac:dyDescent="0.2">
      <c r="B43" s="1"/>
      <c r="C43" s="1"/>
      <c r="D43" s="1"/>
      <c r="E43" s="1"/>
      <c r="F43" s="1"/>
      <c r="G43" s="1"/>
      <c r="H43" s="1"/>
      <c r="I43" s="1"/>
      <c r="J43" s="1"/>
      <c r="M43" s="1"/>
      <c r="N43" s="1"/>
      <c r="O43" s="1"/>
      <c r="P43" s="1"/>
      <c r="Q43" s="1"/>
    </row>
    <row r="44" spans="2:18" x14ac:dyDescent="0.2">
      <c r="B44" s="26" t="s">
        <v>31</v>
      </c>
      <c r="C44" s="26"/>
      <c r="D44" s="26"/>
      <c r="E44" s="26"/>
      <c r="F44" s="26"/>
      <c r="G44" s="1"/>
      <c r="H44" s="1"/>
      <c r="I44" s="1"/>
      <c r="J44" s="1"/>
      <c r="M44" s="1"/>
      <c r="N44" s="1"/>
      <c r="O44" s="1"/>
      <c r="P44" s="14" t="s">
        <v>22</v>
      </c>
      <c r="Q44" s="14">
        <v>180</v>
      </c>
    </row>
    <row r="45" spans="2:18" x14ac:dyDescent="0.2">
      <c r="B45" s="18"/>
      <c r="C45" s="18"/>
      <c r="D45" s="18"/>
      <c r="E45" s="18"/>
      <c r="F45" s="18"/>
      <c r="G45" s="1"/>
      <c r="H45" s="1"/>
      <c r="I45" s="1"/>
      <c r="J45" s="1"/>
      <c r="M45" s="1"/>
      <c r="N45" s="1"/>
      <c r="O45" s="1"/>
      <c r="P45" s="1"/>
      <c r="Q45" s="1"/>
    </row>
    <row r="46" spans="2:18" x14ac:dyDescent="0.2">
      <c r="B46" s="18"/>
      <c r="C46" s="18">
        <v>350</v>
      </c>
      <c r="D46" s="18">
        <v>620</v>
      </c>
      <c r="E46" s="18">
        <v>330</v>
      </c>
      <c r="F46" s="18"/>
      <c r="G46" s="1"/>
      <c r="H46" s="1"/>
      <c r="I46" s="1"/>
      <c r="J46" s="1"/>
      <c r="M46" s="1"/>
      <c r="N46" s="1"/>
      <c r="O46" s="1"/>
      <c r="P46" s="1"/>
      <c r="Q46" s="1"/>
    </row>
    <row r="47" spans="2:18" x14ac:dyDescent="0.2">
      <c r="B47" s="18">
        <v>800</v>
      </c>
      <c r="C47" s="19">
        <v>0</v>
      </c>
      <c r="D47" s="19">
        <f>450+170</f>
        <v>620</v>
      </c>
      <c r="E47" s="19">
        <v>180</v>
      </c>
      <c r="F47" s="18"/>
      <c r="G47" s="1"/>
      <c r="H47" s="1"/>
      <c r="I47" s="9">
        <f>I49+L47</f>
        <v>29</v>
      </c>
      <c r="J47" s="10">
        <f>D13</f>
        <v>40</v>
      </c>
      <c r="K47" s="10">
        <f>E13</f>
        <v>28</v>
      </c>
      <c r="L47" s="7">
        <v>13</v>
      </c>
      <c r="M47" s="1"/>
      <c r="N47" s="1"/>
      <c r="O47" s="1"/>
      <c r="P47" s="9">
        <f t="shared" ref="P47:R48" si="2">I47-C13</f>
        <v>-6</v>
      </c>
      <c r="Q47" s="9">
        <f t="shared" si="2"/>
        <v>0</v>
      </c>
      <c r="R47" s="9">
        <f t="shared" si="2"/>
        <v>0</v>
      </c>
    </row>
    <row r="48" spans="2:18" x14ac:dyDescent="0.2">
      <c r="B48" s="18">
        <v>500</v>
      </c>
      <c r="C48" s="19">
        <f>170+180</f>
        <v>350</v>
      </c>
      <c r="D48" s="19"/>
      <c r="E48" s="19">
        <f>330-180</f>
        <v>150</v>
      </c>
      <c r="F48" s="18"/>
      <c r="G48" s="1"/>
      <c r="H48" s="1"/>
      <c r="I48" s="10">
        <f>C14</f>
        <v>32</v>
      </c>
      <c r="J48" s="9">
        <f>J49+L48</f>
        <v>33</v>
      </c>
      <c r="K48" s="10">
        <f>E14</f>
        <v>31</v>
      </c>
      <c r="L48" s="7">
        <v>16</v>
      </c>
      <c r="M48" s="1"/>
      <c r="N48" s="1"/>
      <c r="O48" s="1"/>
      <c r="P48" s="9">
        <f t="shared" si="2"/>
        <v>0</v>
      </c>
      <c r="Q48" s="9">
        <f t="shared" si="2"/>
        <v>-10</v>
      </c>
      <c r="R48" s="9">
        <f t="shared" si="2"/>
        <v>0</v>
      </c>
    </row>
    <row r="49" spans="2:17" x14ac:dyDescent="0.2">
      <c r="B49" s="1"/>
      <c r="C49" s="1"/>
      <c r="D49" s="1"/>
      <c r="E49" s="1"/>
      <c r="F49" s="1"/>
      <c r="G49" s="1"/>
      <c r="H49" s="1"/>
      <c r="I49" s="7">
        <v>16</v>
      </c>
      <c r="J49" s="7">
        <v>17</v>
      </c>
      <c r="K49" s="7">
        <v>15</v>
      </c>
      <c r="L49" s="7"/>
      <c r="M49" s="1"/>
      <c r="N49" s="1"/>
      <c r="O49" s="1"/>
      <c r="P49" s="1"/>
      <c r="Q49" s="1"/>
    </row>
    <row r="50" spans="2:17" x14ac:dyDescent="0.2">
      <c r="B50" s="1"/>
      <c r="C50" s="1"/>
      <c r="D50" s="1"/>
      <c r="E50" s="1"/>
      <c r="F50" s="22" t="s">
        <v>2</v>
      </c>
      <c r="G50" s="23">
        <f>(E47*K47)+(D47*J47)+(C48*I48)+(E48*K48)</f>
        <v>45690</v>
      </c>
      <c r="H50" s="1"/>
      <c r="I50" s="1"/>
      <c r="J50" s="1"/>
      <c r="M50" s="1"/>
      <c r="N50" s="1"/>
      <c r="O50" s="1"/>
      <c r="P50" s="1"/>
      <c r="Q50" s="1"/>
    </row>
    <row r="51" spans="2:17" x14ac:dyDescent="0.2">
      <c r="B51" s="1"/>
      <c r="C51" s="1"/>
      <c r="D51" s="1"/>
      <c r="E51" s="1"/>
      <c r="F51" s="1"/>
      <c r="G51" s="1"/>
      <c r="H51" s="1"/>
      <c r="I51" s="1"/>
      <c r="J51" s="1"/>
      <c r="M51" s="1"/>
      <c r="N51" s="1"/>
      <c r="O51" s="1"/>
      <c r="P51" s="1"/>
      <c r="Q51" s="1"/>
    </row>
    <row r="52" spans="2:17" x14ac:dyDescent="0.2">
      <c r="B52" s="1"/>
      <c r="C52" s="1"/>
      <c r="D52" s="1"/>
      <c r="E52" s="1"/>
      <c r="F52" s="1"/>
      <c r="G52" s="1"/>
      <c r="H52" s="1"/>
      <c r="I52" s="1"/>
      <c r="J52" s="1"/>
      <c r="M52" s="1"/>
      <c r="N52" s="1"/>
      <c r="O52" s="1"/>
      <c r="P52" s="1"/>
      <c r="Q52" s="1"/>
    </row>
  </sheetData>
  <mergeCells count="7">
    <mergeCell ref="B32:F32"/>
    <mergeCell ref="B44:F44"/>
    <mergeCell ref="B11:O11"/>
    <mergeCell ref="B18:F18"/>
    <mergeCell ref="H18:M18"/>
    <mergeCell ref="O18:T18"/>
    <mergeCell ref="O25:S25"/>
  </mergeCells>
  <phoneticPr fontId="1" type="noConversion"/>
  <pageMargins left="0.75" right="0.75" top="1" bottom="1" header="0" footer="0"/>
  <pageSetup paperSize="9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4"/>
  <sheetViews>
    <sheetView showGridLines="0" tabSelected="1" topLeftCell="A12" workbookViewId="0">
      <selection activeCell="A26" sqref="A26"/>
    </sheetView>
  </sheetViews>
  <sheetFormatPr baseColWidth="10" defaultRowHeight="12.75" x14ac:dyDescent="0.2"/>
  <cols>
    <col min="2" max="3" width="7.5703125" customWidth="1"/>
    <col min="4" max="8" width="11.85546875" bestFit="1" customWidth="1"/>
    <col min="9" max="9" width="7.5703125" customWidth="1"/>
    <col min="10" max="10" width="8.85546875" bestFit="1" customWidth="1"/>
    <col min="11" max="12" width="7.5703125" style="3" customWidth="1"/>
    <col min="13" max="16" width="7.5703125" customWidth="1"/>
    <col min="17" max="17" width="6.42578125" customWidth="1"/>
    <col min="18" max="19" width="11.42578125" style="4"/>
  </cols>
  <sheetData>
    <row r="2" spans="2:15" x14ac:dyDescent="0.2">
      <c r="B2" s="15" t="s">
        <v>24</v>
      </c>
    </row>
    <row r="3" spans="2:15" x14ac:dyDescent="0.2">
      <c r="B3" t="s">
        <v>3</v>
      </c>
    </row>
    <row r="4" spans="2:15" x14ac:dyDescent="0.2">
      <c r="D4" s="2" t="s">
        <v>4</v>
      </c>
      <c r="E4" s="2" t="s">
        <v>5</v>
      </c>
      <c r="F4" s="2" t="s">
        <v>6</v>
      </c>
      <c r="G4" s="8"/>
      <c r="H4" s="9" t="s">
        <v>15</v>
      </c>
    </row>
    <row r="5" spans="2:15" x14ac:dyDescent="0.2">
      <c r="D5" s="2">
        <v>350</v>
      </c>
      <c r="E5" s="2">
        <v>620</v>
      </c>
      <c r="F5" s="2">
        <v>330</v>
      </c>
      <c r="G5" s="8"/>
      <c r="H5" s="2">
        <f>SUM(D5:F5)</f>
        <v>1300</v>
      </c>
    </row>
    <row r="7" spans="2:15" x14ac:dyDescent="0.2">
      <c r="B7" t="s">
        <v>7</v>
      </c>
    </row>
    <row r="8" spans="2:15" x14ac:dyDescent="0.2">
      <c r="D8" s="2" t="s">
        <v>8</v>
      </c>
      <c r="E8" s="2" t="s">
        <v>9</v>
      </c>
      <c r="F8" s="8"/>
      <c r="H8" s="2" t="s">
        <v>16</v>
      </c>
    </row>
    <row r="9" spans="2:15" x14ac:dyDescent="0.2">
      <c r="D9" s="2">
        <v>800</v>
      </c>
      <c r="E9" s="2">
        <v>500</v>
      </c>
      <c r="F9" s="8"/>
      <c r="H9" s="2">
        <f>SUM(D9:F9)</f>
        <v>1300</v>
      </c>
    </row>
    <row r="11" spans="2:15" ht="43.5" customHeight="1" x14ac:dyDescent="0.2">
      <c r="B11" s="27" t="s">
        <v>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5" x14ac:dyDescent="0.2">
      <c r="C12" s="1" t="s">
        <v>12</v>
      </c>
      <c r="D12" s="1" t="s">
        <v>13</v>
      </c>
      <c r="E12" s="1" t="s">
        <v>14</v>
      </c>
      <c r="F12" s="8"/>
      <c r="G12" s="8"/>
    </row>
    <row r="13" spans="2:15" x14ac:dyDescent="0.2">
      <c r="B13" s="1" t="s">
        <v>10</v>
      </c>
      <c r="C13" s="2">
        <v>35</v>
      </c>
      <c r="D13" s="2">
        <v>40</v>
      </c>
      <c r="E13" s="2">
        <v>28</v>
      </c>
      <c r="F13" s="8"/>
      <c r="G13" s="8"/>
    </row>
    <row r="14" spans="2:15" x14ac:dyDescent="0.2">
      <c r="B14" s="1" t="s">
        <v>11</v>
      </c>
      <c r="C14" s="2">
        <v>32</v>
      </c>
      <c r="D14" s="2">
        <v>43</v>
      </c>
      <c r="E14" s="2">
        <v>31</v>
      </c>
      <c r="F14" s="8"/>
      <c r="G14" s="8"/>
    </row>
    <row r="15" spans="2:15" x14ac:dyDescent="0.2">
      <c r="B15" s="1"/>
      <c r="C15" s="8"/>
      <c r="D15" s="8"/>
      <c r="E15" s="8"/>
      <c r="F15" s="8"/>
      <c r="G15" s="8"/>
    </row>
    <row r="16" spans="2:15" x14ac:dyDescent="0.2">
      <c r="B16" t="s">
        <v>1</v>
      </c>
    </row>
    <row r="18" spans="1:20" x14ac:dyDescent="0.2">
      <c r="A18" s="6"/>
      <c r="B18" s="25" t="s">
        <v>17</v>
      </c>
      <c r="C18" s="25"/>
      <c r="D18" s="25"/>
      <c r="E18" s="25"/>
      <c r="F18" s="25"/>
      <c r="H18" s="25" t="s">
        <v>18</v>
      </c>
      <c r="I18" s="25"/>
      <c r="J18" s="25"/>
      <c r="K18" s="25"/>
      <c r="L18" s="25"/>
      <c r="M18" s="25"/>
      <c r="O18" s="25" t="s">
        <v>19</v>
      </c>
      <c r="P18" s="25"/>
      <c r="Q18" s="25"/>
      <c r="R18" s="25"/>
      <c r="S18" s="25"/>
      <c r="T18" s="25"/>
    </row>
    <row r="19" spans="1:20" x14ac:dyDescent="0.2">
      <c r="B19" s="18"/>
      <c r="C19" s="18">
        <v>350</v>
      </c>
      <c r="D19" s="18">
        <v>620</v>
      </c>
      <c r="E19" s="18">
        <v>330</v>
      </c>
      <c r="F19" s="8"/>
      <c r="K19"/>
      <c r="L19"/>
      <c r="M19" s="3"/>
      <c r="N19" s="3"/>
      <c r="R19"/>
      <c r="S19"/>
      <c r="T19" s="4"/>
    </row>
    <row r="20" spans="1:20" x14ac:dyDescent="0.2">
      <c r="B20" s="18">
        <v>800</v>
      </c>
      <c r="C20" s="19">
        <v>0</v>
      </c>
      <c r="D20" s="19">
        <v>470</v>
      </c>
      <c r="E20" s="19">
        <v>330</v>
      </c>
      <c r="F20" s="8"/>
      <c r="H20" s="7"/>
      <c r="I20" s="9">
        <f>I22+L20</f>
        <v>29</v>
      </c>
      <c r="J20" s="10">
        <f>D13</f>
        <v>40</v>
      </c>
      <c r="K20" s="10">
        <f>E13</f>
        <v>28</v>
      </c>
      <c r="L20" s="7">
        <v>19</v>
      </c>
      <c r="M20" s="3"/>
      <c r="N20" s="3"/>
      <c r="O20" s="7"/>
      <c r="P20" s="9">
        <f t="shared" ref="P20:R21" si="0">I20-C13</f>
        <v>-6</v>
      </c>
      <c r="Q20" s="9">
        <f t="shared" si="0"/>
        <v>0</v>
      </c>
      <c r="R20" s="9">
        <f t="shared" si="0"/>
        <v>0</v>
      </c>
      <c r="S20" s="7"/>
      <c r="T20" s="4"/>
    </row>
    <row r="21" spans="1:20" x14ac:dyDescent="0.2">
      <c r="B21" s="18">
        <v>500</v>
      </c>
      <c r="C21" s="19">
        <v>350</v>
      </c>
      <c r="D21" s="19">
        <v>150</v>
      </c>
      <c r="E21" s="19">
        <v>0</v>
      </c>
      <c r="F21" s="8"/>
      <c r="H21" s="7"/>
      <c r="I21" s="10">
        <f>C14</f>
        <v>32</v>
      </c>
      <c r="J21" s="10">
        <f>D14</f>
        <v>43</v>
      </c>
      <c r="K21" s="9">
        <f>K22+L21</f>
        <v>31</v>
      </c>
      <c r="L21" s="7">
        <v>22</v>
      </c>
      <c r="M21" s="3"/>
      <c r="N21" s="3"/>
      <c r="O21" s="7"/>
      <c r="P21" s="9">
        <f t="shared" si="0"/>
        <v>0</v>
      </c>
      <c r="Q21" s="9">
        <f t="shared" si="0"/>
        <v>0</v>
      </c>
      <c r="R21" s="9">
        <f t="shared" si="0"/>
        <v>0</v>
      </c>
      <c r="S21" s="7"/>
    </row>
    <row r="22" spans="1:20" x14ac:dyDescent="0.2">
      <c r="B22" s="8"/>
      <c r="C22" s="8"/>
      <c r="D22" s="8"/>
      <c r="E22" s="8"/>
      <c r="F22" s="8"/>
      <c r="H22" s="7"/>
      <c r="I22" s="7">
        <v>10</v>
      </c>
      <c r="J22" s="7">
        <v>21</v>
      </c>
      <c r="K22" s="7">
        <v>9</v>
      </c>
      <c r="L22" s="7"/>
      <c r="M22" s="3"/>
      <c r="N22" s="3"/>
      <c r="O22" s="7"/>
      <c r="P22" s="7"/>
      <c r="Q22" s="7"/>
      <c r="R22" s="7"/>
      <c r="S22" s="7"/>
      <c r="T22" s="4"/>
    </row>
    <row r="23" spans="1:20" x14ac:dyDescent="0.2">
      <c r="B23" s="8"/>
      <c r="C23" s="28" t="s">
        <v>31</v>
      </c>
      <c r="D23" s="28"/>
      <c r="E23" s="28"/>
      <c r="F23" s="4" t="s">
        <v>2</v>
      </c>
      <c r="G23" s="5">
        <f>(D21*J21)+(D20*J20)+(C21*I21)+(E20*K20)</f>
        <v>45690</v>
      </c>
      <c r="H23" s="7"/>
      <c r="I23" s="7"/>
      <c r="J23" s="7"/>
      <c r="K23" s="7"/>
      <c r="L23" s="7"/>
      <c r="M23" s="3"/>
      <c r="N23" s="3"/>
      <c r="O23" s="7"/>
      <c r="P23" s="7"/>
      <c r="Q23" s="7"/>
      <c r="R23" s="7"/>
      <c r="S23" s="7"/>
      <c r="T23" s="4"/>
    </row>
    <row r="24" spans="1:20" x14ac:dyDescent="0.2">
      <c r="H24" s="1"/>
      <c r="I24" s="1"/>
      <c r="J24" s="1"/>
      <c r="K24" s="1"/>
      <c r="L24" s="1"/>
      <c r="M24" s="3"/>
      <c r="N24" s="3"/>
      <c r="R24"/>
      <c r="S24"/>
      <c r="T24" s="4"/>
    </row>
  </sheetData>
  <mergeCells count="5">
    <mergeCell ref="B11:O11"/>
    <mergeCell ref="B18:F18"/>
    <mergeCell ref="H18:M18"/>
    <mergeCell ref="O18:T18"/>
    <mergeCell ref="C23:E23"/>
  </mergeCells>
  <pageMargins left="0.75" right="0.75" top="1" bottom="1" header="0" footer="0"/>
  <pageSetup paperSize="9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0"/>
  <sheetViews>
    <sheetView showGridLines="0" workbookViewId="0"/>
  </sheetViews>
  <sheetFormatPr baseColWidth="10" defaultRowHeight="12.75" x14ac:dyDescent="0.2"/>
  <cols>
    <col min="2" max="2" width="8.42578125" customWidth="1"/>
    <col min="3" max="3" width="7.5703125" customWidth="1"/>
    <col min="4" max="8" width="11.85546875" bestFit="1" customWidth="1"/>
    <col min="9" max="9" width="7.5703125" customWidth="1"/>
    <col min="10" max="10" width="8.85546875" bestFit="1" customWidth="1"/>
    <col min="11" max="12" width="7.5703125" style="3" customWidth="1"/>
    <col min="13" max="16" width="7.5703125" customWidth="1"/>
    <col min="17" max="17" width="6.42578125" customWidth="1"/>
    <col min="18" max="19" width="11.42578125" style="4"/>
  </cols>
  <sheetData>
    <row r="2" spans="2:15" x14ac:dyDescent="0.2">
      <c r="B2" s="15" t="s">
        <v>24</v>
      </c>
    </row>
    <row r="3" spans="2:15" x14ac:dyDescent="0.2">
      <c r="B3" t="s">
        <v>3</v>
      </c>
    </row>
    <row r="4" spans="2:15" x14ac:dyDescent="0.2">
      <c r="D4" s="2" t="s">
        <v>4</v>
      </c>
      <c r="E4" s="2" t="s">
        <v>5</v>
      </c>
      <c r="F4" s="2" t="s">
        <v>6</v>
      </c>
      <c r="G4" s="8"/>
      <c r="H4" s="9" t="s">
        <v>15</v>
      </c>
    </row>
    <row r="5" spans="2:15" x14ac:dyDescent="0.2">
      <c r="D5" s="2">
        <v>350</v>
      </c>
      <c r="E5" s="2">
        <v>620</v>
      </c>
      <c r="F5" s="2">
        <v>330</v>
      </c>
      <c r="G5" s="8"/>
      <c r="H5" s="2">
        <f>SUM(D5:F5)</f>
        <v>1300</v>
      </c>
    </row>
    <row r="7" spans="2:15" x14ac:dyDescent="0.2">
      <c r="B7" t="s">
        <v>7</v>
      </c>
    </row>
    <row r="8" spans="2:15" x14ac:dyDescent="0.2">
      <c r="D8" s="2" t="s">
        <v>8</v>
      </c>
      <c r="E8" s="2" t="s">
        <v>9</v>
      </c>
      <c r="F8" s="8"/>
      <c r="H8" s="2" t="s">
        <v>16</v>
      </c>
    </row>
    <row r="9" spans="2:15" x14ac:dyDescent="0.2">
      <c r="D9" s="2">
        <v>800</v>
      </c>
      <c r="E9" s="2">
        <v>500</v>
      </c>
      <c r="F9" s="8"/>
      <c r="H9" s="2">
        <f>SUM(D9:F9)</f>
        <v>1300</v>
      </c>
    </row>
    <row r="11" spans="2:15" ht="43.5" customHeight="1" x14ac:dyDescent="0.2">
      <c r="B11" s="27" t="s">
        <v>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5" x14ac:dyDescent="0.2">
      <c r="C12" s="1" t="s">
        <v>12</v>
      </c>
      <c r="D12" s="1" t="s">
        <v>13</v>
      </c>
      <c r="E12" s="1" t="s">
        <v>14</v>
      </c>
      <c r="F12" s="8"/>
      <c r="G12" s="8"/>
    </row>
    <row r="13" spans="2:15" x14ac:dyDescent="0.2">
      <c r="B13" s="1" t="s">
        <v>10</v>
      </c>
      <c r="C13" s="2">
        <v>35</v>
      </c>
      <c r="D13" s="2">
        <v>40</v>
      </c>
      <c r="E13" s="2">
        <v>28</v>
      </c>
      <c r="F13" s="8"/>
      <c r="G13" s="8"/>
    </row>
    <row r="14" spans="2:15" x14ac:dyDescent="0.2">
      <c r="B14" s="1" t="s">
        <v>11</v>
      </c>
      <c r="C14" s="2">
        <v>32</v>
      </c>
      <c r="D14" s="2">
        <v>43</v>
      </c>
      <c r="E14" s="2">
        <v>31</v>
      </c>
      <c r="F14" s="8"/>
      <c r="G14" s="8"/>
    </row>
    <row r="15" spans="2:15" x14ac:dyDescent="0.2">
      <c r="B15" s="1"/>
      <c r="C15" s="8"/>
      <c r="D15" s="8"/>
      <c r="E15" s="8"/>
      <c r="F15" s="8"/>
      <c r="G15" s="8"/>
    </row>
    <row r="16" spans="2:15" x14ac:dyDescent="0.2">
      <c r="B16" t="s">
        <v>1</v>
      </c>
    </row>
    <row r="18" spans="1:20" x14ac:dyDescent="0.2">
      <c r="A18" s="6"/>
      <c r="B18" s="25" t="s">
        <v>17</v>
      </c>
      <c r="C18" s="25"/>
      <c r="D18" s="25"/>
      <c r="E18" s="25"/>
      <c r="F18" s="25"/>
      <c r="H18" s="25" t="s">
        <v>18</v>
      </c>
      <c r="I18" s="25"/>
      <c r="J18" s="25"/>
      <c r="K18" s="25"/>
      <c r="L18" s="25"/>
      <c r="M18" s="25"/>
      <c r="O18" s="25" t="s">
        <v>19</v>
      </c>
      <c r="P18" s="25"/>
      <c r="Q18" s="25"/>
      <c r="R18" s="25"/>
      <c r="S18" s="25"/>
      <c r="T18" s="25"/>
    </row>
    <row r="19" spans="1:20" x14ac:dyDescent="0.2">
      <c r="A19" s="15"/>
      <c r="B19" s="1"/>
      <c r="C19" s="1">
        <v>350</v>
      </c>
      <c r="D19" s="1">
        <v>620</v>
      </c>
      <c r="E19" s="1">
        <v>330</v>
      </c>
      <c r="F19" s="8"/>
      <c r="K19"/>
      <c r="L19"/>
      <c r="M19" s="3"/>
      <c r="N19" s="3"/>
      <c r="R19"/>
      <c r="S19"/>
      <c r="T19" s="4"/>
    </row>
    <row r="20" spans="1:20" x14ac:dyDescent="0.2">
      <c r="B20" s="1">
        <v>800</v>
      </c>
      <c r="C20" s="13" t="s">
        <v>32</v>
      </c>
      <c r="D20" s="2">
        <v>620</v>
      </c>
      <c r="E20" s="13">
        <v>180</v>
      </c>
      <c r="F20" s="8"/>
      <c r="H20" s="7"/>
      <c r="I20" s="9">
        <f>I22+L20</f>
        <v>29</v>
      </c>
      <c r="J20" s="10">
        <f>D13</f>
        <v>40</v>
      </c>
      <c r="K20" s="10">
        <f>E13</f>
        <v>28</v>
      </c>
      <c r="L20" s="7">
        <v>14</v>
      </c>
      <c r="M20" s="3"/>
      <c r="N20" s="3"/>
      <c r="O20" s="7"/>
      <c r="P20" s="9">
        <f t="shared" ref="P20:R21" si="0">I20-C13</f>
        <v>-6</v>
      </c>
      <c r="Q20" s="9">
        <f t="shared" si="0"/>
        <v>0</v>
      </c>
      <c r="R20" s="9">
        <f t="shared" si="0"/>
        <v>0</v>
      </c>
      <c r="S20" s="7"/>
      <c r="T20" s="4"/>
    </row>
    <row r="21" spans="1:20" x14ac:dyDescent="0.2">
      <c r="B21" s="1">
        <v>500</v>
      </c>
      <c r="C21" s="2">
        <v>350</v>
      </c>
      <c r="D21" s="13" t="s">
        <v>32</v>
      </c>
      <c r="E21" s="2">
        <v>150</v>
      </c>
      <c r="F21" s="8"/>
      <c r="H21" s="7"/>
      <c r="I21" s="10">
        <f>C14</f>
        <v>32</v>
      </c>
      <c r="J21" s="9">
        <f>J22+L21</f>
        <v>43</v>
      </c>
      <c r="K21" s="10">
        <f>E14</f>
        <v>31</v>
      </c>
      <c r="L21" s="7">
        <v>17</v>
      </c>
      <c r="M21" s="3"/>
      <c r="N21" s="3"/>
      <c r="O21" s="7"/>
      <c r="P21" s="9">
        <f t="shared" si="0"/>
        <v>0</v>
      </c>
      <c r="Q21" s="9">
        <f t="shared" si="0"/>
        <v>0</v>
      </c>
      <c r="R21" s="9">
        <f t="shared" si="0"/>
        <v>0</v>
      </c>
      <c r="S21" s="7"/>
    </row>
    <row r="22" spans="1:20" x14ac:dyDescent="0.2">
      <c r="B22" s="8"/>
      <c r="C22" s="8"/>
      <c r="D22" s="8"/>
      <c r="E22" s="8"/>
      <c r="F22" s="8"/>
      <c r="H22" s="7"/>
      <c r="I22" s="7">
        <v>15</v>
      </c>
      <c r="J22" s="7">
        <v>26</v>
      </c>
      <c r="K22" s="7">
        <v>14</v>
      </c>
      <c r="L22" s="7"/>
      <c r="M22" s="3"/>
      <c r="N22" s="3"/>
      <c r="O22" s="7"/>
      <c r="P22" s="7"/>
      <c r="Q22" s="7"/>
      <c r="R22" s="7"/>
      <c r="S22" s="7"/>
      <c r="T22" s="4"/>
    </row>
    <row r="23" spans="1:20" x14ac:dyDescent="0.2">
      <c r="B23" s="8"/>
      <c r="C23" s="8"/>
      <c r="D23" s="8"/>
      <c r="E23" s="8"/>
      <c r="F23" s="22" t="s">
        <v>2</v>
      </c>
      <c r="G23" s="23">
        <f>(E20*K20)+(D20*J20)+(C21*I21)+(E21*K21)</f>
        <v>45690</v>
      </c>
      <c r="H23" s="7"/>
      <c r="I23" s="7"/>
      <c r="J23" s="7"/>
      <c r="K23" s="7"/>
      <c r="L23" s="7"/>
      <c r="M23" s="3"/>
      <c r="N23" s="3"/>
      <c r="O23" s="7"/>
      <c r="P23" s="7"/>
      <c r="Q23" s="7"/>
      <c r="R23" s="7"/>
      <c r="S23" s="7"/>
      <c r="T23" s="4"/>
    </row>
    <row r="24" spans="1:20" x14ac:dyDescent="0.2">
      <c r="B24" s="8"/>
      <c r="C24" s="8"/>
      <c r="D24" s="8"/>
      <c r="E24" s="8"/>
      <c r="F24" s="4"/>
      <c r="G24" s="7"/>
      <c r="H24" s="7"/>
      <c r="I24" s="7"/>
      <c r="J24" s="7"/>
      <c r="K24" s="7"/>
      <c r="L24" s="7"/>
      <c r="M24" s="3"/>
      <c r="N24" s="3"/>
      <c r="O24" s="7"/>
      <c r="P24" s="7"/>
      <c r="Q24" s="7"/>
      <c r="R24" s="7"/>
      <c r="S24" s="7"/>
      <c r="T24" s="4"/>
    </row>
    <row r="25" spans="1:20" x14ac:dyDescent="0.2">
      <c r="F25" s="14" t="s">
        <v>34</v>
      </c>
      <c r="H25" s="1"/>
      <c r="I25" s="1"/>
      <c r="J25" s="1"/>
      <c r="K25" s="1"/>
      <c r="L25" s="1"/>
      <c r="M25" s="3"/>
      <c r="N25" s="3"/>
      <c r="R25"/>
      <c r="S25"/>
      <c r="T25" s="4"/>
    </row>
    <row r="26" spans="1:20" x14ac:dyDescent="0.2">
      <c r="A26" s="15" t="s">
        <v>33</v>
      </c>
      <c r="C26" s="2">
        <v>35</v>
      </c>
      <c r="D26" s="20">
        <v>40</v>
      </c>
      <c r="E26" s="2">
        <v>28</v>
      </c>
      <c r="F26" s="1">
        <f>D26-E26</f>
        <v>12</v>
      </c>
      <c r="K26"/>
      <c r="L26"/>
      <c r="M26" s="3"/>
      <c r="N26" s="6"/>
      <c r="O26" s="29"/>
      <c r="P26" s="29"/>
      <c r="Q26" s="29"/>
      <c r="R26" s="29"/>
      <c r="S26" s="29"/>
      <c r="T26" s="4"/>
    </row>
    <row r="27" spans="1:20" x14ac:dyDescent="0.2">
      <c r="B27" s="1"/>
      <c r="C27" s="2">
        <v>32</v>
      </c>
      <c r="D27" s="2">
        <v>43</v>
      </c>
      <c r="E27" s="2">
        <v>31</v>
      </c>
      <c r="F27" s="1">
        <f>D27-E27</f>
        <v>12</v>
      </c>
      <c r="G27" s="1"/>
      <c r="H27" s="1"/>
      <c r="I27" s="1"/>
      <c r="J27" s="1"/>
      <c r="M27" s="1"/>
      <c r="N27" s="1"/>
      <c r="O27" s="8"/>
      <c r="P27" s="8"/>
      <c r="Q27" s="8"/>
      <c r="R27" s="8"/>
      <c r="S27" s="8"/>
    </row>
    <row r="28" spans="1:20" x14ac:dyDescent="0.2">
      <c r="B28" s="14" t="s">
        <v>34</v>
      </c>
      <c r="C28" s="1">
        <f>C26-C27</f>
        <v>3</v>
      </c>
      <c r="D28" s="1">
        <f>D27-D26</f>
        <v>3</v>
      </c>
      <c r="E28" s="1">
        <f>E27-E26</f>
        <v>3</v>
      </c>
      <c r="F28" s="1"/>
      <c r="G28" s="1"/>
      <c r="H28" s="1"/>
      <c r="I28" s="1"/>
      <c r="J28" s="1"/>
      <c r="M28" s="1"/>
      <c r="N28" s="1"/>
      <c r="O28" s="8"/>
      <c r="P28" s="16"/>
      <c r="Q28" s="16"/>
      <c r="R28" s="17"/>
      <c r="S28" s="8"/>
    </row>
    <row r="29" spans="1:20" x14ac:dyDescent="0.2">
      <c r="B29" s="1"/>
      <c r="C29" s="1"/>
      <c r="D29" s="1"/>
      <c r="E29" s="1"/>
      <c r="F29" s="1"/>
      <c r="G29" s="1"/>
      <c r="H29" s="1"/>
      <c r="I29" s="1"/>
      <c r="J29" s="1"/>
      <c r="M29" s="1"/>
      <c r="N29" s="1"/>
      <c r="O29" s="8"/>
      <c r="P29" s="16"/>
      <c r="Q29" s="16"/>
      <c r="R29" s="16"/>
      <c r="S29" s="8"/>
    </row>
    <row r="30" spans="1:20" x14ac:dyDescent="0.2">
      <c r="A30" s="15" t="s">
        <v>35</v>
      </c>
      <c r="F30" s="14" t="s">
        <v>34</v>
      </c>
      <c r="G30" s="1"/>
      <c r="H30" s="1"/>
      <c r="I30" s="1"/>
      <c r="J30" s="1"/>
      <c r="M30" s="1"/>
      <c r="N30" s="1"/>
      <c r="O30" s="8"/>
      <c r="P30" s="8"/>
      <c r="Q30" s="16"/>
      <c r="R30" s="8"/>
      <c r="S30" s="16"/>
    </row>
    <row r="31" spans="1:20" x14ac:dyDescent="0.2">
      <c r="C31" s="2">
        <v>35</v>
      </c>
      <c r="D31" s="21" t="s">
        <v>32</v>
      </c>
      <c r="E31" s="2">
        <v>28</v>
      </c>
      <c r="F31" s="1">
        <f>C31-E31</f>
        <v>7</v>
      </c>
      <c r="G31" s="1"/>
      <c r="H31" s="1"/>
      <c r="I31" s="1"/>
      <c r="J31" s="1"/>
      <c r="M31" s="1"/>
      <c r="N31" s="1"/>
      <c r="O31" s="17"/>
      <c r="P31" s="16"/>
      <c r="Q31" s="16"/>
      <c r="R31" s="8"/>
      <c r="S31" s="16"/>
    </row>
    <row r="32" spans="1:20" x14ac:dyDescent="0.2">
      <c r="B32" s="1"/>
      <c r="C32" s="11">
        <v>32</v>
      </c>
      <c r="D32" s="13" t="s">
        <v>32</v>
      </c>
      <c r="E32" s="2">
        <v>31</v>
      </c>
      <c r="F32" s="1">
        <f>C32-E32</f>
        <v>1</v>
      </c>
      <c r="G32" s="1"/>
      <c r="H32" s="1"/>
      <c r="I32" s="1"/>
      <c r="J32" s="1"/>
      <c r="M32" s="1"/>
      <c r="N32" s="1"/>
      <c r="O32" s="17"/>
      <c r="P32" s="14"/>
      <c r="Q32" s="14"/>
      <c r="R32" s="8"/>
      <c r="S32" s="16"/>
    </row>
    <row r="33" spans="1:20" x14ac:dyDescent="0.2">
      <c r="B33" s="14" t="s">
        <v>34</v>
      </c>
      <c r="C33" s="1">
        <f>C31-C32</f>
        <v>3</v>
      </c>
      <c r="D33" s="1"/>
      <c r="E33" s="1">
        <f>E32-E31</f>
        <v>3</v>
      </c>
      <c r="F33" s="1"/>
      <c r="G33" s="1"/>
      <c r="H33" s="1"/>
      <c r="I33" s="1"/>
      <c r="J33" s="1"/>
      <c r="M33" s="1"/>
      <c r="N33" s="1"/>
      <c r="O33" s="17"/>
      <c r="P33" s="14"/>
      <c r="Q33" s="14"/>
      <c r="R33" s="8"/>
      <c r="S33" s="16"/>
    </row>
    <row r="34" spans="1:20" x14ac:dyDescent="0.2">
      <c r="B34" s="1"/>
      <c r="C34" s="1"/>
      <c r="D34" s="1"/>
      <c r="E34" s="1"/>
      <c r="F34" s="1"/>
      <c r="G34" s="1"/>
      <c r="H34" s="1"/>
      <c r="I34" s="1"/>
      <c r="J34" s="1"/>
      <c r="M34" s="1"/>
      <c r="N34" s="1"/>
      <c r="O34" s="17"/>
      <c r="P34" s="14"/>
      <c r="Q34" s="14"/>
      <c r="R34" s="8"/>
      <c r="S34" s="16"/>
    </row>
    <row r="35" spans="1:20" x14ac:dyDescent="0.2">
      <c r="A35" s="15" t="s">
        <v>36</v>
      </c>
      <c r="F35" s="14" t="s">
        <v>34</v>
      </c>
      <c r="G35" s="1"/>
      <c r="H35" s="1"/>
      <c r="I35" s="1"/>
      <c r="J35" s="1"/>
      <c r="M35" s="1"/>
      <c r="N35" s="1"/>
      <c r="O35" s="17"/>
      <c r="P35" s="14"/>
      <c r="Q35" s="14"/>
      <c r="R35" s="8"/>
      <c r="S35" s="16"/>
    </row>
    <row r="36" spans="1:20" x14ac:dyDescent="0.2">
      <c r="C36" s="21" t="s">
        <v>32</v>
      </c>
      <c r="D36" s="21" t="s">
        <v>32</v>
      </c>
      <c r="E36" s="2">
        <v>28</v>
      </c>
      <c r="F36" s="1"/>
      <c r="G36" s="1"/>
      <c r="H36" s="1"/>
      <c r="I36" s="1"/>
      <c r="J36" s="1"/>
      <c r="M36" s="1"/>
      <c r="N36" s="1"/>
      <c r="O36" s="17"/>
      <c r="P36" s="14"/>
      <c r="Q36" s="14"/>
      <c r="R36" s="8"/>
      <c r="S36" s="16"/>
    </row>
    <row r="37" spans="1:20" x14ac:dyDescent="0.2">
      <c r="B37" s="1"/>
      <c r="C37" s="21" t="s">
        <v>32</v>
      </c>
      <c r="D37" s="13" t="s">
        <v>32</v>
      </c>
      <c r="E37" s="2">
        <v>31</v>
      </c>
      <c r="F37" s="1"/>
      <c r="G37" s="1"/>
      <c r="H37" s="1"/>
      <c r="I37" s="1"/>
      <c r="J37" s="1"/>
      <c r="M37" s="1"/>
      <c r="N37" s="1"/>
      <c r="O37" s="17"/>
      <c r="P37" s="14"/>
      <c r="Q37" s="14"/>
      <c r="R37" s="8"/>
      <c r="S37" s="16"/>
    </row>
    <row r="38" spans="1:20" x14ac:dyDescent="0.2">
      <c r="B38" s="14" t="s">
        <v>34</v>
      </c>
      <c r="C38" s="1"/>
      <c r="D38" s="1"/>
      <c r="E38" s="1">
        <f>E37-E36</f>
        <v>3</v>
      </c>
      <c r="F38" s="1"/>
      <c r="G38" s="1"/>
      <c r="H38" s="1"/>
      <c r="I38" s="1"/>
      <c r="J38" s="1"/>
      <c r="M38" s="1"/>
      <c r="N38" s="1"/>
      <c r="O38" s="17"/>
      <c r="P38" s="14"/>
      <c r="Q38" s="14"/>
      <c r="R38" s="8"/>
      <c r="S38" s="16"/>
    </row>
    <row r="39" spans="1:20" x14ac:dyDescent="0.2">
      <c r="B39" s="1"/>
      <c r="C39" s="1"/>
      <c r="D39" s="1"/>
      <c r="E39" s="1"/>
      <c r="F39" s="1"/>
      <c r="G39" s="1"/>
      <c r="H39" s="1"/>
      <c r="I39" s="1"/>
      <c r="J39" s="1"/>
      <c r="M39" s="1"/>
      <c r="N39" s="1"/>
      <c r="O39" s="1"/>
      <c r="P39" s="1"/>
      <c r="Q39" s="1"/>
    </row>
    <row r="40" spans="1:20" s="4" customFormat="1" x14ac:dyDescent="0.2">
      <c r="A40"/>
      <c r="B40" s="1"/>
      <c r="C40" s="1"/>
      <c r="D40" s="1"/>
      <c r="E40" s="1"/>
      <c r="F40" s="1"/>
      <c r="G40" s="1"/>
      <c r="H40" s="1"/>
      <c r="I40" s="1"/>
      <c r="J40" s="1"/>
      <c r="K40" s="3"/>
      <c r="L40" s="3"/>
      <c r="M40" s="1"/>
      <c r="N40" s="1"/>
      <c r="O40" s="1"/>
      <c r="P40" s="1"/>
      <c r="Q40" s="1"/>
      <c r="T40"/>
    </row>
  </sheetData>
  <mergeCells count="5">
    <mergeCell ref="B11:O11"/>
    <mergeCell ref="B18:F18"/>
    <mergeCell ref="H18:M18"/>
    <mergeCell ref="O18:T18"/>
    <mergeCell ref="O26:S26"/>
  </mergeCells>
  <pageMargins left="0.75" right="0.75" top="1" bottom="1" header="0" footer="0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Noroeste</vt:lpstr>
      <vt:lpstr>Costos Minimos</vt:lpstr>
      <vt:lpstr>Vogel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Benevenia</dc:creator>
  <cp:lastModifiedBy>Luciana</cp:lastModifiedBy>
  <dcterms:created xsi:type="dcterms:W3CDTF">2011-04-17T15:27:49Z</dcterms:created>
  <dcterms:modified xsi:type="dcterms:W3CDTF">2013-11-05T16:29:02Z</dcterms:modified>
</cp:coreProperties>
</file>