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vega\Desktop\IO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1" i="1" l="1"/>
  <c r="J153" i="1"/>
  <c r="J152" i="1"/>
  <c r="C154" i="1"/>
  <c r="G154" i="1"/>
  <c r="F154" i="1"/>
  <c r="E154" i="1"/>
  <c r="I154" i="1"/>
  <c r="I122" i="1"/>
  <c r="I123" i="1"/>
  <c r="H123" i="1"/>
  <c r="H122" i="1"/>
  <c r="D123" i="1"/>
  <c r="D122" i="1"/>
  <c r="J101" i="1"/>
  <c r="J100" i="1"/>
  <c r="J99" i="1"/>
  <c r="G125" i="1"/>
  <c r="F125" i="1"/>
  <c r="E125" i="1"/>
  <c r="G102" i="1"/>
  <c r="F102" i="1"/>
  <c r="E102" i="1"/>
  <c r="H102" i="1"/>
  <c r="I102" i="1"/>
  <c r="C102" i="1"/>
  <c r="I68" i="1"/>
  <c r="E68" i="1"/>
  <c r="F68" i="1"/>
  <c r="D43" i="1"/>
  <c r="D42" i="1"/>
  <c r="J41" i="1"/>
  <c r="G42" i="1"/>
  <c r="G66" i="1" s="1"/>
  <c r="G43" i="1"/>
  <c r="F43" i="1"/>
  <c r="F42" i="1"/>
  <c r="H65" i="1" s="1"/>
  <c r="H44" i="1"/>
  <c r="I44" i="1"/>
  <c r="E44" i="1"/>
  <c r="F20" i="1"/>
  <c r="G20" i="1"/>
  <c r="H20" i="1"/>
  <c r="I20" i="1"/>
  <c r="E20" i="1"/>
  <c r="J18" i="1"/>
  <c r="J19" i="1"/>
  <c r="J17" i="1"/>
  <c r="C20" i="1"/>
  <c r="H125" i="1" l="1"/>
  <c r="I125" i="1"/>
  <c r="G67" i="1"/>
  <c r="D67" i="1"/>
  <c r="G44" i="1"/>
  <c r="H67" i="1"/>
  <c r="H68" i="1" s="1"/>
  <c r="J42" i="1"/>
  <c r="D66" i="1" s="1"/>
  <c r="G65" i="1"/>
  <c r="C44" i="1"/>
  <c r="F44" i="1"/>
  <c r="J43" i="1"/>
  <c r="D65" i="1"/>
  <c r="C125" i="1"/>
  <c r="G68" i="1" l="1"/>
  <c r="C68" i="1"/>
</calcChain>
</file>

<file path=xl/sharedStrings.xml><?xml version="1.0" encoding="utf-8"?>
<sst xmlns="http://schemas.openxmlformats.org/spreadsheetml/2006/main" count="172" uniqueCount="73">
  <si>
    <t>En el Primal</t>
  </si>
  <si>
    <t>Varicacion de C</t>
  </si>
  <si>
    <t>X1</t>
  </si>
  <si>
    <t>&lt;=</t>
  </si>
  <si>
    <t>X1 + X2</t>
  </si>
  <si>
    <t>X1 + 2X2</t>
  </si>
  <si>
    <t xml:space="preserve">Max: </t>
  </si>
  <si>
    <t>Z =</t>
  </si>
  <si>
    <t>4 X1 + 3 X2</t>
  </si>
  <si>
    <t>Ck</t>
  </si>
  <si>
    <t>Xk</t>
  </si>
  <si>
    <t>Bx</t>
  </si>
  <si>
    <t>Cj</t>
  </si>
  <si>
    <t>X3</t>
  </si>
  <si>
    <t>X4</t>
  </si>
  <si>
    <t>X5</t>
  </si>
  <si>
    <t>A1</t>
  </si>
  <si>
    <t>A2</t>
  </si>
  <si>
    <t>A3</t>
  </si>
  <si>
    <t>A4</t>
  </si>
  <si>
    <t>A5</t>
  </si>
  <si>
    <t>b/a</t>
  </si>
  <si>
    <t>Zj-Cj</t>
  </si>
  <si>
    <t>X2</t>
  </si>
  <si>
    <t>Tabla Optima del Primal:</t>
  </si>
  <si>
    <t>Z1-C1 = 0</t>
  </si>
  <si>
    <r>
      <t xml:space="preserve">Buscamos ceros adicionales (Soluciones alternativas) para C1' = C1 + </t>
    </r>
    <r>
      <rPr>
        <sz val="11"/>
        <color theme="1"/>
        <rFont val="Calibri"/>
        <family val="2"/>
      </rPr>
      <t>ΔC1:</t>
    </r>
  </si>
  <si>
    <t xml:space="preserve">Z1-C1 = </t>
  </si>
  <si>
    <t xml:space="preserve">C1' = </t>
  </si>
  <si>
    <t>4 + ΔC1</t>
  </si>
  <si>
    <t>(4 + ΔC1)-0-0-(4 + ΔC1) = 0</t>
  </si>
  <si>
    <t>Z2-C2 = 0</t>
  </si>
  <si>
    <t>Z3-C3 = 0</t>
  </si>
  <si>
    <t>Z4-C4 = 0</t>
  </si>
  <si>
    <t xml:space="preserve">Z2-C2 = </t>
  </si>
  <si>
    <t>3-3 = 0</t>
  </si>
  <si>
    <t xml:space="preserve">Z3-C3 = </t>
  </si>
  <si>
    <t>(4 + ΔC1)- 3 - 0 - 0 = 0</t>
  </si>
  <si>
    <t>ΔC1 = -1</t>
  </si>
  <si>
    <t>C1' = 3</t>
  </si>
  <si>
    <t>Solucion alternativa.</t>
  </si>
  <si>
    <t>Reemplazando C1' = 3 en la tabla Optima del Primal:</t>
  </si>
  <si>
    <t>Buscamos ceros adicionales (Soluciones alternativas) para las variabes que no estan en la base:</t>
  </si>
  <si>
    <t xml:space="preserve">Z4-C4 = </t>
  </si>
  <si>
    <t>Z5-C5 = 0</t>
  </si>
  <si>
    <t xml:space="preserve">Z5-C5 = </t>
  </si>
  <si>
    <t>Solucion Alternativa</t>
  </si>
  <si>
    <t>C1'*2 - 3 -0 = 0</t>
  </si>
  <si>
    <t>C1' * (-1) +3+0 = 0</t>
  </si>
  <si>
    <t>C1' = 3/2 = 1,5</t>
  </si>
  <si>
    <t>C1' =3</t>
  </si>
  <si>
    <t>Reemplazando C1' = 1,5:</t>
  </si>
  <si>
    <t>Sale de base X1 por lo tanto se produciran 0 unidades de X1 para c1'&lt;=1.5</t>
  </si>
  <si>
    <t>Curva de Oferta</t>
  </si>
  <si>
    <t>Ejempl0:</t>
  </si>
  <si>
    <t>Esta solucion ya se uso</t>
  </si>
  <si>
    <t xml:space="preserve">Resumiendo: </t>
  </si>
  <si>
    <t>C1 &gt; 3</t>
  </si>
  <si>
    <t>X1 = 6</t>
  </si>
  <si>
    <t>3 = &gt;C1 &gt; 1.5</t>
  </si>
  <si>
    <t>X1 = 4</t>
  </si>
  <si>
    <t>C1 &lt; = 1.5</t>
  </si>
  <si>
    <t>X1 = 0</t>
  </si>
  <si>
    <t>Varicacion de B</t>
  </si>
  <si>
    <t>En el Dual</t>
  </si>
  <si>
    <t>Curva de Demanda</t>
  </si>
  <si>
    <t>x1=</t>
  </si>
  <si>
    <t>x2=</t>
  </si>
  <si>
    <t>x3=</t>
  </si>
  <si>
    <t>x4=</t>
  </si>
  <si>
    <t>x5=</t>
  </si>
  <si>
    <t>C1 &gt;</t>
  </si>
  <si>
    <t>C1 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</si>
</sst>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9" xfId="0" applyBorder="1"/>
    <xf numFmtId="0" fontId="0" fillId="3" borderId="10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8" borderId="11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0" xfId="0" applyNumberFormat="1"/>
    <xf numFmtId="0" fontId="7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104775</xdr:rowOff>
    </xdr:from>
    <xdr:to>
      <xdr:col>3</xdr:col>
      <xdr:colOff>676275</xdr:colOff>
      <xdr:row>1</xdr:row>
      <xdr:rowOff>104775</xdr:rowOff>
    </xdr:to>
    <xdr:cxnSp macro="">
      <xdr:nvCxnSpPr>
        <xdr:cNvPr id="3" name="Conector recto de flecha 2"/>
        <xdr:cNvCxnSpPr/>
      </xdr:nvCxnSpPr>
      <xdr:spPr>
        <a:xfrm>
          <a:off x="1876425" y="2952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91</xdr:row>
      <xdr:rowOff>95250</xdr:rowOff>
    </xdr:from>
    <xdr:to>
      <xdr:col>6</xdr:col>
      <xdr:colOff>714375</xdr:colOff>
      <xdr:row>91</xdr:row>
      <xdr:rowOff>95250</xdr:rowOff>
    </xdr:to>
    <xdr:cxnSp macro="">
      <xdr:nvCxnSpPr>
        <xdr:cNvPr id="5" name="Conector recto de flecha 4"/>
        <xdr:cNvCxnSpPr/>
      </xdr:nvCxnSpPr>
      <xdr:spPr>
        <a:xfrm>
          <a:off x="4057650" y="7715250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91</xdr:row>
      <xdr:rowOff>104775</xdr:rowOff>
    </xdr:from>
    <xdr:to>
      <xdr:col>8</xdr:col>
      <xdr:colOff>704850</xdr:colOff>
      <xdr:row>91</xdr:row>
      <xdr:rowOff>104775</xdr:rowOff>
    </xdr:to>
    <xdr:cxnSp macro="">
      <xdr:nvCxnSpPr>
        <xdr:cNvPr id="7" name="Conector recto de flecha 6"/>
        <xdr:cNvCxnSpPr/>
      </xdr:nvCxnSpPr>
      <xdr:spPr>
        <a:xfrm>
          <a:off x="5553075" y="7724775"/>
          <a:ext cx="657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143</xdr:row>
      <xdr:rowOff>114300</xdr:rowOff>
    </xdr:from>
    <xdr:to>
      <xdr:col>5</xdr:col>
      <xdr:colOff>723900</xdr:colOff>
      <xdr:row>143</xdr:row>
      <xdr:rowOff>123825</xdr:rowOff>
    </xdr:to>
    <xdr:cxnSp macro="">
      <xdr:nvCxnSpPr>
        <xdr:cNvPr id="9" name="Conector recto de flecha 8"/>
        <xdr:cNvCxnSpPr/>
      </xdr:nvCxnSpPr>
      <xdr:spPr>
        <a:xfrm>
          <a:off x="3476625" y="11734800"/>
          <a:ext cx="4667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276225</xdr:colOff>
      <xdr:row>144</xdr:row>
      <xdr:rowOff>95250</xdr:rowOff>
    </xdr:from>
    <xdr:to>
      <xdr:col>5</xdr:col>
      <xdr:colOff>742950</xdr:colOff>
      <xdr:row>144</xdr:row>
      <xdr:rowOff>104775</xdr:rowOff>
    </xdr:to>
    <xdr:cxnSp macro="">
      <xdr:nvCxnSpPr>
        <xdr:cNvPr id="10" name="Conector recto de flecha 9"/>
        <xdr:cNvCxnSpPr/>
      </xdr:nvCxnSpPr>
      <xdr:spPr>
        <a:xfrm>
          <a:off x="3495675" y="11906250"/>
          <a:ext cx="4667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</xdr:row>
      <xdr:rowOff>95250</xdr:rowOff>
    </xdr:from>
    <xdr:to>
      <xdr:col>5</xdr:col>
      <xdr:colOff>657225</xdr:colOff>
      <xdr:row>1</xdr:row>
      <xdr:rowOff>104775</xdr:rowOff>
    </xdr:to>
    <xdr:cxnSp macro="">
      <xdr:nvCxnSpPr>
        <xdr:cNvPr id="12" name="Conector recto de flecha 11"/>
        <xdr:cNvCxnSpPr/>
      </xdr:nvCxnSpPr>
      <xdr:spPr>
        <a:xfrm>
          <a:off x="3381375" y="285750"/>
          <a:ext cx="4953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752475</xdr:colOff>
      <xdr:row>170</xdr:row>
      <xdr:rowOff>180975</xdr:rowOff>
    </xdr:from>
    <xdr:to>
      <xdr:col>12</xdr:col>
      <xdr:colOff>3064</xdr:colOff>
      <xdr:row>185</xdr:row>
      <xdr:rowOff>79106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925" y="32565975"/>
          <a:ext cx="4584589" cy="2755631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187</xdr:row>
      <xdr:rowOff>104775</xdr:rowOff>
    </xdr:from>
    <xdr:to>
      <xdr:col>4</xdr:col>
      <xdr:colOff>638175</xdr:colOff>
      <xdr:row>187</xdr:row>
      <xdr:rowOff>114300</xdr:rowOff>
    </xdr:to>
    <xdr:cxnSp macro="">
      <xdr:nvCxnSpPr>
        <xdr:cNvPr id="16" name="Conector recto de flecha 15"/>
        <xdr:cNvCxnSpPr/>
      </xdr:nvCxnSpPr>
      <xdr:spPr>
        <a:xfrm>
          <a:off x="2286000" y="17440275"/>
          <a:ext cx="8096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187</xdr:row>
      <xdr:rowOff>95250</xdr:rowOff>
    </xdr:from>
    <xdr:to>
      <xdr:col>6</xdr:col>
      <xdr:colOff>723900</xdr:colOff>
      <xdr:row>187</xdr:row>
      <xdr:rowOff>104775</xdr:rowOff>
    </xdr:to>
    <xdr:cxnSp macro="">
      <xdr:nvCxnSpPr>
        <xdr:cNvPr id="17" name="Conector recto de flecha 16"/>
        <xdr:cNvCxnSpPr/>
      </xdr:nvCxnSpPr>
      <xdr:spPr>
        <a:xfrm>
          <a:off x="4210050" y="17430750"/>
          <a:ext cx="4953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304800</xdr:colOff>
      <xdr:row>20</xdr:row>
      <xdr:rowOff>152400</xdr:rowOff>
    </xdr:from>
    <xdr:to>
      <xdr:col>7</xdr:col>
      <xdr:colOff>510052</xdr:colOff>
      <xdr:row>35</xdr:row>
      <xdr:rowOff>38338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" y="3962400"/>
          <a:ext cx="3158002" cy="2743438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44</xdr:row>
      <xdr:rowOff>171450</xdr:rowOff>
    </xdr:from>
    <xdr:to>
      <xdr:col>6</xdr:col>
      <xdr:colOff>443377</xdr:colOff>
      <xdr:row>59</xdr:row>
      <xdr:rowOff>57388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6825" y="8553450"/>
          <a:ext cx="3158002" cy="274343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69</xdr:row>
      <xdr:rowOff>9525</xdr:rowOff>
    </xdr:from>
    <xdr:to>
      <xdr:col>6</xdr:col>
      <xdr:colOff>243352</xdr:colOff>
      <xdr:row>83</xdr:row>
      <xdr:rowOff>85963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6800" y="13154025"/>
          <a:ext cx="3158002" cy="2743438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102</xdr:row>
      <xdr:rowOff>180975</xdr:rowOff>
    </xdr:from>
    <xdr:to>
      <xdr:col>6</xdr:col>
      <xdr:colOff>148102</xdr:colOff>
      <xdr:row>117</xdr:row>
      <xdr:rowOff>66913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1550" y="19611975"/>
          <a:ext cx="3158002" cy="274343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125</xdr:row>
      <xdr:rowOff>152400</xdr:rowOff>
    </xdr:from>
    <xdr:to>
      <xdr:col>6</xdr:col>
      <xdr:colOff>224302</xdr:colOff>
      <xdr:row>140</xdr:row>
      <xdr:rowOff>38338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23964900"/>
          <a:ext cx="3158002" cy="27434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6</xdr:col>
      <xdr:colOff>319552</xdr:colOff>
      <xdr:row>169</xdr:row>
      <xdr:rowOff>76438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29527500"/>
          <a:ext cx="3158002" cy="2743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8"/>
  <sheetViews>
    <sheetView tabSelected="1" zoomScale="60" zoomScaleNormal="60" workbookViewId="0">
      <selection activeCell="I162" sqref="I162"/>
    </sheetView>
  </sheetViews>
  <sheetFormatPr baseColWidth="10" defaultRowHeight="15" x14ac:dyDescent="0.25"/>
  <cols>
    <col min="2" max="2" width="5.7109375" bestFit="1" customWidth="1"/>
    <col min="3" max="3" width="9.7109375" customWidth="1"/>
    <col min="4" max="4" width="10" bestFit="1" customWidth="1"/>
  </cols>
  <sheetData>
    <row r="2" spans="1:10" x14ac:dyDescent="0.25">
      <c r="C2" s="2" t="s">
        <v>1</v>
      </c>
      <c r="E2" s="2" t="s">
        <v>0</v>
      </c>
      <c r="G2" s="1" t="s">
        <v>53</v>
      </c>
    </row>
    <row r="5" spans="1:10" x14ac:dyDescent="0.25">
      <c r="A5" t="s">
        <v>54</v>
      </c>
    </row>
    <row r="6" spans="1:10" x14ac:dyDescent="0.25">
      <c r="B6" t="s">
        <v>6</v>
      </c>
      <c r="C6" t="s">
        <v>7</v>
      </c>
      <c r="D6" t="s">
        <v>8</v>
      </c>
    </row>
    <row r="9" spans="1:10" x14ac:dyDescent="0.25">
      <c r="C9" t="s">
        <v>2</v>
      </c>
      <c r="D9" s="4" t="s">
        <v>3</v>
      </c>
      <c r="E9" s="3">
        <v>6</v>
      </c>
    </row>
    <row r="10" spans="1:10" x14ac:dyDescent="0.25">
      <c r="C10" t="s">
        <v>4</v>
      </c>
      <c r="D10" s="4" t="s">
        <v>3</v>
      </c>
      <c r="E10" s="3">
        <v>8</v>
      </c>
    </row>
    <row r="11" spans="1:10" x14ac:dyDescent="0.25">
      <c r="C11" t="s">
        <v>5</v>
      </c>
      <c r="D11" s="4" t="s">
        <v>3</v>
      </c>
      <c r="E11" s="3">
        <v>12</v>
      </c>
    </row>
    <row r="12" spans="1:10" x14ac:dyDescent="0.25">
      <c r="E12" s="3"/>
    </row>
    <row r="13" spans="1:10" x14ac:dyDescent="0.25">
      <c r="E13" s="3"/>
    </row>
    <row r="15" spans="1:10" x14ac:dyDescent="0.25">
      <c r="D15" s="5" t="s">
        <v>12</v>
      </c>
      <c r="E15" s="15">
        <v>4</v>
      </c>
      <c r="F15" s="15">
        <v>3</v>
      </c>
      <c r="G15" s="15">
        <v>0</v>
      </c>
      <c r="H15" s="15">
        <v>0</v>
      </c>
      <c r="I15" s="15">
        <v>0</v>
      </c>
      <c r="J15" s="19" t="s">
        <v>21</v>
      </c>
    </row>
    <row r="16" spans="1:10" x14ac:dyDescent="0.25">
      <c r="B16" s="7" t="s">
        <v>9</v>
      </c>
      <c r="C16" s="8" t="s">
        <v>10</v>
      </c>
      <c r="D16" s="8" t="s">
        <v>11</v>
      </c>
      <c r="E16" s="16" t="s">
        <v>16</v>
      </c>
      <c r="F16" s="16" t="s">
        <v>17</v>
      </c>
      <c r="G16" s="16" t="s">
        <v>18</v>
      </c>
      <c r="H16" s="16" t="s">
        <v>19</v>
      </c>
      <c r="I16" s="16" t="s">
        <v>20</v>
      </c>
      <c r="J16" s="20"/>
    </row>
    <row r="17" spans="2:10" x14ac:dyDescent="0.25">
      <c r="B17" s="9">
        <v>0</v>
      </c>
      <c r="C17" s="10" t="s">
        <v>13</v>
      </c>
      <c r="D17" s="13">
        <v>6</v>
      </c>
      <c r="E17" s="27">
        <v>1</v>
      </c>
      <c r="F17" s="26">
        <v>0</v>
      </c>
      <c r="G17" s="26">
        <v>1</v>
      </c>
      <c r="H17" s="26">
        <v>0</v>
      </c>
      <c r="I17" s="26">
        <v>0</v>
      </c>
      <c r="J17" s="23">
        <f>D17/E17</f>
        <v>6</v>
      </c>
    </row>
    <row r="18" spans="2:10" x14ac:dyDescent="0.25">
      <c r="B18" s="9">
        <v>0</v>
      </c>
      <c r="C18" s="10" t="s">
        <v>14</v>
      </c>
      <c r="D18" s="13">
        <v>8</v>
      </c>
      <c r="E18" s="21">
        <v>1</v>
      </c>
      <c r="F18" s="17">
        <v>1</v>
      </c>
      <c r="G18" s="17">
        <v>0</v>
      </c>
      <c r="H18" s="17">
        <v>1</v>
      </c>
      <c r="I18" s="17">
        <v>0</v>
      </c>
      <c r="J18" s="17">
        <f t="shared" ref="J18:J19" si="0">D18/E18</f>
        <v>8</v>
      </c>
    </row>
    <row r="19" spans="2:10" x14ac:dyDescent="0.25">
      <c r="B19" s="11">
        <v>0</v>
      </c>
      <c r="C19" s="12" t="s">
        <v>15</v>
      </c>
      <c r="D19" s="14">
        <v>12</v>
      </c>
      <c r="E19" s="22">
        <v>1</v>
      </c>
      <c r="F19" s="18">
        <v>2</v>
      </c>
      <c r="G19" s="18">
        <v>0</v>
      </c>
      <c r="H19" s="18">
        <v>0</v>
      </c>
      <c r="I19" s="18">
        <v>1</v>
      </c>
      <c r="J19" s="17">
        <f t="shared" si="0"/>
        <v>12</v>
      </c>
    </row>
    <row r="20" spans="2:10" x14ac:dyDescent="0.25">
      <c r="B20" s="6" t="s">
        <v>7</v>
      </c>
      <c r="C20" s="49">
        <f>B17*D17+B18*D18+B19*D19</f>
        <v>0</v>
      </c>
      <c r="D20" s="49"/>
      <c r="E20" s="33">
        <f>($B17*E17+$B18*E18+$B19*E19)-E15</f>
        <v>-4</v>
      </c>
      <c r="F20" s="31">
        <f t="shared" ref="F20:I20" si="1">($B17*F17+$B18*F18+$B19*F19)-F15</f>
        <v>-3</v>
      </c>
      <c r="G20" s="31">
        <f t="shared" si="1"/>
        <v>0</v>
      </c>
      <c r="H20" s="31">
        <f t="shared" si="1"/>
        <v>0</v>
      </c>
      <c r="I20" s="31">
        <f t="shared" si="1"/>
        <v>0</v>
      </c>
      <c r="J20" t="s">
        <v>22</v>
      </c>
    </row>
    <row r="21" spans="2:10" x14ac:dyDescent="0.25">
      <c r="B21" s="46"/>
      <c r="C21" s="13"/>
      <c r="D21" s="13"/>
      <c r="E21" s="47"/>
      <c r="F21" s="47"/>
      <c r="G21" s="47"/>
      <c r="H21" s="47"/>
      <c r="I21" s="47"/>
    </row>
    <row r="22" spans="2:10" x14ac:dyDescent="0.25">
      <c r="B22" s="46"/>
      <c r="C22" s="13"/>
      <c r="D22" s="13"/>
      <c r="E22" s="47"/>
      <c r="F22" s="47"/>
      <c r="G22" s="47"/>
      <c r="H22" s="47"/>
      <c r="I22" s="47"/>
    </row>
    <row r="23" spans="2:10" x14ac:dyDescent="0.25">
      <c r="B23" s="46"/>
      <c r="C23" s="13"/>
      <c r="D23" s="13"/>
      <c r="E23" s="47"/>
      <c r="F23" s="47"/>
      <c r="G23" s="47"/>
      <c r="H23" s="47"/>
      <c r="I23" s="47"/>
    </row>
    <row r="24" spans="2:10" x14ac:dyDescent="0.25">
      <c r="B24" s="46"/>
      <c r="C24" s="13"/>
      <c r="D24" s="13"/>
      <c r="E24" s="47"/>
      <c r="F24" s="47"/>
      <c r="G24" s="47"/>
      <c r="H24" s="47"/>
      <c r="I24" s="47" t="s">
        <v>66</v>
      </c>
      <c r="J24">
        <v>0</v>
      </c>
    </row>
    <row r="25" spans="2:10" x14ac:dyDescent="0.25">
      <c r="B25" s="46"/>
      <c r="C25" s="13"/>
      <c r="D25" s="13"/>
      <c r="E25" s="47"/>
      <c r="F25" s="47"/>
      <c r="G25" s="47"/>
      <c r="H25" s="47"/>
      <c r="I25" s="47" t="s">
        <v>67</v>
      </c>
      <c r="J25">
        <v>0</v>
      </c>
    </row>
    <row r="26" spans="2:10" x14ac:dyDescent="0.25">
      <c r="B26" s="46"/>
      <c r="C26" s="13"/>
      <c r="D26" s="13"/>
      <c r="E26" s="47"/>
      <c r="F26" s="47"/>
      <c r="G26" s="47"/>
      <c r="H26" s="47"/>
      <c r="I26" s="47" t="s">
        <v>68</v>
      </c>
      <c r="J26">
        <v>6</v>
      </c>
    </row>
    <row r="27" spans="2:10" x14ac:dyDescent="0.25">
      <c r="B27" s="46"/>
      <c r="C27" s="13"/>
      <c r="D27" s="13"/>
      <c r="E27" s="47"/>
      <c r="F27" s="47"/>
      <c r="G27" s="47"/>
      <c r="H27" s="47"/>
      <c r="I27" s="47" t="s">
        <v>69</v>
      </c>
      <c r="J27">
        <v>8</v>
      </c>
    </row>
    <row r="28" spans="2:10" x14ac:dyDescent="0.25">
      <c r="B28" s="46"/>
      <c r="C28" s="13"/>
      <c r="D28" s="13"/>
      <c r="E28" s="47"/>
      <c r="F28" s="47"/>
      <c r="G28" s="47"/>
      <c r="H28" s="47"/>
      <c r="I28" s="47" t="s">
        <v>70</v>
      </c>
      <c r="J28">
        <v>12</v>
      </c>
    </row>
    <row r="29" spans="2:10" x14ac:dyDescent="0.25">
      <c r="B29" s="46"/>
      <c r="C29" s="13"/>
      <c r="D29" s="13"/>
      <c r="E29" s="47"/>
      <c r="F29" s="47"/>
      <c r="G29" s="47"/>
      <c r="H29" s="47"/>
      <c r="I29" s="47"/>
    </row>
    <row r="30" spans="2:10" x14ac:dyDescent="0.25">
      <c r="B30" s="46"/>
      <c r="C30" s="13"/>
      <c r="D30" s="13"/>
      <c r="E30" s="47"/>
      <c r="F30" s="47"/>
      <c r="G30" s="47"/>
      <c r="H30" s="47"/>
      <c r="I30" s="47"/>
    </row>
    <row r="31" spans="2:10" x14ac:dyDescent="0.25">
      <c r="B31" s="46"/>
      <c r="C31" s="13"/>
      <c r="D31" s="13"/>
      <c r="E31" s="47"/>
      <c r="F31" s="47"/>
      <c r="G31" s="47"/>
      <c r="H31" s="47"/>
      <c r="I31" s="47"/>
    </row>
    <row r="32" spans="2:10" x14ac:dyDescent="0.25">
      <c r="B32" s="46"/>
      <c r="C32" s="13"/>
      <c r="D32" s="13"/>
      <c r="E32" s="47"/>
      <c r="F32" s="47"/>
      <c r="G32" s="47"/>
      <c r="H32" s="47"/>
      <c r="I32" s="47"/>
    </row>
    <row r="33" spans="2:10" x14ac:dyDescent="0.25">
      <c r="B33" s="46"/>
      <c r="C33" s="13"/>
      <c r="D33" s="13"/>
      <c r="E33" s="47"/>
      <c r="F33" s="47"/>
      <c r="G33" s="47"/>
      <c r="H33" s="47"/>
      <c r="I33" s="47"/>
    </row>
    <row r="34" spans="2:10" x14ac:dyDescent="0.25">
      <c r="B34" s="46"/>
      <c r="C34" s="13"/>
      <c r="D34" s="13"/>
      <c r="E34" s="47"/>
      <c r="F34" s="47"/>
      <c r="G34" s="47"/>
      <c r="H34" s="47"/>
      <c r="I34" s="47"/>
    </row>
    <row r="35" spans="2:10" x14ac:dyDescent="0.25">
      <c r="B35" s="46"/>
      <c r="C35" s="13"/>
      <c r="D35" s="13"/>
      <c r="E35" s="47"/>
      <c r="F35" s="47"/>
      <c r="G35" s="47"/>
      <c r="H35" s="47"/>
      <c r="I35" s="47"/>
    </row>
    <row r="36" spans="2:10" x14ac:dyDescent="0.25">
      <c r="B36" s="46"/>
      <c r="C36" s="13"/>
      <c r="D36" s="13"/>
      <c r="E36" s="47"/>
      <c r="F36" s="47"/>
      <c r="G36" s="47"/>
      <c r="H36" s="47"/>
      <c r="I36" s="47"/>
    </row>
    <row r="37" spans="2:10" x14ac:dyDescent="0.25">
      <c r="B37" s="46"/>
      <c r="C37" s="13"/>
      <c r="D37" s="13"/>
      <c r="E37" s="47"/>
      <c r="F37" s="47"/>
      <c r="G37" s="47"/>
      <c r="H37" s="47"/>
      <c r="I37" s="47"/>
    </row>
    <row r="39" spans="2:10" x14ac:dyDescent="0.25">
      <c r="D39" s="5" t="s">
        <v>12</v>
      </c>
      <c r="E39" s="15">
        <v>4</v>
      </c>
      <c r="F39" s="15">
        <v>3</v>
      </c>
      <c r="G39" s="15">
        <v>0</v>
      </c>
      <c r="H39" s="15">
        <v>0</v>
      </c>
      <c r="I39" s="15">
        <v>0</v>
      </c>
      <c r="J39" s="19" t="s">
        <v>21</v>
      </c>
    </row>
    <row r="40" spans="2:10" x14ac:dyDescent="0.25">
      <c r="B40" s="7" t="s">
        <v>9</v>
      </c>
      <c r="C40" s="8" t="s">
        <v>10</v>
      </c>
      <c r="D40" s="8" t="s">
        <v>11</v>
      </c>
      <c r="E40" s="16" t="s">
        <v>16</v>
      </c>
      <c r="F40" s="16" t="s">
        <v>17</v>
      </c>
      <c r="G40" s="16" t="s">
        <v>18</v>
      </c>
      <c r="H40" s="16" t="s">
        <v>19</v>
      </c>
      <c r="I40" s="16" t="s">
        <v>20</v>
      </c>
      <c r="J40" s="20"/>
    </row>
    <row r="41" spans="2:10" x14ac:dyDescent="0.25">
      <c r="B41" s="9">
        <v>4</v>
      </c>
      <c r="C41" s="10" t="s">
        <v>2</v>
      </c>
      <c r="D41" s="45">
        <v>6</v>
      </c>
      <c r="E41" s="28">
        <v>1</v>
      </c>
      <c r="F41" s="35">
        <v>0</v>
      </c>
      <c r="G41" s="29">
        <v>1</v>
      </c>
      <c r="H41" s="29">
        <v>0</v>
      </c>
      <c r="I41" s="29">
        <v>0</v>
      </c>
      <c r="J41" s="17" t="e">
        <f>D41/F41</f>
        <v>#DIV/0!</v>
      </c>
    </row>
    <row r="42" spans="2:10" x14ac:dyDescent="0.25">
      <c r="B42" s="9">
        <v>0</v>
      </c>
      <c r="C42" s="10" t="s">
        <v>14</v>
      </c>
      <c r="D42" s="13">
        <f>D18-(D17*E18)/E17</f>
        <v>2</v>
      </c>
      <c r="E42" s="25">
        <v>0</v>
      </c>
      <c r="F42" s="39">
        <f>F18-(E18*F17)/E17</f>
        <v>1</v>
      </c>
      <c r="G42" s="26">
        <f>G18-(E18*G17)/E17</f>
        <v>-1</v>
      </c>
      <c r="H42" s="26">
        <v>1</v>
      </c>
      <c r="I42" s="26">
        <v>0</v>
      </c>
      <c r="J42" s="23">
        <f>D42/F42</f>
        <v>2</v>
      </c>
    </row>
    <row r="43" spans="2:10" x14ac:dyDescent="0.25">
      <c r="B43" s="11">
        <v>0</v>
      </c>
      <c r="C43" s="12" t="s">
        <v>15</v>
      </c>
      <c r="D43" s="13">
        <f>D19-(D17*E19)/E17</f>
        <v>6</v>
      </c>
      <c r="E43" s="30">
        <v>0</v>
      </c>
      <c r="F43" s="35">
        <f>F19-(E19*F17)/E17</f>
        <v>2</v>
      </c>
      <c r="G43" s="29">
        <f>G19-(E19*G17)/E17</f>
        <v>-1</v>
      </c>
      <c r="H43" s="31">
        <v>0</v>
      </c>
      <c r="I43" s="31">
        <v>1</v>
      </c>
      <c r="J43" s="29">
        <f>D43/F43</f>
        <v>3</v>
      </c>
    </row>
    <row r="44" spans="2:10" x14ac:dyDescent="0.25">
      <c r="B44" s="6" t="s">
        <v>7</v>
      </c>
      <c r="C44" s="49">
        <f>B41*D41+B42*D42+B43*D43</f>
        <v>24</v>
      </c>
      <c r="D44" s="49"/>
      <c r="E44" s="31">
        <f>($B41*E41+$B42*E42+$B43*E43)-E39</f>
        <v>0</v>
      </c>
      <c r="F44" s="34">
        <f t="shared" ref="F44:I44" si="2">($B41*F41+$B42*F42+$B43*F43)-F39</f>
        <v>-3</v>
      </c>
      <c r="G44" s="32">
        <f t="shared" si="2"/>
        <v>4</v>
      </c>
      <c r="H44" s="31">
        <f t="shared" si="2"/>
        <v>0</v>
      </c>
      <c r="I44" s="31">
        <f t="shared" si="2"/>
        <v>0</v>
      </c>
      <c r="J44" t="s">
        <v>22</v>
      </c>
    </row>
    <row r="47" spans="2:10" x14ac:dyDescent="0.25">
      <c r="H47" s="47" t="s">
        <v>66</v>
      </c>
      <c r="I47">
        <v>6</v>
      </c>
    </row>
    <row r="48" spans="2:10" x14ac:dyDescent="0.25">
      <c r="H48" s="47" t="s">
        <v>67</v>
      </c>
      <c r="I48">
        <v>0</v>
      </c>
    </row>
    <row r="49" spans="2:10" x14ac:dyDescent="0.25">
      <c r="H49" s="47" t="s">
        <v>68</v>
      </c>
      <c r="I49">
        <v>0</v>
      </c>
    </row>
    <row r="50" spans="2:10" x14ac:dyDescent="0.25">
      <c r="H50" s="47" t="s">
        <v>69</v>
      </c>
      <c r="I50">
        <v>2</v>
      </c>
    </row>
    <row r="51" spans="2:10" x14ac:dyDescent="0.25">
      <c r="H51" s="47" t="s">
        <v>70</v>
      </c>
      <c r="I51">
        <v>6</v>
      </c>
    </row>
    <row r="62" spans="2:10" x14ac:dyDescent="0.25">
      <c r="B62" t="s">
        <v>24</v>
      </c>
    </row>
    <row r="63" spans="2:10" x14ac:dyDescent="0.25">
      <c r="D63" s="5" t="s">
        <v>12</v>
      </c>
      <c r="E63" s="15">
        <v>4</v>
      </c>
      <c r="F63" s="15">
        <v>3</v>
      </c>
      <c r="G63" s="15">
        <v>0</v>
      </c>
      <c r="H63" s="15">
        <v>0</v>
      </c>
      <c r="I63" s="15">
        <v>0</v>
      </c>
      <c r="J63" s="19" t="s">
        <v>21</v>
      </c>
    </row>
    <row r="64" spans="2:10" x14ac:dyDescent="0.25">
      <c r="B64" s="7" t="s">
        <v>9</v>
      </c>
      <c r="C64" s="8" t="s">
        <v>10</v>
      </c>
      <c r="D64" s="8" t="s">
        <v>11</v>
      </c>
      <c r="E64" s="16" t="s">
        <v>16</v>
      </c>
      <c r="F64" s="16" t="s">
        <v>17</v>
      </c>
      <c r="G64" s="16" t="s">
        <v>18</v>
      </c>
      <c r="H64" s="16" t="s">
        <v>19</v>
      </c>
      <c r="I64" s="16" t="s">
        <v>20</v>
      </c>
      <c r="J64" s="20"/>
    </row>
    <row r="65" spans="2:10" x14ac:dyDescent="0.25">
      <c r="B65" s="9">
        <v>4</v>
      </c>
      <c r="C65" s="10" t="s">
        <v>2</v>
      </c>
      <c r="D65" s="45">
        <f>D41-(D42*F41)/F42</f>
        <v>6</v>
      </c>
      <c r="E65" s="28">
        <v>1</v>
      </c>
      <c r="F65" s="29">
        <v>0</v>
      </c>
      <c r="G65" s="29">
        <f>G41-(F41*G42)/F42</f>
        <v>1</v>
      </c>
      <c r="H65" s="29">
        <f>H41-(F41*H42)/F42</f>
        <v>0</v>
      </c>
      <c r="I65" s="29">
        <v>0</v>
      </c>
      <c r="J65" s="17"/>
    </row>
    <row r="66" spans="2:10" x14ac:dyDescent="0.25">
      <c r="B66" s="9">
        <v>3</v>
      </c>
      <c r="C66" s="10" t="s">
        <v>23</v>
      </c>
      <c r="D66" s="13">
        <f>J42</f>
        <v>2</v>
      </c>
      <c r="E66" s="28">
        <v>0</v>
      </c>
      <c r="F66" s="29">
        <v>1</v>
      </c>
      <c r="G66" s="29">
        <f>G42-(E42*G41)/E41</f>
        <v>-1</v>
      </c>
      <c r="H66" s="29">
        <v>1</v>
      </c>
      <c r="I66" s="29">
        <v>0</v>
      </c>
      <c r="J66" s="29"/>
    </row>
    <row r="67" spans="2:10" x14ac:dyDescent="0.25">
      <c r="B67" s="11">
        <v>0</v>
      </c>
      <c r="C67" s="12" t="s">
        <v>15</v>
      </c>
      <c r="D67" s="13">
        <f>D43-(D42*F43)/F42</f>
        <v>2</v>
      </c>
      <c r="E67" s="30">
        <v>0</v>
      </c>
      <c r="F67" s="29">
        <v>0</v>
      </c>
      <c r="G67" s="29">
        <f>G43-(F43*G42)/F42</f>
        <v>1</v>
      </c>
      <c r="H67" s="29">
        <f>H43-(F43*H42)/F42</f>
        <v>-2</v>
      </c>
      <c r="I67" s="31">
        <v>1</v>
      </c>
      <c r="J67" s="29"/>
    </row>
    <row r="68" spans="2:10" x14ac:dyDescent="0.25">
      <c r="B68" s="6" t="s">
        <v>7</v>
      </c>
      <c r="C68" s="49">
        <f>B65*D65+B66*D66+B67*D67</f>
        <v>30</v>
      </c>
      <c r="D68" s="49"/>
      <c r="E68" s="31">
        <f>($B65*E65+$B66*E66+$B67*E67)-E63</f>
        <v>0</v>
      </c>
      <c r="F68" s="32">
        <f t="shared" ref="F68" si="3">($B65*F65+$B66*F66+$B67*F67)-F63</f>
        <v>0</v>
      </c>
      <c r="G68" s="32">
        <f t="shared" ref="G68" si="4">($B65*G65+$B66*G66+$B67*G67)-G63</f>
        <v>1</v>
      </c>
      <c r="H68" s="32">
        <f t="shared" ref="H68" si="5">($B65*H65+$B66*H66+$B67*H67)-H63</f>
        <v>3</v>
      </c>
      <c r="I68" s="31">
        <f t="shared" ref="I68" si="6">($B65*I65+$B66*I66+$B67*I67)-I63</f>
        <v>0</v>
      </c>
      <c r="J68" t="s">
        <v>22</v>
      </c>
    </row>
    <row r="71" spans="2:10" x14ac:dyDescent="0.25">
      <c r="H71" s="47" t="s">
        <v>66</v>
      </c>
      <c r="I71">
        <v>6</v>
      </c>
    </row>
    <row r="72" spans="2:10" x14ac:dyDescent="0.25">
      <c r="H72" s="47" t="s">
        <v>67</v>
      </c>
      <c r="I72">
        <v>2</v>
      </c>
    </row>
    <row r="73" spans="2:10" x14ac:dyDescent="0.25">
      <c r="H73" s="47" t="s">
        <v>68</v>
      </c>
      <c r="I73">
        <v>0</v>
      </c>
    </row>
    <row r="74" spans="2:10" x14ac:dyDescent="0.25">
      <c r="H74" s="47" t="s">
        <v>69</v>
      </c>
      <c r="I74">
        <v>0</v>
      </c>
    </row>
    <row r="75" spans="2:10" x14ac:dyDescent="0.25">
      <c r="H75" s="47" t="s">
        <v>70</v>
      </c>
      <c r="I75">
        <v>2</v>
      </c>
    </row>
    <row r="86" spans="2:11" x14ac:dyDescent="0.25">
      <c r="B86" t="s">
        <v>26</v>
      </c>
    </row>
    <row r="88" spans="2:11" x14ac:dyDescent="0.25">
      <c r="B88" t="s">
        <v>28</v>
      </c>
      <c r="C88" t="s">
        <v>29</v>
      </c>
    </row>
    <row r="90" spans="2:11" x14ac:dyDescent="0.25">
      <c r="B90" s="1" t="s">
        <v>25</v>
      </c>
      <c r="D90" t="s">
        <v>27</v>
      </c>
      <c r="E90" t="s">
        <v>30</v>
      </c>
    </row>
    <row r="91" spans="2:11" x14ac:dyDescent="0.25">
      <c r="B91" s="1" t="s">
        <v>31</v>
      </c>
      <c r="D91" t="s">
        <v>34</v>
      </c>
      <c r="E91" t="s">
        <v>35</v>
      </c>
    </row>
    <row r="92" spans="2:11" x14ac:dyDescent="0.25">
      <c r="B92" s="1" t="s">
        <v>32</v>
      </c>
      <c r="D92" t="s">
        <v>36</v>
      </c>
      <c r="E92" t="s">
        <v>37</v>
      </c>
      <c r="H92" t="s">
        <v>38</v>
      </c>
      <c r="J92" t="s">
        <v>39</v>
      </c>
      <c r="K92" t="s">
        <v>40</v>
      </c>
    </row>
    <row r="93" spans="2:11" x14ac:dyDescent="0.25">
      <c r="B93" s="1"/>
    </row>
    <row r="95" spans="2:11" x14ac:dyDescent="0.25">
      <c r="B95" s="1" t="s">
        <v>41</v>
      </c>
    </row>
    <row r="97" spans="2:10" x14ac:dyDescent="0.25">
      <c r="D97" s="5" t="s">
        <v>12</v>
      </c>
      <c r="E97" s="40">
        <v>3</v>
      </c>
      <c r="F97" s="15">
        <v>3</v>
      </c>
      <c r="G97" s="15">
        <v>0</v>
      </c>
      <c r="H97" s="15">
        <v>0</v>
      </c>
      <c r="I97" s="15">
        <v>0</v>
      </c>
      <c r="J97" s="19" t="s">
        <v>21</v>
      </c>
    </row>
    <row r="98" spans="2:10" x14ac:dyDescent="0.25">
      <c r="B98" s="7" t="s">
        <v>9</v>
      </c>
      <c r="C98" s="8" t="s">
        <v>10</v>
      </c>
      <c r="D98" s="8" t="s">
        <v>11</v>
      </c>
      <c r="E98" s="16" t="s">
        <v>16</v>
      </c>
      <c r="F98" s="16" t="s">
        <v>17</v>
      </c>
      <c r="G98" s="16" t="s">
        <v>18</v>
      </c>
      <c r="H98" s="16" t="s">
        <v>19</v>
      </c>
      <c r="I98" s="16" t="s">
        <v>20</v>
      </c>
      <c r="J98" s="20"/>
    </row>
    <row r="99" spans="2:10" x14ac:dyDescent="0.25">
      <c r="B99" s="41">
        <v>3</v>
      </c>
      <c r="C99" s="10" t="s">
        <v>2</v>
      </c>
      <c r="D99" s="13">
        <v>6</v>
      </c>
      <c r="E99" s="28">
        <v>1</v>
      </c>
      <c r="F99" s="29">
        <v>0</v>
      </c>
      <c r="G99" s="35">
        <v>1</v>
      </c>
      <c r="H99" s="29">
        <v>0</v>
      </c>
      <c r="I99" s="29">
        <v>0</v>
      </c>
      <c r="J99" s="17">
        <f>D99/G99</f>
        <v>6</v>
      </c>
    </row>
    <row r="100" spans="2:10" x14ac:dyDescent="0.25">
      <c r="B100" s="9">
        <v>3</v>
      </c>
      <c r="C100" s="10" t="s">
        <v>23</v>
      </c>
      <c r="D100" s="13">
        <v>2</v>
      </c>
      <c r="E100" s="28">
        <v>0</v>
      </c>
      <c r="F100" s="29">
        <v>1</v>
      </c>
      <c r="G100" s="35">
        <v>-1</v>
      </c>
      <c r="H100" s="29">
        <v>1</v>
      </c>
      <c r="I100" s="29">
        <v>0</v>
      </c>
      <c r="J100" s="29">
        <f>D100/G100</f>
        <v>-2</v>
      </c>
    </row>
    <row r="101" spans="2:10" x14ac:dyDescent="0.25">
      <c r="B101" s="11">
        <v>0</v>
      </c>
      <c r="C101" s="12" t="s">
        <v>15</v>
      </c>
      <c r="D101" s="13">
        <v>2</v>
      </c>
      <c r="E101" s="36">
        <v>0</v>
      </c>
      <c r="F101" s="37">
        <v>0</v>
      </c>
      <c r="G101" s="24">
        <v>1</v>
      </c>
      <c r="H101" s="37">
        <v>-2</v>
      </c>
      <c r="I101" s="38">
        <v>1</v>
      </c>
      <c r="J101" s="23">
        <f>D101/G101</f>
        <v>2</v>
      </c>
    </row>
    <row r="102" spans="2:10" x14ac:dyDescent="0.25">
      <c r="B102" s="6" t="s">
        <v>7</v>
      </c>
      <c r="C102" s="49">
        <f>B99*D99+B100*D100+B101*D101</f>
        <v>24</v>
      </c>
      <c r="D102" s="49"/>
      <c r="E102" s="32">
        <f>($B99*E99+$B100*E100+$B101*E101)-E97</f>
        <v>0</v>
      </c>
      <c r="F102" s="32">
        <f>($B99*F99+$B100*F100+$B101*F101)-F97</f>
        <v>0</v>
      </c>
      <c r="G102" s="42">
        <f>($B99*G99+$B100*G100+$B101*G101)-G97</f>
        <v>0</v>
      </c>
      <c r="H102" s="32">
        <f t="shared" ref="H102:I102" si="7">($B99*H99+$B100*H100+$B101*H101)-H97</f>
        <v>3</v>
      </c>
      <c r="I102" s="32">
        <f t="shared" si="7"/>
        <v>0</v>
      </c>
      <c r="J102" t="s">
        <v>22</v>
      </c>
    </row>
    <row r="103" spans="2:10" x14ac:dyDescent="0.25">
      <c r="B103" s="46"/>
      <c r="C103" s="13"/>
      <c r="D103" s="13"/>
      <c r="E103" s="47"/>
      <c r="F103" s="47"/>
      <c r="G103" s="48"/>
      <c r="H103" s="47"/>
      <c r="I103" s="47"/>
    </row>
    <row r="104" spans="2:10" x14ac:dyDescent="0.25">
      <c r="B104" s="46"/>
      <c r="C104" s="13"/>
      <c r="D104" s="13"/>
      <c r="E104" s="47"/>
      <c r="F104" s="47"/>
      <c r="G104" s="48"/>
      <c r="H104" s="47" t="s">
        <v>71</v>
      </c>
      <c r="I104" s="47">
        <v>3</v>
      </c>
    </row>
    <row r="105" spans="2:10" x14ac:dyDescent="0.25">
      <c r="B105" s="46"/>
      <c r="C105" s="13"/>
      <c r="D105" s="13"/>
      <c r="E105" s="47"/>
      <c r="F105" s="47"/>
      <c r="G105" s="48"/>
      <c r="H105" s="47" t="s">
        <v>66</v>
      </c>
      <c r="I105" s="4">
        <v>6</v>
      </c>
    </row>
    <row r="106" spans="2:10" x14ac:dyDescent="0.25">
      <c r="B106" s="46"/>
      <c r="C106" s="13"/>
      <c r="D106" s="13"/>
      <c r="E106" s="47"/>
      <c r="F106" s="47"/>
      <c r="G106" s="48"/>
      <c r="H106" s="47" t="s">
        <v>67</v>
      </c>
      <c r="I106" s="4">
        <v>2</v>
      </c>
    </row>
    <row r="107" spans="2:10" x14ac:dyDescent="0.25">
      <c r="B107" s="46"/>
      <c r="C107" s="13"/>
      <c r="D107" s="13"/>
      <c r="E107" s="47"/>
      <c r="F107" s="47"/>
      <c r="G107" s="48"/>
      <c r="H107" s="47" t="s">
        <v>68</v>
      </c>
      <c r="I107" s="4">
        <v>0</v>
      </c>
    </row>
    <row r="108" spans="2:10" x14ac:dyDescent="0.25">
      <c r="B108" s="46"/>
      <c r="C108" s="13"/>
      <c r="D108" s="13"/>
      <c r="E108" s="47"/>
      <c r="F108" s="47"/>
      <c r="G108" s="48"/>
      <c r="H108" s="47" t="s">
        <v>69</v>
      </c>
      <c r="I108" s="4">
        <v>0</v>
      </c>
    </row>
    <row r="109" spans="2:10" x14ac:dyDescent="0.25">
      <c r="B109" s="46"/>
      <c r="C109" s="13"/>
      <c r="D109" s="13"/>
      <c r="E109" s="47"/>
      <c r="F109" s="47"/>
      <c r="G109" s="48"/>
      <c r="H109" s="47" t="s">
        <v>70</v>
      </c>
      <c r="I109" s="4">
        <v>2</v>
      </c>
    </row>
    <row r="110" spans="2:10" x14ac:dyDescent="0.25">
      <c r="B110" s="46"/>
      <c r="C110" s="13"/>
      <c r="D110" s="13"/>
      <c r="E110" s="47"/>
      <c r="F110" s="47"/>
      <c r="G110" s="48"/>
      <c r="H110" s="47"/>
      <c r="I110" s="47"/>
    </row>
    <row r="111" spans="2:10" x14ac:dyDescent="0.25">
      <c r="B111" s="46"/>
      <c r="C111" s="13"/>
      <c r="D111" s="13"/>
      <c r="E111" s="47"/>
      <c r="F111" s="47"/>
      <c r="G111" s="48"/>
      <c r="H111" s="47"/>
      <c r="I111" s="47"/>
    </row>
    <row r="112" spans="2:10" x14ac:dyDescent="0.25">
      <c r="B112" s="46"/>
      <c r="C112" s="13"/>
      <c r="D112" s="13"/>
      <c r="E112" s="47"/>
      <c r="F112" s="47"/>
      <c r="G112" s="48"/>
      <c r="H112" s="47"/>
      <c r="I112" s="47"/>
    </row>
    <row r="113" spans="2:10" x14ac:dyDescent="0.25">
      <c r="B113" s="46"/>
      <c r="C113" s="13"/>
      <c r="D113" s="13"/>
      <c r="E113" s="47"/>
      <c r="F113" s="47"/>
      <c r="G113" s="48"/>
      <c r="H113" s="47"/>
      <c r="I113" s="47"/>
    </row>
    <row r="114" spans="2:10" x14ac:dyDescent="0.25">
      <c r="B114" s="46"/>
      <c r="C114" s="13"/>
      <c r="D114" s="13"/>
      <c r="E114" s="47"/>
      <c r="F114" s="47"/>
      <c r="G114" s="48"/>
      <c r="H114" s="47"/>
      <c r="I114" s="47"/>
    </row>
    <row r="115" spans="2:10" x14ac:dyDescent="0.25">
      <c r="B115" s="46"/>
      <c r="C115" s="13"/>
      <c r="D115" s="13"/>
      <c r="E115" s="47"/>
      <c r="F115" s="47"/>
      <c r="G115" s="48"/>
      <c r="H115" s="47"/>
      <c r="I115" s="47"/>
    </row>
    <row r="116" spans="2:10" x14ac:dyDescent="0.25">
      <c r="B116" s="46"/>
      <c r="C116" s="13"/>
      <c r="D116" s="13"/>
      <c r="E116" s="47"/>
      <c r="F116" s="47"/>
      <c r="G116" s="48"/>
      <c r="H116" s="47"/>
      <c r="I116" s="47"/>
    </row>
    <row r="117" spans="2:10" x14ac:dyDescent="0.25">
      <c r="B117" s="46"/>
      <c r="C117" s="13"/>
      <c r="D117" s="13"/>
      <c r="E117" s="47"/>
      <c r="F117" s="47"/>
      <c r="G117" s="48"/>
      <c r="H117" s="47"/>
      <c r="I117" s="47"/>
    </row>
    <row r="118" spans="2:10" x14ac:dyDescent="0.25">
      <c r="B118" s="46"/>
      <c r="C118" s="13"/>
      <c r="D118" s="13"/>
      <c r="E118" s="47"/>
      <c r="F118" s="47"/>
      <c r="G118" s="48"/>
      <c r="H118" s="47"/>
      <c r="I118" s="47"/>
    </row>
    <row r="120" spans="2:10" x14ac:dyDescent="0.25">
      <c r="D120" s="5" t="s">
        <v>12</v>
      </c>
      <c r="E120" s="40">
        <v>3</v>
      </c>
      <c r="F120" s="15">
        <v>3</v>
      </c>
      <c r="G120" s="15">
        <v>0</v>
      </c>
      <c r="H120" s="15">
        <v>0</v>
      </c>
      <c r="I120" s="15">
        <v>0</v>
      </c>
      <c r="J120" s="19" t="s">
        <v>21</v>
      </c>
    </row>
    <row r="121" spans="2:10" x14ac:dyDescent="0.25">
      <c r="B121" s="7" t="s">
        <v>9</v>
      </c>
      <c r="C121" s="8" t="s">
        <v>10</v>
      </c>
      <c r="D121" s="8" t="s">
        <v>11</v>
      </c>
      <c r="E121" s="16" t="s">
        <v>16</v>
      </c>
      <c r="F121" s="16" t="s">
        <v>17</v>
      </c>
      <c r="G121" s="16" t="s">
        <v>18</v>
      </c>
      <c r="H121" s="16" t="s">
        <v>19</v>
      </c>
      <c r="I121" s="16" t="s">
        <v>20</v>
      </c>
      <c r="J121" s="20"/>
    </row>
    <row r="122" spans="2:10" x14ac:dyDescent="0.25">
      <c r="B122" s="41">
        <v>3</v>
      </c>
      <c r="C122" s="10" t="s">
        <v>2</v>
      </c>
      <c r="D122" s="45">
        <f>D99-(D101*G99)/G101</f>
        <v>4</v>
      </c>
      <c r="E122" s="28">
        <v>1</v>
      </c>
      <c r="F122" s="29">
        <v>0</v>
      </c>
      <c r="G122" s="29">
        <v>0</v>
      </c>
      <c r="H122" s="29">
        <f>H99-(G99*H101)/G101</f>
        <v>2</v>
      </c>
      <c r="I122" s="29">
        <f>I99-(G99*I101)/G101</f>
        <v>-1</v>
      </c>
      <c r="J122" s="17"/>
    </row>
    <row r="123" spans="2:10" x14ac:dyDescent="0.25">
      <c r="B123" s="9">
        <v>3</v>
      </c>
      <c r="C123" s="10" t="s">
        <v>23</v>
      </c>
      <c r="D123" s="13">
        <f>D100-(D101*G100)/G101</f>
        <v>4</v>
      </c>
      <c r="E123" s="28">
        <v>0</v>
      </c>
      <c r="F123" s="29">
        <v>1</v>
      </c>
      <c r="G123" s="29">
        <v>0</v>
      </c>
      <c r="H123" s="29">
        <f>H100-(G100*H101)/G101</f>
        <v>-1</v>
      </c>
      <c r="I123" s="29">
        <f>I100-(G100*I101)/G101</f>
        <v>1</v>
      </c>
      <c r="J123" s="29"/>
    </row>
    <row r="124" spans="2:10" x14ac:dyDescent="0.25">
      <c r="B124" s="11">
        <v>0</v>
      </c>
      <c r="C124" s="12" t="s">
        <v>13</v>
      </c>
      <c r="D124" s="13">
        <v>2</v>
      </c>
      <c r="E124" s="30">
        <v>0</v>
      </c>
      <c r="F124" s="29">
        <v>0</v>
      </c>
      <c r="G124" s="29">
        <v>1</v>
      </c>
      <c r="H124" s="29">
        <v>-2</v>
      </c>
      <c r="I124" s="29">
        <v>1</v>
      </c>
      <c r="J124" s="29"/>
    </row>
    <row r="125" spans="2:10" x14ac:dyDescent="0.25">
      <c r="B125" s="6" t="s">
        <v>7</v>
      </c>
      <c r="C125" s="49">
        <f>B122*D122+B123*D123+B124*D124</f>
        <v>24</v>
      </c>
      <c r="D125" s="49"/>
      <c r="E125" s="32">
        <f>($B122*E122+$B123*E123+$B124*E124)-E120</f>
        <v>0</v>
      </c>
      <c r="F125" s="32">
        <f>($B122*F122+$B123*F123+$B124*F124)-F120</f>
        <v>0</v>
      </c>
      <c r="G125" s="43">
        <f>($B122*G122+$B123*G123+$B124*G124)-G120</f>
        <v>0</v>
      </c>
      <c r="H125" s="32">
        <f>($B122*H122+$B123*H123+$B124*H124)-H120</f>
        <v>3</v>
      </c>
      <c r="I125" s="32">
        <f t="shared" ref="I125" si="8">($B122*I122+$B123*I123+$B124*I124)-I120</f>
        <v>0</v>
      </c>
      <c r="J125" t="s">
        <v>22</v>
      </c>
    </row>
    <row r="128" spans="2:10" x14ac:dyDescent="0.25">
      <c r="H128" s="47" t="s">
        <v>72</v>
      </c>
      <c r="I128" s="47">
        <v>3</v>
      </c>
    </row>
    <row r="129" spans="2:9" x14ac:dyDescent="0.25">
      <c r="H129" s="47" t="s">
        <v>66</v>
      </c>
      <c r="I129" s="4">
        <v>4</v>
      </c>
    </row>
    <row r="130" spans="2:9" x14ac:dyDescent="0.25">
      <c r="H130" s="47" t="s">
        <v>67</v>
      </c>
      <c r="I130" s="4">
        <v>4</v>
      </c>
    </row>
    <row r="131" spans="2:9" x14ac:dyDescent="0.25">
      <c r="H131" s="47" t="s">
        <v>68</v>
      </c>
      <c r="I131" s="4">
        <v>2</v>
      </c>
    </row>
    <row r="132" spans="2:9" x14ac:dyDescent="0.25">
      <c r="H132" s="47" t="s">
        <v>69</v>
      </c>
      <c r="I132" s="4">
        <v>0</v>
      </c>
    </row>
    <row r="133" spans="2:9" x14ac:dyDescent="0.25">
      <c r="H133" s="47" t="s">
        <v>70</v>
      </c>
      <c r="I133" s="4">
        <v>0</v>
      </c>
    </row>
    <row r="142" spans="2:9" x14ac:dyDescent="0.25">
      <c r="B142" t="s">
        <v>42</v>
      </c>
    </row>
    <row r="144" spans="2:9" x14ac:dyDescent="0.25">
      <c r="B144" s="1" t="s">
        <v>33</v>
      </c>
      <c r="D144" t="s">
        <v>43</v>
      </c>
      <c r="E144" t="s">
        <v>47</v>
      </c>
      <c r="G144" t="s">
        <v>49</v>
      </c>
      <c r="I144" t="s">
        <v>46</v>
      </c>
    </row>
    <row r="145" spans="2:11" x14ac:dyDescent="0.25">
      <c r="B145" s="1" t="s">
        <v>44</v>
      </c>
      <c r="D145" t="s">
        <v>45</v>
      </c>
      <c r="E145" s="44" t="s">
        <v>48</v>
      </c>
      <c r="G145" t="s">
        <v>50</v>
      </c>
      <c r="H145" t="s">
        <v>55</v>
      </c>
    </row>
    <row r="147" spans="2:11" x14ac:dyDescent="0.25">
      <c r="B147" s="1" t="s">
        <v>51</v>
      </c>
    </row>
    <row r="149" spans="2:11" x14ac:dyDescent="0.25">
      <c r="D149" s="5" t="s">
        <v>12</v>
      </c>
      <c r="E149" s="40">
        <v>1.5</v>
      </c>
      <c r="F149" s="15">
        <v>3</v>
      </c>
      <c r="G149" s="15">
        <v>0</v>
      </c>
      <c r="H149" s="15">
        <v>0</v>
      </c>
      <c r="I149" s="15">
        <v>0</v>
      </c>
      <c r="J149" s="19" t="s">
        <v>21</v>
      </c>
    </row>
    <row r="150" spans="2:11" x14ac:dyDescent="0.25">
      <c r="B150" s="7" t="s">
        <v>9</v>
      </c>
      <c r="C150" s="8" t="s">
        <v>10</v>
      </c>
      <c r="D150" s="8" t="s">
        <v>11</v>
      </c>
      <c r="E150" s="16" t="s">
        <v>16</v>
      </c>
      <c r="F150" s="16" t="s">
        <v>17</v>
      </c>
      <c r="G150" s="16" t="s">
        <v>18</v>
      </c>
      <c r="H150" s="16" t="s">
        <v>19</v>
      </c>
      <c r="I150" s="16" t="s">
        <v>20</v>
      </c>
      <c r="J150" s="20"/>
    </row>
    <row r="151" spans="2:11" x14ac:dyDescent="0.25">
      <c r="B151" s="41">
        <v>1.5</v>
      </c>
      <c r="C151" s="10" t="s">
        <v>2</v>
      </c>
      <c r="D151" s="45">
        <v>4</v>
      </c>
      <c r="E151" s="25">
        <v>1</v>
      </c>
      <c r="F151" s="26">
        <v>0</v>
      </c>
      <c r="G151" s="26">
        <v>0</v>
      </c>
      <c r="H151" s="39">
        <v>2</v>
      </c>
      <c r="I151" s="26">
        <v>-1</v>
      </c>
      <c r="J151" s="23">
        <f>D151/H151</f>
        <v>2</v>
      </c>
      <c r="K151" t="s">
        <v>52</v>
      </c>
    </row>
    <row r="152" spans="2:11" x14ac:dyDescent="0.25">
      <c r="B152" s="9">
        <v>3</v>
      </c>
      <c r="C152" s="10" t="s">
        <v>23</v>
      </c>
      <c r="D152" s="13">
        <v>4</v>
      </c>
      <c r="E152" s="28">
        <v>0</v>
      </c>
      <c r="F152" s="29">
        <v>1</v>
      </c>
      <c r="G152" s="29">
        <v>0</v>
      </c>
      <c r="H152" s="35">
        <v>-1</v>
      </c>
      <c r="I152" s="29">
        <v>1</v>
      </c>
      <c r="J152" s="29">
        <f>D152/H152</f>
        <v>-4</v>
      </c>
    </row>
    <row r="153" spans="2:11" x14ac:dyDescent="0.25">
      <c r="B153" s="11">
        <v>0</v>
      </c>
      <c r="C153" s="12" t="s">
        <v>13</v>
      </c>
      <c r="D153" s="13">
        <v>2</v>
      </c>
      <c r="E153" s="30">
        <v>0</v>
      </c>
      <c r="F153" s="29">
        <v>0</v>
      </c>
      <c r="G153" s="29">
        <v>1</v>
      </c>
      <c r="H153" s="35">
        <v>-2</v>
      </c>
      <c r="I153" s="29">
        <v>1</v>
      </c>
      <c r="J153" s="29">
        <f>D153/H153</f>
        <v>-1</v>
      </c>
    </row>
    <row r="154" spans="2:11" x14ac:dyDescent="0.25">
      <c r="B154" s="6" t="s">
        <v>7</v>
      </c>
      <c r="C154" s="49">
        <f>B151*D151+B152*D152+B153*D153</f>
        <v>18</v>
      </c>
      <c r="D154" s="49"/>
      <c r="E154" s="32">
        <f>($B151*E151+$B152*E152+$B153*E153)-E149</f>
        <v>0</v>
      </c>
      <c r="F154" s="32">
        <f>($B151*F151+$B152*F152+$B153*F153)-F149</f>
        <v>0</v>
      </c>
      <c r="G154" s="43">
        <f>($B151*G151+$B152*G152+$B153*G153)-G149</f>
        <v>0</v>
      </c>
      <c r="H154" s="42">
        <v>0</v>
      </c>
      <c r="I154" s="32">
        <f t="shared" ref="I154" si="9">($B151*I151+$B152*I152+$B153*I153)-I149</f>
        <v>1.5</v>
      </c>
      <c r="J154" t="s">
        <v>22</v>
      </c>
    </row>
    <row r="157" spans="2:11" x14ac:dyDescent="0.25">
      <c r="H157" s="47" t="s">
        <v>72</v>
      </c>
      <c r="I157" s="47">
        <v>1.5</v>
      </c>
    </row>
    <row r="158" spans="2:11" x14ac:dyDescent="0.25">
      <c r="H158" s="47" t="s">
        <v>66</v>
      </c>
      <c r="I158" s="4">
        <v>0</v>
      </c>
    </row>
    <row r="172" spans="2:5" x14ac:dyDescent="0.25">
      <c r="B172" t="s">
        <v>56</v>
      </c>
    </row>
    <row r="174" spans="2:5" x14ac:dyDescent="0.25">
      <c r="C174" t="s">
        <v>57</v>
      </c>
      <c r="E174" t="s">
        <v>58</v>
      </c>
    </row>
    <row r="175" spans="2:5" x14ac:dyDescent="0.25">
      <c r="C175" t="s">
        <v>59</v>
      </c>
      <c r="E175" t="s">
        <v>60</v>
      </c>
    </row>
    <row r="176" spans="2:5" x14ac:dyDescent="0.25">
      <c r="C176" t="s">
        <v>61</v>
      </c>
      <c r="E176" t="s">
        <v>62</v>
      </c>
    </row>
    <row r="188" spans="2:8" x14ac:dyDescent="0.25">
      <c r="B188" s="2" t="s">
        <v>63</v>
      </c>
      <c r="F188" s="2" t="s">
        <v>64</v>
      </c>
      <c r="H188" s="1" t="s">
        <v>65</v>
      </c>
    </row>
  </sheetData>
  <mergeCells count="6">
    <mergeCell ref="C154:D154"/>
    <mergeCell ref="C20:D20"/>
    <mergeCell ref="C44:D44"/>
    <mergeCell ref="C68:D68"/>
    <mergeCell ref="C102:D102"/>
    <mergeCell ref="C125:D1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Fravega</dc:creator>
  <cp:lastModifiedBy>Fravega</cp:lastModifiedBy>
  <dcterms:created xsi:type="dcterms:W3CDTF">2015-10-13T02:28:13Z</dcterms:created>
  <dcterms:modified xsi:type="dcterms:W3CDTF">2015-10-19T23:15:03Z</dcterms:modified>
</cp:coreProperties>
</file>