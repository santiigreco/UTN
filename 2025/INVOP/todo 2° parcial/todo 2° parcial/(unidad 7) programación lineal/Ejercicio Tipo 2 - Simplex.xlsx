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6515" windowHeight="7995"/>
  </bookViews>
  <sheets>
    <sheet name="Enunciado" sheetId="2" r:id="rId1"/>
    <sheet name="Resolución" sheetId="1" r:id="rId2"/>
  </sheets>
  <calcPr calcId="125725"/>
</workbook>
</file>

<file path=xl/calcChain.xml><?xml version="1.0" encoding="utf-8"?>
<calcChain xmlns="http://schemas.openxmlformats.org/spreadsheetml/2006/main">
  <c r="J26" i="1"/>
  <c r="G20"/>
  <c r="F27"/>
  <c r="F30" s="1"/>
  <c r="D17"/>
  <c r="M17" s="1"/>
  <c r="F17"/>
  <c r="H17"/>
  <c r="K17"/>
  <c r="K27" s="1"/>
  <c r="K16"/>
  <c r="H16"/>
  <c r="F16"/>
  <c r="D16"/>
  <c r="M16" s="1"/>
  <c r="K10"/>
  <c r="J10"/>
  <c r="I10"/>
  <c r="H10"/>
  <c r="G10"/>
  <c r="F10"/>
  <c r="K18"/>
  <c r="J18"/>
  <c r="J20" s="1"/>
  <c r="I18"/>
  <c r="I20" s="1"/>
  <c r="H18"/>
  <c r="G18"/>
  <c r="F18"/>
  <c r="K28" s="1"/>
  <c r="D18"/>
  <c r="D10"/>
  <c r="J16"/>
  <c r="M8"/>
  <c r="M7"/>
  <c r="M6"/>
  <c r="H28" l="1"/>
  <c r="H20"/>
  <c r="K26"/>
  <c r="J27"/>
  <c r="I27"/>
  <c r="I30" s="1"/>
  <c r="D26"/>
  <c r="K20"/>
  <c r="D20"/>
  <c r="D27"/>
  <c r="F20"/>
  <c r="M18"/>
  <c r="H27"/>
  <c r="H26"/>
  <c r="K36" s="1"/>
  <c r="J28"/>
  <c r="J30" s="1"/>
  <c r="G27"/>
  <c r="G30" s="1"/>
  <c r="D28"/>
  <c r="K30"/>
  <c r="J36" l="1"/>
  <c r="H30"/>
  <c r="M28"/>
  <c r="K38"/>
  <c r="J37"/>
  <c r="G36"/>
  <c r="G40" s="1"/>
  <c r="D38"/>
  <c r="K37"/>
  <c r="D37"/>
  <c r="H36"/>
  <c r="H40" s="1"/>
  <c r="I38"/>
  <c r="F37"/>
  <c r="F47" s="1"/>
  <c r="I36"/>
  <c r="J38"/>
  <c r="I37"/>
  <c r="I47" s="1"/>
  <c r="F36"/>
  <c r="F40" s="1"/>
  <c r="D36"/>
  <c r="M26"/>
  <c r="D30"/>
  <c r="M27"/>
  <c r="J40" l="1"/>
  <c r="K47"/>
  <c r="K40"/>
  <c r="M36"/>
  <c r="D40"/>
  <c r="D47"/>
  <c r="M37"/>
  <c r="F48"/>
  <c r="I46"/>
  <c r="I50" s="1"/>
  <c r="D46"/>
  <c r="D50" s="1"/>
  <c r="H47"/>
  <c r="I48"/>
  <c r="J46"/>
  <c r="J50" s="1"/>
  <c r="F46"/>
  <c r="F50" s="1"/>
  <c r="K48"/>
  <c r="K46"/>
  <c r="G46"/>
  <c r="G50" s="1"/>
  <c r="J47"/>
  <c r="D48"/>
  <c r="G47"/>
  <c r="H46"/>
  <c r="H50" s="1"/>
  <c r="M38"/>
  <c r="I40"/>
  <c r="K50" l="1"/>
</calcChain>
</file>

<file path=xl/sharedStrings.xml><?xml version="1.0" encoding="utf-8"?>
<sst xmlns="http://schemas.openxmlformats.org/spreadsheetml/2006/main" count="75" uniqueCount="16">
  <si>
    <t>x4</t>
  </si>
  <si>
    <t>x5</t>
  </si>
  <si>
    <t>x6</t>
  </si>
  <si>
    <t>x2</t>
  </si>
  <si>
    <t>x1</t>
  </si>
  <si>
    <t>x3</t>
  </si>
  <si>
    <t>zj</t>
  </si>
  <si>
    <t>ck</t>
  </si>
  <si>
    <t>xk</t>
  </si>
  <si>
    <t>bk</t>
  </si>
  <si>
    <t>ɵ</t>
  </si>
  <si>
    <t>Tabla inicial del Primal (TIP)</t>
  </si>
  <si>
    <t>1er iteración</t>
  </si>
  <si>
    <t>2da iteración</t>
  </si>
  <si>
    <t>3er iteración</t>
  </si>
  <si>
    <t>Tabla óptima del Primal (TOP)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</si>
</sst>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28575</xdr:colOff>
      <xdr:row>12</xdr:row>
      <xdr:rowOff>47625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124575" cy="2333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76200</xdr:colOff>
      <xdr:row>11</xdr:row>
      <xdr:rowOff>95250</xdr:rowOff>
    </xdr:from>
    <xdr:to>
      <xdr:col>7</xdr:col>
      <xdr:colOff>590550</xdr:colOff>
      <xdr:row>15</xdr:row>
      <xdr:rowOff>142875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200" y="2190750"/>
          <a:ext cx="584835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>
      <selection activeCell="C24" sqref="C24"/>
    </sheetView>
  </sheetViews>
  <sheetFormatPr baseColWidth="10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N53"/>
  <sheetViews>
    <sheetView showGridLines="0" workbookViewId="0"/>
  </sheetViews>
  <sheetFormatPr baseColWidth="10" defaultRowHeight="15"/>
  <cols>
    <col min="1" max="1" width="4.7109375" customWidth="1"/>
    <col min="4" max="4" width="11.5703125" bestFit="1" customWidth="1"/>
    <col min="5" max="5" width="2.7109375" customWidth="1"/>
    <col min="12" max="12" width="2.7109375" customWidth="1"/>
  </cols>
  <sheetData>
    <row r="2" spans="2:14">
      <c r="B2" s="20" t="s">
        <v>11</v>
      </c>
      <c r="C2" s="20"/>
      <c r="D2" s="20"/>
    </row>
    <row r="3" spans="2:14">
      <c r="B3" s="9" t="s">
        <v>7</v>
      </c>
      <c r="C3" s="9" t="s">
        <v>8</v>
      </c>
      <c r="D3" s="9" t="s">
        <v>9</v>
      </c>
      <c r="E3" s="6"/>
      <c r="F3" s="1" t="s">
        <v>4</v>
      </c>
      <c r="G3" s="1" t="s">
        <v>3</v>
      </c>
      <c r="H3" s="1" t="s">
        <v>5</v>
      </c>
      <c r="I3" s="1" t="s">
        <v>0</v>
      </c>
      <c r="J3" s="1" t="s">
        <v>1</v>
      </c>
      <c r="K3" s="1" t="s">
        <v>2</v>
      </c>
      <c r="L3" s="2"/>
      <c r="M3" s="2"/>
      <c r="N3" s="2"/>
    </row>
    <row r="4" spans="2:14">
      <c r="B4" s="9"/>
      <c r="C4" s="9"/>
      <c r="D4" s="9"/>
      <c r="E4" s="7"/>
      <c r="F4" s="1">
        <v>20</v>
      </c>
      <c r="G4" s="1">
        <v>35</v>
      </c>
      <c r="H4" s="10">
        <v>-0.06</v>
      </c>
      <c r="I4" s="1">
        <v>0</v>
      </c>
      <c r="J4" s="1">
        <v>0</v>
      </c>
      <c r="K4" s="1">
        <v>0</v>
      </c>
      <c r="L4" s="2"/>
      <c r="M4" s="19" t="s">
        <v>10</v>
      </c>
      <c r="N4" s="2"/>
    </row>
    <row r="5" spans="2:14" ht="3" customHeight="1">
      <c r="B5" s="5"/>
      <c r="C5" s="5"/>
      <c r="D5" s="5"/>
      <c r="E5" s="7"/>
      <c r="F5" s="2"/>
      <c r="G5" s="2"/>
      <c r="H5" s="4"/>
      <c r="I5" s="2"/>
      <c r="J5" s="2"/>
      <c r="K5" s="2"/>
      <c r="L5" s="2"/>
      <c r="M5" s="2"/>
      <c r="N5" s="2"/>
    </row>
    <row r="6" spans="2:14">
      <c r="B6" s="1">
        <v>0</v>
      </c>
      <c r="C6" s="1" t="s">
        <v>0</v>
      </c>
      <c r="D6" s="1">
        <v>20000</v>
      </c>
      <c r="E6" s="8"/>
      <c r="F6" s="1">
        <v>20</v>
      </c>
      <c r="G6" s="12">
        <v>30</v>
      </c>
      <c r="H6" s="1">
        <v>0.2</v>
      </c>
      <c r="I6" s="1">
        <v>1</v>
      </c>
      <c r="J6" s="1">
        <v>0</v>
      </c>
      <c r="K6" s="1">
        <v>0</v>
      </c>
      <c r="L6" s="2"/>
      <c r="M6" s="11">
        <f>+D6/G6</f>
        <v>666.66666666666663</v>
      </c>
      <c r="N6" s="2"/>
    </row>
    <row r="7" spans="2:14">
      <c r="B7" s="1">
        <v>0</v>
      </c>
      <c r="C7" s="1" t="s">
        <v>1</v>
      </c>
      <c r="D7" s="1">
        <v>60000</v>
      </c>
      <c r="E7" s="8"/>
      <c r="F7" s="1">
        <v>80</v>
      </c>
      <c r="G7" s="12">
        <v>60</v>
      </c>
      <c r="H7" s="1">
        <v>0.75</v>
      </c>
      <c r="I7" s="1">
        <v>0</v>
      </c>
      <c r="J7" s="1">
        <v>1</v>
      </c>
      <c r="K7" s="1">
        <v>0</v>
      </c>
      <c r="L7" s="2"/>
      <c r="M7" s="11">
        <f>+D7/G7</f>
        <v>1000</v>
      </c>
      <c r="N7" s="2"/>
    </row>
    <row r="8" spans="2:14">
      <c r="B8" s="1">
        <v>0</v>
      </c>
      <c r="C8" s="1" t="s">
        <v>2</v>
      </c>
      <c r="D8" s="1">
        <v>0</v>
      </c>
      <c r="E8" s="8"/>
      <c r="F8" s="1">
        <v>0</v>
      </c>
      <c r="G8" s="13">
        <v>10</v>
      </c>
      <c r="H8" s="10">
        <v>-1</v>
      </c>
      <c r="I8" s="1">
        <v>0</v>
      </c>
      <c r="J8" s="1">
        <v>0</v>
      </c>
      <c r="K8" s="1">
        <v>1</v>
      </c>
      <c r="L8" s="2"/>
      <c r="M8" s="11">
        <f>+D8/G8</f>
        <v>0</v>
      </c>
      <c r="N8" s="2"/>
    </row>
    <row r="9" spans="2:14" ht="3" customHeight="1">
      <c r="B9" s="8"/>
      <c r="C9" s="8"/>
      <c r="D9" s="5"/>
      <c r="E9" s="7"/>
      <c r="F9" s="2"/>
      <c r="G9" s="2"/>
      <c r="H9" s="4"/>
      <c r="I9" s="2"/>
      <c r="J9" s="2"/>
      <c r="K9" s="2"/>
      <c r="L9" s="2"/>
      <c r="M9" s="2"/>
      <c r="N9" s="2"/>
    </row>
    <row r="10" spans="2:14">
      <c r="B10" s="14"/>
      <c r="C10" s="15" t="s">
        <v>6</v>
      </c>
      <c r="D10" s="1">
        <f>+D6*B6+D7*B7+D8*B8</f>
        <v>0</v>
      </c>
      <c r="E10" s="2"/>
      <c r="F10" s="1">
        <f>+F6*$B$6+F7*$B$7+F8*$B$8-F4</f>
        <v>-20</v>
      </c>
      <c r="G10" s="1">
        <f>+G6*$B$6+G7*$B$7+G8*$B$8-G4</f>
        <v>-35</v>
      </c>
      <c r="H10" s="1">
        <f>+H6*$B$6+H7*$B$7+H8*$B$8-H4</f>
        <v>0.06</v>
      </c>
      <c r="I10" s="1">
        <f>+I6*$B$6+I7*$B$7+I8*$B$8-I4</f>
        <v>0</v>
      </c>
      <c r="J10" s="1">
        <f>+J6*$B$6+J7*$B$7+J8*$B$8-J4</f>
        <v>0</v>
      </c>
      <c r="K10" s="1">
        <f>+K6*$B$6+K7*$B$7+K8*$B$8-K4</f>
        <v>0</v>
      </c>
      <c r="L10" s="2"/>
      <c r="M10" s="2"/>
      <c r="N10" s="2"/>
    </row>
    <row r="11" spans="2:14"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>
      <c r="B12" s="20" t="s">
        <v>12</v>
      </c>
      <c r="C12" s="20"/>
      <c r="D12" s="20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9" t="s">
        <v>7</v>
      </c>
      <c r="C13" s="9" t="s">
        <v>8</v>
      </c>
      <c r="D13" s="9" t="s">
        <v>9</v>
      </c>
      <c r="E13" s="6"/>
      <c r="F13" s="1" t="s">
        <v>4</v>
      </c>
      <c r="G13" s="1" t="s">
        <v>3</v>
      </c>
      <c r="H13" s="1" t="s">
        <v>5</v>
      </c>
      <c r="I13" s="1" t="s">
        <v>0</v>
      </c>
      <c r="J13" s="1" t="s">
        <v>1</v>
      </c>
      <c r="K13" s="1" t="s">
        <v>2</v>
      </c>
      <c r="L13" s="2"/>
      <c r="M13" s="2"/>
      <c r="N13" s="2"/>
    </row>
    <row r="14" spans="2:14">
      <c r="B14" s="9"/>
      <c r="C14" s="9"/>
      <c r="D14" s="9"/>
      <c r="E14" s="7"/>
      <c r="F14" s="1">
        <v>20</v>
      </c>
      <c r="G14" s="1">
        <v>35</v>
      </c>
      <c r="H14" s="10">
        <v>-0.06</v>
      </c>
      <c r="I14" s="1">
        <v>0</v>
      </c>
      <c r="J14" s="1">
        <v>0</v>
      </c>
      <c r="K14" s="1">
        <v>0</v>
      </c>
      <c r="L14" s="2"/>
      <c r="M14" s="19" t="s">
        <v>10</v>
      </c>
      <c r="N14" s="2"/>
    </row>
    <row r="15" spans="2:14" ht="3" customHeight="1">
      <c r="B15" s="5"/>
      <c r="C15" s="5"/>
      <c r="D15" s="5"/>
      <c r="E15" s="7"/>
      <c r="F15" s="2"/>
      <c r="G15" s="2"/>
      <c r="H15" s="4"/>
      <c r="I15" s="2"/>
      <c r="J15" s="2"/>
      <c r="K15" s="2"/>
      <c r="L15" s="2"/>
      <c r="M15" s="2"/>
      <c r="N15" s="2"/>
    </row>
    <row r="16" spans="2:14">
      <c r="B16" s="1">
        <v>0</v>
      </c>
      <c r="C16" s="1" t="s">
        <v>0</v>
      </c>
      <c r="D16" s="1">
        <f>+($G$8*D6-D8*G6)/$G$8</f>
        <v>20000</v>
      </c>
      <c r="E16" s="8"/>
      <c r="F16" s="1">
        <f>+($G$8*F6-F8*G6)/$G$8</f>
        <v>20</v>
      </c>
      <c r="G16" s="1">
        <v>0</v>
      </c>
      <c r="H16" s="1">
        <f>+($G$8*H6-H8*G6)/$G$8</f>
        <v>3.2</v>
      </c>
      <c r="I16" s="1">
        <v>1</v>
      </c>
      <c r="J16" s="1">
        <f>+J6/$G$6</f>
        <v>0</v>
      </c>
      <c r="K16" s="1">
        <f>+($G$8*K6-K8*G6)/$G$8</f>
        <v>-3</v>
      </c>
      <c r="L16" s="2"/>
      <c r="M16" s="1">
        <f>+D16/F16</f>
        <v>1000</v>
      </c>
      <c r="N16" s="2"/>
    </row>
    <row r="17" spans="2:14">
      <c r="B17" s="1">
        <v>0</v>
      </c>
      <c r="C17" s="1" t="s">
        <v>1</v>
      </c>
      <c r="D17" s="1">
        <f>+($G$8*D7-D8*G7)/$G$8</f>
        <v>60000</v>
      </c>
      <c r="E17" s="8"/>
      <c r="F17" s="13">
        <f>+($G$8*F7-F8*G7)/$G$8</f>
        <v>80</v>
      </c>
      <c r="G17" s="1">
        <v>0</v>
      </c>
      <c r="H17" s="1">
        <f>+($G$8*H7-H8*G7)/$G$8</f>
        <v>6.75</v>
      </c>
      <c r="I17" s="1">
        <v>0</v>
      </c>
      <c r="J17" s="1">
        <v>1</v>
      </c>
      <c r="K17" s="1">
        <f>+($G$8*K7-K8*G7)/$G$8</f>
        <v>-6</v>
      </c>
      <c r="L17" s="2"/>
      <c r="M17" s="1">
        <f>+D17/F17</f>
        <v>750</v>
      </c>
      <c r="N17" s="2"/>
    </row>
    <row r="18" spans="2:14">
      <c r="B18" s="1">
        <v>35</v>
      </c>
      <c r="C18" s="1" t="s">
        <v>3</v>
      </c>
      <c r="D18" s="1">
        <f>+D8/$G$8</f>
        <v>0</v>
      </c>
      <c r="E18" s="8"/>
      <c r="F18" s="1">
        <f>+F8/$G$8</f>
        <v>0</v>
      </c>
      <c r="G18" s="1">
        <f>+G8/$G$8</f>
        <v>1</v>
      </c>
      <c r="H18" s="1">
        <f>+H8/$G$8</f>
        <v>-0.1</v>
      </c>
      <c r="I18" s="1">
        <f>+I8/$G$8</f>
        <v>0</v>
      </c>
      <c r="J18" s="1">
        <f>+J8/$G$8</f>
        <v>0</v>
      </c>
      <c r="K18" s="1">
        <f>+K8/$G$8</f>
        <v>0.1</v>
      </c>
      <c r="L18" s="2"/>
      <c r="M18" s="1" t="e">
        <f>+D18/F18</f>
        <v>#DIV/0!</v>
      </c>
      <c r="N18" s="2"/>
    </row>
    <row r="19" spans="2:14" ht="3" customHeight="1">
      <c r="B19" s="8"/>
      <c r="C19" s="8"/>
      <c r="D19" s="5"/>
      <c r="E19" s="7"/>
      <c r="F19" s="2"/>
      <c r="G19" s="2"/>
      <c r="H19" s="4"/>
      <c r="I19" s="2"/>
      <c r="J19" s="2"/>
      <c r="K19" s="2"/>
      <c r="L19" s="2"/>
      <c r="M19" s="2"/>
      <c r="N19" s="2"/>
    </row>
    <row r="20" spans="2:14">
      <c r="B20" s="14"/>
      <c r="C20" s="15" t="s">
        <v>6</v>
      </c>
      <c r="D20" s="1">
        <f>+D16*B16+D17*B17+D18*B18</f>
        <v>0</v>
      </c>
      <c r="F20" s="1">
        <f>+F16*$B$16+F17*$B$17+F18*$B$18-F14</f>
        <v>-20</v>
      </c>
      <c r="G20" s="1">
        <f t="shared" ref="G20:K20" si="0">+G16*$B$16+G17*$B$17+G18*$B$18-G14</f>
        <v>0</v>
      </c>
      <c r="H20" s="1">
        <f t="shared" si="0"/>
        <v>-3.44</v>
      </c>
      <c r="I20" s="1">
        <f t="shared" si="0"/>
        <v>0</v>
      </c>
      <c r="J20" s="1">
        <f t="shared" si="0"/>
        <v>0</v>
      </c>
      <c r="K20" s="1">
        <f t="shared" si="0"/>
        <v>3.5</v>
      </c>
      <c r="L20" s="2"/>
      <c r="M20" s="2"/>
      <c r="N20" s="2"/>
    </row>
    <row r="21" spans="2:14"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20" t="s">
        <v>13</v>
      </c>
      <c r="C22" s="20"/>
      <c r="D22" s="20"/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9" t="s">
        <v>7</v>
      </c>
      <c r="C23" s="9" t="s">
        <v>8</v>
      </c>
      <c r="D23" s="9" t="s">
        <v>9</v>
      </c>
      <c r="E23" s="6"/>
      <c r="F23" s="1" t="s">
        <v>4</v>
      </c>
      <c r="G23" s="1" t="s">
        <v>3</v>
      </c>
      <c r="H23" s="1" t="s">
        <v>5</v>
      </c>
      <c r="I23" s="1" t="s">
        <v>0</v>
      </c>
      <c r="J23" s="1" t="s">
        <v>1</v>
      </c>
      <c r="K23" s="1" t="s">
        <v>2</v>
      </c>
      <c r="L23" s="2"/>
      <c r="M23" s="2"/>
      <c r="N23" s="2"/>
    </row>
    <row r="24" spans="2:14">
      <c r="B24" s="9"/>
      <c r="C24" s="9"/>
      <c r="D24" s="9"/>
      <c r="E24" s="7"/>
      <c r="F24" s="1">
        <v>20</v>
      </c>
      <c r="G24" s="1">
        <v>35</v>
      </c>
      <c r="H24" s="10">
        <v>-0.06</v>
      </c>
      <c r="I24" s="1">
        <v>0</v>
      </c>
      <c r="J24" s="1">
        <v>0</v>
      </c>
      <c r="K24" s="1">
        <v>0</v>
      </c>
      <c r="L24" s="2"/>
      <c r="M24" s="19" t="s">
        <v>10</v>
      </c>
      <c r="N24" s="2"/>
    </row>
    <row r="25" spans="2:14" ht="3" customHeight="1">
      <c r="B25" s="5"/>
      <c r="C25" s="5"/>
      <c r="D25" s="5"/>
      <c r="E25" s="7"/>
      <c r="F25" s="2"/>
      <c r="G25" s="2"/>
      <c r="H25" s="4"/>
      <c r="I25" s="2"/>
      <c r="J25" s="2"/>
      <c r="K25" s="2"/>
      <c r="L25" s="2"/>
      <c r="M25" s="2"/>
      <c r="N25" s="2"/>
    </row>
    <row r="26" spans="2:14">
      <c r="B26" s="1">
        <v>0</v>
      </c>
      <c r="C26" s="1" t="s">
        <v>0</v>
      </c>
      <c r="D26" s="1">
        <f>+($F$17*D16-D17*F16)/$F$17</f>
        <v>5000</v>
      </c>
      <c r="E26" s="8"/>
      <c r="F26" s="11">
        <v>0</v>
      </c>
      <c r="G26" s="11">
        <v>0</v>
      </c>
      <c r="H26" s="16">
        <f>+($F$17*H16-F16*H17)/$F$17</f>
        <v>1.5125</v>
      </c>
      <c r="I26" s="11">
        <v>1</v>
      </c>
      <c r="J26" s="11">
        <f>+($F$17*J16-F16*J17)/$F$17</f>
        <v>-0.25</v>
      </c>
      <c r="K26" s="11">
        <f>+($F$17*K16-F16*K17)/$F$17</f>
        <v>-1.5</v>
      </c>
      <c r="L26" s="2"/>
      <c r="M26" s="11">
        <f>+D26/H26</f>
        <v>3305.7851239669421</v>
      </c>
      <c r="N26" s="2"/>
    </row>
    <row r="27" spans="2:14">
      <c r="B27" s="1">
        <v>20</v>
      </c>
      <c r="C27" s="1" t="s">
        <v>4</v>
      </c>
      <c r="D27" s="1">
        <f>+D17/$F$17</f>
        <v>750</v>
      </c>
      <c r="E27" s="8"/>
      <c r="F27" s="11">
        <f>+F17/$F$17</f>
        <v>1</v>
      </c>
      <c r="G27" s="11">
        <f>+G17/$F$17</f>
        <v>0</v>
      </c>
      <c r="H27" s="11">
        <f>+H17/$F$17</f>
        <v>8.4375000000000006E-2</v>
      </c>
      <c r="I27" s="11">
        <f>+I17/$F$17</f>
        <v>0</v>
      </c>
      <c r="J27" s="11">
        <f>+J17/$F$17</f>
        <v>1.2500000000000001E-2</v>
      </c>
      <c r="K27" s="11">
        <f>+K17/$F$17</f>
        <v>-7.4999999999999997E-2</v>
      </c>
      <c r="L27" s="2"/>
      <c r="M27" s="11">
        <f>+D27/H27</f>
        <v>8888.8888888888887</v>
      </c>
      <c r="N27" s="2"/>
    </row>
    <row r="28" spans="2:14">
      <c r="B28" s="1">
        <v>35</v>
      </c>
      <c r="C28" s="1" t="s">
        <v>3</v>
      </c>
      <c r="D28" s="1">
        <f>+($F$17*D18-D17*F18)/$F$17</f>
        <v>0</v>
      </c>
      <c r="E28" s="8"/>
      <c r="F28" s="11">
        <v>0</v>
      </c>
      <c r="G28" s="11">
        <v>1</v>
      </c>
      <c r="H28" s="11">
        <f>+($F$17*H18-F18*H17)/$F$17</f>
        <v>-0.1</v>
      </c>
      <c r="I28" s="11">
        <v>0</v>
      </c>
      <c r="J28" s="11">
        <f>+($F$17*J18-F18*J17)/$F$17</f>
        <v>0</v>
      </c>
      <c r="K28" s="11">
        <f>+($F$17*K18-F18*K17)/$F$17</f>
        <v>0.1</v>
      </c>
      <c r="L28" s="2"/>
      <c r="M28" s="11">
        <f>+D28/H28</f>
        <v>0</v>
      </c>
      <c r="N28" s="2"/>
    </row>
    <row r="29" spans="2:14" ht="3" customHeight="1">
      <c r="B29" s="8"/>
      <c r="C29" s="8"/>
      <c r="D29" s="5"/>
      <c r="E29" s="7"/>
      <c r="F29" s="2"/>
      <c r="G29" s="2"/>
      <c r="H29" s="4"/>
      <c r="I29" s="2"/>
      <c r="J29" s="2"/>
      <c r="K29" s="2"/>
      <c r="L29" s="2"/>
      <c r="M29" s="2"/>
      <c r="N29" s="2"/>
    </row>
    <row r="30" spans="2:14">
      <c r="B30" s="14"/>
      <c r="C30" s="15" t="s">
        <v>6</v>
      </c>
      <c r="D30" s="1">
        <f>+D26*B26+D27*B27+D28*B28</f>
        <v>15000</v>
      </c>
      <c r="F30" s="1">
        <f>+F26*$B$26+F27*$B$27+F28*$B$28-F24</f>
        <v>0</v>
      </c>
      <c r="G30" s="1">
        <f t="shared" ref="G30:K30" si="1">+G26*$B$26+G27*$B$27+G28*$B$28-G24</f>
        <v>0</v>
      </c>
      <c r="H30" s="1">
        <f t="shared" si="1"/>
        <v>-1.7524999999999999</v>
      </c>
      <c r="I30" s="1">
        <f t="shared" si="1"/>
        <v>0</v>
      </c>
      <c r="J30" s="1">
        <f t="shared" si="1"/>
        <v>0.25</v>
      </c>
      <c r="K30" s="1">
        <f t="shared" si="1"/>
        <v>2</v>
      </c>
      <c r="L30" s="2"/>
      <c r="M30" s="2"/>
      <c r="N30" s="2"/>
    </row>
    <row r="31" spans="2:14">
      <c r="F31" s="2"/>
      <c r="G31" s="2"/>
      <c r="H31" s="2"/>
      <c r="I31" s="2"/>
      <c r="J31" s="2"/>
      <c r="K31" s="2"/>
      <c r="L31" s="2"/>
      <c r="M31" s="2"/>
      <c r="N31" s="2"/>
    </row>
    <row r="32" spans="2:14">
      <c r="B32" s="20" t="s">
        <v>14</v>
      </c>
      <c r="C32" s="20"/>
      <c r="D32" s="20"/>
      <c r="F32" s="2"/>
      <c r="G32" s="2"/>
      <c r="H32" s="2"/>
      <c r="I32" s="2"/>
      <c r="J32" s="2"/>
      <c r="K32" s="2"/>
      <c r="L32" s="2"/>
      <c r="M32" s="2"/>
      <c r="N32" s="2"/>
    </row>
    <row r="33" spans="2:14">
      <c r="B33" s="9" t="s">
        <v>7</v>
      </c>
      <c r="C33" s="9" t="s">
        <v>8</v>
      </c>
      <c r="D33" s="9" t="s">
        <v>9</v>
      </c>
      <c r="E33" s="6"/>
      <c r="F33" s="1" t="s">
        <v>4</v>
      </c>
      <c r="G33" s="1" t="s">
        <v>3</v>
      </c>
      <c r="H33" s="1" t="s">
        <v>5</v>
      </c>
      <c r="I33" s="1" t="s">
        <v>0</v>
      </c>
      <c r="J33" s="1" t="s">
        <v>1</v>
      </c>
      <c r="K33" s="1" t="s">
        <v>2</v>
      </c>
      <c r="L33" s="2"/>
      <c r="M33" s="2"/>
      <c r="N33" s="2"/>
    </row>
    <row r="34" spans="2:14">
      <c r="B34" s="9"/>
      <c r="C34" s="9"/>
      <c r="D34" s="9"/>
      <c r="E34" s="7"/>
      <c r="F34" s="1">
        <v>20</v>
      </c>
      <c r="G34" s="1">
        <v>35</v>
      </c>
      <c r="H34" s="10">
        <v>-0.06</v>
      </c>
      <c r="I34" s="1">
        <v>0</v>
      </c>
      <c r="J34" s="1">
        <v>0</v>
      </c>
      <c r="K34" s="1">
        <v>0</v>
      </c>
      <c r="L34" s="2"/>
      <c r="M34" s="19" t="s">
        <v>10</v>
      </c>
      <c r="N34" s="2"/>
    </row>
    <row r="35" spans="2:14" ht="3" customHeight="1">
      <c r="B35" s="5"/>
      <c r="C35" s="5"/>
      <c r="D35" s="5"/>
      <c r="E35" s="7"/>
      <c r="F35" s="2"/>
      <c r="G35" s="2"/>
      <c r="H35" s="4"/>
      <c r="I35" s="2"/>
      <c r="J35" s="2"/>
      <c r="K35" s="2"/>
      <c r="L35" s="2"/>
      <c r="M35" s="2"/>
      <c r="N35" s="2"/>
    </row>
    <row r="36" spans="2:14">
      <c r="B36" s="1">
        <v>-0.06</v>
      </c>
      <c r="C36" s="1" t="s">
        <v>5</v>
      </c>
      <c r="D36" s="11">
        <f>+D26/$H$26</f>
        <v>3305.7851239669421</v>
      </c>
      <c r="E36" s="8"/>
      <c r="F36" s="11">
        <f>+F26/$H$26</f>
        <v>0</v>
      </c>
      <c r="G36" s="11">
        <f>+G26/$H$26</f>
        <v>0</v>
      </c>
      <c r="H36" s="11">
        <f>+H26/$H$26</f>
        <v>1</v>
      </c>
      <c r="I36" s="11">
        <f>+I26/$H$26</f>
        <v>0.66115702479338845</v>
      </c>
      <c r="J36" s="11">
        <f>+J26/$H$26</f>
        <v>-0.16528925619834711</v>
      </c>
      <c r="K36" s="11">
        <f>+K26/$H$26</f>
        <v>-0.99173553719008267</v>
      </c>
      <c r="L36" s="2"/>
      <c r="M36" s="1">
        <f>+D36/J36</f>
        <v>-20000</v>
      </c>
      <c r="N36" s="2"/>
    </row>
    <row r="37" spans="2:14">
      <c r="B37" s="1">
        <v>20</v>
      </c>
      <c r="C37" s="1" t="s">
        <v>4</v>
      </c>
      <c r="D37" s="11">
        <f>+($H$26*D27-D26*H27)/$H$26</f>
        <v>471.07438016528926</v>
      </c>
      <c r="E37" s="8"/>
      <c r="F37" s="11">
        <f>+($H$26*F27-F26*H27)/$H$26</f>
        <v>1</v>
      </c>
      <c r="G37" s="11">
        <v>0</v>
      </c>
      <c r="H37" s="11">
        <v>0</v>
      </c>
      <c r="I37" s="11">
        <f>+($H$26*I27-I26*H27)/$H$26</f>
        <v>-5.5785123966942157E-2</v>
      </c>
      <c r="J37" s="16">
        <f>+($H$26*J27-J26*H27)/$H$26</f>
        <v>2.644628099173554E-2</v>
      </c>
      <c r="K37" s="11">
        <f>+($H$26*K27-K26*H27)/$H$26</f>
        <v>8.6776859504132404E-3</v>
      </c>
      <c r="L37" s="2"/>
      <c r="M37" s="1">
        <f t="shared" ref="M37:M38" si="2">+D37/J37</f>
        <v>17812.499999999996</v>
      </c>
      <c r="N37" s="2"/>
    </row>
    <row r="38" spans="2:14">
      <c r="B38" s="1">
        <v>35</v>
      </c>
      <c r="C38" s="1" t="s">
        <v>3</v>
      </c>
      <c r="D38" s="11">
        <f>+($H$26*D28-D26*H28)/$H$26</f>
        <v>330.57851239669424</v>
      </c>
      <c r="E38" s="8"/>
      <c r="F38" s="11">
        <v>0</v>
      </c>
      <c r="G38" s="11">
        <v>1</v>
      </c>
      <c r="H38" s="11">
        <v>0</v>
      </c>
      <c r="I38" s="11">
        <f>+($H$26*I28-I26*H28)/$H$26</f>
        <v>6.6115702479338845E-2</v>
      </c>
      <c r="J38" s="11">
        <f>+($H$26*J28-J26*H28)/$H$26</f>
        <v>-1.6528925619834711E-2</v>
      </c>
      <c r="K38" s="11">
        <f>+($H$26*K28-K26*H28)/$H$26</f>
        <v>8.2644628099171795E-4</v>
      </c>
      <c r="L38" s="2"/>
      <c r="M38" s="1">
        <f t="shared" si="2"/>
        <v>-20000</v>
      </c>
      <c r="N38" s="2"/>
    </row>
    <row r="39" spans="2:14" ht="3" customHeight="1">
      <c r="B39" s="8"/>
      <c r="C39" s="8"/>
      <c r="D39" s="5"/>
      <c r="E39" s="7"/>
      <c r="F39" s="2"/>
      <c r="G39" s="2"/>
      <c r="H39" s="4"/>
      <c r="I39" s="2"/>
      <c r="J39" s="2"/>
      <c r="K39" s="2"/>
      <c r="L39" s="2"/>
      <c r="M39" s="2"/>
      <c r="N39" s="2"/>
    </row>
    <row r="40" spans="2:14">
      <c r="B40" s="14"/>
      <c r="C40" s="15" t="s">
        <v>6</v>
      </c>
      <c r="D40" s="11">
        <f>+D36*B36+D37*B37+D38*B38</f>
        <v>20793.388429752067</v>
      </c>
      <c r="F40" s="11">
        <f>+F36*$B$36+F37*$B$37+F38*$B$38-F34</f>
        <v>0</v>
      </c>
      <c r="G40" s="11">
        <f t="shared" ref="G40:K40" si="3">+G36*$B$36+G37*$B$37+G38*$B$38-G34</f>
        <v>0</v>
      </c>
      <c r="H40" s="11">
        <f t="shared" si="3"/>
        <v>0</v>
      </c>
      <c r="I40" s="11">
        <f t="shared" si="3"/>
        <v>1.1586776859504135</v>
      </c>
      <c r="J40" s="11">
        <f t="shared" si="3"/>
        <v>-3.9669421487603329E-2</v>
      </c>
      <c r="K40" s="11">
        <f t="shared" si="3"/>
        <v>0.26198347107437991</v>
      </c>
      <c r="L40" s="2"/>
      <c r="M40" s="2"/>
      <c r="N40" s="2"/>
    </row>
    <row r="41" spans="2:14">
      <c r="F41" s="2"/>
      <c r="G41" s="2"/>
      <c r="H41" s="2"/>
      <c r="I41" s="2"/>
      <c r="J41" s="2"/>
      <c r="K41" s="2"/>
      <c r="L41" s="2"/>
      <c r="M41" s="2"/>
      <c r="N41" s="2"/>
    </row>
    <row r="42" spans="2:14">
      <c r="B42" s="20" t="s">
        <v>15</v>
      </c>
      <c r="C42" s="20"/>
      <c r="D42" s="20"/>
      <c r="F42" s="2"/>
      <c r="G42" s="2"/>
      <c r="H42" s="2"/>
      <c r="I42" s="2"/>
      <c r="J42" s="2"/>
      <c r="K42" s="2"/>
      <c r="L42" s="2"/>
      <c r="M42" s="2"/>
      <c r="N42" s="2"/>
    </row>
    <row r="43" spans="2:14">
      <c r="B43" s="9" t="s">
        <v>7</v>
      </c>
      <c r="C43" s="9" t="s">
        <v>8</v>
      </c>
      <c r="D43" s="9" t="s">
        <v>9</v>
      </c>
      <c r="E43" s="6"/>
      <c r="F43" s="1" t="s">
        <v>4</v>
      </c>
      <c r="G43" s="1" t="s">
        <v>3</v>
      </c>
      <c r="H43" s="1" t="s">
        <v>5</v>
      </c>
      <c r="I43" s="1" t="s">
        <v>0</v>
      </c>
      <c r="J43" s="1" t="s">
        <v>1</v>
      </c>
      <c r="K43" s="1" t="s">
        <v>2</v>
      </c>
      <c r="L43" s="2"/>
      <c r="M43" s="2"/>
      <c r="N43" s="2"/>
    </row>
    <row r="44" spans="2:14">
      <c r="B44" s="9"/>
      <c r="C44" s="9"/>
      <c r="D44" s="9"/>
      <c r="E44" s="7"/>
      <c r="F44" s="1">
        <v>20</v>
      </c>
      <c r="G44" s="1">
        <v>35</v>
      </c>
      <c r="H44" s="10">
        <v>-0.06</v>
      </c>
      <c r="I44" s="1">
        <v>0</v>
      </c>
      <c r="J44" s="1">
        <v>0</v>
      </c>
      <c r="K44" s="1">
        <v>0</v>
      </c>
      <c r="L44" s="2"/>
      <c r="M44" s="19" t="s">
        <v>10</v>
      </c>
      <c r="N44" s="2"/>
    </row>
    <row r="45" spans="2:14" ht="3" customHeight="1">
      <c r="B45" s="5"/>
      <c r="C45" s="5"/>
      <c r="D45" s="5"/>
      <c r="E45" s="7"/>
      <c r="F45" s="2"/>
      <c r="G45" s="2"/>
      <c r="H45" s="4"/>
      <c r="I45" s="2"/>
      <c r="J45" s="2"/>
      <c r="K45" s="2"/>
      <c r="L45" s="2"/>
      <c r="M45" s="2"/>
      <c r="N45" s="2"/>
    </row>
    <row r="46" spans="2:14">
      <c r="B46" s="1">
        <v>-0.06</v>
      </c>
      <c r="C46" s="13" t="s">
        <v>5</v>
      </c>
      <c r="D46" s="13">
        <f>+($J$37*D36-D37*J36)/$J$37</f>
        <v>6250</v>
      </c>
      <c r="E46" s="8"/>
      <c r="F46" s="11">
        <f>+($J$37*F36-F37*J36)/$J$37</f>
        <v>6.2499999999999991</v>
      </c>
      <c r="G46" s="11">
        <f>+($J$37*G36-G37*J36)/$J$37</f>
        <v>0</v>
      </c>
      <c r="H46" s="11">
        <f>+($J$37*H36-H37*J36)/$J$37</f>
        <v>1</v>
      </c>
      <c r="I46" s="11">
        <f>+($J$37*I36-I37*J36)/$J$37</f>
        <v>0.3125</v>
      </c>
      <c r="J46" s="11">
        <f>+($J$37*J36-J37*J36)/$J$37</f>
        <v>0</v>
      </c>
      <c r="K46" s="11">
        <f>+($J$37*K36-K37*J36)/$J$37</f>
        <v>-0.93749999999999989</v>
      </c>
      <c r="L46" s="2"/>
      <c r="M46" s="1"/>
      <c r="N46" s="2"/>
    </row>
    <row r="47" spans="2:14">
      <c r="B47" s="1">
        <v>0</v>
      </c>
      <c r="C47" s="13" t="s">
        <v>1</v>
      </c>
      <c r="D47" s="13">
        <f>+D37/$J$37</f>
        <v>17812.499999999996</v>
      </c>
      <c r="E47" s="8"/>
      <c r="F47" s="11">
        <f>+F37/$J$37</f>
        <v>37.812499999999993</v>
      </c>
      <c r="G47" s="11">
        <f>+G37/$J$37</f>
        <v>0</v>
      </c>
      <c r="H47" s="11">
        <f>+H37/$J$37</f>
        <v>0</v>
      </c>
      <c r="I47" s="11">
        <f>+I37/$J$37</f>
        <v>-2.109375</v>
      </c>
      <c r="J47" s="11">
        <f>+J37/$J$37</f>
        <v>1</v>
      </c>
      <c r="K47" s="11">
        <f>+K37/$J$37</f>
        <v>0.32812500000000061</v>
      </c>
      <c r="L47" s="2"/>
      <c r="M47" s="1"/>
      <c r="N47" s="2"/>
    </row>
    <row r="48" spans="2:14">
      <c r="B48" s="1">
        <v>35</v>
      </c>
      <c r="C48" s="13" t="s">
        <v>3</v>
      </c>
      <c r="D48" s="13">
        <f>+($J$37*D38-D37*J38)/$J$37</f>
        <v>625</v>
      </c>
      <c r="E48" s="8"/>
      <c r="F48" s="11">
        <f>+($J$37*F38-F37*J38)/$J$37</f>
        <v>0.625</v>
      </c>
      <c r="G48" s="11">
        <v>1</v>
      </c>
      <c r="H48" s="11">
        <v>0</v>
      </c>
      <c r="I48" s="11">
        <f>+($J$37*I38-I37*J38)/$J$37</f>
        <v>3.125E-2</v>
      </c>
      <c r="J48" s="11">
        <v>0</v>
      </c>
      <c r="K48" s="11">
        <f>+($J$37*K38-K37*J38)/$J$37</f>
        <v>6.2499999999999925E-3</v>
      </c>
      <c r="L48" s="2"/>
      <c r="M48" s="1"/>
      <c r="N48" s="2"/>
    </row>
    <row r="49" spans="2:14" ht="3" customHeight="1">
      <c r="B49" s="8"/>
      <c r="C49" s="8"/>
      <c r="D49" s="5"/>
      <c r="E49" s="7"/>
      <c r="F49" s="17"/>
      <c r="G49" s="17"/>
      <c r="H49" s="18"/>
      <c r="I49" s="17"/>
      <c r="J49" s="17"/>
      <c r="K49" s="17"/>
      <c r="L49" s="2"/>
      <c r="M49" s="2"/>
      <c r="N49" s="2"/>
    </row>
    <row r="50" spans="2:14">
      <c r="B50" s="14"/>
      <c r="C50" s="15" t="s">
        <v>6</v>
      </c>
      <c r="D50" s="1">
        <f>+D46*B46+D47*B47+D48*B48</f>
        <v>21500</v>
      </c>
      <c r="F50" s="11">
        <f>+F46*$B$46+F47*$B$47+F48*$B$48-F44</f>
        <v>1.5</v>
      </c>
      <c r="G50" s="11">
        <f>+G46*$B$46+G47*$B$47+G48*$B$48-G44</f>
        <v>0</v>
      </c>
      <c r="H50" s="11">
        <f>+H46*$B$46+H47*$B$47+H48*$B$48-H44</f>
        <v>0</v>
      </c>
      <c r="I50" s="11">
        <f>+I46*$B$46+I47*$B$47+I48*$B$48-I44</f>
        <v>1.075</v>
      </c>
      <c r="J50" s="11">
        <f>+J46*$B$46+J47*$B$47+J48*$B$48-J44</f>
        <v>0</v>
      </c>
      <c r="K50" s="11">
        <f>+K46*$B$46+K47*$B$47+K48*$B$48-K44</f>
        <v>0.27499999999999974</v>
      </c>
      <c r="L50" s="2"/>
      <c r="M50" s="2"/>
      <c r="N50" s="2"/>
    </row>
    <row r="51" spans="2:14"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F53" s="2"/>
      <c r="G53" s="2"/>
      <c r="H53" s="2"/>
      <c r="I53" s="2"/>
      <c r="J53" s="2"/>
      <c r="K53" s="2"/>
      <c r="L53" s="2"/>
      <c r="M53" s="2"/>
      <c r="N53" s="2"/>
    </row>
  </sheetData>
  <mergeCells count="20">
    <mergeCell ref="B43:B44"/>
    <mergeCell ref="C43:C44"/>
    <mergeCell ref="D43:D44"/>
    <mergeCell ref="B2:D2"/>
    <mergeCell ref="B12:D12"/>
    <mergeCell ref="B22:D22"/>
    <mergeCell ref="B32:D32"/>
    <mergeCell ref="B42:D42"/>
    <mergeCell ref="B23:B24"/>
    <mergeCell ref="C23:C24"/>
    <mergeCell ref="D23:D24"/>
    <mergeCell ref="B33:B34"/>
    <mergeCell ref="C33:C34"/>
    <mergeCell ref="D33:D34"/>
    <mergeCell ref="B3:B4"/>
    <mergeCell ref="C3:C4"/>
    <mergeCell ref="D3:D4"/>
    <mergeCell ref="B13:B14"/>
    <mergeCell ref="C13:C14"/>
    <mergeCell ref="D13:D1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Enunciado</vt:lpstr>
      <vt:lpstr>Resolución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</dc:creator>
  <cp:lastModifiedBy>Flor</cp:lastModifiedBy>
  <dcterms:created xsi:type="dcterms:W3CDTF">2017-08-28T23:09:47Z</dcterms:created>
  <dcterms:modified xsi:type="dcterms:W3CDTF">2017-08-28T23:48:30Z</dcterms:modified>
</cp:coreProperties>
</file>