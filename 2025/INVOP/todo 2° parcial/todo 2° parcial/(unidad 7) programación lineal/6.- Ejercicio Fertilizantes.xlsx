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720" yWindow="540" windowWidth="16215" windowHeight="8385"/>
  </bookViews>
  <sheets>
    <sheet name="Fertilizantes" sheetId="1" r:id="rId1"/>
  </sheets>
  <calcPr calcId="125725"/>
</workbook>
</file>

<file path=xl/calcChain.xml><?xml version="1.0" encoding="utf-8"?>
<calcChain xmlns="http://schemas.openxmlformats.org/spreadsheetml/2006/main">
  <c r="D33" i="1"/>
  <c r="D34"/>
  <c r="D32"/>
  <c r="G30"/>
  <c r="F30"/>
  <c r="P24"/>
  <c r="P25"/>
  <c r="P23"/>
  <c r="F23"/>
  <c r="F32"/>
  <c r="K88"/>
  <c r="E88"/>
  <c r="D88"/>
  <c r="B88"/>
  <c r="K87"/>
  <c r="J87"/>
  <c r="I87"/>
  <c r="H87"/>
  <c r="G87"/>
  <c r="F87"/>
  <c r="E87"/>
  <c r="D87"/>
  <c r="C87"/>
  <c r="B87"/>
  <c r="K86"/>
  <c r="E86"/>
  <c r="C86"/>
  <c r="K85"/>
  <c r="E85"/>
  <c r="K84"/>
  <c r="E84"/>
  <c r="C84"/>
  <c r="K83"/>
  <c r="J83"/>
  <c r="I83"/>
  <c r="H83"/>
  <c r="G83"/>
  <c r="F83"/>
  <c r="E83"/>
  <c r="D83"/>
  <c r="C83"/>
  <c r="B83"/>
  <c r="E82"/>
  <c r="D82"/>
  <c r="C82"/>
  <c r="B82"/>
  <c r="K81"/>
  <c r="J81"/>
  <c r="I81"/>
  <c r="H81"/>
  <c r="G81"/>
  <c r="F81"/>
  <c r="C95"/>
  <c r="E81"/>
  <c r="D81"/>
  <c r="C81"/>
  <c r="B81"/>
  <c r="B65"/>
  <c r="B86"/>
  <c r="B63"/>
  <c r="B97"/>
  <c r="E56"/>
  <c r="L55"/>
  <c r="K55"/>
  <c r="J55"/>
  <c r="I55"/>
  <c r="H55"/>
  <c r="G55"/>
  <c r="F55"/>
  <c r="E55"/>
  <c r="K54"/>
  <c r="E54"/>
  <c r="C54"/>
  <c r="B54"/>
  <c r="A54"/>
  <c r="K53"/>
  <c r="E53"/>
  <c r="C53"/>
  <c r="B53"/>
  <c r="A53"/>
  <c r="K52"/>
  <c r="E52"/>
  <c r="C52"/>
  <c r="B52"/>
  <c r="A52"/>
  <c r="L51"/>
  <c r="K51"/>
  <c r="J51"/>
  <c r="I51"/>
  <c r="H51"/>
  <c r="G51"/>
  <c r="F51"/>
  <c r="E51"/>
  <c r="D51"/>
  <c r="C51"/>
  <c r="B51"/>
  <c r="A51"/>
  <c r="L50"/>
  <c r="J50"/>
  <c r="J61"/>
  <c r="J82"/>
  <c r="J93"/>
  <c r="I50"/>
  <c r="I61"/>
  <c r="I82"/>
  <c r="I93"/>
  <c r="H50"/>
  <c r="H61"/>
  <c r="H82"/>
  <c r="H93"/>
  <c r="E50"/>
  <c r="L49"/>
  <c r="K49"/>
  <c r="J49"/>
  <c r="I49"/>
  <c r="H49"/>
  <c r="G49"/>
  <c r="C64"/>
  <c r="C85"/>
  <c r="C96"/>
  <c r="F49"/>
  <c r="E49"/>
  <c r="A49"/>
  <c r="J34"/>
  <c r="J54"/>
  <c r="I34"/>
  <c r="I54"/>
  <c r="H34"/>
  <c r="H54"/>
  <c r="D54"/>
  <c r="J33"/>
  <c r="J53"/>
  <c r="I33"/>
  <c r="H33"/>
  <c r="H53"/>
  <c r="D53"/>
  <c r="J32"/>
  <c r="J52"/>
  <c r="I32"/>
  <c r="I52"/>
  <c r="H32"/>
  <c r="H52"/>
  <c r="D52"/>
  <c r="G50"/>
  <c r="G61"/>
  <c r="F50"/>
  <c r="F61"/>
  <c r="F82"/>
  <c r="I25"/>
  <c r="H25"/>
  <c r="G34"/>
  <c r="G25"/>
  <c r="F25"/>
  <c r="F34"/>
  <c r="F54"/>
  <c r="I24"/>
  <c r="H24"/>
  <c r="G33"/>
  <c r="G53"/>
  <c r="G64"/>
  <c r="G85"/>
  <c r="G24"/>
  <c r="F24"/>
  <c r="F33"/>
  <c r="F53"/>
  <c r="F64"/>
  <c r="F85"/>
  <c r="I23"/>
  <c r="H23"/>
  <c r="G32"/>
  <c r="G23"/>
  <c r="F52"/>
  <c r="F36"/>
  <c r="F56"/>
  <c r="C43"/>
  <c r="L52"/>
  <c r="G36"/>
  <c r="G56"/>
  <c r="G67"/>
  <c r="G88"/>
  <c r="G52"/>
  <c r="G63"/>
  <c r="G84"/>
  <c r="C45"/>
  <c r="L54"/>
  <c r="G54"/>
  <c r="G65"/>
  <c r="G86"/>
  <c r="B64"/>
  <c r="B85"/>
  <c r="B96"/>
  <c r="G82"/>
  <c r="G93"/>
  <c r="J63"/>
  <c r="J84"/>
  <c r="H64"/>
  <c r="H85"/>
  <c r="J64"/>
  <c r="J85"/>
  <c r="H65"/>
  <c r="H86"/>
  <c r="J65"/>
  <c r="J86"/>
  <c r="C56"/>
  <c r="F93"/>
  <c r="B95"/>
  <c r="D63"/>
  <c r="D64"/>
  <c r="I36"/>
  <c r="I56"/>
  <c r="D65"/>
  <c r="L32"/>
  <c r="L34"/>
  <c r="H36"/>
  <c r="H56"/>
  <c r="J36"/>
  <c r="J56"/>
  <c r="J67"/>
  <c r="J88"/>
  <c r="C44"/>
  <c r="L53"/>
  <c r="I53"/>
  <c r="I64"/>
  <c r="I85"/>
  <c r="B84"/>
  <c r="L33"/>
  <c r="C36"/>
  <c r="H63"/>
  <c r="H84"/>
  <c r="H67"/>
  <c r="H88"/>
  <c r="C67"/>
  <c r="C88"/>
  <c r="F65"/>
  <c r="F86"/>
  <c r="I65"/>
  <c r="I86"/>
  <c r="I67"/>
  <c r="I88"/>
  <c r="I63"/>
  <c r="I84"/>
  <c r="F63"/>
  <c r="F84"/>
  <c r="J96"/>
  <c r="D86"/>
  <c r="C77"/>
  <c r="L86"/>
  <c r="D85"/>
  <c r="C76"/>
  <c r="L85"/>
  <c r="D84"/>
  <c r="C75"/>
  <c r="L84"/>
  <c r="F67"/>
  <c r="F88"/>
  <c r="F99"/>
  <c r="H96"/>
  <c r="H95"/>
  <c r="H97"/>
  <c r="D95"/>
  <c r="G95"/>
  <c r="H99"/>
  <c r="D96"/>
  <c r="D97"/>
  <c r="F97"/>
  <c r="I95"/>
  <c r="I97"/>
  <c r="I96"/>
  <c r="F95"/>
  <c r="G96"/>
  <c r="F96"/>
  <c r="G99"/>
  <c r="G97"/>
  <c r="J95"/>
  <c r="J97"/>
  <c r="I99"/>
  <c r="J99"/>
  <c r="C99"/>
</calcChain>
</file>

<file path=xl/comments1.xml><?xml version="1.0" encoding="utf-8"?>
<comments xmlns="http://schemas.openxmlformats.org/spreadsheetml/2006/main">
  <authors>
    <author/>
  </authors>
  <commentList>
    <comment ref="I13" authorId="0">
      <text>
        <r>
          <rPr>
            <sz val="10"/>
            <color rgb="FF000000"/>
            <rFont val="Arial"/>
          </rPr>
          <t xml:space="preserve">c1, es dato del ejercicio
</t>
        </r>
      </text>
    </comment>
    <comment ref="L13" authorId="0">
      <text>
        <r>
          <rPr>
            <sz val="10"/>
            <color rgb="FF000000"/>
            <rFont val="Arial"/>
          </rPr>
          <t xml:space="preserve">c2, es dato del ejercicio
</t>
        </r>
      </text>
    </comment>
    <comment ref="G16" authorId="0">
      <text>
        <r>
          <rPr>
            <sz val="10"/>
            <color rgb="FF000000"/>
            <rFont val="Arial"/>
          </rPr>
          <t>coeficiente de eficiencia asociado a x1</t>
        </r>
      </text>
    </comment>
    <comment ref="L16" authorId="0">
      <text>
        <r>
          <rPr>
            <sz val="10"/>
            <color rgb="FF000000"/>
            <rFont val="Arial"/>
          </rPr>
          <t>disponibilidad de insumos</t>
        </r>
      </text>
    </comment>
    <comment ref="L17" authorId="0">
      <text>
        <r>
          <rPr>
            <sz val="10"/>
            <color rgb="FF000000"/>
            <rFont val="Arial"/>
          </rPr>
          <t>disponibilidad de insumos</t>
        </r>
      </text>
    </comment>
    <comment ref="L18" authorId="0">
      <text>
        <r>
          <rPr>
            <sz val="10"/>
            <color rgb="FF000000"/>
            <rFont val="Arial"/>
          </rPr>
          <t xml:space="preserve">disponibilidad de insumos
</t>
        </r>
      </text>
    </comment>
    <comment ref="AC59" authorId="0">
      <text>
        <r>
          <rPr>
            <sz val="10"/>
            <color rgb="FF000000"/>
            <rFont val="Arial"/>
          </rPr>
          <t>kjlkjl
	-Mariano Coutada
_Marked as resolved_
	-Mariano Coutada
_Re-opened_
	-Mariano Coutada</t>
        </r>
      </text>
    </comment>
    <comment ref="H115" authorId="0">
      <text>
        <r>
          <rPr>
            <sz val="10"/>
            <color rgb="FF000000"/>
            <rFont val="Arial"/>
          </rPr>
          <t>producto que voy a reemplazar</t>
        </r>
      </text>
    </comment>
    <comment ref="L115" authorId="0">
      <text>
        <r>
          <rPr>
            <sz val="10"/>
            <color rgb="FF000000"/>
            <rFont val="Arial"/>
          </rPr>
          <t>PIVOTE, me servirá para calcular los datos de la tabla2 mediante Gauss Jordan</t>
        </r>
      </text>
    </comment>
    <comment ref="L117" authorId="0">
      <text>
        <r>
          <rPr>
            <sz val="10"/>
            <color rgb="FF000000"/>
            <rFont val="Arial"/>
          </rPr>
          <t xml:space="preserve">producto que voy a fabricar para ganar más
</t>
        </r>
      </text>
    </comment>
  </commentList>
</comments>
</file>

<file path=xl/sharedStrings.xml><?xml version="1.0" encoding="utf-8"?>
<sst xmlns="http://schemas.openxmlformats.org/spreadsheetml/2006/main" count="95" uniqueCount="53">
  <si>
    <t>PROGRAMACION LINEAL METODO SIMPLEX</t>
  </si>
  <si>
    <t>DATOS</t>
  </si>
  <si>
    <t>z = función objetivo =</t>
  </si>
  <si>
    <t>x1</t>
  </si>
  <si>
    <t>+</t>
  </si>
  <si>
    <t>x2</t>
  </si>
  <si>
    <t>* x1 +</t>
  </si>
  <si>
    <t>* x2</t>
  </si>
  <si>
    <t>≤</t>
  </si>
  <si>
    <t>1º ARMO LA IGUALDAD</t>
  </si>
  <si>
    <t>2º ARMO TABLA1</t>
  </si>
  <si>
    <t>esta matriz es de 3x3 porque tengo 3 insumos</t>
  </si>
  <si>
    <t>x3</t>
  </si>
  <si>
    <t>x4</t>
  </si>
  <si>
    <t>x5</t>
  </si>
  <si>
    <t>Ck</t>
  </si>
  <si>
    <t>Xk</t>
  </si>
  <si>
    <t>Bk</t>
  </si>
  <si>
    <t>Θ</t>
  </si>
  <si>
    <t>Z =</t>
  </si>
  <si>
    <t>elijo el mas chico de los Zj - Cj</t>
  </si>
  <si>
    <t>decido fabricar x2 porque es el que me dará mayor ganancia, debo calcular el vector Θ para saber cuál de x3, x4 y x5 sacaré para fabricar más de x2</t>
  </si>
  <si>
    <t>3º calculo vector Θ</t>
  </si>
  <si>
    <t>x4 es el menor, reemplazaré x4 por x2</t>
  </si>
  <si>
    <t>4º completo tabla1</t>
  </si>
  <si>
    <t>vector Θ</t>
  </si>
  <si>
    <t>elijo el menor de los componentes del vector Θ</t>
  </si>
  <si>
    <t>elijo el mas chico de los (Zj - Cj)</t>
  </si>
  <si>
    <t>5º ARMO TABLA2</t>
  </si>
  <si>
    <t>3º ARMO TABLA2</t>
  </si>
  <si>
    <t>divido toda la fila de x4 por el pivote asi el pivote queda = 1</t>
  </si>
  <si>
    <t/>
  </si>
  <si>
    <t>se hacen 0 todos los elem de su columna, gauss jordan para el resto</t>
  </si>
  <si>
    <t>el Z siempre debe ir creciendo, significa que a través de las iteraciones uno se acerca al óptimo</t>
  </si>
  <si>
    <t>6º calculo vector Θ</t>
  </si>
  <si>
    <t>7º completo tabla2</t>
  </si>
  <si>
    <t>8º ARMO TABLA3</t>
  </si>
  <si>
    <t>rta</t>
  </si>
  <si>
    <t>Nitrato</t>
  </si>
  <si>
    <t>Fosfato</t>
  </si>
  <si>
    <t>Potasio</t>
  </si>
  <si>
    <t>* x3 +</t>
  </si>
  <si>
    <t>* x4 +</t>
  </si>
  <si>
    <t>* x5 =</t>
  </si>
  <si>
    <t>Fertilizante</t>
  </si>
  <si>
    <t>A</t>
  </si>
  <si>
    <t>B</t>
  </si>
  <si>
    <t>Capacidad [Tn]</t>
  </si>
  <si>
    <t>Precio [$/Tn]</t>
  </si>
  <si>
    <t>(A,B)</t>
  </si>
  <si>
    <t>Variables de holgura:</t>
  </si>
  <si>
    <t>(N,F,P)</t>
  </si>
  <si>
    <t>Variables de decisión:</t>
  </si>
</sst>
</file>

<file path=xl/styles.xml><?xml version="1.0" encoding="utf-8"?>
<styleSheet xmlns="http://schemas.openxmlformats.org/spreadsheetml/2006/main">
  <fonts count="22">
    <font>
      <sz val="10"/>
      <color rgb="FF000000"/>
      <name val="Arial"/>
    </font>
    <font>
      <sz val="10"/>
      <color indexed="8"/>
      <name val="Arial"/>
    </font>
    <font>
      <sz val="10"/>
      <color indexed="8"/>
      <name val="Arial"/>
    </font>
    <font>
      <b/>
      <sz val="10"/>
      <color indexed="10"/>
      <name val="Arial"/>
    </font>
    <font>
      <sz val="10"/>
      <color indexed="8"/>
      <name val="Arial"/>
    </font>
    <font>
      <b/>
      <sz val="10"/>
      <color indexed="8"/>
      <name val="Arial"/>
    </font>
    <font>
      <b/>
      <sz val="10"/>
      <color indexed="10"/>
      <name val="Arial"/>
    </font>
    <font>
      <b/>
      <sz val="10"/>
      <color indexed="10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1"/>
      <color indexed="10"/>
      <name val="Arial"/>
    </font>
    <font>
      <b/>
      <sz val="10"/>
      <color indexed="8"/>
      <name val="Arial"/>
    </font>
    <font>
      <sz val="10"/>
      <color indexed="8"/>
      <name val="Arial"/>
    </font>
    <font>
      <b/>
      <sz val="10"/>
      <color indexed="10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10"/>
      </right>
      <top/>
      <bottom/>
      <diagonal/>
    </border>
    <border>
      <left/>
      <right/>
      <top style="thin">
        <color indexed="64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10"/>
      </left>
      <right/>
      <top style="thin">
        <color indexed="64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/>
      <bottom style="thin">
        <color indexed="1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1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10"/>
      </top>
      <bottom style="thin">
        <color indexed="64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64"/>
      </bottom>
      <diagonal/>
    </border>
    <border>
      <left style="thin">
        <color indexed="64"/>
      </left>
      <right style="thin">
        <color indexed="10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/>
      <top/>
      <bottom/>
      <diagonal/>
    </border>
    <border>
      <left style="thin">
        <color indexed="64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1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10"/>
      </right>
      <top/>
      <bottom style="thin">
        <color indexed="64"/>
      </bottom>
      <diagonal/>
    </border>
    <border>
      <left style="thin">
        <color indexed="1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10"/>
      </top>
      <bottom/>
      <diagonal/>
    </border>
    <border>
      <left style="thin">
        <color indexed="1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10"/>
      </right>
      <top style="thin">
        <color indexed="64"/>
      </top>
      <bottom/>
      <diagonal/>
    </border>
    <border>
      <left style="thin">
        <color indexed="10"/>
      </left>
      <right style="thin">
        <color indexed="10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64"/>
      </right>
      <top style="thin">
        <color indexed="10"/>
      </top>
      <bottom style="thin">
        <color indexed="64"/>
      </bottom>
      <diagonal/>
    </border>
    <border>
      <left style="thin">
        <color indexed="10"/>
      </left>
      <right style="thin">
        <color indexed="64"/>
      </right>
      <top style="thin">
        <color indexed="64"/>
      </top>
      <bottom style="thin">
        <color indexed="1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10"/>
      </right>
      <top style="thin">
        <color indexed="64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0"/>
      </bottom>
      <diagonal/>
    </border>
    <border>
      <left style="thin">
        <color indexed="64"/>
      </left>
      <right style="thin">
        <color indexed="10"/>
      </right>
      <top style="thin">
        <color indexed="10"/>
      </top>
      <bottom style="thin">
        <color indexed="64"/>
      </bottom>
      <diagonal/>
    </border>
    <border>
      <left style="thin">
        <color indexed="10"/>
      </left>
      <right style="thin">
        <color indexed="64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64"/>
      </top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5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4" xfId="0" applyBorder="1" applyAlignment="1">
      <alignment horizontal="center" wrapText="1"/>
    </xf>
    <xf numFmtId="0" fontId="3" fillId="0" borderId="15" xfId="0" applyFont="1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wrapText="1"/>
    </xf>
    <xf numFmtId="0" fontId="0" fillId="0" borderId="6" xfId="0" applyBorder="1" applyAlignment="1">
      <alignment wrapText="1"/>
    </xf>
    <xf numFmtId="0" fontId="4" fillId="0" borderId="0" xfId="0" applyFont="1" applyAlignment="1">
      <alignment horizontal="center"/>
    </xf>
    <xf numFmtId="0" fontId="5" fillId="0" borderId="18" xfId="0" applyFont="1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6" fillId="0" borderId="21" xfId="0" applyFont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25" xfId="0" applyBorder="1" applyAlignment="1">
      <alignment wrapText="1"/>
    </xf>
    <xf numFmtId="0" fontId="0" fillId="0" borderId="26" xfId="0" applyBorder="1" applyAlignment="1">
      <alignment horizontal="center" wrapText="1"/>
    </xf>
    <xf numFmtId="0" fontId="8" fillId="2" borderId="2" xfId="0" applyFont="1" applyFill="1" applyBorder="1" applyAlignment="1">
      <alignment horizontal="center" wrapText="1"/>
    </xf>
    <xf numFmtId="0" fontId="9" fillId="0" borderId="21" xfId="0" applyFont="1" applyBorder="1" applyAlignment="1">
      <alignment wrapText="1"/>
    </xf>
    <xf numFmtId="0" fontId="0" fillId="0" borderId="27" xfId="0" applyBorder="1" applyAlignment="1">
      <alignment horizontal="center" wrapText="1"/>
    </xf>
    <xf numFmtId="0" fontId="10" fillId="0" borderId="28" xfId="0" applyFont="1" applyBorder="1" applyAlignment="1">
      <alignment horizontal="center" wrapText="1"/>
    </xf>
    <xf numFmtId="0" fontId="11" fillId="0" borderId="29" xfId="0" applyFont="1" applyBorder="1" applyAlignment="1">
      <alignment horizontal="center" wrapText="1"/>
    </xf>
    <xf numFmtId="0" fontId="12" fillId="0" borderId="18" xfId="0" applyFont="1" applyBorder="1" applyAlignment="1">
      <alignment wrapText="1"/>
    </xf>
    <xf numFmtId="0" fontId="0" fillId="0" borderId="30" xfId="0" applyBorder="1" applyAlignment="1">
      <alignment horizontal="center" wrapText="1"/>
    </xf>
    <xf numFmtId="0" fontId="13" fillId="0" borderId="12" xfId="0" applyFont="1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0" fillId="0" borderId="35" xfId="0" applyBorder="1" applyAlignment="1">
      <alignment horizontal="center" wrapText="1"/>
    </xf>
    <xf numFmtId="0" fontId="0" fillId="2" borderId="32" xfId="0" applyFill="1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14" fillId="0" borderId="2" xfId="0" applyFont="1" applyBorder="1" applyAlignment="1">
      <alignment horizontal="center" wrapText="1"/>
    </xf>
    <xf numFmtId="0" fontId="0" fillId="0" borderId="36" xfId="0" applyBorder="1" applyAlignment="1">
      <alignment horizontal="center" wrapText="1"/>
    </xf>
    <xf numFmtId="0" fontId="15" fillId="0" borderId="37" xfId="0" applyFont="1" applyBorder="1" applyAlignment="1">
      <alignment horizontal="center" wrapText="1"/>
    </xf>
    <xf numFmtId="0" fontId="16" fillId="0" borderId="38" xfId="0" applyFont="1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17" fillId="0" borderId="15" xfId="0" applyFont="1" applyBorder="1" applyAlignment="1">
      <alignment horizontal="center" wrapText="1"/>
    </xf>
    <xf numFmtId="0" fontId="18" fillId="0" borderId="29" xfId="0" applyFont="1" applyBorder="1" applyAlignment="1">
      <alignment horizontal="center" wrapText="1"/>
    </xf>
    <xf numFmtId="0" fontId="19" fillId="0" borderId="21" xfId="0" applyFont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20" fillId="0" borderId="0" xfId="0" applyFont="1" applyAlignment="1">
      <alignment horizontal="center" wrapText="1"/>
    </xf>
    <xf numFmtId="0" fontId="21" fillId="0" borderId="0" xfId="0" quotePrefix="1" applyFont="1" applyAlignment="1">
      <alignment horizontal="center" wrapText="1"/>
    </xf>
    <xf numFmtId="0" fontId="21" fillId="0" borderId="0" xfId="0" quotePrefix="1" applyFont="1" applyAlignment="1">
      <alignment wrapText="1"/>
    </xf>
    <xf numFmtId="0" fontId="21" fillId="0" borderId="2" xfId="0" applyFont="1" applyBorder="1" applyAlignment="1">
      <alignment horizontal="center" wrapText="1"/>
    </xf>
    <xf numFmtId="0" fontId="0" fillId="0" borderId="2" xfId="0" applyNumberForma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2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41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21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4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C127"/>
  <sheetViews>
    <sheetView showGridLines="0" tabSelected="1" workbookViewId="0">
      <selection activeCell="I3" sqref="I3"/>
    </sheetView>
  </sheetViews>
  <sheetFormatPr baseColWidth="10" defaultColWidth="11.42578125" defaultRowHeight="12.75" customHeight="1"/>
  <cols>
    <col min="1" max="2" width="7.42578125" customWidth="1"/>
    <col min="3" max="3" width="8.5703125" customWidth="1"/>
    <col min="4" max="5" width="6.7109375" customWidth="1"/>
    <col min="6" max="6" width="7.7109375" bestFit="1" customWidth="1"/>
    <col min="7" max="8" width="6.7109375" customWidth="1"/>
    <col min="9" max="9" width="13.42578125" bestFit="1" customWidth="1"/>
    <col min="10" max="15" width="6.7109375" customWidth="1"/>
    <col min="16" max="16" width="12.7109375" customWidth="1"/>
    <col min="17" max="17" width="6.42578125" bestFit="1" customWidth="1"/>
    <col min="18" max="18" width="7.140625" bestFit="1" customWidth="1"/>
    <col min="19" max="19" width="13.42578125" bestFit="1" customWidth="1"/>
    <col min="20" max="21" width="7.140625" bestFit="1" customWidth="1"/>
    <col min="22" max="28" width="6.7109375" customWidth="1"/>
  </cols>
  <sheetData>
    <row r="2" spans="1:28" ht="12.75" customHeight="1">
      <c r="F2" s="29" t="s">
        <v>44</v>
      </c>
      <c r="G2" s="29" t="s">
        <v>45</v>
      </c>
      <c r="H2" s="29" t="s">
        <v>46</v>
      </c>
      <c r="I2" s="67" t="s">
        <v>47</v>
      </c>
    </row>
    <row r="3" spans="1:28" ht="12.75" customHeight="1">
      <c r="F3" s="67" t="s">
        <v>38</v>
      </c>
      <c r="G3" s="29">
        <v>0.05</v>
      </c>
      <c r="H3" s="29">
        <v>0.05</v>
      </c>
      <c r="I3" s="29">
        <v>1100</v>
      </c>
    </row>
    <row r="4" spans="1:28" ht="12.75" customHeight="1">
      <c r="F4" s="67" t="s">
        <v>39</v>
      </c>
      <c r="G4" s="29">
        <v>0.05</v>
      </c>
      <c r="H4" s="29">
        <v>0.1</v>
      </c>
      <c r="I4" s="29">
        <v>1800</v>
      </c>
    </row>
    <row r="5" spans="1:28" ht="12.75" customHeight="1">
      <c r="F5" s="67" t="s">
        <v>40</v>
      </c>
      <c r="G5" s="29">
        <v>0.1</v>
      </c>
      <c r="H5" s="29">
        <v>0.05</v>
      </c>
      <c r="I5" s="29">
        <v>2000</v>
      </c>
    </row>
    <row r="6" spans="1:28" ht="12.75" customHeight="1">
      <c r="F6" s="67" t="s">
        <v>48</v>
      </c>
      <c r="G6" s="68">
        <v>18.5</v>
      </c>
      <c r="H6" s="68">
        <v>20</v>
      </c>
      <c r="I6" s="7"/>
    </row>
    <row r="8" spans="1:28" ht="12.75" customHeight="1">
      <c r="A8" s="74" t="s">
        <v>0</v>
      </c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ht="12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 ht="12.75" customHeight="1">
      <c r="A10" s="7"/>
      <c r="B10" s="7"/>
      <c r="C10" s="7"/>
      <c r="D10" s="25" t="s">
        <v>1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 ht="12.75" customHeight="1">
      <c r="A11" s="7"/>
      <c r="B11" s="7"/>
      <c r="C11" s="7"/>
      <c r="D11" s="7"/>
      <c r="E11" s="7"/>
      <c r="F11" s="75" t="s">
        <v>52</v>
      </c>
      <c r="G11" s="70"/>
      <c r="H11" s="70"/>
      <c r="I11" s="67" t="s">
        <v>49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 ht="12.75" customHeight="1">
      <c r="A12" s="7"/>
      <c r="B12" s="7"/>
      <c r="C12" s="7"/>
      <c r="D12" s="7"/>
      <c r="E12" s="7"/>
      <c r="F12" s="75" t="s">
        <v>50</v>
      </c>
      <c r="G12" s="70"/>
      <c r="H12" s="70"/>
      <c r="I12" s="67" t="s">
        <v>51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 ht="12.75" customHeight="1">
      <c r="A13" s="7"/>
      <c r="B13" s="7"/>
      <c r="C13" s="7"/>
      <c r="D13" s="7"/>
      <c r="E13" s="7"/>
      <c r="F13" s="76" t="s">
        <v>2</v>
      </c>
      <c r="G13" s="74"/>
      <c r="H13" s="74"/>
      <c r="I13" s="7">
        <v>18.5</v>
      </c>
      <c r="J13" s="25" t="s">
        <v>3</v>
      </c>
      <c r="K13" s="25" t="s">
        <v>4</v>
      </c>
      <c r="L13" s="7">
        <v>20</v>
      </c>
      <c r="M13" s="25" t="s">
        <v>5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1:28" ht="12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O14" s="7"/>
      <c r="P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ht="12.75" customHeight="1">
      <c r="A16" s="7"/>
      <c r="B16" s="7"/>
      <c r="C16" s="7"/>
      <c r="D16" s="7"/>
      <c r="E16" s="7"/>
      <c r="F16" s="64" t="s">
        <v>38</v>
      </c>
      <c r="G16" s="25">
        <v>0.05</v>
      </c>
      <c r="H16" s="25" t="s">
        <v>6</v>
      </c>
      <c r="I16" s="25">
        <v>0.05</v>
      </c>
      <c r="J16" s="25" t="s">
        <v>7</v>
      </c>
      <c r="K16" s="25" t="s">
        <v>8</v>
      </c>
      <c r="L16" s="7">
        <v>1100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ht="12.75" customHeight="1">
      <c r="A17" s="7"/>
      <c r="B17" s="7"/>
      <c r="C17" s="7"/>
      <c r="D17" s="7"/>
      <c r="E17" s="7"/>
      <c r="F17" s="64" t="s">
        <v>39</v>
      </c>
      <c r="G17" s="25">
        <v>0.05</v>
      </c>
      <c r="H17" s="25" t="s">
        <v>6</v>
      </c>
      <c r="I17" s="25">
        <v>0.1</v>
      </c>
      <c r="J17" s="25" t="s">
        <v>7</v>
      </c>
      <c r="K17" s="25" t="s">
        <v>8</v>
      </c>
      <c r="L17" s="7">
        <v>1800</v>
      </c>
      <c r="M17" s="7"/>
      <c r="N17" s="7"/>
      <c r="O17" s="7"/>
      <c r="P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ht="12.75" customHeight="1">
      <c r="A18" s="7"/>
      <c r="B18" s="7"/>
      <c r="C18" s="7"/>
      <c r="D18" s="7"/>
      <c r="E18" s="7"/>
      <c r="F18" s="64" t="s">
        <v>40</v>
      </c>
      <c r="G18" s="25">
        <v>0.1</v>
      </c>
      <c r="H18" s="25" t="s">
        <v>6</v>
      </c>
      <c r="I18" s="25">
        <v>0.05</v>
      </c>
      <c r="J18" s="25" t="s">
        <v>7</v>
      </c>
      <c r="K18" s="25" t="s">
        <v>8</v>
      </c>
      <c r="L18" s="7">
        <v>2000</v>
      </c>
      <c r="M18" s="7"/>
      <c r="N18" s="7"/>
      <c r="O18" s="7"/>
      <c r="P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ht="12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ht="12.75" customHeight="1">
      <c r="A20" s="7"/>
      <c r="B20" s="7"/>
      <c r="C20" s="7"/>
      <c r="D20" s="7"/>
      <c r="E20" s="63"/>
      <c r="F20" s="63"/>
      <c r="G20" s="63"/>
      <c r="H20" s="63"/>
      <c r="I20" s="63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ht="12.75" customHeight="1">
      <c r="A21" s="7"/>
      <c r="B21" s="7"/>
      <c r="C21" s="7"/>
      <c r="D21" s="8"/>
      <c r="E21" s="77" t="s">
        <v>9</v>
      </c>
      <c r="F21" s="70"/>
      <c r="G21" s="70"/>
      <c r="H21" s="70"/>
      <c r="I21" s="70"/>
      <c r="J21" s="16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ht="12.75" customHeight="1">
      <c r="A22" s="7"/>
      <c r="B22" s="7"/>
      <c r="C22" s="7"/>
      <c r="D22" s="7"/>
      <c r="E22" s="27"/>
      <c r="F22" s="27"/>
      <c r="G22" s="27"/>
      <c r="H22" s="27"/>
      <c r="I22" s="2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ht="12.75" customHeight="1">
      <c r="A23" s="7"/>
      <c r="B23" s="7"/>
      <c r="C23" s="7"/>
      <c r="D23" s="7"/>
      <c r="E23" s="7"/>
      <c r="F23" s="25">
        <f>G16</f>
        <v>0.05</v>
      </c>
      <c r="G23" s="25" t="str">
        <f t="shared" ref="F23:H24" si="0">+H16</f>
        <v>* x1 +</v>
      </c>
      <c r="H23" s="25">
        <f t="shared" si="0"/>
        <v>0.05</v>
      </c>
      <c r="I23" s="25" t="str">
        <f>+J16&amp;" +"</f>
        <v>* x2 +</v>
      </c>
      <c r="J23" s="25">
        <v>1</v>
      </c>
      <c r="K23" s="65" t="s">
        <v>41</v>
      </c>
      <c r="L23" s="25">
        <v>0</v>
      </c>
      <c r="M23" s="65" t="s">
        <v>42</v>
      </c>
      <c r="N23" s="7">
        <v>0</v>
      </c>
      <c r="O23" s="66" t="s">
        <v>43</v>
      </c>
      <c r="P23" s="7">
        <f>L16</f>
        <v>1100</v>
      </c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ht="12.75" customHeight="1">
      <c r="A24" s="7"/>
      <c r="B24" s="7"/>
      <c r="C24" s="7"/>
      <c r="D24" s="7"/>
      <c r="E24" s="7"/>
      <c r="F24" s="25">
        <f t="shared" si="0"/>
        <v>0.05</v>
      </c>
      <c r="G24" s="25" t="str">
        <f t="shared" si="0"/>
        <v>* x1 +</v>
      </c>
      <c r="H24" s="25">
        <f t="shared" si="0"/>
        <v>0.1</v>
      </c>
      <c r="I24" s="25" t="str">
        <f>+J17&amp;" +"</f>
        <v>* x2 +</v>
      </c>
      <c r="J24" s="25">
        <v>0</v>
      </c>
      <c r="K24" s="65" t="s">
        <v>41</v>
      </c>
      <c r="L24" s="25">
        <v>1</v>
      </c>
      <c r="M24" s="65" t="s">
        <v>42</v>
      </c>
      <c r="N24" s="7">
        <v>0</v>
      </c>
      <c r="O24" s="66" t="s">
        <v>43</v>
      </c>
      <c r="P24" s="7">
        <f>L17</f>
        <v>1800</v>
      </c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ht="12.75" customHeight="1">
      <c r="A25" s="7"/>
      <c r="B25" s="7"/>
      <c r="C25" s="7"/>
      <c r="D25" s="7"/>
      <c r="E25" s="7"/>
      <c r="F25" s="25">
        <f>+G18</f>
        <v>0.1</v>
      </c>
      <c r="G25" s="25" t="str">
        <f>+H18</f>
        <v>* x1 +</v>
      </c>
      <c r="H25" s="25">
        <f>+I18</f>
        <v>0.05</v>
      </c>
      <c r="I25" s="25" t="str">
        <f>+J18&amp;" +"</f>
        <v>* x2 +</v>
      </c>
      <c r="J25" s="25">
        <v>0</v>
      </c>
      <c r="K25" s="65" t="s">
        <v>41</v>
      </c>
      <c r="L25" s="25">
        <v>0</v>
      </c>
      <c r="M25" s="65" t="s">
        <v>42</v>
      </c>
      <c r="N25" s="7">
        <v>1</v>
      </c>
      <c r="O25" s="66" t="s">
        <v>43</v>
      </c>
      <c r="P25" s="7">
        <f>L18</f>
        <v>2000</v>
      </c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ht="12.75" customHeight="1">
      <c r="A26" s="7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ht="12.75" customHeight="1">
      <c r="A27" s="60"/>
      <c r="B27" s="70" t="s">
        <v>10</v>
      </c>
      <c r="C27" s="71"/>
      <c r="D27" s="72"/>
      <c r="E27" s="70"/>
      <c r="F27" s="71"/>
      <c r="G27" s="71"/>
      <c r="H27" s="71"/>
      <c r="I27" s="72"/>
      <c r="J27" s="73"/>
      <c r="K27" s="71"/>
      <c r="L27" s="72"/>
      <c r="M27" s="16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ht="12.75" customHeight="1">
      <c r="A29" s="7"/>
      <c r="B29" s="74" t="s">
        <v>11</v>
      </c>
      <c r="C29" s="74"/>
      <c r="D29" s="74"/>
      <c r="E29" s="7"/>
      <c r="F29" s="63" t="s">
        <v>3</v>
      </c>
      <c r="G29" s="63" t="s">
        <v>5</v>
      </c>
      <c r="H29" s="63" t="s">
        <v>12</v>
      </c>
      <c r="I29" s="63" t="s">
        <v>13</v>
      </c>
      <c r="J29" s="63" t="s">
        <v>14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ht="12.75" customHeight="1">
      <c r="A30" s="7"/>
      <c r="B30" s="74"/>
      <c r="C30" s="74"/>
      <c r="D30" s="74"/>
      <c r="E30" s="60"/>
      <c r="F30" s="29">
        <f>I13</f>
        <v>18.5</v>
      </c>
      <c r="G30" s="29">
        <f>L13</f>
        <v>20</v>
      </c>
      <c r="H30" s="29">
        <v>0</v>
      </c>
      <c r="I30" s="29">
        <v>0</v>
      </c>
      <c r="J30" s="29">
        <v>0</v>
      </c>
      <c r="K30" s="16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ht="12.75" customHeight="1">
      <c r="A31" s="7"/>
      <c r="B31" s="63" t="s">
        <v>15</v>
      </c>
      <c r="C31" s="63" t="s">
        <v>16</v>
      </c>
      <c r="D31" s="63" t="s">
        <v>17</v>
      </c>
      <c r="E31" s="7"/>
      <c r="F31" s="13"/>
      <c r="G31" s="13"/>
      <c r="H31" s="13"/>
      <c r="I31" s="13"/>
      <c r="J31" s="13"/>
      <c r="L31" s="63" t="s">
        <v>18</v>
      </c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ht="12.75" customHeight="1">
      <c r="A32" s="60"/>
      <c r="B32" s="29">
        <v>0</v>
      </c>
      <c r="C32" s="29" t="s">
        <v>12</v>
      </c>
      <c r="D32" s="29">
        <f>L16</f>
        <v>1100</v>
      </c>
      <c r="E32" s="6"/>
      <c r="F32" s="29">
        <f>F23</f>
        <v>0.05</v>
      </c>
      <c r="G32" s="29">
        <f>H23</f>
        <v>0.05</v>
      </c>
      <c r="H32" s="29">
        <f>J23</f>
        <v>1</v>
      </c>
      <c r="I32" s="29">
        <f>L23</f>
        <v>0</v>
      </c>
      <c r="J32" s="29">
        <f>N23</f>
        <v>0</v>
      </c>
      <c r="K32" s="6"/>
      <c r="L32" s="29">
        <f>D32/G32</f>
        <v>22000</v>
      </c>
      <c r="M32" s="16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ht="12.75" customHeight="1">
      <c r="A33" s="60"/>
      <c r="B33" s="29">
        <v>0</v>
      </c>
      <c r="C33" s="29" t="s">
        <v>13</v>
      </c>
      <c r="D33" s="29">
        <f>L17</f>
        <v>1800</v>
      </c>
      <c r="E33" s="6"/>
      <c r="F33" s="29">
        <f>F24</f>
        <v>0.05</v>
      </c>
      <c r="G33" s="29">
        <f>H24</f>
        <v>0.1</v>
      </c>
      <c r="H33" s="29">
        <f>J24</f>
        <v>0</v>
      </c>
      <c r="I33" s="29">
        <f>L24</f>
        <v>1</v>
      </c>
      <c r="J33" s="29">
        <f>N24</f>
        <v>0</v>
      </c>
      <c r="K33" s="6"/>
      <c r="L33" s="37">
        <f>D33/G33</f>
        <v>18000</v>
      </c>
      <c r="M33" s="16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ht="12.75" customHeight="1">
      <c r="A34" s="60"/>
      <c r="B34" s="29">
        <v>0</v>
      </c>
      <c r="C34" s="29" t="s">
        <v>14</v>
      </c>
      <c r="D34" s="29">
        <f>L18</f>
        <v>2000</v>
      </c>
      <c r="E34" s="6"/>
      <c r="F34" s="29">
        <f>F25</f>
        <v>0.1</v>
      </c>
      <c r="G34" s="29">
        <f>H25</f>
        <v>0.05</v>
      </c>
      <c r="H34" s="29">
        <f>J25</f>
        <v>0</v>
      </c>
      <c r="I34" s="29">
        <f>L25</f>
        <v>0</v>
      </c>
      <c r="J34" s="29">
        <f>N25</f>
        <v>1</v>
      </c>
      <c r="K34" s="6"/>
      <c r="L34" s="29">
        <f>D34/G34</f>
        <v>40000</v>
      </c>
      <c r="M34" s="16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ht="12.75" customHeight="1">
      <c r="A35" s="7"/>
      <c r="B35" s="13"/>
      <c r="C35" s="13"/>
      <c r="D35" s="13"/>
      <c r="E35" s="7"/>
      <c r="F35" s="13"/>
      <c r="G35" s="13"/>
      <c r="H35" s="13"/>
      <c r="I35" s="13"/>
      <c r="J35" s="13"/>
      <c r="K35" s="7"/>
      <c r="L35" s="2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ht="12.75" customHeight="1">
      <c r="A36" s="60"/>
      <c r="B36" s="46" t="s">
        <v>19</v>
      </c>
      <c r="C36" s="72">
        <f>((B32*D32)+(B33*D33))+(B34*D34)</f>
        <v>0</v>
      </c>
      <c r="D36" s="72"/>
      <c r="E36" s="6"/>
      <c r="F36" s="29">
        <f>((($B$32*F32)+($B$33*F33))+($B$34*$F$34))-F30</f>
        <v>-18.5</v>
      </c>
      <c r="G36" s="37">
        <f>((($B$32*G32)+($B$33*G33))+($B$34*$F$34))-G30</f>
        <v>-20</v>
      </c>
      <c r="H36" s="29">
        <f>((($B$32*H32)+($B$33*H33))+($B$34*$F$34))-H30</f>
        <v>0</v>
      </c>
      <c r="I36" s="29">
        <f>((($B$32*I32)+($B$33*I33))+($B$34*$F$34))-I30</f>
        <v>0</v>
      </c>
      <c r="J36" s="29">
        <f>((($B$32*J32)+($B$33*J33))+($B$34*$F$34))-J30</f>
        <v>0</v>
      </c>
      <c r="K36" s="78" t="s">
        <v>20</v>
      </c>
      <c r="L36" s="69"/>
      <c r="M36" s="69"/>
      <c r="N36" s="69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 ht="12.75" customHeight="1">
      <c r="A37" s="7"/>
      <c r="B37" s="27"/>
      <c r="C37" s="27"/>
      <c r="D37" s="27"/>
      <c r="E37" s="7"/>
      <c r="F37" s="27"/>
      <c r="G37" s="27"/>
      <c r="H37" s="27"/>
      <c r="I37" s="27"/>
      <c r="J37" s="2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ht="12.75" customHeight="1">
      <c r="B38" s="79" t="s">
        <v>21</v>
      </c>
      <c r="C38" s="79"/>
      <c r="D38" s="79"/>
      <c r="E38" s="79"/>
      <c r="F38" s="79"/>
      <c r="G38" s="79"/>
      <c r="H38" s="79"/>
      <c r="I38" s="79"/>
      <c r="J38" s="79"/>
      <c r="K38" s="79"/>
      <c r="L38" s="79"/>
    </row>
    <row r="39" spans="1:28" ht="12.75" customHeight="1">
      <c r="A39" s="7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ht="12.75" customHeight="1">
      <c r="A40" s="7"/>
      <c r="B40" s="63"/>
      <c r="C40" s="63"/>
      <c r="D40" s="63"/>
      <c r="E40" s="63"/>
      <c r="F40" s="63"/>
      <c r="G40" s="63"/>
      <c r="H40" s="63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ht="12.75" customHeight="1">
      <c r="A41" s="60"/>
      <c r="B41" s="70" t="s">
        <v>22</v>
      </c>
      <c r="C41" s="71"/>
      <c r="D41" s="71"/>
      <c r="E41" s="71"/>
      <c r="F41" s="71"/>
      <c r="G41" s="71"/>
      <c r="H41" s="72"/>
      <c r="I41" s="16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ht="12.75" customHeight="1">
      <c r="A42" s="7"/>
      <c r="B42" s="27"/>
      <c r="C42" s="13"/>
      <c r="D42" s="27"/>
      <c r="E42" s="27"/>
      <c r="F42" s="27"/>
      <c r="G42" s="27"/>
      <c r="H42" s="2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ht="12.75" customHeight="1">
      <c r="B43" s="60" t="s">
        <v>12</v>
      </c>
      <c r="C43" s="29">
        <f>D32/G32</f>
        <v>22000</v>
      </c>
      <c r="D43" s="16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ht="12.75" customHeight="1">
      <c r="B44" s="60" t="s">
        <v>13</v>
      </c>
      <c r="C44" s="37">
        <f>D33/G33</f>
        <v>18000</v>
      </c>
      <c r="D44" s="16"/>
      <c r="E44" s="69" t="s">
        <v>23</v>
      </c>
      <c r="F44" s="69"/>
      <c r="G44" s="69"/>
      <c r="H44" s="69"/>
      <c r="I44" s="69"/>
      <c r="J44" s="69"/>
      <c r="K44" s="69"/>
      <c r="L44" s="69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ht="12.75" customHeight="1">
      <c r="B45" s="60" t="s">
        <v>14</v>
      </c>
      <c r="C45" s="29">
        <f>D34/G34</f>
        <v>40000</v>
      </c>
      <c r="D45" s="16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ht="12.75" customHeight="1">
      <c r="A46" s="7"/>
      <c r="B46" s="63"/>
      <c r="C46" s="63"/>
      <c r="D46" s="63"/>
      <c r="E46" s="63"/>
      <c r="F46" s="63"/>
      <c r="G46" s="63"/>
      <c r="H46" s="63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ht="12.75" customHeight="1">
      <c r="A47" s="60"/>
      <c r="B47" s="70" t="s">
        <v>24</v>
      </c>
      <c r="C47" s="71"/>
      <c r="D47" s="71"/>
      <c r="E47" s="71"/>
      <c r="F47" s="71"/>
      <c r="G47" s="71"/>
      <c r="H47" s="72"/>
      <c r="I47" s="16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ht="12.75" customHeight="1">
      <c r="A48" s="7"/>
      <c r="B48" s="7"/>
      <c r="C48" s="7"/>
      <c r="D48" s="7"/>
      <c r="E48" s="7"/>
      <c r="F48" s="7"/>
      <c r="G48" s="56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9" ht="12.75" customHeight="1">
      <c r="A49" s="7">
        <f>A29</f>
        <v>0</v>
      </c>
      <c r="B49" s="7"/>
      <c r="C49" s="7"/>
      <c r="D49" s="7"/>
      <c r="E49" s="7">
        <f t="shared" ref="E49:L49" si="1">E29</f>
        <v>0</v>
      </c>
      <c r="F49" s="33" t="str">
        <f t="shared" si="1"/>
        <v>x1</v>
      </c>
      <c r="G49" s="21" t="str">
        <f t="shared" si="1"/>
        <v>x2</v>
      </c>
      <c r="H49" s="36" t="str">
        <f t="shared" si="1"/>
        <v>x3</v>
      </c>
      <c r="I49" s="63" t="str">
        <f t="shared" si="1"/>
        <v>x4</v>
      </c>
      <c r="J49" s="63" t="str">
        <f t="shared" si="1"/>
        <v>x5</v>
      </c>
      <c r="K49" s="7">
        <f t="shared" si="1"/>
        <v>0</v>
      </c>
      <c r="L49" s="7">
        <f t="shared" si="1"/>
        <v>0</v>
      </c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9" ht="12.75" customHeight="1">
      <c r="A50" s="7"/>
      <c r="B50" s="7"/>
      <c r="C50" s="7"/>
      <c r="D50" s="7"/>
      <c r="E50" s="60">
        <f t="shared" ref="E50:J56" si="2">E30</f>
        <v>0</v>
      </c>
      <c r="F50" s="22">
        <f t="shared" si="2"/>
        <v>18.5</v>
      </c>
      <c r="G50" s="40">
        <f t="shared" si="2"/>
        <v>20</v>
      </c>
      <c r="H50" s="3">
        <f t="shared" si="2"/>
        <v>0</v>
      </c>
      <c r="I50" s="29">
        <f t="shared" si="2"/>
        <v>0</v>
      </c>
      <c r="J50" s="29">
        <f t="shared" si="2"/>
        <v>0</v>
      </c>
      <c r="K50" s="80" t="s">
        <v>25</v>
      </c>
      <c r="L50" s="81">
        <f>L30</f>
        <v>0</v>
      </c>
      <c r="M50" s="74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9" ht="12.75" customHeight="1">
      <c r="A51" s="7">
        <f t="shared" ref="A51:D54" si="3">A31</f>
        <v>0</v>
      </c>
      <c r="B51" s="63" t="str">
        <f t="shared" si="3"/>
        <v>Ck</v>
      </c>
      <c r="C51" s="63" t="str">
        <f t="shared" si="3"/>
        <v>Xk</v>
      </c>
      <c r="D51" s="63" t="str">
        <f t="shared" si="3"/>
        <v>Bk</v>
      </c>
      <c r="E51" s="7">
        <f t="shared" si="2"/>
        <v>0</v>
      </c>
      <c r="F51" s="28">
        <f t="shared" si="2"/>
        <v>0</v>
      </c>
      <c r="G51" s="40">
        <f t="shared" si="2"/>
        <v>0</v>
      </c>
      <c r="H51" s="34">
        <f t="shared" si="2"/>
        <v>0</v>
      </c>
      <c r="I51" s="13">
        <f t="shared" si="2"/>
        <v>0</v>
      </c>
      <c r="J51" s="13">
        <f t="shared" si="2"/>
        <v>0</v>
      </c>
      <c r="K51">
        <f>K31</f>
        <v>0</v>
      </c>
      <c r="L51" s="19" t="str">
        <f>L31</f>
        <v>Θ</v>
      </c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9" ht="12.75" customHeight="1">
      <c r="A52" s="60">
        <f t="shared" si="3"/>
        <v>0</v>
      </c>
      <c r="B52" s="49">
        <f t="shared" si="3"/>
        <v>0</v>
      </c>
      <c r="C52" s="49" t="str">
        <f t="shared" si="3"/>
        <v>x3</v>
      </c>
      <c r="D52" s="49">
        <f t="shared" si="3"/>
        <v>1100</v>
      </c>
      <c r="E52" s="10">
        <f t="shared" si="2"/>
        <v>0</v>
      </c>
      <c r="F52" s="47">
        <f t="shared" si="2"/>
        <v>0.05</v>
      </c>
      <c r="G52" s="55">
        <f t="shared" si="2"/>
        <v>0.05</v>
      </c>
      <c r="H52" s="45">
        <f t="shared" si="2"/>
        <v>1</v>
      </c>
      <c r="I52" s="49">
        <f t="shared" si="2"/>
        <v>0</v>
      </c>
      <c r="J52" s="49">
        <f t="shared" si="2"/>
        <v>0</v>
      </c>
      <c r="K52" s="10">
        <f>K32</f>
        <v>0</v>
      </c>
      <c r="L52" s="49">
        <f>C43</f>
        <v>22000</v>
      </c>
      <c r="M52" s="80" t="s">
        <v>26</v>
      </c>
      <c r="N52" s="74"/>
      <c r="O52" s="74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9" ht="15">
      <c r="A53" s="20">
        <f t="shared" si="3"/>
        <v>0</v>
      </c>
      <c r="B53" s="54">
        <f t="shared" si="3"/>
        <v>0</v>
      </c>
      <c r="C53" s="30" t="str">
        <f t="shared" si="3"/>
        <v>x4</v>
      </c>
      <c r="D53" s="59">
        <f t="shared" si="3"/>
        <v>1800</v>
      </c>
      <c r="E53" s="59">
        <f t="shared" si="2"/>
        <v>0</v>
      </c>
      <c r="F53" s="26">
        <f t="shared" si="2"/>
        <v>0.05</v>
      </c>
      <c r="G53" s="41">
        <f t="shared" si="2"/>
        <v>0.1</v>
      </c>
      <c r="H53" s="54">
        <f t="shared" si="2"/>
        <v>0</v>
      </c>
      <c r="I53" s="59">
        <f t="shared" si="2"/>
        <v>1</v>
      </c>
      <c r="J53" s="59">
        <f t="shared" si="2"/>
        <v>0</v>
      </c>
      <c r="K53" s="59">
        <f>K33</f>
        <v>0</v>
      </c>
      <c r="L53" s="26">
        <f>C44</f>
        <v>18000</v>
      </c>
      <c r="M53" s="82"/>
      <c r="N53" s="74"/>
      <c r="O53" s="74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9" ht="12.75" customHeight="1">
      <c r="A54" s="60">
        <f t="shared" si="3"/>
        <v>0</v>
      </c>
      <c r="B54" s="51">
        <f t="shared" si="3"/>
        <v>0</v>
      </c>
      <c r="C54" s="51" t="str">
        <f t="shared" si="3"/>
        <v>x5</v>
      </c>
      <c r="D54" s="51">
        <f t="shared" si="3"/>
        <v>2000</v>
      </c>
      <c r="E54" s="62">
        <f t="shared" si="2"/>
        <v>0</v>
      </c>
      <c r="F54" s="53">
        <f t="shared" si="2"/>
        <v>0.1</v>
      </c>
      <c r="G54" s="57">
        <f t="shared" si="2"/>
        <v>0.05</v>
      </c>
      <c r="H54" s="43">
        <f t="shared" si="2"/>
        <v>0</v>
      </c>
      <c r="I54" s="51">
        <f t="shared" si="2"/>
        <v>0</v>
      </c>
      <c r="J54" s="51">
        <f t="shared" si="2"/>
        <v>1</v>
      </c>
      <c r="K54" s="62">
        <f>K34</f>
        <v>0</v>
      </c>
      <c r="L54" s="51">
        <f>C45</f>
        <v>40000</v>
      </c>
      <c r="M54" s="16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9" ht="12.75" customHeight="1">
      <c r="A55" s="7"/>
      <c r="B55" s="13"/>
      <c r="C55" s="13"/>
      <c r="D55" s="13"/>
      <c r="E55" s="7">
        <f t="shared" si="2"/>
        <v>0</v>
      </c>
      <c r="F55" s="28">
        <f t="shared" si="2"/>
        <v>0</v>
      </c>
      <c r="G55" s="40">
        <f t="shared" si="2"/>
        <v>0</v>
      </c>
      <c r="H55" s="34">
        <f t="shared" si="2"/>
        <v>0</v>
      </c>
      <c r="I55" s="13">
        <f t="shared" si="2"/>
        <v>0</v>
      </c>
      <c r="J55" s="13">
        <f t="shared" si="2"/>
        <v>0</v>
      </c>
      <c r="K55" s="7">
        <f>K35</f>
        <v>0</v>
      </c>
      <c r="L55" s="27">
        <f>L35</f>
        <v>0</v>
      </c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9" ht="12.75" customHeight="1">
      <c r="A56" s="60"/>
      <c r="B56" s="29" t="s">
        <v>19</v>
      </c>
      <c r="C56" s="70">
        <f>((B52*D52)+(B53*D53))+(B54*D54)</f>
        <v>0</v>
      </c>
      <c r="D56" s="70"/>
      <c r="E56" s="6">
        <f t="shared" si="2"/>
        <v>0</v>
      </c>
      <c r="F56" s="22">
        <f t="shared" si="2"/>
        <v>-18.5</v>
      </c>
      <c r="G56" s="55">
        <f t="shared" si="2"/>
        <v>-20</v>
      </c>
      <c r="H56" s="3">
        <f t="shared" si="2"/>
        <v>0</v>
      </c>
      <c r="I56" s="29">
        <f t="shared" si="2"/>
        <v>0</v>
      </c>
      <c r="J56" s="29">
        <f t="shared" si="2"/>
        <v>0</v>
      </c>
      <c r="K56" s="78" t="s">
        <v>27</v>
      </c>
      <c r="L56" s="69"/>
      <c r="M56" s="69"/>
      <c r="N56" s="69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9" ht="12.75" customHeight="1">
      <c r="A57" s="7"/>
      <c r="B57" s="13"/>
      <c r="C57" s="13"/>
      <c r="D57" s="13"/>
      <c r="E57" s="63"/>
      <c r="F57" s="13"/>
      <c r="G57" s="14"/>
      <c r="H57" s="13"/>
      <c r="I57" s="13"/>
      <c r="J57" s="13"/>
      <c r="K57" s="63"/>
      <c r="L57" s="63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9" ht="12.75" customHeight="1">
      <c r="A58" s="60"/>
      <c r="B58" s="70" t="s">
        <v>28</v>
      </c>
      <c r="C58" s="70"/>
      <c r="D58" s="70"/>
      <c r="E58" s="70"/>
      <c r="F58" s="70"/>
      <c r="G58" s="70" t="s">
        <v>29</v>
      </c>
      <c r="H58" s="70"/>
      <c r="I58" s="70"/>
      <c r="J58" s="70"/>
      <c r="K58" s="70"/>
      <c r="L58" s="70"/>
      <c r="M58" s="16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9" ht="12.75" customHeight="1">
      <c r="A59" s="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9" ht="12.75" customHeight="1">
      <c r="A60" s="7"/>
      <c r="B60" s="7"/>
      <c r="C60" s="7"/>
      <c r="D60" s="7"/>
      <c r="E60" s="7"/>
      <c r="F60" s="63" t="s">
        <v>3</v>
      </c>
      <c r="G60" s="63" t="s">
        <v>5</v>
      </c>
      <c r="H60" s="63" t="s">
        <v>12</v>
      </c>
      <c r="I60" s="63" t="s">
        <v>13</v>
      </c>
      <c r="J60" s="63" t="s">
        <v>14</v>
      </c>
      <c r="K60" s="7"/>
      <c r="L60" s="74" t="s">
        <v>30</v>
      </c>
      <c r="M60" s="74"/>
      <c r="N60" s="74"/>
      <c r="O60" s="74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9" ht="12.75" customHeight="1">
      <c r="A61" s="7"/>
      <c r="B61" s="7"/>
      <c r="C61" s="7"/>
      <c r="D61" s="7"/>
      <c r="E61" s="60"/>
      <c r="F61" s="29">
        <f>F50</f>
        <v>18.5</v>
      </c>
      <c r="G61" s="29">
        <f>G50</f>
        <v>20</v>
      </c>
      <c r="H61" s="29">
        <f>H50</f>
        <v>0</v>
      </c>
      <c r="I61" s="29">
        <f>I50</f>
        <v>0</v>
      </c>
      <c r="J61" s="29">
        <f>J50</f>
        <v>0</v>
      </c>
      <c r="K61" s="1"/>
      <c r="L61" s="79"/>
      <c r="M61" s="79"/>
      <c r="N61" s="74"/>
      <c r="O61" s="74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9" ht="12.75" customHeight="1">
      <c r="A62" s="7"/>
      <c r="B62" s="63"/>
      <c r="C62" s="63"/>
      <c r="D62" s="63"/>
      <c r="E62" s="7"/>
      <c r="F62" s="13"/>
      <c r="G62" s="13"/>
      <c r="H62" s="13"/>
      <c r="I62" s="13"/>
      <c r="J62" s="13"/>
      <c r="L62" s="79"/>
      <c r="M62" s="79"/>
      <c r="N62" s="74"/>
      <c r="O62" s="74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9" ht="12.75" customHeight="1">
      <c r="A63" s="60"/>
      <c r="B63" s="29">
        <f>B32</f>
        <v>0</v>
      </c>
      <c r="C63" s="29" t="s">
        <v>12</v>
      </c>
      <c r="D63" s="29">
        <f>D52-((D53*$G$52)/$G$53)</f>
        <v>200</v>
      </c>
      <c r="E63" s="48"/>
      <c r="F63" s="29">
        <f>F52-((F53*$G$52)/$G$53)</f>
        <v>2.4999999999999998E-2</v>
      </c>
      <c r="G63" s="29">
        <f>G52-((G53*$G$52)/$G$53)</f>
        <v>0</v>
      </c>
      <c r="H63" s="29">
        <f>H52-((H53*$G$52)/$G$53)</f>
        <v>1</v>
      </c>
      <c r="I63" s="29">
        <f>I52-((I53*$G$52)/$G$53)</f>
        <v>-0.5</v>
      </c>
      <c r="J63" s="29">
        <f>J52-((J53*$G$52)/$G$53)</f>
        <v>0</v>
      </c>
      <c r="K63" s="1"/>
      <c r="L63" s="79"/>
      <c r="M63" s="79"/>
      <c r="N63" s="79"/>
      <c r="O63" s="79"/>
      <c r="V63" s="7"/>
      <c r="W63" s="7"/>
      <c r="X63" s="7"/>
      <c r="Y63" s="7"/>
      <c r="Z63" s="7"/>
      <c r="AA63" s="7"/>
      <c r="AB63" s="7"/>
    </row>
    <row r="64" spans="1:29" ht="12.75" customHeight="1">
      <c r="A64" s="60"/>
      <c r="B64" s="29">
        <f>G61</f>
        <v>20</v>
      </c>
      <c r="C64" s="52" t="str">
        <f>G49</f>
        <v>x2</v>
      </c>
      <c r="D64" s="29">
        <f>D53/$G$53</f>
        <v>18000</v>
      </c>
      <c r="E64" s="29"/>
      <c r="F64" s="29">
        <f>F53/$G$53</f>
        <v>0.5</v>
      </c>
      <c r="G64" s="29">
        <f>G53/$G$53</f>
        <v>1</v>
      </c>
      <c r="H64" s="29">
        <f>H53/$G$53</f>
        <v>0</v>
      </c>
      <c r="I64" s="29">
        <f>I53/$G$53</f>
        <v>10</v>
      </c>
      <c r="J64" s="29">
        <f>J53/$G$53</f>
        <v>0</v>
      </c>
      <c r="K64" s="1"/>
      <c r="M64" t="s">
        <v>31</v>
      </c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 ht="12.75" customHeight="1">
      <c r="A65" s="60"/>
      <c r="B65" s="29">
        <f>B34</f>
        <v>0</v>
      </c>
      <c r="C65" s="29" t="s">
        <v>14</v>
      </c>
      <c r="D65" s="29">
        <f>D54-((D53*$G$54)/$G$53)</f>
        <v>1100</v>
      </c>
      <c r="E65" s="32"/>
      <c r="F65" s="29">
        <f>F54-((F53*$G$54)/$G$53)</f>
        <v>7.4999999999999997E-2</v>
      </c>
      <c r="G65" s="29">
        <f>G54-((G53*$G$54)/$G$53)</f>
        <v>0</v>
      </c>
      <c r="H65" s="29">
        <f>H54-((H53*$G$54)/$G$53)</f>
        <v>0</v>
      </c>
      <c r="I65" s="29">
        <f>I54-((I53*$G$54)/$G$53)</f>
        <v>-0.5</v>
      </c>
      <c r="J65" s="29">
        <f>J54-((J53*$G$54)/$G$53)</f>
        <v>1</v>
      </c>
      <c r="K65" s="1"/>
      <c r="L65" s="79" t="s">
        <v>32</v>
      </c>
      <c r="M65" s="79"/>
      <c r="N65" s="74"/>
      <c r="O65" s="74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 ht="12.75" customHeight="1">
      <c r="A66" s="7"/>
      <c r="B66" s="13"/>
      <c r="C66" s="13"/>
      <c r="D66" s="13"/>
      <c r="E66" s="7"/>
      <c r="F66" s="13"/>
      <c r="G66" s="13"/>
      <c r="H66" s="13"/>
      <c r="I66" s="13"/>
      <c r="J66" s="13"/>
      <c r="K66" s="7"/>
      <c r="L66" s="74"/>
      <c r="M66" s="74"/>
      <c r="N66" s="74"/>
      <c r="O66" s="74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 ht="12.75" customHeight="1">
      <c r="A67" s="60"/>
      <c r="B67" s="46" t="s">
        <v>19</v>
      </c>
      <c r="C67" s="72">
        <f>((B63*D63)+(B64*D64))+(B65*D65)</f>
        <v>360000</v>
      </c>
      <c r="D67" s="72"/>
      <c r="E67" s="6"/>
      <c r="F67" s="29">
        <f>F56-((F53*$G$56)/$G$53)</f>
        <v>-8.5</v>
      </c>
      <c r="G67" s="29">
        <f>G56-((G53*$G$56)/$G$53)</f>
        <v>0</v>
      </c>
      <c r="H67" s="29">
        <f>H56-((H53*$G$56)/$G$53)</f>
        <v>0</v>
      </c>
      <c r="I67" s="29">
        <f>I56-((I53*$G$56)/$G$53)</f>
        <v>200</v>
      </c>
      <c r="J67" s="29">
        <f>J56-((J53*$G$56)/$G$53)</f>
        <v>0</v>
      </c>
      <c r="K67" s="16"/>
      <c r="L67" s="74"/>
      <c r="M67" s="74"/>
      <c r="N67" s="74"/>
      <c r="O67" s="74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 ht="12.75" customHeight="1">
      <c r="A68" s="7"/>
      <c r="B68" s="27"/>
      <c r="C68" s="27"/>
      <c r="D68" s="27"/>
      <c r="E68" s="7"/>
      <c r="F68" s="27"/>
      <c r="G68" s="27"/>
      <c r="H68" s="27"/>
      <c r="I68" s="27"/>
      <c r="J68" s="2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ht="12.75" customHeight="1">
      <c r="A69" s="7"/>
      <c r="B69" s="74" t="s">
        <v>33</v>
      </c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 ht="12.75" customHeight="1">
      <c r="A70" s="7"/>
      <c r="B70" s="63"/>
      <c r="C70" s="63"/>
      <c r="D70" s="63"/>
      <c r="E70" s="63"/>
      <c r="F70" s="63"/>
      <c r="G70" s="63"/>
      <c r="H70" s="63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 ht="12.75" customHeight="1">
      <c r="A71" s="60"/>
      <c r="B71" s="70" t="s">
        <v>34</v>
      </c>
      <c r="C71" s="71"/>
      <c r="D71" s="71"/>
      <c r="E71" s="71"/>
      <c r="F71" s="71"/>
      <c r="G71" s="71"/>
      <c r="H71" s="72"/>
      <c r="I71" s="16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ht="12.75" customHeight="1">
      <c r="A72" s="7"/>
      <c r="B72" s="27"/>
      <c r="C72" s="27"/>
      <c r="D72" s="27"/>
      <c r="E72" s="27"/>
      <c r="F72" s="27"/>
      <c r="G72" s="27"/>
      <c r="H72" s="2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 ht="12.75" customHeight="1">
      <c r="A73" s="7"/>
      <c r="B73" s="74" t="s">
        <v>25</v>
      </c>
      <c r="C73" s="81"/>
      <c r="D73" s="74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 ht="12.75" customHeight="1">
      <c r="A74" s="7"/>
      <c r="C74" s="19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 ht="12.75" customHeight="1">
      <c r="A75" s="7"/>
      <c r="B75" s="60"/>
      <c r="C75" s="29">
        <f>D63/F63</f>
        <v>8000.0000000000009</v>
      </c>
      <c r="D75" s="16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 ht="12.75" customHeight="1">
      <c r="A76" s="7"/>
      <c r="B76" s="60"/>
      <c r="C76" s="29">
        <f>D64/F64</f>
        <v>36000</v>
      </c>
      <c r="D76" s="16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 ht="12.75" customHeight="1">
      <c r="A77" s="7"/>
      <c r="B77" s="60"/>
      <c r="C77" s="29">
        <f>D65/F65</f>
        <v>14666.666666666668</v>
      </c>
      <c r="D77" s="16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 ht="12.75" customHeight="1">
      <c r="A78" s="7"/>
      <c r="B78" s="63"/>
      <c r="C78" s="13"/>
      <c r="D78" s="63"/>
      <c r="E78" s="63"/>
      <c r="F78" s="63"/>
      <c r="G78" s="63"/>
      <c r="H78" s="63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 ht="12.75" customHeight="1">
      <c r="A79" s="60"/>
      <c r="B79" s="70" t="s">
        <v>35</v>
      </c>
      <c r="C79" s="71"/>
      <c r="D79" s="71"/>
      <c r="E79" s="71"/>
      <c r="F79" s="71"/>
      <c r="G79" s="71"/>
      <c r="H79" s="72"/>
      <c r="I79" s="16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 ht="12.75" customHeight="1">
      <c r="A80" s="7"/>
      <c r="B80" s="13"/>
      <c r="C80" s="27"/>
      <c r="D80" s="27"/>
      <c r="E80" s="27"/>
      <c r="F80" s="5"/>
      <c r="G80" s="27"/>
      <c r="H80" s="2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 ht="12.75" customHeight="1">
      <c r="A81" s="7"/>
      <c r="B81" s="27">
        <f t="shared" ref="B81:K81" si="4">B60</f>
        <v>0</v>
      </c>
      <c r="C81" s="7">
        <f t="shared" si="4"/>
        <v>0</v>
      </c>
      <c r="D81" s="7">
        <f t="shared" si="4"/>
        <v>0</v>
      </c>
      <c r="E81" s="20">
        <f t="shared" si="4"/>
        <v>0</v>
      </c>
      <c r="F81" s="57" t="str">
        <f t="shared" si="4"/>
        <v>x1</v>
      </c>
      <c r="G81" s="36" t="str">
        <f t="shared" si="4"/>
        <v>x2</v>
      </c>
      <c r="H81" s="63" t="str">
        <f t="shared" si="4"/>
        <v>x3</v>
      </c>
      <c r="I81" s="63" t="str">
        <f t="shared" si="4"/>
        <v>x4</v>
      </c>
      <c r="J81" s="63" t="str">
        <f t="shared" si="4"/>
        <v>x5</v>
      </c>
      <c r="K81" s="7">
        <f t="shared" si="4"/>
        <v>0</v>
      </c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 ht="12.75" customHeight="1">
      <c r="A82" s="7"/>
      <c r="B82" s="7">
        <f t="shared" ref="B82:J82" si="5">B61</f>
        <v>0</v>
      </c>
      <c r="C82" s="7">
        <f t="shared" si="5"/>
        <v>0</v>
      </c>
      <c r="D82" s="7">
        <f t="shared" si="5"/>
        <v>0</v>
      </c>
      <c r="E82" s="20">
        <f t="shared" si="5"/>
        <v>0</v>
      </c>
      <c r="F82" s="40">
        <f t="shared" si="5"/>
        <v>18.5</v>
      </c>
      <c r="G82" s="3">
        <f t="shared" si="5"/>
        <v>20</v>
      </c>
      <c r="H82" s="29">
        <f t="shared" si="5"/>
        <v>0</v>
      </c>
      <c r="I82" s="29">
        <f t="shared" si="5"/>
        <v>0</v>
      </c>
      <c r="J82" s="29">
        <f t="shared" si="5"/>
        <v>0</v>
      </c>
      <c r="K82" s="80" t="s">
        <v>25</v>
      </c>
      <c r="L82" s="81"/>
      <c r="M82" s="74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 ht="12.75" customHeight="1">
      <c r="A83" s="7"/>
      <c r="B83" s="56">
        <f t="shared" ref="B83:J83" si="6">B62</f>
        <v>0</v>
      </c>
      <c r="C83" s="56">
        <f t="shared" si="6"/>
        <v>0</v>
      </c>
      <c r="D83" s="56">
        <f t="shared" si="6"/>
        <v>0</v>
      </c>
      <c r="E83" s="61">
        <f t="shared" si="6"/>
        <v>0</v>
      </c>
      <c r="F83" s="55">
        <f t="shared" si="6"/>
        <v>0</v>
      </c>
      <c r="G83" s="9">
        <f t="shared" si="6"/>
        <v>0</v>
      </c>
      <c r="H83" s="5">
        <f t="shared" si="6"/>
        <v>0</v>
      </c>
      <c r="I83" s="5">
        <f t="shared" si="6"/>
        <v>0</v>
      </c>
      <c r="J83" s="5">
        <f t="shared" si="6"/>
        <v>0</v>
      </c>
      <c r="K83" s="18">
        <f t="shared" ref="K83:K88" si="7">K62</f>
        <v>0</v>
      </c>
      <c r="L83" s="1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 ht="12.75" customHeight="1">
      <c r="A84" s="20"/>
      <c r="B84" s="54">
        <f t="shared" ref="B84:J84" si="8">B63</f>
        <v>0</v>
      </c>
      <c r="C84" s="59" t="str">
        <f t="shared" si="8"/>
        <v>x3</v>
      </c>
      <c r="D84" s="59">
        <f t="shared" si="8"/>
        <v>200</v>
      </c>
      <c r="E84" s="26">
        <f t="shared" si="8"/>
        <v>0</v>
      </c>
      <c r="F84" s="58">
        <f t="shared" si="8"/>
        <v>2.4999999999999998E-2</v>
      </c>
      <c r="G84" s="54">
        <f t="shared" si="8"/>
        <v>0</v>
      </c>
      <c r="H84" s="59">
        <f t="shared" si="8"/>
        <v>1</v>
      </c>
      <c r="I84" s="59">
        <f t="shared" si="8"/>
        <v>-0.5</v>
      </c>
      <c r="J84" s="59">
        <f t="shared" si="8"/>
        <v>0</v>
      </c>
      <c r="K84" s="38">
        <f t="shared" si="7"/>
        <v>0</v>
      </c>
      <c r="L84" s="42">
        <f>C75</f>
        <v>8000.0000000000009</v>
      </c>
      <c r="M84" s="23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 ht="12.75" customHeight="1">
      <c r="A85" s="60"/>
      <c r="B85" s="51">
        <f t="shared" ref="B85:J85" si="9">B64</f>
        <v>20</v>
      </c>
      <c r="C85" s="44" t="str">
        <f t="shared" si="9"/>
        <v>x2</v>
      </c>
      <c r="D85" s="51">
        <f t="shared" si="9"/>
        <v>18000</v>
      </c>
      <c r="E85" s="53">
        <f t="shared" si="9"/>
        <v>0</v>
      </c>
      <c r="F85" s="57">
        <f t="shared" si="9"/>
        <v>0.5</v>
      </c>
      <c r="G85" s="43">
        <f t="shared" si="9"/>
        <v>1</v>
      </c>
      <c r="H85" s="51">
        <f t="shared" si="9"/>
        <v>0</v>
      </c>
      <c r="I85" s="51">
        <f t="shared" si="9"/>
        <v>10</v>
      </c>
      <c r="J85" s="51">
        <f t="shared" si="9"/>
        <v>0</v>
      </c>
      <c r="K85" s="35">
        <f t="shared" si="7"/>
        <v>0</v>
      </c>
      <c r="L85" s="15">
        <f>C76</f>
        <v>36000</v>
      </c>
      <c r="M85" s="1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 ht="12.75" customHeight="1">
      <c r="A86" s="60"/>
      <c r="B86" s="29">
        <f t="shared" ref="B86:J86" si="10">B65</f>
        <v>0</v>
      </c>
      <c r="C86" s="29" t="str">
        <f t="shared" si="10"/>
        <v>x5</v>
      </c>
      <c r="D86" s="29">
        <f t="shared" si="10"/>
        <v>1100</v>
      </c>
      <c r="E86" s="39">
        <f t="shared" si="10"/>
        <v>0</v>
      </c>
      <c r="F86" s="40">
        <f t="shared" si="10"/>
        <v>7.4999999999999997E-2</v>
      </c>
      <c r="G86" s="3">
        <f t="shared" si="10"/>
        <v>0</v>
      </c>
      <c r="H86" s="29">
        <f t="shared" si="10"/>
        <v>0</v>
      </c>
      <c r="I86" s="29">
        <f t="shared" si="10"/>
        <v>-0.5</v>
      </c>
      <c r="J86" s="29">
        <f t="shared" si="10"/>
        <v>1</v>
      </c>
      <c r="K86" s="24">
        <f t="shared" si="7"/>
        <v>0</v>
      </c>
      <c r="L86" s="2">
        <f>C77</f>
        <v>14666.666666666668</v>
      </c>
      <c r="M86" s="1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 ht="12.75" customHeight="1">
      <c r="A87" s="7"/>
      <c r="B87" s="13">
        <f t="shared" ref="B87:J87" si="11">B66</f>
        <v>0</v>
      </c>
      <c r="C87" s="13">
        <f t="shared" si="11"/>
        <v>0</v>
      </c>
      <c r="D87" s="13">
        <f t="shared" si="11"/>
        <v>0</v>
      </c>
      <c r="E87" s="20">
        <f t="shared" si="11"/>
        <v>0</v>
      </c>
      <c r="F87" s="40">
        <f t="shared" si="11"/>
        <v>0</v>
      </c>
      <c r="G87" s="34">
        <f t="shared" si="11"/>
        <v>0</v>
      </c>
      <c r="H87" s="13">
        <f t="shared" si="11"/>
        <v>0</v>
      </c>
      <c r="I87" s="13">
        <f t="shared" si="11"/>
        <v>0</v>
      </c>
      <c r="J87" s="13">
        <f t="shared" si="11"/>
        <v>0</v>
      </c>
      <c r="K87" s="7">
        <f t="shared" si="7"/>
        <v>0</v>
      </c>
      <c r="L87" s="2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 ht="12.75" customHeight="1">
      <c r="A88" s="60"/>
      <c r="B88" s="46" t="str">
        <f t="shared" ref="B88:J88" si="12">B67</f>
        <v>Z =</v>
      </c>
      <c r="C88" s="72">
        <f t="shared" si="12"/>
        <v>360000</v>
      </c>
      <c r="D88" s="72">
        <f t="shared" si="12"/>
        <v>0</v>
      </c>
      <c r="E88" s="4">
        <f t="shared" si="12"/>
        <v>0</v>
      </c>
      <c r="F88" s="55">
        <f t="shared" si="12"/>
        <v>-8.5</v>
      </c>
      <c r="G88" s="3">
        <f t="shared" si="12"/>
        <v>0</v>
      </c>
      <c r="H88" s="29">
        <f t="shared" si="12"/>
        <v>0</v>
      </c>
      <c r="I88" s="29">
        <f t="shared" si="12"/>
        <v>200</v>
      </c>
      <c r="J88" s="29">
        <f t="shared" si="12"/>
        <v>0</v>
      </c>
      <c r="K88" s="16">
        <f t="shared" si="7"/>
        <v>0</v>
      </c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 ht="12.75" customHeight="1">
      <c r="A89" s="7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 ht="12.75" customHeight="1">
      <c r="A90" s="60"/>
      <c r="B90" s="70" t="s">
        <v>36</v>
      </c>
      <c r="C90" s="70"/>
      <c r="D90" s="70"/>
      <c r="E90" s="70"/>
      <c r="F90" s="70"/>
      <c r="G90" s="70" t="s">
        <v>29</v>
      </c>
      <c r="H90" s="70"/>
      <c r="I90" s="70"/>
      <c r="J90" s="70"/>
      <c r="K90" s="70"/>
      <c r="L90" s="70"/>
      <c r="M90" s="16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 ht="12.75" customHeight="1">
      <c r="A92" s="7"/>
      <c r="B92" s="63"/>
      <c r="C92" s="63"/>
      <c r="D92" s="63"/>
      <c r="E92" s="7"/>
      <c r="F92" s="63" t="s">
        <v>3</v>
      </c>
      <c r="G92" s="63" t="s">
        <v>5</v>
      </c>
      <c r="H92" s="63" t="s">
        <v>12</v>
      </c>
      <c r="I92" s="63" t="s">
        <v>13</v>
      </c>
      <c r="J92" s="63" t="s">
        <v>14</v>
      </c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 ht="12.75" customHeight="1">
      <c r="A93" s="60"/>
      <c r="B93" s="83" t="s">
        <v>37</v>
      </c>
      <c r="C93" s="83"/>
      <c r="D93" s="83"/>
      <c r="E93" s="6"/>
      <c r="F93" s="29">
        <f>F82</f>
        <v>18.5</v>
      </c>
      <c r="G93" s="29">
        <f>G82</f>
        <v>20</v>
      </c>
      <c r="H93" s="29">
        <f>H82</f>
        <v>0</v>
      </c>
      <c r="I93" s="29">
        <f>I82</f>
        <v>0</v>
      </c>
      <c r="J93" s="29">
        <f>J82</f>
        <v>0</v>
      </c>
      <c r="K93" s="1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 ht="12.75" customHeight="1">
      <c r="A94" s="7"/>
      <c r="B94" s="13"/>
      <c r="C94" s="13"/>
      <c r="D94" s="13"/>
      <c r="E94" s="7"/>
      <c r="F94" s="13"/>
      <c r="G94" s="13"/>
      <c r="H94" s="13"/>
      <c r="I94" s="13"/>
      <c r="J94" s="13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 ht="12.75" customHeight="1">
      <c r="A95" s="60"/>
      <c r="B95" s="29">
        <f>F82</f>
        <v>18.5</v>
      </c>
      <c r="C95" s="31" t="str">
        <f>F81</f>
        <v>x1</v>
      </c>
      <c r="D95" s="11">
        <f>D84/$F$84</f>
        <v>8000.0000000000009</v>
      </c>
      <c r="E95" s="6"/>
      <c r="F95" s="29">
        <f>F84/$F$84</f>
        <v>1</v>
      </c>
      <c r="G95" s="29">
        <f>G84/$F$84</f>
        <v>0</v>
      </c>
      <c r="H95" s="29">
        <f>H84/$F$84</f>
        <v>40</v>
      </c>
      <c r="I95" s="29">
        <f>I84/$F$84</f>
        <v>-20</v>
      </c>
      <c r="J95" s="29">
        <f>J84/$F$84</f>
        <v>0</v>
      </c>
      <c r="K95" s="1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 ht="12.75" customHeight="1">
      <c r="A96" s="60"/>
      <c r="B96" s="29">
        <f>B85</f>
        <v>20</v>
      </c>
      <c r="C96" s="12" t="str">
        <f>C85</f>
        <v>x2</v>
      </c>
      <c r="D96" s="11">
        <f>D85-((D84*$F$85)/$F$84)</f>
        <v>14000</v>
      </c>
      <c r="E96" s="6"/>
      <c r="F96" s="29">
        <f>F85-((F84*$F$85)/$F$84)</f>
        <v>0</v>
      </c>
      <c r="G96" s="29">
        <f>G85-((G84*$F$85)/$F$84)</f>
        <v>1</v>
      </c>
      <c r="H96" s="29">
        <f>H85-((H84*$F$85)/$F$84)</f>
        <v>-20</v>
      </c>
      <c r="I96" s="29">
        <f>I85-((I84*$F$85)/$F$84)</f>
        <v>20</v>
      </c>
      <c r="J96" s="29">
        <f>J85-((J84*$F$85)/$F$84)</f>
        <v>0</v>
      </c>
      <c r="K96" s="1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 ht="12.75" customHeight="1">
      <c r="A97" s="60"/>
      <c r="B97" s="29">
        <f>B63</f>
        <v>0</v>
      </c>
      <c r="C97" s="29" t="s">
        <v>14</v>
      </c>
      <c r="D97" s="29">
        <f>D86-((D84*$F$86)/$F$84)</f>
        <v>500</v>
      </c>
      <c r="E97" s="6"/>
      <c r="F97" s="29">
        <f>F86-((F84*$F$86)/$F$84)</f>
        <v>0</v>
      </c>
      <c r="G97" s="29">
        <f>G86-((G84*$F$86)/$F$84)</f>
        <v>0</v>
      </c>
      <c r="H97" s="29">
        <f>H86-((H84*$F$86)/$F$84)</f>
        <v>-3</v>
      </c>
      <c r="I97" s="29">
        <f>I86-((I84*$F$86)/$F$84)</f>
        <v>1</v>
      </c>
      <c r="J97" s="29">
        <f>J86-((J84*$F$86)/$F$84)</f>
        <v>1</v>
      </c>
      <c r="K97" s="1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 ht="12.75" customHeight="1">
      <c r="A98" s="7"/>
      <c r="B98" s="13"/>
      <c r="C98" s="13"/>
      <c r="D98" s="13"/>
      <c r="E98" s="7"/>
      <c r="F98" s="13"/>
      <c r="G98" s="13"/>
      <c r="H98" s="13"/>
      <c r="I98" s="13"/>
      <c r="J98" s="13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 ht="12.75" customHeight="1">
      <c r="A99" s="60"/>
      <c r="B99" s="50" t="s">
        <v>19</v>
      </c>
      <c r="C99" s="84">
        <f>((B95*D95)+(B96*D96))+(B97*D97)</f>
        <v>428000</v>
      </c>
      <c r="D99" s="84"/>
      <c r="E99" s="6"/>
      <c r="F99" s="29">
        <f>F88-((F84*$F$88)/$F$84)</f>
        <v>0</v>
      </c>
      <c r="G99" s="29">
        <f>G88-((G84*$F$88)/$F$84)</f>
        <v>0</v>
      </c>
      <c r="H99" s="29">
        <f>H88-((H84*$F$88)/$F$84)</f>
        <v>340</v>
      </c>
      <c r="I99" s="29">
        <f>I88-((I84*$F$88)/$F$84)</f>
        <v>30</v>
      </c>
      <c r="J99" s="29">
        <f>J88-((J84*$F$88)/$F$84)</f>
        <v>0</v>
      </c>
      <c r="K99" s="16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 ht="12.75" customHeight="1">
      <c r="A100" s="7"/>
      <c r="B100" s="27"/>
      <c r="C100" s="27"/>
      <c r="D100" s="27"/>
      <c r="E100" s="7"/>
      <c r="F100" s="27"/>
      <c r="G100" s="27"/>
      <c r="H100" s="27"/>
      <c r="I100" s="27"/>
      <c r="J100" s="2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</sheetData>
  <mergeCells count="30">
    <mergeCell ref="L65:O67"/>
    <mergeCell ref="C67:D67"/>
    <mergeCell ref="B90:L90"/>
    <mergeCell ref="B93:D93"/>
    <mergeCell ref="C99:D99"/>
    <mergeCell ref="B71:H71"/>
    <mergeCell ref="B73:D73"/>
    <mergeCell ref="B79:H79"/>
    <mergeCell ref="K82:M82"/>
    <mergeCell ref="C88:D88"/>
    <mergeCell ref="B38:L39"/>
    <mergeCell ref="B41:H41"/>
    <mergeCell ref="B69:L69"/>
    <mergeCell ref="B47:H47"/>
    <mergeCell ref="K50:M50"/>
    <mergeCell ref="M52:O53"/>
    <mergeCell ref="C56:D56"/>
    <mergeCell ref="K56:N56"/>
    <mergeCell ref="B58:L58"/>
    <mergeCell ref="L60:O63"/>
    <mergeCell ref="E44:L44"/>
    <mergeCell ref="B27:L27"/>
    <mergeCell ref="B29:D30"/>
    <mergeCell ref="A8:P8"/>
    <mergeCell ref="F11:H11"/>
    <mergeCell ref="F12:H12"/>
    <mergeCell ref="F13:H13"/>
    <mergeCell ref="E21:I21"/>
    <mergeCell ref="C36:D36"/>
    <mergeCell ref="K36:N36"/>
  </mergeCells>
  <phoneticPr fontId="0" type="noConversion"/>
  <pageMargins left="0.70866141732283472" right="0.70866141732283472" top="0.74803149606299213" bottom="0.74803149606299213" header="0.31496062992125984" footer="0.31496062992125984"/>
  <pageSetup orientation="landscape" horizontalDpi="360" verticalDpi="36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Fertilizantes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Mariano</cp:lastModifiedBy>
  <cp:lastPrinted>2015-05-26T04:23:01Z</cp:lastPrinted>
  <dcterms:created xsi:type="dcterms:W3CDTF">2015-05-26T04:22:14Z</dcterms:created>
  <dcterms:modified xsi:type="dcterms:W3CDTF">2015-05-26T04:23:05Z</dcterms:modified>
</cp:coreProperties>
</file>