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grid\Desktop\Pedro\IO 2015\CPM-PERT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P3" i="1" l="1"/>
  <c r="P4" i="1"/>
  <c r="P5" i="1"/>
  <c r="P6" i="1"/>
  <c r="P7" i="1"/>
  <c r="P8" i="1"/>
  <c r="P9" i="1"/>
  <c r="P10" i="1"/>
  <c r="P11" i="1"/>
  <c r="P2" i="1"/>
  <c r="O11" i="1"/>
  <c r="O10" i="1"/>
  <c r="O9" i="1"/>
  <c r="O8" i="1"/>
  <c r="O7" i="1"/>
  <c r="O3" i="1"/>
  <c r="O4" i="1"/>
  <c r="O5" i="1"/>
  <c r="O6" i="1"/>
  <c r="O2" i="1"/>
  <c r="H24" i="1"/>
  <c r="I24" i="1" s="1"/>
  <c r="H5" i="1" l="1"/>
  <c r="I5" i="1" s="1"/>
  <c r="H4" i="1"/>
  <c r="I4" i="1" s="1"/>
  <c r="H6" i="1"/>
  <c r="I6" i="1" s="1"/>
  <c r="H3" i="1"/>
  <c r="I3" i="1" s="1"/>
  <c r="H13" i="1"/>
  <c r="I13" i="1" s="1"/>
  <c r="H9" i="1"/>
  <c r="I9" i="1" s="1"/>
  <c r="H18" i="1"/>
  <c r="I18" i="1" s="1"/>
  <c r="H14" i="1"/>
  <c r="I14" i="1" s="1"/>
  <c r="H10" i="1"/>
  <c r="I10" i="1" s="1"/>
  <c r="H17" i="1"/>
  <c r="I17" i="1" s="1"/>
  <c r="H16" i="1"/>
  <c r="I16" i="1" s="1"/>
  <c r="H12" i="1"/>
  <c r="I12" i="1" s="1"/>
  <c r="H8" i="1"/>
  <c r="I8" i="1" s="1"/>
  <c r="H19" i="1"/>
  <c r="I19" i="1" s="1"/>
  <c r="H15" i="1"/>
  <c r="I15" i="1" s="1"/>
  <c r="H11" i="1"/>
  <c r="I11" i="1" s="1"/>
  <c r="H7" i="1"/>
  <c r="I7" i="1" s="1"/>
  <c r="H28" i="1"/>
  <c r="I28" i="1" s="1"/>
  <c r="H22" i="1"/>
  <c r="I22" i="1" s="1"/>
  <c r="H34" i="1"/>
  <c r="I34" i="1" s="1"/>
  <c r="H31" i="1"/>
  <c r="I31" i="1" s="1"/>
  <c r="H26" i="1"/>
  <c r="I26" i="1" s="1"/>
  <c r="H23" i="1"/>
  <c r="I23" i="1" s="1"/>
  <c r="H20" i="1"/>
  <c r="I20" i="1" s="1"/>
  <c r="H35" i="1"/>
  <c r="I35" i="1" s="1"/>
  <c r="H30" i="1"/>
  <c r="I30" i="1" s="1"/>
  <c r="H27" i="1"/>
  <c r="I27" i="1" s="1"/>
  <c r="H33" i="1"/>
  <c r="I33" i="1" s="1"/>
  <c r="H25" i="1"/>
  <c r="I25" i="1" s="1"/>
  <c r="H21" i="1"/>
  <c r="I21" i="1" s="1"/>
  <c r="H32" i="1"/>
  <c r="I32" i="1" s="1"/>
  <c r="H29" i="1"/>
  <c r="I29" i="1" s="1"/>
</calcChain>
</file>

<file path=xl/sharedStrings.xml><?xml version="1.0" encoding="utf-8"?>
<sst xmlns="http://schemas.openxmlformats.org/spreadsheetml/2006/main" count="23" uniqueCount="23">
  <si>
    <t>sumatoria varianza</t>
  </si>
  <si>
    <t>Probabilidad</t>
  </si>
  <si>
    <t>fin antes de (x):</t>
  </si>
  <si>
    <t>Duración estimada: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</si>
  <si>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</si>
  <si>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</si>
  <si>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</si>
  <si>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</si>
  <si>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</si>
  <si>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</si>
  <si>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</si>
  <si>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</si>
  <si>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</si>
  <si>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</si>
  <si>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t.est</t>
  </si>
  <si>
    <t>tmedio</t>
  </si>
  <si>
    <t>tb</t>
  </si>
  <si>
    <t>ta</t>
  </si>
  <si>
    <t>t.mp</t>
  </si>
  <si>
    <t>Act.</t>
  </si>
  <si>
    <t>días</t>
  </si>
  <si>
    <t>Prob. de fin antes de (x)</t>
  </si>
  <si>
    <t>Desvío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</si>
</sst>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10" fontId="0" fillId="2" borderId="0" xfId="1" applyNumberFormat="1" applyFont="1" applyFill="1"/>
    <xf numFmtId="0" fontId="0" fillId="2" borderId="1" xfId="0" applyFill="1" applyBorder="1"/>
    <xf numFmtId="0" fontId="0" fillId="2" borderId="2" xfId="0" applyFill="1" applyBorder="1" applyAlignment="1">
      <alignment horizontal="right"/>
    </xf>
    <xf numFmtId="0" fontId="0" fillId="2" borderId="3" xfId="0" applyFill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/>
    <xf numFmtId="0" fontId="0" fillId="3" borderId="6" xfId="0" applyFill="1" applyBorder="1" applyAlignment="1">
      <alignment horizontal="center"/>
    </xf>
    <xf numFmtId="0" fontId="0" fillId="3" borderId="6" xfId="0" applyFill="1" applyBorder="1"/>
    <xf numFmtId="0" fontId="0" fillId="0" borderId="7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7" xfId="0" applyFill="1" applyBorder="1"/>
    <xf numFmtId="0" fontId="2" fillId="5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164" fontId="0" fillId="2" borderId="3" xfId="0" applyNumberForma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72134733158356"/>
          <c:y val="7.407407407407407E-2"/>
          <c:w val="0.84068285214348204"/>
          <c:h val="0.841674686497521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Hoja1!$I$3:$I$35</c:f>
              <c:numCache>
                <c:formatCode>0.00%</c:formatCode>
                <c:ptCount val="33"/>
                <c:pt idx="0">
                  <c:v>3.3913465265648859E-20</c:v>
                </c:pt>
                <c:pt idx="1">
                  <c:v>1.4407712173529299E-18</c:v>
                </c:pt>
                <c:pt idx="2">
                  <c:v>5.1632058170364192E-17</c:v>
                </c:pt>
                <c:pt idx="3">
                  <c:v>1.5611052919027872E-15</c:v>
                </c:pt>
                <c:pt idx="4">
                  <c:v>3.9832052140730086E-14</c:v>
                </c:pt>
                <c:pt idx="5">
                  <c:v>8.5789740639854963E-13</c:v>
                </c:pt>
                <c:pt idx="6">
                  <c:v>1.5601733599202341E-11</c:v>
                </c:pt>
                <c:pt idx="7">
                  <c:v>2.3966241597194341E-10</c:v>
                </c:pt>
                <c:pt idx="8">
                  <c:v>3.1109884933792544E-9</c:v>
                </c:pt>
                <c:pt idx="9">
                  <c:v>3.4141577639590975E-8</c:v>
                </c:pt>
                <c:pt idx="10">
                  <c:v>3.1696593099227524E-7</c:v>
                </c:pt>
                <c:pt idx="11">
                  <c:v>2.4911231967248569E-6</c:v>
                </c:pt>
                <c:pt idx="12">
                  <c:v>1.6588548343834048E-5</c:v>
                </c:pt>
                <c:pt idx="13">
                  <c:v>9.3694805177955534E-5</c:v>
                </c:pt>
                <c:pt idx="14">
                  <c:v>4.494616150460491E-4</c:v>
                </c:pt>
                <c:pt idx="15">
                  <c:v>1.8342731728973472E-3</c:v>
                </c:pt>
                <c:pt idx="16">
                  <c:v>6.3819230107143229E-3</c:v>
                </c:pt>
                <c:pt idx="17">
                  <c:v>1.8982024074877965E-2</c:v>
                </c:pt>
                <c:pt idx="18">
                  <c:v>4.8437700539289391E-2</c:v>
                </c:pt>
                <c:pt idx="19">
                  <c:v>0.10653911510036741</c:v>
                </c:pt>
                <c:pt idx="20">
                  <c:v>0.20324195032356476</c:v>
                </c:pt>
                <c:pt idx="21">
                  <c:v>0.33905318572799825</c:v>
                </c:pt>
                <c:pt idx="22">
                  <c:v>0.5</c:v>
                </c:pt>
                <c:pt idx="23">
                  <c:v>0.66094681427200175</c:v>
                </c:pt>
                <c:pt idx="24">
                  <c:v>0.79675804967643526</c:v>
                </c:pt>
                <c:pt idx="25">
                  <c:v>0.8934608848996326</c:v>
                </c:pt>
                <c:pt idx="26">
                  <c:v>0.95156229946071058</c:v>
                </c:pt>
                <c:pt idx="27">
                  <c:v>0.98101797592512208</c:v>
                </c:pt>
                <c:pt idx="28">
                  <c:v>0.99361807698928573</c:v>
                </c:pt>
                <c:pt idx="29">
                  <c:v>0.9981657268271027</c:v>
                </c:pt>
                <c:pt idx="30">
                  <c:v>0.999550538384954</c:v>
                </c:pt>
                <c:pt idx="31">
                  <c:v>0.99990630519482204</c:v>
                </c:pt>
                <c:pt idx="32">
                  <c:v>0.99998341145165615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03048176"/>
        <c:axId val="-1203047632"/>
      </c:lineChart>
      <c:catAx>
        <c:axId val="-1203048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-1203047632"/>
        <c:crosses val="autoZero"/>
        <c:auto val="1"/>
        <c:lblAlgn val="ctr"/>
        <c:lblOffset val="100"/>
        <c:noMultiLvlLbl val="0"/>
      </c:catAx>
      <c:valAx>
        <c:axId val="-12030476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-120304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11</xdr:row>
      <xdr:rowOff>85725</xdr:rowOff>
    </xdr:from>
    <xdr:to>
      <xdr:col>16</xdr:col>
      <xdr:colOff>390524</xdr:colOff>
      <xdr:row>23</xdr:row>
      <xdr:rowOff>109537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topLeftCell="A10" workbookViewId="0">
      <selection activeCell="C25" sqref="C25:D25"/>
    </sheetView>
  </sheetViews>
  <sheetFormatPr baseColWidth="10" defaultRowHeight="15" x14ac:dyDescent="0.25"/>
  <cols>
    <col min="1" max="1" width="3.28515625" customWidth="1"/>
    <col min="4" max="4" width="11.85546875" bestFit="1" customWidth="1"/>
    <col min="5" max="5" width="4.140625" customWidth="1"/>
    <col min="6" max="6" width="3.140625" customWidth="1"/>
    <col min="7" max="9" width="11.42578125" style="7"/>
    <col min="11" max="15" width="11.42578125" style="7"/>
  </cols>
  <sheetData>
    <row r="1" spans="1:18" ht="15" customHeight="1" x14ac:dyDescent="0.25">
      <c r="A1" s="1"/>
      <c r="B1" s="1"/>
      <c r="C1" s="1"/>
      <c r="D1" s="1"/>
      <c r="E1" s="1"/>
      <c r="F1" s="1"/>
      <c r="G1" s="20"/>
      <c r="H1" s="2" t="s">
        <v>21</v>
      </c>
      <c r="J1" s="1"/>
      <c r="K1" s="19" t="s">
        <v>19</v>
      </c>
      <c r="L1" s="19" t="s">
        <v>17</v>
      </c>
      <c r="M1" s="19" t="s">
        <v>18</v>
      </c>
      <c r="N1" s="19" t="s">
        <v>16</v>
      </c>
      <c r="O1" s="19" t="s">
        <v>15</v>
      </c>
      <c r="P1" s="19" t="s">
        <v>14</v>
      </c>
      <c r="Q1" s="1"/>
      <c r="R1" s="1"/>
    </row>
    <row r="2" spans="1:18" x14ac:dyDescent="0.25">
      <c r="A2" s="1"/>
      <c r="B2" s="4"/>
      <c r="C2" s="5" t="s">
        <v>0</v>
      </c>
      <c r="D2" s="6">
        <v>5.8049999999999997</v>
      </c>
      <c r="E2" s="1"/>
      <c r="F2" s="1"/>
      <c r="G2" s="20" t="s">
        <v>20</v>
      </c>
      <c r="H2" s="20"/>
      <c r="I2" s="20" t="s">
        <v>1</v>
      </c>
      <c r="J2" s="1"/>
      <c r="K2" s="8" t="s">
        <v>4</v>
      </c>
      <c r="L2" s="8">
        <v>1</v>
      </c>
      <c r="M2" s="8">
        <v>3</v>
      </c>
      <c r="N2" s="8">
        <v>5</v>
      </c>
      <c r="O2" s="9">
        <f>+((N2-L2)/2)+L2</f>
        <v>3</v>
      </c>
      <c r="P2" s="10">
        <f>+(L2+4*M2+N2)/6</f>
        <v>3</v>
      </c>
      <c r="Q2" s="1"/>
      <c r="R2" s="1"/>
    </row>
    <row r="3" spans="1:18" x14ac:dyDescent="0.25">
      <c r="A3" s="1"/>
      <c r="B3" s="4"/>
      <c r="C3" s="5" t="s">
        <v>3</v>
      </c>
      <c r="D3" s="6">
        <v>23</v>
      </c>
      <c r="E3" s="1"/>
      <c r="F3" s="1"/>
      <c r="G3" s="20">
        <v>1</v>
      </c>
      <c r="H3" s="21">
        <f t="shared" ref="H3:H6" si="0">+(G3-$D$3)/$D$5</f>
        <v>-9.1310678266821252</v>
      </c>
      <c r="I3" s="22">
        <f t="shared" ref="I3:I6" si="1">NORMSDIST(H3)</f>
        <v>3.3913465265648859E-20</v>
      </c>
      <c r="J3" s="1"/>
      <c r="K3" s="11" t="s">
        <v>5</v>
      </c>
      <c r="L3" s="11">
        <v>3</v>
      </c>
      <c r="M3" s="11">
        <v>4.5</v>
      </c>
      <c r="N3" s="11">
        <v>9</v>
      </c>
      <c r="O3" s="12">
        <f t="shared" ref="O3:O11" si="2">+((N3-L3)/2)+L3</f>
        <v>6</v>
      </c>
      <c r="P3" s="13">
        <f t="shared" ref="P3:P11" si="3">+(L3+4*M3+N3)/6</f>
        <v>5</v>
      </c>
      <c r="Q3" s="1"/>
      <c r="R3" s="1"/>
    </row>
    <row r="4" spans="1:18" x14ac:dyDescent="0.25">
      <c r="A4" s="1"/>
      <c r="B4" s="1"/>
      <c r="C4" s="1"/>
      <c r="D4" s="1"/>
      <c r="E4" s="1"/>
      <c r="F4" s="1"/>
      <c r="G4" s="20">
        <v>2</v>
      </c>
      <c r="H4" s="21">
        <f t="shared" si="0"/>
        <v>-8.7160192891056649</v>
      </c>
      <c r="I4" s="22">
        <f t="shared" si="1"/>
        <v>1.4407712173529299E-18</v>
      </c>
      <c r="J4" s="1"/>
      <c r="K4" s="11" t="s">
        <v>6</v>
      </c>
      <c r="L4" s="11">
        <v>2</v>
      </c>
      <c r="M4" s="11">
        <v>3</v>
      </c>
      <c r="N4" s="11">
        <v>4</v>
      </c>
      <c r="O4" s="14">
        <f t="shared" si="2"/>
        <v>3</v>
      </c>
      <c r="P4" s="15">
        <f t="shared" si="3"/>
        <v>3</v>
      </c>
      <c r="Q4" s="1"/>
      <c r="R4" s="1"/>
    </row>
    <row r="5" spans="1:18" x14ac:dyDescent="0.25">
      <c r="A5" s="1"/>
      <c r="B5" s="4"/>
      <c r="C5" s="5" t="s">
        <v>22</v>
      </c>
      <c r="D5" s="23">
        <f>+SQRT(D2)</f>
        <v>2.4093567606313515</v>
      </c>
      <c r="E5" s="1"/>
      <c r="F5" s="1"/>
      <c r="G5" s="20">
        <v>3</v>
      </c>
      <c r="H5" s="21">
        <f t="shared" si="0"/>
        <v>-8.3009707515292046</v>
      </c>
      <c r="I5" s="22">
        <f t="shared" si="1"/>
        <v>5.1632058170364192E-17</v>
      </c>
      <c r="J5" s="1"/>
      <c r="K5" s="11" t="s">
        <v>7</v>
      </c>
      <c r="L5" s="11">
        <v>2</v>
      </c>
      <c r="M5" s="11">
        <v>4</v>
      </c>
      <c r="N5" s="11">
        <v>6</v>
      </c>
      <c r="O5" s="14">
        <f t="shared" si="2"/>
        <v>4</v>
      </c>
      <c r="P5" s="15">
        <f t="shared" si="3"/>
        <v>4</v>
      </c>
      <c r="Q5" s="1"/>
      <c r="R5" s="1"/>
    </row>
    <row r="6" spans="1:18" x14ac:dyDescent="0.25">
      <c r="A6" s="1"/>
      <c r="B6" s="1"/>
      <c r="C6" s="1"/>
      <c r="D6" s="1"/>
      <c r="E6" s="1"/>
      <c r="F6" s="1"/>
      <c r="G6" s="20">
        <v>4</v>
      </c>
      <c r="H6" s="21">
        <f t="shared" si="0"/>
        <v>-7.8859222139527443</v>
      </c>
      <c r="I6" s="22">
        <f t="shared" si="1"/>
        <v>1.5611052919027872E-15</v>
      </c>
      <c r="J6" s="1"/>
      <c r="K6" s="11" t="s">
        <v>8</v>
      </c>
      <c r="L6" s="11">
        <v>4</v>
      </c>
      <c r="M6" s="11">
        <v>7</v>
      </c>
      <c r="N6" s="11">
        <v>16</v>
      </c>
      <c r="O6" s="12">
        <f t="shared" si="2"/>
        <v>10</v>
      </c>
      <c r="P6" s="13">
        <f t="shared" si="3"/>
        <v>8</v>
      </c>
      <c r="Q6" s="1"/>
      <c r="R6" s="1"/>
    </row>
    <row r="7" spans="1:18" x14ac:dyDescent="0.25">
      <c r="A7" s="1"/>
      <c r="B7" s="4"/>
      <c r="C7" s="5" t="s">
        <v>2</v>
      </c>
      <c r="D7" s="6">
        <v>18</v>
      </c>
      <c r="E7" s="1"/>
      <c r="F7" s="1"/>
      <c r="G7" s="20">
        <v>5</v>
      </c>
      <c r="H7" s="21">
        <f t="shared" ref="H7:H19" si="4">+(G7-$D$3)/$D$5</f>
        <v>-7.470873676376284</v>
      </c>
      <c r="I7" s="22">
        <f t="shared" ref="I7:I19" si="5">NORMSDIST(H7)</f>
        <v>3.9832052140730086E-14</v>
      </c>
      <c r="J7" s="1"/>
      <c r="K7" s="11" t="s">
        <v>9</v>
      </c>
      <c r="L7" s="11">
        <v>1</v>
      </c>
      <c r="M7" s="11">
        <v>1.5</v>
      </c>
      <c r="N7" s="11">
        <v>5</v>
      </c>
      <c r="O7" s="12">
        <f t="shared" si="2"/>
        <v>3</v>
      </c>
      <c r="P7" s="13">
        <f t="shared" si="3"/>
        <v>2</v>
      </c>
      <c r="Q7" s="1"/>
      <c r="R7" s="1"/>
    </row>
    <row r="8" spans="1:18" x14ac:dyDescent="0.25">
      <c r="A8" s="1"/>
      <c r="B8" s="1"/>
      <c r="C8" s="1"/>
      <c r="D8" s="1"/>
      <c r="E8" s="3"/>
      <c r="F8" s="1"/>
      <c r="G8" s="20">
        <v>6</v>
      </c>
      <c r="H8" s="21">
        <f t="shared" si="4"/>
        <v>-7.0558251387998236</v>
      </c>
      <c r="I8" s="22">
        <f t="shared" si="5"/>
        <v>8.5789740639854963E-13</v>
      </c>
      <c r="J8" s="1"/>
      <c r="K8" s="11" t="s">
        <v>10</v>
      </c>
      <c r="L8" s="11">
        <v>2.5</v>
      </c>
      <c r="M8" s="11">
        <v>3.5</v>
      </c>
      <c r="N8" s="11">
        <v>7.5</v>
      </c>
      <c r="O8" s="12">
        <f t="shared" si="2"/>
        <v>5</v>
      </c>
      <c r="P8" s="13">
        <f t="shared" si="3"/>
        <v>4</v>
      </c>
      <c r="Q8" s="1"/>
      <c r="R8" s="1"/>
    </row>
    <row r="9" spans="1:18" x14ac:dyDescent="0.25">
      <c r="A9" s="1"/>
      <c r="B9" s="1"/>
      <c r="C9" s="1"/>
      <c r="D9" s="1"/>
      <c r="E9" s="1"/>
      <c r="F9" s="1"/>
      <c r="G9" s="20">
        <v>7</v>
      </c>
      <c r="H9" s="21">
        <f t="shared" si="4"/>
        <v>-6.6407766012233633</v>
      </c>
      <c r="I9" s="22">
        <f t="shared" si="5"/>
        <v>1.5601733599202341E-11</v>
      </c>
      <c r="J9" s="1"/>
      <c r="K9" s="11" t="s">
        <v>11</v>
      </c>
      <c r="L9" s="11">
        <v>1</v>
      </c>
      <c r="M9" s="11">
        <v>2</v>
      </c>
      <c r="N9" s="11">
        <v>3</v>
      </c>
      <c r="O9" s="14">
        <f t="shared" si="2"/>
        <v>2</v>
      </c>
      <c r="P9" s="15">
        <f t="shared" si="3"/>
        <v>2</v>
      </c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20">
        <v>8</v>
      </c>
      <c r="H10" s="21">
        <f t="shared" si="4"/>
        <v>-6.2257280636469039</v>
      </c>
      <c r="I10" s="22">
        <f t="shared" si="5"/>
        <v>2.3966241597194341E-10</v>
      </c>
      <c r="J10" s="1"/>
      <c r="K10" s="11" t="s">
        <v>12</v>
      </c>
      <c r="L10" s="11">
        <v>4</v>
      </c>
      <c r="M10" s="11">
        <v>5</v>
      </c>
      <c r="N10" s="11">
        <v>6</v>
      </c>
      <c r="O10" s="12">
        <f t="shared" si="2"/>
        <v>5</v>
      </c>
      <c r="P10" s="13">
        <f t="shared" si="3"/>
        <v>5</v>
      </c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20">
        <v>9</v>
      </c>
      <c r="H11" s="21">
        <f t="shared" si="4"/>
        <v>-5.8106795260704436</v>
      </c>
      <c r="I11" s="22">
        <f t="shared" si="5"/>
        <v>3.1109884933792544E-9</v>
      </c>
      <c r="J11" s="1"/>
      <c r="K11" s="16" t="s">
        <v>13</v>
      </c>
      <c r="L11" s="16">
        <v>1.5</v>
      </c>
      <c r="M11" s="16">
        <v>3</v>
      </c>
      <c r="N11" s="16">
        <v>4.5</v>
      </c>
      <c r="O11" s="17">
        <f t="shared" si="2"/>
        <v>3</v>
      </c>
      <c r="P11" s="18">
        <f t="shared" si="3"/>
        <v>3</v>
      </c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20">
        <v>10</v>
      </c>
      <c r="H12" s="21">
        <f t="shared" si="4"/>
        <v>-5.3956309884939833</v>
      </c>
      <c r="I12" s="22">
        <f t="shared" si="5"/>
        <v>3.4141577639590975E-8</v>
      </c>
      <c r="J12" s="1"/>
      <c r="K12" s="20"/>
      <c r="L12" s="20"/>
      <c r="M12" s="20"/>
      <c r="N12" s="20"/>
      <c r="O12" s="20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20">
        <v>11</v>
      </c>
      <c r="H13" s="21">
        <f t="shared" si="4"/>
        <v>-4.9805824509175229</v>
      </c>
      <c r="I13" s="22">
        <f t="shared" si="5"/>
        <v>3.1696593099227524E-7</v>
      </c>
      <c r="J13" s="1"/>
      <c r="K13" s="20"/>
      <c r="L13" s="20"/>
      <c r="M13" s="20"/>
      <c r="N13" s="20"/>
      <c r="O13" s="20"/>
      <c r="P13" s="1"/>
      <c r="Q13" s="1"/>
      <c r="R13" s="1"/>
    </row>
    <row r="14" spans="1:18" x14ac:dyDescent="0.25">
      <c r="A14" s="1"/>
      <c r="B14" s="1"/>
      <c r="C14" s="1"/>
      <c r="D14" s="1"/>
      <c r="E14" s="1"/>
      <c r="F14" s="1"/>
      <c r="G14" s="20">
        <v>12</v>
      </c>
      <c r="H14" s="21">
        <f t="shared" si="4"/>
        <v>-4.5655339133410626</v>
      </c>
      <c r="I14" s="22">
        <f t="shared" si="5"/>
        <v>2.4911231967248569E-6</v>
      </c>
      <c r="J14" s="1"/>
      <c r="K14" s="20"/>
      <c r="L14" s="20"/>
      <c r="M14" s="20"/>
      <c r="N14" s="20"/>
      <c r="O14" s="20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20">
        <v>13</v>
      </c>
      <c r="H15" s="21">
        <f t="shared" si="4"/>
        <v>-4.1504853757646023</v>
      </c>
      <c r="I15" s="22">
        <f t="shared" si="5"/>
        <v>1.6588548343834048E-5</v>
      </c>
      <c r="J15" s="1"/>
      <c r="K15" s="20"/>
      <c r="L15" s="20"/>
      <c r="M15" s="20"/>
      <c r="N15" s="20"/>
      <c r="O15" s="20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1"/>
      <c r="G16" s="20">
        <v>14</v>
      </c>
      <c r="H16" s="21">
        <f t="shared" si="4"/>
        <v>-3.735436838188142</v>
      </c>
      <c r="I16" s="22">
        <f t="shared" si="5"/>
        <v>9.3694805177955534E-5</v>
      </c>
      <c r="J16" s="1"/>
      <c r="K16" s="20"/>
      <c r="L16" s="20"/>
      <c r="M16" s="20"/>
      <c r="N16" s="20"/>
      <c r="O16" s="20"/>
      <c r="P16" s="1"/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20">
        <v>15</v>
      </c>
      <c r="H17" s="21">
        <f t="shared" si="4"/>
        <v>-3.3203883006116817</v>
      </c>
      <c r="I17" s="22">
        <f t="shared" si="5"/>
        <v>4.494616150460491E-4</v>
      </c>
      <c r="J17" s="1"/>
      <c r="K17" s="20"/>
      <c r="L17" s="20"/>
      <c r="M17" s="20"/>
      <c r="N17" s="20"/>
      <c r="O17" s="20"/>
      <c r="P17" s="1"/>
      <c r="Q17" s="1"/>
      <c r="R17" s="1"/>
    </row>
    <row r="18" spans="1:18" x14ac:dyDescent="0.25">
      <c r="A18" s="1"/>
      <c r="B18" s="1"/>
      <c r="C18" s="1"/>
      <c r="D18" s="1"/>
      <c r="E18" s="1"/>
      <c r="F18" s="1"/>
      <c r="G18" s="20">
        <v>16</v>
      </c>
      <c r="H18" s="21">
        <f t="shared" si="4"/>
        <v>-2.9053397630352218</v>
      </c>
      <c r="I18" s="22">
        <f t="shared" si="5"/>
        <v>1.8342731728973472E-3</v>
      </c>
      <c r="J18" s="1"/>
      <c r="K18" s="20"/>
      <c r="L18" s="20"/>
      <c r="M18" s="20"/>
      <c r="N18" s="20"/>
      <c r="O18" s="20"/>
      <c r="P18" s="1"/>
      <c r="Q18" s="1"/>
      <c r="R18" s="1"/>
    </row>
    <row r="19" spans="1:18" x14ac:dyDescent="0.25">
      <c r="A19" s="1"/>
      <c r="B19" s="1"/>
      <c r="C19" s="1"/>
      <c r="D19" s="1"/>
      <c r="E19" s="1"/>
      <c r="F19" s="1"/>
      <c r="G19" s="20">
        <v>17</v>
      </c>
      <c r="H19" s="21">
        <f t="shared" si="4"/>
        <v>-2.4902912254587615</v>
      </c>
      <c r="I19" s="22">
        <f t="shared" si="5"/>
        <v>6.3819230107143229E-3</v>
      </c>
      <c r="J19" s="1"/>
      <c r="K19" s="20"/>
      <c r="L19" s="20"/>
      <c r="M19" s="20"/>
      <c r="N19" s="20"/>
      <c r="O19" s="20"/>
      <c r="P19" s="1"/>
      <c r="Q19" s="1"/>
      <c r="R19" s="1"/>
    </row>
    <row r="20" spans="1:18" x14ac:dyDescent="0.25">
      <c r="A20" s="1"/>
      <c r="B20" s="1"/>
      <c r="C20" s="1"/>
      <c r="D20" s="1"/>
      <c r="E20" s="1"/>
      <c r="F20" s="1"/>
      <c r="G20" s="20">
        <v>18</v>
      </c>
      <c r="H20" s="21">
        <f>+(G20-$D$3)/$D$5</f>
        <v>-2.0752426878823012</v>
      </c>
      <c r="I20" s="22">
        <f>NORMSDIST(H20)</f>
        <v>1.8982024074877965E-2</v>
      </c>
      <c r="J20" s="1"/>
      <c r="K20" s="20"/>
      <c r="L20" s="20"/>
      <c r="M20" s="20"/>
      <c r="N20" s="20"/>
      <c r="O20" s="20"/>
      <c r="P20" s="1"/>
      <c r="Q20" s="1"/>
      <c r="R20" s="1"/>
    </row>
    <row r="21" spans="1:18" x14ac:dyDescent="0.25">
      <c r="A21" s="1"/>
      <c r="B21" s="1"/>
      <c r="C21" s="1"/>
      <c r="D21" s="1"/>
      <c r="E21" s="1"/>
      <c r="F21" s="1"/>
      <c r="G21" s="20">
        <v>19</v>
      </c>
      <c r="H21" s="21">
        <f>+(G21-$D$3)/$D$5</f>
        <v>-1.6601941503058408</v>
      </c>
      <c r="I21" s="22">
        <f>NORMSDIST(H21)</f>
        <v>4.8437700539289391E-2</v>
      </c>
      <c r="J21" s="1"/>
      <c r="K21" s="20"/>
      <c r="L21" s="20"/>
      <c r="M21" s="20"/>
      <c r="N21" s="20"/>
      <c r="O21" s="20"/>
      <c r="P21" s="1"/>
      <c r="Q21" s="1"/>
      <c r="R21" s="1"/>
    </row>
    <row r="22" spans="1:18" x14ac:dyDescent="0.25">
      <c r="A22" s="1"/>
      <c r="B22" s="1"/>
      <c r="C22" s="1"/>
      <c r="D22" s="1"/>
      <c r="E22" s="1"/>
      <c r="F22" s="1"/>
      <c r="G22" s="20">
        <v>20</v>
      </c>
      <c r="H22" s="21">
        <f>+(G22-$D$3)/$D$5</f>
        <v>-1.2451456127293807</v>
      </c>
      <c r="I22" s="22">
        <f>NORMSDIST(H22)</f>
        <v>0.10653911510036741</v>
      </c>
      <c r="J22" s="1"/>
      <c r="K22" s="20"/>
      <c r="L22" s="20"/>
      <c r="M22" s="20"/>
      <c r="N22" s="20"/>
      <c r="O22" s="20"/>
      <c r="P22" s="1"/>
      <c r="Q22" s="1"/>
      <c r="R22" s="1"/>
    </row>
    <row r="23" spans="1:18" x14ac:dyDescent="0.25">
      <c r="A23" s="1"/>
      <c r="B23" s="1"/>
      <c r="C23" s="1"/>
      <c r="D23" s="1"/>
      <c r="E23" s="1"/>
      <c r="F23" s="1"/>
      <c r="G23" s="20">
        <v>21</v>
      </c>
      <c r="H23" s="21">
        <f>+(G23-$D$3)/$D$5</f>
        <v>-0.83009707515292042</v>
      </c>
      <c r="I23" s="22">
        <f>NORMSDIST(H23)</f>
        <v>0.20324195032356476</v>
      </c>
      <c r="J23" s="1"/>
      <c r="K23" s="20"/>
      <c r="L23" s="20"/>
      <c r="M23" s="20"/>
      <c r="N23" s="20"/>
      <c r="O23" s="20"/>
      <c r="P23" s="1"/>
      <c r="Q23" s="1"/>
      <c r="R23" s="1"/>
    </row>
    <row r="24" spans="1:18" x14ac:dyDescent="0.25">
      <c r="A24" s="1"/>
      <c r="B24" s="1"/>
      <c r="C24" s="1"/>
      <c r="D24" s="1"/>
      <c r="E24" s="1"/>
      <c r="F24" s="1"/>
      <c r="G24" s="20">
        <v>22</v>
      </c>
      <c r="H24" s="21">
        <f t="shared" ref="H24:H35" si="6">+(G24-$D$3)/$D$5</f>
        <v>-0.41504853757646021</v>
      </c>
      <c r="I24" s="22">
        <f t="shared" ref="I24:I35" si="7">NORMSDIST(H24)</f>
        <v>0.33905318572799825</v>
      </c>
      <c r="J24" s="1"/>
      <c r="K24" s="20"/>
      <c r="L24" s="20"/>
      <c r="M24" s="20"/>
      <c r="N24" s="20"/>
      <c r="O24" s="20"/>
      <c r="P24" s="1"/>
      <c r="Q24" s="1"/>
      <c r="R24" s="1"/>
    </row>
    <row r="25" spans="1:18" x14ac:dyDescent="0.25">
      <c r="A25" s="1"/>
      <c r="B25" s="1"/>
      <c r="C25" s="1"/>
      <c r="D25" s="1"/>
      <c r="E25" s="1"/>
      <c r="F25" s="1"/>
      <c r="G25" s="20">
        <v>23</v>
      </c>
      <c r="H25" s="21">
        <f t="shared" si="6"/>
        <v>0</v>
      </c>
      <c r="I25" s="22">
        <f t="shared" si="7"/>
        <v>0.5</v>
      </c>
      <c r="J25" s="1"/>
      <c r="K25" s="20"/>
      <c r="L25" s="20"/>
      <c r="M25" s="20"/>
      <c r="N25" s="20"/>
      <c r="O25" s="20"/>
      <c r="P25" s="1"/>
      <c r="Q25" s="1"/>
      <c r="R25" s="1"/>
    </row>
    <row r="26" spans="1:18" x14ac:dyDescent="0.25">
      <c r="A26" s="1"/>
      <c r="B26" s="1"/>
      <c r="C26" s="1"/>
      <c r="D26" s="1"/>
      <c r="E26" s="1"/>
      <c r="F26" s="1"/>
      <c r="G26" s="20">
        <v>24</v>
      </c>
      <c r="H26" s="21">
        <f t="shared" si="6"/>
        <v>0.41504853757646021</v>
      </c>
      <c r="I26" s="22">
        <f t="shared" si="7"/>
        <v>0.66094681427200175</v>
      </c>
      <c r="J26" s="1"/>
      <c r="K26" s="20"/>
      <c r="L26" s="20"/>
      <c r="M26" s="20"/>
      <c r="N26" s="20"/>
      <c r="O26" s="20"/>
      <c r="P26" s="1"/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20">
        <v>25</v>
      </c>
      <c r="H27" s="21">
        <f t="shared" si="6"/>
        <v>0.83009707515292042</v>
      </c>
      <c r="I27" s="22">
        <f t="shared" si="7"/>
        <v>0.79675804967643526</v>
      </c>
      <c r="J27" s="1"/>
      <c r="K27" s="20"/>
      <c r="L27" s="20"/>
      <c r="M27" s="20"/>
      <c r="N27" s="20"/>
      <c r="O27" s="20"/>
      <c r="P27" s="1"/>
      <c r="Q27" s="1"/>
      <c r="R27" s="1"/>
    </row>
    <row r="28" spans="1:18" x14ac:dyDescent="0.25">
      <c r="A28" s="1"/>
      <c r="B28" s="1"/>
      <c r="C28" s="1"/>
      <c r="D28" s="1"/>
      <c r="E28" s="1"/>
      <c r="F28" s="1"/>
      <c r="G28" s="20">
        <v>26</v>
      </c>
      <c r="H28" s="21">
        <f t="shared" si="6"/>
        <v>1.2451456127293807</v>
      </c>
      <c r="I28" s="22">
        <f t="shared" si="7"/>
        <v>0.8934608848996326</v>
      </c>
      <c r="J28" s="1"/>
      <c r="K28" s="20"/>
      <c r="L28" s="20"/>
      <c r="M28" s="20"/>
      <c r="N28" s="20"/>
      <c r="O28" s="20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20">
        <v>27</v>
      </c>
      <c r="H29" s="21">
        <f t="shared" si="6"/>
        <v>1.6601941503058408</v>
      </c>
      <c r="I29" s="22">
        <f t="shared" si="7"/>
        <v>0.95156229946071058</v>
      </c>
      <c r="J29" s="1"/>
      <c r="K29" s="20"/>
      <c r="L29" s="20"/>
      <c r="M29" s="20"/>
      <c r="N29" s="20"/>
      <c r="O29" s="20"/>
      <c r="P29" s="1"/>
      <c r="Q29" s="1"/>
      <c r="R29" s="1"/>
    </row>
    <row r="30" spans="1:18" x14ac:dyDescent="0.25">
      <c r="A30" s="1"/>
      <c r="B30" s="1"/>
      <c r="C30" s="1"/>
      <c r="D30" s="1"/>
      <c r="E30" s="1"/>
      <c r="F30" s="1"/>
      <c r="G30" s="20">
        <v>28</v>
      </c>
      <c r="H30" s="21">
        <f t="shared" si="6"/>
        <v>2.0752426878823012</v>
      </c>
      <c r="I30" s="22">
        <f t="shared" si="7"/>
        <v>0.98101797592512208</v>
      </c>
      <c r="J30" s="1"/>
      <c r="K30" s="20"/>
      <c r="L30" s="20"/>
      <c r="M30" s="20"/>
      <c r="N30" s="20"/>
      <c r="O30" s="20"/>
      <c r="P30" s="1"/>
      <c r="Q30" s="1"/>
      <c r="R30" s="1"/>
    </row>
    <row r="31" spans="1:18" x14ac:dyDescent="0.25">
      <c r="A31" s="1"/>
      <c r="B31" s="1"/>
      <c r="C31" s="1"/>
      <c r="D31" s="1"/>
      <c r="E31" s="1"/>
      <c r="F31" s="1"/>
      <c r="G31" s="20">
        <v>29</v>
      </c>
      <c r="H31" s="21">
        <f t="shared" si="6"/>
        <v>2.4902912254587615</v>
      </c>
      <c r="I31" s="22">
        <f t="shared" si="7"/>
        <v>0.99361807698928573</v>
      </c>
      <c r="J31" s="1"/>
      <c r="K31" s="20"/>
      <c r="L31" s="20"/>
      <c r="M31" s="20"/>
      <c r="N31" s="20"/>
      <c r="O31" s="20"/>
      <c r="P31" s="1"/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20">
        <v>30</v>
      </c>
      <c r="H32" s="21">
        <f t="shared" si="6"/>
        <v>2.9053397630352218</v>
      </c>
      <c r="I32" s="22">
        <f t="shared" si="7"/>
        <v>0.9981657268271027</v>
      </c>
      <c r="J32" s="1"/>
      <c r="K32" s="20"/>
      <c r="L32" s="20"/>
      <c r="M32" s="20"/>
      <c r="N32" s="20"/>
      <c r="O32" s="20"/>
      <c r="P32" s="1"/>
      <c r="Q32" s="1"/>
      <c r="R32" s="1"/>
    </row>
    <row r="33" spans="1:18" x14ac:dyDescent="0.25">
      <c r="A33" s="1"/>
      <c r="B33" s="1"/>
      <c r="C33" s="1"/>
      <c r="D33" s="1"/>
      <c r="E33" s="1"/>
      <c r="F33" s="1"/>
      <c r="G33" s="20">
        <v>31</v>
      </c>
      <c r="H33" s="21">
        <f t="shared" si="6"/>
        <v>3.3203883006116817</v>
      </c>
      <c r="I33" s="22">
        <f t="shared" si="7"/>
        <v>0.999550538384954</v>
      </c>
      <c r="J33" s="1"/>
      <c r="K33" s="20"/>
      <c r="L33" s="20"/>
      <c r="M33" s="20"/>
      <c r="N33" s="20"/>
      <c r="O33" s="20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20">
        <v>32</v>
      </c>
      <c r="H34" s="21">
        <f t="shared" si="6"/>
        <v>3.735436838188142</v>
      </c>
      <c r="I34" s="22">
        <f t="shared" si="7"/>
        <v>0.99990630519482204</v>
      </c>
      <c r="J34" s="1"/>
      <c r="K34" s="20"/>
      <c r="L34" s="20"/>
      <c r="M34" s="20"/>
      <c r="N34" s="20"/>
      <c r="O34" s="20"/>
      <c r="P34" s="1"/>
      <c r="Q34" s="1"/>
      <c r="R34" s="1"/>
    </row>
    <row r="35" spans="1:18" x14ac:dyDescent="0.25">
      <c r="A35" s="1"/>
      <c r="B35" s="1"/>
      <c r="C35" s="1"/>
      <c r="D35" s="1"/>
      <c r="E35" s="1"/>
      <c r="F35" s="1"/>
      <c r="G35" s="20">
        <v>33</v>
      </c>
      <c r="H35" s="21">
        <f t="shared" si="6"/>
        <v>4.1504853757646023</v>
      </c>
      <c r="I35" s="22">
        <f t="shared" si="7"/>
        <v>0.99998341145165615</v>
      </c>
      <c r="J35" s="1"/>
      <c r="K35" s="20"/>
      <c r="L35" s="20"/>
      <c r="M35" s="20"/>
      <c r="N35" s="20"/>
      <c r="O35" s="20"/>
      <c r="P35" s="1"/>
      <c r="Q35" s="1"/>
      <c r="R35" s="1"/>
    </row>
    <row r="36" spans="1:18" x14ac:dyDescent="0.25">
      <c r="A36" s="1"/>
      <c r="B36" s="1"/>
      <c r="C36" s="1"/>
      <c r="D36" s="1"/>
      <c r="E36" s="1"/>
      <c r="F36" s="1"/>
      <c r="G36" s="20"/>
      <c r="H36" s="20"/>
      <c r="I36" s="20"/>
      <c r="J36" s="1"/>
      <c r="K36" s="20"/>
      <c r="L36" s="20"/>
      <c r="M36" s="20"/>
      <c r="N36" s="20"/>
      <c r="O36" s="20"/>
      <c r="P36" s="1"/>
      <c r="Q36" s="1"/>
      <c r="R36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BC</dc:creator>
  <cp:lastModifiedBy>Pedro BC</cp:lastModifiedBy>
  <cp:lastPrinted>2015-04-25T01:05:58Z</cp:lastPrinted>
  <dcterms:created xsi:type="dcterms:W3CDTF">2015-04-24T22:40:50Z</dcterms:created>
  <dcterms:modified xsi:type="dcterms:W3CDTF">2016-05-31T11:12:13Z</dcterms:modified>
</cp:coreProperties>
</file>