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60" windowWidth="17715" windowHeight="9015"/>
  </bookViews>
  <sheets>
    <sheet name="MIP" sheetId="1" r:id="rId1"/>
  </sheets>
  <calcPr calcId="125725"/>
</workbook>
</file>

<file path=xl/calcChain.xml><?xml version="1.0" encoding="utf-8"?>
<calcChain xmlns="http://schemas.openxmlformats.org/spreadsheetml/2006/main">
  <c r="D40" i="1"/>
  <c r="C40"/>
  <c r="D39"/>
  <c r="C39"/>
</calcChain>
</file>

<file path=xl/sharedStrings.xml><?xml version="1.0" encoding="utf-8"?>
<sst xmlns="http://schemas.openxmlformats.org/spreadsheetml/2006/main" count="56" uniqueCount="28">
  <si>
    <t>1)     Matriz Insumo-Producto</t>
  </si>
  <si>
    <t>a.     Completar la siguiente tabla de insumo producto para un sistema económico de dos sectores:</t>
  </si>
  <si>
    <t>Sector 1</t>
  </si>
  <si>
    <t>Sector 2</t>
  </si>
  <si>
    <t>Demanda Final (H)</t>
  </si>
  <si>
    <t>Producción Total</t>
  </si>
  <si>
    <t>Valor Agregado (VA)</t>
  </si>
  <si>
    <t>b.    Hallar la matriz A de coeficientes tecnológicos y la matriz de coeficientes directos e indirectos (I-A)-1</t>
  </si>
  <si>
    <t>c.     Calcular la tabla de Insumo Producto para el año siguiente sabiendo que la Demanda Final será:</t>
  </si>
  <si>
    <t>a.-</t>
  </si>
  <si>
    <t>b.-</t>
  </si>
  <si>
    <t>A =</t>
  </si>
  <si>
    <r>
      <rPr>
        <u/>
        <sz val="11"/>
        <color indexed="8"/>
        <rFont val="Calibri"/>
        <family val="2"/>
      </rPr>
      <t>180</t>
    </r>
    <r>
      <rPr>
        <sz val="11"/>
        <color theme="1"/>
        <rFont val="Calibri"/>
        <family val="2"/>
        <scheme val="minor"/>
      </rPr>
      <t xml:space="preserve">
200</t>
    </r>
  </si>
  <si>
    <r>
      <rPr>
        <u/>
        <sz val="11"/>
        <color indexed="8"/>
        <rFont val="Calibri"/>
        <family val="2"/>
      </rPr>
      <t xml:space="preserve"> 10 </t>
    </r>
    <r>
      <rPr>
        <sz val="11"/>
        <color theme="1"/>
        <rFont val="Calibri"/>
        <family val="2"/>
        <scheme val="minor"/>
      </rPr>
      <t xml:space="preserve">
100</t>
    </r>
  </si>
  <si>
    <t>=</t>
  </si>
  <si>
    <r>
      <rPr>
        <u/>
        <sz val="11"/>
        <color indexed="8"/>
        <rFont val="Calibri"/>
        <family val="2"/>
      </rPr>
      <t xml:space="preserve"> 9 </t>
    </r>
    <r>
      <rPr>
        <sz val="11"/>
        <color theme="1"/>
        <rFont val="Calibri"/>
        <family val="2"/>
        <scheme val="minor"/>
      </rPr>
      <t xml:space="preserve">
10</t>
    </r>
  </si>
  <si>
    <r>
      <rPr>
        <u/>
        <sz val="11"/>
        <color indexed="8"/>
        <rFont val="Calibri"/>
        <family val="2"/>
      </rPr>
      <t xml:space="preserve"> 1 </t>
    </r>
    <r>
      <rPr>
        <sz val="11"/>
        <color theme="1"/>
        <rFont val="Calibri"/>
        <family val="2"/>
        <scheme val="minor"/>
      </rPr>
      <t xml:space="preserve">
10</t>
    </r>
  </si>
  <si>
    <r>
      <rPr>
        <u/>
        <sz val="11"/>
        <color indexed="8"/>
        <rFont val="Calibri"/>
        <family val="2"/>
      </rPr>
      <t xml:space="preserve"> 20 </t>
    </r>
    <r>
      <rPr>
        <sz val="11"/>
        <color theme="1"/>
        <rFont val="Calibri"/>
        <family val="2"/>
        <scheme val="minor"/>
      </rPr>
      <t xml:space="preserve">
200</t>
    </r>
  </si>
  <si>
    <r>
      <rPr>
        <u/>
        <sz val="11"/>
        <color indexed="8"/>
        <rFont val="Calibri"/>
        <family val="2"/>
      </rPr>
      <t xml:space="preserve"> 80 </t>
    </r>
    <r>
      <rPr>
        <sz val="11"/>
        <color theme="1"/>
        <rFont val="Calibri"/>
        <family val="2"/>
        <scheme val="minor"/>
      </rPr>
      <t xml:space="preserve">
100</t>
    </r>
  </si>
  <si>
    <r>
      <rPr>
        <u/>
        <sz val="11"/>
        <color indexed="8"/>
        <rFont val="Calibri"/>
        <family val="2"/>
      </rPr>
      <t xml:space="preserve"> 8 </t>
    </r>
    <r>
      <rPr>
        <sz val="11"/>
        <color theme="1"/>
        <rFont val="Calibri"/>
        <family val="2"/>
        <scheme val="minor"/>
      </rPr>
      <t xml:space="preserve">
10</t>
    </r>
  </si>
  <si>
    <t>(I-A) =</t>
  </si>
  <si>
    <t>-</t>
  </si>
  <si>
    <r>
      <rPr>
        <u/>
        <sz val="11"/>
        <color indexed="8"/>
        <rFont val="Calibri"/>
        <family val="2"/>
      </rPr>
      <t xml:space="preserve"> -1 </t>
    </r>
    <r>
      <rPr>
        <sz val="11"/>
        <color theme="1"/>
        <rFont val="Calibri"/>
        <family val="2"/>
        <scheme val="minor"/>
      </rPr>
      <t xml:space="preserve">
 10</t>
    </r>
  </si>
  <si>
    <r>
      <rPr>
        <u/>
        <sz val="11"/>
        <color indexed="8"/>
        <rFont val="Calibri"/>
        <family val="2"/>
      </rPr>
      <t xml:space="preserve"> 2 </t>
    </r>
    <r>
      <rPr>
        <sz val="11"/>
        <color theme="1"/>
        <rFont val="Calibri"/>
        <family val="2"/>
        <scheme val="minor"/>
      </rPr>
      <t xml:space="preserve">
10</t>
    </r>
  </si>
  <si>
    <t>(I-A)^-1 =</t>
  </si>
  <si>
    <t>c.-</t>
  </si>
  <si>
    <t>X =</t>
  </si>
  <si>
    <t>*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</si>
</sst>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theme="1"/>
      <name val="Calibri"/>
      <family val="2"/>
      <scheme val="minor"/>
    </font>
    <font>
      <u/>
      <sz val="11"/>
      <color indexed="8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8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justify"/>
    </xf>
    <xf numFmtId="0" fontId="0" fillId="2" borderId="0" xfId="0" applyFill="1" applyAlignment="1"/>
    <xf numFmtId="0" fontId="3" fillId="2" borderId="0" xfId="0" applyFont="1" applyFill="1" applyAlignment="1">
      <alignment horizontal="justify"/>
    </xf>
    <xf numFmtId="0" fontId="2" fillId="2" borderId="1" xfId="0" applyFont="1" applyFill="1" applyBorder="1" applyAlignment="1">
      <alignment horizontal="justify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6" fillId="2" borderId="1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24</xdr:row>
      <xdr:rowOff>38100</xdr:rowOff>
    </xdr:from>
    <xdr:to>
      <xdr:col>2</xdr:col>
      <xdr:colOff>131444</xdr:colOff>
      <xdr:row>25</xdr:row>
      <xdr:rowOff>333375</xdr:rowOff>
    </xdr:to>
    <xdr:sp macro="" textlink="">
      <xdr:nvSpPr>
        <xdr:cNvPr id="2" name="1 Abrir corchete"/>
        <xdr:cNvSpPr/>
      </xdr:nvSpPr>
      <xdr:spPr>
        <a:xfrm>
          <a:off x="1581150" y="4933950"/>
          <a:ext cx="45719" cy="676275"/>
        </a:xfrm>
        <a:prstGeom prst="leftBracket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295275</xdr:colOff>
      <xdr:row>24</xdr:row>
      <xdr:rowOff>38100</xdr:rowOff>
    </xdr:from>
    <xdr:to>
      <xdr:col>3</xdr:col>
      <xdr:colOff>340994</xdr:colOff>
      <xdr:row>25</xdr:row>
      <xdr:rowOff>342900</xdr:rowOff>
    </xdr:to>
    <xdr:sp macro="" textlink="">
      <xdr:nvSpPr>
        <xdr:cNvPr id="3" name="2 Cerrar corchete"/>
        <xdr:cNvSpPr/>
      </xdr:nvSpPr>
      <xdr:spPr>
        <a:xfrm>
          <a:off x="2438400" y="4933950"/>
          <a:ext cx="45719" cy="685800"/>
        </a:xfrm>
        <a:prstGeom prst="rightBracket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85725</xdr:colOff>
      <xdr:row>24</xdr:row>
      <xdr:rowOff>38100</xdr:rowOff>
    </xdr:from>
    <xdr:to>
      <xdr:col>5</xdr:col>
      <xdr:colOff>131444</xdr:colOff>
      <xdr:row>25</xdr:row>
      <xdr:rowOff>333375</xdr:rowOff>
    </xdr:to>
    <xdr:sp macro="" textlink="">
      <xdr:nvSpPr>
        <xdr:cNvPr id="4" name="3 Abrir corchete"/>
        <xdr:cNvSpPr/>
      </xdr:nvSpPr>
      <xdr:spPr>
        <a:xfrm>
          <a:off x="3524250" y="4933950"/>
          <a:ext cx="45719" cy="676275"/>
        </a:xfrm>
        <a:prstGeom prst="leftBracket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228600</xdr:colOff>
      <xdr:row>24</xdr:row>
      <xdr:rowOff>38100</xdr:rowOff>
    </xdr:from>
    <xdr:to>
      <xdr:col>6</xdr:col>
      <xdr:colOff>274319</xdr:colOff>
      <xdr:row>25</xdr:row>
      <xdr:rowOff>342900</xdr:rowOff>
    </xdr:to>
    <xdr:sp macro="" textlink="">
      <xdr:nvSpPr>
        <xdr:cNvPr id="5" name="4 Cerrar corchete"/>
        <xdr:cNvSpPr/>
      </xdr:nvSpPr>
      <xdr:spPr>
        <a:xfrm>
          <a:off x="4333875" y="4933950"/>
          <a:ext cx="45719" cy="685800"/>
        </a:xfrm>
        <a:prstGeom prst="rightBracket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123825</xdr:colOff>
      <xdr:row>27</xdr:row>
      <xdr:rowOff>9525</xdr:rowOff>
    </xdr:from>
    <xdr:to>
      <xdr:col>2</xdr:col>
      <xdr:colOff>169544</xdr:colOff>
      <xdr:row>28</xdr:row>
      <xdr:rowOff>352424</xdr:rowOff>
    </xdr:to>
    <xdr:sp macro="" textlink="">
      <xdr:nvSpPr>
        <xdr:cNvPr id="6" name="5 Abrir corchete"/>
        <xdr:cNvSpPr/>
      </xdr:nvSpPr>
      <xdr:spPr>
        <a:xfrm>
          <a:off x="1619250" y="5857875"/>
          <a:ext cx="45719" cy="723899"/>
        </a:xfrm>
        <a:prstGeom prst="leftBracket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447675</xdr:colOff>
      <xdr:row>27</xdr:row>
      <xdr:rowOff>28575</xdr:rowOff>
    </xdr:from>
    <xdr:to>
      <xdr:col>3</xdr:col>
      <xdr:colOff>493394</xdr:colOff>
      <xdr:row>28</xdr:row>
      <xdr:rowOff>352425</xdr:rowOff>
    </xdr:to>
    <xdr:sp macro="" textlink="">
      <xdr:nvSpPr>
        <xdr:cNvPr id="7" name="6 Cerrar corchete"/>
        <xdr:cNvSpPr/>
      </xdr:nvSpPr>
      <xdr:spPr>
        <a:xfrm>
          <a:off x="2590800" y="5876925"/>
          <a:ext cx="45719" cy="704850"/>
        </a:xfrm>
        <a:prstGeom prst="rightBracket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85725</xdr:colOff>
      <xdr:row>27</xdr:row>
      <xdr:rowOff>38100</xdr:rowOff>
    </xdr:from>
    <xdr:to>
      <xdr:col>5</xdr:col>
      <xdr:colOff>131444</xdr:colOff>
      <xdr:row>28</xdr:row>
      <xdr:rowOff>333375</xdr:rowOff>
    </xdr:to>
    <xdr:sp macro="" textlink="">
      <xdr:nvSpPr>
        <xdr:cNvPr id="8" name="7 Abrir corchete"/>
        <xdr:cNvSpPr/>
      </xdr:nvSpPr>
      <xdr:spPr>
        <a:xfrm>
          <a:off x="3524250" y="5886450"/>
          <a:ext cx="45719" cy="676275"/>
        </a:xfrm>
        <a:prstGeom prst="leftBracket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228600</xdr:colOff>
      <xdr:row>27</xdr:row>
      <xdr:rowOff>38100</xdr:rowOff>
    </xdr:from>
    <xdr:to>
      <xdr:col>6</xdr:col>
      <xdr:colOff>274319</xdr:colOff>
      <xdr:row>28</xdr:row>
      <xdr:rowOff>342900</xdr:rowOff>
    </xdr:to>
    <xdr:sp macro="" textlink="">
      <xdr:nvSpPr>
        <xdr:cNvPr id="9" name="8 Cerrar corchete"/>
        <xdr:cNvSpPr/>
      </xdr:nvSpPr>
      <xdr:spPr>
        <a:xfrm>
          <a:off x="4333875" y="5886450"/>
          <a:ext cx="45719" cy="685800"/>
        </a:xfrm>
        <a:prstGeom prst="rightBracket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85725</xdr:colOff>
      <xdr:row>27</xdr:row>
      <xdr:rowOff>38100</xdr:rowOff>
    </xdr:from>
    <xdr:to>
      <xdr:col>8</xdr:col>
      <xdr:colOff>131444</xdr:colOff>
      <xdr:row>28</xdr:row>
      <xdr:rowOff>333375</xdr:rowOff>
    </xdr:to>
    <xdr:sp macro="" textlink="">
      <xdr:nvSpPr>
        <xdr:cNvPr id="10" name="9 Abrir corchete"/>
        <xdr:cNvSpPr/>
      </xdr:nvSpPr>
      <xdr:spPr>
        <a:xfrm>
          <a:off x="5715000" y="5886450"/>
          <a:ext cx="45719" cy="676275"/>
        </a:xfrm>
        <a:prstGeom prst="leftBracket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228600</xdr:colOff>
      <xdr:row>27</xdr:row>
      <xdr:rowOff>38100</xdr:rowOff>
    </xdr:from>
    <xdr:to>
      <xdr:col>9</xdr:col>
      <xdr:colOff>274319</xdr:colOff>
      <xdr:row>28</xdr:row>
      <xdr:rowOff>342900</xdr:rowOff>
    </xdr:to>
    <xdr:sp macro="" textlink="">
      <xdr:nvSpPr>
        <xdr:cNvPr id="11" name="10 Cerrar corchete"/>
        <xdr:cNvSpPr/>
      </xdr:nvSpPr>
      <xdr:spPr>
        <a:xfrm>
          <a:off x="6619875" y="5886450"/>
          <a:ext cx="45719" cy="685800"/>
        </a:xfrm>
        <a:prstGeom prst="rightBracket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85725</xdr:colOff>
      <xdr:row>30</xdr:row>
      <xdr:rowOff>38100</xdr:rowOff>
    </xdr:from>
    <xdr:to>
      <xdr:col>2</xdr:col>
      <xdr:colOff>131444</xdr:colOff>
      <xdr:row>31</xdr:row>
      <xdr:rowOff>333375</xdr:rowOff>
    </xdr:to>
    <xdr:sp macro="" textlink="">
      <xdr:nvSpPr>
        <xdr:cNvPr id="12" name="11 Abrir corchete"/>
        <xdr:cNvSpPr/>
      </xdr:nvSpPr>
      <xdr:spPr>
        <a:xfrm>
          <a:off x="1581150" y="6838950"/>
          <a:ext cx="45719" cy="342900"/>
        </a:xfrm>
        <a:prstGeom prst="leftBracket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228600</xdr:colOff>
      <xdr:row>30</xdr:row>
      <xdr:rowOff>38100</xdr:rowOff>
    </xdr:from>
    <xdr:to>
      <xdr:col>3</xdr:col>
      <xdr:colOff>274319</xdr:colOff>
      <xdr:row>31</xdr:row>
      <xdr:rowOff>342900</xdr:rowOff>
    </xdr:to>
    <xdr:sp macro="" textlink="">
      <xdr:nvSpPr>
        <xdr:cNvPr id="13" name="12 Cerrar corchete"/>
        <xdr:cNvSpPr/>
      </xdr:nvSpPr>
      <xdr:spPr>
        <a:xfrm>
          <a:off x="2371725" y="6838950"/>
          <a:ext cx="45719" cy="342900"/>
        </a:xfrm>
        <a:prstGeom prst="rightBracket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85725</xdr:colOff>
      <xdr:row>34</xdr:row>
      <xdr:rowOff>38100</xdr:rowOff>
    </xdr:from>
    <xdr:to>
      <xdr:col>2</xdr:col>
      <xdr:colOff>131444</xdr:colOff>
      <xdr:row>35</xdr:row>
      <xdr:rowOff>333375</xdr:rowOff>
    </xdr:to>
    <xdr:sp macro="" textlink="">
      <xdr:nvSpPr>
        <xdr:cNvPr id="14" name="13 Abrir corchete"/>
        <xdr:cNvSpPr/>
      </xdr:nvSpPr>
      <xdr:spPr>
        <a:xfrm>
          <a:off x="1581150" y="7600950"/>
          <a:ext cx="45719" cy="342900"/>
        </a:xfrm>
        <a:prstGeom prst="leftBracket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228600</xdr:colOff>
      <xdr:row>34</xdr:row>
      <xdr:rowOff>38100</xdr:rowOff>
    </xdr:from>
    <xdr:to>
      <xdr:col>3</xdr:col>
      <xdr:colOff>274319</xdr:colOff>
      <xdr:row>35</xdr:row>
      <xdr:rowOff>342900</xdr:rowOff>
    </xdr:to>
    <xdr:sp macro="" textlink="">
      <xdr:nvSpPr>
        <xdr:cNvPr id="15" name="14 Cerrar corchete"/>
        <xdr:cNvSpPr/>
      </xdr:nvSpPr>
      <xdr:spPr>
        <a:xfrm>
          <a:off x="2371725" y="7600950"/>
          <a:ext cx="45719" cy="342900"/>
        </a:xfrm>
        <a:prstGeom prst="rightBracket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114300</xdr:colOff>
      <xdr:row>34</xdr:row>
      <xdr:rowOff>38100</xdr:rowOff>
    </xdr:from>
    <xdr:to>
      <xdr:col>5</xdr:col>
      <xdr:colOff>160019</xdr:colOff>
      <xdr:row>36</xdr:row>
      <xdr:rowOff>0</xdr:rowOff>
    </xdr:to>
    <xdr:sp macro="" textlink="">
      <xdr:nvSpPr>
        <xdr:cNvPr id="16" name="15 Abrir corchete"/>
        <xdr:cNvSpPr/>
      </xdr:nvSpPr>
      <xdr:spPr>
        <a:xfrm>
          <a:off x="3552825" y="7600950"/>
          <a:ext cx="45719" cy="342900"/>
        </a:xfrm>
        <a:prstGeom prst="leftBracket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504825</xdr:colOff>
      <xdr:row>34</xdr:row>
      <xdr:rowOff>38100</xdr:rowOff>
    </xdr:from>
    <xdr:to>
      <xdr:col>5</xdr:col>
      <xdr:colOff>550544</xdr:colOff>
      <xdr:row>36</xdr:row>
      <xdr:rowOff>0</xdr:rowOff>
    </xdr:to>
    <xdr:sp macro="" textlink="">
      <xdr:nvSpPr>
        <xdr:cNvPr id="17" name="16 Cerrar corchete"/>
        <xdr:cNvSpPr/>
      </xdr:nvSpPr>
      <xdr:spPr>
        <a:xfrm>
          <a:off x="3943350" y="7600950"/>
          <a:ext cx="45719" cy="342900"/>
        </a:xfrm>
        <a:prstGeom prst="rightBracket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190500</xdr:colOff>
      <xdr:row>34</xdr:row>
      <xdr:rowOff>38100</xdr:rowOff>
    </xdr:from>
    <xdr:to>
      <xdr:col>7</xdr:col>
      <xdr:colOff>236219</xdr:colOff>
      <xdr:row>36</xdr:row>
      <xdr:rowOff>0</xdr:rowOff>
    </xdr:to>
    <xdr:sp macro="" textlink="">
      <xdr:nvSpPr>
        <xdr:cNvPr id="18" name="17 Abrir corchete"/>
        <xdr:cNvSpPr/>
      </xdr:nvSpPr>
      <xdr:spPr>
        <a:xfrm>
          <a:off x="5057775" y="7600950"/>
          <a:ext cx="45719" cy="342900"/>
        </a:xfrm>
        <a:prstGeom prst="leftBracket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504825</xdr:colOff>
      <xdr:row>34</xdr:row>
      <xdr:rowOff>38100</xdr:rowOff>
    </xdr:from>
    <xdr:to>
      <xdr:col>7</xdr:col>
      <xdr:colOff>550544</xdr:colOff>
      <xdr:row>36</xdr:row>
      <xdr:rowOff>0</xdr:rowOff>
    </xdr:to>
    <xdr:sp macro="" textlink="">
      <xdr:nvSpPr>
        <xdr:cNvPr id="19" name="18 Cerrar corchete"/>
        <xdr:cNvSpPr/>
      </xdr:nvSpPr>
      <xdr:spPr>
        <a:xfrm>
          <a:off x="5372100" y="7600950"/>
          <a:ext cx="45719" cy="342900"/>
        </a:xfrm>
        <a:prstGeom prst="rightBracket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1</xdr:col>
      <xdr:colOff>904875</xdr:colOff>
      <xdr:row>13</xdr:row>
      <xdr:rowOff>114300</xdr:rowOff>
    </xdr:to>
    <xdr:pic>
      <xdr:nvPicPr>
        <xdr:cNvPr id="20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9075" y="2228850"/>
          <a:ext cx="904875" cy="4953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>
      <selection activeCell="D38" sqref="D38"/>
    </sheetView>
  </sheetViews>
  <sheetFormatPr baseColWidth="10" defaultRowHeight="15"/>
  <cols>
    <col min="1" max="1" width="3.28515625" style="1" bestFit="1" customWidth="1"/>
    <col min="2" max="2" width="19.140625" style="1" bestFit="1" customWidth="1"/>
    <col min="3" max="5" width="9.7109375" style="1" customWidth="1"/>
    <col min="6" max="6" width="10" style="1" bestFit="1" customWidth="1"/>
    <col min="7" max="16384" width="11.42578125" style="1"/>
  </cols>
  <sheetData>
    <row r="1" spans="2:6">
      <c r="B1" s="2"/>
      <c r="C1" s="3" t="s">
        <v>0</v>
      </c>
      <c r="D1" s="3"/>
      <c r="E1" s="3"/>
      <c r="F1" s="3"/>
    </row>
    <row r="2" spans="2:6">
      <c r="B2" s="2"/>
      <c r="C2" s="3" t="s">
        <v>1</v>
      </c>
      <c r="D2" s="3"/>
      <c r="E2" s="3"/>
      <c r="F2" s="3"/>
    </row>
    <row r="3" spans="2:6">
      <c r="B3" s="4"/>
      <c r="C3" s="3"/>
      <c r="D3" s="3"/>
      <c r="E3" s="3"/>
      <c r="F3" s="3"/>
    </row>
    <row r="4" spans="2:6" ht="25.5">
      <c r="B4" s="5"/>
      <c r="C4" s="6" t="s">
        <v>2</v>
      </c>
      <c r="D4" s="6" t="s">
        <v>3</v>
      </c>
      <c r="E4" s="6" t="s">
        <v>4</v>
      </c>
      <c r="F4" s="6" t="s">
        <v>5</v>
      </c>
    </row>
    <row r="5" spans="2:6">
      <c r="B5" s="5" t="s">
        <v>2</v>
      </c>
      <c r="C5" s="7">
        <v>180</v>
      </c>
      <c r="D5" s="7"/>
      <c r="E5" s="7">
        <v>10</v>
      </c>
      <c r="F5" s="7">
        <v>200</v>
      </c>
    </row>
    <row r="6" spans="2:6">
      <c r="B6" s="5" t="s">
        <v>3</v>
      </c>
      <c r="C6" s="7"/>
      <c r="D6" s="7">
        <v>80</v>
      </c>
      <c r="E6" s="7">
        <v>0</v>
      </c>
      <c r="F6" s="7">
        <v>100</v>
      </c>
    </row>
    <row r="7" spans="2:6">
      <c r="B7" s="5" t="s">
        <v>6</v>
      </c>
      <c r="C7" s="7"/>
      <c r="D7" s="7"/>
      <c r="E7" s="7"/>
      <c r="F7" s="7"/>
    </row>
    <row r="8" spans="2:6">
      <c r="B8" s="5" t="s">
        <v>5</v>
      </c>
      <c r="C8" s="7"/>
      <c r="D8" s="7"/>
      <c r="E8" s="7"/>
      <c r="F8" s="7"/>
    </row>
    <row r="9" spans="2:6">
      <c r="B9" s="2"/>
      <c r="C9" s="3"/>
      <c r="D9" s="3"/>
      <c r="E9" s="3"/>
      <c r="F9" s="3"/>
    </row>
    <row r="10" spans="2:6">
      <c r="B10" s="2"/>
      <c r="C10" s="3" t="s">
        <v>7</v>
      </c>
      <c r="D10" s="3"/>
      <c r="E10" s="3"/>
      <c r="F10" s="3"/>
    </row>
    <row r="11" spans="2:6">
      <c r="B11" s="2"/>
      <c r="C11" s="3" t="s">
        <v>8</v>
      </c>
      <c r="D11" s="3"/>
      <c r="E11" s="3"/>
      <c r="F11" s="3"/>
    </row>
    <row r="12" spans="2:6">
      <c r="B12" s="3"/>
    </row>
    <row r="17" spans="1:10">
      <c r="A17" s="1" t="s">
        <v>9</v>
      </c>
    </row>
    <row r="18" spans="1:10" ht="30">
      <c r="B18" s="8"/>
      <c r="C18" s="8" t="s">
        <v>2</v>
      </c>
      <c r="D18" s="8" t="s">
        <v>3</v>
      </c>
      <c r="E18" s="9" t="s">
        <v>4</v>
      </c>
      <c r="F18" s="10" t="s">
        <v>5</v>
      </c>
    </row>
    <row r="19" spans="1:10">
      <c r="B19" s="8" t="s">
        <v>2</v>
      </c>
      <c r="C19" s="8">
        <v>180</v>
      </c>
      <c r="D19" s="11">
        <v>10</v>
      </c>
      <c r="E19" s="8">
        <v>10</v>
      </c>
      <c r="F19" s="8">
        <v>200</v>
      </c>
    </row>
    <row r="20" spans="1:10">
      <c r="B20" s="8" t="s">
        <v>3</v>
      </c>
      <c r="C20" s="11">
        <v>20</v>
      </c>
      <c r="D20" s="8">
        <v>80</v>
      </c>
      <c r="E20" s="8">
        <v>0</v>
      </c>
      <c r="F20" s="8">
        <v>100</v>
      </c>
    </row>
    <row r="21" spans="1:10">
      <c r="B21" s="8" t="s">
        <v>6</v>
      </c>
      <c r="C21" s="11">
        <v>0</v>
      </c>
      <c r="D21" s="11">
        <v>10</v>
      </c>
      <c r="E21" s="8"/>
      <c r="F21" s="8"/>
    </row>
    <row r="22" spans="1:10">
      <c r="B22" s="8" t="s">
        <v>5</v>
      </c>
      <c r="C22" s="11">
        <v>200</v>
      </c>
      <c r="D22" s="11">
        <v>100</v>
      </c>
      <c r="E22" s="8"/>
      <c r="F22" s="8"/>
    </row>
    <row r="24" spans="1:10">
      <c r="A24" s="1" t="s">
        <v>10</v>
      </c>
    </row>
    <row r="25" spans="1:10" ht="30">
      <c r="B25" s="12" t="s">
        <v>11</v>
      </c>
      <c r="C25" s="13" t="s">
        <v>12</v>
      </c>
      <c r="D25" s="14" t="s">
        <v>13</v>
      </c>
      <c r="E25" s="12" t="s">
        <v>14</v>
      </c>
      <c r="F25" s="13" t="s">
        <v>15</v>
      </c>
      <c r="G25" s="14" t="s">
        <v>16</v>
      </c>
    </row>
    <row r="26" spans="1:10" ht="30">
      <c r="B26" s="12"/>
      <c r="C26" s="13" t="s">
        <v>17</v>
      </c>
      <c r="D26" s="14" t="s">
        <v>18</v>
      </c>
      <c r="E26" s="12"/>
      <c r="F26" s="13" t="s">
        <v>16</v>
      </c>
      <c r="G26" s="14" t="s">
        <v>19</v>
      </c>
    </row>
    <row r="27" spans="1:10">
      <c r="B27" s="15"/>
    </row>
    <row r="28" spans="1:10" ht="30">
      <c r="B28" s="12" t="s">
        <v>20</v>
      </c>
      <c r="C28" s="16">
        <v>1</v>
      </c>
      <c r="D28" s="16">
        <v>0</v>
      </c>
      <c r="E28" s="12" t="s">
        <v>21</v>
      </c>
      <c r="F28" s="13" t="s">
        <v>15</v>
      </c>
      <c r="G28" s="14" t="s">
        <v>16</v>
      </c>
      <c r="H28" s="12" t="s">
        <v>14</v>
      </c>
      <c r="I28" s="13" t="s">
        <v>16</v>
      </c>
      <c r="J28" s="14" t="s">
        <v>22</v>
      </c>
    </row>
    <row r="29" spans="1:10" ht="30">
      <c r="B29" s="12"/>
      <c r="C29" s="16">
        <v>0</v>
      </c>
      <c r="D29" s="16">
        <v>1</v>
      </c>
      <c r="E29" s="12"/>
      <c r="F29" s="13" t="s">
        <v>16</v>
      </c>
      <c r="G29" s="14" t="s">
        <v>19</v>
      </c>
      <c r="H29" s="12"/>
      <c r="I29" s="13" t="s">
        <v>22</v>
      </c>
      <c r="J29" s="14" t="s">
        <v>23</v>
      </c>
    </row>
    <row r="31" spans="1:10">
      <c r="B31" s="12" t="s">
        <v>24</v>
      </c>
      <c r="C31" s="13">
        <v>20</v>
      </c>
      <c r="D31" s="14">
        <v>10</v>
      </c>
    </row>
    <row r="32" spans="1:10">
      <c r="B32" s="12"/>
      <c r="C32" s="13">
        <v>10</v>
      </c>
      <c r="D32" s="14">
        <v>10</v>
      </c>
    </row>
    <row r="34" spans="1:8">
      <c r="A34" s="1" t="s">
        <v>25</v>
      </c>
    </row>
    <row r="35" spans="1:8">
      <c r="B35" s="12" t="s">
        <v>26</v>
      </c>
      <c r="C35" s="13">
        <v>20</v>
      </c>
      <c r="D35" s="14">
        <v>10</v>
      </c>
      <c r="E35" s="12" t="s">
        <v>27</v>
      </c>
      <c r="F35" s="13">
        <v>12</v>
      </c>
      <c r="G35" s="12" t="s">
        <v>14</v>
      </c>
      <c r="H35" s="13">
        <v>300</v>
      </c>
    </row>
    <row r="36" spans="1:8">
      <c r="B36" s="12"/>
      <c r="C36" s="13">
        <v>10</v>
      </c>
      <c r="D36" s="14">
        <v>10</v>
      </c>
      <c r="E36" s="12"/>
      <c r="F36" s="13">
        <v>6</v>
      </c>
      <c r="G36" s="12"/>
      <c r="H36" s="13">
        <v>180</v>
      </c>
    </row>
    <row r="38" spans="1:8" ht="30">
      <c r="B38" s="8"/>
      <c r="C38" s="8" t="s">
        <v>2</v>
      </c>
      <c r="D38" s="8" t="s">
        <v>3</v>
      </c>
      <c r="E38" s="9" t="s">
        <v>4</v>
      </c>
      <c r="F38" s="10" t="s">
        <v>5</v>
      </c>
    </row>
    <row r="39" spans="1:8">
      <c r="B39" s="8" t="s">
        <v>2</v>
      </c>
      <c r="C39" s="17">
        <f>(9/10)*300</f>
        <v>270</v>
      </c>
      <c r="D39" s="17">
        <f>(1/10)*180</f>
        <v>18</v>
      </c>
      <c r="E39" s="8">
        <v>12</v>
      </c>
      <c r="F39" s="8">
        <v>300</v>
      </c>
    </row>
    <row r="40" spans="1:8">
      <c r="B40" s="8" t="s">
        <v>3</v>
      </c>
      <c r="C40" s="17">
        <f>(1/10)*300</f>
        <v>30</v>
      </c>
      <c r="D40" s="17">
        <f>(8/10)*180</f>
        <v>144</v>
      </c>
      <c r="E40" s="8">
        <v>6</v>
      </c>
      <c r="F40" s="8">
        <v>180</v>
      </c>
    </row>
    <row r="41" spans="1:8">
      <c r="B41" s="8" t="s">
        <v>6</v>
      </c>
      <c r="C41" s="17">
        <v>0</v>
      </c>
      <c r="D41" s="17">
        <v>18</v>
      </c>
      <c r="E41" s="8"/>
      <c r="F41" s="8"/>
    </row>
    <row r="42" spans="1:8">
      <c r="B42" s="8" t="s">
        <v>5</v>
      </c>
      <c r="C42" s="17">
        <v>300</v>
      </c>
      <c r="D42" s="17">
        <v>180</v>
      </c>
      <c r="E42" s="8"/>
      <c r="F42" s="8"/>
    </row>
  </sheetData>
  <mergeCells count="9">
    <mergeCell ref="B35:B36"/>
    <mergeCell ref="E35:E36"/>
    <mergeCell ref="G35:G36"/>
    <mergeCell ref="B25:B26"/>
    <mergeCell ref="E25:E26"/>
    <mergeCell ref="B28:B29"/>
    <mergeCell ref="E28:E29"/>
    <mergeCell ref="H28:H29"/>
    <mergeCell ref="B31:B32"/>
  </mergeCells>
  <pageMargins left="0.7" right="0.7" top="0.75" bottom="0.75" header="0.3" footer="0.3"/>
  <pageSetup paperSize="9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florencia.benevenia</dc:creator>
  <cp:lastModifiedBy>florencia.benevenia</cp:lastModifiedBy>
  <dcterms:created xsi:type="dcterms:W3CDTF">2013-11-05T14:47:09Z</dcterms:created>
  <dcterms:modified xsi:type="dcterms:W3CDTF">2013-11-05T14:48:04Z</dcterms:modified>
</cp:coreProperties>
</file>