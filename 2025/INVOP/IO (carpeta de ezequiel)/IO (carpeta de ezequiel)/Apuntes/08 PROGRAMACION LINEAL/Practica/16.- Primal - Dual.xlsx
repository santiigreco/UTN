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540" windowWidth="15600" windowHeight="8385" activeTab="2"/>
  </bookViews>
  <sheets>
    <sheet name="Primal" sheetId="1" r:id="rId1"/>
    <sheet name="Dual" sheetId="2" r:id="rId2"/>
    <sheet name="Opt Primal - Opt Dual" sheetId="3" r:id="rId3"/>
  </sheets>
  <calcPr calcId="125725"/>
</workbook>
</file>

<file path=xl/calcChain.xml><?xml version="1.0" encoding="utf-8"?>
<calcChain xmlns="http://schemas.openxmlformats.org/spreadsheetml/2006/main">
  <c r="L34" i="1"/>
  <c r="J87" i="3"/>
  <c r="I87"/>
  <c r="F87"/>
  <c r="J86"/>
  <c r="I86"/>
  <c r="F86"/>
  <c r="J89"/>
  <c r="I89"/>
  <c r="F89"/>
  <c r="D87"/>
  <c r="D86"/>
  <c r="C89" s="1"/>
  <c r="I66"/>
  <c r="J66"/>
  <c r="F66"/>
  <c r="D64"/>
  <c r="D63"/>
  <c r="C66" s="1"/>
  <c r="D44"/>
  <c r="D43"/>
  <c r="C46" s="1"/>
  <c r="J54" i="2"/>
  <c r="I54"/>
  <c r="H54"/>
  <c r="G54"/>
  <c r="F54"/>
  <c r="L52"/>
  <c r="K52"/>
  <c r="J52"/>
  <c r="I52"/>
  <c r="F52"/>
  <c r="D52"/>
  <c r="L51"/>
  <c r="K51"/>
  <c r="J51"/>
  <c r="I51"/>
  <c r="H51"/>
  <c r="G51"/>
  <c r="F51"/>
  <c r="D51"/>
  <c r="L49"/>
  <c r="K49"/>
  <c r="J49"/>
  <c r="I49"/>
  <c r="H49"/>
  <c r="G49"/>
  <c r="F49"/>
  <c r="C54"/>
  <c r="L39"/>
  <c r="K39"/>
  <c r="J39"/>
  <c r="I39"/>
  <c r="L32"/>
  <c r="L42" s="1"/>
  <c r="L31"/>
  <c r="L41" s="1"/>
  <c r="K32"/>
  <c r="K42" s="1"/>
  <c r="K31"/>
  <c r="G24"/>
  <c r="G23"/>
  <c r="I29"/>
  <c r="J29"/>
  <c r="K29"/>
  <c r="L29"/>
  <c r="F21"/>
  <c r="E24"/>
  <c r="E23"/>
  <c r="H21"/>
  <c r="G21"/>
  <c r="H29" s="1"/>
  <c r="C21"/>
  <c r="F29" s="1"/>
  <c r="L16"/>
  <c r="D32" s="1"/>
  <c r="D42" s="1"/>
  <c r="L15"/>
  <c r="I16"/>
  <c r="F24" s="1"/>
  <c r="H32" s="1"/>
  <c r="H42" s="1"/>
  <c r="I15"/>
  <c r="F23" s="1"/>
  <c r="H31" s="1"/>
  <c r="H41" s="1"/>
  <c r="G16"/>
  <c r="D24" s="1"/>
  <c r="G32" s="1"/>
  <c r="G42" s="1"/>
  <c r="G15"/>
  <c r="D23" s="1"/>
  <c r="G31" s="1"/>
  <c r="E16"/>
  <c r="B24" s="1"/>
  <c r="F32" s="1"/>
  <c r="F42" s="1"/>
  <c r="J32"/>
  <c r="J42" s="1"/>
  <c r="I32"/>
  <c r="I42" s="1"/>
  <c r="J31"/>
  <c r="J41" s="1"/>
  <c r="I31"/>
  <c r="I41" s="1"/>
  <c r="C24"/>
  <c r="C23"/>
  <c r="E21"/>
  <c r="G29" s="1"/>
  <c r="D21"/>
  <c r="E15"/>
  <c r="B23" s="1"/>
  <c r="F31" s="1"/>
  <c r="F41" s="1"/>
  <c r="G65" i="1"/>
  <c r="G52"/>
  <c r="F65"/>
  <c r="F52"/>
  <c r="J23"/>
  <c r="I23"/>
  <c r="H23"/>
  <c r="G23"/>
  <c r="L18"/>
  <c r="P27" s="1"/>
  <c r="L17"/>
  <c r="P26" s="1"/>
  <c r="I18"/>
  <c r="H27" s="1"/>
  <c r="G36" s="1"/>
  <c r="G56" s="1"/>
  <c r="I17"/>
  <c r="H26" s="1"/>
  <c r="G35" s="1"/>
  <c r="G18"/>
  <c r="F27" s="1"/>
  <c r="F36" s="1"/>
  <c r="F56" s="1"/>
  <c r="F58" s="1"/>
  <c r="G17"/>
  <c r="F26" s="1"/>
  <c r="F35" s="1"/>
  <c r="L16"/>
  <c r="D34" s="1"/>
  <c r="I16"/>
  <c r="H25" s="1"/>
  <c r="G34" s="1"/>
  <c r="G16"/>
  <c r="F25" s="1"/>
  <c r="F34" s="1"/>
  <c r="D35"/>
  <c r="C46" s="1"/>
  <c r="D36"/>
  <c r="C47" s="1"/>
  <c r="G32"/>
  <c r="F32"/>
  <c r="J36"/>
  <c r="I36"/>
  <c r="I56" s="1"/>
  <c r="I58" s="1"/>
  <c r="H36"/>
  <c r="J35"/>
  <c r="J55" s="1"/>
  <c r="I35"/>
  <c r="H35"/>
  <c r="J34"/>
  <c r="I34"/>
  <c r="H34"/>
  <c r="I27"/>
  <c r="G27"/>
  <c r="I26"/>
  <c r="G26"/>
  <c r="I25"/>
  <c r="G25"/>
  <c r="N42" i="2" l="1"/>
  <c r="G39"/>
  <c r="F39"/>
  <c r="H39"/>
  <c r="N32"/>
  <c r="D31"/>
  <c r="D54" i="1"/>
  <c r="J54"/>
  <c r="H56"/>
  <c r="H58" s="1"/>
  <c r="J56"/>
  <c r="G54"/>
  <c r="I67" s="1"/>
  <c r="D55"/>
  <c r="D56"/>
  <c r="G55"/>
  <c r="P25"/>
  <c r="L36"/>
  <c r="L35"/>
  <c r="C45"/>
  <c r="F38"/>
  <c r="G38"/>
  <c r="I38"/>
  <c r="H38"/>
  <c r="J38"/>
  <c r="C38"/>
  <c r="N31" i="2" l="1"/>
  <c r="D41"/>
  <c r="N41" s="1"/>
  <c r="L56" i="1"/>
  <c r="D69"/>
  <c r="L54"/>
  <c r="D67"/>
  <c r="H68"/>
  <c r="H71" s="1"/>
  <c r="F68"/>
  <c r="F71" s="1"/>
  <c r="I68"/>
  <c r="G68"/>
  <c r="G71" s="1"/>
  <c r="J58"/>
  <c r="J67"/>
  <c r="D68"/>
  <c r="I69"/>
  <c r="J69"/>
  <c r="J68"/>
  <c r="L55"/>
  <c r="G58"/>
  <c r="C58"/>
  <c r="I71" l="1"/>
  <c r="J71"/>
  <c r="C71"/>
</calcChain>
</file>

<file path=xl/comments1.xml><?xml version="1.0" encoding="utf-8"?>
<comments xmlns="http://schemas.openxmlformats.org/spreadsheetml/2006/main">
  <authors>
    <author/>
  </authors>
  <commentList>
    <comment ref="I13" authorId="0">
      <text>
        <r>
          <rPr>
            <sz val="10"/>
            <color rgb="FF000000"/>
            <rFont val="Arial"/>
          </rPr>
          <t xml:space="preserve">c1, es dato del ejercicio
</t>
        </r>
      </text>
    </comment>
    <comment ref="L13" authorId="0">
      <text>
        <r>
          <rPr>
            <sz val="10"/>
            <color rgb="FF000000"/>
            <rFont val="Arial"/>
          </rPr>
          <t xml:space="preserve">c2, es dato del ejercicio
</t>
        </r>
      </text>
    </comment>
    <comment ref="G16" authorId="0">
      <text>
        <r>
          <rPr>
            <sz val="10"/>
            <color rgb="FF000000"/>
            <rFont val="Arial"/>
          </rPr>
          <t>coeficiente de eficiencia asociado a x1</t>
        </r>
      </text>
    </comment>
    <comment ref="I16" authorId="0">
      <text>
        <r>
          <rPr>
            <sz val="10"/>
            <color rgb="FF000000"/>
            <rFont val="Arial"/>
          </rPr>
          <t>coeficiente de eficiencia asociado a x1</t>
        </r>
      </text>
    </comment>
    <comment ref="L16" authorId="0">
      <text>
        <r>
          <rPr>
            <sz val="10"/>
            <color rgb="FF000000"/>
            <rFont val="Arial"/>
          </rPr>
          <t>disponibilidad de insumos</t>
        </r>
      </text>
    </comment>
    <comment ref="G17" authorId="0">
      <text>
        <r>
          <rPr>
            <sz val="10"/>
            <color rgb="FF000000"/>
            <rFont val="Arial"/>
          </rPr>
          <t>coeficiente de eficiencia asociado a x1</t>
        </r>
      </text>
    </comment>
    <comment ref="I17" authorId="0">
      <text>
        <r>
          <rPr>
            <sz val="10"/>
            <color rgb="FF000000"/>
            <rFont val="Arial"/>
          </rPr>
          <t>coeficiente de eficiencia asociado a x1</t>
        </r>
      </text>
    </comment>
    <comment ref="L17" authorId="0">
      <text>
        <r>
          <rPr>
            <sz val="10"/>
            <color rgb="FF000000"/>
            <rFont val="Arial"/>
          </rPr>
          <t>disponibilidad de insumos</t>
        </r>
      </text>
    </comment>
    <comment ref="G18" authorId="0">
      <text>
        <r>
          <rPr>
            <sz val="10"/>
            <color rgb="FF000000"/>
            <rFont val="Arial"/>
          </rPr>
          <t>coeficiente de eficiencia asociado a x1</t>
        </r>
      </text>
    </comment>
    <comment ref="I18" authorId="0">
      <text>
        <r>
          <rPr>
            <sz val="10"/>
            <color rgb="FF000000"/>
            <rFont val="Arial"/>
          </rPr>
          <t>coeficiente de eficiencia asociado a x1</t>
        </r>
      </text>
    </comment>
    <comment ref="L18" authorId="0">
      <text>
        <r>
          <rPr>
            <sz val="10"/>
            <color rgb="FF000000"/>
            <rFont val="Arial"/>
          </rPr>
          <t>disponibilidad de insumos</t>
        </r>
      </text>
    </comment>
    <comment ref="AC50" authorId="0">
      <text>
        <r>
          <rPr>
            <sz val="10"/>
            <color rgb="FF000000"/>
            <rFont val="Arial"/>
          </rPr>
          <t>kjlkjl
	-Mariano Coutada
_Marked as resolved_
	-Mariano Coutada
_Re-opened_
	-Mariano Coutada</t>
        </r>
      </text>
    </comment>
    <comment ref="H87" authorId="0">
      <text>
        <r>
          <rPr>
            <sz val="10"/>
            <color rgb="FF000000"/>
            <rFont val="Arial"/>
          </rPr>
          <t>producto que voy a reemplazar</t>
        </r>
      </text>
    </comment>
    <comment ref="L87" authorId="0">
      <text>
        <r>
          <rPr>
            <sz val="10"/>
            <color rgb="FF000000"/>
            <rFont val="Arial"/>
          </rPr>
          <t>PIVOTE, me servirá para calcular los datos de la tabla2 mediante Gauss Jordan</t>
        </r>
      </text>
    </comment>
    <comment ref="L89" authorId="0">
      <text>
        <r>
          <rPr>
            <sz val="10"/>
            <color rgb="FF000000"/>
            <rFont val="Arial"/>
          </rPr>
          <t xml:space="preserve">producto que voy a fabricar para ganar más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C37" authorId="0">
      <text>
        <r>
          <rPr>
            <sz val="10"/>
            <color rgb="FF000000"/>
            <rFont val="Arial"/>
          </rPr>
          <t>kjlkjl
	-Mariano Coutada
_Marked as resolved_
	-Mariano Coutada
_Re-opened_
	-Mariano Coutada</t>
        </r>
      </text>
    </comment>
    <comment ref="H70" authorId="0">
      <text>
        <r>
          <rPr>
            <sz val="10"/>
            <color rgb="FF000000"/>
            <rFont val="Arial"/>
          </rPr>
          <t>producto que voy a reemplazar</t>
        </r>
      </text>
    </comment>
    <comment ref="L70" authorId="0">
      <text>
        <r>
          <rPr>
            <sz val="10"/>
            <color rgb="FF000000"/>
            <rFont val="Arial"/>
          </rPr>
          <t>PIVOTE, me servirá para calcular los datos de la tabla2 mediante Gauss Jordan</t>
        </r>
      </text>
    </comment>
    <comment ref="L72" authorId="0">
      <text>
        <r>
          <rPr>
            <sz val="10"/>
            <color rgb="FF000000"/>
            <rFont val="Arial"/>
          </rPr>
          <t xml:space="preserve">producto que voy a fabricar para ganar más
</t>
        </r>
      </text>
    </comment>
  </commentList>
</comments>
</file>

<file path=xl/sharedStrings.xml><?xml version="1.0" encoding="utf-8"?>
<sst xmlns="http://schemas.openxmlformats.org/spreadsheetml/2006/main" count="337" uniqueCount="98">
  <si>
    <t>PROGRAMACION LINEAL METODO SIMPLEX</t>
  </si>
  <si>
    <t>DATOS</t>
  </si>
  <si>
    <t>z = función objetivo =</t>
  </si>
  <si>
    <t>x1</t>
  </si>
  <si>
    <t>+</t>
  </si>
  <si>
    <t>x2</t>
  </si>
  <si>
    <t>* x1 +</t>
  </si>
  <si>
    <t>* x2</t>
  </si>
  <si>
    <t>≤</t>
  </si>
  <si>
    <t>1º ARMO LA IGUALDAD</t>
  </si>
  <si>
    <t>2º ARMO TABLA1</t>
  </si>
  <si>
    <t>esta matriz es de 3x3 porque tengo 3 insumos</t>
  </si>
  <si>
    <t>x3</t>
  </si>
  <si>
    <t>x4</t>
  </si>
  <si>
    <t>x5</t>
  </si>
  <si>
    <t>Ck</t>
  </si>
  <si>
    <t>Xk</t>
  </si>
  <si>
    <t>Bk</t>
  </si>
  <si>
    <t>Θ</t>
  </si>
  <si>
    <t>Z =</t>
  </si>
  <si>
    <t>elijo el mas chico de los Zj - Cj</t>
  </si>
  <si>
    <t>3º calculo vector Θ</t>
  </si>
  <si>
    <t>3º ARMO TABLA2</t>
  </si>
  <si>
    <t/>
  </si>
  <si>
    <t>se hacen 0 todos los elem de su columna, gauss jordan para el resto</t>
  </si>
  <si>
    <t>el Z siempre debe ir creciendo, significa que a través de las iteraciones uno se acerca al óptimo</t>
  </si>
  <si>
    <t>* x3 +</t>
  </si>
  <si>
    <t>* x4 +</t>
  </si>
  <si>
    <t>* x5 =</t>
  </si>
  <si>
    <t>Precio [$/Tn]</t>
  </si>
  <si>
    <t>Variables de holgura:</t>
  </si>
  <si>
    <t>Variables de decisión:</t>
  </si>
  <si>
    <t>b1</t>
  </si>
  <si>
    <t>b2</t>
  </si>
  <si>
    <t>b3</t>
  </si>
  <si>
    <t>Disponiblidad</t>
  </si>
  <si>
    <t>(x1,x2)</t>
  </si>
  <si>
    <t>(x3,x4,x5)</t>
  </si>
  <si>
    <t>z =</t>
  </si>
  <si>
    <t>* x5</t>
  </si>
  <si>
    <t>decido fabricar x1 porque es el que me dará mayor ganancia, debo calcular el vector Θ para saber cuál de x3, x4 y x5 sacaré para fabricar más de x1</t>
  </si>
  <si>
    <t>x5 es el menor, reemplazaremos x5 por x1</t>
  </si>
  <si>
    <t>4º ARMO TABLA2</t>
  </si>
  <si>
    <t>divido toda la fila de x5 por el pivote asi el pivote queda = 1</t>
  </si>
  <si>
    <t>5º ARMO TABLA3</t>
  </si>
  <si>
    <t>Respuesta</t>
  </si>
  <si>
    <t>w1</t>
  </si>
  <si>
    <t>w2</t>
  </si>
  <si>
    <t>y1</t>
  </si>
  <si>
    <t>y2</t>
  </si>
  <si>
    <t>C</t>
  </si>
  <si>
    <t>w3</t>
  </si>
  <si>
    <t>Costo</t>
  </si>
  <si>
    <t>(w1,w2,w3)</t>
  </si>
  <si>
    <t>(w4,w5)</t>
  </si>
  <si>
    <t>Variables artificiales:</t>
  </si>
  <si>
    <t>* w1 +</t>
  </si>
  <si>
    <t>* w2 +</t>
  </si>
  <si>
    <t>* w3</t>
  </si>
  <si>
    <t>&gt;=</t>
  </si>
  <si>
    <t>* w4 +</t>
  </si>
  <si>
    <t>* w4 -</t>
  </si>
  <si>
    <t>* w5 +</t>
  </si>
  <si>
    <t>M</t>
  </si>
  <si>
    <r>
      <t>(</t>
    </r>
    <r>
      <rPr>
        <sz val="10"/>
        <color rgb="FF000000"/>
        <rFont val="Calibri"/>
        <family val="2"/>
      </rPr>
      <t>μ</t>
    </r>
    <r>
      <rPr>
        <sz val="10"/>
        <color rgb="FF000000"/>
        <rFont val="Arial"/>
        <family val="2"/>
      </rPr>
      <t>1,μ2)</t>
    </r>
  </si>
  <si>
    <t>* μ1 +</t>
  </si>
  <si>
    <t>* μ2</t>
  </si>
  <si>
    <t>μ1 +</t>
  </si>
  <si>
    <t>μ2</t>
  </si>
  <si>
    <t>μ2 =</t>
  </si>
  <si>
    <t>elijo el mas grande de los Zj - Cj</t>
  </si>
  <si>
    <t>esta matriz es de 2x2 porque tengo 2 insumos</t>
  </si>
  <si>
    <t>w4</t>
  </si>
  <si>
    <t>w5</t>
  </si>
  <si>
    <t>μ1</t>
  </si>
  <si>
    <t>7M</t>
  </si>
  <si>
    <t>M-3</t>
  </si>
  <si>
    <t>10M-24</t>
  </si>
  <si>
    <t>M-12</t>
  </si>
  <si>
    <t>-M</t>
  </si>
  <si>
    <t>4º ARMO TABLA3</t>
  </si>
  <si>
    <t>3,67M+8</t>
  </si>
  <si>
    <t>-0,67M+1</t>
  </si>
  <si>
    <t>6M-24</t>
  </si>
  <si>
    <t>0,67M-4</t>
  </si>
  <si>
    <t>-0,67M+4</t>
  </si>
  <si>
    <t>4-M</t>
  </si>
  <si>
    <t>(4/3)-M</t>
  </si>
  <si>
    <t>Primal</t>
  </si>
  <si>
    <t>Dual</t>
  </si>
  <si>
    <t>Opt. Primal</t>
  </si>
  <si>
    <t>Opt. Dual</t>
  </si>
  <si>
    <t>Tabla de equivalencias</t>
  </si>
  <si>
    <t>V. directas</t>
  </si>
  <si>
    <t>V. Holgura</t>
  </si>
  <si>
    <t>Determinación de la base</t>
  </si>
  <si>
    <t>Determinación de los costos de oportunidad y valores marginales</t>
  </si>
  <si>
    <t>Determinación de la tabla óptima del Dual</t>
  </si>
</sst>
</file>

<file path=xl/styles.xml><?xml version="1.0" encoding="utf-8"?>
<styleSheet xmlns="http://schemas.openxmlformats.org/spreadsheetml/2006/main">
  <numFmts count="1">
    <numFmt numFmtId="164" formatCode="0.0"/>
  </numFmts>
  <fonts count="17"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Calibri"/>
      <family val="2"/>
    </font>
    <font>
      <sz val="10"/>
      <color theme="5" tint="-0.249977111117893"/>
      <name val="Arial"/>
      <family val="2"/>
    </font>
    <font>
      <sz val="10"/>
      <color theme="7" tint="-0.249977111117893"/>
      <name val="Arial"/>
      <family val="2"/>
    </font>
    <font>
      <sz val="10"/>
      <color theme="6" tint="-0.499984740745262"/>
      <name val="Arial"/>
      <family val="2"/>
    </font>
    <font>
      <sz val="10"/>
      <color theme="4" tint="-0.249977111117893"/>
      <name val="Arial"/>
      <family val="2"/>
    </font>
    <font>
      <sz val="10"/>
      <color rgb="FF0070C0"/>
      <name val="Arial"/>
      <family val="2"/>
    </font>
    <font>
      <sz val="10"/>
      <color rgb="FF7030A0"/>
      <name val="Arial"/>
      <family val="2"/>
    </font>
    <font>
      <sz val="10"/>
      <color theme="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quotePrefix="1" applyFont="1" applyAlignment="1">
      <alignment horizontal="center" wrapText="1"/>
    </xf>
    <xf numFmtId="0" fontId="4" fillId="0" borderId="0" xfId="0" quotePrefix="1" applyFont="1" applyAlignment="1">
      <alignment wrapText="1"/>
    </xf>
    <xf numFmtId="0" fontId="0" fillId="0" borderId="21" xfId="0" applyBorder="1" applyAlignment="1">
      <alignment horizontal="center" wrapText="1"/>
    </xf>
    <xf numFmtId="0" fontId="4" fillId="0" borderId="21" xfId="0" applyFont="1" applyBorder="1" applyAlignment="1">
      <alignment horizontal="center" wrapText="1"/>
    </xf>
    <xf numFmtId="0" fontId="0" fillId="0" borderId="21" xfId="0" applyNumberForma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17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4" fillId="0" borderId="29" xfId="0" applyFont="1" applyFill="1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34" xfId="0" applyBorder="1" applyAlignment="1">
      <alignment horizontal="center" wrapText="1"/>
    </xf>
    <xf numFmtId="0" fontId="3" fillId="2" borderId="16" xfId="0" applyFont="1" applyFill="1" applyBorder="1" applyAlignment="1">
      <alignment horizontal="center" wrapText="1"/>
    </xf>
    <xf numFmtId="0" fontId="6" fillId="0" borderId="26" xfId="0" applyFont="1" applyBorder="1" applyAlignment="1">
      <alignment horizontal="center" wrapText="1"/>
    </xf>
    <xf numFmtId="0" fontId="6" fillId="0" borderId="24" xfId="0" applyFont="1" applyBorder="1" applyAlignment="1">
      <alignment horizontal="center" wrapText="1"/>
    </xf>
    <xf numFmtId="0" fontId="6" fillId="0" borderId="25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8" xfId="0" applyBorder="1" applyAlignment="1">
      <alignment wrapText="1"/>
    </xf>
    <xf numFmtId="0" fontId="4" fillId="0" borderId="18" xfId="0" applyFont="1" applyBorder="1" applyAlignment="1">
      <alignment horizontal="center" wrapText="1"/>
    </xf>
    <xf numFmtId="0" fontId="0" fillId="0" borderId="33" xfId="0" applyBorder="1" applyAlignment="1">
      <alignment wrapText="1"/>
    </xf>
    <xf numFmtId="0" fontId="0" fillId="0" borderId="20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horizontal="center" wrapText="1"/>
    </xf>
    <xf numFmtId="0" fontId="4" fillId="0" borderId="9" xfId="0" applyFont="1" applyFill="1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7" fillId="0" borderId="0" xfId="0" applyFont="1" applyBorder="1" applyAlignment="1">
      <alignment horizontal="center" wrapText="1"/>
    </xf>
    <xf numFmtId="0" fontId="7" fillId="0" borderId="21" xfId="0" applyFont="1" applyBorder="1" applyAlignment="1">
      <alignment horizontal="center" wrapText="1"/>
    </xf>
    <xf numFmtId="0" fontId="4" fillId="0" borderId="21" xfId="0" applyFont="1" applyFill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2" fontId="0" fillId="0" borderId="21" xfId="0" applyNumberFormat="1" applyBorder="1" applyAlignment="1">
      <alignment horizontal="center" wrapText="1"/>
    </xf>
    <xf numFmtId="2" fontId="4" fillId="0" borderId="21" xfId="0" applyNumberFormat="1" applyFont="1" applyFill="1" applyBorder="1" applyAlignment="1">
      <alignment horizontal="center" wrapText="1"/>
    </xf>
    <xf numFmtId="2" fontId="4" fillId="0" borderId="0" xfId="0" applyNumberFormat="1" applyFont="1" applyFill="1" applyBorder="1" applyAlignment="1">
      <alignment horizontal="center" wrapText="1"/>
    </xf>
    <xf numFmtId="0" fontId="4" fillId="0" borderId="20" xfId="0" applyFont="1" applyFill="1" applyBorder="1" applyAlignment="1">
      <alignment horizontal="center" wrapText="1"/>
    </xf>
    <xf numFmtId="2" fontId="0" fillId="0" borderId="14" xfId="0" applyNumberFormat="1" applyBorder="1" applyAlignment="1">
      <alignment horizontal="center" wrapText="1"/>
    </xf>
    <xf numFmtId="2" fontId="0" fillId="0" borderId="28" xfId="0" applyNumberFormat="1" applyBorder="1" applyAlignment="1">
      <alignment horizontal="center" wrapText="1"/>
    </xf>
    <xf numFmtId="2" fontId="0" fillId="0" borderId="21" xfId="0" applyNumberFormat="1" applyFill="1" applyBorder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2" fontId="0" fillId="3" borderId="14" xfId="0" applyNumberFormat="1" applyFill="1" applyBorder="1" applyAlignment="1">
      <alignment horizontal="center" wrapText="1"/>
    </xf>
    <xf numFmtId="0" fontId="7" fillId="3" borderId="21" xfId="0" applyFont="1" applyFill="1" applyBorder="1" applyAlignment="1">
      <alignment horizontal="center" wrapText="1"/>
    </xf>
    <xf numFmtId="2" fontId="0" fillId="3" borderId="21" xfId="0" applyNumberForma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13" xfId="0" quotePrefix="1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2" fontId="3" fillId="2" borderId="16" xfId="0" applyNumberFormat="1" applyFont="1" applyFill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9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28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8" xfId="0" applyFont="1" applyBorder="1" applyAlignment="1">
      <alignment horizontal="center" wrapText="1"/>
    </xf>
    <xf numFmtId="0" fontId="7" fillId="0" borderId="17" xfId="0" applyFont="1" applyBorder="1" applyAlignment="1">
      <alignment horizontal="center" wrapText="1"/>
    </xf>
    <xf numFmtId="0" fontId="7" fillId="0" borderId="20" xfId="0" applyFont="1" applyFill="1" applyBorder="1" applyAlignment="1">
      <alignment horizontal="center" wrapText="1"/>
    </xf>
    <xf numFmtId="2" fontId="7" fillId="0" borderId="21" xfId="0" applyNumberFormat="1" applyFont="1" applyBorder="1" applyAlignment="1">
      <alignment horizontal="center" wrapText="1"/>
    </xf>
    <xf numFmtId="2" fontId="7" fillId="0" borderId="0" xfId="0" applyNumberFormat="1" applyFont="1" applyBorder="1" applyAlignment="1">
      <alignment horizontal="center" wrapText="1"/>
    </xf>
    <xf numFmtId="164" fontId="7" fillId="0" borderId="0" xfId="0" applyNumberFormat="1" applyFont="1" applyBorder="1" applyAlignment="1">
      <alignment horizontal="center" wrapText="1"/>
    </xf>
    <xf numFmtId="1" fontId="7" fillId="0" borderId="21" xfId="0" applyNumberFormat="1" applyFont="1" applyBorder="1" applyAlignment="1">
      <alignment horizontal="center" wrapText="1"/>
    </xf>
    <xf numFmtId="0" fontId="7" fillId="0" borderId="20" xfId="0" quotePrefix="1" applyFont="1" applyFill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164" fontId="7" fillId="0" borderId="18" xfId="0" applyNumberFormat="1" applyFont="1" applyBorder="1" applyAlignment="1">
      <alignment horizontal="center" wrapText="1"/>
    </xf>
    <xf numFmtId="1" fontId="7" fillId="0" borderId="18" xfId="0" applyNumberFormat="1" applyFont="1" applyBorder="1" applyAlignment="1">
      <alignment horizontal="center" wrapText="1"/>
    </xf>
    <xf numFmtId="2" fontId="7" fillId="0" borderId="18" xfId="0" applyNumberFormat="1" applyFont="1" applyBorder="1" applyAlignment="1">
      <alignment horizontal="center" wrapText="1"/>
    </xf>
    <xf numFmtId="0" fontId="7" fillId="0" borderId="22" xfId="0" applyFont="1" applyBorder="1" applyAlignment="1">
      <alignment horizontal="center" wrapText="1"/>
    </xf>
    <xf numFmtId="2" fontId="7" fillId="0" borderId="26" xfId="0" applyNumberFormat="1" applyFont="1" applyBorder="1" applyAlignment="1">
      <alignment horizontal="center" wrapText="1"/>
    </xf>
    <xf numFmtId="2" fontId="7" fillId="0" borderId="33" xfId="0" applyNumberFormat="1" applyFont="1" applyBorder="1" applyAlignment="1">
      <alignment horizontal="center" wrapText="1"/>
    </xf>
    <xf numFmtId="1" fontId="7" fillId="0" borderId="26" xfId="0" applyNumberFormat="1" applyFont="1" applyBorder="1" applyAlignment="1">
      <alignment horizontal="center" wrapText="1"/>
    </xf>
    <xf numFmtId="0" fontId="7" fillId="0" borderId="34" xfId="0" applyFont="1" applyBorder="1" applyAlignment="1">
      <alignment horizontal="center" wrapText="1"/>
    </xf>
    <xf numFmtId="2" fontId="8" fillId="2" borderId="16" xfId="0" applyNumberFormat="1" applyFont="1" applyFill="1" applyBorder="1" applyAlignment="1">
      <alignment horizontal="center" wrapText="1"/>
    </xf>
    <xf numFmtId="1" fontId="7" fillId="0" borderId="33" xfId="0" applyNumberFormat="1" applyFont="1" applyBorder="1" applyAlignment="1">
      <alignment horizontal="center" wrapText="1"/>
    </xf>
    <xf numFmtId="1" fontId="7" fillId="0" borderId="36" xfId="0" applyNumberFormat="1" applyFont="1" applyBorder="1" applyAlignment="1">
      <alignment horizontal="center" wrapText="1"/>
    </xf>
    <xf numFmtId="1" fontId="7" fillId="0" borderId="34" xfId="0" applyNumberFormat="1" applyFont="1" applyBorder="1" applyAlignment="1">
      <alignment horizontal="center" wrapText="1"/>
    </xf>
    <xf numFmtId="1" fontId="7" fillId="0" borderId="37" xfId="0" applyNumberFormat="1" applyFont="1" applyBorder="1" applyAlignment="1">
      <alignment horizontal="center" wrapText="1"/>
    </xf>
    <xf numFmtId="0" fontId="4" fillId="0" borderId="29" xfId="0" quotePrefix="1" applyFont="1" applyBorder="1" applyAlignment="1">
      <alignment horizontal="center" wrapText="1"/>
    </xf>
    <xf numFmtId="0" fontId="7" fillId="0" borderId="30" xfId="0" applyFont="1" applyBorder="1" applyAlignment="1">
      <alignment horizontal="center" wrapText="1"/>
    </xf>
    <xf numFmtId="164" fontId="7" fillId="0" borderId="32" xfId="0" applyNumberFormat="1" applyFont="1" applyBorder="1" applyAlignment="1">
      <alignment horizontal="center" wrapText="1"/>
    </xf>
    <xf numFmtId="0" fontId="7" fillId="0" borderId="32" xfId="0" applyFont="1" applyBorder="1" applyAlignment="1">
      <alignment horizontal="center" wrapText="1"/>
    </xf>
    <xf numFmtId="0" fontId="8" fillId="2" borderId="23" xfId="0" quotePrefix="1" applyFont="1" applyFill="1" applyBorder="1" applyAlignment="1">
      <alignment horizontal="center" wrapText="1"/>
    </xf>
    <xf numFmtId="1" fontId="6" fillId="0" borderId="25" xfId="0" applyNumberFormat="1" applyFont="1" applyBorder="1" applyAlignment="1">
      <alignment horizontal="center" wrapText="1"/>
    </xf>
    <xf numFmtId="0" fontId="4" fillId="3" borderId="14" xfId="0" applyFont="1" applyFill="1" applyBorder="1" applyAlignment="1">
      <alignment horizontal="center" wrapText="1"/>
    </xf>
    <xf numFmtId="2" fontId="7" fillId="0" borderId="20" xfId="0" quotePrefix="1" applyNumberFormat="1" applyFont="1" applyFill="1" applyBorder="1" applyAlignment="1">
      <alignment horizontal="center" wrapText="1"/>
    </xf>
    <xf numFmtId="2" fontId="7" fillId="0" borderId="20" xfId="0" applyNumberFormat="1" applyFont="1" applyFill="1" applyBorder="1" applyAlignment="1">
      <alignment horizontal="center" wrapText="1"/>
    </xf>
    <xf numFmtId="2" fontId="7" fillId="0" borderId="21" xfId="0" applyNumberFormat="1" applyFont="1" applyFill="1" applyBorder="1" applyAlignment="1">
      <alignment horizontal="center" wrapText="1"/>
    </xf>
    <xf numFmtId="1" fontId="7" fillId="0" borderId="20" xfId="0" quotePrefix="1" applyNumberFormat="1" applyFont="1" applyFill="1" applyBorder="1" applyAlignment="1">
      <alignment horizontal="center" wrapText="1"/>
    </xf>
    <xf numFmtId="2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0" xfId="0" applyNumberForma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0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right" wrapText="1"/>
    </xf>
    <xf numFmtId="0" fontId="13" fillId="0" borderId="0" xfId="0" applyFont="1" applyAlignment="1">
      <alignment horizontal="center"/>
    </xf>
    <xf numFmtId="0" fontId="13" fillId="0" borderId="21" xfId="0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 wrapText="1"/>
    </xf>
    <xf numFmtId="2" fontId="15" fillId="0" borderId="21" xfId="0" applyNumberFormat="1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5" fillId="0" borderId="21" xfId="0" applyFont="1" applyBorder="1" applyAlignment="1">
      <alignment horizontal="center"/>
    </xf>
    <xf numFmtId="2" fontId="15" fillId="0" borderId="21" xfId="0" applyNumberFormat="1" applyFont="1" applyBorder="1" applyAlignment="1">
      <alignment horizontal="center"/>
    </xf>
    <xf numFmtId="0" fontId="7" fillId="0" borderId="0" xfId="0" applyFont="1" applyAlignment="1">
      <alignment horizontal="right" wrapText="1"/>
    </xf>
    <xf numFmtId="2" fontId="7" fillId="0" borderId="0" xfId="0" applyNumberFormat="1" applyFont="1" applyAlignment="1">
      <alignment horizontal="center" wrapText="1"/>
    </xf>
    <xf numFmtId="0" fontId="7" fillId="0" borderId="21" xfId="0" applyFont="1" applyBorder="1" applyAlignment="1">
      <alignment horizontal="center"/>
    </xf>
    <xf numFmtId="2" fontId="7" fillId="0" borderId="21" xfId="0" applyNumberFormat="1" applyFont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13" fillId="0" borderId="0" xfId="0" applyFont="1" applyAlignment="1">
      <alignment horizontal="right" wrapText="1"/>
    </xf>
    <xf numFmtId="0" fontId="10" fillId="0" borderId="0" xfId="0" applyFont="1" applyAlignment="1">
      <alignment horizontal="right" wrapText="1"/>
    </xf>
    <xf numFmtId="0" fontId="10" fillId="0" borderId="21" xfId="0" applyFont="1" applyBorder="1" applyAlignment="1">
      <alignment horizontal="center" wrapText="1"/>
    </xf>
    <xf numFmtId="0" fontId="10" fillId="0" borderId="21" xfId="0" applyFont="1" applyBorder="1" applyAlignment="1">
      <alignment horizontal="center"/>
    </xf>
    <xf numFmtId="0" fontId="11" fillId="0" borderId="0" xfId="0" applyFont="1" applyAlignment="1">
      <alignment horizontal="right" wrapText="1"/>
    </xf>
    <xf numFmtId="2" fontId="11" fillId="0" borderId="21" xfId="0" applyNumberFormat="1" applyFont="1" applyBorder="1" applyAlignment="1">
      <alignment horizontal="center" wrapText="1"/>
    </xf>
    <xf numFmtId="2" fontId="11" fillId="0" borderId="21" xfId="0" applyNumberFormat="1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4" borderId="21" xfId="0" applyFont="1" applyFill="1" applyBorder="1" applyAlignment="1">
      <alignment horizontal="center"/>
    </xf>
    <xf numFmtId="2" fontId="7" fillId="4" borderId="21" xfId="0" applyNumberFormat="1" applyFont="1" applyFill="1" applyBorder="1" applyAlignment="1">
      <alignment horizontal="center"/>
    </xf>
    <xf numFmtId="2" fontId="16" fillId="5" borderId="21" xfId="0" applyNumberFormat="1" applyFont="1" applyFill="1" applyBorder="1" applyAlignment="1">
      <alignment horizontal="center" wrapText="1"/>
    </xf>
    <xf numFmtId="2" fontId="14" fillId="5" borderId="21" xfId="0" applyNumberFormat="1" applyFont="1" applyFill="1" applyBorder="1" applyAlignment="1">
      <alignment horizontal="center" wrapText="1"/>
    </xf>
    <xf numFmtId="2" fontId="5" fillId="5" borderId="21" xfId="0" applyNumberFormat="1" applyFont="1" applyFill="1" applyBorder="1" applyAlignment="1">
      <alignment horizontal="center" wrapText="1"/>
    </xf>
    <xf numFmtId="0" fontId="7" fillId="5" borderId="21" xfId="0" applyFont="1" applyFill="1" applyBorder="1" applyAlignment="1">
      <alignment horizontal="center"/>
    </xf>
    <xf numFmtId="2" fontId="14" fillId="5" borderId="21" xfId="0" applyNumberFormat="1" applyFont="1" applyFill="1" applyBorder="1" applyAlignment="1">
      <alignment horizontal="center"/>
    </xf>
    <xf numFmtId="2" fontId="5" fillId="5" borderId="21" xfId="0" applyNumberFormat="1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2" fontId="14" fillId="2" borderId="21" xfId="0" applyNumberFormat="1" applyFont="1" applyFill="1" applyBorder="1" applyAlignment="1">
      <alignment horizontal="center" wrapText="1"/>
    </xf>
    <xf numFmtId="2" fontId="13" fillId="2" borderId="21" xfId="0" applyNumberFormat="1" applyFont="1" applyFill="1" applyBorder="1" applyAlignment="1">
      <alignment horizontal="center" wrapText="1"/>
    </xf>
    <xf numFmtId="2" fontId="5" fillId="2" borderId="21" xfId="0" applyNumberFormat="1" applyFont="1" applyFill="1" applyBorder="1" applyAlignment="1">
      <alignment horizontal="center" wrapText="1"/>
    </xf>
    <xf numFmtId="2" fontId="13" fillId="2" borderId="21" xfId="0" applyNumberFormat="1" applyFont="1" applyFill="1" applyBorder="1" applyAlignment="1">
      <alignment horizontal="center"/>
    </xf>
    <xf numFmtId="2" fontId="5" fillId="2" borderId="21" xfId="0" applyNumberFormat="1" applyFont="1" applyFill="1" applyBorder="1" applyAlignment="1">
      <alignment horizontal="center"/>
    </xf>
    <xf numFmtId="2" fontId="14" fillId="2" borderId="21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4" fillId="0" borderId="20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2" fontId="0" fillId="0" borderId="19" xfId="0" applyNumberForma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4" fillId="0" borderId="0" xfId="0" applyFont="1" applyAlignment="1">
      <alignment wrapText="1"/>
    </xf>
    <xf numFmtId="0" fontId="0" fillId="0" borderId="7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4" fillId="0" borderId="21" xfId="0" applyFont="1" applyBorder="1" applyAlignment="1">
      <alignment horizontal="center"/>
    </xf>
    <xf numFmtId="0" fontId="0" fillId="0" borderId="21" xfId="0" applyBorder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0" fontId="7" fillId="0" borderId="2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4" fillId="0" borderId="19" xfId="0" applyFont="1" applyBorder="1" applyAlignment="1">
      <alignment horizontal="center" wrapText="1"/>
    </xf>
    <xf numFmtId="0" fontId="4" fillId="0" borderId="2" xfId="0" applyFont="1" applyBorder="1" applyAlignment="1">
      <alignment horizontal="left" wrapText="1"/>
    </xf>
    <xf numFmtId="0" fontId="4" fillId="0" borderId="21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733426</xdr:colOff>
      <xdr:row>37</xdr:row>
      <xdr:rowOff>28574</xdr:rowOff>
    </xdr:from>
    <xdr:to>
      <xdr:col>8</xdr:col>
      <xdr:colOff>152401</xdr:colOff>
      <xdr:row>43</xdr:row>
      <xdr:rowOff>95249</xdr:rowOff>
    </xdr:to>
    <xdr:cxnSp macro="">
      <xdr:nvCxnSpPr>
        <xdr:cNvPr id="3" name="2 Conector angular"/>
        <xdr:cNvCxnSpPr/>
      </xdr:nvCxnSpPr>
      <xdr:spPr>
        <a:xfrm rot="10800000" flipV="1">
          <a:off x="733426" y="6019799"/>
          <a:ext cx="2085975" cy="1038225"/>
        </a:xfrm>
        <a:prstGeom prst="bentConnector3">
          <a:avLst>
            <a:gd name="adj1" fmla="val 123516"/>
          </a:avLst>
        </a:prstGeom>
        <a:ln>
          <a:tailEnd type="arrow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0</xdr:col>
      <xdr:colOff>733426</xdr:colOff>
      <xdr:row>37</xdr:row>
      <xdr:rowOff>152400</xdr:rowOff>
    </xdr:from>
    <xdr:to>
      <xdr:col>9</xdr:col>
      <xdr:colOff>114301</xdr:colOff>
      <xdr:row>42</xdr:row>
      <xdr:rowOff>104775</xdr:rowOff>
    </xdr:to>
    <xdr:cxnSp macro="">
      <xdr:nvCxnSpPr>
        <xdr:cNvPr id="6" name="5 Conector angular"/>
        <xdr:cNvCxnSpPr/>
      </xdr:nvCxnSpPr>
      <xdr:spPr>
        <a:xfrm rot="10800000" flipV="1">
          <a:off x="733426" y="6143625"/>
          <a:ext cx="2390775" cy="762000"/>
        </a:xfrm>
        <a:prstGeom prst="bentConnector3">
          <a:avLst>
            <a:gd name="adj1" fmla="val 113745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314325</xdr:colOff>
      <xdr:row>53</xdr:row>
      <xdr:rowOff>85725</xdr:rowOff>
    </xdr:from>
    <xdr:to>
      <xdr:col>9</xdr:col>
      <xdr:colOff>114300</xdr:colOff>
      <xdr:row>68</xdr:row>
      <xdr:rowOff>123825</xdr:rowOff>
    </xdr:to>
    <xdr:cxnSp macro="">
      <xdr:nvCxnSpPr>
        <xdr:cNvPr id="11" name="10 Conector angular"/>
        <xdr:cNvCxnSpPr/>
      </xdr:nvCxnSpPr>
      <xdr:spPr>
        <a:xfrm>
          <a:off x="314325" y="8667750"/>
          <a:ext cx="2809875" cy="2466975"/>
        </a:xfrm>
        <a:prstGeom prst="bentConnector3">
          <a:avLst>
            <a:gd name="adj1" fmla="val -661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314325</xdr:colOff>
      <xdr:row>54</xdr:row>
      <xdr:rowOff>95250</xdr:rowOff>
    </xdr:from>
    <xdr:to>
      <xdr:col>8</xdr:col>
      <xdr:colOff>114300</xdr:colOff>
      <xdr:row>67</xdr:row>
      <xdr:rowOff>142875</xdr:rowOff>
    </xdr:to>
    <xdr:cxnSp macro="">
      <xdr:nvCxnSpPr>
        <xdr:cNvPr id="32" name="31 Conector angular"/>
        <xdr:cNvCxnSpPr/>
      </xdr:nvCxnSpPr>
      <xdr:spPr>
        <a:xfrm>
          <a:off x="314325" y="8839200"/>
          <a:ext cx="2466975" cy="2152650"/>
        </a:xfrm>
        <a:prstGeom prst="bentConnector3">
          <a:avLst>
            <a:gd name="adj1" fmla="val -4440"/>
          </a:avLst>
        </a:prstGeom>
        <a:ln>
          <a:tailEnd type="arrow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476250</xdr:colOff>
      <xdr:row>52</xdr:row>
      <xdr:rowOff>85724</xdr:rowOff>
    </xdr:from>
    <xdr:to>
      <xdr:col>5</xdr:col>
      <xdr:colOff>142875</xdr:colOff>
      <xdr:row>66</xdr:row>
      <xdr:rowOff>152399</xdr:rowOff>
    </xdr:to>
    <xdr:cxnSp macro="">
      <xdr:nvCxnSpPr>
        <xdr:cNvPr id="38" name="37 Conector angular"/>
        <xdr:cNvCxnSpPr/>
      </xdr:nvCxnSpPr>
      <xdr:spPr>
        <a:xfrm rot="16200000" flipH="1">
          <a:off x="85725" y="8896349"/>
          <a:ext cx="2333625" cy="1552575"/>
        </a:xfrm>
        <a:prstGeom prst="bentConnector3">
          <a:avLst>
            <a:gd name="adj1" fmla="val 99796"/>
          </a:avLst>
        </a:prstGeom>
        <a:ln>
          <a:tailEnd type="arrow"/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99"/>
  <sheetViews>
    <sheetView showGridLines="0" topLeftCell="A80" workbookViewId="0">
      <selection activeCell="L89" sqref="L89"/>
    </sheetView>
  </sheetViews>
  <sheetFormatPr baseColWidth="10" defaultColWidth="11.42578125" defaultRowHeight="12.75" customHeight="1"/>
  <cols>
    <col min="1" max="2" width="7.42578125" customWidth="1"/>
    <col min="3" max="3" width="8.5703125" customWidth="1"/>
    <col min="4" max="5" width="6.7109375" customWidth="1"/>
    <col min="6" max="6" width="7.7109375" bestFit="1" customWidth="1"/>
    <col min="7" max="8" width="6.7109375" customWidth="1"/>
    <col min="9" max="9" width="13.42578125" bestFit="1" customWidth="1"/>
    <col min="10" max="11" width="6.7109375" customWidth="1"/>
    <col min="12" max="12" width="11.5703125" bestFit="1" customWidth="1"/>
    <col min="13" max="14" width="6.7109375" customWidth="1"/>
    <col min="15" max="15" width="10.7109375" customWidth="1"/>
    <col min="16" max="16" width="12.7109375" customWidth="1"/>
    <col min="17" max="17" width="6.42578125" bestFit="1" customWidth="1"/>
    <col min="18" max="18" width="7.140625" bestFit="1" customWidth="1"/>
    <col min="19" max="19" width="13.42578125" bestFit="1" customWidth="1"/>
    <col min="20" max="21" width="7.140625" bestFit="1" customWidth="1"/>
    <col min="22" max="28" width="6.7109375" customWidth="1"/>
  </cols>
  <sheetData>
    <row r="1" spans="1:28" s="17" customFormat="1" ht="12.75" customHeight="1"/>
    <row r="2" spans="1:28" s="17" customFormat="1" ht="12.75" customHeight="1">
      <c r="F2" s="21"/>
      <c r="G2" s="31" t="s">
        <v>3</v>
      </c>
      <c r="H2" s="31" t="s">
        <v>5</v>
      </c>
      <c r="I2" s="22" t="s">
        <v>35</v>
      </c>
    </row>
    <row r="3" spans="1:28" s="17" customFormat="1" ht="12.75" customHeight="1">
      <c r="F3" s="22" t="s">
        <v>32</v>
      </c>
      <c r="G3" s="21">
        <v>0</v>
      </c>
      <c r="H3" s="21">
        <v>1</v>
      </c>
      <c r="I3" s="21">
        <v>3</v>
      </c>
    </row>
    <row r="4" spans="1:28" s="17" customFormat="1" ht="12.75" customHeight="1">
      <c r="F4" s="22" t="s">
        <v>33</v>
      </c>
      <c r="G4" s="21">
        <v>4</v>
      </c>
      <c r="H4" s="21">
        <v>6</v>
      </c>
      <c r="I4" s="21">
        <v>24</v>
      </c>
    </row>
    <row r="5" spans="1:28" s="17" customFormat="1" ht="12.75" customHeight="1">
      <c r="F5" s="22" t="s">
        <v>34</v>
      </c>
      <c r="G5" s="21">
        <v>4</v>
      </c>
      <c r="H5" s="21">
        <v>-3</v>
      </c>
      <c r="I5" s="21">
        <v>12</v>
      </c>
    </row>
    <row r="6" spans="1:28" s="17" customFormat="1" ht="12.75" customHeight="1">
      <c r="F6" s="22" t="s">
        <v>29</v>
      </c>
      <c r="G6" s="23">
        <v>5</v>
      </c>
      <c r="H6" s="23">
        <v>2</v>
      </c>
      <c r="I6" s="16"/>
    </row>
    <row r="7" spans="1:28" s="17" customFormat="1" ht="12.75" customHeight="1"/>
    <row r="8" spans="1:28" ht="12.75" customHeight="1">
      <c r="A8" s="176" t="s">
        <v>0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2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2.75" customHeight="1">
      <c r="A10" s="3"/>
      <c r="B10" s="3"/>
      <c r="C10" s="3"/>
      <c r="D10" s="8" t="s">
        <v>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2.75" customHeight="1">
      <c r="A11" s="3"/>
      <c r="B11" s="3"/>
      <c r="C11" s="3"/>
      <c r="D11" s="3"/>
      <c r="E11" s="3"/>
      <c r="F11" s="191" t="s">
        <v>31</v>
      </c>
      <c r="G11" s="192"/>
      <c r="H11" s="192"/>
      <c r="I11" s="22" t="s">
        <v>36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2.75" customHeight="1">
      <c r="A12" s="3"/>
      <c r="B12" s="3"/>
      <c r="C12" s="3"/>
      <c r="D12" s="3"/>
      <c r="E12" s="3"/>
      <c r="F12" s="191" t="s">
        <v>30</v>
      </c>
      <c r="G12" s="192"/>
      <c r="H12" s="192"/>
      <c r="I12" s="22" t="s">
        <v>37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2.75" customHeight="1">
      <c r="A13" s="3"/>
      <c r="B13" s="3"/>
      <c r="C13" s="3"/>
      <c r="D13" s="3"/>
      <c r="E13" s="3"/>
      <c r="F13" s="193" t="s">
        <v>2</v>
      </c>
      <c r="G13" s="176"/>
      <c r="H13" s="176"/>
      <c r="I13" s="3">
        <v>5</v>
      </c>
      <c r="J13" s="8" t="s">
        <v>3</v>
      </c>
      <c r="K13" s="8" t="s">
        <v>4</v>
      </c>
      <c r="L13" s="3">
        <v>2</v>
      </c>
      <c r="M13" s="8" t="s">
        <v>5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3"/>
      <c r="P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2.75" customHeight="1">
      <c r="A16" s="3"/>
      <c r="B16" s="3"/>
      <c r="C16" s="3"/>
      <c r="D16" s="3"/>
      <c r="E16" s="3"/>
      <c r="F16" s="18" t="s">
        <v>32</v>
      </c>
      <c r="G16" s="8">
        <f>G3</f>
        <v>0</v>
      </c>
      <c r="H16" s="8" t="s">
        <v>6</v>
      </c>
      <c r="I16" s="32">
        <f>H3</f>
        <v>1</v>
      </c>
      <c r="J16" s="8" t="s">
        <v>7</v>
      </c>
      <c r="K16" s="8" t="s">
        <v>8</v>
      </c>
      <c r="L16" s="3">
        <f>I3</f>
        <v>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2.75" customHeight="1">
      <c r="A17" s="3"/>
      <c r="B17" s="3"/>
      <c r="C17" s="3"/>
      <c r="D17" s="3"/>
      <c r="E17" s="3"/>
      <c r="F17" s="18" t="s">
        <v>33</v>
      </c>
      <c r="G17" s="32">
        <f>G4</f>
        <v>4</v>
      </c>
      <c r="H17" s="8" t="s">
        <v>6</v>
      </c>
      <c r="I17" s="32">
        <f>H4</f>
        <v>6</v>
      </c>
      <c r="J17" s="8" t="s">
        <v>7</v>
      </c>
      <c r="K17" s="8" t="s">
        <v>8</v>
      </c>
      <c r="L17" s="26">
        <f>I4</f>
        <v>24</v>
      </c>
      <c r="M17" s="3"/>
      <c r="N17" s="3"/>
      <c r="O17" s="3"/>
      <c r="P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2.75" customHeight="1">
      <c r="A18" s="3"/>
      <c r="B18" s="3"/>
      <c r="C18" s="3"/>
      <c r="D18" s="3"/>
      <c r="E18" s="3"/>
      <c r="F18" s="18" t="s">
        <v>34</v>
      </c>
      <c r="G18" s="32">
        <f>G5</f>
        <v>4</v>
      </c>
      <c r="H18" s="8" t="s">
        <v>6</v>
      </c>
      <c r="I18" s="32">
        <f>H5</f>
        <v>-3</v>
      </c>
      <c r="J18" s="8" t="s">
        <v>7</v>
      </c>
      <c r="K18" s="8" t="s">
        <v>8</v>
      </c>
      <c r="L18" s="26">
        <f>I5</f>
        <v>12</v>
      </c>
      <c r="M18" s="3"/>
      <c r="N18" s="3"/>
      <c r="O18" s="3"/>
      <c r="P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2.75" customHeight="1">
      <c r="A20" s="3"/>
      <c r="B20" s="3"/>
      <c r="C20" s="3"/>
      <c r="D20" s="3"/>
      <c r="E20" s="15"/>
      <c r="F20" s="15"/>
      <c r="G20" s="15"/>
      <c r="H20" s="15"/>
      <c r="I20" s="1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2.75" customHeight="1">
      <c r="A21" s="3"/>
      <c r="B21" s="3"/>
      <c r="C21" s="3"/>
      <c r="D21" s="4"/>
      <c r="E21" s="194" t="s">
        <v>9</v>
      </c>
      <c r="F21" s="185"/>
      <c r="G21" s="185"/>
      <c r="H21" s="185"/>
      <c r="I21" s="185"/>
      <c r="J21" s="6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2.75" customHeight="1">
      <c r="A22" s="3"/>
      <c r="B22" s="3"/>
      <c r="C22" s="3"/>
      <c r="D22" s="3"/>
      <c r="E22" s="9"/>
      <c r="F22" s="9"/>
      <c r="G22" s="9"/>
      <c r="H22" s="9"/>
      <c r="I22" s="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s="29" customFormat="1" ht="12.75" customHeight="1">
      <c r="A23" s="26"/>
      <c r="B23" s="26"/>
      <c r="C23" s="26"/>
      <c r="D23" s="26"/>
      <c r="E23" s="33"/>
      <c r="F23" s="33" t="s">
        <v>38</v>
      </c>
      <c r="G23" s="33">
        <f>I13</f>
        <v>5</v>
      </c>
      <c r="H23" s="33" t="str">
        <f>H16</f>
        <v>* x1 +</v>
      </c>
      <c r="I23" s="33">
        <f>L13</f>
        <v>2</v>
      </c>
      <c r="J23" s="26" t="str">
        <f>+J16&amp;" +"</f>
        <v>* x2 +</v>
      </c>
      <c r="K23" s="26">
        <v>0</v>
      </c>
      <c r="L23" s="19" t="s">
        <v>26</v>
      </c>
      <c r="M23" s="26">
        <v>0</v>
      </c>
      <c r="N23" s="19" t="s">
        <v>27</v>
      </c>
      <c r="O23" s="26">
        <v>0</v>
      </c>
      <c r="P23" s="20" t="s">
        <v>39</v>
      </c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s="29" customFormat="1" ht="12.75" customHeight="1">
      <c r="A24" s="26"/>
      <c r="B24" s="26"/>
      <c r="C24" s="26"/>
      <c r="D24" s="26"/>
      <c r="E24" s="33"/>
      <c r="F24" s="33"/>
      <c r="G24" s="33"/>
      <c r="H24" s="33"/>
      <c r="I24" s="33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12.75" customHeight="1">
      <c r="A25" s="3"/>
      <c r="B25" s="3"/>
      <c r="C25" s="3"/>
      <c r="D25" s="3"/>
      <c r="E25" s="3"/>
      <c r="F25" s="8">
        <f>G16</f>
        <v>0</v>
      </c>
      <c r="G25" s="8" t="str">
        <f t="shared" ref="F25:H26" si="0">+H16</f>
        <v>* x1 +</v>
      </c>
      <c r="H25" s="8">
        <f t="shared" si="0"/>
        <v>1</v>
      </c>
      <c r="I25" s="8" t="str">
        <f>+J16&amp;" +"</f>
        <v>* x2 +</v>
      </c>
      <c r="J25" s="8">
        <v>1</v>
      </c>
      <c r="K25" s="19" t="s">
        <v>26</v>
      </c>
      <c r="L25" s="8">
        <v>0</v>
      </c>
      <c r="M25" s="19" t="s">
        <v>27</v>
      </c>
      <c r="N25" s="3">
        <v>0</v>
      </c>
      <c r="O25" s="20" t="s">
        <v>28</v>
      </c>
      <c r="P25" s="3">
        <f>L16</f>
        <v>3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2.75" customHeight="1">
      <c r="A26" s="3"/>
      <c r="B26" s="3"/>
      <c r="C26" s="3"/>
      <c r="D26" s="3"/>
      <c r="E26" s="3"/>
      <c r="F26" s="8">
        <f t="shared" si="0"/>
        <v>4</v>
      </c>
      <c r="G26" s="8" t="str">
        <f t="shared" si="0"/>
        <v>* x1 +</v>
      </c>
      <c r="H26" s="8">
        <f t="shared" si="0"/>
        <v>6</v>
      </c>
      <c r="I26" s="8" t="str">
        <f>+J17&amp;" +"</f>
        <v>* x2 +</v>
      </c>
      <c r="J26" s="8">
        <v>0</v>
      </c>
      <c r="K26" s="19" t="s">
        <v>26</v>
      </c>
      <c r="L26" s="8">
        <v>1</v>
      </c>
      <c r="M26" s="19" t="s">
        <v>27</v>
      </c>
      <c r="N26" s="3">
        <v>0</v>
      </c>
      <c r="O26" s="20" t="s">
        <v>28</v>
      </c>
      <c r="P26" s="3">
        <f t="shared" ref="P26" si="1">L17</f>
        <v>24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2.75" customHeight="1">
      <c r="A27" s="3"/>
      <c r="B27" s="3"/>
      <c r="C27" s="3"/>
      <c r="D27" s="3"/>
      <c r="E27" s="3"/>
      <c r="F27" s="8">
        <f>+G18</f>
        <v>4</v>
      </c>
      <c r="G27" s="8" t="str">
        <f>+H18</f>
        <v>* x1 +</v>
      </c>
      <c r="H27" s="8">
        <f>+I18</f>
        <v>-3</v>
      </c>
      <c r="I27" s="8" t="str">
        <f>+J18&amp;" +"</f>
        <v>* x2 +</v>
      </c>
      <c r="J27" s="8">
        <v>0</v>
      </c>
      <c r="K27" s="19" t="s">
        <v>26</v>
      </c>
      <c r="L27" s="8">
        <v>0</v>
      </c>
      <c r="M27" s="19" t="s">
        <v>27</v>
      </c>
      <c r="N27" s="3">
        <v>1</v>
      </c>
      <c r="O27" s="20" t="s">
        <v>28</v>
      </c>
      <c r="P27" s="3">
        <f>L18</f>
        <v>12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2.75" customHeight="1">
      <c r="A28" s="3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2.75" customHeight="1">
      <c r="A29" s="14"/>
      <c r="B29" s="185" t="s">
        <v>10</v>
      </c>
      <c r="C29" s="189"/>
      <c r="D29" s="186"/>
      <c r="E29" s="185"/>
      <c r="F29" s="189"/>
      <c r="G29" s="189"/>
      <c r="H29" s="189"/>
      <c r="I29" s="186"/>
      <c r="J29" s="190"/>
      <c r="K29" s="189"/>
      <c r="L29" s="186"/>
      <c r="M29" s="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2.75" customHeight="1">
      <c r="A31" s="3"/>
      <c r="B31" s="176" t="s">
        <v>11</v>
      </c>
      <c r="C31" s="176"/>
      <c r="D31" s="176"/>
      <c r="E31" s="3"/>
      <c r="F31" s="49" t="s">
        <v>3</v>
      </c>
      <c r="G31" s="15" t="s">
        <v>5</v>
      </c>
      <c r="H31" s="15" t="s">
        <v>12</v>
      </c>
      <c r="I31" s="15" t="s">
        <v>13</v>
      </c>
      <c r="J31" s="15" t="s">
        <v>14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2.75" customHeight="1">
      <c r="A32" s="3"/>
      <c r="B32" s="176"/>
      <c r="C32" s="176"/>
      <c r="D32" s="176"/>
      <c r="E32" s="33"/>
      <c r="F32" s="37">
        <f>I13</f>
        <v>5</v>
      </c>
      <c r="G32" s="34">
        <f>L13</f>
        <v>2</v>
      </c>
      <c r="H32" s="10">
        <v>0</v>
      </c>
      <c r="I32" s="10">
        <v>0</v>
      </c>
      <c r="J32" s="10">
        <v>0</v>
      </c>
      <c r="K32" s="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2.75" customHeight="1">
      <c r="A33" s="3"/>
      <c r="B33" s="15" t="s">
        <v>15</v>
      </c>
      <c r="C33" s="15" t="s">
        <v>16</v>
      </c>
      <c r="D33" s="15" t="s">
        <v>17</v>
      </c>
      <c r="E33" s="3"/>
      <c r="F33" s="37"/>
      <c r="G33" s="35"/>
      <c r="H33" s="5"/>
      <c r="I33" s="5"/>
      <c r="J33" s="5"/>
      <c r="L33" s="15" t="s">
        <v>18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2.75" customHeight="1">
      <c r="A34" s="14"/>
      <c r="B34" s="10">
        <v>0</v>
      </c>
      <c r="C34" s="10" t="s">
        <v>12</v>
      </c>
      <c r="D34" s="10">
        <f>L16</f>
        <v>3</v>
      </c>
      <c r="E34" s="28"/>
      <c r="F34" s="37">
        <f>F25</f>
        <v>0</v>
      </c>
      <c r="G34" s="34">
        <f>H25</f>
        <v>1</v>
      </c>
      <c r="H34" s="10">
        <f>J25</f>
        <v>1</v>
      </c>
      <c r="I34" s="10">
        <f>L25</f>
        <v>0</v>
      </c>
      <c r="J34" s="10">
        <f>N25</f>
        <v>0</v>
      </c>
      <c r="K34" s="2"/>
      <c r="L34" s="10" t="e">
        <f>D34/F34</f>
        <v>#DIV/0!</v>
      </c>
      <c r="M34" s="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2.75" customHeight="1">
      <c r="A35" s="14"/>
      <c r="B35" s="11">
        <v>0</v>
      </c>
      <c r="C35" s="11" t="s">
        <v>13</v>
      </c>
      <c r="D35" s="11">
        <f t="shared" ref="D35:D36" si="2">L17</f>
        <v>24</v>
      </c>
      <c r="E35" s="28"/>
      <c r="F35" s="39">
        <f>F26</f>
        <v>4</v>
      </c>
      <c r="G35" s="40">
        <f>H26</f>
        <v>6</v>
      </c>
      <c r="H35" s="11">
        <f>J26</f>
        <v>0</v>
      </c>
      <c r="I35" s="11">
        <f>L26</f>
        <v>1</v>
      </c>
      <c r="J35" s="11">
        <f>N26</f>
        <v>0</v>
      </c>
      <c r="K35" s="41"/>
      <c r="L35" s="11">
        <f>D35/F35</f>
        <v>6</v>
      </c>
      <c r="M35" s="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2.75" customHeight="1">
      <c r="A36" s="33"/>
      <c r="B36" s="43">
        <v>0</v>
      </c>
      <c r="C36" s="48" t="s">
        <v>14</v>
      </c>
      <c r="D36" s="44">
        <f t="shared" si="2"/>
        <v>12</v>
      </c>
      <c r="E36" s="45"/>
      <c r="F36" s="50">
        <f>F27</f>
        <v>4</v>
      </c>
      <c r="G36" s="46">
        <f>H27</f>
        <v>-3</v>
      </c>
      <c r="H36" s="44">
        <f>J27</f>
        <v>0</v>
      </c>
      <c r="I36" s="44">
        <f>L27</f>
        <v>0</v>
      </c>
      <c r="J36" s="44">
        <f>N27</f>
        <v>1</v>
      </c>
      <c r="K36" s="44"/>
      <c r="L36" s="47">
        <f>D36/F36</f>
        <v>3</v>
      </c>
      <c r="M36" s="3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2.75" customHeight="1">
      <c r="A37" s="3"/>
      <c r="B37" s="27"/>
      <c r="C37" s="27"/>
      <c r="D37" s="27"/>
      <c r="E37" s="3"/>
      <c r="F37" s="42"/>
      <c r="G37" s="27"/>
      <c r="H37" s="27"/>
      <c r="I37" s="27"/>
      <c r="J37" s="27"/>
      <c r="K37" s="3"/>
      <c r="L37" s="3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2.75" customHeight="1">
      <c r="A38" s="14"/>
      <c r="B38" s="12" t="s">
        <v>19</v>
      </c>
      <c r="C38" s="186">
        <f>((B34*D34)+(B35*D35))+(B36*D36)</f>
        <v>0</v>
      </c>
      <c r="D38" s="186"/>
      <c r="E38" s="28"/>
      <c r="F38" s="38">
        <f>((($B$34*F34)+($B$35*F35))+($B$36*$F$36))-F32</f>
        <v>-5</v>
      </c>
      <c r="G38" s="36">
        <f>((($B$34*G34)+($B$35*G35))+($B$36*$F$36))-G32</f>
        <v>-2</v>
      </c>
      <c r="H38" s="10">
        <f>((($B$34*H34)+($B$35*H35))+($B$36*$F$36))-H32</f>
        <v>0</v>
      </c>
      <c r="I38" s="10">
        <f>((($B$34*I34)+($B$35*I35))+($B$36*$F$36))-I32</f>
        <v>0</v>
      </c>
      <c r="J38" s="10">
        <f>((($B$34*J34)+($B$35*J35))+($B$36*$F$36))-J32</f>
        <v>0</v>
      </c>
      <c r="K38" s="187" t="s">
        <v>20</v>
      </c>
      <c r="L38" s="174"/>
      <c r="M38" s="174"/>
      <c r="N38" s="174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2.75" customHeight="1">
      <c r="A39" s="3"/>
      <c r="B39" s="9"/>
      <c r="C39" s="9"/>
      <c r="D39" s="9"/>
      <c r="E39" s="3"/>
      <c r="F39" s="33"/>
      <c r="G39" s="9"/>
      <c r="H39" s="9"/>
      <c r="I39" s="9"/>
      <c r="J39" s="9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2.75" customHeight="1">
      <c r="B40" s="188" t="s">
        <v>40</v>
      </c>
      <c r="C40" s="177"/>
      <c r="D40" s="177"/>
      <c r="E40" s="177"/>
      <c r="F40" s="177"/>
      <c r="G40" s="177"/>
      <c r="H40" s="177"/>
      <c r="I40" s="177"/>
      <c r="J40" s="177"/>
      <c r="K40" s="177"/>
      <c r="L40" s="177"/>
    </row>
    <row r="41" spans="1:28" ht="12.75" customHeight="1">
      <c r="A41" s="3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2.75" customHeight="1">
      <c r="A42" s="3"/>
      <c r="B42" s="15"/>
      <c r="C42" s="15"/>
      <c r="D42" s="15"/>
      <c r="E42" s="15"/>
      <c r="F42" s="15"/>
      <c r="G42" s="15"/>
      <c r="H42" s="15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2.75" customHeight="1">
      <c r="A43" s="14"/>
      <c r="B43" s="185" t="s">
        <v>21</v>
      </c>
      <c r="C43" s="189"/>
      <c r="D43" s="189"/>
      <c r="E43" s="189"/>
      <c r="F43" s="189"/>
      <c r="G43" s="189"/>
      <c r="H43" s="186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2.75" customHeight="1">
      <c r="A44" s="3"/>
      <c r="B44" s="9"/>
      <c r="C44" s="5"/>
      <c r="D44" s="9"/>
      <c r="E44" s="9"/>
      <c r="F44" s="9"/>
      <c r="G44" s="9"/>
      <c r="H44" s="9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2.75" customHeight="1">
      <c r="B45" s="14" t="s">
        <v>12</v>
      </c>
      <c r="C45" s="10" t="e">
        <f>D34/F34</f>
        <v>#DIV/0!</v>
      </c>
      <c r="D45" s="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2.75" customHeight="1">
      <c r="B46" s="14" t="s">
        <v>13</v>
      </c>
      <c r="C46" s="24">
        <f>D35/F35</f>
        <v>6</v>
      </c>
      <c r="D46" s="6"/>
      <c r="E46" s="174"/>
      <c r="F46" s="174"/>
      <c r="G46" s="174"/>
      <c r="H46" s="174"/>
      <c r="I46" s="174"/>
      <c r="J46" s="174"/>
      <c r="K46" s="174"/>
      <c r="L46" s="17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2.75" customHeight="1">
      <c r="B47" s="14" t="s">
        <v>14</v>
      </c>
      <c r="C47" s="24">
        <f>D36/F36</f>
        <v>3</v>
      </c>
      <c r="D47" s="6"/>
      <c r="E47" s="173" t="s">
        <v>41</v>
      </c>
      <c r="F47" s="174"/>
      <c r="G47" s="174"/>
      <c r="H47" s="174"/>
      <c r="I47" s="174"/>
      <c r="J47" s="174"/>
      <c r="K47" s="174"/>
      <c r="L47" s="17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2.75" customHeight="1">
      <c r="A48" s="3"/>
      <c r="B48" s="27"/>
      <c r="C48" s="27"/>
      <c r="D48" s="27"/>
      <c r="E48" s="15"/>
      <c r="F48" s="27"/>
      <c r="G48" s="27"/>
      <c r="H48" s="27"/>
      <c r="I48" s="27"/>
      <c r="J48" s="27"/>
      <c r="K48" s="15"/>
      <c r="L48" s="15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9" ht="12.75" customHeight="1">
      <c r="A49" s="14"/>
      <c r="B49" s="184" t="s">
        <v>42</v>
      </c>
      <c r="C49" s="185"/>
      <c r="D49" s="185"/>
      <c r="E49" s="185"/>
      <c r="F49" s="185"/>
      <c r="G49" s="185" t="s">
        <v>22</v>
      </c>
      <c r="H49" s="185"/>
      <c r="I49" s="185"/>
      <c r="J49" s="185"/>
      <c r="K49" s="185"/>
      <c r="L49" s="185"/>
      <c r="M49" s="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9" ht="12.75" customHeight="1">
      <c r="A50" s="3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9" ht="12.75" customHeight="1">
      <c r="A51" s="3"/>
      <c r="B51" s="3"/>
      <c r="C51" s="3"/>
      <c r="D51" s="3"/>
      <c r="E51" s="3"/>
      <c r="F51" s="15" t="s">
        <v>3</v>
      </c>
      <c r="G51" s="49" t="s">
        <v>5</v>
      </c>
      <c r="H51" s="15" t="s">
        <v>12</v>
      </c>
      <c r="I51" s="15" t="s">
        <v>13</v>
      </c>
      <c r="J51" s="15" t="s">
        <v>14</v>
      </c>
      <c r="K51" s="3"/>
      <c r="L51" s="51"/>
      <c r="M51" s="29"/>
      <c r="N51" s="175" t="s">
        <v>43</v>
      </c>
      <c r="O51" s="176"/>
      <c r="P51" s="176"/>
      <c r="Q51" s="176"/>
      <c r="X51" s="3"/>
      <c r="Y51" s="3"/>
      <c r="Z51" s="3"/>
      <c r="AA51" s="3"/>
      <c r="AB51" s="3"/>
    </row>
    <row r="52" spans="1:29" ht="12.75" customHeight="1">
      <c r="A52" s="3"/>
      <c r="B52" s="3"/>
      <c r="C52" s="3"/>
      <c r="D52" s="3"/>
      <c r="E52" s="14"/>
      <c r="F52" s="55">
        <f>$I$13</f>
        <v>5</v>
      </c>
      <c r="G52" s="64">
        <f>$L$13</f>
        <v>2</v>
      </c>
      <c r="H52" s="34">
        <v>0</v>
      </c>
      <c r="I52" s="24">
        <v>0</v>
      </c>
      <c r="J52" s="24">
        <v>0</v>
      </c>
      <c r="K52" s="1"/>
      <c r="L52" s="29"/>
      <c r="M52" s="29"/>
      <c r="N52" s="177"/>
      <c r="O52" s="177"/>
      <c r="P52" s="176"/>
      <c r="Q52" s="176"/>
      <c r="X52" s="3"/>
      <c r="Y52" s="3"/>
      <c r="Z52" s="3"/>
      <c r="AA52" s="3"/>
      <c r="AB52" s="3"/>
    </row>
    <row r="53" spans="1:29" ht="12.75" customHeight="1">
      <c r="A53" s="3"/>
      <c r="B53" s="15"/>
      <c r="C53" s="15"/>
      <c r="D53" s="15"/>
      <c r="E53" s="3"/>
      <c r="F53" s="35"/>
      <c r="G53" s="37"/>
      <c r="H53" s="35"/>
      <c r="I53" s="5"/>
      <c r="J53" s="5"/>
      <c r="L53" s="27" t="s">
        <v>18</v>
      </c>
      <c r="M53" s="29"/>
      <c r="N53" s="177"/>
      <c r="O53" s="177"/>
      <c r="P53" s="176"/>
      <c r="Q53" s="176"/>
      <c r="X53" s="3"/>
      <c r="Y53" s="3"/>
      <c r="Z53" s="3"/>
      <c r="AA53" s="3"/>
      <c r="AB53" s="3"/>
    </row>
    <row r="54" spans="1:29" ht="12.75" customHeight="1">
      <c r="A54" s="14"/>
      <c r="B54" s="11">
        <v>0</v>
      </c>
      <c r="C54" s="11" t="s">
        <v>12</v>
      </c>
      <c r="D54" s="11">
        <f>D34-((D36*$F$34)/$F$36)</f>
        <v>3</v>
      </c>
      <c r="E54" s="41"/>
      <c r="F54" s="56">
        <v>0</v>
      </c>
      <c r="G54" s="39">
        <f>G34-((G36*$F$34)/$F$36)</f>
        <v>1</v>
      </c>
      <c r="H54" s="40">
        <v>1</v>
      </c>
      <c r="I54" s="11">
        <v>0</v>
      </c>
      <c r="J54" s="11">
        <f>J34-((J36*$F$34)/$F$36)</f>
        <v>0</v>
      </c>
      <c r="K54" s="52"/>
      <c r="L54" s="11">
        <f>D54/G54</f>
        <v>3</v>
      </c>
      <c r="M54" s="29"/>
      <c r="N54" s="177"/>
      <c r="O54" s="177"/>
      <c r="P54" s="177"/>
      <c r="Q54" s="177"/>
      <c r="X54" s="3"/>
      <c r="Y54" s="3"/>
      <c r="Z54" s="3"/>
      <c r="AA54" s="3"/>
      <c r="AB54" s="3"/>
    </row>
    <row r="55" spans="1:29" ht="12.75" customHeight="1">
      <c r="A55" s="33"/>
      <c r="B55" s="43">
        <v>0</v>
      </c>
      <c r="C55" s="48" t="s">
        <v>13</v>
      </c>
      <c r="D55" s="44">
        <f>D35-((D36*$F$35)/$F$36)</f>
        <v>12</v>
      </c>
      <c r="E55" s="44"/>
      <c r="F55" s="45">
        <v>0</v>
      </c>
      <c r="G55" s="50">
        <f>G35-((G36*$F$35)/$F$36)</f>
        <v>9</v>
      </c>
      <c r="H55" s="46">
        <v>0</v>
      </c>
      <c r="I55" s="44">
        <v>1</v>
      </c>
      <c r="J55" s="44">
        <f>J35-((J36*$F$35)/$F$36)</f>
        <v>-1</v>
      </c>
      <c r="K55" s="54"/>
      <c r="L55" s="47">
        <f>D55/G55</f>
        <v>1.3333333333333333</v>
      </c>
      <c r="M55" s="29"/>
      <c r="N55" s="29"/>
      <c r="O55" s="29" t="s">
        <v>23</v>
      </c>
      <c r="P55" s="26"/>
      <c r="Q55" s="26"/>
      <c r="X55" s="3"/>
      <c r="Y55" s="3"/>
      <c r="Z55" s="3"/>
      <c r="AA55" s="3"/>
      <c r="AB55" s="3"/>
    </row>
    <row r="56" spans="1:29" ht="12.75" customHeight="1">
      <c r="A56" s="14"/>
      <c r="B56" s="13">
        <v>5</v>
      </c>
      <c r="C56" s="53" t="s">
        <v>3</v>
      </c>
      <c r="D56" s="13">
        <f>D36/$F$36</f>
        <v>3</v>
      </c>
      <c r="E56" s="41"/>
      <c r="F56" s="57">
        <f>F36/$F$36</f>
        <v>1</v>
      </c>
      <c r="G56" s="42">
        <f>G36/$F$36</f>
        <v>-0.75</v>
      </c>
      <c r="H56" s="59">
        <f>H36/$F$36</f>
        <v>0</v>
      </c>
      <c r="I56" s="13">
        <f>I36/$F$36</f>
        <v>0</v>
      </c>
      <c r="J56" s="13">
        <f>J36/$F$36</f>
        <v>0.25</v>
      </c>
      <c r="K56" s="52"/>
      <c r="L56" s="13">
        <f>D56/G56</f>
        <v>-4</v>
      </c>
      <c r="M56" s="29"/>
      <c r="N56" s="177" t="s">
        <v>24</v>
      </c>
      <c r="O56" s="177"/>
      <c r="P56" s="176"/>
      <c r="Q56" s="176"/>
      <c r="X56" s="3"/>
      <c r="Y56" s="3"/>
      <c r="Z56" s="3"/>
      <c r="AA56" s="3"/>
      <c r="AB56" s="3"/>
    </row>
    <row r="57" spans="1:29" ht="12.75" customHeight="1">
      <c r="A57" s="3"/>
      <c r="B57" s="5"/>
      <c r="C57" s="5"/>
      <c r="D57" s="5"/>
      <c r="E57" s="3"/>
      <c r="F57" s="35"/>
      <c r="G57" s="37"/>
      <c r="H57" s="35"/>
      <c r="I57" s="5"/>
      <c r="J57" s="5"/>
      <c r="K57" s="3"/>
      <c r="L57" s="29"/>
      <c r="M57" s="29"/>
      <c r="N57" s="176"/>
      <c r="O57" s="176"/>
      <c r="P57" s="176"/>
      <c r="Q57" s="176"/>
      <c r="X57" s="3"/>
      <c r="Y57" s="3"/>
      <c r="Z57" s="3"/>
      <c r="AA57" s="3"/>
      <c r="AB57" s="3"/>
    </row>
    <row r="58" spans="1:29" ht="12.75" customHeight="1">
      <c r="A58" s="14"/>
      <c r="B58" s="12" t="s">
        <v>19</v>
      </c>
      <c r="C58" s="186">
        <f>((B54*D54)+(B55*D55))+(B56*D56)</f>
        <v>15</v>
      </c>
      <c r="D58" s="186"/>
      <c r="E58" s="2"/>
      <c r="F58" s="58">
        <f>((($B$54*F54)+($B$55*F55))+($B$56*F56))-F52</f>
        <v>0</v>
      </c>
      <c r="G58" s="38">
        <f>((($B$54*G54)+($B$55*G55))+($B$56*G56))-G52</f>
        <v>-5.75</v>
      </c>
      <c r="H58" s="36">
        <f>((($B$54*H54)+($B$55*H55))+($B$56*H56))-H52</f>
        <v>0</v>
      </c>
      <c r="I58" s="36">
        <f>((($B$54*I54)+($B$55*I55))+($B$56*I56))-I52</f>
        <v>0</v>
      </c>
      <c r="J58" s="36">
        <f>((($B$54*J54)+($B$55*J55))+($B$56*J56))-J52</f>
        <v>1.25</v>
      </c>
      <c r="K58" s="6"/>
      <c r="L58" s="29"/>
      <c r="M58" s="29"/>
      <c r="N58" s="176"/>
      <c r="O58" s="176"/>
      <c r="P58" s="176"/>
      <c r="Q58" s="176"/>
      <c r="X58" s="3"/>
      <c r="Y58" s="3"/>
      <c r="Z58" s="3"/>
      <c r="AA58" s="3"/>
      <c r="AB58" s="3"/>
    </row>
    <row r="59" spans="1:29" ht="12.75" customHeight="1">
      <c r="A59" s="3"/>
      <c r="B59" s="9"/>
      <c r="C59" s="9"/>
      <c r="D59" s="9"/>
      <c r="E59" s="3"/>
      <c r="F59" s="9"/>
      <c r="G59" s="33"/>
      <c r="H59" s="9"/>
      <c r="I59" s="9"/>
      <c r="J59" s="9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9" ht="12.75" customHeight="1">
      <c r="A60" s="3"/>
      <c r="B60" s="176" t="s">
        <v>25</v>
      </c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9" ht="12.75" customHeight="1">
      <c r="A61" s="3"/>
      <c r="B61" s="33"/>
      <c r="C61" s="33"/>
      <c r="D61" s="33"/>
      <c r="E61" s="33"/>
      <c r="F61" s="33"/>
      <c r="G61" s="33"/>
      <c r="H61" s="3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9" ht="12.75" customHeight="1">
      <c r="A62" s="14"/>
      <c r="B62" s="178" t="s">
        <v>44</v>
      </c>
      <c r="C62" s="179"/>
      <c r="D62" s="179"/>
      <c r="E62" s="179"/>
      <c r="F62" s="179"/>
      <c r="G62" s="179"/>
      <c r="H62" s="179"/>
      <c r="I62" s="179"/>
      <c r="J62" s="179"/>
      <c r="K62" s="179"/>
      <c r="L62" s="180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9" ht="12.75" customHeight="1">
      <c r="A63" s="3"/>
      <c r="B63" s="33"/>
      <c r="C63" s="33"/>
      <c r="D63" s="33"/>
      <c r="E63" s="33"/>
      <c r="F63" s="33"/>
      <c r="G63" s="33"/>
      <c r="H63" s="3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9" s="29" customFormat="1" ht="12.75" customHeight="1">
      <c r="A64" s="26"/>
      <c r="B64" s="33"/>
      <c r="C64" s="26"/>
      <c r="D64" s="26"/>
      <c r="E64" s="26"/>
      <c r="F64" s="33" t="s">
        <v>3</v>
      </c>
      <c r="G64" s="61" t="s">
        <v>5</v>
      </c>
      <c r="H64" s="33" t="s">
        <v>12</v>
      </c>
      <c r="I64" s="33" t="s">
        <v>13</v>
      </c>
      <c r="J64" s="33" t="s">
        <v>14</v>
      </c>
      <c r="K64" s="26"/>
      <c r="L64" s="51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s="29" customFormat="1" ht="12.75" customHeight="1">
      <c r="A65" s="26"/>
      <c r="B65" s="181" t="s">
        <v>45</v>
      </c>
      <c r="C65" s="182"/>
      <c r="D65" s="182"/>
      <c r="E65" s="14"/>
      <c r="F65" s="31">
        <f>$I$13</f>
        <v>5</v>
      </c>
      <c r="G65" s="31">
        <f>$L$13</f>
        <v>2</v>
      </c>
      <c r="H65" s="31">
        <v>0</v>
      </c>
      <c r="I65" s="31">
        <v>0</v>
      </c>
      <c r="J65" s="31">
        <v>0</v>
      </c>
      <c r="K65" s="1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s="29" customFormat="1" ht="12.75" customHeight="1">
      <c r="A66" s="26"/>
      <c r="B66" s="27"/>
      <c r="C66" s="27"/>
      <c r="D66" s="70"/>
      <c r="E66" s="26"/>
      <c r="F66" s="27"/>
      <c r="G66" s="33"/>
      <c r="H66" s="27"/>
      <c r="I66" s="27"/>
      <c r="J66" s="27"/>
      <c r="L66" s="33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s="29" customFormat="1" ht="12.75" customHeight="1">
      <c r="A67" s="7"/>
      <c r="B67" s="11">
        <v>0</v>
      </c>
      <c r="C67" s="72" t="s">
        <v>12</v>
      </c>
      <c r="D67" s="73">
        <f>D54-((D55*$G$54)/$G$55)</f>
        <v>1.6666666666666667</v>
      </c>
      <c r="E67" s="41"/>
      <c r="F67" s="56">
        <v>0</v>
      </c>
      <c r="G67" s="11">
        <v>0</v>
      </c>
      <c r="H67" s="40">
        <v>1</v>
      </c>
      <c r="I67" s="69">
        <f>I54-((I55*$G$54)/$G$55)</f>
        <v>-0.1111111111111111</v>
      </c>
      <c r="J67" s="69">
        <f>J54-((J55*$G$54)/$G$55)</f>
        <v>0.1111111111111111</v>
      </c>
      <c r="K67" s="52"/>
      <c r="L67" s="33"/>
      <c r="M67" s="60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s="29" customFormat="1" ht="12.75" customHeight="1">
      <c r="A68" s="33"/>
      <c r="B68" s="31">
        <v>2</v>
      </c>
      <c r="C68" s="74" t="s">
        <v>5</v>
      </c>
      <c r="D68" s="75">
        <f>D55/$G$55</f>
        <v>1.3333333333333333</v>
      </c>
      <c r="E68" s="33"/>
      <c r="F68" s="31">
        <f>F55/$G$55</f>
        <v>0</v>
      </c>
      <c r="G68" s="31">
        <f>G55/$G$55</f>
        <v>1</v>
      </c>
      <c r="H68" s="31">
        <f>H55/$G$55</f>
        <v>0</v>
      </c>
      <c r="I68" s="65">
        <f>I55/$G$55</f>
        <v>0.1111111111111111</v>
      </c>
      <c r="J68" s="65">
        <f>J55/$G$55</f>
        <v>-0.1111111111111111</v>
      </c>
      <c r="K68" s="60"/>
      <c r="L68" s="67"/>
      <c r="M68" s="60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s="29" customFormat="1" ht="12.75" customHeight="1">
      <c r="A69" s="14"/>
      <c r="B69" s="13">
        <v>5</v>
      </c>
      <c r="C69" s="76" t="s">
        <v>3</v>
      </c>
      <c r="D69" s="73">
        <f>D56-((D55*$G$56)/$G$55)</f>
        <v>4</v>
      </c>
      <c r="E69" s="41"/>
      <c r="F69" s="57">
        <v>1</v>
      </c>
      <c r="G69" s="31">
        <v>0</v>
      </c>
      <c r="H69" s="59">
        <v>0</v>
      </c>
      <c r="I69" s="69">
        <f>I56-((I55*$G$56)/$G$55)</f>
        <v>8.3333333333333329E-2</v>
      </c>
      <c r="J69" s="69">
        <f>J56-((J55*$G$56)/$G$55)</f>
        <v>0.16666666666666669</v>
      </c>
      <c r="K69" s="52"/>
      <c r="L69" s="33"/>
      <c r="M69" s="60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s="29" customFormat="1" ht="12.75" customHeight="1">
      <c r="A70" s="26"/>
      <c r="B70" s="25"/>
      <c r="C70" s="25"/>
      <c r="D70" s="25"/>
      <c r="E70" s="26"/>
      <c r="F70" s="35"/>
      <c r="G70" s="33"/>
      <c r="H70" s="35"/>
      <c r="I70" s="25"/>
      <c r="J70" s="25"/>
      <c r="K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s="29" customFormat="1" ht="12.75" customHeight="1">
      <c r="A71" s="14"/>
      <c r="B71" s="30" t="s">
        <v>19</v>
      </c>
      <c r="C71" s="183">
        <f>((B67*D67)+(B68*D68))+(B69*D69)</f>
        <v>22.666666666666668</v>
      </c>
      <c r="D71" s="183"/>
      <c r="E71" s="2"/>
      <c r="F71" s="63">
        <f>((($B$67*F67)+($B$68*F68))+($B$69*F69))-F65</f>
        <v>0</v>
      </c>
      <c r="G71" s="63">
        <f>((($B$67*G67)+($B$68*G68))+($B$69*G69))-G65</f>
        <v>0</v>
      </c>
      <c r="H71" s="63">
        <f>((($B$67*H67)+($B$68*H68))+($B$69*H69))-H65</f>
        <v>0</v>
      </c>
      <c r="I71" s="66">
        <f>((($B$67*I67)+($B$68*I68))+($B$69*I69))-I65</f>
        <v>0.63888888888888884</v>
      </c>
      <c r="J71" s="66">
        <f>((($B$67*J67)+($B$68*J68))+($B$69*J69))-J65</f>
        <v>0.61111111111111127</v>
      </c>
      <c r="K71" s="28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12.75" customHeight="1">
      <c r="A72" s="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2.75" customHeight="1">
      <c r="A73" s="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</sheetData>
  <mergeCells count="21">
    <mergeCell ref="B29:L29"/>
    <mergeCell ref="B31:D32"/>
    <mergeCell ref="A8:P8"/>
    <mergeCell ref="F11:H11"/>
    <mergeCell ref="F12:H12"/>
    <mergeCell ref="F13:H13"/>
    <mergeCell ref="E21:I21"/>
    <mergeCell ref="C71:D71"/>
    <mergeCell ref="B49:L49"/>
    <mergeCell ref="C58:D58"/>
    <mergeCell ref="B60:L60"/>
    <mergeCell ref="C38:D38"/>
    <mergeCell ref="K38:N38"/>
    <mergeCell ref="B40:L41"/>
    <mergeCell ref="B43:H43"/>
    <mergeCell ref="E46:L46"/>
    <mergeCell ref="E47:L47"/>
    <mergeCell ref="N51:Q54"/>
    <mergeCell ref="N56:Q58"/>
    <mergeCell ref="B62:L62"/>
    <mergeCell ref="B65:D65"/>
  </mergeCells>
  <pageMargins left="0.70866141732283472" right="0.70866141732283472" top="0.74803149606299213" bottom="0.74803149606299213" header="0.31496062992125984" footer="0.31496062992125984"/>
  <pageSetup paperSize="9" orientation="landscape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AC82"/>
  <sheetViews>
    <sheetView showGridLines="0" topLeftCell="A55" workbookViewId="0">
      <selection activeCell="B48" sqref="B48:L54"/>
    </sheetView>
  </sheetViews>
  <sheetFormatPr baseColWidth="10" defaultColWidth="11.42578125" defaultRowHeight="12.75" customHeight="1"/>
  <cols>
    <col min="1" max="2" width="7.42578125" style="29" customWidth="1"/>
    <col min="3" max="3" width="8.5703125" style="29" customWidth="1"/>
    <col min="4" max="4" width="7.28515625" style="29" bestFit="1" customWidth="1"/>
    <col min="5" max="5" width="6.28515625" style="29" bestFit="1" customWidth="1"/>
    <col min="6" max="6" width="12.140625" style="29" bestFit="1" customWidth="1"/>
    <col min="7" max="7" width="7.140625" style="29" bestFit="1" customWidth="1"/>
    <col min="8" max="8" width="6.28515625" style="29" bestFit="1" customWidth="1"/>
    <col min="9" max="9" width="10.140625" style="29" bestFit="1" customWidth="1"/>
    <col min="10" max="10" width="7.7109375" style="29" bestFit="1" customWidth="1"/>
    <col min="11" max="11" width="6.28515625" style="29" bestFit="1" customWidth="1"/>
    <col min="12" max="12" width="8.85546875" style="29" bestFit="1" customWidth="1"/>
    <col min="13" max="13" width="6.7109375" style="29" customWidth="1"/>
    <col min="14" max="14" width="7.85546875" style="29" customWidth="1"/>
    <col min="15" max="15" width="6.42578125" style="29" customWidth="1"/>
    <col min="16" max="16" width="6.5703125" style="29" bestFit="1" customWidth="1"/>
    <col min="17" max="17" width="6.42578125" style="29" bestFit="1" customWidth="1"/>
    <col min="18" max="18" width="7.140625" style="29" bestFit="1" customWidth="1"/>
    <col min="19" max="19" width="2.5703125" style="29" bestFit="1" customWidth="1"/>
    <col min="20" max="20" width="4.28515625" style="29" bestFit="1" customWidth="1"/>
    <col min="21" max="21" width="7.140625" style="29" bestFit="1" customWidth="1"/>
    <col min="22" max="28" width="6.7109375" style="29" customWidth="1"/>
    <col min="29" max="16384" width="11.42578125" style="29"/>
  </cols>
  <sheetData>
    <row r="2" spans="1:28" ht="12.75" customHeight="1">
      <c r="F2" s="31"/>
      <c r="G2" s="22" t="s">
        <v>46</v>
      </c>
      <c r="H2" s="22" t="s">
        <v>47</v>
      </c>
      <c r="I2" s="22" t="s">
        <v>51</v>
      </c>
      <c r="J2" s="22" t="s">
        <v>50</v>
      </c>
    </row>
    <row r="3" spans="1:28" ht="12.75" customHeight="1">
      <c r="F3" s="22" t="s">
        <v>48</v>
      </c>
      <c r="G3" s="31">
        <v>0</v>
      </c>
      <c r="H3" s="31">
        <v>4</v>
      </c>
      <c r="I3" s="31">
        <v>4</v>
      </c>
      <c r="J3" s="31">
        <v>5</v>
      </c>
    </row>
    <row r="4" spans="1:28" ht="12.75" customHeight="1">
      <c r="F4" s="22" t="s">
        <v>49</v>
      </c>
      <c r="G4" s="31">
        <v>1</v>
      </c>
      <c r="H4" s="31">
        <v>6</v>
      </c>
      <c r="I4" s="31">
        <v>-3</v>
      </c>
      <c r="J4" s="31">
        <v>2</v>
      </c>
    </row>
    <row r="5" spans="1:28" ht="12.75" customHeight="1">
      <c r="F5" s="22" t="s">
        <v>52</v>
      </c>
      <c r="G5" s="23">
        <v>3</v>
      </c>
      <c r="H5" s="23">
        <v>24</v>
      </c>
      <c r="I5" s="31">
        <v>12</v>
      </c>
    </row>
    <row r="7" spans="1:28" ht="12.75" customHeight="1">
      <c r="A7" s="176" t="s">
        <v>0</v>
      </c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</row>
    <row r="8" spans="1:28" ht="12.7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</row>
    <row r="9" spans="1:28" ht="12.75" customHeight="1">
      <c r="A9" s="26"/>
      <c r="B9" s="26"/>
      <c r="C9" s="26"/>
      <c r="D9" s="32" t="s">
        <v>1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spans="1:28" ht="12.75" customHeight="1">
      <c r="A10" s="26"/>
      <c r="B10" s="26"/>
      <c r="C10" s="26"/>
      <c r="D10" s="26"/>
      <c r="E10" s="26"/>
      <c r="F10" s="191" t="s">
        <v>31</v>
      </c>
      <c r="G10" s="192"/>
      <c r="H10" s="192"/>
      <c r="I10" s="22" t="s">
        <v>53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 spans="1:28" ht="12.75" customHeight="1">
      <c r="A11" s="26"/>
      <c r="B11" s="26"/>
      <c r="C11" s="26"/>
      <c r="D11" s="26"/>
      <c r="E11" s="26"/>
      <c r="F11" s="191" t="s">
        <v>30</v>
      </c>
      <c r="G11" s="192"/>
      <c r="H11" s="192"/>
      <c r="I11" s="22" t="s">
        <v>54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</row>
    <row r="12" spans="1:28" ht="12.75" customHeight="1">
      <c r="A12" s="26"/>
      <c r="B12" s="26"/>
      <c r="C12" s="26"/>
      <c r="D12" s="26"/>
      <c r="E12" s="26"/>
      <c r="F12" s="191" t="s">
        <v>55</v>
      </c>
      <c r="G12" s="192"/>
      <c r="H12" s="192"/>
      <c r="I12" s="22" t="s">
        <v>64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</row>
    <row r="13" spans="1:28" ht="12.75" customHeight="1">
      <c r="A13" s="26"/>
      <c r="B13" s="26"/>
      <c r="C13" s="26"/>
      <c r="D13" s="26"/>
      <c r="E13" s="26"/>
      <c r="F13" s="193" t="s">
        <v>2</v>
      </c>
      <c r="G13" s="176"/>
      <c r="H13" s="176"/>
      <c r="I13" s="26">
        <v>3</v>
      </c>
      <c r="J13" s="77" t="s">
        <v>46</v>
      </c>
      <c r="K13" s="32" t="s">
        <v>4</v>
      </c>
      <c r="L13" s="26">
        <v>24</v>
      </c>
      <c r="M13" s="77" t="s">
        <v>47</v>
      </c>
      <c r="N13" s="32" t="s">
        <v>4</v>
      </c>
      <c r="O13" s="26">
        <v>12</v>
      </c>
      <c r="P13" s="77" t="s">
        <v>51</v>
      </c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</row>
    <row r="14" spans="1:28" ht="12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 spans="1:28" ht="12.75" customHeight="1">
      <c r="A15" s="26"/>
      <c r="B15" s="26"/>
      <c r="C15" s="26"/>
      <c r="D15" s="26"/>
      <c r="E15" s="32">
        <f>G3</f>
        <v>0</v>
      </c>
      <c r="F15" s="77" t="s">
        <v>56</v>
      </c>
      <c r="G15" s="32">
        <f>H3</f>
        <v>4</v>
      </c>
      <c r="H15" s="77" t="s">
        <v>57</v>
      </c>
      <c r="I15" s="32">
        <f>I3</f>
        <v>4</v>
      </c>
      <c r="J15" s="77" t="s">
        <v>58</v>
      </c>
      <c r="K15" s="77" t="s">
        <v>59</v>
      </c>
      <c r="L15" s="32">
        <f>J3</f>
        <v>5</v>
      </c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spans="1:28" ht="12.75" customHeight="1">
      <c r="A16" s="26"/>
      <c r="B16" s="26"/>
      <c r="C16" s="26"/>
      <c r="D16" s="26"/>
      <c r="E16" s="32">
        <f>G4</f>
        <v>1</v>
      </c>
      <c r="F16" s="77" t="s">
        <v>56</v>
      </c>
      <c r="G16" s="32">
        <f>H4</f>
        <v>6</v>
      </c>
      <c r="H16" s="77" t="s">
        <v>57</v>
      </c>
      <c r="I16" s="32">
        <f>I4</f>
        <v>-3</v>
      </c>
      <c r="J16" s="77" t="s">
        <v>58</v>
      </c>
      <c r="K16" s="77" t="s">
        <v>59</v>
      </c>
      <c r="L16" s="32">
        <f>J4</f>
        <v>2</v>
      </c>
      <c r="M16" s="26"/>
      <c r="N16" s="26"/>
      <c r="O16" s="26"/>
      <c r="P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</row>
    <row r="17" spans="1:28" ht="12.75" customHeight="1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</row>
    <row r="18" spans="1:28" ht="12.75" customHeight="1">
      <c r="A18" s="26"/>
      <c r="B18" s="26"/>
      <c r="C18" s="26"/>
      <c r="D18" s="26"/>
      <c r="E18" s="27"/>
      <c r="F18" s="27"/>
      <c r="G18" s="27"/>
      <c r="H18" s="27"/>
      <c r="I18" s="27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</row>
    <row r="19" spans="1:28" ht="12.75" customHeight="1">
      <c r="A19" s="26"/>
      <c r="B19" s="26"/>
      <c r="C19" s="26"/>
      <c r="D19" s="4"/>
      <c r="E19" s="194" t="s">
        <v>9</v>
      </c>
      <c r="F19" s="185"/>
      <c r="G19" s="185"/>
      <c r="H19" s="185"/>
      <c r="I19" s="185"/>
      <c r="J19" s="28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</row>
    <row r="20" spans="1:28" ht="12.75" customHeight="1">
      <c r="A20" s="26"/>
      <c r="B20" s="26"/>
      <c r="C20" s="26"/>
      <c r="D20" s="26"/>
      <c r="E20" s="9"/>
      <c r="F20" s="9"/>
      <c r="G20" s="9"/>
      <c r="H20" s="9"/>
      <c r="I20" s="9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spans="1:28" ht="12.75" customHeight="1">
      <c r="A21" s="26"/>
      <c r="B21" s="33" t="s">
        <v>38</v>
      </c>
      <c r="C21" s="33">
        <f>I13</f>
        <v>3</v>
      </c>
      <c r="D21" s="33" t="str">
        <f>F15</f>
        <v>* w1 +</v>
      </c>
      <c r="E21" s="33">
        <f>L13</f>
        <v>24</v>
      </c>
      <c r="F21" s="26" t="str">
        <f>+H15</f>
        <v>* w2 +</v>
      </c>
      <c r="G21" s="26">
        <f>O13</f>
        <v>12</v>
      </c>
      <c r="H21" s="26" t="str">
        <f>+J15&amp;" -"</f>
        <v>* w3 -</v>
      </c>
      <c r="I21" s="26">
        <v>0</v>
      </c>
      <c r="J21" s="19" t="s">
        <v>61</v>
      </c>
      <c r="K21" s="26">
        <v>0</v>
      </c>
      <c r="L21" s="20" t="s">
        <v>62</v>
      </c>
      <c r="M21" s="78" t="s">
        <v>63</v>
      </c>
      <c r="N21" s="20" t="s">
        <v>65</v>
      </c>
      <c r="O21" s="78" t="s">
        <v>63</v>
      </c>
      <c r="P21" s="20" t="s">
        <v>66</v>
      </c>
      <c r="U21" s="26"/>
      <c r="V21" s="26"/>
      <c r="W21" s="26"/>
      <c r="X21" s="26"/>
      <c r="Y21" s="26"/>
      <c r="Z21" s="26"/>
      <c r="AA21" s="26"/>
      <c r="AB21" s="26"/>
    </row>
    <row r="22" spans="1:28" ht="12.75" customHeight="1">
      <c r="A22" s="26"/>
      <c r="B22" s="26"/>
      <c r="C22" s="26"/>
      <c r="D22" s="26"/>
      <c r="E22" s="33"/>
      <c r="F22" s="33"/>
      <c r="G22" s="33"/>
      <c r="H22" s="33"/>
      <c r="I22" s="33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</row>
    <row r="23" spans="1:28" ht="12.75" customHeight="1">
      <c r="A23" s="26"/>
      <c r="B23" s="32">
        <f>E15</f>
        <v>0</v>
      </c>
      <c r="C23" s="32" t="str">
        <f t="shared" ref="C23:F24" si="0">+F15</f>
        <v>* w1 +</v>
      </c>
      <c r="D23" s="32">
        <f t="shared" si="0"/>
        <v>4</v>
      </c>
      <c r="E23" s="32" t="str">
        <f t="shared" si="0"/>
        <v>* w2 +</v>
      </c>
      <c r="F23" s="32">
        <f t="shared" si="0"/>
        <v>4</v>
      </c>
      <c r="G23" s="32" t="str">
        <f>+J15&amp;" +"</f>
        <v>* w3 +</v>
      </c>
      <c r="H23" s="32">
        <v>-1</v>
      </c>
      <c r="I23" s="19" t="s">
        <v>60</v>
      </c>
      <c r="J23" s="26">
        <v>0</v>
      </c>
      <c r="K23" s="20" t="s">
        <v>62</v>
      </c>
      <c r="L23" s="26">
        <v>1</v>
      </c>
      <c r="M23" s="78" t="s">
        <v>67</v>
      </c>
      <c r="N23" s="26">
        <v>0</v>
      </c>
      <c r="O23" s="78" t="s">
        <v>69</v>
      </c>
      <c r="P23" s="26">
        <v>5</v>
      </c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spans="1:28" ht="12.75" customHeight="1">
      <c r="A24" s="26"/>
      <c r="B24" s="32">
        <f>+E16</f>
        <v>1</v>
      </c>
      <c r="C24" s="32" t="str">
        <f t="shared" si="0"/>
        <v>* w1 +</v>
      </c>
      <c r="D24" s="32">
        <f t="shared" si="0"/>
        <v>6</v>
      </c>
      <c r="E24" s="32" t="str">
        <f t="shared" si="0"/>
        <v>* w2 +</v>
      </c>
      <c r="F24" s="32">
        <f t="shared" si="0"/>
        <v>-3</v>
      </c>
      <c r="G24" s="32" t="str">
        <f>+J16&amp;" +"</f>
        <v>* w3 +</v>
      </c>
      <c r="H24" s="32">
        <v>0</v>
      </c>
      <c r="I24" s="19" t="s">
        <v>60</v>
      </c>
      <c r="J24" s="26">
        <v>-1</v>
      </c>
      <c r="K24" s="20" t="s">
        <v>62</v>
      </c>
      <c r="L24" s="26">
        <v>0</v>
      </c>
      <c r="M24" s="78" t="s">
        <v>67</v>
      </c>
      <c r="N24" s="26">
        <v>1</v>
      </c>
      <c r="O24" s="78" t="s">
        <v>69</v>
      </c>
      <c r="P24" s="26">
        <v>2</v>
      </c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</row>
    <row r="25" spans="1:28" ht="12.75" customHeight="1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</row>
    <row r="26" spans="1:28" ht="12.75" customHeight="1">
      <c r="A26" s="14"/>
      <c r="B26" s="185" t="s">
        <v>10</v>
      </c>
      <c r="C26" s="189"/>
      <c r="D26" s="186"/>
      <c r="E26" s="185"/>
      <c r="F26" s="189"/>
      <c r="G26" s="189"/>
      <c r="H26" s="189"/>
      <c r="I26" s="186"/>
      <c r="J26" s="190"/>
      <c r="K26" s="189"/>
      <c r="L26" s="186"/>
      <c r="M26" s="28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spans="1:28" ht="12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</row>
    <row r="28" spans="1:28" ht="12.75" customHeight="1">
      <c r="A28" s="26"/>
      <c r="B28" s="175" t="s">
        <v>71</v>
      </c>
      <c r="C28" s="176"/>
      <c r="D28" s="176"/>
      <c r="E28" s="26"/>
      <c r="F28" s="61" t="s">
        <v>46</v>
      </c>
      <c r="G28" s="49" t="s">
        <v>47</v>
      </c>
      <c r="H28" s="79" t="s">
        <v>51</v>
      </c>
      <c r="I28" s="79" t="s">
        <v>72</v>
      </c>
      <c r="J28" s="79" t="s">
        <v>73</v>
      </c>
      <c r="K28" s="78" t="s">
        <v>74</v>
      </c>
      <c r="L28" s="78" t="s">
        <v>68</v>
      </c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</row>
    <row r="29" spans="1:28" ht="12.75" customHeight="1">
      <c r="A29" s="26"/>
      <c r="B29" s="176"/>
      <c r="C29" s="176"/>
      <c r="D29" s="176"/>
      <c r="E29" s="33"/>
      <c r="F29" s="84">
        <f>$C$21</f>
        <v>3</v>
      </c>
      <c r="G29" s="86">
        <f>$E$21</f>
        <v>24</v>
      </c>
      <c r="H29" s="85">
        <f>$G$21</f>
        <v>12</v>
      </c>
      <c r="I29" s="62">
        <f>$I$21</f>
        <v>0</v>
      </c>
      <c r="J29" s="62">
        <f>$K$21</f>
        <v>0</v>
      </c>
      <c r="K29" s="62" t="str">
        <f>$M$21</f>
        <v>M</v>
      </c>
      <c r="L29" s="62" t="str">
        <f>$O$21</f>
        <v>M</v>
      </c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12.75" customHeight="1">
      <c r="A30" s="26"/>
      <c r="B30" s="27" t="s">
        <v>15</v>
      </c>
      <c r="C30" s="27" t="s">
        <v>16</v>
      </c>
      <c r="D30" s="27" t="s">
        <v>17</v>
      </c>
      <c r="E30" s="26"/>
      <c r="F30" s="33"/>
      <c r="G30" s="39"/>
      <c r="H30" s="9"/>
      <c r="I30" s="9"/>
      <c r="J30" s="9"/>
      <c r="M30" s="26"/>
      <c r="N30" s="27" t="s">
        <v>18</v>
      </c>
      <c r="O30" s="26"/>
      <c r="P30" s="26"/>
      <c r="W30" s="26"/>
      <c r="X30" s="26"/>
      <c r="Y30" s="26"/>
      <c r="Z30" s="26"/>
      <c r="AA30" s="26"/>
      <c r="AB30" s="26"/>
    </row>
    <row r="31" spans="1:28" ht="12.75" customHeight="1">
      <c r="A31" s="14"/>
      <c r="B31" s="81" t="s">
        <v>63</v>
      </c>
      <c r="C31" s="81" t="s">
        <v>74</v>
      </c>
      <c r="D31" s="11">
        <f>L15</f>
        <v>5</v>
      </c>
      <c r="E31" s="28"/>
      <c r="F31" s="56">
        <f>B23</f>
        <v>0</v>
      </c>
      <c r="G31" s="39">
        <f>D23</f>
        <v>4</v>
      </c>
      <c r="H31" s="40">
        <f>F23</f>
        <v>4</v>
      </c>
      <c r="I31" s="11">
        <f>H23</f>
        <v>-1</v>
      </c>
      <c r="J31" s="11">
        <f>J23</f>
        <v>0</v>
      </c>
      <c r="K31" s="11">
        <f>L23</f>
        <v>1</v>
      </c>
      <c r="L31" s="11">
        <f>N23</f>
        <v>0</v>
      </c>
      <c r="M31" s="14"/>
      <c r="N31" s="11">
        <f>D31/G31</f>
        <v>1.25</v>
      </c>
      <c r="O31" s="28"/>
      <c r="P31" s="26"/>
      <c r="W31" s="26"/>
      <c r="X31" s="26"/>
      <c r="Y31" s="26"/>
      <c r="Z31" s="26"/>
      <c r="AA31" s="26"/>
      <c r="AB31" s="26"/>
    </row>
    <row r="32" spans="1:28" ht="12.75" customHeight="1">
      <c r="A32" s="33"/>
      <c r="B32" s="82" t="s">
        <v>63</v>
      </c>
      <c r="C32" s="48" t="s">
        <v>68</v>
      </c>
      <c r="D32" s="44">
        <f>L16</f>
        <v>2</v>
      </c>
      <c r="E32" s="45"/>
      <c r="F32" s="45">
        <f>B24</f>
        <v>1</v>
      </c>
      <c r="G32" s="50">
        <f>D24</f>
        <v>6</v>
      </c>
      <c r="H32" s="46">
        <f>F24</f>
        <v>-3</v>
      </c>
      <c r="I32" s="44">
        <f>H24</f>
        <v>0</v>
      </c>
      <c r="J32" s="44">
        <f>J24</f>
        <v>-1</v>
      </c>
      <c r="K32" s="44">
        <f>L24</f>
        <v>0</v>
      </c>
      <c r="L32" s="44">
        <f>N24</f>
        <v>1</v>
      </c>
      <c r="M32" s="46"/>
      <c r="N32" s="83">
        <f>D32/G32</f>
        <v>0.33333333333333331</v>
      </c>
      <c r="O32" s="33"/>
      <c r="P32" s="26"/>
      <c r="W32" s="26"/>
      <c r="X32" s="26"/>
      <c r="Y32" s="26"/>
      <c r="Z32" s="26"/>
      <c r="AA32" s="26"/>
      <c r="AB32" s="26"/>
    </row>
    <row r="33" spans="1:29" ht="12.75" customHeight="1">
      <c r="A33" s="26"/>
      <c r="B33" s="27"/>
      <c r="C33" s="27"/>
      <c r="D33" s="27"/>
      <c r="E33" s="26"/>
      <c r="F33" s="33"/>
      <c r="G33" s="42"/>
      <c r="H33" s="27"/>
      <c r="I33" s="27"/>
      <c r="J33" s="27"/>
      <c r="M33" s="26"/>
      <c r="N33" s="33"/>
      <c r="O33" s="26"/>
      <c r="P33" s="26"/>
      <c r="W33" s="26"/>
      <c r="X33" s="26"/>
      <c r="Y33" s="26"/>
      <c r="Z33" s="26"/>
      <c r="AA33" s="26"/>
      <c r="AB33" s="26"/>
    </row>
    <row r="34" spans="1:29" ht="12.75" customHeight="1">
      <c r="A34" s="14"/>
      <c r="B34" s="30" t="s">
        <v>19</v>
      </c>
      <c r="C34" s="199" t="s">
        <v>75</v>
      </c>
      <c r="D34" s="186"/>
      <c r="E34" s="28"/>
      <c r="F34" s="68" t="s">
        <v>76</v>
      </c>
      <c r="G34" s="38" t="s">
        <v>77</v>
      </c>
      <c r="H34" s="36" t="s">
        <v>78</v>
      </c>
      <c r="I34" s="80" t="s">
        <v>79</v>
      </c>
      <c r="J34" s="80" t="s">
        <v>79</v>
      </c>
      <c r="K34" s="31">
        <v>0</v>
      </c>
      <c r="L34" s="31">
        <v>0</v>
      </c>
      <c r="M34" s="200" t="s">
        <v>70</v>
      </c>
      <c r="N34" s="174"/>
      <c r="O34" s="174"/>
      <c r="P34" s="174"/>
      <c r="W34" s="26"/>
      <c r="X34" s="26"/>
      <c r="Y34" s="26"/>
      <c r="Z34" s="26"/>
      <c r="AA34" s="26"/>
      <c r="AB34" s="26"/>
    </row>
    <row r="35" spans="1:29" ht="12.75" customHeight="1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</row>
    <row r="36" spans="1:29" ht="12.75" customHeight="1">
      <c r="A36" s="14"/>
      <c r="B36" s="184" t="s">
        <v>22</v>
      </c>
      <c r="C36" s="185"/>
      <c r="D36" s="185"/>
      <c r="E36" s="185"/>
      <c r="F36" s="185"/>
      <c r="G36" s="185" t="s">
        <v>22</v>
      </c>
      <c r="H36" s="185"/>
      <c r="I36" s="185"/>
      <c r="J36" s="185"/>
      <c r="K36" s="185"/>
      <c r="L36" s="185"/>
      <c r="M36" s="28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9" ht="12.75" customHeight="1">
      <c r="A37" s="26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spans="1:29" ht="12.75" customHeight="1">
      <c r="A38" s="26"/>
      <c r="B38" s="195"/>
      <c r="C38" s="195"/>
      <c r="D38" s="195"/>
      <c r="E38" s="87"/>
      <c r="F38" s="61" t="s">
        <v>46</v>
      </c>
      <c r="G38" s="61" t="s">
        <v>47</v>
      </c>
      <c r="H38" s="49" t="s">
        <v>51</v>
      </c>
      <c r="I38" s="88" t="s">
        <v>72</v>
      </c>
      <c r="J38" s="88" t="s">
        <v>73</v>
      </c>
      <c r="K38" s="87" t="s">
        <v>74</v>
      </c>
      <c r="L38" s="87" t="s">
        <v>68</v>
      </c>
      <c r="M38" s="87"/>
      <c r="N38" s="87"/>
      <c r="O38" s="87"/>
      <c r="P38" s="87"/>
      <c r="X38" s="26"/>
      <c r="Y38" s="26"/>
      <c r="Z38" s="26"/>
      <c r="AA38" s="26"/>
      <c r="AB38" s="26"/>
    </row>
    <row r="39" spans="1:29" ht="12.75" customHeight="1">
      <c r="A39" s="26"/>
      <c r="B39" s="195"/>
      <c r="C39" s="195"/>
      <c r="D39" s="195"/>
      <c r="E39" s="61"/>
      <c r="F39" s="84">
        <f>$C$21</f>
        <v>3</v>
      </c>
      <c r="G39" s="84">
        <f>$E$21</f>
        <v>24</v>
      </c>
      <c r="H39" s="86">
        <f>$G$21</f>
        <v>12</v>
      </c>
      <c r="I39" s="85">
        <f>$I$21</f>
        <v>0</v>
      </c>
      <c r="J39" s="62">
        <f>$K$21</f>
        <v>0</v>
      </c>
      <c r="K39" s="62" t="str">
        <f>$M$21</f>
        <v>M</v>
      </c>
      <c r="L39" s="62" t="str">
        <f>$O$21</f>
        <v>M</v>
      </c>
      <c r="M39" s="87"/>
      <c r="N39" s="87"/>
      <c r="O39" s="87"/>
      <c r="P39" s="87"/>
      <c r="X39" s="26"/>
      <c r="Y39" s="26"/>
      <c r="Z39" s="26"/>
      <c r="AA39" s="26"/>
      <c r="AB39" s="26"/>
    </row>
    <row r="40" spans="1:29" ht="12.75" customHeight="1">
      <c r="A40" s="26"/>
      <c r="B40" s="61" t="s">
        <v>15</v>
      </c>
      <c r="C40" s="61" t="s">
        <v>16</v>
      </c>
      <c r="D40" s="61" t="s">
        <v>17</v>
      </c>
      <c r="E40" s="87"/>
      <c r="F40" s="61"/>
      <c r="G40" s="61"/>
      <c r="H40" s="114"/>
      <c r="I40" s="89"/>
      <c r="J40" s="89"/>
      <c r="K40" s="90"/>
      <c r="L40" s="90"/>
      <c r="M40" s="87"/>
      <c r="N40" s="61" t="s">
        <v>18</v>
      </c>
      <c r="O40" s="87"/>
      <c r="P40" s="87"/>
      <c r="X40" s="26"/>
      <c r="Y40" s="26"/>
      <c r="Z40" s="26"/>
      <c r="AA40" s="26"/>
      <c r="AB40" s="26"/>
    </row>
    <row r="41" spans="1:29" ht="12.75" customHeight="1">
      <c r="A41" s="33"/>
      <c r="B41" s="103" t="s">
        <v>63</v>
      </c>
      <c r="C41" s="48" t="s">
        <v>74</v>
      </c>
      <c r="D41" s="104">
        <f>D31-((D32*$G$31)/$G$32)</f>
        <v>3.666666666666667</v>
      </c>
      <c r="E41" s="105"/>
      <c r="F41" s="104">
        <f>F31-((F32*$G$31)/$G$32)</f>
        <v>-0.66666666666666663</v>
      </c>
      <c r="G41" s="109">
        <v>0</v>
      </c>
      <c r="H41" s="118">
        <f>H31-((H32*$G$31)/$G$32)</f>
        <v>6</v>
      </c>
      <c r="I41" s="111">
        <f>I31-((I32*$G$31)/$G$32)</f>
        <v>-1</v>
      </c>
      <c r="J41" s="104">
        <f>J31-((J32*$G$31)/$G$32)</f>
        <v>0.66666666666666663</v>
      </c>
      <c r="K41" s="106">
        <v>1</v>
      </c>
      <c r="L41" s="104">
        <f>L31-((L32*$G$31)/$G$32)</f>
        <v>-0.66666666666666663</v>
      </c>
      <c r="M41" s="107"/>
      <c r="N41" s="108">
        <f>D41/H41</f>
        <v>0.61111111111111116</v>
      </c>
      <c r="O41" s="61"/>
      <c r="P41" s="87"/>
      <c r="X41" s="26"/>
      <c r="Y41" s="26"/>
      <c r="Z41" s="26"/>
      <c r="AA41" s="26"/>
      <c r="AB41" s="26"/>
    </row>
    <row r="42" spans="1:29" ht="12.75" customHeight="1">
      <c r="A42" s="33"/>
      <c r="B42" s="99">
        <v>24</v>
      </c>
      <c r="C42" s="99" t="s">
        <v>47</v>
      </c>
      <c r="D42" s="100">
        <f>D32/$G$32</f>
        <v>0.33333333333333331</v>
      </c>
      <c r="E42" s="96"/>
      <c r="F42" s="100">
        <f t="shared" ref="F42:L42" si="1">F32/$G$32</f>
        <v>0.16666666666666666</v>
      </c>
      <c r="G42" s="110">
        <f t="shared" si="1"/>
        <v>1</v>
      </c>
      <c r="H42" s="115">
        <f t="shared" si="1"/>
        <v>-0.5</v>
      </c>
      <c r="I42" s="112">
        <f t="shared" si="1"/>
        <v>0</v>
      </c>
      <c r="J42" s="100">
        <f t="shared" si="1"/>
        <v>-0.16666666666666666</v>
      </c>
      <c r="K42" s="101">
        <f t="shared" si="1"/>
        <v>0</v>
      </c>
      <c r="L42" s="100">
        <f t="shared" si="1"/>
        <v>0.16666666666666666</v>
      </c>
      <c r="M42" s="61"/>
      <c r="N42" s="102">
        <f>D42/H42</f>
        <v>-0.66666666666666663</v>
      </c>
      <c r="O42" s="61"/>
      <c r="P42" s="87"/>
      <c r="Q42" s="26"/>
      <c r="X42" s="26"/>
      <c r="Y42" s="26"/>
      <c r="Z42" s="26"/>
      <c r="AA42" s="26"/>
      <c r="AB42" s="26"/>
    </row>
    <row r="43" spans="1:29" ht="12.75" customHeight="1">
      <c r="A43" s="33"/>
      <c r="B43" s="88"/>
      <c r="C43" s="88"/>
      <c r="D43" s="88"/>
      <c r="E43" s="87"/>
      <c r="F43" s="61"/>
      <c r="G43" s="61"/>
      <c r="H43" s="116"/>
      <c r="I43" s="88"/>
      <c r="J43" s="88"/>
      <c r="K43" s="90"/>
      <c r="L43" s="90"/>
      <c r="M43" s="87"/>
      <c r="N43" s="61"/>
      <c r="O43" s="87"/>
      <c r="P43" s="87"/>
      <c r="X43" s="26"/>
      <c r="Y43" s="26"/>
      <c r="Z43" s="26"/>
      <c r="AA43" s="26"/>
      <c r="AB43" s="26"/>
    </row>
    <row r="44" spans="1:29" ht="12.75" customHeight="1">
      <c r="A44" s="26"/>
      <c r="B44" s="92" t="s">
        <v>19</v>
      </c>
      <c r="C44" s="196" t="s">
        <v>81</v>
      </c>
      <c r="D44" s="196"/>
      <c r="E44" s="91"/>
      <c r="F44" s="98" t="s">
        <v>82</v>
      </c>
      <c r="G44" s="93">
        <v>0</v>
      </c>
      <c r="H44" s="117" t="s">
        <v>83</v>
      </c>
      <c r="I44" s="113" t="s">
        <v>79</v>
      </c>
      <c r="J44" s="98" t="s">
        <v>84</v>
      </c>
      <c r="K44" s="62">
        <v>0</v>
      </c>
      <c r="L44" s="98" t="s">
        <v>85</v>
      </c>
      <c r="M44" s="197"/>
      <c r="N44" s="198"/>
      <c r="O44" s="198"/>
      <c r="P44" s="198"/>
      <c r="X44" s="26"/>
      <c r="Y44" s="26"/>
      <c r="Z44" s="26"/>
      <c r="AA44" s="26"/>
      <c r="AB44" s="26"/>
    </row>
    <row r="45" spans="1:29" ht="12.75" customHeight="1">
      <c r="A45" s="26"/>
      <c r="B45" s="9"/>
      <c r="C45" s="9"/>
      <c r="D45" s="9"/>
      <c r="E45" s="26"/>
      <c r="F45" s="9"/>
      <c r="G45" s="33"/>
      <c r="H45" s="33"/>
      <c r="I45" s="9"/>
      <c r="J45" s="9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</row>
    <row r="46" spans="1:29" ht="12.75" customHeight="1">
      <c r="A46" s="14"/>
      <c r="B46" s="178" t="s">
        <v>80</v>
      </c>
      <c r="C46" s="179"/>
      <c r="D46" s="179"/>
      <c r="E46" s="179"/>
      <c r="F46" s="179"/>
      <c r="G46" s="179"/>
      <c r="H46" s="179"/>
      <c r="I46" s="179"/>
      <c r="J46" s="179"/>
      <c r="K46" s="179"/>
      <c r="L46" s="180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spans="1:29" ht="12.75" customHeight="1">
      <c r="A47" s="26"/>
      <c r="B47" s="33"/>
      <c r="C47" s="33"/>
      <c r="D47" s="33"/>
      <c r="E47" s="33"/>
      <c r="F47" s="33"/>
      <c r="G47" s="33"/>
      <c r="H47" s="33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</row>
    <row r="48" spans="1:29" ht="12.75" customHeight="1">
      <c r="A48" s="26"/>
      <c r="B48" s="33"/>
      <c r="C48" s="26"/>
      <c r="D48" s="26"/>
      <c r="E48" s="26"/>
      <c r="F48" s="61" t="s">
        <v>46</v>
      </c>
      <c r="G48" s="61" t="s">
        <v>47</v>
      </c>
      <c r="H48" s="61" t="s">
        <v>51</v>
      </c>
      <c r="I48" s="61" t="s">
        <v>72</v>
      </c>
      <c r="J48" s="88" t="s">
        <v>73</v>
      </c>
      <c r="K48" s="87" t="s">
        <v>74</v>
      </c>
      <c r="L48" s="87" t="s">
        <v>68</v>
      </c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</row>
    <row r="49" spans="1:28" ht="12.75" customHeight="1">
      <c r="A49" s="26"/>
      <c r="B49" s="181" t="s">
        <v>45</v>
      </c>
      <c r="C49" s="182"/>
      <c r="D49" s="182"/>
      <c r="E49" s="14"/>
      <c r="F49" s="62">
        <f>$C$21</f>
        <v>3</v>
      </c>
      <c r="G49" s="62">
        <f>$E$21</f>
        <v>24</v>
      </c>
      <c r="H49" s="62">
        <f>$G$21</f>
        <v>12</v>
      </c>
      <c r="I49" s="62">
        <f>$I$21</f>
        <v>0</v>
      </c>
      <c r="J49" s="62">
        <f>$K$21</f>
        <v>0</v>
      </c>
      <c r="K49" s="62" t="str">
        <f>$M$21</f>
        <v>M</v>
      </c>
      <c r="L49" s="62" t="str">
        <f>$O$21</f>
        <v>M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spans="1:28" ht="12.75" customHeight="1">
      <c r="A50" s="26"/>
      <c r="B50" s="27"/>
      <c r="C50" s="27"/>
      <c r="D50" s="70"/>
      <c r="E50" s="26"/>
      <c r="F50" s="61"/>
      <c r="G50" s="61"/>
      <c r="H50" s="61"/>
      <c r="I50" s="61"/>
      <c r="J50" s="89"/>
      <c r="K50" s="90"/>
      <c r="L50" s="90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</row>
    <row r="51" spans="1:28" ht="12.75" customHeight="1">
      <c r="A51" s="7"/>
      <c r="B51" s="11">
        <v>12</v>
      </c>
      <c r="C51" s="119" t="s">
        <v>51</v>
      </c>
      <c r="D51" s="73">
        <f>D41/$H$41</f>
        <v>0.61111111111111116</v>
      </c>
      <c r="E51" s="28"/>
      <c r="F51" s="94">
        <f t="shared" ref="F51:L51" si="2">F41/$H$41</f>
        <v>-0.1111111111111111</v>
      </c>
      <c r="G51" s="97">
        <f t="shared" si="2"/>
        <v>0</v>
      </c>
      <c r="H51" s="97">
        <f t="shared" si="2"/>
        <v>1</v>
      </c>
      <c r="I51" s="94">
        <f t="shared" si="2"/>
        <v>-0.16666666666666666</v>
      </c>
      <c r="J51" s="94">
        <f t="shared" si="2"/>
        <v>0.1111111111111111</v>
      </c>
      <c r="K51" s="94">
        <f t="shared" si="2"/>
        <v>0.16666666666666666</v>
      </c>
      <c r="L51" s="94">
        <f t="shared" si="2"/>
        <v>-0.1111111111111111</v>
      </c>
      <c r="M51" s="60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</row>
    <row r="52" spans="1:28" ht="12.75" customHeight="1">
      <c r="A52" s="33"/>
      <c r="B52" s="31">
        <v>24</v>
      </c>
      <c r="C52" s="74" t="s">
        <v>47</v>
      </c>
      <c r="D52" s="75">
        <f>D42-((D41*$H$42)/$H$41)</f>
        <v>0.63888888888888884</v>
      </c>
      <c r="E52" s="33"/>
      <c r="F52" s="71">
        <f>F42-((F41*$H$42)/$H$41)</f>
        <v>0.1111111111111111</v>
      </c>
      <c r="G52" s="97">
        <v>1</v>
      </c>
      <c r="H52" s="97">
        <v>0</v>
      </c>
      <c r="I52" s="71">
        <f>I42-((I41*$H$42)/$H$41)</f>
        <v>-8.3333333333333329E-2</v>
      </c>
      <c r="J52" s="71">
        <f>J42-((J41*$H$42)/$H$41)</f>
        <v>-0.1111111111111111</v>
      </c>
      <c r="K52" s="71">
        <f>K42-((K41*$H$42)/$H$41)</f>
        <v>8.3333333333333329E-2</v>
      </c>
      <c r="L52" s="71">
        <f>L42-((L41*$H$42)/$H$41)</f>
        <v>0.1111111111111111</v>
      </c>
      <c r="M52" s="60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spans="1:28" ht="12.75" customHeight="1">
      <c r="A53" s="26"/>
      <c r="B53" s="25"/>
      <c r="C53" s="25"/>
      <c r="D53" s="25"/>
      <c r="E53" s="26"/>
      <c r="F53" s="61"/>
      <c r="G53" s="61"/>
      <c r="H53" s="61"/>
      <c r="I53" s="88"/>
      <c r="J53" s="88"/>
      <c r="K53" s="90"/>
      <c r="L53" s="90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</row>
    <row r="54" spans="1:28" ht="12.75" customHeight="1">
      <c r="A54" s="14"/>
      <c r="B54" s="30" t="s">
        <v>19</v>
      </c>
      <c r="C54" s="183">
        <f>((B51*D51)+(B52*D52))</f>
        <v>22.666666666666664</v>
      </c>
      <c r="D54" s="183"/>
      <c r="E54" s="2"/>
      <c r="F54" s="120">
        <f>(F51*$B$51)+(F52*$B$52)-F49</f>
        <v>-1.6666666666666667</v>
      </c>
      <c r="G54" s="123">
        <f>(G51*$B$51)+(G52*$B$52)-G49</f>
        <v>0</v>
      </c>
      <c r="H54" s="123">
        <f>(H51*$B$51)+(H52*$B$52)-H49</f>
        <v>0</v>
      </c>
      <c r="I54" s="123">
        <f>(I51*$B$51)+(I52*$B$52)-I49</f>
        <v>-4</v>
      </c>
      <c r="J54" s="120">
        <f>(J51*$B$51)+(J52*$B$52)-J49</f>
        <v>-1.3333333333333333</v>
      </c>
      <c r="K54" s="121" t="s">
        <v>86</v>
      </c>
      <c r="L54" s="122" t="s">
        <v>87</v>
      </c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</row>
    <row r="55" spans="1:28" ht="12.75" customHeight="1">
      <c r="A55" s="26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spans="1:28" ht="12.75" customHeight="1">
      <c r="A56" s="26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12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</row>
    <row r="58" spans="1:28" ht="12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spans="1:28" ht="12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</row>
    <row r="60" spans="1:28" ht="12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</row>
    <row r="61" spans="1:28" ht="12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spans="1:28" ht="12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</row>
    <row r="63" spans="1:28" ht="12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</row>
    <row r="64" spans="1:28" ht="12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spans="1:28" ht="12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</row>
    <row r="66" spans="1:28" ht="12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</row>
    <row r="67" spans="1:28" ht="12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spans="1:28" ht="12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</row>
    <row r="69" spans="1:28" ht="12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</row>
    <row r="70" spans="1:28" ht="12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spans="1:28" ht="12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</row>
    <row r="72" spans="1:28" ht="12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</row>
    <row r="73" spans="1:28" ht="12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</row>
    <row r="74" spans="1:28" ht="12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</row>
    <row r="75" spans="1:28" ht="12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</row>
    <row r="76" spans="1:28" ht="12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</row>
    <row r="77" spans="1:28" ht="12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</row>
    <row r="78" spans="1:28" ht="12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</row>
    <row r="79" spans="1:28" ht="12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</row>
    <row r="80" spans="1:28" ht="12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</row>
    <row r="81" spans="1:28" ht="12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</row>
    <row r="82" spans="1:28" ht="12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</row>
  </sheetData>
  <mergeCells count="17">
    <mergeCell ref="M44:P44"/>
    <mergeCell ref="B28:D29"/>
    <mergeCell ref="C34:D34"/>
    <mergeCell ref="M34:P34"/>
    <mergeCell ref="A7:P7"/>
    <mergeCell ref="F10:H10"/>
    <mergeCell ref="F11:H11"/>
    <mergeCell ref="F13:H13"/>
    <mergeCell ref="E19:I19"/>
    <mergeCell ref="B26:L26"/>
    <mergeCell ref="B46:L46"/>
    <mergeCell ref="B49:D49"/>
    <mergeCell ref="C54:D54"/>
    <mergeCell ref="F12:H12"/>
    <mergeCell ref="B38:D39"/>
    <mergeCell ref="C44:D44"/>
    <mergeCell ref="B36:L36"/>
  </mergeCells>
  <pageMargins left="0.70866141732283472" right="0.70866141732283472" top="0.74803149606299213" bottom="0.74803149606299213" header="0.31496062992125984" footer="0.31496062992125984"/>
  <pageSetup paperSize="9" orientation="landscape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O89"/>
  <sheetViews>
    <sheetView showGridLines="0" tabSelected="1" topLeftCell="A71" workbookViewId="0"/>
  </sheetViews>
  <sheetFormatPr baseColWidth="10" defaultRowHeight="12.75"/>
  <cols>
    <col min="1" max="1" width="11.42578125" style="26"/>
    <col min="2" max="2" width="3.7109375" style="26" bestFit="1" customWidth="1"/>
    <col min="3" max="3" width="5.5703125" style="26" bestFit="1" customWidth="1"/>
    <col min="4" max="4" width="4.5703125" style="26" customWidth="1"/>
    <col min="5" max="5" width="3" style="26" bestFit="1" customWidth="1"/>
    <col min="6" max="6" width="5.140625" style="26" bestFit="1" customWidth="1"/>
    <col min="7" max="8" width="3.28515625" style="26" bestFit="1" customWidth="1"/>
    <col min="9" max="10" width="5.140625" style="26" bestFit="1" customWidth="1"/>
    <col min="11" max="11" width="4.5703125" style="26" bestFit="1" customWidth="1"/>
    <col min="12" max="12" width="6.85546875" style="26" bestFit="1" customWidth="1"/>
  </cols>
  <sheetData>
    <row r="2" spans="1:12">
      <c r="F2" s="31" t="s">
        <v>3</v>
      </c>
      <c r="G2" s="31" t="s">
        <v>5</v>
      </c>
      <c r="H2" s="31" t="s">
        <v>12</v>
      </c>
      <c r="I2" s="31" t="s">
        <v>13</v>
      </c>
      <c r="J2" s="31" t="s">
        <v>14</v>
      </c>
    </row>
    <row r="3" spans="1:12">
      <c r="B3" s="175" t="s">
        <v>90</v>
      </c>
      <c r="C3" s="176"/>
      <c r="D3" s="176"/>
      <c r="F3" s="31">
        <v>5</v>
      </c>
      <c r="G3" s="31">
        <v>2</v>
      </c>
      <c r="H3" s="31">
        <v>0</v>
      </c>
      <c r="I3" s="31">
        <v>0</v>
      </c>
      <c r="J3" s="31">
        <v>0</v>
      </c>
    </row>
    <row r="5" spans="1:12">
      <c r="B5" s="31">
        <v>0</v>
      </c>
      <c r="C5" s="31" t="s">
        <v>12</v>
      </c>
      <c r="D5" s="65">
        <v>1.6666666666666667</v>
      </c>
      <c r="F5" s="31">
        <v>0</v>
      </c>
      <c r="G5" s="31">
        <v>0</v>
      </c>
      <c r="H5" s="31">
        <v>1</v>
      </c>
      <c r="I5" s="65">
        <v>-0.1111111111111111</v>
      </c>
      <c r="J5" s="65">
        <v>0.1111111111111111</v>
      </c>
    </row>
    <row r="6" spans="1:12">
      <c r="B6" s="31">
        <v>2</v>
      </c>
      <c r="C6" s="31" t="s">
        <v>5</v>
      </c>
      <c r="D6" s="65">
        <v>1.3333333333333333</v>
      </c>
      <c r="F6" s="31">
        <v>0</v>
      </c>
      <c r="G6" s="31">
        <v>1</v>
      </c>
      <c r="H6" s="31">
        <v>0</v>
      </c>
      <c r="I6" s="65">
        <v>0.1111111111111111</v>
      </c>
      <c r="J6" s="65">
        <v>-0.1111111111111111</v>
      </c>
    </row>
    <row r="7" spans="1:12">
      <c r="B7" s="31">
        <v>5</v>
      </c>
      <c r="C7" s="31" t="s">
        <v>3</v>
      </c>
      <c r="D7" s="31">
        <v>4</v>
      </c>
      <c r="F7" s="31">
        <v>1</v>
      </c>
      <c r="G7" s="31">
        <v>0</v>
      </c>
      <c r="H7" s="31">
        <v>0</v>
      </c>
      <c r="I7" s="65">
        <v>8.3333333333333329E-2</v>
      </c>
      <c r="J7" s="65">
        <v>0.16666666666666669</v>
      </c>
    </row>
    <row r="8" spans="1:12">
      <c r="I8" s="124"/>
      <c r="J8" s="124"/>
    </row>
    <row r="9" spans="1:12">
      <c r="B9" s="31" t="s">
        <v>19</v>
      </c>
      <c r="C9" s="65">
        <v>22.666666666666668</v>
      </c>
      <c r="F9" s="31">
        <v>0</v>
      </c>
      <c r="G9" s="31">
        <v>0</v>
      </c>
      <c r="H9" s="31">
        <v>0</v>
      </c>
      <c r="I9" s="65">
        <v>0.63888888888888884</v>
      </c>
      <c r="J9" s="65">
        <v>0.61111111111111127</v>
      </c>
    </row>
    <row r="10" spans="1:12" s="29" customFormat="1">
      <c r="A10" s="26"/>
      <c r="B10" s="33"/>
      <c r="C10" s="128"/>
      <c r="D10" s="26"/>
      <c r="E10" s="26"/>
      <c r="F10" s="33"/>
      <c r="G10" s="33"/>
      <c r="H10" s="33"/>
      <c r="I10" s="128"/>
      <c r="J10" s="128"/>
      <c r="K10" s="26"/>
      <c r="L10" s="26"/>
    </row>
    <row r="12" spans="1:12">
      <c r="B12" s="125"/>
      <c r="C12" s="125"/>
      <c r="D12" s="125"/>
      <c r="E12" s="125"/>
      <c r="F12" s="126" t="s">
        <v>46</v>
      </c>
      <c r="G12" s="126" t="s">
        <v>47</v>
      </c>
      <c r="H12" s="126" t="s">
        <v>51</v>
      </c>
      <c r="I12" s="126" t="s">
        <v>72</v>
      </c>
      <c r="J12" s="126" t="s">
        <v>73</v>
      </c>
      <c r="K12" s="126" t="s">
        <v>74</v>
      </c>
      <c r="L12" s="126" t="s">
        <v>68</v>
      </c>
    </row>
    <row r="13" spans="1:12">
      <c r="B13" s="175" t="s">
        <v>91</v>
      </c>
      <c r="C13" s="176"/>
      <c r="D13" s="176"/>
      <c r="E13" s="125"/>
      <c r="F13" s="126">
        <v>3</v>
      </c>
      <c r="G13" s="126">
        <v>24</v>
      </c>
      <c r="H13" s="126">
        <v>12</v>
      </c>
      <c r="I13" s="126">
        <v>0</v>
      </c>
      <c r="J13" s="126">
        <v>0</v>
      </c>
      <c r="K13" s="126" t="s">
        <v>63</v>
      </c>
      <c r="L13" s="126" t="s">
        <v>63</v>
      </c>
    </row>
    <row r="14" spans="1:12"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</row>
    <row r="15" spans="1:12">
      <c r="B15" s="126">
        <v>12</v>
      </c>
      <c r="C15" s="126" t="s">
        <v>51</v>
      </c>
      <c r="D15" s="127">
        <v>0.61111111111111116</v>
      </c>
      <c r="E15" s="125"/>
      <c r="F15" s="127">
        <v>-0.1111111111111111</v>
      </c>
      <c r="G15" s="126">
        <v>0</v>
      </c>
      <c r="H15" s="126">
        <v>1</v>
      </c>
      <c r="I15" s="127">
        <v>-0.16666666666666666</v>
      </c>
      <c r="J15" s="126">
        <v>0.1111111111111111</v>
      </c>
      <c r="K15" s="127">
        <v>0.16666666666666666</v>
      </c>
      <c r="L15" s="127">
        <v>-0.1111111111111111</v>
      </c>
    </row>
    <row r="16" spans="1:12">
      <c r="B16" s="126">
        <v>24</v>
      </c>
      <c r="C16" s="126" t="s">
        <v>47</v>
      </c>
      <c r="D16" s="127">
        <v>0.63888888888888884</v>
      </c>
      <c r="E16" s="125"/>
      <c r="F16" s="127">
        <v>0.1111111111111111</v>
      </c>
      <c r="G16" s="126">
        <v>1</v>
      </c>
      <c r="H16" s="126">
        <v>0</v>
      </c>
      <c r="I16" s="127">
        <v>-8.3333333333333329E-2</v>
      </c>
      <c r="J16" s="126">
        <v>-0.1111111111111111</v>
      </c>
      <c r="K16" s="127">
        <v>8.3333333333333329E-2</v>
      </c>
      <c r="L16" s="127">
        <v>0.1111111111111111</v>
      </c>
    </row>
    <row r="17" spans="1:15">
      <c r="B17" s="125"/>
      <c r="C17" s="125"/>
      <c r="D17" s="125"/>
      <c r="E17" s="125"/>
      <c r="F17" s="129"/>
      <c r="G17" s="125"/>
      <c r="H17" s="125"/>
      <c r="I17" s="125"/>
      <c r="J17" s="125"/>
      <c r="K17" s="125"/>
      <c r="L17" s="125"/>
    </row>
    <row r="18" spans="1:15">
      <c r="B18" s="126" t="s">
        <v>19</v>
      </c>
      <c r="C18" s="126">
        <v>22.666666666666664</v>
      </c>
      <c r="D18" s="125"/>
      <c r="E18" s="125"/>
      <c r="F18" s="127">
        <v>-1.6666666666666667</v>
      </c>
      <c r="G18" s="126">
        <v>0</v>
      </c>
      <c r="H18" s="126">
        <v>0</v>
      </c>
      <c r="I18" s="126">
        <v>-4</v>
      </c>
      <c r="J18" s="126">
        <v>-1.3333333333333333</v>
      </c>
      <c r="K18" s="126" t="s">
        <v>86</v>
      </c>
      <c r="L18" s="126" t="s">
        <v>87</v>
      </c>
    </row>
    <row r="21" spans="1:15">
      <c r="A21" s="205" t="s">
        <v>92</v>
      </c>
      <c r="B21" s="205"/>
      <c r="C21" s="205"/>
      <c r="D21" s="205"/>
      <c r="E21" s="205"/>
      <c r="F21" s="205"/>
      <c r="G21" s="205"/>
      <c r="H21" s="205"/>
      <c r="I21" s="205"/>
      <c r="J21" s="205"/>
    </row>
    <row r="22" spans="1:15">
      <c r="A22" s="204" t="s">
        <v>88</v>
      </c>
      <c r="B22" s="204"/>
      <c r="C22" s="203" t="s">
        <v>93</v>
      </c>
      <c r="D22" s="203"/>
      <c r="F22" s="202" t="s">
        <v>94</v>
      </c>
      <c r="G22" s="202"/>
      <c r="H22" s="202"/>
    </row>
    <row r="23" spans="1:15">
      <c r="A23" s="204"/>
      <c r="B23" s="204"/>
      <c r="C23" s="130" t="s">
        <v>3</v>
      </c>
      <c r="D23" s="130" t="s">
        <v>5</v>
      </c>
      <c r="F23" s="131" t="s">
        <v>12</v>
      </c>
      <c r="G23" s="132" t="s">
        <v>13</v>
      </c>
      <c r="H23" s="131" t="s">
        <v>14</v>
      </c>
    </row>
    <row r="24" spans="1:15">
      <c r="A24" s="204" t="s">
        <v>89</v>
      </c>
      <c r="B24" s="204"/>
      <c r="C24" s="131" t="s">
        <v>72</v>
      </c>
      <c r="D24" s="131" t="s">
        <v>73</v>
      </c>
      <c r="F24" s="133" t="s">
        <v>46</v>
      </c>
      <c r="G24" s="133" t="s">
        <v>47</v>
      </c>
      <c r="H24" s="133" t="s">
        <v>51</v>
      </c>
    </row>
    <row r="25" spans="1:15" ht="12.75" customHeight="1">
      <c r="A25" s="204"/>
      <c r="B25" s="204"/>
      <c r="C25" s="202" t="s">
        <v>94</v>
      </c>
      <c r="D25" s="202"/>
      <c r="F25" s="203" t="s">
        <v>93</v>
      </c>
      <c r="G25" s="203"/>
      <c r="H25" s="203"/>
    </row>
    <row r="27" spans="1:15">
      <c r="B27" s="201" t="s">
        <v>95</v>
      </c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</row>
    <row r="29" spans="1:15">
      <c r="F29" s="31" t="s">
        <v>3</v>
      </c>
      <c r="G29" s="31" t="s">
        <v>5</v>
      </c>
      <c r="H29" s="31" t="s">
        <v>12</v>
      </c>
      <c r="I29" s="31" t="s">
        <v>13</v>
      </c>
      <c r="J29" s="31" t="s">
        <v>14</v>
      </c>
    </row>
    <row r="30" spans="1:15">
      <c r="B30" s="175" t="s">
        <v>90</v>
      </c>
      <c r="C30" s="176"/>
      <c r="D30" s="176"/>
      <c r="F30" s="31">
        <v>5</v>
      </c>
      <c r="G30" s="31">
        <v>2</v>
      </c>
      <c r="H30" s="31">
        <v>0</v>
      </c>
      <c r="I30" s="31">
        <v>0</v>
      </c>
      <c r="J30" s="31">
        <v>0</v>
      </c>
    </row>
    <row r="32" spans="1:15">
      <c r="A32" s="135" t="s">
        <v>46</v>
      </c>
      <c r="B32" s="31">
        <v>0</v>
      </c>
      <c r="C32" s="31" t="s">
        <v>12</v>
      </c>
      <c r="D32" s="65">
        <v>1.6666666666666667</v>
      </c>
      <c r="F32" s="31">
        <v>0</v>
      </c>
      <c r="G32" s="31">
        <v>0</v>
      </c>
      <c r="H32" s="31">
        <v>1</v>
      </c>
      <c r="I32" s="65">
        <v>-0.1111111111111111</v>
      </c>
      <c r="J32" s="65">
        <v>0.1111111111111111</v>
      </c>
    </row>
    <row r="33" spans="1:15">
      <c r="A33" s="135" t="s">
        <v>73</v>
      </c>
      <c r="B33" s="31">
        <v>2</v>
      </c>
      <c r="C33" s="31" t="s">
        <v>5</v>
      </c>
      <c r="D33" s="65">
        <v>1.3333333333333333</v>
      </c>
      <c r="F33" s="31">
        <v>0</v>
      </c>
      <c r="G33" s="31">
        <v>1</v>
      </c>
      <c r="H33" s="31">
        <v>0</v>
      </c>
      <c r="I33" s="65">
        <v>0.1111111111111111</v>
      </c>
      <c r="J33" s="65">
        <v>-0.1111111111111111</v>
      </c>
    </row>
    <row r="34" spans="1:15">
      <c r="A34" s="135" t="s">
        <v>72</v>
      </c>
      <c r="B34" s="31">
        <v>5</v>
      </c>
      <c r="C34" s="31" t="s">
        <v>3</v>
      </c>
      <c r="D34" s="31">
        <v>4</v>
      </c>
      <c r="F34" s="31">
        <v>1</v>
      </c>
      <c r="G34" s="31">
        <v>0</v>
      </c>
      <c r="H34" s="31">
        <v>0</v>
      </c>
      <c r="I34" s="65">
        <v>8.3333333333333329E-2</v>
      </c>
      <c r="J34" s="65">
        <v>0.16666666666666669</v>
      </c>
    </row>
    <row r="35" spans="1:15">
      <c r="I35" s="124"/>
      <c r="J35" s="124"/>
    </row>
    <row r="36" spans="1:15">
      <c r="B36" s="31" t="s">
        <v>19</v>
      </c>
      <c r="C36" s="65">
        <v>22.666666666666668</v>
      </c>
      <c r="F36" s="31">
        <v>0</v>
      </c>
      <c r="G36" s="31">
        <v>0</v>
      </c>
      <c r="H36" s="31">
        <v>0</v>
      </c>
      <c r="I36" s="140">
        <v>0.63888888888888884</v>
      </c>
      <c r="J36" s="139">
        <v>0.61111111111111127</v>
      </c>
    </row>
    <row r="37" spans="1:15" s="29" customFormat="1">
      <c r="A37" s="26"/>
      <c r="B37" s="33"/>
      <c r="C37" s="128"/>
      <c r="D37" s="26"/>
      <c r="E37" s="26"/>
      <c r="F37" s="87" t="s">
        <v>72</v>
      </c>
      <c r="G37" s="87" t="s">
        <v>73</v>
      </c>
      <c r="H37" s="134" t="s">
        <v>46</v>
      </c>
      <c r="I37" s="141" t="s">
        <v>47</v>
      </c>
      <c r="J37" s="136" t="s">
        <v>51</v>
      </c>
      <c r="L37" s="26"/>
    </row>
    <row r="38" spans="1:15" s="29" customFormat="1">
      <c r="A38" s="26"/>
      <c r="B38" s="33"/>
      <c r="C38" s="128"/>
      <c r="D38" s="26"/>
      <c r="E38" s="26"/>
      <c r="F38" s="33"/>
      <c r="G38" s="33"/>
      <c r="H38" s="33"/>
      <c r="I38" s="128"/>
      <c r="J38" s="128"/>
      <c r="K38" s="26"/>
      <c r="L38" s="26"/>
    </row>
    <row r="40" spans="1:15">
      <c r="B40" s="125"/>
      <c r="C40" s="125"/>
      <c r="D40" s="125"/>
      <c r="E40" s="125"/>
      <c r="F40" s="126" t="s">
        <v>46</v>
      </c>
      <c r="G40" s="126" t="s">
        <v>47</v>
      </c>
      <c r="H40" s="126" t="s">
        <v>51</v>
      </c>
      <c r="I40" s="126" t="s">
        <v>72</v>
      </c>
      <c r="J40" s="126" t="s">
        <v>73</v>
      </c>
      <c r="K40" s="126" t="s">
        <v>74</v>
      </c>
      <c r="L40" s="126" t="s">
        <v>68</v>
      </c>
    </row>
    <row r="41" spans="1:15">
      <c r="B41" s="175" t="s">
        <v>91</v>
      </c>
      <c r="C41" s="176"/>
      <c r="D41" s="176"/>
      <c r="E41" s="125"/>
      <c r="F41" s="126">
        <v>3</v>
      </c>
      <c r="G41" s="126">
        <v>24</v>
      </c>
      <c r="H41" s="126">
        <v>12</v>
      </c>
      <c r="I41" s="126">
        <v>0</v>
      </c>
      <c r="J41" s="126">
        <v>0</v>
      </c>
      <c r="K41" s="126" t="s">
        <v>63</v>
      </c>
      <c r="L41" s="126" t="s">
        <v>63</v>
      </c>
    </row>
    <row r="42" spans="1:15"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</row>
    <row r="43" spans="1:15">
      <c r="B43" s="137">
        <v>12</v>
      </c>
      <c r="C43" s="137" t="s">
        <v>51</v>
      </c>
      <c r="D43" s="138">
        <f>J36</f>
        <v>0.61111111111111127</v>
      </c>
      <c r="E43" s="125"/>
      <c r="F43" s="127"/>
      <c r="G43" s="126"/>
      <c r="H43" s="126"/>
      <c r="I43" s="127"/>
      <c r="J43" s="126"/>
      <c r="K43" s="127"/>
      <c r="L43" s="127"/>
    </row>
    <row r="44" spans="1:15">
      <c r="B44" s="142">
        <v>24</v>
      </c>
      <c r="C44" s="142" t="s">
        <v>47</v>
      </c>
      <c r="D44" s="143">
        <f>I36</f>
        <v>0.63888888888888884</v>
      </c>
      <c r="E44" s="125"/>
      <c r="F44" s="127"/>
      <c r="G44" s="126"/>
      <c r="H44" s="126"/>
      <c r="I44" s="127"/>
      <c r="J44" s="126"/>
      <c r="K44" s="127"/>
      <c r="L44" s="127"/>
    </row>
    <row r="45" spans="1:15">
      <c r="B45" s="125"/>
      <c r="C45" s="125"/>
      <c r="D45" s="125"/>
      <c r="E45" s="125"/>
      <c r="F45" s="129"/>
      <c r="G45" s="125"/>
      <c r="H45" s="125"/>
      <c r="I45" s="125"/>
      <c r="J45" s="125"/>
      <c r="K45" s="125"/>
      <c r="L45" s="125"/>
    </row>
    <row r="46" spans="1:15">
      <c r="B46" s="126" t="s">
        <v>19</v>
      </c>
      <c r="C46" s="126">
        <f>(B43*D43)+(B44*D44)</f>
        <v>22.666666666666668</v>
      </c>
      <c r="D46" s="125"/>
      <c r="E46" s="125"/>
      <c r="F46" s="127"/>
      <c r="G46" s="126"/>
      <c r="H46" s="126"/>
      <c r="I46" s="126"/>
      <c r="J46" s="126"/>
      <c r="K46" s="126"/>
      <c r="L46" s="126"/>
    </row>
    <row r="48" spans="1:15">
      <c r="B48" s="201" t="s">
        <v>96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</row>
    <row r="50" spans="1:12">
      <c r="A50" s="87"/>
      <c r="B50" s="87"/>
      <c r="C50" s="87"/>
      <c r="D50" s="87"/>
      <c r="E50" s="87"/>
      <c r="F50" s="62" t="s">
        <v>3</v>
      </c>
      <c r="G50" s="62" t="s">
        <v>5</v>
      </c>
      <c r="H50" s="62" t="s">
        <v>12</v>
      </c>
      <c r="I50" s="62" t="s">
        <v>13</v>
      </c>
      <c r="J50" s="62" t="s">
        <v>14</v>
      </c>
    </row>
    <row r="51" spans="1:12">
      <c r="A51" s="87"/>
      <c r="B51" s="195" t="s">
        <v>90</v>
      </c>
      <c r="C51" s="195"/>
      <c r="D51" s="195"/>
      <c r="E51" s="87"/>
      <c r="F51" s="62">
        <v>5</v>
      </c>
      <c r="G51" s="62">
        <v>2</v>
      </c>
      <c r="H51" s="62">
        <v>0</v>
      </c>
      <c r="I51" s="62">
        <v>0</v>
      </c>
      <c r="J51" s="62">
        <v>0</v>
      </c>
    </row>
    <row r="52" spans="1:12">
      <c r="A52" s="87"/>
      <c r="B52" s="87"/>
      <c r="C52" s="87"/>
      <c r="D52" s="87"/>
      <c r="E52" s="87"/>
      <c r="F52" s="87"/>
      <c r="G52" s="87"/>
      <c r="H52" s="87"/>
      <c r="I52" s="87"/>
      <c r="J52" s="87"/>
    </row>
    <row r="53" spans="1:12">
      <c r="A53" s="153" t="s">
        <v>46</v>
      </c>
      <c r="B53" s="62">
        <v>0</v>
      </c>
      <c r="C53" s="62" t="s">
        <v>12</v>
      </c>
      <c r="D53" s="154">
        <v>1.6666666666666667</v>
      </c>
      <c r="E53" s="87"/>
      <c r="F53" s="62">
        <v>0</v>
      </c>
      <c r="G53" s="62">
        <v>0</v>
      </c>
      <c r="H53" s="62">
        <v>1</v>
      </c>
      <c r="I53" s="94">
        <v>-0.1111111111111111</v>
      </c>
      <c r="J53" s="94">
        <v>0.1111111111111111</v>
      </c>
    </row>
    <row r="54" spans="1:12">
      <c r="A54" s="149" t="s">
        <v>73</v>
      </c>
      <c r="B54" s="62">
        <v>2</v>
      </c>
      <c r="C54" s="62" t="s">
        <v>5</v>
      </c>
      <c r="D54" s="139">
        <v>1.3333333333333333</v>
      </c>
      <c r="E54" s="87"/>
      <c r="F54" s="62">
        <v>0</v>
      </c>
      <c r="G54" s="62">
        <v>1</v>
      </c>
      <c r="H54" s="62">
        <v>0</v>
      </c>
      <c r="I54" s="94">
        <v>0.1111111111111111</v>
      </c>
      <c r="J54" s="94">
        <v>-0.1111111111111111</v>
      </c>
    </row>
    <row r="55" spans="1:12">
      <c r="A55" s="150" t="s">
        <v>72</v>
      </c>
      <c r="B55" s="62">
        <v>5</v>
      </c>
      <c r="C55" s="62" t="s">
        <v>3</v>
      </c>
      <c r="D55" s="151">
        <v>4</v>
      </c>
      <c r="E55" s="87"/>
      <c r="F55" s="62">
        <v>1</v>
      </c>
      <c r="G55" s="62">
        <v>0</v>
      </c>
      <c r="H55" s="62">
        <v>0</v>
      </c>
      <c r="I55" s="94">
        <v>8.3333333333333329E-2</v>
      </c>
      <c r="J55" s="94">
        <v>0.16666666666666669</v>
      </c>
    </row>
    <row r="56" spans="1:12">
      <c r="A56" s="87"/>
      <c r="B56" s="87"/>
      <c r="C56" s="87"/>
      <c r="D56" s="87"/>
      <c r="E56" s="87"/>
      <c r="F56" s="87"/>
      <c r="G56" s="87"/>
      <c r="H56" s="87"/>
      <c r="I56" s="145"/>
      <c r="J56" s="145"/>
    </row>
    <row r="57" spans="1:12">
      <c r="A57" s="87"/>
      <c r="B57" s="62" t="s">
        <v>19</v>
      </c>
      <c r="C57" s="94">
        <v>22.666666666666668</v>
      </c>
      <c r="D57" s="87"/>
      <c r="E57" s="87"/>
      <c r="F57" s="62">
        <v>0</v>
      </c>
      <c r="G57" s="62">
        <v>0</v>
      </c>
      <c r="H57" s="62">
        <v>0</v>
      </c>
      <c r="I57" s="94">
        <v>0.63888888888888884</v>
      </c>
      <c r="J57" s="94">
        <v>0.61111111111111127</v>
      </c>
    </row>
    <row r="58" spans="1:12">
      <c r="A58" s="87"/>
      <c r="B58" s="61"/>
      <c r="C58" s="95"/>
      <c r="D58" s="87"/>
      <c r="E58" s="87"/>
      <c r="F58" s="87" t="s">
        <v>72</v>
      </c>
      <c r="G58" s="87" t="s">
        <v>73</v>
      </c>
      <c r="H58" s="134" t="s">
        <v>46</v>
      </c>
      <c r="I58" s="134" t="s">
        <v>47</v>
      </c>
      <c r="J58" s="134" t="s">
        <v>51</v>
      </c>
    </row>
    <row r="60" spans="1:12">
      <c r="B60" s="125"/>
      <c r="C60" s="125"/>
      <c r="D60" s="125"/>
      <c r="E60" s="125"/>
      <c r="F60" s="156" t="s">
        <v>46</v>
      </c>
      <c r="G60" s="126" t="s">
        <v>47</v>
      </c>
      <c r="H60" s="126" t="s">
        <v>51</v>
      </c>
      <c r="I60" s="152" t="s">
        <v>72</v>
      </c>
      <c r="J60" s="137" t="s">
        <v>73</v>
      </c>
      <c r="K60" s="126" t="s">
        <v>74</v>
      </c>
      <c r="L60" s="126" t="s">
        <v>68</v>
      </c>
    </row>
    <row r="61" spans="1:12">
      <c r="B61" s="175" t="s">
        <v>91</v>
      </c>
      <c r="C61" s="176"/>
      <c r="D61" s="176"/>
      <c r="E61" s="125"/>
      <c r="F61" s="156">
        <v>3</v>
      </c>
      <c r="G61" s="126">
        <v>24</v>
      </c>
      <c r="H61" s="126">
        <v>12</v>
      </c>
      <c r="I61" s="152">
        <v>0</v>
      </c>
      <c r="J61" s="137">
        <v>0</v>
      </c>
      <c r="K61" s="126" t="s">
        <v>63</v>
      </c>
      <c r="L61" s="126" t="s">
        <v>63</v>
      </c>
    </row>
    <row r="62" spans="1:12">
      <c r="B62" s="125"/>
      <c r="C62" s="125"/>
      <c r="D62" s="125"/>
      <c r="E62" s="125"/>
      <c r="F62" s="125"/>
      <c r="G62" s="125"/>
      <c r="H62" s="125"/>
      <c r="I62" s="125"/>
      <c r="J62" s="125"/>
      <c r="K62" s="125"/>
      <c r="L62" s="125"/>
    </row>
    <row r="63" spans="1:12">
      <c r="B63" s="146">
        <v>12</v>
      </c>
      <c r="C63" s="146" t="s">
        <v>51</v>
      </c>
      <c r="D63" s="147">
        <f>J57</f>
        <v>0.61111111111111127</v>
      </c>
      <c r="E63" s="125"/>
      <c r="F63" s="127"/>
      <c r="G63" s="126"/>
      <c r="H63" s="126"/>
      <c r="I63" s="127"/>
      <c r="J63" s="126"/>
      <c r="K63" s="127"/>
      <c r="L63" s="127"/>
    </row>
    <row r="64" spans="1:12">
      <c r="B64" s="146">
        <v>24</v>
      </c>
      <c r="C64" s="146" t="s">
        <v>47</v>
      </c>
      <c r="D64" s="147">
        <f>I57</f>
        <v>0.63888888888888884</v>
      </c>
      <c r="E64" s="125"/>
      <c r="F64" s="127"/>
      <c r="G64" s="126"/>
      <c r="H64" s="126"/>
      <c r="I64" s="127"/>
      <c r="J64" s="126"/>
      <c r="K64" s="127"/>
      <c r="L64" s="127"/>
    </row>
    <row r="65" spans="1:15">
      <c r="B65" s="125"/>
      <c r="C65" s="125"/>
      <c r="D65" s="125"/>
      <c r="E65" s="125"/>
      <c r="F65" s="129"/>
      <c r="G65" s="125"/>
      <c r="H65" s="125"/>
      <c r="I65" s="125"/>
      <c r="J65" s="125"/>
      <c r="K65" s="125"/>
      <c r="L65" s="125"/>
    </row>
    <row r="66" spans="1:15">
      <c r="B66" s="126" t="s">
        <v>19</v>
      </c>
      <c r="C66" s="126">
        <f>(B63*D63)+(B64*D64)</f>
        <v>22.666666666666668</v>
      </c>
      <c r="D66" s="125"/>
      <c r="E66" s="125"/>
      <c r="F66" s="155">
        <f>-D53</f>
        <v>-1.6666666666666667</v>
      </c>
      <c r="G66" s="126">
        <v>0</v>
      </c>
      <c r="H66" s="126">
        <v>0</v>
      </c>
      <c r="I66" s="152">
        <f>-D55</f>
        <v>-4</v>
      </c>
      <c r="J66" s="138">
        <f>-D54</f>
        <v>-1.3333333333333333</v>
      </c>
      <c r="K66" s="148"/>
      <c r="L66" s="148"/>
    </row>
    <row r="71" spans="1:15">
      <c r="B71" s="201" t="s">
        <v>97</v>
      </c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N71" s="192"/>
      <c r="O71" s="192"/>
    </row>
    <row r="73" spans="1:15">
      <c r="A73" s="87"/>
      <c r="B73" s="87"/>
      <c r="C73" s="87"/>
      <c r="D73" s="87"/>
      <c r="E73" s="87"/>
      <c r="F73" s="62" t="s">
        <v>3</v>
      </c>
      <c r="G73" s="62" t="s">
        <v>5</v>
      </c>
      <c r="H73" s="62" t="s">
        <v>12</v>
      </c>
      <c r="I73" s="62" t="s">
        <v>13</v>
      </c>
      <c r="J73" s="62" t="s">
        <v>14</v>
      </c>
      <c r="K73" s="87"/>
      <c r="L73" s="87"/>
    </row>
    <row r="74" spans="1:15">
      <c r="A74" s="87"/>
      <c r="B74" s="195" t="s">
        <v>90</v>
      </c>
      <c r="C74" s="195"/>
      <c r="D74" s="195"/>
      <c r="E74" s="87"/>
      <c r="F74" s="62">
        <v>5</v>
      </c>
      <c r="G74" s="62">
        <v>2</v>
      </c>
      <c r="H74" s="62">
        <v>0</v>
      </c>
      <c r="I74" s="62">
        <v>0</v>
      </c>
      <c r="J74" s="62">
        <v>0</v>
      </c>
      <c r="K74" s="87"/>
      <c r="L74" s="87"/>
    </row>
    <row r="75" spans="1:1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</row>
    <row r="76" spans="1:15">
      <c r="A76" s="144" t="s">
        <v>46</v>
      </c>
      <c r="B76" s="62">
        <v>0</v>
      </c>
      <c r="C76" s="62" t="s">
        <v>12</v>
      </c>
      <c r="D76" s="94">
        <v>1.6666666666666667</v>
      </c>
      <c r="E76" s="87"/>
      <c r="F76" s="62">
        <v>0</v>
      </c>
      <c r="G76" s="62">
        <v>0</v>
      </c>
      <c r="H76" s="62">
        <v>1</v>
      </c>
      <c r="I76" s="168">
        <v>-0.1111111111111111</v>
      </c>
      <c r="J76" s="160">
        <v>0.1111111111111111</v>
      </c>
      <c r="K76" s="87"/>
      <c r="L76" s="87"/>
    </row>
    <row r="77" spans="1:15">
      <c r="A77" s="144" t="s">
        <v>73</v>
      </c>
      <c r="B77" s="62">
        <v>2</v>
      </c>
      <c r="C77" s="62" t="s">
        <v>5</v>
      </c>
      <c r="D77" s="94">
        <v>1.3333333333333333</v>
      </c>
      <c r="E77" s="87"/>
      <c r="F77" s="62">
        <v>0</v>
      </c>
      <c r="G77" s="62">
        <v>1</v>
      </c>
      <c r="H77" s="62">
        <v>0</v>
      </c>
      <c r="I77" s="167">
        <v>0.1111111111111111</v>
      </c>
      <c r="J77" s="161">
        <v>-0.1111111111111111</v>
      </c>
      <c r="K77" s="87"/>
      <c r="L77" s="87"/>
    </row>
    <row r="78" spans="1:15">
      <c r="A78" s="144" t="s">
        <v>72</v>
      </c>
      <c r="B78" s="62">
        <v>5</v>
      </c>
      <c r="C78" s="62" t="s">
        <v>3</v>
      </c>
      <c r="D78" s="62">
        <v>4</v>
      </c>
      <c r="E78" s="87"/>
      <c r="F78" s="62">
        <v>1</v>
      </c>
      <c r="G78" s="62">
        <v>0</v>
      </c>
      <c r="H78" s="62">
        <v>0</v>
      </c>
      <c r="I78" s="169">
        <v>8.3333333333333329E-2</v>
      </c>
      <c r="J78" s="162">
        <v>0.16666666666666669</v>
      </c>
      <c r="K78" s="87"/>
      <c r="L78" s="87"/>
    </row>
    <row r="79" spans="1:15">
      <c r="A79" s="87"/>
      <c r="B79" s="87"/>
      <c r="C79" s="87"/>
      <c r="D79" s="87"/>
      <c r="E79" s="87"/>
      <c r="F79" s="87"/>
      <c r="G79" s="87"/>
      <c r="H79" s="87"/>
      <c r="I79" s="145"/>
      <c r="J79" s="145"/>
      <c r="K79" s="87"/>
      <c r="L79" s="87"/>
    </row>
    <row r="80" spans="1:15">
      <c r="A80" s="87"/>
      <c r="B80" s="62" t="s">
        <v>19</v>
      </c>
      <c r="C80" s="94">
        <v>22.666666666666668</v>
      </c>
      <c r="D80" s="87"/>
      <c r="E80" s="87"/>
      <c r="F80" s="62">
        <v>0</v>
      </c>
      <c r="G80" s="62">
        <v>0</v>
      </c>
      <c r="H80" s="62">
        <v>0</v>
      </c>
      <c r="I80" s="94">
        <v>0.63888888888888884</v>
      </c>
      <c r="J80" s="94">
        <v>0.61111111111111127</v>
      </c>
      <c r="K80" s="87"/>
      <c r="L80" s="87"/>
    </row>
    <row r="81" spans="1:12">
      <c r="A81" s="87"/>
      <c r="B81" s="61"/>
      <c r="C81" s="95"/>
      <c r="D81" s="87"/>
      <c r="E81" s="87"/>
      <c r="F81" s="87" t="s">
        <v>72</v>
      </c>
      <c r="G81" s="87" t="s">
        <v>73</v>
      </c>
      <c r="H81" s="134" t="s">
        <v>46</v>
      </c>
      <c r="I81" s="134" t="s">
        <v>47</v>
      </c>
      <c r="J81" s="134" t="s">
        <v>51</v>
      </c>
      <c r="K81" s="87"/>
      <c r="L81" s="87"/>
    </row>
    <row r="82" spans="1:1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</row>
    <row r="83" spans="1:12">
      <c r="A83" s="87"/>
      <c r="B83" s="134"/>
      <c r="C83" s="134"/>
      <c r="D83" s="134"/>
      <c r="E83" s="134"/>
      <c r="F83" s="146" t="s">
        <v>46</v>
      </c>
      <c r="G83" s="146" t="s">
        <v>47</v>
      </c>
      <c r="H83" s="146" t="s">
        <v>51</v>
      </c>
      <c r="I83" s="146" t="s">
        <v>72</v>
      </c>
      <c r="J83" s="146" t="s">
        <v>73</v>
      </c>
      <c r="K83" s="146" t="s">
        <v>74</v>
      </c>
      <c r="L83" s="146" t="s">
        <v>68</v>
      </c>
    </row>
    <row r="84" spans="1:12">
      <c r="A84" s="87"/>
      <c r="B84" s="195" t="s">
        <v>91</v>
      </c>
      <c r="C84" s="195"/>
      <c r="D84" s="195"/>
      <c r="E84" s="134"/>
      <c r="F84" s="146">
        <v>3</v>
      </c>
      <c r="G84" s="146">
        <v>24</v>
      </c>
      <c r="H84" s="146">
        <v>12</v>
      </c>
      <c r="I84" s="146">
        <v>0</v>
      </c>
      <c r="J84" s="146">
        <v>0</v>
      </c>
      <c r="K84" s="146" t="s">
        <v>63</v>
      </c>
      <c r="L84" s="146" t="s">
        <v>63</v>
      </c>
    </row>
    <row r="85" spans="1:12">
      <c r="A85" s="87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</row>
    <row r="86" spans="1:12">
      <c r="A86" s="87"/>
      <c r="B86" s="146">
        <v>12</v>
      </c>
      <c r="C86" s="146" t="s">
        <v>51</v>
      </c>
      <c r="D86" s="147">
        <f>J80</f>
        <v>0.61111111111111127</v>
      </c>
      <c r="E86" s="134"/>
      <c r="F86" s="160">
        <f>-J76</f>
        <v>-0.1111111111111111</v>
      </c>
      <c r="G86" s="163">
        <v>0</v>
      </c>
      <c r="H86" s="163">
        <v>1</v>
      </c>
      <c r="I86" s="165">
        <f>-J78</f>
        <v>-0.16666666666666669</v>
      </c>
      <c r="J86" s="164">
        <f>-J77</f>
        <v>0.1111111111111111</v>
      </c>
      <c r="K86" s="159"/>
      <c r="L86" s="159"/>
    </row>
    <row r="87" spans="1:12">
      <c r="A87" s="87"/>
      <c r="B87" s="146">
        <v>24</v>
      </c>
      <c r="C87" s="146" t="s">
        <v>47</v>
      </c>
      <c r="D87" s="147">
        <f>I80</f>
        <v>0.63888888888888884</v>
      </c>
      <c r="E87" s="134"/>
      <c r="F87" s="170">
        <f>-I76</f>
        <v>0.1111111111111111</v>
      </c>
      <c r="G87" s="166">
        <v>1</v>
      </c>
      <c r="H87" s="166">
        <v>0</v>
      </c>
      <c r="I87" s="171">
        <f>I78</f>
        <v>8.3333333333333329E-2</v>
      </c>
      <c r="J87" s="172">
        <f>-I77</f>
        <v>-0.1111111111111111</v>
      </c>
      <c r="K87" s="159"/>
      <c r="L87" s="159"/>
    </row>
    <row r="88" spans="1:12">
      <c r="A88" s="87"/>
      <c r="B88" s="134"/>
      <c r="C88" s="134"/>
      <c r="D88" s="134"/>
      <c r="E88" s="134"/>
      <c r="F88" s="157"/>
      <c r="G88" s="134"/>
      <c r="H88" s="134"/>
      <c r="I88" s="134"/>
      <c r="J88" s="134"/>
      <c r="K88" s="134"/>
      <c r="L88" s="134"/>
    </row>
    <row r="89" spans="1:12">
      <c r="A89" s="87"/>
      <c r="B89" s="146" t="s">
        <v>19</v>
      </c>
      <c r="C89" s="146">
        <f>(B86*D86)+(B87*D87)</f>
        <v>22.666666666666668</v>
      </c>
      <c r="D89" s="134"/>
      <c r="E89" s="134"/>
      <c r="F89" s="147">
        <f>-D76</f>
        <v>-1.6666666666666667</v>
      </c>
      <c r="G89" s="146">
        <v>0</v>
      </c>
      <c r="H89" s="146">
        <v>0</v>
      </c>
      <c r="I89" s="146">
        <f>-D78</f>
        <v>-4</v>
      </c>
      <c r="J89" s="147">
        <f>-D77</f>
        <v>-1.3333333333333333</v>
      </c>
      <c r="K89" s="158"/>
      <c r="L89" s="158"/>
    </row>
  </sheetData>
  <mergeCells count="18">
    <mergeCell ref="B3:D3"/>
    <mergeCell ref="B13:D13"/>
    <mergeCell ref="C22:D22"/>
    <mergeCell ref="A21:J21"/>
    <mergeCell ref="C25:D25"/>
    <mergeCell ref="F22:H22"/>
    <mergeCell ref="F25:H25"/>
    <mergeCell ref="A22:B23"/>
    <mergeCell ref="A24:B25"/>
    <mergeCell ref="B71:O71"/>
    <mergeCell ref="B74:D74"/>
    <mergeCell ref="B84:D84"/>
    <mergeCell ref="B27:O27"/>
    <mergeCell ref="B30:D30"/>
    <mergeCell ref="B41:D41"/>
    <mergeCell ref="B48:O48"/>
    <mergeCell ref="B51:D51"/>
    <mergeCell ref="B61:D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Primal</vt:lpstr>
      <vt:lpstr>Dual</vt:lpstr>
      <vt:lpstr>Opt Primal - Opt Dual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cp:lastPrinted>2013-09-24T19:07:41Z</cp:lastPrinted>
  <dcterms:modified xsi:type="dcterms:W3CDTF">2013-11-02T12:31:52Z</dcterms:modified>
</cp:coreProperties>
</file>