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Documents\Gestión Empresarial - UTN\2025 en adelante\Material de soporte\"/>
    </mc:Choice>
  </mc:AlternateContent>
  <xr:revisionPtr revIDLastSave="0" documentId="13_ncr:1_{A32579BF-4C2F-44C1-964B-DA541FF6266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VSM TP Integrador" sheetId="2" r:id="rId1"/>
    <sheet name="VSM base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B37" i="2" l="1"/>
  <c r="BB40" i="2" s="1"/>
  <c r="BB38" i="2"/>
  <c r="AE83" i="2" l="1"/>
  <c r="AM50" i="2" l="1"/>
  <c r="AU43" i="2"/>
  <c r="AQ43" i="2"/>
  <c r="AI43" i="2"/>
  <c r="AY11" i="2"/>
  <c r="AI50" i="2"/>
  <c r="AE50" i="2"/>
  <c r="AK48" i="2"/>
  <c r="AG48" i="2"/>
  <c r="AE43" i="2"/>
  <c r="AA50" i="2"/>
  <c r="W50" i="2"/>
  <c r="AO48" i="2"/>
  <c r="AC48" i="2"/>
  <c r="Y48" i="2"/>
  <c r="AM43" i="2"/>
  <c r="AA43" i="2"/>
  <c r="W43" i="2"/>
  <c r="AU50" i="2" l="1"/>
  <c r="AQ50" i="2"/>
  <c r="S50" i="2"/>
  <c r="O50" i="2"/>
  <c r="K50" i="2"/>
  <c r="G50" i="2"/>
  <c r="C50" i="2"/>
  <c r="AW48" i="2"/>
  <c r="AS48" i="2"/>
  <c r="U48" i="2"/>
  <c r="Q48" i="2"/>
  <c r="M48" i="2"/>
  <c r="I48" i="2"/>
  <c r="E48" i="2"/>
  <c r="A48" i="2"/>
  <c r="S43" i="2"/>
  <c r="O43" i="2"/>
  <c r="K43" i="2"/>
  <c r="G43" i="2"/>
  <c r="AY50" i="2" l="1"/>
  <c r="AY48" i="2"/>
  <c r="AY51" i="2" s="1"/>
  <c r="AZ50" i="2"/>
  <c r="G43" i="1"/>
  <c r="C50" i="1"/>
  <c r="K43" i="1"/>
  <c r="AA50" i="1"/>
  <c r="W50" i="1"/>
  <c r="S50" i="1"/>
  <c r="O50" i="1"/>
  <c r="K50" i="1"/>
  <c r="G50" i="1"/>
  <c r="AC48" i="1"/>
  <c r="Y48" i="1"/>
  <c r="U48" i="1"/>
  <c r="Q48" i="1"/>
  <c r="M48" i="1"/>
  <c r="I48" i="1"/>
  <c r="E48" i="1"/>
  <c r="A48" i="1"/>
  <c r="S43" i="1"/>
  <c r="O43" i="1"/>
  <c r="AE11" i="1"/>
  <c r="AZ48" i="2" l="1"/>
  <c r="AE50" i="1"/>
  <c r="AF50" i="1" s="1"/>
  <c r="AE48" i="1"/>
  <c r="AF48" i="1" s="1"/>
</calcChain>
</file>

<file path=xl/sharedStrings.xml><?xml version="1.0" encoding="utf-8"?>
<sst xmlns="http://schemas.openxmlformats.org/spreadsheetml/2006/main" count="191" uniqueCount="27">
  <si>
    <t>TAKT Time (hs)</t>
  </si>
  <si>
    <t>Demanda</t>
  </si>
  <si>
    <t>Frecuencia</t>
  </si>
  <si>
    <t>diaria</t>
  </si>
  <si>
    <t>C/T (hs)</t>
  </si>
  <si>
    <t>C/O (s)</t>
  </si>
  <si>
    <t>C/O (hs)</t>
  </si>
  <si>
    <t>Diaria</t>
  </si>
  <si>
    <t>Cantidad</t>
  </si>
  <si>
    <t>Tiempo</t>
  </si>
  <si>
    <t>C/T (s)</t>
  </si>
  <si>
    <t>Disp. (%)</t>
  </si>
  <si>
    <t>Turnos</t>
  </si>
  <si>
    <t>Prod. (%)</t>
  </si>
  <si>
    <t>Calidad (%)</t>
  </si>
  <si>
    <t>OEE</t>
  </si>
  <si>
    <t>LEAD</t>
  </si>
  <si>
    <t>Días</t>
  </si>
  <si>
    <t>TIME (hs)</t>
  </si>
  <si>
    <t>VALUE</t>
  </si>
  <si>
    <t xml:space="preserve">VSM </t>
  </si>
  <si>
    <t>prep maquina</t>
  </si>
  <si>
    <t>operación de la maq</t>
  </si>
  <si>
    <t>Ratio</t>
  </si>
  <si>
    <t>OEE TOTAL</t>
  </si>
  <si>
    <t>Total Op</t>
  </si>
  <si>
    <t>Total Prep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</si>
</sst>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2"/>
      <color theme="0"/>
      <name val="Calibri"/>
      <family val="2"/>
    </font>
    <font>
      <u/>
      <sz val="10"/>
      <color theme="10"/>
      <name val="Arial"/>
      <family val="2"/>
    </font>
    <font>
      <u/>
      <sz val="10"/>
      <color theme="0"/>
      <name val="Arial"/>
      <family val="2"/>
    </font>
    <font>
      <sz val="10"/>
      <name val="Calibri"/>
      <family val="2"/>
    </font>
    <font>
      <sz val="7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16"/>
      <name val="Calibri"/>
      <family val="2"/>
    </font>
    <font>
      <b/>
      <sz val="10"/>
      <name val="Calibri"/>
      <family val="2"/>
    </font>
    <font>
      <b/>
      <sz val="14"/>
      <name val="Calibri"/>
      <family val="2"/>
    </font>
    <font>
      <sz val="11"/>
      <name val="Calibri"/>
      <family val="2"/>
    </font>
    <font>
      <b/>
      <sz val="7"/>
      <name val="Calibri"/>
      <family val="2"/>
    </font>
    <font>
      <b/>
      <sz val="12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ck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thick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dotted">
        <color indexed="64"/>
      </left>
      <right style="thick">
        <color indexed="64"/>
      </right>
      <top style="dotted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otted">
        <color indexed="64"/>
      </left>
      <right/>
      <top style="dotted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74">
    <xf numFmtId="0" fontId="0" fillId="0" borderId="0" xfId="0"/>
    <xf numFmtId="0" fontId="4" fillId="2" borderId="0" xfId="2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5" fillId="3" borderId="0" xfId="0" applyFont="1" applyFill="1"/>
    <xf numFmtId="0" fontId="6" fillId="3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7" fillId="3" borderId="1" xfId="0" applyFont="1" applyFill="1" applyBorder="1" applyAlignment="1">
      <alignment horizontal="right" vertical="center"/>
    </xf>
    <xf numFmtId="2" fontId="7" fillId="3" borderId="1" xfId="0" applyNumberFormat="1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6" fillId="3" borderId="0" xfId="0" applyFont="1" applyFill="1" applyAlignment="1">
      <alignment horizontal="right" vertical="center"/>
    </xf>
    <xf numFmtId="0" fontId="7" fillId="0" borderId="1" xfId="0" applyFont="1" applyBorder="1" applyAlignment="1">
      <alignment horizontal="right" vertical="center"/>
    </xf>
    <xf numFmtId="0" fontId="7" fillId="0" borderId="1" xfId="0" applyFont="1" applyBorder="1" applyAlignment="1">
      <alignment horizontal="center" vertical="center"/>
    </xf>
    <xf numFmtId="0" fontId="7" fillId="3" borderId="2" xfId="0" applyFont="1" applyFill="1" applyBorder="1" applyAlignment="1">
      <alignment horizontal="right" vertical="center"/>
    </xf>
    <xf numFmtId="0" fontId="7" fillId="3" borderId="2" xfId="0" applyFont="1" applyFill="1" applyBorder="1" applyAlignment="1">
      <alignment horizontal="center" vertical="center"/>
    </xf>
    <xf numFmtId="0" fontId="7" fillId="3" borderId="0" xfId="0" applyFont="1" applyFill="1" applyAlignment="1">
      <alignment horizontal="right" vertical="center"/>
    </xf>
    <xf numFmtId="0" fontId="5" fillId="3" borderId="3" xfId="0" applyFont="1" applyFill="1" applyBorder="1"/>
    <xf numFmtId="0" fontId="7" fillId="0" borderId="4" xfId="0" applyFont="1" applyBorder="1" applyAlignment="1">
      <alignment horizontal="right" vertical="center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right" vertical="center"/>
    </xf>
    <xf numFmtId="0" fontId="7" fillId="0" borderId="5" xfId="0" applyFont="1" applyBorder="1" applyAlignment="1">
      <alignment horizontal="center" vertical="center"/>
    </xf>
    <xf numFmtId="0" fontId="7" fillId="3" borderId="3" xfId="0" applyFont="1" applyFill="1" applyBorder="1" applyAlignment="1">
      <alignment vertical="center"/>
    </xf>
    <xf numFmtId="0" fontId="7" fillId="3" borderId="0" xfId="0" applyFont="1" applyFill="1"/>
    <xf numFmtId="9" fontId="7" fillId="3" borderId="1" xfId="0" applyNumberFormat="1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right" vertical="center"/>
    </xf>
    <xf numFmtId="0" fontId="7" fillId="3" borderId="5" xfId="0" applyFont="1" applyFill="1" applyBorder="1" applyAlignment="1">
      <alignment horizontal="center" vertical="center"/>
    </xf>
    <xf numFmtId="9" fontId="7" fillId="3" borderId="1" xfId="1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/>
    </xf>
    <xf numFmtId="0" fontId="7" fillId="3" borderId="7" xfId="0" applyFont="1" applyFill="1" applyBorder="1" applyAlignment="1">
      <alignment horizontal="center" vertical="center"/>
    </xf>
    <xf numFmtId="0" fontId="8" fillId="3" borderId="8" xfId="0" applyFont="1" applyFill="1" applyBorder="1" applyAlignment="1">
      <alignment horizontal="right"/>
    </xf>
    <xf numFmtId="0" fontId="7" fillId="3" borderId="9" xfId="0" applyFont="1" applyFill="1" applyBorder="1" applyAlignment="1">
      <alignment horizontal="center" vertical="center"/>
    </xf>
    <xf numFmtId="0" fontId="7" fillId="3" borderId="10" xfId="0" applyFont="1" applyFill="1" applyBorder="1" applyAlignment="1">
      <alignment horizontal="center" vertical="center"/>
    </xf>
    <xf numFmtId="0" fontId="7" fillId="3" borderId="11" xfId="0" applyFont="1" applyFill="1" applyBorder="1" applyAlignment="1">
      <alignment horizontal="center" vertical="center"/>
    </xf>
    <xf numFmtId="0" fontId="7" fillId="3" borderId="12" xfId="0" applyFont="1" applyFill="1" applyBorder="1" applyAlignment="1">
      <alignment horizontal="center" vertical="center"/>
    </xf>
    <xf numFmtId="164" fontId="8" fillId="3" borderId="13" xfId="0" applyNumberFormat="1" applyFont="1" applyFill="1" applyBorder="1"/>
    <xf numFmtId="0" fontId="7" fillId="3" borderId="14" xfId="0" applyFont="1" applyFill="1" applyBorder="1" applyAlignment="1">
      <alignment horizontal="center" vertical="center"/>
    </xf>
    <xf numFmtId="0" fontId="7" fillId="3" borderId="15" xfId="0" applyFont="1" applyFill="1" applyBorder="1" applyAlignment="1">
      <alignment horizontal="center" vertical="center"/>
    </xf>
    <xf numFmtId="0" fontId="7" fillId="3" borderId="16" xfId="0" applyFont="1" applyFill="1" applyBorder="1" applyAlignment="1">
      <alignment horizontal="center" vertical="center"/>
    </xf>
    <xf numFmtId="0" fontId="7" fillId="3" borderId="17" xfId="0" applyFont="1" applyFill="1" applyBorder="1" applyAlignment="1">
      <alignment horizontal="center" vertical="center"/>
    </xf>
    <xf numFmtId="0" fontId="7" fillId="3" borderId="18" xfId="0" applyFont="1" applyFill="1" applyBorder="1" applyAlignment="1">
      <alignment horizontal="center" vertical="center"/>
    </xf>
    <xf numFmtId="0" fontId="7" fillId="3" borderId="19" xfId="0" applyFont="1" applyFill="1" applyBorder="1" applyAlignment="1">
      <alignment horizontal="center" vertical="center"/>
    </xf>
    <xf numFmtId="164" fontId="8" fillId="3" borderId="8" xfId="0" applyNumberFormat="1" applyFont="1" applyFill="1" applyBorder="1"/>
    <xf numFmtId="0" fontId="7" fillId="3" borderId="20" xfId="0" applyFont="1" applyFill="1" applyBorder="1" applyAlignment="1">
      <alignment horizontal="center" vertical="center"/>
    </xf>
    <xf numFmtId="0" fontId="7" fillId="3" borderId="21" xfId="0" applyFont="1" applyFill="1" applyBorder="1" applyAlignment="1">
      <alignment horizontal="center" vertical="center"/>
    </xf>
    <xf numFmtId="164" fontId="8" fillId="3" borderId="22" xfId="0" applyNumberFormat="1" applyFont="1" applyFill="1" applyBorder="1"/>
    <xf numFmtId="164" fontId="5" fillId="3" borderId="0" xfId="0" applyNumberFormat="1" applyFont="1" applyFill="1"/>
    <xf numFmtId="0" fontId="9" fillId="3" borderId="0" xfId="0" applyFont="1" applyFill="1" applyAlignment="1">
      <alignment horizontal="left" vertical="center"/>
    </xf>
    <xf numFmtId="2" fontId="5" fillId="3" borderId="12" xfId="0" applyNumberFormat="1" applyFont="1" applyFill="1" applyBorder="1" applyAlignment="1">
      <alignment horizontal="center" vertical="center"/>
    </xf>
    <xf numFmtId="2" fontId="5" fillId="3" borderId="19" xfId="0" applyNumberFormat="1" applyFont="1" applyFill="1" applyBorder="1" applyAlignment="1">
      <alignment horizontal="center" vertical="center"/>
    </xf>
    <xf numFmtId="9" fontId="7" fillId="4" borderId="1" xfId="0" applyNumberFormat="1" applyFont="1" applyFill="1" applyBorder="1" applyAlignment="1">
      <alignment horizontal="center" vertical="center"/>
    </xf>
    <xf numFmtId="9" fontId="7" fillId="3" borderId="0" xfId="0" applyNumberFormat="1" applyFont="1" applyFill="1"/>
    <xf numFmtId="0" fontId="8" fillId="3" borderId="8" xfId="0" applyFont="1" applyFill="1" applyBorder="1" applyAlignment="1">
      <alignment horizontal="center"/>
    </xf>
    <xf numFmtId="2" fontId="10" fillId="3" borderId="13" xfId="0" applyNumberFormat="1" applyFont="1" applyFill="1" applyBorder="1" applyAlignment="1">
      <alignment horizontal="center"/>
    </xf>
    <xf numFmtId="2" fontId="10" fillId="3" borderId="8" xfId="0" applyNumberFormat="1" applyFont="1" applyFill="1" applyBorder="1" applyAlignment="1">
      <alignment horizontal="center"/>
    </xf>
    <xf numFmtId="2" fontId="10" fillId="3" borderId="22" xfId="0" applyNumberFormat="1" applyFont="1" applyFill="1" applyBorder="1" applyAlignment="1">
      <alignment horizontal="center"/>
    </xf>
    <xf numFmtId="0" fontId="8" fillId="3" borderId="0" xfId="0" applyFont="1" applyFill="1" applyAlignment="1">
      <alignment horizontal="center" vertical="center"/>
    </xf>
    <xf numFmtId="2" fontId="8" fillId="3" borderId="0" xfId="0" applyNumberFormat="1" applyFont="1" applyFill="1" applyAlignment="1">
      <alignment horizontal="center" vertical="center"/>
    </xf>
    <xf numFmtId="0" fontId="7" fillId="3" borderId="23" xfId="0" applyFont="1" applyFill="1" applyBorder="1" applyAlignment="1">
      <alignment horizontal="center" vertical="center"/>
    </xf>
    <xf numFmtId="0" fontId="7" fillId="3" borderId="24" xfId="0" applyFont="1" applyFill="1" applyBorder="1" applyAlignment="1">
      <alignment horizontal="center" vertical="center"/>
    </xf>
    <xf numFmtId="0" fontId="8" fillId="5" borderId="11" xfId="0" applyFont="1" applyFill="1" applyBorder="1" applyAlignment="1">
      <alignment horizontal="center" vertical="center"/>
    </xf>
    <xf numFmtId="9" fontId="8" fillId="5" borderId="12" xfId="1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right" vertical="center"/>
    </xf>
    <xf numFmtId="0" fontId="12" fillId="3" borderId="1" xfId="0" applyFont="1" applyFill="1" applyBorder="1" applyAlignment="1">
      <alignment horizontal="center" vertical="center"/>
    </xf>
    <xf numFmtId="9" fontId="12" fillId="3" borderId="1" xfId="1" applyFont="1" applyFill="1" applyBorder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0" fontId="13" fillId="3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 wrapText="1"/>
    </xf>
    <xf numFmtId="0" fontId="6" fillId="3" borderId="0" xfId="0" applyFont="1" applyFill="1" applyAlignment="1">
      <alignment horizontal="center" vertical="center"/>
    </xf>
    <xf numFmtId="9" fontId="11" fillId="3" borderId="0" xfId="0" applyNumberFormat="1" applyFont="1" applyFill="1" applyAlignment="1">
      <alignment horizontal="center" vertical="center"/>
    </xf>
    <xf numFmtId="0" fontId="11" fillId="3" borderId="0" xfId="0" applyFont="1" applyFill="1" applyAlignment="1">
      <alignment horizontal="center" vertical="center" wrapText="1"/>
    </xf>
    <xf numFmtId="0" fontId="14" fillId="3" borderId="0" xfId="0" applyFont="1" applyFill="1" applyAlignment="1">
      <alignment horizontal="center" vertical="center"/>
    </xf>
    <xf numFmtId="9" fontId="14" fillId="3" borderId="0" xfId="1" applyFont="1" applyFill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</cellXfs>
  <cellStyles count="3">
    <cellStyle name="Hipervínculo" xfId="2" builtinId="8"/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112059</xdr:colOff>
      <xdr:row>30</xdr:row>
      <xdr:rowOff>22412</xdr:rowOff>
    </xdr:from>
    <xdr:to>
      <xdr:col>8</xdr:col>
      <xdr:colOff>246529</xdr:colOff>
      <xdr:row>33</xdr:row>
      <xdr:rowOff>78441</xdr:rowOff>
    </xdr:to>
    <xdr:sp macro="" textlink="">
      <xdr:nvSpPr>
        <xdr:cNvPr id="2" name="Flecha derecha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2809539" y="4807772"/>
          <a:ext cx="606910" cy="421789"/>
        </a:xfrm>
        <a:prstGeom prst="rightArrow">
          <a:avLst/>
        </a:prstGeom>
        <a:pattFill prst="ltUpDiag">
          <a:fgClr>
            <a:schemeClr val="tx1"/>
          </a:fgClr>
          <a:bgClr>
            <a:schemeClr val="bg1">
              <a:lumMod val="95000"/>
            </a:schemeClr>
          </a:bgClr>
        </a:patt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2</xdr:col>
      <xdr:colOff>514350</xdr:colOff>
      <xdr:row>1</xdr:row>
      <xdr:rowOff>76200</xdr:rowOff>
    </xdr:from>
    <xdr:to>
      <xdr:col>47</xdr:col>
      <xdr:colOff>123825</xdr:colOff>
      <xdr:row>45</xdr:row>
      <xdr:rowOff>0</xdr:rowOff>
    </xdr:to>
    <xdr:sp macro="" textlink="">
      <xdr:nvSpPr>
        <xdr:cNvPr id="3" name="Rectangle 46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>
          <a:spLocks noChangeArrowheads="1"/>
        </xdr:cNvSpPr>
      </xdr:nvSpPr>
      <xdr:spPr bwMode="auto">
        <a:xfrm>
          <a:off x="811530" y="441960"/>
          <a:ext cx="10635615" cy="6172200"/>
        </a:xfrm>
        <a:prstGeom prst="rect">
          <a:avLst/>
        </a:prstGeom>
        <a:noFill/>
        <a:ln w="25400">
          <a:solidFill>
            <a:srgbClr val="002060"/>
          </a:solidFill>
          <a:prstDash val="dash"/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 editAs="oneCell">
    <xdr:from>
      <xdr:col>3</xdr:col>
      <xdr:colOff>459106</xdr:colOff>
      <xdr:row>23</xdr:row>
      <xdr:rowOff>64322</xdr:rowOff>
    </xdr:from>
    <xdr:to>
      <xdr:col>5</xdr:col>
      <xdr:colOff>76200</xdr:colOff>
      <xdr:row>26</xdr:row>
      <xdr:rowOff>32118</xdr:rowOff>
    </xdr:to>
    <xdr:pic>
      <xdr:nvPicPr>
        <xdr:cNvPr id="4" name="Picture 3" descr="VSM-Icons_Inventory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duotone>
            <a:prstClr val="black"/>
            <a:schemeClr val="accent2">
              <a:tint val="45000"/>
              <a:satMod val="400000"/>
            </a:scheme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 l="9735" t="5746" r="9735" b="3448"/>
        <a:stretch>
          <a:fillRect/>
        </a:stretch>
      </xdr:blipFill>
      <xdr:spPr bwMode="auto">
        <a:xfrm>
          <a:off x="1274446" y="3912422"/>
          <a:ext cx="485774" cy="3335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470535</xdr:colOff>
      <xdr:row>24</xdr:row>
      <xdr:rowOff>28575</xdr:rowOff>
    </xdr:from>
    <xdr:to>
      <xdr:col>9</xdr:col>
      <xdr:colOff>297180</xdr:colOff>
      <xdr:row>26</xdr:row>
      <xdr:rowOff>60143</xdr:rowOff>
    </xdr:to>
    <xdr:pic>
      <xdr:nvPicPr>
        <xdr:cNvPr id="5" name="Picture 5" descr="VSM-Icons_Inventory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duotone>
            <a:prstClr val="black"/>
            <a:schemeClr val="accent2">
              <a:tint val="45000"/>
              <a:satMod val="400000"/>
            </a:scheme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 l="9735" t="5746" r="9735" b="3448"/>
        <a:stretch>
          <a:fillRect/>
        </a:stretch>
      </xdr:blipFill>
      <xdr:spPr bwMode="auto">
        <a:xfrm>
          <a:off x="3168015" y="3998595"/>
          <a:ext cx="611505" cy="27540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514350</xdr:colOff>
      <xdr:row>24</xdr:row>
      <xdr:rowOff>28575</xdr:rowOff>
    </xdr:from>
    <xdr:to>
      <xdr:col>13</xdr:col>
      <xdr:colOff>401139</xdr:colOff>
      <xdr:row>26</xdr:row>
      <xdr:rowOff>60143</xdr:rowOff>
    </xdr:to>
    <xdr:pic>
      <xdr:nvPicPr>
        <xdr:cNvPr id="6" name="Picture 7" descr="VSM-Icons_Inventory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duotone>
            <a:prstClr val="black"/>
            <a:schemeClr val="accent2">
              <a:tint val="45000"/>
              <a:satMod val="400000"/>
            </a:scheme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 l="9735" t="5746" r="9735" b="3448"/>
        <a:stretch>
          <a:fillRect/>
        </a:stretch>
      </xdr:blipFill>
      <xdr:spPr bwMode="auto">
        <a:xfrm>
          <a:off x="4926330" y="4082415"/>
          <a:ext cx="374469" cy="27540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15</xdr:col>
      <xdr:colOff>369570</xdr:colOff>
      <xdr:row>23</xdr:row>
      <xdr:rowOff>76200</xdr:rowOff>
    </xdr:from>
    <xdr:to>
      <xdr:col>17</xdr:col>
      <xdr:colOff>508089</xdr:colOff>
      <xdr:row>26</xdr:row>
      <xdr:rowOff>43996</xdr:rowOff>
    </xdr:to>
    <xdr:pic>
      <xdr:nvPicPr>
        <xdr:cNvPr id="7" name="Picture 9" descr="VSM-Icons_Inventory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duotone>
            <a:prstClr val="black"/>
            <a:schemeClr val="accent2">
              <a:tint val="45000"/>
              <a:satMod val="400000"/>
            </a:scheme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 l="9735" t="5746" r="9735" b="3448"/>
        <a:stretch>
          <a:fillRect/>
        </a:stretch>
      </xdr:blipFill>
      <xdr:spPr bwMode="auto">
        <a:xfrm>
          <a:off x="6579870" y="3924300"/>
          <a:ext cx="892899" cy="3335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19</xdr:col>
      <xdr:colOff>409575</xdr:colOff>
      <xdr:row>24</xdr:row>
      <xdr:rowOff>0</xdr:rowOff>
    </xdr:from>
    <xdr:to>
      <xdr:col>21</xdr:col>
      <xdr:colOff>542381</xdr:colOff>
      <xdr:row>26</xdr:row>
      <xdr:rowOff>32475</xdr:rowOff>
    </xdr:to>
    <xdr:pic>
      <xdr:nvPicPr>
        <xdr:cNvPr id="8" name="Picture 11" descr="VSM-Icons_Inventory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duotone>
            <a:prstClr val="black"/>
            <a:schemeClr val="accent2">
              <a:tint val="45000"/>
              <a:satMod val="400000"/>
            </a:scheme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 l="9735" t="5746" r="9735" b="3448"/>
        <a:stretch>
          <a:fillRect/>
        </a:stretch>
      </xdr:blipFill>
      <xdr:spPr bwMode="auto">
        <a:xfrm>
          <a:off x="8319135" y="4053840"/>
          <a:ext cx="407126" cy="2763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43</xdr:col>
      <xdr:colOff>367665</xdr:colOff>
      <xdr:row>23</xdr:row>
      <xdr:rowOff>100965</xdr:rowOff>
    </xdr:from>
    <xdr:to>
      <xdr:col>45</xdr:col>
      <xdr:colOff>121920</xdr:colOff>
      <xdr:row>26</xdr:row>
      <xdr:rowOff>54843</xdr:rowOff>
    </xdr:to>
    <xdr:pic>
      <xdr:nvPicPr>
        <xdr:cNvPr id="9" name="Picture 13" descr="VSM-Icons_Inventory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duotone>
            <a:prstClr val="black"/>
            <a:schemeClr val="accent2">
              <a:tint val="45000"/>
              <a:satMod val="400000"/>
            </a:scheme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 l="9735" t="5746" r="9735" b="3448"/>
        <a:stretch>
          <a:fillRect/>
        </a:stretch>
      </xdr:blipFill>
      <xdr:spPr bwMode="auto">
        <a:xfrm>
          <a:off x="18556605" y="3949065"/>
          <a:ext cx="607695" cy="31963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49</xdr:col>
      <xdr:colOff>381000</xdr:colOff>
      <xdr:row>19</xdr:row>
      <xdr:rowOff>44317</xdr:rowOff>
    </xdr:from>
    <xdr:to>
      <xdr:col>50</xdr:col>
      <xdr:colOff>408940</xdr:colOff>
      <xdr:row>24</xdr:row>
      <xdr:rowOff>4221</xdr:rowOff>
    </xdr:to>
    <xdr:pic>
      <xdr:nvPicPr>
        <xdr:cNvPr id="10" name="Picture 30" descr="VSM-Icons_Truck-Shipment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80" t="13792" r="4425" b="12643"/>
        <a:stretch>
          <a:fillRect/>
        </a:stretch>
      </xdr:blipFill>
      <xdr:spPr bwMode="auto">
        <a:xfrm>
          <a:off x="21463000" y="3460617"/>
          <a:ext cx="777240" cy="5949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208990</xdr:colOff>
      <xdr:row>14</xdr:row>
      <xdr:rowOff>173627</xdr:rowOff>
    </xdr:from>
    <xdr:to>
      <xdr:col>6</xdr:col>
      <xdr:colOff>281940</xdr:colOff>
      <xdr:row>20</xdr:row>
      <xdr:rowOff>64011</xdr:rowOff>
    </xdr:to>
    <xdr:pic>
      <xdr:nvPicPr>
        <xdr:cNvPr id="11" name="Picture 38" descr="VSM-Icons_Truck-Shipment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80" t="13792" r="4425" b="12643"/>
        <a:stretch>
          <a:fillRect/>
        </a:stretch>
      </xdr:blipFill>
      <xdr:spPr bwMode="auto">
        <a:xfrm>
          <a:off x="208990" y="2817767"/>
          <a:ext cx="2366570" cy="72858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89647</xdr:colOff>
      <xdr:row>30</xdr:row>
      <xdr:rowOff>33618</xdr:rowOff>
    </xdr:from>
    <xdr:to>
      <xdr:col>6</xdr:col>
      <xdr:colOff>381000</xdr:colOff>
      <xdr:row>33</xdr:row>
      <xdr:rowOff>56029</xdr:rowOff>
    </xdr:to>
    <xdr:sp macro="" textlink="">
      <xdr:nvSpPr>
        <xdr:cNvPr id="12" name="Rectángulo redondeado 12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1773667" y="4818978"/>
          <a:ext cx="900953" cy="388171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AR" sz="1100" b="1"/>
            <a:t>Pulper</a:t>
          </a:r>
        </a:p>
      </xdr:txBody>
    </xdr:sp>
    <xdr:clientData/>
  </xdr:twoCellAnchor>
  <xdr:twoCellAnchor>
    <xdr:from>
      <xdr:col>9</xdr:col>
      <xdr:colOff>62753</xdr:colOff>
      <xdr:row>30</xdr:row>
      <xdr:rowOff>17930</xdr:rowOff>
    </xdr:from>
    <xdr:to>
      <xdr:col>11</xdr:col>
      <xdr:colOff>6724</xdr:colOff>
      <xdr:row>33</xdr:row>
      <xdr:rowOff>40341</xdr:rowOff>
    </xdr:to>
    <xdr:sp macro="" textlink="">
      <xdr:nvSpPr>
        <xdr:cNvPr id="13" name="Rectángulo redondeado 13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3545093" y="4803290"/>
          <a:ext cx="888851" cy="388171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AR" sz="1100" b="1"/>
            <a:t>UT1</a:t>
          </a:r>
        </a:p>
      </xdr:txBody>
    </xdr:sp>
    <xdr:clientData/>
  </xdr:twoCellAnchor>
  <xdr:twoCellAnchor>
    <xdr:from>
      <xdr:col>13</xdr:col>
      <xdr:colOff>47064</xdr:colOff>
      <xdr:row>30</xdr:row>
      <xdr:rowOff>24654</xdr:rowOff>
    </xdr:from>
    <xdr:to>
      <xdr:col>15</xdr:col>
      <xdr:colOff>80682</xdr:colOff>
      <xdr:row>33</xdr:row>
      <xdr:rowOff>47065</xdr:rowOff>
    </xdr:to>
    <xdr:sp macro="" textlink="">
      <xdr:nvSpPr>
        <xdr:cNvPr id="14" name="Rectángulo redondeado 14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5327724" y="4810014"/>
          <a:ext cx="963258" cy="388171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AR" sz="1100" b="1"/>
            <a:t>Destintado</a:t>
          </a:r>
        </a:p>
      </xdr:txBody>
    </xdr:sp>
    <xdr:clientData/>
  </xdr:twoCellAnchor>
  <xdr:twoCellAnchor>
    <xdr:from>
      <xdr:col>17</xdr:col>
      <xdr:colOff>64994</xdr:colOff>
      <xdr:row>30</xdr:row>
      <xdr:rowOff>20172</xdr:rowOff>
    </xdr:from>
    <xdr:to>
      <xdr:col>19</xdr:col>
      <xdr:colOff>91440</xdr:colOff>
      <xdr:row>33</xdr:row>
      <xdr:rowOff>42583</xdr:rowOff>
    </xdr:to>
    <xdr:sp macro="" textlink="">
      <xdr:nvSpPr>
        <xdr:cNvPr id="15" name="Rectángulo redondeado 15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/>
      </xdr:nvSpPr>
      <xdr:spPr>
        <a:xfrm>
          <a:off x="7029674" y="4721712"/>
          <a:ext cx="971326" cy="388171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AR" sz="1100" b="1"/>
            <a:t>Blanqueado</a:t>
          </a:r>
        </a:p>
      </xdr:txBody>
    </xdr:sp>
    <xdr:clientData/>
  </xdr:twoCellAnchor>
  <xdr:twoCellAnchor>
    <xdr:from>
      <xdr:col>41</xdr:col>
      <xdr:colOff>68581</xdr:colOff>
      <xdr:row>29</xdr:row>
      <xdr:rowOff>114302</xdr:rowOff>
    </xdr:from>
    <xdr:to>
      <xdr:col>43</xdr:col>
      <xdr:colOff>99061</xdr:colOff>
      <xdr:row>34</xdr:row>
      <xdr:rowOff>7620</xdr:rowOff>
    </xdr:to>
    <xdr:sp macro="" textlink="">
      <xdr:nvSpPr>
        <xdr:cNvPr id="16" name="Rectángulo redondeado 16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17373601" y="4693922"/>
          <a:ext cx="914400" cy="502918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 anchorCtr="0"/>
        <a:lstStyle/>
        <a:p>
          <a:pPr algn="ctr"/>
          <a:r>
            <a:rPr lang="es-AR" sz="1100" b="1"/>
            <a:t>Perforado/Anillado</a:t>
          </a:r>
        </a:p>
      </xdr:txBody>
    </xdr:sp>
    <xdr:clientData/>
  </xdr:twoCellAnchor>
  <xdr:twoCellAnchor>
    <xdr:from>
      <xdr:col>45</xdr:col>
      <xdr:colOff>100853</xdr:colOff>
      <xdr:row>30</xdr:row>
      <xdr:rowOff>33620</xdr:rowOff>
    </xdr:from>
    <xdr:to>
      <xdr:col>47</xdr:col>
      <xdr:colOff>0</xdr:colOff>
      <xdr:row>33</xdr:row>
      <xdr:rowOff>56031</xdr:rowOff>
    </xdr:to>
    <xdr:sp macro="" textlink="">
      <xdr:nvSpPr>
        <xdr:cNvPr id="17" name="Rectángulo redondeado 17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/>
      </xdr:nvSpPr>
      <xdr:spPr>
        <a:xfrm>
          <a:off x="10509773" y="4818980"/>
          <a:ext cx="813547" cy="388171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AR" sz="1100" b="1"/>
            <a:t>Empaquetado</a:t>
          </a:r>
        </a:p>
      </xdr:txBody>
    </xdr:sp>
    <xdr:clientData/>
  </xdr:twoCellAnchor>
  <xdr:twoCellAnchor>
    <xdr:from>
      <xdr:col>9</xdr:col>
      <xdr:colOff>129240</xdr:colOff>
      <xdr:row>7</xdr:row>
      <xdr:rowOff>2562</xdr:rowOff>
    </xdr:from>
    <xdr:to>
      <xdr:col>12</xdr:col>
      <xdr:colOff>292099</xdr:colOff>
      <xdr:row>10</xdr:row>
      <xdr:rowOff>24972</xdr:rowOff>
    </xdr:to>
    <xdr:sp macro="" textlink="">
      <xdr:nvSpPr>
        <xdr:cNvPr id="18" name="Rectángulo redondeado 18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3621740" y="1437662"/>
          <a:ext cx="1623359" cy="555810"/>
        </a:xfrm>
        <a:prstGeom prst="roundRect">
          <a:avLst/>
        </a:prstGeom>
        <a:solidFill>
          <a:srgbClr val="0070C0"/>
        </a:solidFill>
        <a:ln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AR" sz="1100" b="1"/>
            <a:t>PLANEAMIENTO</a:t>
          </a:r>
        </a:p>
      </xdr:txBody>
    </xdr:sp>
    <xdr:clientData/>
  </xdr:twoCellAnchor>
  <xdr:twoCellAnchor>
    <xdr:from>
      <xdr:col>43</xdr:col>
      <xdr:colOff>253253</xdr:colOff>
      <xdr:row>30</xdr:row>
      <xdr:rowOff>17930</xdr:rowOff>
    </xdr:from>
    <xdr:to>
      <xdr:col>44</xdr:col>
      <xdr:colOff>387723</xdr:colOff>
      <xdr:row>33</xdr:row>
      <xdr:rowOff>73959</xdr:rowOff>
    </xdr:to>
    <xdr:sp macro="" textlink="">
      <xdr:nvSpPr>
        <xdr:cNvPr id="19" name="Flecha derecha 19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/>
      </xdr:nvSpPr>
      <xdr:spPr>
        <a:xfrm>
          <a:off x="9808733" y="4803290"/>
          <a:ext cx="599290" cy="421789"/>
        </a:xfrm>
        <a:prstGeom prst="rightArrow">
          <a:avLst/>
        </a:prstGeom>
        <a:pattFill prst="ltUpDiag">
          <a:fgClr>
            <a:schemeClr val="tx1"/>
          </a:fgClr>
          <a:bgClr>
            <a:schemeClr val="bg1">
              <a:lumMod val="95000"/>
            </a:schemeClr>
          </a:bgClr>
        </a:patt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19</xdr:col>
      <xdr:colOff>226359</xdr:colOff>
      <xdr:row>30</xdr:row>
      <xdr:rowOff>13447</xdr:rowOff>
    </xdr:from>
    <xdr:to>
      <xdr:col>20</xdr:col>
      <xdr:colOff>360829</xdr:colOff>
      <xdr:row>33</xdr:row>
      <xdr:rowOff>69476</xdr:rowOff>
    </xdr:to>
    <xdr:sp macro="" textlink="">
      <xdr:nvSpPr>
        <xdr:cNvPr id="20" name="Flecha derecha 20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8135919" y="4798807"/>
          <a:ext cx="538330" cy="421789"/>
        </a:xfrm>
        <a:prstGeom prst="rightArrow">
          <a:avLst/>
        </a:prstGeom>
        <a:pattFill prst="ltUpDiag">
          <a:fgClr>
            <a:schemeClr val="tx1"/>
          </a:fgClr>
          <a:bgClr>
            <a:schemeClr val="bg1">
              <a:lumMod val="95000"/>
            </a:schemeClr>
          </a:bgClr>
        </a:patt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15</xdr:col>
      <xdr:colOff>255495</xdr:colOff>
      <xdr:row>30</xdr:row>
      <xdr:rowOff>20171</xdr:rowOff>
    </xdr:from>
    <xdr:to>
      <xdr:col>16</xdr:col>
      <xdr:colOff>389965</xdr:colOff>
      <xdr:row>33</xdr:row>
      <xdr:rowOff>76200</xdr:rowOff>
    </xdr:to>
    <xdr:sp macro="" textlink="">
      <xdr:nvSpPr>
        <xdr:cNvPr id="21" name="Flecha derecha 21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/>
      </xdr:nvSpPr>
      <xdr:spPr>
        <a:xfrm>
          <a:off x="6465795" y="4805531"/>
          <a:ext cx="500230" cy="421789"/>
        </a:xfrm>
        <a:prstGeom prst="rightArrow">
          <a:avLst/>
        </a:prstGeom>
        <a:pattFill prst="ltUpDiag">
          <a:fgClr>
            <a:schemeClr val="tx1"/>
          </a:fgClr>
          <a:bgClr>
            <a:schemeClr val="bg1">
              <a:lumMod val="95000"/>
            </a:schemeClr>
          </a:bgClr>
        </a:patt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11</xdr:col>
      <xdr:colOff>150160</xdr:colOff>
      <xdr:row>30</xdr:row>
      <xdr:rowOff>26895</xdr:rowOff>
    </xdr:from>
    <xdr:to>
      <xdr:col>12</xdr:col>
      <xdr:colOff>284630</xdr:colOff>
      <xdr:row>33</xdr:row>
      <xdr:rowOff>82924</xdr:rowOff>
    </xdr:to>
    <xdr:sp macro="" textlink="">
      <xdr:nvSpPr>
        <xdr:cNvPr id="22" name="Flecha derecha 22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4577380" y="4812255"/>
          <a:ext cx="637390" cy="421789"/>
        </a:xfrm>
        <a:prstGeom prst="rightArrow">
          <a:avLst/>
        </a:prstGeom>
        <a:pattFill prst="ltUpDiag">
          <a:fgClr>
            <a:schemeClr val="tx1"/>
          </a:fgClr>
          <a:bgClr>
            <a:schemeClr val="bg1">
              <a:lumMod val="95000"/>
            </a:schemeClr>
          </a:bgClr>
        </a:patt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2</xdr:col>
      <xdr:colOff>44823</xdr:colOff>
      <xdr:row>21</xdr:row>
      <xdr:rowOff>44818</xdr:rowOff>
    </xdr:from>
    <xdr:to>
      <xdr:col>4</xdr:col>
      <xdr:colOff>336176</xdr:colOff>
      <xdr:row>33</xdr:row>
      <xdr:rowOff>89643</xdr:rowOff>
    </xdr:to>
    <xdr:sp macro="" textlink="">
      <xdr:nvSpPr>
        <xdr:cNvPr id="23" name="Flecha doblada 23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/>
      </xdr:nvSpPr>
      <xdr:spPr>
        <a:xfrm flipV="1">
          <a:off x="380103" y="3732898"/>
          <a:ext cx="1274333" cy="1507865"/>
        </a:xfrm>
        <a:prstGeom prst="bentArrow">
          <a:avLst>
            <a:gd name="adj1" fmla="val 14371"/>
            <a:gd name="adj2" fmla="val 15250"/>
            <a:gd name="adj3" fmla="val 16129"/>
            <a:gd name="adj4" fmla="val 43750"/>
          </a:avLst>
        </a:prstGeom>
        <a:pattFill prst="ltUpDiag">
          <a:fgClr>
            <a:schemeClr val="tx1"/>
          </a:fgClr>
          <a:bgClr>
            <a:schemeClr val="bg1">
              <a:lumMod val="95000"/>
            </a:schemeClr>
          </a:bgClr>
        </a:patt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s-AR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372316</xdr:colOff>
      <xdr:row>7</xdr:row>
      <xdr:rowOff>40856</xdr:rowOff>
    </xdr:from>
    <xdr:to>
      <xdr:col>8</xdr:col>
      <xdr:colOff>211057</xdr:colOff>
      <xdr:row>10</xdr:row>
      <xdr:rowOff>96885</xdr:rowOff>
    </xdr:to>
    <xdr:sp macro="" textlink="">
      <xdr:nvSpPr>
        <xdr:cNvPr id="24" name="Flecha derecha 24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 rot="10966872">
          <a:off x="707596" y="1458176"/>
          <a:ext cx="2673381" cy="581809"/>
        </a:xfrm>
        <a:prstGeom prst="rightArrow">
          <a:avLst/>
        </a:prstGeom>
        <a:pattFill prst="ltUpDiag">
          <a:fgClr>
            <a:schemeClr val="tx1"/>
          </a:fgClr>
          <a:bgClr>
            <a:schemeClr val="bg1">
              <a:lumMod val="95000"/>
            </a:schemeClr>
          </a:bgClr>
        </a:patt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0</xdr:col>
      <xdr:colOff>91441</xdr:colOff>
      <xdr:row>6</xdr:row>
      <xdr:rowOff>7284</xdr:rowOff>
    </xdr:from>
    <xdr:to>
      <xdr:col>2</xdr:col>
      <xdr:colOff>345979</xdr:colOff>
      <xdr:row>9</xdr:row>
      <xdr:rowOff>90768</xdr:rowOff>
    </xdr:to>
    <xdr:grpSp>
      <xdr:nvGrpSpPr>
        <xdr:cNvPr id="25" name="Grupo 25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GrpSpPr/>
      </xdr:nvGrpSpPr>
      <xdr:grpSpPr>
        <a:xfrm>
          <a:off x="91441" y="1178859"/>
          <a:ext cx="578388" cy="569259"/>
          <a:chOff x="210672" y="690843"/>
          <a:chExt cx="594748" cy="419660"/>
        </a:xfrm>
      </xdr:grpSpPr>
      <xdr:pic>
        <xdr:nvPicPr>
          <xdr:cNvPr id="26" name="Picture 2" descr="VSM-Icons_Outside-SourcesTra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4425" t="4347" r="4425" b="4347"/>
          <a:stretch>
            <a:fillRect/>
          </a:stretch>
        </xdr:blipFill>
        <xdr:spPr bwMode="auto">
          <a:xfrm>
            <a:off x="210672" y="690843"/>
            <a:ext cx="594748" cy="41966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27" name="Rectángulo 27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224118" y="874059"/>
            <a:ext cx="571500" cy="224118"/>
          </a:xfrm>
          <a:prstGeom prst="rect">
            <a:avLst/>
          </a:prstGeom>
          <a:solidFill>
            <a:schemeClr val="bg1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lang="es-AR" sz="800" b="1">
                <a:solidFill>
                  <a:sysClr val="windowText" lastClr="000000"/>
                </a:solidFill>
              </a:rPr>
              <a:t>PROVEEDOR</a:t>
            </a:r>
          </a:p>
        </xdr:txBody>
      </xdr:sp>
    </xdr:grpSp>
    <xdr:clientData/>
  </xdr:twoCellAnchor>
  <xdr:twoCellAnchor>
    <xdr:from>
      <xdr:col>21</xdr:col>
      <xdr:colOff>3734</xdr:colOff>
      <xdr:row>5</xdr:row>
      <xdr:rowOff>56242</xdr:rowOff>
    </xdr:from>
    <xdr:to>
      <xdr:col>22</xdr:col>
      <xdr:colOff>381000</xdr:colOff>
      <xdr:row>8</xdr:row>
      <xdr:rowOff>59604</xdr:rowOff>
    </xdr:to>
    <xdr:sp macro="" textlink="">
      <xdr:nvSpPr>
        <xdr:cNvPr id="28" name="Rectángulo redondeado 28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8703234" y="1135742"/>
          <a:ext cx="936066" cy="536762"/>
        </a:xfrm>
        <a:prstGeom prst="roundRect">
          <a:avLst/>
        </a:prstGeom>
        <a:solidFill>
          <a:srgbClr val="0070C0"/>
        </a:solidFill>
        <a:ln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AR" sz="1100" b="1"/>
            <a:t>COMERCIAL</a:t>
          </a:r>
        </a:p>
      </xdr:txBody>
    </xdr:sp>
    <xdr:clientData/>
  </xdr:twoCellAnchor>
  <xdr:twoCellAnchor>
    <xdr:from>
      <xdr:col>20</xdr:col>
      <xdr:colOff>343378</xdr:colOff>
      <xdr:row>8</xdr:row>
      <xdr:rowOff>175399</xdr:rowOff>
    </xdr:from>
    <xdr:to>
      <xdr:col>22</xdr:col>
      <xdr:colOff>368299</xdr:colOff>
      <xdr:row>12</xdr:row>
      <xdr:rowOff>20010</xdr:rowOff>
    </xdr:to>
    <xdr:sp macro="" textlink="">
      <xdr:nvSpPr>
        <xdr:cNvPr id="29" name="Rectángulo redondeado 29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/>
      </xdr:nvSpPr>
      <xdr:spPr>
        <a:xfrm>
          <a:off x="8687278" y="1788299"/>
          <a:ext cx="939321" cy="555811"/>
        </a:xfrm>
        <a:prstGeom prst="roundRect">
          <a:avLst/>
        </a:prstGeom>
        <a:solidFill>
          <a:srgbClr val="0070C0"/>
        </a:solidFill>
        <a:ln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s-AR" sz="1100" b="1"/>
            <a:t>OFICINA TÉCNICA</a:t>
          </a:r>
        </a:p>
      </xdr:txBody>
    </xdr:sp>
    <xdr:clientData/>
  </xdr:twoCellAnchor>
  <xdr:twoCellAnchor>
    <xdr:from>
      <xdr:col>21</xdr:col>
      <xdr:colOff>5976</xdr:colOff>
      <xdr:row>12</xdr:row>
      <xdr:rowOff>81055</xdr:rowOff>
    </xdr:from>
    <xdr:to>
      <xdr:col>22</xdr:col>
      <xdr:colOff>375022</xdr:colOff>
      <xdr:row>15</xdr:row>
      <xdr:rowOff>172410</xdr:rowOff>
    </xdr:to>
    <xdr:sp macro="" textlink="">
      <xdr:nvSpPr>
        <xdr:cNvPr id="30" name="Rectángulo redondeado 30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>
          <a:off x="8705476" y="2405155"/>
          <a:ext cx="927846" cy="624755"/>
        </a:xfrm>
        <a:prstGeom prst="roundRect">
          <a:avLst/>
        </a:prstGeom>
        <a:solidFill>
          <a:srgbClr val="0070C0"/>
        </a:solidFill>
        <a:ln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AR" sz="1100" b="1"/>
            <a:t>FINANZAS</a:t>
          </a:r>
        </a:p>
      </xdr:txBody>
    </xdr:sp>
    <xdr:clientData/>
  </xdr:twoCellAnchor>
  <xdr:twoCellAnchor>
    <xdr:from>
      <xdr:col>12</xdr:col>
      <xdr:colOff>12181</xdr:colOff>
      <xdr:row>7</xdr:row>
      <xdr:rowOff>84558</xdr:rowOff>
    </xdr:from>
    <xdr:to>
      <xdr:col>18</xdr:col>
      <xdr:colOff>204836</xdr:colOff>
      <xdr:row>24</xdr:row>
      <xdr:rowOff>520</xdr:rowOff>
    </xdr:to>
    <xdr:sp macro="" textlink="">
      <xdr:nvSpPr>
        <xdr:cNvPr id="31" name="Flecha doblada 31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/>
      </xdr:nvSpPr>
      <xdr:spPr>
        <a:xfrm rot="2443012" flipH="1" flipV="1">
          <a:off x="4965181" y="1519658"/>
          <a:ext cx="2834255" cy="2532162"/>
        </a:xfrm>
        <a:prstGeom prst="bentArrow">
          <a:avLst>
            <a:gd name="adj1" fmla="val 18971"/>
            <a:gd name="adj2" fmla="val 20083"/>
            <a:gd name="adj3" fmla="val 20728"/>
            <a:gd name="adj4" fmla="val 89403"/>
          </a:avLst>
        </a:prstGeom>
        <a:pattFill prst="ltUpDiag">
          <a:fgClr>
            <a:schemeClr val="tx1"/>
          </a:fgClr>
          <a:bgClr>
            <a:schemeClr val="bg1">
              <a:lumMod val="95000"/>
            </a:schemeClr>
          </a:bgClr>
        </a:patt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s-AR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46</xdr:col>
      <xdr:colOff>224467</xdr:colOff>
      <xdr:row>6</xdr:row>
      <xdr:rowOff>11558</xdr:rowOff>
    </xdr:from>
    <xdr:to>
      <xdr:col>47</xdr:col>
      <xdr:colOff>288843</xdr:colOff>
      <xdr:row>29</xdr:row>
      <xdr:rowOff>90798</xdr:rowOff>
    </xdr:to>
    <xdr:sp macro="" textlink="">
      <xdr:nvSpPr>
        <xdr:cNvPr id="32" name="Flecha derecha 32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 rot="17224988" flipV="1">
          <a:off x="18346285" y="2806640"/>
          <a:ext cx="3508240" cy="432676"/>
        </a:xfrm>
        <a:prstGeom prst="rightArrow">
          <a:avLst/>
        </a:prstGeom>
        <a:pattFill prst="ltUpDiag">
          <a:fgClr>
            <a:schemeClr val="tx1"/>
          </a:fgClr>
          <a:bgClr>
            <a:schemeClr val="bg1">
              <a:lumMod val="95000"/>
            </a:schemeClr>
          </a:bgClr>
        </a:patt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25</xdr:col>
      <xdr:colOff>141495</xdr:colOff>
      <xdr:row>5</xdr:row>
      <xdr:rowOff>18460</xdr:rowOff>
    </xdr:from>
    <xdr:to>
      <xdr:col>47</xdr:col>
      <xdr:colOff>90448</xdr:colOff>
      <xdr:row>8</xdr:row>
      <xdr:rowOff>139229</xdr:rowOff>
    </xdr:to>
    <xdr:sp macro="" textlink="">
      <xdr:nvSpPr>
        <xdr:cNvPr id="33" name="Flecha derecha 33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/>
      </xdr:nvSpPr>
      <xdr:spPr>
        <a:xfrm rot="10402870">
          <a:off x="10657095" y="1097960"/>
          <a:ext cx="9461253" cy="654169"/>
        </a:xfrm>
        <a:prstGeom prst="rightArrow">
          <a:avLst>
            <a:gd name="adj1" fmla="val 47757"/>
            <a:gd name="adj2" fmla="val 50000"/>
          </a:avLst>
        </a:prstGeom>
        <a:pattFill prst="ltUpDiag">
          <a:fgClr>
            <a:schemeClr val="tx1"/>
          </a:fgClr>
          <a:bgClr>
            <a:schemeClr val="bg1">
              <a:lumMod val="95000"/>
            </a:schemeClr>
          </a:bgClr>
        </a:patt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47</xdr:col>
      <xdr:colOff>299151</xdr:colOff>
      <xdr:row>2</xdr:row>
      <xdr:rowOff>1728</xdr:rowOff>
    </xdr:from>
    <xdr:to>
      <xdr:col>48</xdr:col>
      <xdr:colOff>470597</xdr:colOff>
      <xdr:row>5</xdr:row>
      <xdr:rowOff>143950</xdr:rowOff>
    </xdr:to>
    <xdr:grpSp>
      <xdr:nvGrpSpPr>
        <xdr:cNvPr id="34" name="Grupo 34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GrpSpPr/>
      </xdr:nvGrpSpPr>
      <xdr:grpSpPr>
        <a:xfrm>
          <a:off x="19682526" y="525603"/>
          <a:ext cx="581021" cy="627997"/>
          <a:chOff x="210672" y="690843"/>
          <a:chExt cx="594748" cy="419660"/>
        </a:xfrm>
      </xdr:grpSpPr>
      <xdr:pic>
        <xdr:nvPicPr>
          <xdr:cNvPr id="35" name="Picture 2" descr="VSM-Icons_Outside-SourcesTra">
            <a:extLst>
              <a:ext uri="{FF2B5EF4-FFF2-40B4-BE49-F238E27FC236}">
                <a16:creationId xmlns:a16="http://schemas.microsoft.com/office/drawing/2014/main" id="{00000000-0008-0000-0000-000023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4425" t="4347" r="4425" b="4347"/>
          <a:stretch>
            <a:fillRect/>
          </a:stretch>
        </xdr:blipFill>
        <xdr:spPr bwMode="auto">
          <a:xfrm>
            <a:off x="210672" y="690843"/>
            <a:ext cx="594748" cy="41966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36" name="Rectángulo 36">
            <a:extLst>
              <a:ext uri="{FF2B5EF4-FFF2-40B4-BE49-F238E27FC236}">
                <a16:creationId xmlns:a16="http://schemas.microsoft.com/office/drawing/2014/main" id="{00000000-0008-0000-0000-000024000000}"/>
              </a:ext>
            </a:extLst>
          </xdr:cNvPr>
          <xdr:cNvSpPr/>
        </xdr:nvSpPr>
        <xdr:spPr>
          <a:xfrm>
            <a:off x="224118" y="874059"/>
            <a:ext cx="571500" cy="224118"/>
          </a:xfrm>
          <a:prstGeom prst="rect">
            <a:avLst/>
          </a:prstGeom>
          <a:solidFill>
            <a:schemeClr val="bg1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lang="es-AR" sz="800" b="1">
                <a:solidFill>
                  <a:sysClr val="windowText" lastClr="000000"/>
                </a:solidFill>
              </a:rPr>
              <a:t>CLIENTE</a:t>
            </a:r>
          </a:p>
        </xdr:txBody>
      </xdr:sp>
    </xdr:grpSp>
    <xdr:clientData/>
  </xdr:twoCellAnchor>
  <xdr:twoCellAnchor editAs="oneCell">
    <xdr:from>
      <xdr:col>23</xdr:col>
      <xdr:colOff>514350</xdr:colOff>
      <xdr:row>24</xdr:row>
      <xdr:rowOff>28575</xdr:rowOff>
    </xdr:from>
    <xdr:to>
      <xdr:col>25</xdr:col>
      <xdr:colOff>401139</xdr:colOff>
      <xdr:row>26</xdr:row>
      <xdr:rowOff>60143</xdr:rowOff>
    </xdr:to>
    <xdr:pic>
      <xdr:nvPicPr>
        <xdr:cNvPr id="45" name="Picture 7" descr="VSM-Icons_Inventory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duotone>
            <a:prstClr val="black"/>
            <a:schemeClr val="accent2">
              <a:tint val="45000"/>
              <a:satMod val="400000"/>
            </a:scheme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 l="9735" t="5746" r="9735" b="3448"/>
        <a:stretch>
          <a:fillRect/>
        </a:stretch>
      </xdr:blipFill>
      <xdr:spPr bwMode="auto">
        <a:xfrm>
          <a:off x="4926330" y="3998595"/>
          <a:ext cx="755469" cy="27540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28</xdr:col>
      <xdr:colOff>11430</xdr:colOff>
      <xdr:row>23</xdr:row>
      <xdr:rowOff>83820</xdr:rowOff>
    </xdr:from>
    <xdr:to>
      <xdr:col>29</xdr:col>
      <xdr:colOff>553809</xdr:colOff>
      <xdr:row>26</xdr:row>
      <xdr:rowOff>51616</xdr:rowOff>
    </xdr:to>
    <xdr:pic>
      <xdr:nvPicPr>
        <xdr:cNvPr id="46" name="Picture 9" descr="VSM-Icons_Inventory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duotone>
            <a:prstClr val="black"/>
            <a:schemeClr val="accent2">
              <a:tint val="45000"/>
              <a:satMod val="400000"/>
            </a:scheme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 l="9735" t="5746" r="9735" b="3448"/>
        <a:stretch>
          <a:fillRect/>
        </a:stretch>
      </xdr:blipFill>
      <xdr:spPr bwMode="auto">
        <a:xfrm>
          <a:off x="11814810" y="3931920"/>
          <a:ext cx="892899" cy="3335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21</xdr:col>
      <xdr:colOff>62753</xdr:colOff>
      <xdr:row>30</xdr:row>
      <xdr:rowOff>17930</xdr:rowOff>
    </xdr:from>
    <xdr:to>
      <xdr:col>23</xdr:col>
      <xdr:colOff>6724</xdr:colOff>
      <xdr:row>33</xdr:row>
      <xdr:rowOff>40341</xdr:rowOff>
    </xdr:to>
    <xdr:sp macro="" textlink="">
      <xdr:nvSpPr>
        <xdr:cNvPr id="47" name="Rectángulo redondeado 13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/>
      </xdr:nvSpPr>
      <xdr:spPr>
        <a:xfrm>
          <a:off x="8734313" y="4719470"/>
          <a:ext cx="888851" cy="388171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AR" sz="1100" b="1"/>
            <a:t>Refinado</a:t>
          </a:r>
        </a:p>
      </xdr:txBody>
    </xdr:sp>
    <xdr:clientData/>
  </xdr:twoCellAnchor>
  <xdr:twoCellAnchor>
    <xdr:from>
      <xdr:col>25</xdr:col>
      <xdr:colOff>47064</xdr:colOff>
      <xdr:row>30</xdr:row>
      <xdr:rowOff>24654</xdr:rowOff>
    </xdr:from>
    <xdr:to>
      <xdr:col>27</xdr:col>
      <xdr:colOff>80682</xdr:colOff>
      <xdr:row>33</xdr:row>
      <xdr:rowOff>47065</xdr:rowOff>
    </xdr:to>
    <xdr:sp macro="" textlink="">
      <xdr:nvSpPr>
        <xdr:cNvPr id="48" name="Rectángulo redondeado 14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/>
      </xdr:nvSpPr>
      <xdr:spPr>
        <a:xfrm>
          <a:off x="5327724" y="4726194"/>
          <a:ext cx="963258" cy="388171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AR" sz="1100" b="1"/>
            <a:t>UT2</a:t>
          </a:r>
        </a:p>
      </xdr:txBody>
    </xdr:sp>
    <xdr:clientData/>
  </xdr:twoCellAnchor>
  <xdr:twoCellAnchor>
    <xdr:from>
      <xdr:col>37</xdr:col>
      <xdr:colOff>64994</xdr:colOff>
      <xdr:row>30</xdr:row>
      <xdr:rowOff>20172</xdr:rowOff>
    </xdr:from>
    <xdr:to>
      <xdr:col>39</xdr:col>
      <xdr:colOff>91440</xdr:colOff>
      <xdr:row>33</xdr:row>
      <xdr:rowOff>42583</xdr:rowOff>
    </xdr:to>
    <xdr:sp macro="" textlink="">
      <xdr:nvSpPr>
        <xdr:cNvPr id="49" name="Rectángulo redondeado 15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/>
      </xdr:nvSpPr>
      <xdr:spPr>
        <a:xfrm>
          <a:off x="7029674" y="4721712"/>
          <a:ext cx="971326" cy="388171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AR" sz="1100" b="1"/>
            <a:t>Ensamblado</a:t>
          </a:r>
        </a:p>
      </xdr:txBody>
    </xdr:sp>
    <xdr:clientData/>
  </xdr:twoCellAnchor>
  <xdr:twoCellAnchor>
    <xdr:from>
      <xdr:col>39</xdr:col>
      <xdr:colOff>226359</xdr:colOff>
      <xdr:row>30</xdr:row>
      <xdr:rowOff>13447</xdr:rowOff>
    </xdr:from>
    <xdr:to>
      <xdr:col>40</xdr:col>
      <xdr:colOff>360829</xdr:colOff>
      <xdr:row>33</xdr:row>
      <xdr:rowOff>69476</xdr:rowOff>
    </xdr:to>
    <xdr:sp macro="" textlink="">
      <xdr:nvSpPr>
        <xdr:cNvPr id="51" name="Flecha derecha 20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SpPr/>
      </xdr:nvSpPr>
      <xdr:spPr>
        <a:xfrm>
          <a:off x="8135919" y="4714987"/>
          <a:ext cx="538330" cy="421789"/>
        </a:xfrm>
        <a:prstGeom prst="rightArrow">
          <a:avLst/>
        </a:prstGeom>
        <a:pattFill prst="ltUpDiag">
          <a:fgClr>
            <a:schemeClr val="tx1"/>
          </a:fgClr>
          <a:bgClr>
            <a:schemeClr val="bg1">
              <a:lumMod val="95000"/>
            </a:schemeClr>
          </a:bgClr>
        </a:patt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27</xdr:col>
      <xdr:colOff>255495</xdr:colOff>
      <xdr:row>30</xdr:row>
      <xdr:rowOff>20171</xdr:rowOff>
    </xdr:from>
    <xdr:to>
      <xdr:col>28</xdr:col>
      <xdr:colOff>389965</xdr:colOff>
      <xdr:row>33</xdr:row>
      <xdr:rowOff>76200</xdr:rowOff>
    </xdr:to>
    <xdr:sp macro="" textlink="">
      <xdr:nvSpPr>
        <xdr:cNvPr id="52" name="Flecha derecha 21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/>
      </xdr:nvSpPr>
      <xdr:spPr>
        <a:xfrm>
          <a:off x="6465795" y="4721711"/>
          <a:ext cx="500230" cy="421789"/>
        </a:xfrm>
        <a:prstGeom prst="rightArrow">
          <a:avLst/>
        </a:prstGeom>
        <a:pattFill prst="ltUpDiag">
          <a:fgClr>
            <a:schemeClr val="tx1"/>
          </a:fgClr>
          <a:bgClr>
            <a:schemeClr val="bg1">
              <a:lumMod val="95000"/>
            </a:schemeClr>
          </a:bgClr>
        </a:patt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23</xdr:col>
      <xdr:colOff>150160</xdr:colOff>
      <xdr:row>30</xdr:row>
      <xdr:rowOff>26895</xdr:rowOff>
    </xdr:from>
    <xdr:to>
      <xdr:col>24</xdr:col>
      <xdr:colOff>284630</xdr:colOff>
      <xdr:row>33</xdr:row>
      <xdr:rowOff>82924</xdr:rowOff>
    </xdr:to>
    <xdr:sp macro="" textlink="">
      <xdr:nvSpPr>
        <xdr:cNvPr id="53" name="Flecha derecha 2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/>
      </xdr:nvSpPr>
      <xdr:spPr>
        <a:xfrm>
          <a:off x="4577380" y="4728435"/>
          <a:ext cx="637390" cy="421789"/>
        </a:xfrm>
        <a:prstGeom prst="rightArrow">
          <a:avLst/>
        </a:prstGeom>
        <a:pattFill prst="ltUpDiag">
          <a:fgClr>
            <a:schemeClr val="tx1"/>
          </a:fgClr>
          <a:bgClr>
            <a:schemeClr val="bg1">
              <a:lumMod val="95000"/>
            </a:schemeClr>
          </a:bgClr>
        </a:patt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 editAs="oneCell">
    <xdr:from>
      <xdr:col>39</xdr:col>
      <xdr:colOff>367665</xdr:colOff>
      <xdr:row>23</xdr:row>
      <xdr:rowOff>70485</xdr:rowOff>
    </xdr:from>
    <xdr:to>
      <xdr:col>41</xdr:col>
      <xdr:colOff>236220</xdr:colOff>
      <xdr:row>26</xdr:row>
      <xdr:rowOff>36387</xdr:rowOff>
    </xdr:to>
    <xdr:pic>
      <xdr:nvPicPr>
        <xdr:cNvPr id="58" name="Picture 13" descr="VSM-Icons_Inventory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duotone>
            <a:prstClr val="black"/>
            <a:schemeClr val="accent2">
              <a:tint val="45000"/>
              <a:satMod val="400000"/>
            </a:scheme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 l="9735" t="5746" r="9735" b="3448"/>
        <a:stretch>
          <a:fillRect/>
        </a:stretch>
      </xdr:blipFill>
      <xdr:spPr bwMode="auto">
        <a:xfrm>
          <a:off x="16910685" y="3918585"/>
          <a:ext cx="630555" cy="3316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33</xdr:col>
      <xdr:colOff>105335</xdr:colOff>
      <xdr:row>30</xdr:row>
      <xdr:rowOff>38102</xdr:rowOff>
    </xdr:from>
    <xdr:to>
      <xdr:col>35</xdr:col>
      <xdr:colOff>26894</xdr:colOff>
      <xdr:row>33</xdr:row>
      <xdr:rowOff>60513</xdr:rowOff>
    </xdr:to>
    <xdr:sp macro="" textlink="">
      <xdr:nvSpPr>
        <xdr:cNvPr id="59" name="Rectángulo redondeado 16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/>
      </xdr:nvSpPr>
      <xdr:spPr>
        <a:xfrm>
          <a:off x="16770275" y="4739642"/>
          <a:ext cx="805479" cy="388171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AR" sz="1100" b="1"/>
            <a:t>Corte</a:t>
          </a:r>
        </a:p>
      </xdr:txBody>
    </xdr:sp>
    <xdr:clientData/>
  </xdr:twoCellAnchor>
  <xdr:twoCellAnchor>
    <xdr:from>
      <xdr:col>35</xdr:col>
      <xdr:colOff>253253</xdr:colOff>
      <xdr:row>30</xdr:row>
      <xdr:rowOff>17930</xdr:rowOff>
    </xdr:from>
    <xdr:to>
      <xdr:col>36</xdr:col>
      <xdr:colOff>387723</xdr:colOff>
      <xdr:row>33</xdr:row>
      <xdr:rowOff>73959</xdr:rowOff>
    </xdr:to>
    <xdr:sp macro="" textlink="">
      <xdr:nvSpPr>
        <xdr:cNvPr id="60" name="Flecha derecha 19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/>
      </xdr:nvSpPr>
      <xdr:spPr>
        <a:xfrm>
          <a:off x="17802113" y="4719470"/>
          <a:ext cx="599290" cy="421789"/>
        </a:xfrm>
        <a:prstGeom prst="rightArrow">
          <a:avLst/>
        </a:prstGeom>
        <a:pattFill prst="ltUpDiag">
          <a:fgClr>
            <a:schemeClr val="tx1"/>
          </a:fgClr>
          <a:bgClr>
            <a:schemeClr val="bg1">
              <a:lumMod val="95000"/>
            </a:schemeClr>
          </a:bgClr>
        </a:patt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29</xdr:col>
      <xdr:colOff>64994</xdr:colOff>
      <xdr:row>30</xdr:row>
      <xdr:rowOff>20172</xdr:rowOff>
    </xdr:from>
    <xdr:to>
      <xdr:col>31</xdr:col>
      <xdr:colOff>91440</xdr:colOff>
      <xdr:row>33</xdr:row>
      <xdr:rowOff>42583</xdr:rowOff>
    </xdr:to>
    <xdr:sp macro="" textlink="">
      <xdr:nvSpPr>
        <xdr:cNvPr id="61" name="Rectángulo redondeado 15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/>
      </xdr:nvSpPr>
      <xdr:spPr>
        <a:xfrm>
          <a:off x="15023054" y="4721712"/>
          <a:ext cx="971326" cy="388171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AR" sz="1100" b="1"/>
            <a:t>Impresion</a:t>
          </a:r>
        </a:p>
      </xdr:txBody>
    </xdr:sp>
    <xdr:clientData/>
  </xdr:twoCellAnchor>
  <xdr:twoCellAnchor>
    <xdr:from>
      <xdr:col>31</xdr:col>
      <xdr:colOff>226359</xdr:colOff>
      <xdr:row>30</xdr:row>
      <xdr:rowOff>13447</xdr:rowOff>
    </xdr:from>
    <xdr:to>
      <xdr:col>32</xdr:col>
      <xdr:colOff>360829</xdr:colOff>
      <xdr:row>33</xdr:row>
      <xdr:rowOff>69476</xdr:rowOff>
    </xdr:to>
    <xdr:sp macro="" textlink="">
      <xdr:nvSpPr>
        <xdr:cNvPr id="62" name="Flecha derecha 20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/>
      </xdr:nvSpPr>
      <xdr:spPr>
        <a:xfrm>
          <a:off x="16129299" y="4714987"/>
          <a:ext cx="538330" cy="421789"/>
        </a:xfrm>
        <a:prstGeom prst="rightArrow">
          <a:avLst/>
        </a:prstGeom>
        <a:pattFill prst="ltUpDiag">
          <a:fgClr>
            <a:schemeClr val="tx1"/>
          </a:fgClr>
          <a:bgClr>
            <a:schemeClr val="bg1">
              <a:lumMod val="95000"/>
            </a:schemeClr>
          </a:bgClr>
        </a:patt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 editAs="oneCell">
    <xdr:from>
      <xdr:col>31</xdr:col>
      <xdr:colOff>228600</xdr:colOff>
      <xdr:row>23</xdr:row>
      <xdr:rowOff>76200</xdr:rowOff>
    </xdr:from>
    <xdr:to>
      <xdr:col>33</xdr:col>
      <xdr:colOff>359499</xdr:colOff>
      <xdr:row>26</xdr:row>
      <xdr:rowOff>43996</xdr:rowOff>
    </xdr:to>
    <xdr:pic>
      <xdr:nvPicPr>
        <xdr:cNvPr id="64" name="Picture 9" descr="VSM-Icons_Inventory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duotone>
            <a:prstClr val="black"/>
            <a:schemeClr val="accent2">
              <a:tint val="45000"/>
              <a:satMod val="400000"/>
            </a:scheme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 l="9735" t="5746" r="9735" b="3448"/>
        <a:stretch>
          <a:fillRect/>
        </a:stretch>
      </xdr:blipFill>
      <xdr:spPr bwMode="auto">
        <a:xfrm>
          <a:off x="13327380" y="3924300"/>
          <a:ext cx="892899" cy="3335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35</xdr:col>
      <xdr:colOff>360045</xdr:colOff>
      <xdr:row>23</xdr:row>
      <xdr:rowOff>85725</xdr:rowOff>
    </xdr:from>
    <xdr:to>
      <xdr:col>37</xdr:col>
      <xdr:colOff>114300</xdr:colOff>
      <xdr:row>26</xdr:row>
      <xdr:rowOff>39603</xdr:rowOff>
    </xdr:to>
    <xdr:pic>
      <xdr:nvPicPr>
        <xdr:cNvPr id="65" name="Picture 13" descr="VSM-Icons_Inventory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duotone>
            <a:prstClr val="black"/>
            <a:schemeClr val="accent2">
              <a:tint val="45000"/>
              <a:satMod val="400000"/>
            </a:scheme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 l="9735" t="5746" r="9735" b="3448"/>
        <a:stretch>
          <a:fillRect/>
        </a:stretch>
      </xdr:blipFill>
      <xdr:spPr bwMode="auto">
        <a:xfrm>
          <a:off x="15104745" y="3933825"/>
          <a:ext cx="607695" cy="31963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29</xdr:col>
      <xdr:colOff>152400</xdr:colOff>
      <xdr:row>25</xdr:row>
      <xdr:rowOff>83820</xdr:rowOff>
    </xdr:from>
    <xdr:to>
      <xdr:col>30</xdr:col>
      <xdr:colOff>335280</xdr:colOff>
      <xdr:row>31</xdr:row>
      <xdr:rowOff>22860</xdr:rowOff>
    </xdr:to>
    <xdr:sp macro="" textlink="">
      <xdr:nvSpPr>
        <xdr:cNvPr id="66" name="65 Explosión 1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/>
      </xdr:nvSpPr>
      <xdr:spPr>
        <a:xfrm>
          <a:off x="12306300" y="4175760"/>
          <a:ext cx="784860" cy="670560"/>
        </a:xfrm>
        <a:prstGeom prst="irregularSeal1">
          <a:avLst/>
        </a:prstGeom>
        <a:solidFill>
          <a:srgbClr val="FF0000"/>
        </a:solidFill>
        <a:ln>
          <a:solidFill>
            <a:schemeClr val="accent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9</xdr:col>
      <xdr:colOff>121920</xdr:colOff>
      <xdr:row>25</xdr:row>
      <xdr:rowOff>53340</xdr:rowOff>
    </xdr:from>
    <xdr:to>
      <xdr:col>10</xdr:col>
      <xdr:colOff>350520</xdr:colOff>
      <xdr:row>30</xdr:row>
      <xdr:rowOff>114300</xdr:rowOff>
    </xdr:to>
    <xdr:sp macro="" textlink="">
      <xdr:nvSpPr>
        <xdr:cNvPr id="54" name="53 Explosión 1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/>
      </xdr:nvSpPr>
      <xdr:spPr>
        <a:xfrm>
          <a:off x="3604260" y="4145280"/>
          <a:ext cx="784860" cy="670560"/>
        </a:xfrm>
        <a:prstGeom prst="irregularSeal1">
          <a:avLst/>
        </a:prstGeom>
        <a:solidFill>
          <a:srgbClr val="FF0000"/>
        </a:solidFill>
        <a:ln>
          <a:solidFill>
            <a:schemeClr val="accent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29</xdr:col>
      <xdr:colOff>0</xdr:colOff>
      <xdr:row>71</xdr:row>
      <xdr:rowOff>0</xdr:rowOff>
    </xdr:from>
    <xdr:to>
      <xdr:col>31</xdr:col>
      <xdr:colOff>26446</xdr:colOff>
      <xdr:row>74</xdr:row>
      <xdr:rowOff>40554</xdr:rowOff>
    </xdr:to>
    <xdr:sp macro="" textlink="">
      <xdr:nvSpPr>
        <xdr:cNvPr id="55" name="Rectángulo redondeado 15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/>
      </xdr:nvSpPr>
      <xdr:spPr>
        <a:xfrm>
          <a:off x="12155714" y="9912048"/>
          <a:ext cx="975922" cy="385268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AR" sz="1100" b="1"/>
            <a:t>Impresion</a:t>
          </a:r>
        </a:p>
      </xdr:txBody>
    </xdr:sp>
    <xdr:clientData/>
  </xdr:twoCellAnchor>
  <xdr:twoCellAnchor>
    <xdr:from>
      <xdr:col>29</xdr:col>
      <xdr:colOff>0</xdr:colOff>
      <xdr:row>66</xdr:row>
      <xdr:rowOff>0</xdr:rowOff>
    </xdr:from>
    <xdr:to>
      <xdr:col>30</xdr:col>
      <xdr:colOff>182880</xdr:colOff>
      <xdr:row>71</xdr:row>
      <xdr:rowOff>90230</xdr:rowOff>
    </xdr:to>
    <xdr:sp macro="" textlink="">
      <xdr:nvSpPr>
        <xdr:cNvPr id="56" name="55 Explosión 1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/>
      </xdr:nvSpPr>
      <xdr:spPr>
        <a:xfrm>
          <a:off x="12155714" y="9337524"/>
          <a:ext cx="787642" cy="664754"/>
        </a:xfrm>
        <a:prstGeom prst="irregularSeal1">
          <a:avLst/>
        </a:prstGeom>
        <a:solidFill>
          <a:srgbClr val="FF0000"/>
        </a:solidFill>
        <a:ln>
          <a:solidFill>
            <a:schemeClr val="accent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112059</xdr:colOff>
      <xdr:row>30</xdr:row>
      <xdr:rowOff>22412</xdr:rowOff>
    </xdr:from>
    <xdr:to>
      <xdr:col>8</xdr:col>
      <xdr:colOff>246529</xdr:colOff>
      <xdr:row>33</xdr:row>
      <xdr:rowOff>78441</xdr:rowOff>
    </xdr:to>
    <xdr:sp macro="" textlink="">
      <xdr:nvSpPr>
        <xdr:cNvPr id="37" name="Flecha derecha 2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SpPr/>
      </xdr:nvSpPr>
      <xdr:spPr>
        <a:xfrm>
          <a:off x="3129579" y="3900992"/>
          <a:ext cx="637390" cy="421789"/>
        </a:xfrm>
        <a:prstGeom prst="rightArrow">
          <a:avLst/>
        </a:prstGeom>
        <a:pattFill prst="ltUpDiag">
          <a:fgClr>
            <a:schemeClr val="tx1"/>
          </a:fgClr>
          <a:bgClr>
            <a:schemeClr val="bg1">
              <a:lumMod val="95000"/>
            </a:schemeClr>
          </a:bgClr>
        </a:patt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2</xdr:col>
      <xdr:colOff>514350</xdr:colOff>
      <xdr:row>1</xdr:row>
      <xdr:rowOff>76200</xdr:rowOff>
    </xdr:from>
    <xdr:to>
      <xdr:col>27</xdr:col>
      <xdr:colOff>123825</xdr:colOff>
      <xdr:row>45</xdr:row>
      <xdr:rowOff>0</xdr:rowOff>
    </xdr:to>
    <xdr:sp macro="" textlink="">
      <xdr:nvSpPr>
        <xdr:cNvPr id="38" name="Rectangle 46"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SpPr>
          <a:spLocks noChangeArrowheads="1"/>
        </xdr:cNvSpPr>
      </xdr:nvSpPr>
      <xdr:spPr bwMode="auto">
        <a:xfrm>
          <a:off x="956310" y="403860"/>
          <a:ext cx="11786235" cy="5303520"/>
        </a:xfrm>
        <a:prstGeom prst="rect">
          <a:avLst/>
        </a:prstGeom>
        <a:noFill/>
        <a:ln w="25400">
          <a:solidFill>
            <a:srgbClr val="002060"/>
          </a:solidFill>
          <a:prstDash val="dash"/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 editAs="oneCell">
    <xdr:from>
      <xdr:col>4</xdr:col>
      <xdr:colOff>47626</xdr:colOff>
      <xdr:row>24</xdr:row>
      <xdr:rowOff>41462</xdr:rowOff>
    </xdr:from>
    <xdr:to>
      <xdr:col>4</xdr:col>
      <xdr:colOff>311765</xdr:colOff>
      <xdr:row>27</xdr:row>
      <xdr:rowOff>9258</xdr:rowOff>
    </xdr:to>
    <xdr:pic>
      <xdr:nvPicPr>
        <xdr:cNvPr id="39" name="Picture 3" descr="VSM-Icons_Inventory">
          <a:extLst>
            <a:ext uri="{FF2B5EF4-FFF2-40B4-BE49-F238E27FC236}">
              <a16:creationId xmlns:a16="http://schemas.microsoft.com/office/drawing/2014/main" id="{00000000-0008-0000-0100-00002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duotone>
            <a:prstClr val="black"/>
            <a:schemeClr val="accent2">
              <a:tint val="45000"/>
              <a:satMod val="400000"/>
            </a:scheme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 l="9735" t="5746" r="9735" b="3448"/>
        <a:stretch>
          <a:fillRect/>
        </a:stretch>
      </xdr:blipFill>
      <xdr:spPr bwMode="auto">
        <a:xfrm>
          <a:off x="1586866" y="3188522"/>
          <a:ext cx="264139" cy="2116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523875</xdr:colOff>
      <xdr:row>24</xdr:row>
      <xdr:rowOff>28575</xdr:rowOff>
    </xdr:from>
    <xdr:to>
      <xdr:col>9</xdr:col>
      <xdr:colOff>54699</xdr:colOff>
      <xdr:row>26</xdr:row>
      <xdr:rowOff>60143</xdr:rowOff>
    </xdr:to>
    <xdr:pic>
      <xdr:nvPicPr>
        <xdr:cNvPr id="40" name="Picture 5" descr="VSM-Icons_Inventory">
          <a:extLst>
            <a:ext uri="{FF2B5EF4-FFF2-40B4-BE49-F238E27FC236}">
              <a16:creationId xmlns:a16="http://schemas.microsoft.com/office/drawing/2014/main" id="{00000000-0008-0000-0100-00002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duotone>
            <a:prstClr val="black"/>
            <a:schemeClr val="accent2">
              <a:tint val="45000"/>
              <a:satMod val="400000"/>
            </a:scheme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 l="9735" t="5746" r="9735" b="3448"/>
        <a:stretch>
          <a:fillRect/>
        </a:stretch>
      </xdr:blipFill>
      <xdr:spPr bwMode="auto">
        <a:xfrm>
          <a:off x="3518535" y="3175635"/>
          <a:ext cx="269964" cy="2144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514350</xdr:colOff>
      <xdr:row>24</xdr:row>
      <xdr:rowOff>28575</xdr:rowOff>
    </xdr:from>
    <xdr:to>
      <xdr:col>13</xdr:col>
      <xdr:colOff>20139</xdr:colOff>
      <xdr:row>26</xdr:row>
      <xdr:rowOff>60143</xdr:rowOff>
    </xdr:to>
    <xdr:pic>
      <xdr:nvPicPr>
        <xdr:cNvPr id="41" name="Picture 7" descr="VSM-Icons_Inventory">
          <a:extLst>
            <a:ext uri="{FF2B5EF4-FFF2-40B4-BE49-F238E27FC236}">
              <a16:creationId xmlns:a16="http://schemas.microsoft.com/office/drawing/2014/main" id="{00000000-0008-0000-0100-00002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duotone>
            <a:prstClr val="black"/>
            <a:schemeClr val="accent2">
              <a:tint val="45000"/>
              <a:satMod val="400000"/>
            </a:scheme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 l="9735" t="5746" r="9735" b="3448"/>
        <a:stretch>
          <a:fillRect/>
        </a:stretch>
      </xdr:blipFill>
      <xdr:spPr bwMode="auto">
        <a:xfrm>
          <a:off x="5429250" y="3175635"/>
          <a:ext cx="267789" cy="2144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15</xdr:col>
      <xdr:colOff>400050</xdr:colOff>
      <xdr:row>24</xdr:row>
      <xdr:rowOff>38100</xdr:rowOff>
    </xdr:from>
    <xdr:to>
      <xdr:col>17</xdr:col>
      <xdr:colOff>43269</xdr:colOff>
      <xdr:row>27</xdr:row>
      <xdr:rowOff>5896</xdr:rowOff>
    </xdr:to>
    <xdr:pic>
      <xdr:nvPicPr>
        <xdr:cNvPr id="42" name="Picture 9" descr="VSM-Icons_Inventory">
          <a:extLst>
            <a:ext uri="{FF2B5EF4-FFF2-40B4-BE49-F238E27FC236}">
              <a16:creationId xmlns:a16="http://schemas.microsoft.com/office/drawing/2014/main" id="{00000000-0008-0000-0100-00002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duotone>
            <a:prstClr val="black"/>
            <a:schemeClr val="accent2">
              <a:tint val="45000"/>
              <a:satMod val="400000"/>
            </a:scheme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 l="9735" t="5746" r="9735" b="3448"/>
        <a:stretch>
          <a:fillRect/>
        </a:stretch>
      </xdr:blipFill>
      <xdr:spPr bwMode="auto">
        <a:xfrm>
          <a:off x="7235190" y="3185160"/>
          <a:ext cx="275679" cy="2116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19</xdr:col>
      <xdr:colOff>409575</xdr:colOff>
      <xdr:row>24</xdr:row>
      <xdr:rowOff>0</xdr:rowOff>
    </xdr:from>
    <xdr:to>
      <xdr:col>21</xdr:col>
      <xdr:colOff>54701</xdr:colOff>
      <xdr:row>26</xdr:row>
      <xdr:rowOff>32475</xdr:rowOff>
    </xdr:to>
    <xdr:pic>
      <xdr:nvPicPr>
        <xdr:cNvPr id="43" name="Picture 11" descr="VSM-Icons_Inventory">
          <a:extLst>
            <a:ext uri="{FF2B5EF4-FFF2-40B4-BE49-F238E27FC236}">
              <a16:creationId xmlns:a16="http://schemas.microsoft.com/office/drawing/2014/main" id="{00000000-0008-0000-0100-00002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duotone>
            <a:prstClr val="black"/>
            <a:schemeClr val="accent2">
              <a:tint val="45000"/>
              <a:satMod val="400000"/>
            </a:scheme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 l="9735" t="5746" r="9735" b="3448"/>
        <a:stretch>
          <a:fillRect/>
        </a:stretch>
      </xdr:blipFill>
      <xdr:spPr bwMode="auto">
        <a:xfrm>
          <a:off x="9149715" y="3147060"/>
          <a:ext cx="285206" cy="2153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23</xdr:col>
      <xdr:colOff>352425</xdr:colOff>
      <xdr:row>24</xdr:row>
      <xdr:rowOff>9525</xdr:rowOff>
    </xdr:from>
    <xdr:to>
      <xdr:col>24</xdr:col>
      <xdr:colOff>251190</xdr:colOff>
      <xdr:row>26</xdr:row>
      <xdr:rowOff>41093</xdr:rowOff>
    </xdr:to>
    <xdr:pic>
      <xdr:nvPicPr>
        <xdr:cNvPr id="44" name="Picture 13" descr="VSM-Icons_Inventory">
          <a:extLst>
            <a:ext uri="{FF2B5EF4-FFF2-40B4-BE49-F238E27FC236}">
              <a16:creationId xmlns:a16="http://schemas.microsoft.com/office/drawing/2014/main" id="{00000000-0008-0000-0100-00002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duotone>
            <a:prstClr val="black"/>
            <a:schemeClr val="accent2">
              <a:tint val="45000"/>
              <a:satMod val="400000"/>
            </a:scheme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 l="9735" t="5746" r="9735" b="3448"/>
        <a:stretch>
          <a:fillRect/>
        </a:stretch>
      </xdr:blipFill>
      <xdr:spPr bwMode="auto">
        <a:xfrm>
          <a:off x="11035665" y="3156585"/>
          <a:ext cx="279765" cy="2144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28</xdr:col>
      <xdr:colOff>87950</xdr:colOff>
      <xdr:row>20</xdr:row>
      <xdr:rowOff>31617</xdr:rowOff>
    </xdr:from>
    <xdr:to>
      <xdr:col>29</xdr:col>
      <xdr:colOff>403860</xdr:colOff>
      <xdr:row>24</xdr:row>
      <xdr:rowOff>113441</xdr:rowOff>
    </xdr:to>
    <xdr:pic>
      <xdr:nvPicPr>
        <xdr:cNvPr id="45" name="Picture 30" descr="VSM-Icons_Truck-Shipment">
          <a:extLst>
            <a:ext uri="{FF2B5EF4-FFF2-40B4-BE49-F238E27FC236}">
              <a16:creationId xmlns:a16="http://schemas.microsoft.com/office/drawing/2014/main" id="{00000000-0008-0000-0100-00002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80" t="13792" r="4425" b="12643"/>
        <a:stretch>
          <a:fillRect/>
        </a:stretch>
      </xdr:blipFill>
      <xdr:spPr bwMode="auto">
        <a:xfrm>
          <a:off x="11830370" y="3597777"/>
          <a:ext cx="955990" cy="5695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231850</xdr:colOff>
      <xdr:row>15</xdr:row>
      <xdr:rowOff>5987</xdr:rowOff>
    </xdr:from>
    <xdr:to>
      <xdr:col>5</xdr:col>
      <xdr:colOff>129524</xdr:colOff>
      <xdr:row>20</xdr:row>
      <xdr:rowOff>71631</xdr:rowOff>
    </xdr:to>
    <xdr:pic>
      <xdr:nvPicPr>
        <xdr:cNvPr id="46" name="Picture 38" descr="VSM-Icons_Truck-Shipment">
          <a:extLst>
            <a:ext uri="{FF2B5EF4-FFF2-40B4-BE49-F238E27FC236}">
              <a16:creationId xmlns:a16="http://schemas.microsoft.com/office/drawing/2014/main" id="{00000000-0008-0000-0100-00002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80" t="13792" r="4425" b="12643"/>
        <a:stretch>
          <a:fillRect/>
        </a:stretch>
      </xdr:blipFill>
      <xdr:spPr bwMode="auto">
        <a:xfrm>
          <a:off x="231850" y="2909207"/>
          <a:ext cx="1581694" cy="72858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89647</xdr:colOff>
      <xdr:row>30</xdr:row>
      <xdr:rowOff>33618</xdr:rowOff>
    </xdr:from>
    <xdr:to>
      <xdr:col>6</xdr:col>
      <xdr:colOff>381000</xdr:colOff>
      <xdr:row>33</xdr:row>
      <xdr:rowOff>56029</xdr:rowOff>
    </xdr:to>
    <xdr:sp macro="" textlink="">
      <xdr:nvSpPr>
        <xdr:cNvPr id="47" name="Rectángulo redondeado 12">
          <a:extLst>
            <a:ext uri="{FF2B5EF4-FFF2-40B4-BE49-F238E27FC236}">
              <a16:creationId xmlns:a16="http://schemas.microsoft.com/office/drawing/2014/main" id="{00000000-0008-0000-0100-00002F000000}"/>
            </a:ext>
          </a:extLst>
        </xdr:cNvPr>
        <xdr:cNvSpPr/>
      </xdr:nvSpPr>
      <xdr:spPr>
        <a:xfrm>
          <a:off x="1994647" y="3912198"/>
          <a:ext cx="1000013" cy="388171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AR" sz="1100" b="1"/>
            <a:t>A</a:t>
          </a:r>
        </a:p>
      </xdr:txBody>
    </xdr:sp>
    <xdr:clientData/>
  </xdr:twoCellAnchor>
  <xdr:twoCellAnchor>
    <xdr:from>
      <xdr:col>9</xdr:col>
      <xdr:colOff>62753</xdr:colOff>
      <xdr:row>30</xdr:row>
      <xdr:rowOff>17930</xdr:rowOff>
    </xdr:from>
    <xdr:to>
      <xdr:col>11</xdr:col>
      <xdr:colOff>6724</xdr:colOff>
      <xdr:row>33</xdr:row>
      <xdr:rowOff>40341</xdr:rowOff>
    </xdr:to>
    <xdr:sp macro="" textlink="">
      <xdr:nvSpPr>
        <xdr:cNvPr id="48" name="Rectángulo redondeado 13">
          <a:extLst>
            <a:ext uri="{FF2B5EF4-FFF2-40B4-BE49-F238E27FC236}">
              <a16:creationId xmlns:a16="http://schemas.microsoft.com/office/drawing/2014/main" id="{00000000-0008-0000-0100-000030000000}"/>
            </a:ext>
          </a:extLst>
        </xdr:cNvPr>
        <xdr:cNvSpPr/>
      </xdr:nvSpPr>
      <xdr:spPr>
        <a:xfrm>
          <a:off x="3895613" y="3896510"/>
          <a:ext cx="1041251" cy="388171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AR" sz="1100" b="1"/>
            <a:t>B</a:t>
          </a:r>
        </a:p>
      </xdr:txBody>
    </xdr:sp>
    <xdr:clientData/>
  </xdr:twoCellAnchor>
  <xdr:twoCellAnchor>
    <xdr:from>
      <xdr:col>13</xdr:col>
      <xdr:colOff>47064</xdr:colOff>
      <xdr:row>30</xdr:row>
      <xdr:rowOff>24654</xdr:rowOff>
    </xdr:from>
    <xdr:to>
      <xdr:col>15</xdr:col>
      <xdr:colOff>80682</xdr:colOff>
      <xdr:row>33</xdr:row>
      <xdr:rowOff>47065</xdr:rowOff>
    </xdr:to>
    <xdr:sp macro="" textlink="">
      <xdr:nvSpPr>
        <xdr:cNvPr id="49" name="Rectángulo redondeado 14">
          <a:extLst>
            <a:ext uri="{FF2B5EF4-FFF2-40B4-BE49-F238E27FC236}">
              <a16:creationId xmlns:a16="http://schemas.microsoft.com/office/drawing/2014/main" id="{00000000-0008-0000-0100-000031000000}"/>
            </a:ext>
          </a:extLst>
        </xdr:cNvPr>
        <xdr:cNvSpPr/>
      </xdr:nvSpPr>
      <xdr:spPr>
        <a:xfrm>
          <a:off x="5830644" y="3903234"/>
          <a:ext cx="1085178" cy="388171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AR" sz="1100" b="1"/>
            <a:t>C</a:t>
          </a:r>
        </a:p>
      </xdr:txBody>
    </xdr:sp>
    <xdr:clientData/>
  </xdr:twoCellAnchor>
  <xdr:twoCellAnchor>
    <xdr:from>
      <xdr:col>17</xdr:col>
      <xdr:colOff>64994</xdr:colOff>
      <xdr:row>30</xdr:row>
      <xdr:rowOff>20172</xdr:rowOff>
    </xdr:from>
    <xdr:to>
      <xdr:col>18</xdr:col>
      <xdr:colOff>311523</xdr:colOff>
      <xdr:row>33</xdr:row>
      <xdr:rowOff>42583</xdr:rowOff>
    </xdr:to>
    <xdr:sp macro="" textlink="">
      <xdr:nvSpPr>
        <xdr:cNvPr id="50" name="Rectángulo redondeado 15">
          <a:extLst>
            <a:ext uri="{FF2B5EF4-FFF2-40B4-BE49-F238E27FC236}">
              <a16:creationId xmlns:a16="http://schemas.microsoft.com/office/drawing/2014/main" id="{00000000-0008-0000-0100-000032000000}"/>
            </a:ext>
          </a:extLst>
        </xdr:cNvPr>
        <xdr:cNvSpPr/>
      </xdr:nvSpPr>
      <xdr:spPr>
        <a:xfrm>
          <a:off x="7753574" y="3898752"/>
          <a:ext cx="955189" cy="388171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AR" sz="1100" b="1"/>
            <a:t>D</a:t>
          </a:r>
        </a:p>
      </xdr:txBody>
    </xdr:sp>
    <xdr:clientData/>
  </xdr:twoCellAnchor>
  <xdr:twoCellAnchor>
    <xdr:from>
      <xdr:col>21</xdr:col>
      <xdr:colOff>105335</xdr:colOff>
      <xdr:row>30</xdr:row>
      <xdr:rowOff>38102</xdr:rowOff>
    </xdr:from>
    <xdr:to>
      <xdr:col>23</xdr:col>
      <xdr:colOff>26894</xdr:colOff>
      <xdr:row>33</xdr:row>
      <xdr:rowOff>60513</xdr:rowOff>
    </xdr:to>
    <xdr:sp macro="" textlink="">
      <xdr:nvSpPr>
        <xdr:cNvPr id="51" name="Rectángulo redondeado 16">
          <a:extLst>
            <a:ext uri="{FF2B5EF4-FFF2-40B4-BE49-F238E27FC236}">
              <a16:creationId xmlns:a16="http://schemas.microsoft.com/office/drawing/2014/main" id="{00000000-0008-0000-0100-000033000000}"/>
            </a:ext>
          </a:extLst>
        </xdr:cNvPr>
        <xdr:cNvSpPr/>
      </xdr:nvSpPr>
      <xdr:spPr>
        <a:xfrm>
          <a:off x="9698915" y="3916682"/>
          <a:ext cx="1011219" cy="388171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AR" sz="1100" b="1"/>
            <a:t>E</a:t>
          </a:r>
        </a:p>
      </xdr:txBody>
    </xdr:sp>
    <xdr:clientData/>
  </xdr:twoCellAnchor>
  <xdr:twoCellAnchor>
    <xdr:from>
      <xdr:col>25</xdr:col>
      <xdr:colOff>100853</xdr:colOff>
      <xdr:row>30</xdr:row>
      <xdr:rowOff>33620</xdr:rowOff>
    </xdr:from>
    <xdr:to>
      <xdr:col>27</xdr:col>
      <xdr:colOff>0</xdr:colOff>
      <xdr:row>33</xdr:row>
      <xdr:rowOff>56031</xdr:rowOff>
    </xdr:to>
    <xdr:sp macro="" textlink="">
      <xdr:nvSpPr>
        <xdr:cNvPr id="52" name="Rectángulo redondeado 17">
          <a:extLst>
            <a:ext uri="{FF2B5EF4-FFF2-40B4-BE49-F238E27FC236}">
              <a16:creationId xmlns:a16="http://schemas.microsoft.com/office/drawing/2014/main" id="{00000000-0008-0000-0100-000034000000}"/>
            </a:ext>
          </a:extLst>
        </xdr:cNvPr>
        <xdr:cNvSpPr/>
      </xdr:nvSpPr>
      <xdr:spPr>
        <a:xfrm>
          <a:off x="11637533" y="3912200"/>
          <a:ext cx="981187" cy="388171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AR" sz="1100" b="1"/>
            <a:t>F</a:t>
          </a:r>
        </a:p>
      </xdr:txBody>
    </xdr:sp>
    <xdr:clientData/>
  </xdr:twoCellAnchor>
  <xdr:twoCellAnchor>
    <xdr:from>
      <xdr:col>8</xdr:col>
      <xdr:colOff>268940</xdr:colOff>
      <xdr:row>5</xdr:row>
      <xdr:rowOff>40662</xdr:rowOff>
    </xdr:from>
    <xdr:to>
      <xdr:col>12</xdr:col>
      <xdr:colOff>114299</xdr:colOff>
      <xdr:row>8</xdr:row>
      <xdr:rowOff>63072</xdr:rowOff>
    </xdr:to>
    <xdr:sp macro="" textlink="">
      <xdr:nvSpPr>
        <xdr:cNvPr id="53" name="Rectángulo redondeado 18">
          <a:extLst>
            <a:ext uri="{FF2B5EF4-FFF2-40B4-BE49-F238E27FC236}">
              <a16:creationId xmlns:a16="http://schemas.microsoft.com/office/drawing/2014/main" id="{00000000-0008-0000-0100-000035000000}"/>
            </a:ext>
          </a:extLst>
        </xdr:cNvPr>
        <xdr:cNvSpPr/>
      </xdr:nvSpPr>
      <xdr:spPr>
        <a:xfrm>
          <a:off x="3438860" y="1107462"/>
          <a:ext cx="1605579" cy="548190"/>
        </a:xfrm>
        <a:prstGeom prst="roundRect">
          <a:avLst/>
        </a:prstGeom>
        <a:solidFill>
          <a:srgbClr val="0070C0"/>
        </a:solidFill>
        <a:ln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AR" sz="1100" b="1"/>
            <a:t>PLANEAMIENTO</a:t>
          </a:r>
        </a:p>
      </xdr:txBody>
    </xdr:sp>
    <xdr:clientData/>
  </xdr:twoCellAnchor>
  <xdr:twoCellAnchor>
    <xdr:from>
      <xdr:col>23</xdr:col>
      <xdr:colOff>253253</xdr:colOff>
      <xdr:row>30</xdr:row>
      <xdr:rowOff>17930</xdr:rowOff>
    </xdr:from>
    <xdr:to>
      <xdr:col>24</xdr:col>
      <xdr:colOff>387723</xdr:colOff>
      <xdr:row>33</xdr:row>
      <xdr:rowOff>73959</xdr:rowOff>
    </xdr:to>
    <xdr:sp macro="" textlink="">
      <xdr:nvSpPr>
        <xdr:cNvPr id="54" name="Flecha derecha 19">
          <a:extLst>
            <a:ext uri="{FF2B5EF4-FFF2-40B4-BE49-F238E27FC236}">
              <a16:creationId xmlns:a16="http://schemas.microsoft.com/office/drawing/2014/main" id="{00000000-0008-0000-0100-000036000000}"/>
            </a:ext>
          </a:extLst>
        </xdr:cNvPr>
        <xdr:cNvSpPr/>
      </xdr:nvSpPr>
      <xdr:spPr>
        <a:xfrm>
          <a:off x="10936493" y="3896510"/>
          <a:ext cx="599290" cy="421789"/>
        </a:xfrm>
        <a:prstGeom prst="rightArrow">
          <a:avLst/>
        </a:prstGeom>
        <a:pattFill prst="ltUpDiag">
          <a:fgClr>
            <a:schemeClr val="tx1"/>
          </a:fgClr>
          <a:bgClr>
            <a:schemeClr val="bg1">
              <a:lumMod val="95000"/>
            </a:schemeClr>
          </a:bgClr>
        </a:patt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19</xdr:col>
      <xdr:colOff>226359</xdr:colOff>
      <xdr:row>30</xdr:row>
      <xdr:rowOff>13447</xdr:rowOff>
    </xdr:from>
    <xdr:to>
      <xdr:col>20</xdr:col>
      <xdr:colOff>360829</xdr:colOff>
      <xdr:row>33</xdr:row>
      <xdr:rowOff>69476</xdr:rowOff>
    </xdr:to>
    <xdr:sp macro="" textlink="">
      <xdr:nvSpPr>
        <xdr:cNvPr id="55" name="Flecha derecha 20">
          <a:extLst>
            <a:ext uri="{FF2B5EF4-FFF2-40B4-BE49-F238E27FC236}">
              <a16:creationId xmlns:a16="http://schemas.microsoft.com/office/drawing/2014/main" id="{00000000-0008-0000-0100-000037000000}"/>
            </a:ext>
          </a:extLst>
        </xdr:cNvPr>
        <xdr:cNvSpPr/>
      </xdr:nvSpPr>
      <xdr:spPr>
        <a:xfrm>
          <a:off x="8966499" y="3892027"/>
          <a:ext cx="629770" cy="421789"/>
        </a:xfrm>
        <a:prstGeom prst="rightArrow">
          <a:avLst/>
        </a:prstGeom>
        <a:pattFill prst="ltUpDiag">
          <a:fgClr>
            <a:schemeClr val="tx1"/>
          </a:fgClr>
          <a:bgClr>
            <a:schemeClr val="bg1">
              <a:lumMod val="95000"/>
            </a:schemeClr>
          </a:bgClr>
        </a:patt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15</xdr:col>
      <xdr:colOff>255495</xdr:colOff>
      <xdr:row>30</xdr:row>
      <xdr:rowOff>20171</xdr:rowOff>
    </xdr:from>
    <xdr:to>
      <xdr:col>16</xdr:col>
      <xdr:colOff>389965</xdr:colOff>
      <xdr:row>33</xdr:row>
      <xdr:rowOff>76200</xdr:rowOff>
    </xdr:to>
    <xdr:sp macro="" textlink="">
      <xdr:nvSpPr>
        <xdr:cNvPr id="56" name="Flecha derecha 21">
          <a:extLst>
            <a:ext uri="{FF2B5EF4-FFF2-40B4-BE49-F238E27FC236}">
              <a16:creationId xmlns:a16="http://schemas.microsoft.com/office/drawing/2014/main" id="{00000000-0008-0000-0100-000038000000}"/>
            </a:ext>
          </a:extLst>
        </xdr:cNvPr>
        <xdr:cNvSpPr/>
      </xdr:nvSpPr>
      <xdr:spPr>
        <a:xfrm>
          <a:off x="7090635" y="3898751"/>
          <a:ext cx="599290" cy="421789"/>
        </a:xfrm>
        <a:prstGeom prst="rightArrow">
          <a:avLst/>
        </a:prstGeom>
        <a:pattFill prst="ltUpDiag">
          <a:fgClr>
            <a:schemeClr val="tx1"/>
          </a:fgClr>
          <a:bgClr>
            <a:schemeClr val="bg1">
              <a:lumMod val="95000"/>
            </a:schemeClr>
          </a:bgClr>
        </a:patt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11</xdr:col>
      <xdr:colOff>150160</xdr:colOff>
      <xdr:row>30</xdr:row>
      <xdr:rowOff>26895</xdr:rowOff>
    </xdr:from>
    <xdr:to>
      <xdr:col>12</xdr:col>
      <xdr:colOff>284630</xdr:colOff>
      <xdr:row>33</xdr:row>
      <xdr:rowOff>82924</xdr:rowOff>
    </xdr:to>
    <xdr:sp macro="" textlink="">
      <xdr:nvSpPr>
        <xdr:cNvPr id="57" name="Flecha derecha 22">
          <a:extLst>
            <a:ext uri="{FF2B5EF4-FFF2-40B4-BE49-F238E27FC236}">
              <a16:creationId xmlns:a16="http://schemas.microsoft.com/office/drawing/2014/main" id="{00000000-0008-0000-0100-000039000000}"/>
            </a:ext>
          </a:extLst>
        </xdr:cNvPr>
        <xdr:cNvSpPr/>
      </xdr:nvSpPr>
      <xdr:spPr>
        <a:xfrm>
          <a:off x="5080300" y="3905475"/>
          <a:ext cx="637390" cy="421789"/>
        </a:xfrm>
        <a:prstGeom prst="rightArrow">
          <a:avLst/>
        </a:prstGeom>
        <a:pattFill prst="ltUpDiag">
          <a:fgClr>
            <a:schemeClr val="tx1"/>
          </a:fgClr>
          <a:bgClr>
            <a:schemeClr val="bg1">
              <a:lumMod val="95000"/>
            </a:schemeClr>
          </a:bgClr>
        </a:patt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2</xdr:col>
      <xdr:colOff>44823</xdr:colOff>
      <xdr:row>21</xdr:row>
      <xdr:rowOff>44818</xdr:rowOff>
    </xdr:from>
    <xdr:to>
      <xdr:col>4</xdr:col>
      <xdr:colOff>336176</xdr:colOff>
      <xdr:row>33</xdr:row>
      <xdr:rowOff>89643</xdr:rowOff>
    </xdr:to>
    <xdr:sp macro="" textlink="">
      <xdr:nvSpPr>
        <xdr:cNvPr id="58" name="Flecha doblada 23">
          <a:extLst>
            <a:ext uri="{FF2B5EF4-FFF2-40B4-BE49-F238E27FC236}">
              <a16:creationId xmlns:a16="http://schemas.microsoft.com/office/drawing/2014/main" id="{00000000-0008-0000-0100-00003A000000}"/>
            </a:ext>
          </a:extLst>
        </xdr:cNvPr>
        <xdr:cNvSpPr/>
      </xdr:nvSpPr>
      <xdr:spPr>
        <a:xfrm flipV="1">
          <a:off x="486783" y="2826118"/>
          <a:ext cx="1388633" cy="1507865"/>
        </a:xfrm>
        <a:prstGeom prst="bentArrow">
          <a:avLst>
            <a:gd name="adj1" fmla="val 14371"/>
            <a:gd name="adj2" fmla="val 15250"/>
            <a:gd name="adj3" fmla="val 16129"/>
            <a:gd name="adj4" fmla="val 43750"/>
          </a:avLst>
        </a:prstGeom>
        <a:pattFill prst="ltUpDiag">
          <a:fgClr>
            <a:schemeClr val="tx1"/>
          </a:fgClr>
          <a:bgClr>
            <a:schemeClr val="bg1">
              <a:lumMod val="95000"/>
            </a:schemeClr>
          </a:bgClr>
        </a:patt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s-AR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372316</xdr:colOff>
      <xdr:row>7</xdr:row>
      <xdr:rowOff>40856</xdr:rowOff>
    </xdr:from>
    <xdr:to>
      <xdr:col>8</xdr:col>
      <xdr:colOff>211057</xdr:colOff>
      <xdr:row>10</xdr:row>
      <xdr:rowOff>96885</xdr:rowOff>
    </xdr:to>
    <xdr:sp macro="" textlink="">
      <xdr:nvSpPr>
        <xdr:cNvPr id="59" name="Flecha derecha 24">
          <a:extLst>
            <a:ext uri="{FF2B5EF4-FFF2-40B4-BE49-F238E27FC236}">
              <a16:creationId xmlns:a16="http://schemas.microsoft.com/office/drawing/2014/main" id="{00000000-0008-0000-0100-00003B000000}"/>
            </a:ext>
          </a:extLst>
        </xdr:cNvPr>
        <xdr:cNvSpPr/>
      </xdr:nvSpPr>
      <xdr:spPr>
        <a:xfrm rot="10966872">
          <a:off x="814276" y="1115276"/>
          <a:ext cx="2917221" cy="421789"/>
        </a:xfrm>
        <a:prstGeom prst="rightArrow">
          <a:avLst/>
        </a:prstGeom>
        <a:pattFill prst="ltUpDiag">
          <a:fgClr>
            <a:schemeClr val="tx1"/>
          </a:fgClr>
          <a:bgClr>
            <a:schemeClr val="bg1">
              <a:lumMod val="95000"/>
            </a:schemeClr>
          </a:bgClr>
        </a:patt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0</xdr:col>
      <xdr:colOff>91441</xdr:colOff>
      <xdr:row>6</xdr:row>
      <xdr:rowOff>7284</xdr:rowOff>
    </xdr:from>
    <xdr:to>
      <xdr:col>2</xdr:col>
      <xdr:colOff>345979</xdr:colOff>
      <xdr:row>9</xdr:row>
      <xdr:rowOff>90768</xdr:rowOff>
    </xdr:to>
    <xdr:grpSp>
      <xdr:nvGrpSpPr>
        <xdr:cNvPr id="60" name="Grupo 25">
          <a:extLst>
            <a:ext uri="{FF2B5EF4-FFF2-40B4-BE49-F238E27FC236}">
              <a16:creationId xmlns:a16="http://schemas.microsoft.com/office/drawing/2014/main" id="{00000000-0008-0000-0100-00003C000000}"/>
            </a:ext>
          </a:extLst>
        </xdr:cNvPr>
        <xdr:cNvGrpSpPr/>
      </xdr:nvGrpSpPr>
      <xdr:grpSpPr>
        <a:xfrm>
          <a:off x="91441" y="1178859"/>
          <a:ext cx="578388" cy="569259"/>
          <a:chOff x="210672" y="690843"/>
          <a:chExt cx="594748" cy="419660"/>
        </a:xfrm>
      </xdr:grpSpPr>
      <xdr:pic>
        <xdr:nvPicPr>
          <xdr:cNvPr id="61" name="Picture 2" descr="VSM-Icons_Outside-SourcesTra">
            <a:extLst>
              <a:ext uri="{FF2B5EF4-FFF2-40B4-BE49-F238E27FC236}">
                <a16:creationId xmlns:a16="http://schemas.microsoft.com/office/drawing/2014/main" id="{00000000-0008-0000-0100-00003D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4425" t="4347" r="4425" b="4347"/>
          <a:stretch>
            <a:fillRect/>
          </a:stretch>
        </xdr:blipFill>
        <xdr:spPr bwMode="auto">
          <a:xfrm>
            <a:off x="210672" y="690843"/>
            <a:ext cx="594748" cy="41966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62" name="Rectángulo 27">
            <a:extLst>
              <a:ext uri="{FF2B5EF4-FFF2-40B4-BE49-F238E27FC236}">
                <a16:creationId xmlns:a16="http://schemas.microsoft.com/office/drawing/2014/main" id="{00000000-0008-0000-0100-00003E000000}"/>
              </a:ext>
            </a:extLst>
          </xdr:cNvPr>
          <xdr:cNvSpPr/>
        </xdr:nvSpPr>
        <xdr:spPr>
          <a:xfrm>
            <a:off x="224118" y="874059"/>
            <a:ext cx="571500" cy="224118"/>
          </a:xfrm>
          <a:prstGeom prst="rect">
            <a:avLst/>
          </a:prstGeom>
          <a:solidFill>
            <a:schemeClr val="bg1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lang="es-AR" sz="800" b="1">
                <a:solidFill>
                  <a:sysClr val="windowText" lastClr="000000"/>
                </a:solidFill>
              </a:rPr>
              <a:t>PROVEEDOR</a:t>
            </a:r>
          </a:p>
        </xdr:txBody>
      </xdr:sp>
    </xdr:grpSp>
    <xdr:clientData/>
  </xdr:twoCellAnchor>
  <xdr:twoCellAnchor>
    <xdr:from>
      <xdr:col>16</xdr:col>
      <xdr:colOff>333934</xdr:colOff>
      <xdr:row>5</xdr:row>
      <xdr:rowOff>81642</xdr:rowOff>
    </xdr:from>
    <xdr:to>
      <xdr:col>18</xdr:col>
      <xdr:colOff>309280</xdr:colOff>
      <xdr:row>8</xdr:row>
      <xdr:rowOff>85004</xdr:rowOff>
    </xdr:to>
    <xdr:sp macro="" textlink="">
      <xdr:nvSpPr>
        <xdr:cNvPr id="63" name="Rectángulo redondeado 28">
          <a:extLst>
            <a:ext uri="{FF2B5EF4-FFF2-40B4-BE49-F238E27FC236}">
              <a16:creationId xmlns:a16="http://schemas.microsoft.com/office/drawing/2014/main" id="{00000000-0008-0000-0100-00003F000000}"/>
            </a:ext>
          </a:extLst>
        </xdr:cNvPr>
        <xdr:cNvSpPr/>
      </xdr:nvSpPr>
      <xdr:spPr>
        <a:xfrm>
          <a:off x="7671994" y="912222"/>
          <a:ext cx="1034526" cy="369122"/>
        </a:xfrm>
        <a:prstGeom prst="roundRect">
          <a:avLst/>
        </a:prstGeom>
        <a:solidFill>
          <a:srgbClr val="0070C0"/>
        </a:solidFill>
        <a:ln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AR" sz="1100" b="1"/>
            <a:t>COMERCIAL</a:t>
          </a:r>
        </a:p>
      </xdr:txBody>
    </xdr:sp>
    <xdr:clientData/>
  </xdr:twoCellAnchor>
  <xdr:twoCellAnchor>
    <xdr:from>
      <xdr:col>17</xdr:col>
      <xdr:colOff>479</xdr:colOff>
      <xdr:row>9</xdr:row>
      <xdr:rowOff>35699</xdr:rowOff>
    </xdr:from>
    <xdr:to>
      <xdr:col>18</xdr:col>
      <xdr:colOff>316003</xdr:colOff>
      <xdr:row>12</xdr:row>
      <xdr:rowOff>58110</xdr:rowOff>
    </xdr:to>
    <xdr:sp macro="" textlink="">
      <xdr:nvSpPr>
        <xdr:cNvPr id="64" name="Rectángulo redondeado 29">
          <a:extLst>
            <a:ext uri="{FF2B5EF4-FFF2-40B4-BE49-F238E27FC236}">
              <a16:creationId xmlns:a16="http://schemas.microsoft.com/office/drawing/2014/main" id="{00000000-0008-0000-0100-000040000000}"/>
            </a:ext>
          </a:extLst>
        </xdr:cNvPr>
        <xdr:cNvSpPr/>
      </xdr:nvSpPr>
      <xdr:spPr>
        <a:xfrm>
          <a:off x="7689059" y="1353959"/>
          <a:ext cx="1024184" cy="388171"/>
        </a:xfrm>
        <a:prstGeom prst="roundRect">
          <a:avLst/>
        </a:prstGeom>
        <a:solidFill>
          <a:srgbClr val="0070C0"/>
        </a:solidFill>
        <a:ln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s-AR" sz="1100" b="1"/>
            <a:t>OFICINA TÉCNICA</a:t>
          </a:r>
        </a:p>
      </xdr:txBody>
    </xdr:sp>
    <xdr:clientData/>
  </xdr:twoCellAnchor>
  <xdr:twoCellAnchor>
    <xdr:from>
      <xdr:col>16</xdr:col>
      <xdr:colOff>336176</xdr:colOff>
      <xdr:row>12</xdr:row>
      <xdr:rowOff>106455</xdr:rowOff>
    </xdr:from>
    <xdr:to>
      <xdr:col>18</xdr:col>
      <xdr:colOff>311522</xdr:colOff>
      <xdr:row>16</xdr:row>
      <xdr:rowOff>20010</xdr:rowOff>
    </xdr:to>
    <xdr:sp macro="" textlink="">
      <xdr:nvSpPr>
        <xdr:cNvPr id="65" name="Rectángulo redondeado 30">
          <a:extLst>
            <a:ext uri="{FF2B5EF4-FFF2-40B4-BE49-F238E27FC236}">
              <a16:creationId xmlns:a16="http://schemas.microsoft.com/office/drawing/2014/main" id="{00000000-0008-0000-0100-000041000000}"/>
            </a:ext>
          </a:extLst>
        </xdr:cNvPr>
        <xdr:cNvSpPr/>
      </xdr:nvSpPr>
      <xdr:spPr>
        <a:xfrm>
          <a:off x="7674236" y="1790475"/>
          <a:ext cx="1034526" cy="401235"/>
        </a:xfrm>
        <a:prstGeom prst="roundRect">
          <a:avLst/>
        </a:prstGeom>
        <a:solidFill>
          <a:srgbClr val="0070C0"/>
        </a:solidFill>
        <a:ln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AR" sz="1100" b="1"/>
            <a:t>FINANZAS</a:t>
          </a:r>
        </a:p>
      </xdr:txBody>
    </xdr:sp>
    <xdr:clientData/>
  </xdr:twoCellAnchor>
  <xdr:twoCellAnchor>
    <xdr:from>
      <xdr:col>11</xdr:col>
      <xdr:colOff>77793</xdr:colOff>
      <xdr:row>10</xdr:row>
      <xdr:rowOff>79030</xdr:rowOff>
    </xdr:from>
    <xdr:to>
      <xdr:col>16</xdr:col>
      <xdr:colOff>73974</xdr:colOff>
      <xdr:row>20</xdr:row>
      <xdr:rowOff>15042</xdr:rowOff>
    </xdr:to>
    <xdr:sp macro="" textlink="">
      <xdr:nvSpPr>
        <xdr:cNvPr id="66" name="Flecha doblada 31">
          <a:extLst>
            <a:ext uri="{FF2B5EF4-FFF2-40B4-BE49-F238E27FC236}">
              <a16:creationId xmlns:a16="http://schemas.microsoft.com/office/drawing/2014/main" id="{00000000-0008-0000-0100-000042000000}"/>
            </a:ext>
          </a:extLst>
        </xdr:cNvPr>
        <xdr:cNvSpPr/>
      </xdr:nvSpPr>
      <xdr:spPr>
        <a:xfrm rot="2443012" flipH="1" flipV="1">
          <a:off x="5007933" y="1519210"/>
          <a:ext cx="2404101" cy="1155212"/>
        </a:xfrm>
        <a:prstGeom prst="bentArrow">
          <a:avLst>
            <a:gd name="adj1" fmla="val 18971"/>
            <a:gd name="adj2" fmla="val 20083"/>
            <a:gd name="adj3" fmla="val 20728"/>
            <a:gd name="adj4" fmla="val 89403"/>
          </a:avLst>
        </a:prstGeom>
        <a:pattFill prst="ltUpDiag">
          <a:fgClr>
            <a:schemeClr val="tx1"/>
          </a:fgClr>
          <a:bgClr>
            <a:schemeClr val="bg1">
              <a:lumMod val="95000"/>
            </a:schemeClr>
          </a:bgClr>
        </a:patt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s-AR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27</xdr:col>
      <xdr:colOff>355159</xdr:colOff>
      <xdr:row>3</xdr:row>
      <xdr:rowOff>103419</xdr:rowOff>
    </xdr:from>
    <xdr:to>
      <xdr:col>28</xdr:col>
      <xdr:colOff>125437</xdr:colOff>
      <xdr:row>30</xdr:row>
      <xdr:rowOff>67186</xdr:rowOff>
    </xdr:to>
    <xdr:sp macro="" textlink="">
      <xdr:nvSpPr>
        <xdr:cNvPr id="67" name="Flecha derecha 32">
          <a:extLst>
            <a:ext uri="{FF2B5EF4-FFF2-40B4-BE49-F238E27FC236}">
              <a16:creationId xmlns:a16="http://schemas.microsoft.com/office/drawing/2014/main" id="{00000000-0008-0000-0100-000043000000}"/>
            </a:ext>
          </a:extLst>
        </xdr:cNvPr>
        <xdr:cNvSpPr/>
      </xdr:nvSpPr>
      <xdr:spPr>
        <a:xfrm rot="17708522">
          <a:off x="11543634" y="2120404"/>
          <a:ext cx="3255607" cy="395118"/>
        </a:xfrm>
        <a:prstGeom prst="rightArrow">
          <a:avLst/>
        </a:prstGeom>
        <a:pattFill prst="ltUpDiag">
          <a:fgClr>
            <a:schemeClr val="tx1"/>
          </a:fgClr>
          <a:bgClr>
            <a:schemeClr val="bg1">
              <a:lumMod val="95000"/>
            </a:schemeClr>
          </a:bgClr>
        </a:patt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19</xdr:col>
      <xdr:colOff>99814</xdr:colOff>
      <xdr:row>5</xdr:row>
      <xdr:rowOff>72358</xdr:rowOff>
    </xdr:from>
    <xdr:to>
      <xdr:col>28</xdr:col>
      <xdr:colOff>586051</xdr:colOff>
      <xdr:row>9</xdr:row>
      <xdr:rowOff>15327</xdr:rowOff>
    </xdr:to>
    <xdr:sp macro="" textlink="">
      <xdr:nvSpPr>
        <xdr:cNvPr id="68" name="Flecha derecha 33">
          <a:extLst>
            <a:ext uri="{FF2B5EF4-FFF2-40B4-BE49-F238E27FC236}">
              <a16:creationId xmlns:a16="http://schemas.microsoft.com/office/drawing/2014/main" id="{00000000-0008-0000-0100-000044000000}"/>
            </a:ext>
          </a:extLst>
        </xdr:cNvPr>
        <xdr:cNvSpPr/>
      </xdr:nvSpPr>
      <xdr:spPr>
        <a:xfrm rot="10104406">
          <a:off x="8839954" y="902938"/>
          <a:ext cx="4989657" cy="430649"/>
        </a:xfrm>
        <a:prstGeom prst="rightArrow">
          <a:avLst/>
        </a:prstGeom>
        <a:pattFill prst="ltUpDiag">
          <a:fgClr>
            <a:schemeClr val="tx1"/>
          </a:fgClr>
          <a:bgClr>
            <a:schemeClr val="bg1">
              <a:lumMod val="95000"/>
            </a:schemeClr>
          </a:bgClr>
        </a:patt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29</xdr:col>
      <xdr:colOff>134051</xdr:colOff>
      <xdr:row>1</xdr:row>
      <xdr:rowOff>52528</xdr:rowOff>
    </xdr:from>
    <xdr:to>
      <xdr:col>29</xdr:col>
      <xdr:colOff>724597</xdr:colOff>
      <xdr:row>5</xdr:row>
      <xdr:rowOff>16950</xdr:rowOff>
    </xdr:to>
    <xdr:grpSp>
      <xdr:nvGrpSpPr>
        <xdr:cNvPr id="69" name="Grupo 34">
          <a:extLst>
            <a:ext uri="{FF2B5EF4-FFF2-40B4-BE49-F238E27FC236}">
              <a16:creationId xmlns:a16="http://schemas.microsoft.com/office/drawing/2014/main" id="{00000000-0008-0000-0100-000045000000}"/>
            </a:ext>
          </a:extLst>
        </xdr:cNvPr>
        <xdr:cNvGrpSpPr/>
      </xdr:nvGrpSpPr>
      <xdr:grpSpPr>
        <a:xfrm>
          <a:off x="12154601" y="414478"/>
          <a:ext cx="590546" cy="612122"/>
          <a:chOff x="210672" y="690843"/>
          <a:chExt cx="594748" cy="419660"/>
        </a:xfrm>
      </xdr:grpSpPr>
      <xdr:pic>
        <xdr:nvPicPr>
          <xdr:cNvPr id="70" name="Picture 2" descr="VSM-Icons_Outside-SourcesTra">
            <a:extLst>
              <a:ext uri="{FF2B5EF4-FFF2-40B4-BE49-F238E27FC236}">
                <a16:creationId xmlns:a16="http://schemas.microsoft.com/office/drawing/2014/main" id="{00000000-0008-0000-0100-000046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4425" t="4347" r="4425" b="4347"/>
          <a:stretch>
            <a:fillRect/>
          </a:stretch>
        </xdr:blipFill>
        <xdr:spPr bwMode="auto">
          <a:xfrm>
            <a:off x="210672" y="690843"/>
            <a:ext cx="594748" cy="41966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71" name="Rectángulo 36">
            <a:extLst>
              <a:ext uri="{FF2B5EF4-FFF2-40B4-BE49-F238E27FC236}">
                <a16:creationId xmlns:a16="http://schemas.microsoft.com/office/drawing/2014/main" id="{00000000-0008-0000-0100-000047000000}"/>
              </a:ext>
            </a:extLst>
          </xdr:cNvPr>
          <xdr:cNvSpPr/>
        </xdr:nvSpPr>
        <xdr:spPr>
          <a:xfrm>
            <a:off x="224118" y="874059"/>
            <a:ext cx="571500" cy="224118"/>
          </a:xfrm>
          <a:prstGeom prst="rect">
            <a:avLst/>
          </a:prstGeom>
          <a:solidFill>
            <a:schemeClr val="bg1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lang="es-AR" sz="800" b="1">
                <a:solidFill>
                  <a:sysClr val="windowText" lastClr="000000"/>
                </a:solidFill>
              </a:rPr>
              <a:t>CLIENTE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85"/>
  <sheetViews>
    <sheetView tabSelected="1" topLeftCell="A8" zoomScaleNormal="100" workbookViewId="0">
      <selection activeCell="AX52" sqref="AX52"/>
    </sheetView>
  </sheetViews>
  <sheetFormatPr baseColWidth="10" defaultColWidth="9.140625" defaultRowHeight="9" customHeight="1" x14ac:dyDescent="0.2"/>
  <cols>
    <col min="1" max="1" width="3.5703125" style="4" customWidth="1"/>
    <col min="2" max="2" width="1.28515625" style="4" customWidth="1"/>
    <col min="3" max="3" width="7" style="4" customWidth="1"/>
    <col min="4" max="4" width="7.28515625" style="4" customWidth="1"/>
    <col min="5" max="5" width="5.28515625" style="4" customWidth="1"/>
    <col min="6" max="6" width="8.85546875" style="4" customWidth="1"/>
    <col min="7" max="7" width="5.85546875" style="4" customWidth="1"/>
    <col min="8" max="8" width="6.85546875" style="4" customWidth="1"/>
    <col min="9" max="9" width="4.5703125" style="4" customWidth="1"/>
    <col min="10" max="10" width="8.140625" style="4" customWidth="1"/>
    <col min="11" max="11" width="5.7109375" style="4" customWidth="1"/>
    <col min="12" max="12" width="7.28515625" style="4" customWidth="1"/>
    <col min="13" max="13" width="5.140625" style="4" customWidth="1"/>
    <col min="14" max="14" width="8.85546875" style="4" customWidth="1"/>
    <col min="15" max="15" width="4.7109375" style="4" customWidth="1"/>
    <col min="16" max="16" width="5.85546875" style="4" customWidth="1"/>
    <col min="17" max="17" width="5.140625" style="4" customWidth="1"/>
    <col min="18" max="18" width="8.7109375" style="4" customWidth="1"/>
    <col min="19" max="19" width="5" style="4" customWidth="1"/>
    <col min="20" max="20" width="6" style="4" customWidth="1"/>
    <col min="21" max="21" width="5.140625" style="4" customWidth="1"/>
    <col min="22" max="22" width="8.140625" style="4" customWidth="1"/>
    <col min="23" max="23" width="5.7109375" style="4" customWidth="1"/>
    <col min="24" max="24" width="7.28515625" style="4" customWidth="1"/>
    <col min="25" max="25" width="5.140625" style="4" customWidth="1"/>
    <col min="26" max="26" width="8.85546875" style="4" customWidth="1"/>
    <col min="27" max="27" width="4.7109375" style="4" customWidth="1"/>
    <col min="28" max="28" width="5.85546875" style="4" customWidth="1"/>
    <col min="29" max="29" width="5.140625" style="4" customWidth="1"/>
    <col min="30" max="30" width="8.7109375" style="4" customWidth="1"/>
    <col min="31" max="31" width="5" style="4" customWidth="1"/>
    <col min="32" max="32" width="6" style="4" customWidth="1"/>
    <col min="33" max="33" width="5.140625" style="4" customWidth="1"/>
    <col min="34" max="34" width="7.28515625" style="4" customWidth="1"/>
    <col min="35" max="35" width="5.5703125" style="4" customWidth="1"/>
    <col min="36" max="36" width="7.28515625" style="4" customWidth="1"/>
    <col min="37" max="37" width="5.140625" style="4" customWidth="1"/>
    <col min="38" max="38" width="8.7109375" style="4" customWidth="1"/>
    <col min="39" max="39" width="5" style="4" customWidth="1"/>
    <col min="40" max="40" width="6" style="4" customWidth="1"/>
    <col min="41" max="41" width="5.140625" style="4" customWidth="1"/>
    <col min="42" max="42" width="7.28515625" style="4" customWidth="1"/>
    <col min="43" max="43" width="5.5703125" style="4" customWidth="1"/>
    <col min="44" max="44" width="7.28515625" style="4" customWidth="1"/>
    <col min="45" max="45" width="5.140625" style="4" customWidth="1"/>
    <col min="46" max="46" width="7.85546875" style="4" customWidth="1"/>
    <col min="47" max="47" width="5.42578125" style="4" customWidth="1"/>
    <col min="48" max="48" width="6.140625" style="3" customWidth="1"/>
    <col min="49" max="49" width="9.28515625" style="3" customWidth="1"/>
    <col min="50" max="50" width="11" style="4" customWidth="1"/>
    <col min="51" max="51" width="6.28515625" style="4" customWidth="1"/>
    <col min="52" max="52" width="7" style="3" customWidth="1"/>
    <col min="53" max="53" width="10.5703125" style="3" customWidth="1"/>
    <col min="54" max="16384" width="9.140625" style="3"/>
  </cols>
  <sheetData>
    <row r="1" spans="1:52" ht="28.5" x14ac:dyDescent="0.2">
      <c r="A1" s="72" t="s">
        <v>20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  <c r="Z1" s="72"/>
      <c r="AA1" s="72"/>
      <c r="AB1" s="72"/>
      <c r="AC1" s="72"/>
      <c r="AD1" s="72"/>
      <c r="AE1" s="72"/>
      <c r="AF1" s="72"/>
      <c r="AG1" s="72"/>
      <c r="AH1" s="72"/>
      <c r="AI1" s="72"/>
      <c r="AJ1" s="72"/>
      <c r="AK1" s="72"/>
      <c r="AL1" s="72"/>
      <c r="AM1" s="72"/>
      <c r="AN1" s="72"/>
      <c r="AO1" s="72"/>
      <c r="AP1" s="72"/>
      <c r="AQ1" s="72"/>
      <c r="AR1" s="72"/>
      <c r="AS1" s="72"/>
      <c r="AT1" s="72"/>
      <c r="AU1" s="72"/>
      <c r="AV1" s="72"/>
      <c r="AW1" s="72"/>
      <c r="AX1" s="1"/>
      <c r="AY1" s="2"/>
      <c r="AZ1" s="2"/>
    </row>
    <row r="2" spans="1:52" ht="12.75" x14ac:dyDescent="0.2">
      <c r="AX2" s="73"/>
      <c r="AY2" s="73"/>
    </row>
    <row r="3" spans="1:52" ht="12.75" x14ac:dyDescent="0.2">
      <c r="AX3" s="73"/>
      <c r="AY3" s="73"/>
    </row>
    <row r="4" spans="1:52" ht="12.75" x14ac:dyDescent="0.2">
      <c r="AX4" s="73"/>
      <c r="AY4" s="73"/>
    </row>
    <row r="5" spans="1:52" ht="12.75" x14ac:dyDescent="0.2">
      <c r="AX5" s="73"/>
      <c r="AY5" s="73"/>
    </row>
    <row r="6" spans="1:52" ht="12.75" x14ac:dyDescent="0.2">
      <c r="AX6" s="73"/>
      <c r="AY6" s="73"/>
    </row>
    <row r="7" spans="1:52" ht="12.75" x14ac:dyDescent="0.2">
      <c r="B7" s="66"/>
      <c r="C7" s="66"/>
      <c r="AX7" s="73"/>
      <c r="AY7" s="73"/>
    </row>
    <row r="8" spans="1:52" ht="12.75" x14ac:dyDescent="0.2">
      <c r="B8" s="66"/>
      <c r="C8" s="66"/>
      <c r="AX8" s="73"/>
      <c r="AY8" s="73"/>
    </row>
    <row r="9" spans="1:52" ht="12.75" x14ac:dyDescent="0.2">
      <c r="B9" s="66"/>
      <c r="C9" s="66"/>
      <c r="L9" s="65"/>
      <c r="M9" s="66"/>
      <c r="X9" s="65"/>
      <c r="Y9" s="66"/>
      <c r="AX9" s="73"/>
      <c r="AY9" s="73"/>
    </row>
    <row r="10" spans="1:52" ht="12.75" x14ac:dyDescent="0.2">
      <c r="B10" s="66"/>
      <c r="C10" s="66"/>
      <c r="L10" s="66"/>
      <c r="M10" s="66"/>
      <c r="X10" s="66"/>
      <c r="Y10" s="66"/>
      <c r="AX10" s="5"/>
      <c r="AY10" s="5"/>
    </row>
    <row r="11" spans="1:52" ht="12.75" x14ac:dyDescent="0.2">
      <c r="B11" s="66"/>
      <c r="C11" s="66"/>
      <c r="AX11" s="6" t="s">
        <v>0</v>
      </c>
      <c r="AY11" s="7">
        <f>2/60</f>
        <v>3.3333333333333333E-2</v>
      </c>
    </row>
    <row r="12" spans="1:52" ht="12.75" x14ac:dyDescent="0.2">
      <c r="B12" s="66"/>
      <c r="C12" s="66"/>
      <c r="J12" s="65"/>
      <c r="K12" s="66"/>
      <c r="R12" s="65"/>
      <c r="S12" s="66"/>
      <c r="V12" s="65"/>
      <c r="W12" s="66"/>
      <c r="AD12" s="65"/>
      <c r="AE12" s="66"/>
      <c r="AL12" s="65"/>
      <c r="AM12" s="66"/>
      <c r="AX12" s="6" t="s">
        <v>1</v>
      </c>
      <c r="AY12" s="8">
        <v>679</v>
      </c>
    </row>
    <row r="13" spans="1:52" ht="12.75" x14ac:dyDescent="0.2">
      <c r="B13" s="66"/>
      <c r="C13" s="66"/>
      <c r="J13" s="66"/>
      <c r="K13" s="66"/>
      <c r="N13" s="9"/>
      <c r="R13" s="66"/>
      <c r="S13" s="66"/>
      <c r="V13" s="66"/>
      <c r="W13" s="66"/>
      <c r="Z13" s="9"/>
      <c r="AD13" s="66"/>
      <c r="AE13" s="66"/>
      <c r="AL13" s="66"/>
      <c r="AM13" s="66"/>
      <c r="AX13" s="6" t="s">
        <v>2</v>
      </c>
      <c r="AY13" s="8" t="s">
        <v>3</v>
      </c>
    </row>
    <row r="14" spans="1:52" ht="12.75" x14ac:dyDescent="0.2">
      <c r="J14" s="10" t="s">
        <v>4</v>
      </c>
      <c r="K14" s="11"/>
      <c r="R14" s="66"/>
      <c r="S14" s="66"/>
      <c r="AD14" s="66"/>
      <c r="AE14" s="66"/>
      <c r="AF14" s="10" t="s">
        <v>4</v>
      </c>
      <c r="AG14" s="11"/>
      <c r="AL14" s="66"/>
      <c r="AM14" s="66"/>
      <c r="AX14" s="3"/>
      <c r="AY14" s="3"/>
    </row>
    <row r="15" spans="1:52" ht="12.75" x14ac:dyDescent="0.2">
      <c r="B15" s="9"/>
      <c r="J15" s="10" t="s">
        <v>5</v>
      </c>
      <c r="K15" s="11"/>
      <c r="R15" s="66"/>
      <c r="S15" s="66"/>
      <c r="AD15" s="66"/>
      <c r="AE15" s="66"/>
      <c r="AL15" s="66"/>
      <c r="AM15" s="66"/>
      <c r="AX15" s="3"/>
      <c r="AY15" s="3"/>
    </row>
    <row r="16" spans="1:52" ht="12.75" x14ac:dyDescent="0.2">
      <c r="B16" s="9"/>
      <c r="J16" s="12"/>
      <c r="K16" s="13"/>
      <c r="R16" s="66"/>
      <c r="S16" s="66"/>
      <c r="V16" s="14"/>
      <c r="W16" s="5"/>
      <c r="AD16" s="66"/>
      <c r="AE16" s="66"/>
      <c r="AL16" s="66"/>
      <c r="AM16" s="66"/>
      <c r="AX16" s="3"/>
      <c r="AY16" s="3"/>
    </row>
    <row r="17" spans="1:53" ht="9.9499999999999993" customHeight="1" x14ac:dyDescent="0.2">
      <c r="B17" s="9"/>
      <c r="J17" s="14"/>
      <c r="K17" s="5"/>
      <c r="R17" s="3"/>
      <c r="S17" s="3"/>
      <c r="V17" s="14"/>
      <c r="W17" s="5"/>
      <c r="AD17" s="3"/>
      <c r="AE17" s="3"/>
      <c r="AL17" s="3"/>
      <c r="AM17" s="3"/>
      <c r="AV17" s="4"/>
      <c r="AW17" s="4"/>
      <c r="AX17" s="5"/>
      <c r="AY17" s="5"/>
    </row>
    <row r="18" spans="1:53" ht="9.9499999999999993" customHeight="1" x14ac:dyDescent="0.2">
      <c r="J18" s="14"/>
      <c r="K18" s="5"/>
      <c r="V18" s="10" t="s">
        <v>4</v>
      </c>
      <c r="W18" s="11"/>
      <c r="AD18" s="14"/>
      <c r="AE18" s="5"/>
      <c r="AL18" s="14"/>
      <c r="AM18" s="5"/>
    </row>
    <row r="19" spans="1:53" ht="9.9499999999999993" customHeight="1" x14ac:dyDescent="0.2">
      <c r="J19" s="14"/>
      <c r="K19" s="5"/>
      <c r="P19" s="65"/>
      <c r="Q19" s="66"/>
      <c r="V19" s="10" t="s">
        <v>6</v>
      </c>
      <c r="W19" s="11"/>
      <c r="AB19" s="65"/>
      <c r="AC19" s="66"/>
      <c r="AD19" s="14"/>
      <c r="AE19" s="5"/>
      <c r="AL19" s="14"/>
      <c r="AM19" s="5"/>
      <c r="AW19" s="4"/>
    </row>
    <row r="20" spans="1:53" ht="9.9499999999999993" customHeight="1" x14ac:dyDescent="0.2">
      <c r="J20" s="9"/>
      <c r="P20" s="66"/>
      <c r="Q20" s="66"/>
      <c r="R20" s="14"/>
      <c r="S20" s="5"/>
      <c r="V20" s="9"/>
      <c r="AB20" s="66"/>
      <c r="AC20" s="66"/>
      <c r="AD20" s="14"/>
      <c r="AE20" s="5"/>
      <c r="AL20" s="14"/>
      <c r="AM20" s="5"/>
      <c r="AW20" s="4"/>
    </row>
    <row r="21" spans="1:53" ht="9.9499999999999993" customHeight="1" x14ac:dyDescent="0.2">
      <c r="J21" s="9"/>
      <c r="R21" s="14"/>
      <c r="S21" s="5"/>
      <c r="V21" s="9"/>
      <c r="AD21" s="14"/>
      <c r="AE21" s="5"/>
      <c r="AL21" s="14"/>
      <c r="AM21" s="5"/>
      <c r="AW21" s="4"/>
    </row>
    <row r="22" spans="1:53" ht="9.9499999999999993" customHeight="1" x14ac:dyDescent="0.2">
      <c r="J22" s="9"/>
      <c r="R22" s="14"/>
      <c r="S22" s="5"/>
      <c r="V22" s="9"/>
      <c r="AD22" s="14"/>
      <c r="AE22" s="5"/>
      <c r="AL22" s="14"/>
      <c r="AM22" s="5"/>
      <c r="AW22" s="4"/>
    </row>
    <row r="23" spans="1:53" ht="9.9499999999999993" customHeight="1" x14ac:dyDescent="0.2">
      <c r="R23" s="14"/>
      <c r="S23" s="5"/>
      <c r="AD23" s="14"/>
      <c r="AE23" s="5"/>
      <c r="AL23" s="14"/>
      <c r="AM23" s="5"/>
      <c r="AW23" s="4"/>
    </row>
    <row r="24" spans="1:53" ht="9.9499999999999993" customHeight="1" x14ac:dyDescent="0.2">
      <c r="AW24" s="4"/>
    </row>
    <row r="25" spans="1:53" ht="9.9499999999999993" customHeight="1" x14ac:dyDescent="0.2">
      <c r="AW25" s="4"/>
    </row>
    <row r="26" spans="1:53" ht="9.9499999999999993" customHeight="1" x14ac:dyDescent="0.2">
      <c r="AX26" s="6" t="s">
        <v>2</v>
      </c>
      <c r="AY26" s="8" t="s">
        <v>7</v>
      </c>
    </row>
    <row r="27" spans="1:53" s="21" customFormat="1" ht="9.9499999999999993" customHeight="1" x14ac:dyDescent="0.2">
      <c r="A27" s="5"/>
      <c r="B27" s="5"/>
      <c r="C27" s="5"/>
      <c r="D27" s="71"/>
      <c r="E27" s="71"/>
      <c r="F27" s="5"/>
      <c r="G27" s="5"/>
      <c r="H27" s="71"/>
      <c r="I27" s="71"/>
      <c r="J27" s="5"/>
      <c r="K27" s="5"/>
      <c r="L27" s="71"/>
      <c r="M27" s="71"/>
      <c r="N27" s="5"/>
      <c r="O27" s="5"/>
      <c r="P27" s="71"/>
      <c r="Q27" s="71"/>
      <c r="R27" s="5"/>
      <c r="S27" s="5"/>
      <c r="T27" s="20"/>
      <c r="U27" s="20"/>
      <c r="V27" s="5"/>
      <c r="W27" s="5"/>
      <c r="X27" s="71"/>
      <c r="Y27" s="71"/>
      <c r="Z27" s="5"/>
      <c r="AA27" s="5"/>
      <c r="AB27" s="71"/>
      <c r="AC27" s="71"/>
      <c r="AD27" s="5"/>
      <c r="AE27" s="5"/>
      <c r="AF27" s="20"/>
      <c r="AG27" s="20"/>
      <c r="AH27" s="5"/>
      <c r="AI27" s="5"/>
      <c r="AJ27" s="20"/>
      <c r="AK27" s="20"/>
      <c r="AL27" s="5"/>
      <c r="AM27" s="5"/>
      <c r="AN27" s="20"/>
      <c r="AO27" s="20"/>
      <c r="AP27" s="5"/>
      <c r="AQ27" s="5"/>
      <c r="AR27" s="20"/>
      <c r="AS27" s="20"/>
      <c r="AT27" s="5"/>
      <c r="AU27" s="5"/>
      <c r="AY27" s="5"/>
    </row>
    <row r="28" spans="1:53" s="21" customFormat="1" ht="9.9499999999999993" customHeight="1" x14ac:dyDescent="0.2">
      <c r="A28" s="5"/>
      <c r="B28" s="5"/>
      <c r="C28" s="14"/>
      <c r="D28" s="6" t="s">
        <v>8</v>
      </c>
      <c r="E28" s="8"/>
      <c r="F28" s="5"/>
      <c r="G28" s="5"/>
      <c r="H28" s="6" t="s">
        <v>8</v>
      </c>
      <c r="I28" s="8"/>
      <c r="J28" s="5"/>
      <c r="K28" s="5"/>
      <c r="L28" s="6" t="s">
        <v>8</v>
      </c>
      <c r="M28" s="8"/>
      <c r="N28" s="5"/>
      <c r="O28" s="5"/>
      <c r="P28" s="6" t="s">
        <v>8</v>
      </c>
      <c r="Q28" s="8"/>
      <c r="R28" s="5"/>
      <c r="S28" s="5"/>
      <c r="T28" s="6" t="s">
        <v>8</v>
      </c>
      <c r="U28" s="8"/>
      <c r="V28" s="5"/>
      <c r="W28" s="5"/>
      <c r="X28" s="6" t="s">
        <v>8</v>
      </c>
      <c r="Y28" s="8"/>
      <c r="Z28" s="5"/>
      <c r="AA28" s="5"/>
      <c r="AB28" s="6" t="s">
        <v>8</v>
      </c>
      <c r="AC28" s="8"/>
      <c r="AD28" s="5"/>
      <c r="AE28" s="5"/>
      <c r="AF28" s="6" t="s">
        <v>8</v>
      </c>
      <c r="AG28" s="8"/>
      <c r="AH28" s="5"/>
      <c r="AI28" s="5"/>
      <c r="AJ28" s="6" t="s">
        <v>8</v>
      </c>
      <c r="AK28" s="8"/>
      <c r="AL28" s="5"/>
      <c r="AM28" s="5"/>
      <c r="AN28" s="6" t="s">
        <v>8</v>
      </c>
      <c r="AO28" s="8"/>
      <c r="AP28" s="5"/>
      <c r="AQ28" s="5"/>
      <c r="AR28" s="6" t="s">
        <v>8</v>
      </c>
      <c r="AS28" s="8"/>
      <c r="AT28" s="5"/>
      <c r="AU28" s="5"/>
      <c r="AX28" s="5"/>
      <c r="AY28" s="5"/>
    </row>
    <row r="29" spans="1:53" s="21" customFormat="1" ht="9.9499999999999993" customHeight="1" x14ac:dyDescent="0.2">
      <c r="A29" s="5"/>
      <c r="B29" s="5"/>
      <c r="C29" s="5"/>
      <c r="D29" s="6" t="s">
        <v>9</v>
      </c>
      <c r="E29" s="8">
        <v>120</v>
      </c>
      <c r="F29" s="65"/>
      <c r="G29" s="66"/>
      <c r="H29" s="6" t="s">
        <v>9</v>
      </c>
      <c r="I29" s="8">
        <v>30</v>
      </c>
      <c r="J29" s="65"/>
      <c r="K29" s="66"/>
      <c r="L29" s="6" t="s">
        <v>9</v>
      </c>
      <c r="M29" s="8">
        <v>20</v>
      </c>
      <c r="N29" s="65"/>
      <c r="O29" s="66"/>
      <c r="P29" s="6" t="s">
        <v>9</v>
      </c>
      <c r="Q29" s="8">
        <v>40</v>
      </c>
      <c r="R29" s="65"/>
      <c r="S29" s="66"/>
      <c r="T29" s="6" t="s">
        <v>9</v>
      </c>
      <c r="U29" s="8">
        <v>8</v>
      </c>
      <c r="V29" s="65"/>
      <c r="W29" s="66"/>
      <c r="X29" s="6" t="s">
        <v>9</v>
      </c>
      <c r="Y29" s="8">
        <v>16</v>
      </c>
      <c r="Z29" s="65"/>
      <c r="AA29" s="66"/>
      <c r="AB29" s="6" t="s">
        <v>9</v>
      </c>
      <c r="AC29" s="8">
        <v>30</v>
      </c>
      <c r="AD29" s="65"/>
      <c r="AE29" s="66"/>
      <c r="AF29" s="6" t="s">
        <v>9</v>
      </c>
      <c r="AG29" s="8">
        <v>60</v>
      </c>
      <c r="AH29" s="65"/>
      <c r="AI29" s="66"/>
      <c r="AJ29" s="6" t="s">
        <v>9</v>
      </c>
      <c r="AK29" s="8">
        <v>15</v>
      </c>
      <c r="AL29" s="65"/>
      <c r="AM29" s="66"/>
      <c r="AN29" s="6" t="s">
        <v>9</v>
      </c>
      <c r="AO29" s="8">
        <v>25</v>
      </c>
      <c r="AP29" s="65"/>
      <c r="AQ29" s="66"/>
      <c r="AR29" s="6" t="s">
        <v>9</v>
      </c>
      <c r="AS29" s="8">
        <v>15</v>
      </c>
      <c r="AT29" s="65"/>
      <c r="AU29" s="66"/>
      <c r="AW29" s="5"/>
      <c r="AX29" s="5"/>
      <c r="AY29" s="5"/>
    </row>
    <row r="30" spans="1:53" ht="9.9499999999999993" customHeight="1" x14ac:dyDescent="0.2">
      <c r="F30" s="66"/>
      <c r="G30" s="66"/>
      <c r="J30" s="66"/>
      <c r="K30" s="66"/>
      <c r="N30" s="66"/>
      <c r="O30" s="66"/>
      <c r="R30" s="66"/>
      <c r="S30" s="66"/>
      <c r="V30" s="66"/>
      <c r="W30" s="66"/>
      <c r="Z30" s="66"/>
      <c r="AA30" s="66"/>
      <c r="AD30" s="66"/>
      <c r="AE30" s="66"/>
      <c r="AH30" s="66"/>
      <c r="AI30" s="66"/>
      <c r="AL30" s="66"/>
      <c r="AM30" s="66"/>
      <c r="AP30" s="66"/>
      <c r="AQ30" s="66"/>
      <c r="AT30" s="66"/>
      <c r="AU30" s="66"/>
      <c r="AW30" s="4"/>
    </row>
    <row r="31" spans="1:53" s="4" customFormat="1" ht="9.9499999999999993" customHeight="1" x14ac:dyDescent="0.2">
      <c r="AV31" s="3"/>
      <c r="AZ31" s="3"/>
      <c r="BA31" s="3"/>
    </row>
    <row r="32" spans="1:53" s="4" customFormat="1" ht="9.9499999999999993" customHeight="1" x14ac:dyDescent="0.2">
      <c r="AV32" s="3"/>
      <c r="AZ32" s="3"/>
      <c r="BA32" s="3"/>
    </row>
    <row r="33" spans="1:54" s="4" customFormat="1" ht="9.9499999999999993" customHeight="1" x14ac:dyDescent="0.2">
      <c r="AV33" s="3"/>
      <c r="AZ33" s="3"/>
      <c r="BA33" s="3"/>
    </row>
    <row r="34" spans="1:54" s="4" customFormat="1" ht="9.9499999999999993" customHeight="1" x14ac:dyDescent="0.2">
      <c r="AV34" s="3"/>
      <c r="AW34" s="9"/>
      <c r="AZ34" s="3"/>
      <c r="BA34" s="3"/>
    </row>
    <row r="35" spans="1:54" s="4" customFormat="1" ht="9.9499999999999993" customHeight="1" x14ac:dyDescent="0.2">
      <c r="AV35" s="3"/>
      <c r="AW35" s="3"/>
      <c r="AZ35" s="3"/>
      <c r="BA35" s="3"/>
    </row>
    <row r="36" spans="1:54" s="4" customFormat="1" ht="9.9499999999999993" customHeight="1" x14ac:dyDescent="0.2">
      <c r="AV36" s="3"/>
      <c r="AZ36" s="3"/>
      <c r="BA36" s="63"/>
      <c r="BB36" s="64"/>
    </row>
    <row r="37" spans="1:54" s="5" customFormat="1" ht="9.9499999999999993" customHeight="1" x14ac:dyDescent="0.2">
      <c r="E37" s="5" t="s">
        <v>22</v>
      </c>
      <c r="F37" s="6" t="s">
        <v>10</v>
      </c>
      <c r="G37" s="8">
        <v>10</v>
      </c>
      <c r="J37" s="6" t="s">
        <v>10</v>
      </c>
      <c r="K37" s="8">
        <v>90</v>
      </c>
      <c r="N37" s="6" t="s">
        <v>10</v>
      </c>
      <c r="O37" s="8">
        <v>10</v>
      </c>
      <c r="R37" s="6" t="s">
        <v>10</v>
      </c>
      <c r="S37" s="8">
        <v>10</v>
      </c>
      <c r="V37" s="6" t="s">
        <v>10</v>
      </c>
      <c r="W37" s="8">
        <v>10</v>
      </c>
      <c r="Z37" s="6" t="s">
        <v>10</v>
      </c>
      <c r="AA37" s="8">
        <v>45</v>
      </c>
      <c r="AD37" s="6" t="s">
        <v>10</v>
      </c>
      <c r="AE37" s="8">
        <v>25</v>
      </c>
      <c r="AH37" s="6" t="s">
        <v>10</v>
      </c>
      <c r="AI37" s="8">
        <v>10</v>
      </c>
      <c r="AL37" s="6" t="s">
        <v>10</v>
      </c>
      <c r="AM37" s="8">
        <v>30</v>
      </c>
      <c r="AP37" s="6" t="s">
        <v>10</v>
      </c>
      <c r="AQ37" s="8">
        <v>35</v>
      </c>
      <c r="AT37" s="6" t="s">
        <v>10</v>
      </c>
      <c r="AU37" s="8">
        <v>30</v>
      </c>
      <c r="AV37" s="21"/>
      <c r="AW37" s="21"/>
      <c r="AZ37" s="21"/>
      <c r="BA37" s="54" t="s">
        <v>25</v>
      </c>
      <c r="BB37" s="54">
        <f>SUM(G37,K37,O37,S37,W37,AA37,AE37,AI37,AM37,AU37,AQ37)</f>
        <v>305</v>
      </c>
    </row>
    <row r="38" spans="1:54" s="5" customFormat="1" ht="9.9499999999999993" customHeight="1" x14ac:dyDescent="0.2">
      <c r="E38" s="5" t="s">
        <v>21</v>
      </c>
      <c r="F38" s="6" t="s">
        <v>5</v>
      </c>
      <c r="G38" s="8">
        <v>30</v>
      </c>
      <c r="J38" s="6" t="s">
        <v>5</v>
      </c>
      <c r="K38" s="8">
        <v>30</v>
      </c>
      <c r="N38" s="6" t="s">
        <v>5</v>
      </c>
      <c r="O38" s="8">
        <v>5</v>
      </c>
      <c r="R38" s="6" t="s">
        <v>5</v>
      </c>
      <c r="S38" s="8">
        <v>5</v>
      </c>
      <c r="V38" s="6" t="s">
        <v>5</v>
      </c>
      <c r="W38" s="8">
        <v>15</v>
      </c>
      <c r="Z38" s="6" t="s">
        <v>5</v>
      </c>
      <c r="AA38" s="8">
        <v>32</v>
      </c>
      <c r="AD38" s="6" t="s">
        <v>5</v>
      </c>
      <c r="AE38" s="8">
        <v>30</v>
      </c>
      <c r="AH38" s="6" t="s">
        <v>5</v>
      </c>
      <c r="AI38" s="8">
        <v>8</v>
      </c>
      <c r="AL38" s="6" t="s">
        <v>5</v>
      </c>
      <c r="AM38" s="8">
        <v>12</v>
      </c>
      <c r="AP38" s="6" t="s">
        <v>5</v>
      </c>
      <c r="AQ38" s="8">
        <v>10</v>
      </c>
      <c r="AT38" s="6" t="s">
        <v>5</v>
      </c>
      <c r="AU38" s="8">
        <v>20</v>
      </c>
      <c r="AV38" s="21"/>
      <c r="AW38" s="21"/>
      <c r="AZ38" s="21"/>
      <c r="BA38" s="54" t="s">
        <v>26</v>
      </c>
      <c r="BB38" s="54">
        <f>SUM(G38,K38,O38,S38,W38,AA38,AE38,AI38,AM38,AU38,AQ38)</f>
        <v>197</v>
      </c>
    </row>
    <row r="39" spans="1:54" s="5" customFormat="1" ht="9.9499999999999993" customHeight="1" x14ac:dyDescent="0.2">
      <c r="F39" s="6" t="s">
        <v>11</v>
      </c>
      <c r="G39" s="22">
        <v>0.95</v>
      </c>
      <c r="J39" s="6" t="s">
        <v>11</v>
      </c>
      <c r="K39" s="22">
        <v>0.9</v>
      </c>
      <c r="N39" s="6" t="s">
        <v>11</v>
      </c>
      <c r="O39" s="22">
        <v>0.95</v>
      </c>
      <c r="R39" s="6" t="s">
        <v>11</v>
      </c>
      <c r="S39" s="22">
        <v>0.95</v>
      </c>
      <c r="V39" s="6" t="s">
        <v>11</v>
      </c>
      <c r="W39" s="22">
        <v>0.96</v>
      </c>
      <c r="Z39" s="6" t="s">
        <v>11</v>
      </c>
      <c r="AA39" s="22">
        <v>0.95</v>
      </c>
      <c r="AD39" s="60" t="s">
        <v>11</v>
      </c>
      <c r="AE39" s="48">
        <v>0.85</v>
      </c>
      <c r="AH39" s="6" t="s">
        <v>11</v>
      </c>
      <c r="AI39" s="22">
        <v>1</v>
      </c>
      <c r="AL39" s="6" t="s">
        <v>11</v>
      </c>
      <c r="AM39" s="22">
        <v>1</v>
      </c>
      <c r="AP39" s="6" t="s">
        <v>11</v>
      </c>
      <c r="AQ39" s="22">
        <v>0.97</v>
      </c>
      <c r="AT39" s="6" t="s">
        <v>11</v>
      </c>
      <c r="AU39" s="22">
        <v>1</v>
      </c>
      <c r="AV39" s="21"/>
      <c r="AW39" s="21"/>
      <c r="AZ39" s="21"/>
      <c r="BA39" s="54"/>
      <c r="BB39" s="54"/>
    </row>
    <row r="40" spans="1:54" s="5" customFormat="1" ht="9.9499999999999993" customHeight="1" x14ac:dyDescent="0.2">
      <c r="F40" s="6" t="s">
        <v>13</v>
      </c>
      <c r="G40" s="22">
        <v>0.9</v>
      </c>
      <c r="J40" s="6" t="s">
        <v>13</v>
      </c>
      <c r="K40" s="22">
        <v>0.95</v>
      </c>
      <c r="N40" s="6" t="s">
        <v>13</v>
      </c>
      <c r="O40" s="22">
        <v>0.92</v>
      </c>
      <c r="R40" s="6" t="s">
        <v>13</v>
      </c>
      <c r="S40" s="22">
        <v>0.92</v>
      </c>
      <c r="V40" s="6" t="s">
        <v>13</v>
      </c>
      <c r="W40" s="22">
        <v>0.9</v>
      </c>
      <c r="Z40" s="6" t="s">
        <v>13</v>
      </c>
      <c r="AA40" s="22">
        <v>0.92</v>
      </c>
      <c r="AD40" s="6" t="s">
        <v>13</v>
      </c>
      <c r="AE40" s="22">
        <v>0.9</v>
      </c>
      <c r="AH40" s="6" t="s">
        <v>13</v>
      </c>
      <c r="AI40" s="22">
        <v>0.9</v>
      </c>
      <c r="AL40" s="6" t="s">
        <v>13</v>
      </c>
      <c r="AM40" s="22">
        <v>0.92</v>
      </c>
      <c r="AP40" s="6" t="s">
        <v>13</v>
      </c>
      <c r="AQ40" s="22">
        <v>0.92</v>
      </c>
      <c r="AT40" s="6" t="s">
        <v>13</v>
      </c>
      <c r="AU40" s="22">
        <v>0.90500000000000003</v>
      </c>
      <c r="AV40" s="21"/>
      <c r="AW40" s="21"/>
      <c r="AZ40" s="21"/>
      <c r="BA40" s="69" t="s">
        <v>24</v>
      </c>
      <c r="BB40" s="70">
        <f>BB37/(BB38+BB37)</f>
        <v>0.60756972111553786</v>
      </c>
    </row>
    <row r="41" spans="1:54" s="5" customFormat="1" ht="9.9499999999999993" customHeight="1" x14ac:dyDescent="0.2">
      <c r="F41" s="6" t="s">
        <v>14</v>
      </c>
      <c r="G41" s="22">
        <v>0.9</v>
      </c>
      <c r="J41" s="6" t="s">
        <v>14</v>
      </c>
      <c r="K41" s="48">
        <v>0.85</v>
      </c>
      <c r="N41" s="6" t="s">
        <v>14</v>
      </c>
      <c r="O41" s="22">
        <v>0.92</v>
      </c>
      <c r="R41" s="6" t="s">
        <v>14</v>
      </c>
      <c r="S41" s="22">
        <v>0.92</v>
      </c>
      <c r="V41" s="6" t="s">
        <v>14</v>
      </c>
      <c r="W41" s="22">
        <v>0.88</v>
      </c>
      <c r="Z41" s="6" t="s">
        <v>14</v>
      </c>
      <c r="AA41" s="22">
        <v>0.9</v>
      </c>
      <c r="AD41" s="60" t="s">
        <v>14</v>
      </c>
      <c r="AE41" s="48">
        <v>0.85</v>
      </c>
      <c r="AH41" s="6" t="s">
        <v>14</v>
      </c>
      <c r="AI41" s="22">
        <v>0.95</v>
      </c>
      <c r="AL41" s="6" t="s">
        <v>14</v>
      </c>
      <c r="AM41" s="22">
        <v>0.98</v>
      </c>
      <c r="AP41" s="6" t="s">
        <v>14</v>
      </c>
      <c r="AQ41" s="22">
        <v>0.9</v>
      </c>
      <c r="AT41" s="6" t="s">
        <v>14</v>
      </c>
      <c r="AU41" s="22">
        <v>0.88</v>
      </c>
      <c r="AV41" s="21"/>
      <c r="AW41" s="21"/>
      <c r="AZ41" s="21"/>
      <c r="BA41" s="69"/>
      <c r="BB41" s="70"/>
    </row>
    <row r="42" spans="1:54" s="5" customFormat="1" ht="9.9499999999999993" customHeight="1" x14ac:dyDescent="0.2">
      <c r="F42" s="6" t="s">
        <v>12</v>
      </c>
      <c r="G42" s="8">
        <v>1</v>
      </c>
      <c r="J42" s="6" t="s">
        <v>12</v>
      </c>
      <c r="K42" s="8">
        <v>1</v>
      </c>
      <c r="N42" s="6" t="s">
        <v>12</v>
      </c>
      <c r="O42" s="8">
        <v>1</v>
      </c>
      <c r="R42" s="6" t="s">
        <v>12</v>
      </c>
      <c r="S42" s="8">
        <v>1</v>
      </c>
      <c r="V42" s="6" t="s">
        <v>12</v>
      </c>
      <c r="W42" s="8">
        <v>1</v>
      </c>
      <c r="Z42" s="6" t="s">
        <v>12</v>
      </c>
      <c r="AA42" s="8">
        <v>1</v>
      </c>
      <c r="AD42" s="6" t="s">
        <v>12</v>
      </c>
      <c r="AE42" s="8">
        <v>1</v>
      </c>
      <c r="AH42" s="6" t="s">
        <v>12</v>
      </c>
      <c r="AI42" s="8">
        <v>1</v>
      </c>
      <c r="AL42" s="6" t="s">
        <v>12</v>
      </c>
      <c r="AM42" s="8">
        <v>1</v>
      </c>
      <c r="AP42" s="6" t="s">
        <v>12</v>
      </c>
      <c r="AQ42" s="8">
        <v>1</v>
      </c>
      <c r="AT42" s="6" t="s">
        <v>12</v>
      </c>
      <c r="AU42" s="8">
        <v>1</v>
      </c>
      <c r="AV42" s="21"/>
      <c r="AW42" s="21"/>
      <c r="AZ42" s="21"/>
      <c r="BA42" s="68"/>
    </row>
    <row r="43" spans="1:54" s="5" customFormat="1" ht="9.9499999999999993" customHeight="1" x14ac:dyDescent="0.2">
      <c r="F43" s="6" t="s">
        <v>15</v>
      </c>
      <c r="G43" s="25">
        <f>+IF(G39*G40*G41=0,"",G39*G40*G41)</f>
        <v>0.76949999999999996</v>
      </c>
      <c r="J43" s="6" t="s">
        <v>15</v>
      </c>
      <c r="K43" s="25">
        <f>+IF(K39*K40*K41=0,"",K39*K40*K41)</f>
        <v>0.72675000000000001</v>
      </c>
      <c r="N43" s="6" t="s">
        <v>15</v>
      </c>
      <c r="O43" s="25">
        <f>+IF(O39*O40*O41=0,"",O39*O40*O41)</f>
        <v>0.80408000000000002</v>
      </c>
      <c r="R43" s="6" t="s">
        <v>15</v>
      </c>
      <c r="S43" s="25">
        <f>+IF(S39*S40*S41=0,"",S39*S40*S41)</f>
        <v>0.80408000000000002</v>
      </c>
      <c r="V43" s="6" t="s">
        <v>15</v>
      </c>
      <c r="W43" s="25">
        <f>+IF(W39*W40*W41=0,"",W39*W40*W41)</f>
        <v>0.76032</v>
      </c>
      <c r="Z43" s="6" t="s">
        <v>15</v>
      </c>
      <c r="AA43" s="25">
        <f>+IF(AA39*AA40*AA41=0,"",AA39*AA40*AA41)</f>
        <v>0.78659999999999997</v>
      </c>
      <c r="AD43" s="6" t="s">
        <v>15</v>
      </c>
      <c r="AE43" s="25">
        <f>+IF(AE39*AE40*AE41=0,"",AE39*AE40*AE41)</f>
        <v>0.65024999999999999</v>
      </c>
      <c r="AH43" s="6" t="s">
        <v>15</v>
      </c>
      <c r="AI43" s="25">
        <f>+IF(AI39*AI40*AI41=0,"",AI39*AI40*AI41)</f>
        <v>0.85499999999999998</v>
      </c>
      <c r="AL43" s="6" t="s">
        <v>15</v>
      </c>
      <c r="AM43" s="25">
        <f>+IF(AM39*AM40*AM41=0,"",AM39*AM40*AM41)</f>
        <v>0.90160000000000007</v>
      </c>
      <c r="AP43" s="6" t="s">
        <v>15</v>
      </c>
      <c r="AQ43" s="25">
        <f>+IF(AQ39*AQ40*AQ41=0,"",AQ39*AQ40*AQ41)</f>
        <v>0.80315999999999999</v>
      </c>
      <c r="AT43" s="6" t="s">
        <v>15</v>
      </c>
      <c r="AU43" s="25">
        <f>+IF(AU39*AU40*AU41=0,"",AU39*AU40*AU41)</f>
        <v>0.7964</v>
      </c>
      <c r="AV43" s="21"/>
      <c r="AW43" s="49"/>
      <c r="AZ43" s="21"/>
      <c r="BA43" s="68"/>
      <c r="BB43" s="67"/>
    </row>
    <row r="44" spans="1:54" ht="9.9499999999999993" customHeight="1" x14ac:dyDescent="0.2">
      <c r="BA44" s="68"/>
      <c r="BB44" s="67"/>
    </row>
    <row r="45" spans="1:54" ht="9.9499999999999993" customHeight="1" x14ac:dyDescent="0.2"/>
    <row r="46" spans="1:54" ht="14.1" customHeight="1" thickBot="1" x14ac:dyDescent="0.25"/>
    <row r="47" spans="1:54" s="21" customFormat="1" ht="14.1" customHeight="1" x14ac:dyDescent="0.2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X47" s="26" t="s">
        <v>16</v>
      </c>
      <c r="AY47" s="27"/>
      <c r="AZ47" s="50" t="s">
        <v>17</v>
      </c>
    </row>
    <row r="48" spans="1:54" s="21" customFormat="1" ht="14.1" customHeight="1" thickBot="1" x14ac:dyDescent="0.25">
      <c r="A48" s="29">
        <f>+K15+W19</f>
        <v>0</v>
      </c>
      <c r="B48" s="5"/>
      <c r="C48" s="5"/>
      <c r="D48" s="5"/>
      <c r="E48" s="30">
        <f>E29</f>
        <v>120</v>
      </c>
      <c r="F48" s="5"/>
      <c r="G48" s="5"/>
      <c r="H48" s="5"/>
      <c r="I48" s="30">
        <f>I29+G38</f>
        <v>60</v>
      </c>
      <c r="J48" s="5"/>
      <c r="K48" s="5"/>
      <c r="L48" s="5"/>
      <c r="M48" s="30">
        <f>M29+K38</f>
        <v>50</v>
      </c>
      <c r="N48" s="5"/>
      <c r="O48" s="5"/>
      <c r="P48" s="5"/>
      <c r="Q48" s="30">
        <f>Q29+O38</f>
        <v>45</v>
      </c>
      <c r="R48" s="5"/>
      <c r="S48" s="5"/>
      <c r="T48" s="5"/>
      <c r="U48" s="30">
        <f>U29+S38</f>
        <v>13</v>
      </c>
      <c r="V48" s="5"/>
      <c r="W48" s="5"/>
      <c r="X48" s="5"/>
      <c r="Y48" s="30">
        <f>Y29+W38</f>
        <v>31</v>
      </c>
      <c r="Z48" s="5"/>
      <c r="AA48" s="5"/>
      <c r="AB48" s="5"/>
      <c r="AC48" s="30">
        <f>AC29+AA38</f>
        <v>62</v>
      </c>
      <c r="AD48" s="5"/>
      <c r="AE48" s="5"/>
      <c r="AF48" s="5"/>
      <c r="AG48" s="30">
        <f>AG29+AE38</f>
        <v>90</v>
      </c>
      <c r="AH48" s="5"/>
      <c r="AI48" s="5"/>
      <c r="AJ48" s="5"/>
      <c r="AK48" s="30">
        <f>AK29+AI38</f>
        <v>23</v>
      </c>
      <c r="AL48" s="5"/>
      <c r="AM48" s="5"/>
      <c r="AN48" s="5"/>
      <c r="AO48" s="30">
        <f>AO29+AM38</f>
        <v>37</v>
      </c>
      <c r="AP48" s="5"/>
      <c r="AQ48" s="5"/>
      <c r="AR48" s="5"/>
      <c r="AS48" s="30">
        <f>AS29+AQ38</f>
        <v>25</v>
      </c>
      <c r="AT48" s="5"/>
      <c r="AU48" s="5"/>
      <c r="AV48" s="5"/>
      <c r="AW48" s="56">
        <f>+AS29+AU38</f>
        <v>35</v>
      </c>
      <c r="AX48" s="31" t="s">
        <v>18</v>
      </c>
      <c r="AY48" s="46">
        <f>SUM(A48:AW48)/60</f>
        <v>9.85</v>
      </c>
      <c r="AZ48" s="51">
        <f>+AY48/24</f>
        <v>0.41041666666666665</v>
      </c>
    </row>
    <row r="49" spans="1:53" s="21" customFormat="1" ht="14.1" customHeight="1" thickTop="1" x14ac:dyDescent="0.2">
      <c r="A49" s="34"/>
      <c r="B49" s="35"/>
      <c r="C49" s="36"/>
      <c r="D49" s="37"/>
      <c r="E49" s="34"/>
      <c r="F49" s="35"/>
      <c r="G49" s="36"/>
      <c r="H49" s="37"/>
      <c r="I49" s="34"/>
      <c r="J49" s="35"/>
      <c r="K49" s="36"/>
      <c r="L49" s="37"/>
      <c r="M49" s="34"/>
      <c r="N49" s="35"/>
      <c r="O49" s="36"/>
      <c r="P49" s="37"/>
      <c r="Q49" s="34"/>
      <c r="R49" s="35"/>
      <c r="S49" s="36"/>
      <c r="T49" s="37"/>
      <c r="U49" s="34"/>
      <c r="V49" s="35"/>
      <c r="W49" s="36"/>
      <c r="X49" s="37"/>
      <c r="Y49" s="34"/>
      <c r="Z49" s="35"/>
      <c r="AA49" s="36"/>
      <c r="AB49" s="37"/>
      <c r="AC49" s="34"/>
      <c r="AD49" s="35"/>
      <c r="AE49" s="36"/>
      <c r="AF49" s="37"/>
      <c r="AG49" s="34"/>
      <c r="AH49" s="35"/>
      <c r="AI49" s="36"/>
      <c r="AJ49" s="37"/>
      <c r="AK49" s="34"/>
      <c r="AL49" s="35"/>
      <c r="AM49" s="36"/>
      <c r="AN49" s="37"/>
      <c r="AO49" s="34"/>
      <c r="AP49" s="35"/>
      <c r="AQ49" s="36"/>
      <c r="AR49" s="37"/>
      <c r="AS49" s="34"/>
      <c r="AT49" s="35"/>
      <c r="AU49" s="36"/>
      <c r="AV49" s="37"/>
      <c r="AW49" s="57"/>
      <c r="AX49" s="38" t="s">
        <v>19</v>
      </c>
      <c r="AY49" s="47"/>
      <c r="AZ49" s="52"/>
    </row>
    <row r="50" spans="1:53" s="21" customFormat="1" ht="14.1" customHeight="1" thickBot="1" x14ac:dyDescent="0.25">
      <c r="A50" s="5"/>
      <c r="B50" s="41"/>
      <c r="C50" s="42">
        <f>+W18+K14</f>
        <v>0</v>
      </c>
      <c r="D50" s="35"/>
      <c r="E50" s="36"/>
      <c r="F50" s="41"/>
      <c r="G50" s="42">
        <f>G37</f>
        <v>10</v>
      </c>
      <c r="H50" s="35"/>
      <c r="I50" s="36"/>
      <c r="J50" s="41"/>
      <c r="K50" s="42">
        <f>K37</f>
        <v>90</v>
      </c>
      <c r="L50" s="35"/>
      <c r="M50" s="36"/>
      <c r="N50" s="41"/>
      <c r="O50" s="42">
        <f>O37</f>
        <v>10</v>
      </c>
      <c r="P50" s="35"/>
      <c r="Q50" s="36"/>
      <c r="R50" s="41"/>
      <c r="S50" s="42">
        <f>S37</f>
        <v>10</v>
      </c>
      <c r="T50" s="35"/>
      <c r="U50" s="36"/>
      <c r="V50" s="41"/>
      <c r="W50" s="42">
        <f>W37</f>
        <v>10</v>
      </c>
      <c r="X50" s="35"/>
      <c r="Y50" s="36"/>
      <c r="Z50" s="41"/>
      <c r="AA50" s="42">
        <f>AA37</f>
        <v>45</v>
      </c>
      <c r="AB50" s="35"/>
      <c r="AC50" s="36"/>
      <c r="AD50" s="41"/>
      <c r="AE50" s="42">
        <f>AE37</f>
        <v>25</v>
      </c>
      <c r="AF50" s="35"/>
      <c r="AG50" s="36"/>
      <c r="AH50" s="41"/>
      <c r="AI50" s="42">
        <f>AI37</f>
        <v>10</v>
      </c>
      <c r="AJ50" s="35"/>
      <c r="AK50" s="36"/>
      <c r="AL50" s="41"/>
      <c r="AM50" s="42">
        <f>AM37</f>
        <v>30</v>
      </c>
      <c r="AN50" s="35"/>
      <c r="AO50" s="36"/>
      <c r="AP50" s="41"/>
      <c r="AQ50" s="42">
        <f>AQ37</f>
        <v>35</v>
      </c>
      <c r="AR50" s="35"/>
      <c r="AS50" s="36"/>
      <c r="AT50" s="41"/>
      <c r="AU50" s="42">
        <f>AU37</f>
        <v>30</v>
      </c>
      <c r="AV50" s="35"/>
      <c r="AW50" s="5"/>
      <c r="AX50" s="31" t="s">
        <v>18</v>
      </c>
      <c r="AY50" s="46">
        <f>SUM(A50:AW50)/60</f>
        <v>5.083333333333333</v>
      </c>
      <c r="AZ50" s="53">
        <f>+AY50/24</f>
        <v>0.21180555555555555</v>
      </c>
    </row>
    <row r="51" spans="1:53" ht="14.1" customHeight="1" thickTop="1" thickBot="1" x14ac:dyDescent="0.25">
      <c r="AX51" s="58" t="s">
        <v>23</v>
      </c>
      <c r="AY51" s="59">
        <f>AY50/AY48</f>
        <v>0.5160744500846024</v>
      </c>
      <c r="BA51" s="44"/>
    </row>
    <row r="52" spans="1:53" ht="14.1" customHeight="1" x14ac:dyDescent="0.2">
      <c r="A52" s="45"/>
      <c r="AX52" s="54"/>
      <c r="AY52" s="55"/>
    </row>
    <row r="77" spans="30:32" ht="9" customHeight="1" x14ac:dyDescent="0.2">
      <c r="AD77" s="6" t="s">
        <v>10</v>
      </c>
      <c r="AE77" s="8">
        <v>25</v>
      </c>
    </row>
    <row r="78" spans="30:32" ht="9" customHeight="1" x14ac:dyDescent="0.2">
      <c r="AD78" s="6" t="s">
        <v>5</v>
      </c>
      <c r="AE78" s="8">
        <v>30</v>
      </c>
    </row>
    <row r="79" spans="30:32" ht="9" customHeight="1" x14ac:dyDescent="0.2">
      <c r="AD79" s="60" t="s">
        <v>11</v>
      </c>
      <c r="AE79" s="48">
        <v>0.85</v>
      </c>
      <c r="AF79" s="5"/>
    </row>
    <row r="80" spans="30:32" ht="9" customHeight="1" x14ac:dyDescent="0.2">
      <c r="AD80" s="6" t="s">
        <v>13</v>
      </c>
      <c r="AE80" s="22">
        <v>0.9</v>
      </c>
      <c r="AF80" s="5"/>
    </row>
    <row r="81" spans="30:32" ht="9" customHeight="1" x14ac:dyDescent="0.2">
      <c r="AD81" s="60" t="s">
        <v>14</v>
      </c>
      <c r="AE81" s="48">
        <v>0.85</v>
      </c>
      <c r="AF81" s="5"/>
    </row>
    <row r="82" spans="30:32" ht="9" customHeight="1" x14ac:dyDescent="0.2">
      <c r="AD82" s="6" t="s">
        <v>12</v>
      </c>
      <c r="AE82" s="8">
        <v>1</v>
      </c>
      <c r="AF82" s="5"/>
    </row>
    <row r="83" spans="30:32" ht="15" x14ac:dyDescent="0.2">
      <c r="AD83" s="61" t="s">
        <v>15</v>
      </c>
      <c r="AE83" s="62">
        <f>+IF(AE79*AE80*AE81=0,"",AE79*AE80*AE81)</f>
        <v>0.65024999999999999</v>
      </c>
      <c r="AF83" s="5"/>
    </row>
    <row r="84" spans="30:32" ht="9" customHeight="1" x14ac:dyDescent="0.2">
      <c r="AF84" s="5"/>
    </row>
    <row r="85" spans="30:32" ht="9" customHeight="1" x14ac:dyDescent="0.2">
      <c r="AF85" s="5"/>
    </row>
  </sheetData>
  <mergeCells count="42">
    <mergeCell ref="A1:AW1"/>
    <mergeCell ref="AX2:AY2"/>
    <mergeCell ref="AX3:AY9"/>
    <mergeCell ref="B7:C7"/>
    <mergeCell ref="B8:C8"/>
    <mergeCell ref="B9:C13"/>
    <mergeCell ref="L9:M10"/>
    <mergeCell ref="J12:K13"/>
    <mergeCell ref="R12:S13"/>
    <mergeCell ref="X9:Y10"/>
    <mergeCell ref="V12:W13"/>
    <mergeCell ref="AL12:AM13"/>
    <mergeCell ref="AD12:AE13"/>
    <mergeCell ref="AL14:AM15"/>
    <mergeCell ref="AL16:AM16"/>
    <mergeCell ref="AB19:AC20"/>
    <mergeCell ref="X27:Y27"/>
    <mergeCell ref="F29:G30"/>
    <mergeCell ref="J29:K30"/>
    <mergeCell ref="AB27:AC27"/>
    <mergeCell ref="AL29:AM30"/>
    <mergeCell ref="AD14:AE15"/>
    <mergeCell ref="AD16:AE16"/>
    <mergeCell ref="AD29:AE30"/>
    <mergeCell ref="AH29:AI30"/>
    <mergeCell ref="R14:S15"/>
    <mergeCell ref="R16:S16"/>
    <mergeCell ref="P19:Q20"/>
    <mergeCell ref="R29:S30"/>
    <mergeCell ref="D27:E27"/>
    <mergeCell ref="H27:I27"/>
    <mergeCell ref="L27:M27"/>
    <mergeCell ref="P27:Q27"/>
    <mergeCell ref="N29:O30"/>
    <mergeCell ref="AP29:AQ30"/>
    <mergeCell ref="BB43:BB44"/>
    <mergeCell ref="BA42:BA44"/>
    <mergeCell ref="AT29:AU30"/>
    <mergeCell ref="V29:W30"/>
    <mergeCell ref="Z29:AA30"/>
    <mergeCell ref="BA40:BA41"/>
    <mergeCell ref="BB40:BB41"/>
  </mergeCells>
  <pageMargins left="0.7" right="0.7" top="0.75" bottom="0.75" header="0.3" footer="0.3"/>
  <pageSetup orientation="portrait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52"/>
  <sheetViews>
    <sheetView showGridLines="0" topLeftCell="A15" workbookViewId="0">
      <selection activeCell="AE11" sqref="AE11"/>
    </sheetView>
  </sheetViews>
  <sheetFormatPr baseColWidth="10" defaultColWidth="9.140625" defaultRowHeight="9" customHeight="1" x14ac:dyDescent="0.2"/>
  <cols>
    <col min="1" max="1" width="3.5703125" style="4" customWidth="1"/>
    <col min="2" max="2" width="1.28515625" style="4" customWidth="1"/>
    <col min="3" max="3" width="7" style="4" customWidth="1"/>
    <col min="4" max="4" width="7.28515625" style="4" customWidth="1"/>
    <col min="5" max="5" width="5.28515625" style="4" customWidth="1"/>
    <col min="6" max="6" width="8.85546875" style="4" customWidth="1"/>
    <col min="7" max="7" width="5.85546875" style="4" customWidth="1"/>
    <col min="8" max="8" width="6.85546875" style="4" customWidth="1"/>
    <col min="9" max="9" width="4.5703125" style="4" customWidth="1"/>
    <col min="10" max="10" width="8.140625" style="4" customWidth="1"/>
    <col min="11" max="11" width="5.7109375" style="4" customWidth="1"/>
    <col min="12" max="12" width="7.28515625" style="4" customWidth="1"/>
    <col min="13" max="13" width="5.140625" style="4" customWidth="1"/>
    <col min="14" max="14" width="8.85546875" style="4" customWidth="1"/>
    <col min="15" max="15" width="4.7109375" style="4" customWidth="1"/>
    <col min="16" max="16" width="5.85546875" style="4" customWidth="1"/>
    <col min="17" max="17" width="5.140625" style="4" customWidth="1"/>
    <col min="18" max="18" width="8.7109375" style="4" customWidth="1"/>
    <col min="19" max="19" width="5" style="4" customWidth="1"/>
    <col min="20" max="20" width="6" style="4" customWidth="1"/>
    <col min="21" max="21" width="5.140625" style="4" customWidth="1"/>
    <col min="22" max="22" width="7.28515625" style="4" customWidth="1"/>
    <col min="23" max="23" width="5.5703125" style="4" customWidth="1"/>
    <col min="24" max="24" width="7.28515625" style="4" customWidth="1"/>
    <col min="25" max="25" width="5.140625" style="4" customWidth="1"/>
    <col min="26" max="26" width="7.85546875" style="4" customWidth="1"/>
    <col min="27" max="27" width="5.42578125" style="4" customWidth="1"/>
    <col min="28" max="28" width="6.140625" style="3" customWidth="1"/>
    <col min="29" max="29" width="9.28515625" style="3" customWidth="1"/>
    <col min="30" max="30" width="11" style="4" customWidth="1"/>
    <col min="31" max="31" width="6.28515625" style="4" customWidth="1"/>
    <col min="32" max="32" width="7" style="3" customWidth="1"/>
    <col min="33" max="16384" width="9.140625" style="3"/>
  </cols>
  <sheetData>
    <row r="1" spans="1:32" ht="28.5" x14ac:dyDescent="0.2">
      <c r="A1" s="72" t="s">
        <v>20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  <c r="Z1" s="72"/>
      <c r="AA1" s="72"/>
      <c r="AB1" s="72"/>
      <c r="AC1" s="72"/>
      <c r="AD1" s="1"/>
      <c r="AE1" s="2"/>
      <c r="AF1" s="2"/>
    </row>
    <row r="2" spans="1:32" ht="12.75" x14ac:dyDescent="0.2">
      <c r="AD2" s="73"/>
      <c r="AE2" s="73"/>
    </row>
    <row r="3" spans="1:32" ht="12.75" x14ac:dyDescent="0.2">
      <c r="AD3" s="73"/>
      <c r="AE3" s="73"/>
    </row>
    <row r="4" spans="1:32" ht="12.75" x14ac:dyDescent="0.2">
      <c r="AD4" s="73"/>
      <c r="AE4" s="73"/>
    </row>
    <row r="5" spans="1:32" ht="12.75" x14ac:dyDescent="0.2">
      <c r="AD5" s="73"/>
      <c r="AE5" s="73"/>
    </row>
    <row r="6" spans="1:32" ht="12.75" x14ac:dyDescent="0.2">
      <c r="AD6" s="73"/>
      <c r="AE6" s="73"/>
    </row>
    <row r="7" spans="1:32" ht="12.75" x14ac:dyDescent="0.2">
      <c r="B7" s="66"/>
      <c r="C7" s="66"/>
      <c r="AD7" s="73"/>
      <c r="AE7" s="73"/>
    </row>
    <row r="8" spans="1:32" ht="12.75" x14ac:dyDescent="0.2">
      <c r="B8" s="66"/>
      <c r="C8" s="66"/>
      <c r="AD8" s="73"/>
      <c r="AE8" s="73"/>
    </row>
    <row r="9" spans="1:32" ht="12.75" x14ac:dyDescent="0.2">
      <c r="B9" s="66"/>
      <c r="C9" s="66"/>
      <c r="L9" s="65"/>
      <c r="M9" s="66"/>
      <c r="AD9" s="73"/>
      <c r="AE9" s="73"/>
    </row>
    <row r="10" spans="1:32" ht="12.75" x14ac:dyDescent="0.2">
      <c r="B10" s="66"/>
      <c r="C10" s="66"/>
      <c r="L10" s="66"/>
      <c r="M10" s="66"/>
      <c r="AD10" s="5"/>
      <c r="AE10" s="5"/>
    </row>
    <row r="11" spans="1:32" ht="20.45" customHeight="1" x14ac:dyDescent="0.2">
      <c r="B11" s="66"/>
      <c r="C11" s="66"/>
      <c r="AD11" s="6" t="s">
        <v>0</v>
      </c>
      <c r="AE11" s="7">
        <f>19/60</f>
        <v>0.31666666666666665</v>
      </c>
    </row>
    <row r="12" spans="1:32" ht="12.75" x14ac:dyDescent="0.2">
      <c r="B12" s="66"/>
      <c r="C12" s="66"/>
      <c r="J12" s="65"/>
      <c r="K12" s="66"/>
      <c r="R12" s="65"/>
      <c r="S12" s="66"/>
      <c r="AD12" s="6" t="s">
        <v>1</v>
      </c>
      <c r="AE12" s="8"/>
    </row>
    <row r="13" spans="1:32" ht="12.75" x14ac:dyDescent="0.2">
      <c r="B13" s="66"/>
      <c r="C13" s="66"/>
      <c r="J13" s="66"/>
      <c r="K13" s="66"/>
      <c r="N13" s="9"/>
      <c r="R13" s="66"/>
      <c r="S13" s="66"/>
      <c r="AD13" s="6" t="s">
        <v>2</v>
      </c>
      <c r="AE13" s="8" t="s">
        <v>3</v>
      </c>
    </row>
    <row r="14" spans="1:32" ht="12.75" x14ac:dyDescent="0.2">
      <c r="J14" s="10" t="s">
        <v>4</v>
      </c>
      <c r="K14" s="11"/>
      <c r="R14" s="66"/>
      <c r="S14" s="66"/>
      <c r="AD14" s="3"/>
      <c r="AE14" s="3"/>
    </row>
    <row r="15" spans="1:32" ht="12.75" x14ac:dyDescent="0.2">
      <c r="B15" s="9"/>
      <c r="J15" s="10" t="s">
        <v>5</v>
      </c>
      <c r="K15" s="11"/>
      <c r="R15" s="66"/>
      <c r="S15" s="66"/>
      <c r="AD15" s="3"/>
      <c r="AE15" s="3"/>
    </row>
    <row r="16" spans="1:32" ht="12.75" x14ac:dyDescent="0.2">
      <c r="B16" s="9"/>
      <c r="J16" s="12"/>
      <c r="K16" s="13"/>
      <c r="R16" s="66"/>
      <c r="S16" s="66"/>
      <c r="AD16" s="3"/>
      <c r="AE16" s="3"/>
    </row>
    <row r="17" spans="1:33" ht="9.9499999999999993" customHeight="1" x14ac:dyDescent="0.2">
      <c r="B17" s="9"/>
      <c r="J17" s="14"/>
      <c r="K17" s="5"/>
      <c r="R17" s="15"/>
      <c r="S17" s="15"/>
      <c r="AB17" s="4"/>
      <c r="AC17" s="4"/>
      <c r="AD17" s="5"/>
      <c r="AE17" s="5"/>
    </row>
    <row r="18" spans="1:33" ht="9.9499999999999993" customHeight="1" x14ac:dyDescent="0.2">
      <c r="J18" s="14"/>
      <c r="K18" s="5"/>
      <c r="R18" s="16" t="s">
        <v>4</v>
      </c>
      <c r="S18" s="17"/>
    </row>
    <row r="19" spans="1:33" ht="9.9499999999999993" customHeight="1" x14ac:dyDescent="0.2">
      <c r="J19" s="14"/>
      <c r="K19" s="5"/>
      <c r="P19" s="65"/>
      <c r="Q19" s="66"/>
      <c r="R19" s="18" t="s">
        <v>6</v>
      </c>
      <c r="S19" s="19"/>
      <c r="AC19" s="4"/>
    </row>
    <row r="20" spans="1:33" ht="9.9499999999999993" customHeight="1" x14ac:dyDescent="0.2">
      <c r="J20" s="9"/>
      <c r="P20" s="66"/>
      <c r="Q20" s="66"/>
      <c r="R20" s="12"/>
      <c r="S20" s="13"/>
      <c r="AC20" s="4"/>
    </row>
    <row r="21" spans="1:33" ht="9.9499999999999993" customHeight="1" x14ac:dyDescent="0.2">
      <c r="J21" s="9"/>
      <c r="R21" s="14"/>
      <c r="S21" s="5"/>
      <c r="AC21" s="4"/>
    </row>
    <row r="22" spans="1:33" ht="9.9499999999999993" customHeight="1" x14ac:dyDescent="0.2">
      <c r="J22" s="9"/>
      <c r="R22" s="14"/>
      <c r="S22" s="5"/>
      <c r="AC22" s="4"/>
    </row>
    <row r="23" spans="1:33" ht="9.9499999999999993" customHeight="1" x14ac:dyDescent="0.2">
      <c r="R23" s="14"/>
      <c r="S23" s="5"/>
      <c r="AC23" s="4"/>
    </row>
    <row r="24" spans="1:33" ht="9.9499999999999993" customHeight="1" x14ac:dyDescent="0.2">
      <c r="AC24" s="4"/>
    </row>
    <row r="25" spans="1:33" ht="9.9499999999999993" customHeight="1" x14ac:dyDescent="0.2">
      <c r="AC25" s="4"/>
    </row>
    <row r="26" spans="1:33" ht="9.9499999999999993" customHeight="1" x14ac:dyDescent="0.2">
      <c r="AC26" s="6" t="s">
        <v>2</v>
      </c>
      <c r="AD26" s="8" t="s">
        <v>7</v>
      </c>
    </row>
    <row r="27" spans="1:33" s="21" customFormat="1" ht="9.9499999999999993" customHeight="1" x14ac:dyDescent="0.2">
      <c r="A27" s="5"/>
      <c r="B27" s="5"/>
      <c r="C27" s="5"/>
      <c r="D27" s="71"/>
      <c r="E27" s="71"/>
      <c r="F27" s="5"/>
      <c r="G27" s="5"/>
      <c r="H27" s="71"/>
      <c r="I27" s="71"/>
      <c r="J27" s="5"/>
      <c r="K27" s="5"/>
      <c r="L27" s="71"/>
      <c r="M27" s="71"/>
      <c r="N27" s="5"/>
      <c r="O27" s="5"/>
      <c r="P27" s="71"/>
      <c r="Q27" s="71"/>
      <c r="R27" s="5"/>
      <c r="S27" s="5"/>
      <c r="T27" s="20"/>
      <c r="U27" s="20"/>
      <c r="V27" s="5"/>
      <c r="W27" s="5"/>
      <c r="X27" s="20"/>
      <c r="Y27" s="20"/>
      <c r="Z27" s="5"/>
      <c r="AA27" s="5"/>
      <c r="AE27" s="5"/>
    </row>
    <row r="28" spans="1:33" s="21" customFormat="1" ht="9.9499999999999993" customHeight="1" x14ac:dyDescent="0.2">
      <c r="A28" s="5"/>
      <c r="B28" s="5"/>
      <c r="C28" s="14"/>
      <c r="D28" s="6" t="s">
        <v>8</v>
      </c>
      <c r="E28" s="8"/>
      <c r="F28" s="5"/>
      <c r="G28" s="5"/>
      <c r="H28" s="6" t="s">
        <v>8</v>
      </c>
      <c r="I28" s="8"/>
      <c r="J28" s="5"/>
      <c r="K28" s="5"/>
      <c r="L28" s="6" t="s">
        <v>8</v>
      </c>
      <c r="M28" s="8"/>
      <c r="N28" s="5"/>
      <c r="O28" s="5"/>
      <c r="P28" s="6" t="s">
        <v>8</v>
      </c>
      <c r="Q28" s="8"/>
      <c r="R28" s="5"/>
      <c r="S28" s="5"/>
      <c r="T28" s="6" t="s">
        <v>8</v>
      </c>
      <c r="U28" s="8"/>
      <c r="V28" s="5"/>
      <c r="W28" s="5"/>
      <c r="X28" s="6" t="s">
        <v>8</v>
      </c>
      <c r="Y28" s="8"/>
      <c r="Z28" s="5"/>
      <c r="AA28" s="5"/>
      <c r="AD28" s="5"/>
      <c r="AE28" s="5"/>
    </row>
    <row r="29" spans="1:33" s="21" customFormat="1" ht="9.9499999999999993" customHeight="1" x14ac:dyDescent="0.2">
      <c r="A29" s="5"/>
      <c r="B29" s="5"/>
      <c r="C29" s="5"/>
      <c r="D29" s="6" t="s">
        <v>9</v>
      </c>
      <c r="E29" s="8"/>
      <c r="F29" s="65"/>
      <c r="G29" s="66"/>
      <c r="H29" s="6" t="s">
        <v>9</v>
      </c>
      <c r="I29" s="8"/>
      <c r="J29" s="65"/>
      <c r="K29" s="66"/>
      <c r="L29" s="6" t="s">
        <v>9</v>
      </c>
      <c r="M29" s="8"/>
      <c r="N29" s="65"/>
      <c r="O29" s="66"/>
      <c r="P29" s="6" t="s">
        <v>9</v>
      </c>
      <c r="Q29" s="8"/>
      <c r="R29" s="65"/>
      <c r="S29" s="66"/>
      <c r="T29" s="6" t="s">
        <v>9</v>
      </c>
      <c r="U29" s="8"/>
      <c r="V29" s="65"/>
      <c r="W29" s="66"/>
      <c r="X29" s="6" t="s">
        <v>9</v>
      </c>
      <c r="Y29" s="8"/>
      <c r="Z29" s="65"/>
      <c r="AA29" s="66"/>
      <c r="AC29" s="5"/>
      <c r="AD29" s="5"/>
      <c r="AE29" s="5"/>
    </row>
    <row r="30" spans="1:33" ht="9.9499999999999993" customHeight="1" x14ac:dyDescent="0.2">
      <c r="F30" s="66"/>
      <c r="G30" s="66"/>
      <c r="J30" s="66"/>
      <c r="K30" s="66"/>
      <c r="N30" s="66"/>
      <c r="O30" s="66"/>
      <c r="R30" s="66"/>
      <c r="S30" s="66"/>
      <c r="V30" s="66"/>
      <c r="W30" s="66"/>
      <c r="Z30" s="66"/>
      <c r="AA30" s="66"/>
      <c r="AC30" s="4"/>
    </row>
    <row r="31" spans="1:33" s="4" customFormat="1" ht="9.9499999999999993" customHeight="1" x14ac:dyDescent="0.2">
      <c r="AB31" s="3"/>
      <c r="AF31" s="3"/>
      <c r="AG31" s="3"/>
    </row>
    <row r="32" spans="1:33" s="4" customFormat="1" ht="9.9499999999999993" customHeight="1" x14ac:dyDescent="0.2">
      <c r="AB32" s="3"/>
      <c r="AF32" s="3"/>
      <c r="AG32" s="3"/>
    </row>
    <row r="33" spans="1:33" s="4" customFormat="1" ht="9.9499999999999993" customHeight="1" x14ac:dyDescent="0.2">
      <c r="AB33" s="3"/>
      <c r="AF33" s="3"/>
      <c r="AG33" s="3"/>
    </row>
    <row r="34" spans="1:33" s="4" customFormat="1" ht="9.9499999999999993" customHeight="1" x14ac:dyDescent="0.2">
      <c r="AB34" s="3"/>
      <c r="AC34" s="9"/>
      <c r="AF34" s="3"/>
      <c r="AG34" s="3"/>
    </row>
    <row r="35" spans="1:33" s="4" customFormat="1" ht="9.9499999999999993" customHeight="1" x14ac:dyDescent="0.2">
      <c r="AB35" s="3"/>
      <c r="AC35" s="3"/>
      <c r="AF35" s="3"/>
      <c r="AG35" s="3"/>
    </row>
    <row r="36" spans="1:33" s="4" customFormat="1" ht="9.9499999999999993" customHeight="1" x14ac:dyDescent="0.2">
      <c r="AB36" s="3"/>
      <c r="AF36" s="3"/>
      <c r="AG36" s="3"/>
    </row>
    <row r="37" spans="1:33" s="5" customFormat="1" ht="9.9499999999999993" customHeight="1" x14ac:dyDescent="0.2">
      <c r="F37" s="6" t="s">
        <v>10</v>
      </c>
      <c r="G37" s="8"/>
      <c r="J37" s="6" t="s">
        <v>10</v>
      </c>
      <c r="K37" s="8"/>
      <c r="N37" s="6" t="s">
        <v>10</v>
      </c>
      <c r="O37" s="8"/>
      <c r="R37" s="6" t="s">
        <v>10</v>
      </c>
      <c r="S37" s="8"/>
      <c r="V37" s="6" t="s">
        <v>10</v>
      </c>
      <c r="W37" s="8"/>
      <c r="Z37" s="6" t="s">
        <v>10</v>
      </c>
      <c r="AA37" s="8"/>
      <c r="AB37" s="21"/>
      <c r="AC37" s="21"/>
      <c r="AF37" s="21"/>
      <c r="AG37" s="21"/>
    </row>
    <row r="38" spans="1:33" s="5" customFormat="1" ht="9.9499999999999993" customHeight="1" x14ac:dyDescent="0.2">
      <c r="F38" s="6" t="s">
        <v>5</v>
      </c>
      <c r="G38" s="8"/>
      <c r="J38" s="6" t="s">
        <v>5</v>
      </c>
      <c r="K38" s="8"/>
      <c r="N38" s="6" t="s">
        <v>5</v>
      </c>
      <c r="O38" s="8"/>
      <c r="R38" s="6" t="s">
        <v>5</v>
      </c>
      <c r="S38" s="8"/>
      <c r="V38" s="6" t="s">
        <v>5</v>
      </c>
      <c r="W38" s="8"/>
      <c r="Z38" s="6" t="s">
        <v>5</v>
      </c>
      <c r="AA38" s="8"/>
      <c r="AB38" s="21"/>
      <c r="AC38" s="21"/>
      <c r="AF38" s="21"/>
      <c r="AG38" s="21"/>
    </row>
    <row r="39" spans="1:33" s="5" customFormat="1" ht="9.9499999999999993" customHeight="1" x14ac:dyDescent="0.2">
      <c r="F39" s="6" t="s">
        <v>11</v>
      </c>
      <c r="G39" s="22"/>
      <c r="J39" s="6" t="s">
        <v>11</v>
      </c>
      <c r="K39" s="22"/>
      <c r="N39" s="6" t="s">
        <v>11</v>
      </c>
      <c r="O39" s="22"/>
      <c r="R39" s="6" t="s">
        <v>11</v>
      </c>
      <c r="S39" s="22"/>
      <c r="V39" s="23" t="s">
        <v>12</v>
      </c>
      <c r="W39" s="24"/>
      <c r="Z39" s="23" t="s">
        <v>12</v>
      </c>
      <c r="AA39" s="24"/>
      <c r="AB39" s="21"/>
      <c r="AC39" s="21"/>
      <c r="AF39" s="21"/>
      <c r="AG39" s="21"/>
    </row>
    <row r="40" spans="1:33" s="5" customFormat="1" ht="9.9499999999999993" customHeight="1" x14ac:dyDescent="0.2">
      <c r="F40" s="6" t="s">
        <v>13</v>
      </c>
      <c r="G40" s="22"/>
      <c r="J40" s="6" t="s">
        <v>13</v>
      </c>
      <c r="K40" s="22"/>
      <c r="N40" s="6" t="s">
        <v>13</v>
      </c>
      <c r="O40" s="22"/>
      <c r="R40" s="6" t="s">
        <v>13</v>
      </c>
      <c r="S40" s="22"/>
      <c r="V40" s="12"/>
      <c r="W40" s="13"/>
      <c r="Z40" s="12"/>
      <c r="AA40" s="13"/>
      <c r="AB40" s="21"/>
      <c r="AC40" s="21"/>
      <c r="AF40" s="21"/>
      <c r="AG40" s="21"/>
    </row>
    <row r="41" spans="1:33" s="5" customFormat="1" ht="9.9499999999999993" customHeight="1" x14ac:dyDescent="0.2">
      <c r="F41" s="6" t="s">
        <v>14</v>
      </c>
      <c r="G41" s="22"/>
      <c r="J41" s="6" t="s">
        <v>14</v>
      </c>
      <c r="K41" s="22"/>
      <c r="N41" s="6" t="s">
        <v>14</v>
      </c>
      <c r="O41" s="22"/>
      <c r="R41" s="6" t="s">
        <v>14</v>
      </c>
      <c r="S41" s="22"/>
      <c r="AB41" s="21"/>
      <c r="AC41" s="21"/>
      <c r="AF41" s="21"/>
      <c r="AG41" s="21"/>
    </row>
    <row r="42" spans="1:33" s="5" customFormat="1" ht="9.9499999999999993" customHeight="1" x14ac:dyDescent="0.2">
      <c r="F42" s="6" t="s">
        <v>12</v>
      </c>
      <c r="G42" s="8"/>
      <c r="J42" s="6" t="s">
        <v>12</v>
      </c>
      <c r="K42" s="8"/>
      <c r="N42" s="6" t="s">
        <v>12</v>
      </c>
      <c r="O42" s="8"/>
      <c r="R42" s="6" t="s">
        <v>12</v>
      </c>
      <c r="S42" s="8"/>
      <c r="V42" s="14"/>
      <c r="Z42" s="14"/>
      <c r="AB42" s="21"/>
      <c r="AC42" s="21"/>
      <c r="AF42" s="21"/>
      <c r="AG42" s="21"/>
    </row>
    <row r="43" spans="1:33" s="5" customFormat="1" ht="9.9499999999999993" customHeight="1" x14ac:dyDescent="0.2">
      <c r="F43" s="6" t="s">
        <v>15</v>
      </c>
      <c r="G43" s="25" t="str">
        <f>+IF(G39*G40*G41=0,"",G39*G40*G41)</f>
        <v/>
      </c>
      <c r="J43" s="6" t="s">
        <v>15</v>
      </c>
      <c r="K43" s="25" t="str">
        <f>+IF(K39*K40*K41=0,"",K39*K40*K41)</f>
        <v/>
      </c>
      <c r="N43" s="6" t="s">
        <v>15</v>
      </c>
      <c r="O43" s="25" t="str">
        <f>+IF(O39*O40*O41=0,"",O39*O40*O41)</f>
        <v/>
      </c>
      <c r="R43" s="6" t="s">
        <v>15</v>
      </c>
      <c r="S43" s="25" t="str">
        <f>+IF(S39*S40*S41=0,"",S39*S40*S41)</f>
        <v/>
      </c>
      <c r="AB43" s="21"/>
      <c r="AC43" s="21"/>
      <c r="AF43" s="21"/>
      <c r="AG43" s="21"/>
    </row>
    <row r="44" spans="1:33" ht="9.9499999999999993" customHeight="1" x14ac:dyDescent="0.2"/>
    <row r="45" spans="1:33" ht="9.9499999999999993" customHeight="1" x14ac:dyDescent="0.2"/>
    <row r="46" spans="1:33" ht="14.1" customHeight="1" thickBot="1" x14ac:dyDescent="0.25"/>
    <row r="47" spans="1:33" s="21" customFormat="1" ht="14.1" customHeight="1" x14ac:dyDescent="0.2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D47" s="26" t="s">
        <v>16</v>
      </c>
      <c r="AE47" s="27"/>
      <c r="AF47" s="28" t="s">
        <v>17</v>
      </c>
    </row>
    <row r="48" spans="1:33" s="21" customFormat="1" ht="14.1" customHeight="1" thickBot="1" x14ac:dyDescent="0.25">
      <c r="A48" s="29">
        <f>+K15+S19</f>
        <v>0</v>
      </c>
      <c r="B48" s="5"/>
      <c r="C48" s="5"/>
      <c r="D48" s="5"/>
      <c r="E48" s="30">
        <f>E29</f>
        <v>0</v>
      </c>
      <c r="F48" s="5"/>
      <c r="G48" s="5"/>
      <c r="H48" s="5"/>
      <c r="I48" s="30">
        <f>I29+G38</f>
        <v>0</v>
      </c>
      <c r="J48" s="5"/>
      <c r="K48" s="5"/>
      <c r="L48" s="5"/>
      <c r="M48" s="30">
        <f>M29+K38</f>
        <v>0</v>
      </c>
      <c r="N48" s="5"/>
      <c r="O48" s="5"/>
      <c r="P48" s="5"/>
      <c r="Q48" s="30">
        <f>Q29+O38</f>
        <v>0</v>
      </c>
      <c r="R48" s="5"/>
      <c r="S48" s="5"/>
      <c r="T48" s="5"/>
      <c r="U48" s="30">
        <f>U29+S38</f>
        <v>0</v>
      </c>
      <c r="V48" s="5"/>
      <c r="W48" s="5"/>
      <c r="X48" s="5"/>
      <c r="Y48" s="30">
        <f>Y29+W38</f>
        <v>0</v>
      </c>
      <c r="Z48" s="5"/>
      <c r="AA48" s="5"/>
      <c r="AB48" s="5"/>
      <c r="AC48" s="30">
        <f>+Y29+AA38</f>
        <v>0</v>
      </c>
      <c r="AD48" s="31" t="s">
        <v>18</v>
      </c>
      <c r="AE48" s="32">
        <f>SUM(A48:AC48)</f>
        <v>0</v>
      </c>
      <c r="AF48" s="33">
        <f>+AE48/24</f>
        <v>0</v>
      </c>
    </row>
    <row r="49" spans="1:33" s="21" customFormat="1" ht="14.1" customHeight="1" thickTop="1" x14ac:dyDescent="0.2">
      <c r="A49" s="34"/>
      <c r="B49" s="35"/>
      <c r="C49" s="36"/>
      <c r="D49" s="37"/>
      <c r="E49" s="34"/>
      <c r="F49" s="35"/>
      <c r="G49" s="36"/>
      <c r="H49" s="37"/>
      <c r="I49" s="34"/>
      <c r="J49" s="35"/>
      <c r="K49" s="36"/>
      <c r="L49" s="37"/>
      <c r="M49" s="34"/>
      <c r="N49" s="35"/>
      <c r="O49" s="36"/>
      <c r="P49" s="37"/>
      <c r="Q49" s="34"/>
      <c r="R49" s="35"/>
      <c r="S49" s="36"/>
      <c r="T49" s="37"/>
      <c r="U49" s="34"/>
      <c r="V49" s="35"/>
      <c r="W49" s="36"/>
      <c r="X49" s="37"/>
      <c r="Y49" s="34"/>
      <c r="Z49" s="35"/>
      <c r="AA49" s="36"/>
      <c r="AB49" s="37"/>
      <c r="AC49" s="34"/>
      <c r="AD49" s="38" t="s">
        <v>19</v>
      </c>
      <c r="AE49" s="39"/>
      <c r="AF49" s="40"/>
    </row>
    <row r="50" spans="1:33" s="21" customFormat="1" ht="14.1" customHeight="1" thickBot="1" x14ac:dyDescent="0.25">
      <c r="A50" s="5"/>
      <c r="B50" s="41"/>
      <c r="C50" s="42">
        <f>+S18+K14</f>
        <v>0</v>
      </c>
      <c r="D50" s="35"/>
      <c r="E50" s="36"/>
      <c r="F50" s="41"/>
      <c r="G50" s="42">
        <f>G37</f>
        <v>0</v>
      </c>
      <c r="H50" s="35"/>
      <c r="I50" s="36"/>
      <c r="J50" s="41"/>
      <c r="K50" s="42">
        <f>K37</f>
        <v>0</v>
      </c>
      <c r="L50" s="35"/>
      <c r="M50" s="36"/>
      <c r="N50" s="41"/>
      <c r="O50" s="42">
        <f>O37</f>
        <v>0</v>
      </c>
      <c r="P50" s="35"/>
      <c r="Q50" s="36"/>
      <c r="R50" s="41"/>
      <c r="S50" s="42">
        <f>S37</f>
        <v>0</v>
      </c>
      <c r="T50" s="35"/>
      <c r="U50" s="36"/>
      <c r="V50" s="41"/>
      <c r="W50" s="42">
        <f>W37</f>
        <v>0</v>
      </c>
      <c r="X50" s="35"/>
      <c r="Y50" s="36"/>
      <c r="Z50" s="41"/>
      <c r="AA50" s="42">
        <f>AA37</f>
        <v>0</v>
      </c>
      <c r="AB50" s="35"/>
      <c r="AC50" s="36"/>
      <c r="AD50" s="31" t="s">
        <v>18</v>
      </c>
      <c r="AE50" s="32">
        <f>SUM(A50:AC50)</f>
        <v>0</v>
      </c>
      <c r="AF50" s="43">
        <f>+AE50/24</f>
        <v>0</v>
      </c>
    </row>
    <row r="51" spans="1:33" ht="14.1" customHeight="1" thickTop="1" x14ac:dyDescent="0.2">
      <c r="AG51" s="44"/>
    </row>
    <row r="52" spans="1:33" ht="14.1" customHeight="1" x14ac:dyDescent="0.2">
      <c r="A52" s="45"/>
    </row>
  </sheetData>
  <mergeCells count="22">
    <mergeCell ref="Z29:AA30"/>
    <mergeCell ref="R14:S15"/>
    <mergeCell ref="R16:S16"/>
    <mergeCell ref="P19:Q20"/>
    <mergeCell ref="D27:E27"/>
    <mergeCell ref="H27:I27"/>
    <mergeCell ref="L27:M27"/>
    <mergeCell ref="P27:Q27"/>
    <mergeCell ref="F29:G30"/>
    <mergeCell ref="J29:K30"/>
    <mergeCell ref="N29:O30"/>
    <mergeCell ref="R29:S30"/>
    <mergeCell ref="V29:W30"/>
    <mergeCell ref="A1:AC1"/>
    <mergeCell ref="AD2:AE2"/>
    <mergeCell ref="AD3:AE9"/>
    <mergeCell ref="B7:C7"/>
    <mergeCell ref="B8:C8"/>
    <mergeCell ref="B9:C13"/>
    <mergeCell ref="L9:M10"/>
    <mergeCell ref="J12:K13"/>
    <mergeCell ref="R12:S1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VSM TP Integrador</vt:lpstr>
      <vt:lpstr>VSM base</vt:lpstr>
    </vt:vector>
  </TitlesOfParts>
  <Company>Lobillo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Lobillo</dc:creator>
  <cp:lastModifiedBy>Ricardo Stutz</cp:lastModifiedBy>
  <dcterms:created xsi:type="dcterms:W3CDTF">2021-05-13T19:58:14Z</dcterms:created>
  <dcterms:modified xsi:type="dcterms:W3CDTF">2025-06-05T21:52:10Z</dcterms:modified>
</cp:coreProperties>
</file>