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TERMO\TERMOYMT\ACCESO ALUMNOS\TP\"/>
    </mc:Choice>
  </mc:AlternateContent>
  <bookViews>
    <workbookView xWindow="0" yWindow="0" windowWidth="18000" windowHeight="93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1" l="1"/>
  <c r="B25" i="1"/>
  <c r="B24" i="1"/>
  <c r="B26" i="1" s="1"/>
  <c r="B2" i="1"/>
  <c r="B4" i="1" s="1"/>
  <c r="B8" i="1" l="1"/>
  <c r="B14" i="1" s="1"/>
  <c r="B17" i="1"/>
  <c r="B27" i="1"/>
  <c r="B9" i="1" l="1"/>
  <c r="B10" i="1" s="1"/>
  <c r="B13" i="1" s="1"/>
  <c r="B22" i="1" s="1"/>
  <c r="B29" i="1" s="1"/>
  <c r="B15" i="1" l="1"/>
  <c r="B18" i="1" s="1"/>
  <c r="B19" i="1" s="1"/>
  <c r="B31" i="1" s="1"/>
  <c r="B32" i="1" s="1"/>
  <c r="B34" i="1" s="1"/>
  <c r="B43" i="1" l="1"/>
  <c r="B41" i="1"/>
  <c r="B39" i="1"/>
</calcChain>
</file>

<file path=xl/sharedStrings.xml><?xml version="1.0" encoding="utf-8"?>
<sst xmlns="http://schemas.openxmlformats.org/spreadsheetml/2006/main" count="60" uniqueCount="45">
  <si>
    <t>T1</t>
  </si>
  <si>
    <t>p1</t>
  </si>
  <si>
    <t>R</t>
  </si>
  <si>
    <t>v1</t>
  </si>
  <si>
    <t>v2</t>
  </si>
  <si>
    <t>rc</t>
  </si>
  <si>
    <t>k</t>
  </si>
  <si>
    <t>p2</t>
  </si>
  <si>
    <t>T2</t>
  </si>
  <si>
    <t>rt</t>
  </si>
  <si>
    <t>T3</t>
  </si>
  <si>
    <t>v3</t>
  </si>
  <si>
    <t>p3</t>
  </si>
  <si>
    <t>v4</t>
  </si>
  <si>
    <t>p4</t>
  </si>
  <si>
    <t>T4</t>
  </si>
  <si>
    <t>Qa</t>
  </si>
  <si>
    <t>qa</t>
  </si>
  <si>
    <t>m</t>
  </si>
  <si>
    <t>Diam</t>
  </si>
  <si>
    <t>carr</t>
  </si>
  <si>
    <t>Vasp</t>
  </si>
  <si>
    <t>m³/kg</t>
  </si>
  <si>
    <t>kJ/kg</t>
  </si>
  <si>
    <t>cv</t>
  </si>
  <si>
    <t>kJ/kgK</t>
  </si>
  <si>
    <t>kg/ciclo/cil</t>
  </si>
  <si>
    <t>kJ/ciclo/cil</t>
  </si>
  <si>
    <t>qc</t>
  </si>
  <si>
    <t>Qc</t>
  </si>
  <si>
    <t>W</t>
  </si>
  <si>
    <t>n</t>
  </si>
  <si>
    <t>RPM</t>
  </si>
  <si>
    <t>ciclo/seg</t>
  </si>
  <si>
    <t>cil</t>
  </si>
  <si>
    <t>Nt</t>
  </si>
  <si>
    <t>kW</t>
  </si>
  <si>
    <t>N</t>
  </si>
  <si>
    <t>m³/ciclo/cil</t>
  </si>
  <si>
    <t>Rend,t</t>
  </si>
  <si>
    <t>K</t>
  </si>
  <si>
    <t>bar</t>
  </si>
  <si>
    <t>kW/cil</t>
  </si>
  <si>
    <t>Motor</t>
  </si>
  <si>
    <t>tiempos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</si>
</sst>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0.00000"/>
    <numFmt numFmtId="166" formatCode="0.0000"/>
    <numFmt numFmtId="167" formatCode="0.000"/>
    <numFmt numFmtId="168" formatCode="0.0"/>
    <numFmt numFmtId="169" formatCode="0.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168" fontId="0" fillId="0" borderId="0" xfId="0" applyNumberFormat="1"/>
    <xf numFmtId="169" fontId="0" fillId="0" borderId="0" xfId="0" applyNumberFormat="1"/>
    <xf numFmtId="10" fontId="0" fillId="0" borderId="0" xfId="1" applyNumberFormat="1" applyFont="1"/>
    <xf numFmtId="0" fontId="0" fillId="0" borderId="0" xfId="0" applyAlignment="1">
      <alignment vertical="center"/>
    </xf>
    <xf numFmtId="0" fontId="0" fillId="2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workbookViewId="0">
      <selection activeCell="A45" sqref="A45"/>
    </sheetView>
  </sheetViews>
  <sheetFormatPr baseColWidth="10" defaultRowHeight="15" x14ac:dyDescent="0.25"/>
  <cols>
    <col min="2" max="2" width="12" bestFit="1" customWidth="1"/>
  </cols>
  <sheetData>
    <row r="1" spans="1:3" x14ac:dyDescent="0.25">
      <c r="A1" t="s">
        <v>2</v>
      </c>
      <c r="B1" s="9">
        <v>0.28699999999999998</v>
      </c>
      <c r="C1" t="s">
        <v>25</v>
      </c>
    </row>
    <row r="2" spans="1:3" x14ac:dyDescent="0.25">
      <c r="A2" t="s">
        <v>0</v>
      </c>
      <c r="B2" s="9">
        <f>15+273</f>
        <v>288</v>
      </c>
      <c r="C2" t="s">
        <v>40</v>
      </c>
    </row>
    <row r="3" spans="1:3" x14ac:dyDescent="0.25">
      <c r="A3" t="s">
        <v>1</v>
      </c>
      <c r="B3" s="9">
        <v>1.0134000000000001</v>
      </c>
      <c r="C3" t="s">
        <v>41</v>
      </c>
    </row>
    <row r="4" spans="1:3" x14ac:dyDescent="0.25">
      <c r="A4" t="s">
        <v>3</v>
      </c>
      <c r="B4" s="1">
        <f>B1*B2/B3/100</f>
        <v>0.81563055062166956</v>
      </c>
      <c r="C4" t="s">
        <v>22</v>
      </c>
    </row>
    <row r="6" spans="1:3" x14ac:dyDescent="0.25">
      <c r="A6" t="s">
        <v>6</v>
      </c>
      <c r="B6" s="9">
        <v>1.4</v>
      </c>
    </row>
    <row r="7" spans="1:3" x14ac:dyDescent="0.25">
      <c r="A7" t="s">
        <v>5</v>
      </c>
      <c r="B7" s="9">
        <v>8.9</v>
      </c>
    </row>
    <row r="8" spans="1:3" x14ac:dyDescent="0.25">
      <c r="A8" t="s">
        <v>4</v>
      </c>
      <c r="B8" s="1">
        <f>B4/B7</f>
        <v>9.1643882092322423E-2</v>
      </c>
      <c r="C8" t="s">
        <v>22</v>
      </c>
    </row>
    <row r="9" spans="1:3" x14ac:dyDescent="0.25">
      <c r="A9" t="s">
        <v>7</v>
      </c>
      <c r="B9" s="3">
        <f>B3*(B4/B8)^B6</f>
        <v>21.62354573899923</v>
      </c>
      <c r="C9" t="s">
        <v>41</v>
      </c>
    </row>
    <row r="10" spans="1:3" x14ac:dyDescent="0.25">
      <c r="A10" t="s">
        <v>8</v>
      </c>
      <c r="B10" s="5">
        <f>B9*100*B8/B1</f>
        <v>690.47584533894997</v>
      </c>
      <c r="C10" t="s">
        <v>40</v>
      </c>
    </row>
    <row r="12" spans="1:3" x14ac:dyDescent="0.25">
      <c r="A12" t="s">
        <v>9</v>
      </c>
      <c r="B12" s="9">
        <v>7.03</v>
      </c>
    </row>
    <row r="13" spans="1:3" x14ac:dyDescent="0.25">
      <c r="A13" t="s">
        <v>10</v>
      </c>
      <c r="B13" s="5">
        <f>B12*B10</f>
        <v>4854.0451927328186</v>
      </c>
      <c r="C13" t="s">
        <v>40</v>
      </c>
    </row>
    <row r="14" spans="1:3" x14ac:dyDescent="0.25">
      <c r="A14" t="s">
        <v>11</v>
      </c>
      <c r="B14" s="1">
        <f>B8</f>
        <v>9.1643882092322423E-2</v>
      </c>
      <c r="C14" t="s">
        <v>22</v>
      </c>
    </row>
    <row r="15" spans="1:3" x14ac:dyDescent="0.25">
      <c r="A15" t="s">
        <v>12</v>
      </c>
      <c r="B15" s="5">
        <f>B1*B13/B14/100</f>
        <v>152.01352654516458</v>
      </c>
      <c r="C15" t="s">
        <v>41</v>
      </c>
    </row>
    <row r="17" spans="1:3" x14ac:dyDescent="0.25">
      <c r="A17" t="s">
        <v>13</v>
      </c>
      <c r="B17" s="1">
        <f>B4</f>
        <v>0.81563055062166956</v>
      </c>
      <c r="C17" t="s">
        <v>22</v>
      </c>
    </row>
    <row r="18" spans="1:3" x14ac:dyDescent="0.25">
      <c r="A18" t="s">
        <v>14</v>
      </c>
      <c r="B18" s="3">
        <f>B15*(B14/B17)^$B$6</f>
        <v>7.1242019999999995</v>
      </c>
      <c r="C18" t="s">
        <v>41</v>
      </c>
    </row>
    <row r="19" spans="1:3" x14ac:dyDescent="0.25">
      <c r="A19" t="s">
        <v>15</v>
      </c>
      <c r="B19">
        <f>B18*100*B17/B1</f>
        <v>2024.6399999999999</v>
      </c>
      <c r="C19" t="s">
        <v>40</v>
      </c>
    </row>
    <row r="21" spans="1:3" x14ac:dyDescent="0.25">
      <c r="A21" t="s">
        <v>24</v>
      </c>
      <c r="B21" s="9">
        <v>0.71799999999999997</v>
      </c>
      <c r="C21" t="s">
        <v>25</v>
      </c>
    </row>
    <row r="22" spans="1:3" x14ac:dyDescent="0.25">
      <c r="A22" t="s">
        <v>17</v>
      </c>
      <c r="B22" s="5">
        <f>B21*(B13-B10)</f>
        <v>2989.4427914287971</v>
      </c>
      <c r="C22" t="s">
        <v>23</v>
      </c>
    </row>
    <row r="24" spans="1:3" x14ac:dyDescent="0.25">
      <c r="A24" t="s">
        <v>19</v>
      </c>
      <c r="B24" s="9">
        <f>86/1000</f>
        <v>8.5999999999999993E-2</v>
      </c>
      <c r="C24" t="s">
        <v>18</v>
      </c>
    </row>
    <row r="25" spans="1:3" x14ac:dyDescent="0.25">
      <c r="A25" t="s">
        <v>20</v>
      </c>
      <c r="B25" s="9">
        <f>55.5/1000</f>
        <v>5.5500000000000001E-2</v>
      </c>
      <c r="C25" t="s">
        <v>18</v>
      </c>
    </row>
    <row r="26" spans="1:3" x14ac:dyDescent="0.25">
      <c r="A26" t="s">
        <v>21</v>
      </c>
      <c r="B26" s="6">
        <f>PI()*B24^2/4*B25</f>
        <v>3.2238866731505776E-4</v>
      </c>
      <c r="C26" t="s">
        <v>38</v>
      </c>
    </row>
    <row r="27" spans="1:3" x14ac:dyDescent="0.25">
      <c r="A27" t="s">
        <v>18</v>
      </c>
      <c r="B27" s="6">
        <f>B26/B4</f>
        <v>3.9526310909925423E-4</v>
      </c>
      <c r="C27" t="s">
        <v>26</v>
      </c>
    </row>
    <row r="29" spans="1:3" x14ac:dyDescent="0.25">
      <c r="A29" t="s">
        <v>16</v>
      </c>
      <c r="B29" s="2">
        <f>B27*B22</f>
        <v>1.1816164522144998</v>
      </c>
      <c r="C29" t="s">
        <v>27</v>
      </c>
    </row>
    <row r="31" spans="1:3" x14ac:dyDescent="0.25">
      <c r="A31" t="s">
        <v>28</v>
      </c>
      <c r="B31" s="5">
        <f>B21*(B2-B19)</f>
        <v>-1246.9075199999997</v>
      </c>
      <c r="C31" t="s">
        <v>23</v>
      </c>
    </row>
    <row r="32" spans="1:3" x14ac:dyDescent="0.25">
      <c r="A32" t="s">
        <v>29</v>
      </c>
      <c r="B32" s="2">
        <f>B31*B27</f>
        <v>-0.49285654311444044</v>
      </c>
      <c r="C32" t="s">
        <v>27</v>
      </c>
    </row>
    <row r="34" spans="1:3" x14ac:dyDescent="0.25">
      <c r="A34" t="s">
        <v>30</v>
      </c>
      <c r="B34" s="2">
        <f>B29+B32</f>
        <v>0.68875990910005935</v>
      </c>
      <c r="C34" t="s">
        <v>27</v>
      </c>
    </row>
    <row r="36" spans="1:3" x14ac:dyDescent="0.25">
      <c r="A36" t="s">
        <v>43</v>
      </c>
      <c r="B36" s="9">
        <v>4</v>
      </c>
      <c r="C36" t="s">
        <v>44</v>
      </c>
    </row>
    <row r="37" spans="1:3" x14ac:dyDescent="0.25">
      <c r="A37" s="8" t="s">
        <v>31</v>
      </c>
      <c r="B37" s="9">
        <v>6250</v>
      </c>
      <c r="C37" t="s">
        <v>32</v>
      </c>
    </row>
    <row r="38" spans="1:3" x14ac:dyDescent="0.25">
      <c r="A38" s="8"/>
      <c r="B38" s="5">
        <f>B37/(B36/2)/60</f>
        <v>52.083333333333336</v>
      </c>
      <c r="C38" t="s">
        <v>33</v>
      </c>
    </row>
    <row r="39" spans="1:3" x14ac:dyDescent="0.25">
      <c r="A39" t="s">
        <v>37</v>
      </c>
      <c r="B39" s="4">
        <f>B38*B34</f>
        <v>35.872911932294762</v>
      </c>
      <c r="C39" t="s">
        <v>42</v>
      </c>
    </row>
    <row r="40" spans="1:3" x14ac:dyDescent="0.25">
      <c r="B40" s="9">
        <v>4</v>
      </c>
      <c r="C40" t="s">
        <v>34</v>
      </c>
    </row>
    <row r="41" spans="1:3" x14ac:dyDescent="0.25">
      <c r="A41" t="s">
        <v>35</v>
      </c>
      <c r="B41" s="5">
        <f>B34*B38*B40</f>
        <v>143.49164772917905</v>
      </c>
      <c r="C41" t="s">
        <v>36</v>
      </c>
    </row>
    <row r="43" spans="1:3" x14ac:dyDescent="0.25">
      <c r="A43" t="s">
        <v>39</v>
      </c>
      <c r="B43" s="7">
        <f>B34/B29</f>
        <v>0.58289634323323403</v>
      </c>
    </row>
  </sheetData>
  <mergeCells count="1">
    <mergeCell ref="A37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AGREST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2020-11-06T21:44:24Z</dcterms:created>
  <dcterms:modified xsi:type="dcterms:W3CDTF">2020-11-06T22:18:05Z</dcterms:modified>
</cp:coreProperties>
</file>