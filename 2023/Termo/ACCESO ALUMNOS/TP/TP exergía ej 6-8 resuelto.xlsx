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28800" windowHeight="12915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" l="1"/>
  <c r="B30" i="1"/>
  <c r="B26" i="1"/>
  <c r="B25" i="1"/>
  <c r="B36" i="1"/>
  <c r="B39" i="1"/>
  <c r="B28" i="1"/>
  <c r="B24" i="1"/>
  <c r="B22" i="1"/>
  <c r="B21" i="1"/>
  <c r="B20" i="1"/>
  <c r="B19" i="1"/>
  <c r="B31" i="1" l="1"/>
  <c r="B41" i="1" s="1"/>
  <c r="B37" i="1"/>
  <c r="B29" i="1"/>
  <c r="B17" i="1"/>
  <c r="B16" i="1"/>
  <c r="B15" i="1"/>
  <c r="B42" i="1" l="1"/>
  <c r="B40" i="1"/>
  <c r="B13" i="1" l="1"/>
  <c r="B11" i="1"/>
  <c r="B10" i="1"/>
  <c r="B9" i="1"/>
</calcChain>
</file>

<file path=xl/sharedStrings.xml><?xml version="1.0" encoding="utf-8"?>
<sst xmlns="http://schemas.openxmlformats.org/spreadsheetml/2006/main" count="65" uniqueCount="44">
  <si>
    <t>TF1</t>
  </si>
  <si>
    <t>TF2</t>
  </si>
  <si>
    <t>x1</t>
  </si>
  <si>
    <t>p1</t>
  </si>
  <si>
    <t>V1</t>
  </si>
  <si>
    <t>v1</t>
  </si>
  <si>
    <t>u1</t>
  </si>
  <si>
    <t>s1</t>
  </si>
  <si>
    <t>p2</t>
  </si>
  <si>
    <t>t2</t>
  </si>
  <si>
    <t>v2</t>
  </si>
  <si>
    <t>u2</t>
  </si>
  <si>
    <t>s2</t>
  </si>
  <si>
    <t>m</t>
  </si>
  <si>
    <t>Wp</t>
  </si>
  <si>
    <t>ΔU</t>
  </si>
  <si>
    <t>Wh</t>
  </si>
  <si>
    <t>W</t>
  </si>
  <si>
    <t>Q1</t>
  </si>
  <si>
    <t>Q2</t>
  </si>
  <si>
    <t>ΔSvap</t>
  </si>
  <si>
    <t>ΔSfc</t>
  </si>
  <si>
    <t>ΔSff</t>
  </si>
  <si>
    <t>ΔSu</t>
  </si>
  <si>
    <t>kJ/K</t>
  </si>
  <si>
    <t>p0</t>
  </si>
  <si>
    <t>bar</t>
  </si>
  <si>
    <t>T0</t>
  </si>
  <si>
    <t>K</t>
  </si>
  <si>
    <t>ΔExvap</t>
  </si>
  <si>
    <t>ΔExFC</t>
  </si>
  <si>
    <t>ΔExFF</t>
  </si>
  <si>
    <t>Wup</t>
  </si>
  <si>
    <t>ΔExU</t>
  </si>
  <si>
    <t>ΔExU Verif</t>
  </si>
  <si>
    <t>kJ</t>
  </si>
  <si>
    <t>kg</t>
  </si>
  <si>
    <t>kJ/kgK</t>
  </si>
  <si>
    <t>kJ/kg</t>
  </si>
  <si>
    <t>m³/kg</t>
  </si>
  <si>
    <t>ºC</t>
  </si>
  <si>
    <t>m³</t>
  </si>
  <si>
    <t>ηT</t>
  </si>
  <si>
    <t>ηexe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</si>
</sst>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7" formatCode="0.0000"/>
    <numFmt numFmtId="168" formatCode="0.000"/>
    <numFmt numFmtId="169" formatCode="0.0"/>
    <numFmt numFmtId="170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" fillId="0" borderId="0" xfId="0" applyFont="1"/>
    <xf numFmtId="17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blo\AppData\Roaming\Microsoft\AddIns\Steam_fn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erties"/>
      <sheetName val="Functions"/>
    </sheetNames>
    <definedNames>
      <definedName name="s_pT"/>
      <definedName name="sL_p"/>
      <definedName name="sV_p"/>
      <definedName name="u_pT"/>
      <definedName name="uL_p"/>
      <definedName name="uV_p"/>
      <definedName name="v_pT"/>
      <definedName name="vL_p"/>
      <definedName name="vV_p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2"/>
  <sheetViews>
    <sheetView tabSelected="1" topLeftCell="A10" workbookViewId="0">
      <selection activeCell="A44" sqref="A44"/>
    </sheetView>
  </sheetViews>
  <sheetFormatPr baseColWidth="10" defaultRowHeight="15" x14ac:dyDescent="0.25"/>
  <sheetData>
    <row r="2" spans="1:3" x14ac:dyDescent="0.25">
      <c r="A2" t="s">
        <v>0</v>
      </c>
      <c r="B2">
        <v>1000</v>
      </c>
      <c r="C2" t="s">
        <v>28</v>
      </c>
    </row>
    <row r="3" spans="1:3" x14ac:dyDescent="0.25">
      <c r="A3" t="s">
        <v>1</v>
      </c>
      <c r="B3">
        <v>400</v>
      </c>
      <c r="C3" t="s">
        <v>28</v>
      </c>
    </row>
    <row r="4" spans="1:3" x14ac:dyDescent="0.25">
      <c r="A4" t="s">
        <v>42</v>
      </c>
      <c r="B4" s="1">
        <v>0.4</v>
      </c>
    </row>
    <row r="6" spans="1:3" x14ac:dyDescent="0.25">
      <c r="A6" t="s">
        <v>2</v>
      </c>
      <c r="B6">
        <v>0.6</v>
      </c>
    </row>
    <row r="7" spans="1:3" x14ac:dyDescent="0.25">
      <c r="A7" t="s">
        <v>3</v>
      </c>
      <c r="B7">
        <v>2</v>
      </c>
      <c r="C7" t="s">
        <v>26</v>
      </c>
    </row>
    <row r="8" spans="1:3" x14ac:dyDescent="0.25">
      <c r="A8" t="s">
        <v>4</v>
      </c>
      <c r="B8">
        <v>0.3</v>
      </c>
      <c r="C8" t="s">
        <v>41</v>
      </c>
    </row>
    <row r="9" spans="1:3" x14ac:dyDescent="0.25">
      <c r="A9" t="s">
        <v>5</v>
      </c>
      <c r="B9" s="3">
        <f>B6*([1]!vV_p(B7)-[1]!vL_p(B7))+[1]!vL_p(B7)</f>
        <v>0.53186524641156097</v>
      </c>
      <c r="C9" t="s">
        <v>39</v>
      </c>
    </row>
    <row r="10" spans="1:3" x14ac:dyDescent="0.25">
      <c r="A10" t="s">
        <v>6</v>
      </c>
      <c r="B10" s="4">
        <f>B6*([1]!uV_p(B7)-[1]!uL_p(B7))+[1]!uL_p(B7)</f>
        <v>1719.2452937539474</v>
      </c>
      <c r="C10" t="s">
        <v>38</v>
      </c>
    </row>
    <row r="11" spans="1:3" x14ac:dyDescent="0.25">
      <c r="A11" t="s">
        <v>7</v>
      </c>
      <c r="B11" s="2">
        <f>B6*([1]!sV_p(B7)-[1]!sL_p(B7))+[1]!sL_p(B7)</f>
        <v>4.8881531153241653</v>
      </c>
      <c r="C11" t="s">
        <v>37</v>
      </c>
    </row>
    <row r="13" spans="1:3" x14ac:dyDescent="0.25">
      <c r="A13" t="s">
        <v>8</v>
      </c>
      <c r="B13">
        <f>B7</f>
        <v>2</v>
      </c>
      <c r="C13" t="s">
        <v>26</v>
      </c>
    </row>
    <row r="14" spans="1:3" x14ac:dyDescent="0.25">
      <c r="A14" t="s">
        <v>9</v>
      </c>
      <c r="B14">
        <v>240</v>
      </c>
      <c r="C14" t="s">
        <v>40</v>
      </c>
    </row>
    <row r="15" spans="1:3" x14ac:dyDescent="0.25">
      <c r="A15" t="s">
        <v>10</v>
      </c>
      <c r="B15" s="3">
        <f>[1]!v_pT(B13,B14)</f>
        <v>1.1753398377551763</v>
      </c>
      <c r="C15" t="s">
        <v>39</v>
      </c>
    </row>
    <row r="16" spans="1:3" x14ac:dyDescent="0.25">
      <c r="A16" t="s">
        <v>11</v>
      </c>
      <c r="B16" s="4">
        <f>[1]!u_pT(B13,B14)</f>
        <v>2716.0983190755569</v>
      </c>
      <c r="C16" t="s">
        <v>38</v>
      </c>
    </row>
    <row r="17" spans="1:3" x14ac:dyDescent="0.25">
      <c r="A17" t="s">
        <v>12</v>
      </c>
      <c r="B17" s="2">
        <f>[1]!s_pT(B13,B14)</f>
        <v>7.6712128226784086</v>
      </c>
      <c r="C17" t="s">
        <v>37</v>
      </c>
    </row>
    <row r="19" spans="1:3" x14ac:dyDescent="0.25">
      <c r="A19" t="s">
        <v>13</v>
      </c>
      <c r="B19" s="2">
        <f>B8/B9</f>
        <v>0.56405264683877832</v>
      </c>
      <c r="C19" t="s">
        <v>36</v>
      </c>
    </row>
    <row r="20" spans="1:3" x14ac:dyDescent="0.25">
      <c r="A20" t="s">
        <v>14</v>
      </c>
      <c r="B20" s="4">
        <f>B19*B13*100*(B15-B9)</f>
        <v>72.590709284173485</v>
      </c>
      <c r="C20" t="s">
        <v>35</v>
      </c>
    </row>
    <row r="21" spans="1:3" x14ac:dyDescent="0.25">
      <c r="A21" s="5" t="s">
        <v>15</v>
      </c>
      <c r="B21" s="4">
        <f>B19*(B16-B10)</f>
        <v>562.27758744189748</v>
      </c>
      <c r="C21" t="s">
        <v>35</v>
      </c>
    </row>
    <row r="22" spans="1:3" x14ac:dyDescent="0.25">
      <c r="A22" s="5" t="s">
        <v>16</v>
      </c>
      <c r="B22" s="4">
        <f>-(B21+B20)</f>
        <v>-634.86829672607098</v>
      </c>
      <c r="C22" t="s">
        <v>35</v>
      </c>
    </row>
    <row r="24" spans="1:3" x14ac:dyDescent="0.25">
      <c r="A24" t="s">
        <v>17</v>
      </c>
      <c r="B24" s="4">
        <f>-B22</f>
        <v>634.86829672607098</v>
      </c>
      <c r="C24" t="s">
        <v>35</v>
      </c>
    </row>
    <row r="25" spans="1:3" x14ac:dyDescent="0.25">
      <c r="A25" t="s">
        <v>18</v>
      </c>
      <c r="B25" s="4">
        <f>B24/B4</f>
        <v>1587.1707418151773</v>
      </c>
      <c r="C25" t="s">
        <v>35</v>
      </c>
    </row>
    <row r="26" spans="1:3" x14ac:dyDescent="0.25">
      <c r="A26" t="s">
        <v>19</v>
      </c>
      <c r="B26" s="4">
        <f>-B25+B24</f>
        <v>-952.3024450891063</v>
      </c>
      <c r="C26" t="s">
        <v>35</v>
      </c>
    </row>
    <row r="28" spans="1:3" x14ac:dyDescent="0.25">
      <c r="A28" s="5" t="s">
        <v>20</v>
      </c>
      <c r="B28" s="3">
        <f>B19*(B17-B11)</f>
        <v>1.5697921942435167</v>
      </c>
      <c r="C28" t="s">
        <v>24</v>
      </c>
    </row>
    <row r="29" spans="1:3" x14ac:dyDescent="0.25">
      <c r="A29" s="5" t="s">
        <v>21</v>
      </c>
      <c r="B29" s="3">
        <f>-B25/B2</f>
        <v>-1.5871707418151773</v>
      </c>
      <c r="C29" t="s">
        <v>24</v>
      </c>
    </row>
    <row r="30" spans="1:3" x14ac:dyDescent="0.25">
      <c r="A30" s="5" t="s">
        <v>22</v>
      </c>
      <c r="B30" s="3">
        <f>-B26/B3</f>
        <v>2.3807561127227657</v>
      </c>
      <c r="C30" t="s">
        <v>24</v>
      </c>
    </row>
    <row r="31" spans="1:3" x14ac:dyDescent="0.25">
      <c r="A31" s="5" t="s">
        <v>23</v>
      </c>
      <c r="B31" s="3">
        <f>SUM(B28:B30)</f>
        <v>2.3633775651511053</v>
      </c>
      <c r="C31" t="s">
        <v>24</v>
      </c>
    </row>
    <row r="33" spans="1:3" x14ac:dyDescent="0.25">
      <c r="A33" t="s">
        <v>25</v>
      </c>
      <c r="B33">
        <v>1</v>
      </c>
      <c r="C33" t="s">
        <v>26</v>
      </c>
    </row>
    <row r="34" spans="1:3" x14ac:dyDescent="0.25">
      <c r="A34" t="s">
        <v>27</v>
      </c>
      <c r="B34">
        <v>300</v>
      </c>
      <c r="C34" t="s">
        <v>28</v>
      </c>
    </row>
    <row r="36" spans="1:3" x14ac:dyDescent="0.25">
      <c r="A36" s="5" t="s">
        <v>29</v>
      </c>
      <c r="B36" s="4">
        <f>B19*(B16-B10+B33*100*(B15-B9)-B34*(B17-B11))</f>
        <v>127.63528381092924</v>
      </c>
      <c r="C36" t="s">
        <v>35</v>
      </c>
    </row>
    <row r="37" spans="1:3" x14ac:dyDescent="0.25">
      <c r="A37" s="5" t="s">
        <v>30</v>
      </c>
      <c r="B37">
        <f>-B25*(1-B34/B2)</f>
        <v>-1111.019519270624</v>
      </c>
      <c r="C37" t="s">
        <v>35</v>
      </c>
    </row>
    <row r="38" spans="1:3" x14ac:dyDescent="0.25">
      <c r="A38" s="5" t="s">
        <v>31</v>
      </c>
      <c r="B38">
        <f>-B26*(1-B34/B3)</f>
        <v>238.07561127227657</v>
      </c>
      <c r="C38" t="s">
        <v>35</v>
      </c>
    </row>
    <row r="39" spans="1:3" x14ac:dyDescent="0.25">
      <c r="A39" s="5" t="s">
        <v>32</v>
      </c>
      <c r="B39">
        <f>(B13-B33)*100*B19*(B15-B9)</f>
        <v>36.295354642086743</v>
      </c>
      <c r="C39" t="s">
        <v>35</v>
      </c>
    </row>
    <row r="40" spans="1:3" x14ac:dyDescent="0.25">
      <c r="A40" s="5" t="s">
        <v>33</v>
      </c>
      <c r="B40" s="4">
        <f>SUM(B36:B39)</f>
        <v>-709.01326954533147</v>
      </c>
      <c r="C40" t="s">
        <v>35</v>
      </c>
    </row>
    <row r="41" spans="1:3" x14ac:dyDescent="0.25">
      <c r="A41" s="5" t="s">
        <v>34</v>
      </c>
      <c r="B41" s="4">
        <f>-B34*B31</f>
        <v>-709.01326954533158</v>
      </c>
      <c r="C41" t="s">
        <v>35</v>
      </c>
    </row>
    <row r="42" spans="1:3" x14ac:dyDescent="0.25">
      <c r="A42" t="s">
        <v>43</v>
      </c>
      <c r="B42" s="6">
        <f>(B39+B36)/(-B37-B38)</f>
        <v>0.18779057503122676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2021-08-25T16:47:05Z</dcterms:created>
  <dcterms:modified xsi:type="dcterms:W3CDTF">2021-08-25T18:02:54Z</dcterms:modified>
</cp:coreProperties>
</file>