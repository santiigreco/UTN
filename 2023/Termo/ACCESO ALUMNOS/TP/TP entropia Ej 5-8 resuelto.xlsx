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22710" windowHeight="11190"/>
  </bookViews>
  <sheets>
    <sheet name="Hoja1" sheetId="1" r:id="rId1"/>
  </sheets>
  <externalReferences>
    <externalReference r:id="rId2"/>
  </externalReferences>
  <definedNames>
    <definedName name="_xlnm._FilterDatabase" localSheetId="0" hidden="1">Hoja1!$A$1:$C$41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B40" i="1"/>
  <c r="B16" i="1"/>
  <c r="B21" i="1" s="1"/>
  <c r="B6" i="1"/>
  <c r="B24" i="1"/>
  <c r="B23" i="1"/>
  <c r="B19" i="1"/>
  <c r="B18" i="1"/>
  <c r="B17" i="1"/>
  <c r="B4" i="1"/>
  <c r="B3" i="1"/>
  <c r="B7" i="1" l="1"/>
  <c r="B8" i="1"/>
  <c r="B9" i="1"/>
  <c r="B12" i="1" l="1"/>
  <c r="B32" i="1"/>
  <c r="B13" i="1"/>
  <c r="B14" i="1"/>
  <c r="B33" i="1"/>
  <c r="B34" i="1"/>
  <c r="B35" i="1"/>
  <c r="B28" i="1" l="1"/>
  <c r="B41" i="1"/>
  <c r="B29" i="1" l="1"/>
  <c r="B37" i="1"/>
  <c r="B38" i="1" s="1"/>
</calcChain>
</file>

<file path=xl/sharedStrings.xml><?xml version="1.0" encoding="utf-8"?>
<sst xmlns="http://schemas.openxmlformats.org/spreadsheetml/2006/main" count="63" uniqueCount="39">
  <si>
    <t>p1</t>
  </si>
  <si>
    <t>t1</t>
  </si>
  <si>
    <t>h1</t>
  </si>
  <si>
    <t>s1</t>
  </si>
  <si>
    <t>p2</t>
  </si>
  <si>
    <t>h2</t>
  </si>
  <si>
    <t>t2</t>
  </si>
  <si>
    <t>s2</t>
  </si>
  <si>
    <t>p3</t>
  </si>
  <si>
    <t>bar</t>
  </si>
  <si>
    <t>s3</t>
  </si>
  <si>
    <t>h3</t>
  </si>
  <si>
    <t>t3</t>
  </si>
  <si>
    <t>p4</t>
  </si>
  <si>
    <t>t4</t>
  </si>
  <si>
    <t>h4</t>
  </si>
  <si>
    <t>s4</t>
  </si>
  <si>
    <t>p5</t>
  </si>
  <si>
    <t>t5</t>
  </si>
  <si>
    <t>h5</t>
  </si>
  <si>
    <t>s5</t>
  </si>
  <si>
    <t>m2</t>
  </si>
  <si>
    <t>kg/s</t>
  </si>
  <si>
    <t>m1</t>
  </si>
  <si>
    <t>kg/h</t>
  </si>
  <si>
    <t>p6</t>
  </si>
  <si>
    <t>s6</t>
  </si>
  <si>
    <t>t6</t>
  </si>
  <si>
    <t>x6</t>
  </si>
  <si>
    <t>h6</t>
  </si>
  <si>
    <t>kW/K</t>
  </si>
  <si>
    <t>ΔScm</t>
  </si>
  <si>
    <t>m</t>
  </si>
  <si>
    <t>W</t>
  </si>
  <si>
    <t>kW</t>
  </si>
  <si>
    <t>kJ/hK</t>
  </si>
  <si>
    <t>ºC</t>
  </si>
  <si>
    <t>kJ/kg</t>
  </si>
  <si>
    <t>kJ/kgK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</si>
</sst>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0.0000"/>
    <numFmt numFmtId="168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0" fontId="1" fillId="0" borderId="0" xfId="0" applyFont="1"/>
    <xf numFmtId="168" fontId="1" fillId="0" borderId="0" xfId="0" applyNumberFormat="1" applyFont="1"/>
    <xf numFmtId="169" fontId="1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714375</xdr:colOff>
      <xdr:row>27</xdr:row>
      <xdr:rowOff>9525</xdr:rowOff>
    </xdr:from>
    <xdr:ext cx="2091663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/>
            <xdr:cNvSpPr txBox="1"/>
          </xdr:nvSpPr>
          <xdr:spPr>
            <a:xfrm>
              <a:off x="2238375" y="5153025"/>
              <a:ext cx="209166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1∗</m:t>
                    </m:r>
                    <m:d>
                      <m:d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3−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5</m:t>
                        </m:r>
                      </m:e>
                    </m:d>
                    <m:r>
                      <a:rPr lang="es-A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s-AR" sz="1100" b="0" i="1">
                        <a:latin typeface="Cambria Math" panose="02040503050406030204" pitchFamily="18" charset="0"/>
                      </a:rPr>
                      <m:t>2∗</m:t>
                    </m:r>
                    <m:d>
                      <m:dPr>
                        <m:ctrlPr>
                          <a:rPr lang="es-A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5−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AR" sz="1100" b="0" i="1">
                            <a:latin typeface="Cambria Math" panose="02040503050406030204" pitchFamily="18" charset="0"/>
                          </a:rPr>
                          <m:t>4</m:t>
                        </m:r>
                      </m:e>
                    </m:d>
                  </m:oMath>
                </m:oMathPara>
              </a14:m>
              <a:endParaRPr lang="es-AR" sz="1100" b="0"/>
            </a:p>
            <a:p>
              <a:r>
                <a:rPr lang="es-AR" sz="1100"/>
                <a:t>m1=m2*</a:t>
              </a:r>
              <a14:m>
                <m:oMath xmlns:m="http://schemas.openxmlformats.org/officeDocument/2006/math">
                  <m:d>
                    <m:dPr>
                      <m:ctrlP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h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5−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h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4</m:t>
                      </m:r>
                    </m:e>
                  </m:d>
                </m:oMath>
              </a14:m>
              <a:r>
                <a:rPr lang="es-AR" sz="1100"/>
                <a:t>/</a:t>
              </a:r>
              <a14:m>
                <m:oMath xmlns:m="http://schemas.openxmlformats.org/officeDocument/2006/math">
                  <m:d>
                    <m:dPr>
                      <m:ctrlP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h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3−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h</m:t>
                      </m:r>
                      <m:r>
                        <a:rPr lang="es-AR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5</m:t>
                      </m:r>
                    </m:e>
                  </m:d>
                </m:oMath>
              </a14:m>
              <a:endParaRPr lang="es-AR" sz="1100"/>
            </a:p>
          </xdr:txBody>
        </xdr:sp>
      </mc:Choice>
      <mc:Fallback>
        <xdr:sp macro="" textlink="">
          <xdr:nvSpPr>
            <xdr:cNvPr id="2" name="CuadroTexto 1"/>
            <xdr:cNvSpPr txBox="1"/>
          </xdr:nvSpPr>
          <xdr:spPr>
            <a:xfrm>
              <a:off x="2238375" y="5153025"/>
              <a:ext cx="2091663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b="0" i="0">
                  <a:latin typeface="Cambria Math" panose="02040503050406030204" pitchFamily="18" charset="0"/>
                </a:rPr>
                <a:t>𝑚1∗(ℎ3−ℎ5)=𝑚2∗(ℎ5−ℎ4)</a:t>
              </a:r>
              <a:endParaRPr lang="es-AR" sz="1100" b="0"/>
            </a:p>
            <a:p>
              <a:r>
                <a:rPr lang="es-AR" sz="1100"/>
                <a:t>m1=m2*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(ℎ5−ℎ4)</a:t>
              </a:r>
              <a:r>
                <a:rPr lang="es-AR" sz="1100"/>
                <a:t>/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(ℎ3−ℎ5)</a:t>
              </a:r>
              <a:endParaRPr lang="es-AR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blo\AppData\Roaming\Microsoft\AddIn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h_ps"/>
      <definedName name="h_pt"/>
      <definedName name="hV_p"/>
      <definedName name="s_ph"/>
      <definedName name="s_pT"/>
      <definedName name="sV_p"/>
      <definedName name="T_ph"/>
      <definedName name="T_ps"/>
      <definedName name="Tsat_p"/>
      <definedName name="x_ps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13" sqref="E13"/>
    </sheetView>
  </sheetViews>
  <sheetFormatPr baseColWidth="10" defaultRowHeight="15" x14ac:dyDescent="0.25"/>
  <sheetData>
    <row r="1" spans="1:3" x14ac:dyDescent="0.25">
      <c r="A1" t="s">
        <v>0</v>
      </c>
      <c r="B1">
        <v>25</v>
      </c>
      <c r="C1" t="s">
        <v>9</v>
      </c>
    </row>
    <row r="2" spans="1:3" x14ac:dyDescent="0.25">
      <c r="A2" t="s">
        <v>1</v>
      </c>
      <c r="B2" s="3">
        <v>400</v>
      </c>
      <c r="C2" t="s">
        <v>36</v>
      </c>
    </row>
    <row r="3" spans="1:3" x14ac:dyDescent="0.25">
      <c r="A3" t="s">
        <v>2</v>
      </c>
      <c r="B3" s="3">
        <f>[1]!h_pt(B1,B2)</f>
        <v>3239.9640243495514</v>
      </c>
      <c r="C3" t="s">
        <v>37</v>
      </c>
    </row>
    <row r="4" spans="1:3" x14ac:dyDescent="0.25">
      <c r="A4" t="s">
        <v>3</v>
      </c>
      <c r="B4" s="1">
        <f>[1]!s_pT(B1,B2)</f>
        <v>7.0167771268898171</v>
      </c>
      <c r="C4" t="s">
        <v>38</v>
      </c>
    </row>
    <row r="6" spans="1:3" x14ac:dyDescent="0.25">
      <c r="A6" t="s">
        <v>4</v>
      </c>
      <c r="B6">
        <f>20</f>
        <v>20</v>
      </c>
      <c r="C6" t="s">
        <v>9</v>
      </c>
    </row>
    <row r="7" spans="1:3" x14ac:dyDescent="0.25">
      <c r="A7" t="s">
        <v>5</v>
      </c>
      <c r="B7" s="3">
        <f>B3</f>
        <v>3239.9640243495514</v>
      </c>
      <c r="C7" t="s">
        <v>37</v>
      </c>
    </row>
    <row r="8" spans="1:3" x14ac:dyDescent="0.25">
      <c r="A8" t="s">
        <v>6</v>
      </c>
      <c r="B8" s="3">
        <f>[1]!T_ph(B6,B7)</f>
        <v>396.24390077155192</v>
      </c>
      <c r="C8" t="s">
        <v>36</v>
      </c>
    </row>
    <row r="9" spans="1:3" x14ac:dyDescent="0.25">
      <c r="A9" t="s">
        <v>7</v>
      </c>
      <c r="B9" s="1">
        <f>[1]!s_ph(B6,B7)</f>
        <v>7.1166503335882005</v>
      </c>
      <c r="C9" t="s">
        <v>38</v>
      </c>
    </row>
    <row r="11" spans="1:3" x14ac:dyDescent="0.25">
      <c r="A11" t="s">
        <v>8</v>
      </c>
      <c r="B11">
        <v>10</v>
      </c>
      <c r="C11" t="s">
        <v>9</v>
      </c>
    </row>
    <row r="12" spans="1:3" x14ac:dyDescent="0.25">
      <c r="A12" t="s">
        <v>10</v>
      </c>
      <c r="B12" s="1">
        <f>B9</f>
        <v>7.1166503335882005</v>
      </c>
      <c r="C12" t="s">
        <v>38</v>
      </c>
    </row>
    <row r="13" spans="1:3" x14ac:dyDescent="0.25">
      <c r="A13" t="s">
        <v>11</v>
      </c>
      <c r="B13" s="3">
        <f>[1]!h_ps(B11,B12)</f>
        <v>3047.0883846911161</v>
      </c>
      <c r="C13" t="s">
        <v>37</v>
      </c>
    </row>
    <row r="14" spans="1:3" x14ac:dyDescent="0.25">
      <c r="A14" t="s">
        <v>12</v>
      </c>
      <c r="B14" s="3">
        <f>[1]!T_ps(B11,B12)</f>
        <v>297.84520204288083</v>
      </c>
      <c r="C14" t="s">
        <v>36</v>
      </c>
    </row>
    <row r="16" spans="1:3" x14ac:dyDescent="0.25">
      <c r="A16" t="s">
        <v>13</v>
      </c>
      <c r="B16">
        <f>B11</f>
        <v>10</v>
      </c>
      <c r="C16" t="s">
        <v>9</v>
      </c>
    </row>
    <row r="17" spans="1:5" x14ac:dyDescent="0.25">
      <c r="A17" t="s">
        <v>14</v>
      </c>
      <c r="B17" s="3">
        <f>[1]!Tsat_p(B16)</f>
        <v>179.88563239146646</v>
      </c>
      <c r="C17" t="s">
        <v>36</v>
      </c>
    </row>
    <row r="18" spans="1:5" x14ac:dyDescent="0.25">
      <c r="A18" t="s">
        <v>15</v>
      </c>
      <c r="B18" s="3">
        <f>[1]!hV_p(B16)</f>
        <v>2777.1195376846617</v>
      </c>
      <c r="C18" t="s">
        <v>37</v>
      </c>
    </row>
    <row r="19" spans="1:5" x14ac:dyDescent="0.25">
      <c r="A19" t="s">
        <v>16</v>
      </c>
      <c r="B19" s="1">
        <f>[1]!sV_p(B16)</f>
        <v>6.5849789963521701</v>
      </c>
      <c r="C19" t="s">
        <v>38</v>
      </c>
    </row>
    <row r="21" spans="1:5" x14ac:dyDescent="0.25">
      <c r="A21" t="s">
        <v>17</v>
      </c>
      <c r="B21">
        <f>B16</f>
        <v>10</v>
      </c>
      <c r="C21" t="s">
        <v>9</v>
      </c>
    </row>
    <row r="22" spans="1:5" x14ac:dyDescent="0.25">
      <c r="A22" t="s">
        <v>18</v>
      </c>
      <c r="B22" s="3">
        <v>200</v>
      </c>
      <c r="C22" t="s">
        <v>36</v>
      </c>
    </row>
    <row r="23" spans="1:5" x14ac:dyDescent="0.25">
      <c r="A23" t="s">
        <v>19</v>
      </c>
      <c r="B23" s="3">
        <f>[1]!h_pt(B21,B22)</f>
        <v>2828.2675375980625</v>
      </c>
      <c r="C23" t="s">
        <v>37</v>
      </c>
    </row>
    <row r="24" spans="1:5" x14ac:dyDescent="0.25">
      <c r="A24" t="s">
        <v>20</v>
      </c>
      <c r="B24" s="1">
        <f>[1]!s_pT(B21,B22)</f>
        <v>6.6954882426666424</v>
      </c>
      <c r="C24" t="s">
        <v>38</v>
      </c>
    </row>
    <row r="26" spans="1:5" x14ac:dyDescent="0.25">
      <c r="A26" s="9" t="s">
        <v>21</v>
      </c>
      <c r="B26" s="2">
        <f>B27/3600</f>
        <v>2.7777777777777777</v>
      </c>
      <c r="C26" t="s">
        <v>22</v>
      </c>
    </row>
    <row r="27" spans="1:5" x14ac:dyDescent="0.25">
      <c r="A27" s="9"/>
      <c r="B27">
        <v>10000</v>
      </c>
      <c r="C27" t="s">
        <v>24</v>
      </c>
    </row>
    <row r="28" spans="1:5" x14ac:dyDescent="0.25">
      <c r="A28" s="8" t="s">
        <v>23</v>
      </c>
      <c r="B28" s="6">
        <f>B26*(B23-B18)/(B13-B23)</f>
        <v>0.64928812507889544</v>
      </c>
      <c r="C28" s="5" t="s">
        <v>22</v>
      </c>
    </row>
    <row r="29" spans="1:5" x14ac:dyDescent="0.25">
      <c r="A29" s="8"/>
      <c r="B29" s="7">
        <f>B28*3600</f>
        <v>2337.4372502840238</v>
      </c>
      <c r="C29" s="5" t="s">
        <v>24</v>
      </c>
      <c r="D29" s="7"/>
      <c r="E29" s="5"/>
    </row>
    <row r="31" spans="1:5" x14ac:dyDescent="0.25">
      <c r="A31" t="s">
        <v>25</v>
      </c>
      <c r="B31">
        <v>1</v>
      </c>
      <c r="C31" t="s">
        <v>9</v>
      </c>
    </row>
    <row r="32" spans="1:5" x14ac:dyDescent="0.25">
      <c r="A32" t="s">
        <v>26</v>
      </c>
      <c r="B32" s="1">
        <f>B9</f>
        <v>7.1166503335882005</v>
      </c>
      <c r="C32" t="s">
        <v>38</v>
      </c>
    </row>
    <row r="33" spans="1:3" x14ac:dyDescent="0.25">
      <c r="A33" s="5" t="s">
        <v>28</v>
      </c>
      <c r="B33" s="6">
        <f>[1]!x_ps(B31,B32)</f>
        <v>0.96001544706133435</v>
      </c>
    </row>
    <row r="34" spans="1:3" x14ac:dyDescent="0.25">
      <c r="A34" t="s">
        <v>27</v>
      </c>
      <c r="B34" s="3">
        <f>[1]!T_ps(B31,B32)</f>
        <v>99.605918611337643</v>
      </c>
      <c r="C34" t="s">
        <v>36</v>
      </c>
    </row>
    <row r="35" spans="1:3" x14ac:dyDescent="0.25">
      <c r="A35" t="s">
        <v>29</v>
      </c>
      <c r="B35" s="3">
        <f>[1]!h_ps(B31,B32)</f>
        <v>2584.6839865756783</v>
      </c>
      <c r="C35" t="s">
        <v>37</v>
      </c>
    </row>
    <row r="37" spans="1:3" x14ac:dyDescent="0.25">
      <c r="A37" s="10" t="s">
        <v>31</v>
      </c>
      <c r="B37" s="11">
        <f>(B28+B26)*B24-B28*B12-B26*B19</f>
        <v>3.351458428254972E-2</v>
      </c>
      <c r="C37" s="5" t="s">
        <v>30</v>
      </c>
    </row>
    <row r="38" spans="1:3" x14ac:dyDescent="0.25">
      <c r="A38" s="10"/>
      <c r="B38" s="12">
        <f>B37*3600</f>
        <v>120.65250341717899</v>
      </c>
      <c r="C38" t="s">
        <v>35</v>
      </c>
    </row>
    <row r="39" spans="1:3" x14ac:dyDescent="0.25">
      <c r="A39" s="8" t="s">
        <v>32</v>
      </c>
      <c r="B39" s="6">
        <v>15.718827205041544</v>
      </c>
      <c r="C39" s="5" t="s">
        <v>22</v>
      </c>
    </row>
    <row r="40" spans="1:3" x14ac:dyDescent="0.25">
      <c r="A40" s="8"/>
      <c r="B40" s="7">
        <f>B39*3600</f>
        <v>56587.777938149557</v>
      </c>
      <c r="C40" s="5" t="s">
        <v>24</v>
      </c>
    </row>
    <row r="41" spans="1:3" x14ac:dyDescent="0.25">
      <c r="A41" t="s">
        <v>33</v>
      </c>
      <c r="B41" s="4">
        <f>B39*(B7-B13)+(B39-B28)*(B13-B35)</f>
        <v>10000</v>
      </c>
      <c r="C41" t="s">
        <v>34</v>
      </c>
    </row>
  </sheetData>
  <mergeCells count="4">
    <mergeCell ref="A28:A29"/>
    <mergeCell ref="A26:A27"/>
    <mergeCell ref="A39:A40"/>
    <mergeCell ref="A37:A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2020-07-06T15:32:21Z</dcterms:created>
  <dcterms:modified xsi:type="dcterms:W3CDTF">2020-07-06T16:23:29Z</dcterms:modified>
</cp:coreProperties>
</file>