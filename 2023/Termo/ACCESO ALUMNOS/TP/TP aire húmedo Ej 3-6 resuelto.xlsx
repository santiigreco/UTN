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780" windowHeight="1050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1" l="1"/>
  <c r="B16" i="1"/>
  <c r="B9" i="1"/>
  <c r="B3" i="1"/>
  <c r="B4" i="1" l="1"/>
  <c r="B5" i="1" s="1"/>
  <c r="B10" i="1"/>
  <c r="B11" i="1" s="1"/>
  <c r="B12" i="1" s="1"/>
  <c r="B17" i="1"/>
  <c r="B18" i="1" s="1"/>
  <c r="B20" i="1" s="1"/>
  <c r="B22" i="1" s="1"/>
  <c r="B26" i="1" l="1"/>
  <c r="B25" i="1"/>
  <c r="B28" i="1" s="1"/>
  <c r="B27" i="1"/>
  <c r="B29" i="1" l="1"/>
</calcChain>
</file>

<file path=xl/sharedStrings.xml><?xml version="1.0" encoding="utf-8"?>
<sst xmlns="http://schemas.openxmlformats.org/spreadsheetml/2006/main" count="55" uniqueCount="38">
  <si>
    <t>t1</t>
  </si>
  <si>
    <t>tr1</t>
  </si>
  <si>
    <t>pv1</t>
  </si>
  <si>
    <t>bar</t>
  </si>
  <si>
    <t>x1</t>
  </si>
  <si>
    <t>kg/kgAS</t>
  </si>
  <si>
    <t>ºC</t>
  </si>
  <si>
    <t>t2</t>
  </si>
  <si>
    <t>tbh2</t>
  </si>
  <si>
    <t>pv(sa)2</t>
  </si>
  <si>
    <t>xsa2</t>
  </si>
  <si>
    <t>kJ/kgAS</t>
  </si>
  <si>
    <t>x2</t>
  </si>
  <si>
    <t>h=cpa*t+x(r0+cpv*t)</t>
  </si>
  <si>
    <t>hsa2=h2</t>
  </si>
  <si>
    <t>x=(h-cpa*t)/(r0+cpv*t)</t>
  </si>
  <si>
    <t>t4</t>
  </si>
  <si>
    <t>φ4</t>
  </si>
  <si>
    <t>pvs4=pv4</t>
  </si>
  <si>
    <t>x4</t>
  </si>
  <si>
    <t>h4</t>
  </si>
  <si>
    <t>h3=h4</t>
  </si>
  <si>
    <t>m1*h1+m2*h2=m3*h3</t>
  </si>
  <si>
    <t>m1/m2*h1+h2=m1/m2*h3+h3</t>
  </si>
  <si>
    <t>m1/m2=(h3-h2)/(h1-h3)</t>
  </si>
  <si>
    <t>h1</t>
  </si>
  <si>
    <t>m1/m2</t>
  </si>
  <si>
    <t>m1/m2*x1+x2=(m1/m2+1)*x3</t>
  </si>
  <si>
    <t>x3=(m1/m2*x1+x2)/(m1/m2+1)</t>
  </si>
  <si>
    <t>x3</t>
  </si>
  <si>
    <t>t3</t>
  </si>
  <si>
    <t>t3=(m1/m2*t1+t2)/(m1/m2+1)</t>
  </si>
  <si>
    <t>pvs3</t>
  </si>
  <si>
    <t>φ3</t>
  </si>
  <si>
    <t>pv3</t>
  </si>
  <si>
    <t>tbh3</t>
  </si>
  <si>
    <t>: Dato</t>
  </si>
  <si>
    <t>: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</si>
</sst>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6" formatCode="0.00000"/>
    <numFmt numFmtId="167" formatCode="0.0000"/>
    <numFmt numFmtId="169" formatCode="0.0"/>
    <numFmt numFmtId="170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166" fontId="0" fillId="0" borderId="0" xfId="0" applyNumberFormat="1"/>
    <xf numFmtId="167" fontId="0" fillId="0" borderId="0" xfId="0" applyNumberFormat="1"/>
    <xf numFmtId="169" fontId="0" fillId="0" borderId="0" xfId="0" applyNumberFormat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170" fontId="2" fillId="2" borderId="0" xfId="1" applyNumberFormat="1" applyFont="1" applyFill="1"/>
    <xf numFmtId="169" fontId="2" fillId="2" borderId="0" xfId="0" applyNumberFormat="1" applyFont="1" applyFill="1"/>
    <xf numFmtId="9" fontId="0" fillId="3" borderId="0" xfId="0" applyNumberForma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19</xdr:row>
      <xdr:rowOff>114300</xdr:rowOff>
    </xdr:from>
    <xdr:to>
      <xdr:col>3</xdr:col>
      <xdr:colOff>704850</xdr:colOff>
      <xdr:row>19</xdr:row>
      <xdr:rowOff>114300</xdr:rowOff>
    </xdr:to>
    <xdr:cxnSp macro="">
      <xdr:nvCxnSpPr>
        <xdr:cNvPr id="3" name="Conector recto de flecha 2"/>
        <xdr:cNvCxnSpPr/>
      </xdr:nvCxnSpPr>
      <xdr:spPr>
        <a:xfrm>
          <a:off x="2171700" y="3733800"/>
          <a:ext cx="8191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21</xdr:row>
      <xdr:rowOff>114300</xdr:rowOff>
    </xdr:from>
    <xdr:to>
      <xdr:col>3</xdr:col>
      <xdr:colOff>695325</xdr:colOff>
      <xdr:row>21</xdr:row>
      <xdr:rowOff>114300</xdr:rowOff>
    </xdr:to>
    <xdr:cxnSp macro="">
      <xdr:nvCxnSpPr>
        <xdr:cNvPr id="5" name="Conector recto de flecha 4"/>
        <xdr:cNvCxnSpPr/>
      </xdr:nvCxnSpPr>
      <xdr:spPr>
        <a:xfrm flipH="1">
          <a:off x="1581150" y="4114800"/>
          <a:ext cx="1400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676275</xdr:colOff>
      <xdr:row>20</xdr:row>
      <xdr:rowOff>47625</xdr:rowOff>
    </xdr:from>
    <xdr:to>
      <xdr:col>3</xdr:col>
      <xdr:colOff>676275</xdr:colOff>
      <xdr:row>21</xdr:row>
      <xdr:rowOff>38100</xdr:rowOff>
    </xdr:to>
    <xdr:cxnSp macro="">
      <xdr:nvCxnSpPr>
        <xdr:cNvPr id="7" name="Conector recto de flecha 6"/>
        <xdr:cNvCxnSpPr/>
      </xdr:nvCxnSpPr>
      <xdr:spPr>
        <a:xfrm>
          <a:off x="2962275" y="3857625"/>
          <a:ext cx="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742950</xdr:colOff>
      <xdr:row>23</xdr:row>
      <xdr:rowOff>76200</xdr:rowOff>
    </xdr:from>
    <xdr:to>
      <xdr:col>3</xdr:col>
      <xdr:colOff>742950</xdr:colOff>
      <xdr:row>24</xdr:row>
      <xdr:rowOff>123825</xdr:rowOff>
    </xdr:to>
    <xdr:cxnSp macro="">
      <xdr:nvCxnSpPr>
        <xdr:cNvPr id="9" name="Conector recto de flecha 8"/>
        <xdr:cNvCxnSpPr/>
      </xdr:nvCxnSpPr>
      <xdr:spPr>
        <a:xfrm>
          <a:off x="3028950" y="4457700"/>
          <a:ext cx="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24</xdr:row>
      <xdr:rowOff>76200</xdr:rowOff>
    </xdr:from>
    <xdr:to>
      <xdr:col>3</xdr:col>
      <xdr:colOff>600075</xdr:colOff>
      <xdr:row>24</xdr:row>
      <xdr:rowOff>76200</xdr:rowOff>
    </xdr:to>
    <xdr:cxnSp macro="">
      <xdr:nvCxnSpPr>
        <xdr:cNvPr id="11" name="Conector recto de flecha 10"/>
        <xdr:cNvCxnSpPr/>
      </xdr:nvCxnSpPr>
      <xdr:spPr>
        <a:xfrm flipH="1">
          <a:off x="2105025" y="4648200"/>
          <a:ext cx="7810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25</xdr:row>
      <xdr:rowOff>133350</xdr:rowOff>
    </xdr:from>
    <xdr:to>
      <xdr:col>3</xdr:col>
      <xdr:colOff>723900</xdr:colOff>
      <xdr:row>25</xdr:row>
      <xdr:rowOff>133350</xdr:rowOff>
    </xdr:to>
    <xdr:cxnSp macro="">
      <xdr:nvCxnSpPr>
        <xdr:cNvPr id="13" name="Conector recto de flecha 12"/>
        <xdr:cNvCxnSpPr/>
      </xdr:nvCxnSpPr>
      <xdr:spPr>
        <a:xfrm flipH="1">
          <a:off x="2305050" y="4895850"/>
          <a:ext cx="7048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</xdr:row>
      <xdr:rowOff>95250</xdr:rowOff>
    </xdr:from>
    <xdr:to>
      <xdr:col>4</xdr:col>
      <xdr:colOff>0</xdr:colOff>
      <xdr:row>10</xdr:row>
      <xdr:rowOff>95250</xdr:rowOff>
    </xdr:to>
    <xdr:cxnSp macro="">
      <xdr:nvCxnSpPr>
        <xdr:cNvPr id="15" name="Conector recto de flecha 14"/>
        <xdr:cNvCxnSpPr/>
      </xdr:nvCxnSpPr>
      <xdr:spPr>
        <a:xfrm>
          <a:off x="2066925" y="2000250"/>
          <a:ext cx="76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11</xdr:row>
      <xdr:rowOff>123825</xdr:rowOff>
    </xdr:from>
    <xdr:to>
      <xdr:col>3</xdr:col>
      <xdr:colOff>742950</xdr:colOff>
      <xdr:row>11</xdr:row>
      <xdr:rowOff>123825</xdr:rowOff>
    </xdr:to>
    <xdr:cxnSp macro="">
      <xdr:nvCxnSpPr>
        <xdr:cNvPr id="17" name="Conector recto de flecha 16"/>
        <xdr:cNvCxnSpPr/>
      </xdr:nvCxnSpPr>
      <xdr:spPr>
        <a:xfrm flipH="1">
          <a:off x="2057400" y="2219325"/>
          <a:ext cx="7524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647700</xdr:colOff>
      <xdr:row>10</xdr:row>
      <xdr:rowOff>95250</xdr:rowOff>
    </xdr:from>
    <xdr:to>
      <xdr:col>5</xdr:col>
      <xdr:colOff>647700</xdr:colOff>
      <xdr:row>11</xdr:row>
      <xdr:rowOff>133350</xdr:rowOff>
    </xdr:to>
    <xdr:cxnSp macro="">
      <xdr:nvCxnSpPr>
        <xdr:cNvPr id="19" name="Conector recto de flecha 18"/>
        <xdr:cNvCxnSpPr/>
      </xdr:nvCxnSpPr>
      <xdr:spPr>
        <a:xfrm>
          <a:off x="4238625" y="200025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u\AppData\Roaming\Microsoft\Complementos\Steam_fn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erties"/>
      <sheetName val="Functions"/>
    </sheetNames>
    <definedNames>
      <definedName name="psat_t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A32" sqref="A32"/>
    </sheetView>
  </sheetViews>
  <sheetFormatPr baseColWidth="10" defaultRowHeight="15" x14ac:dyDescent="0.25"/>
  <cols>
    <col min="3" max="3" width="8.140625" bestFit="1" customWidth="1"/>
  </cols>
  <sheetData>
    <row r="1" spans="1:5" x14ac:dyDescent="0.25">
      <c r="A1" t="s">
        <v>0</v>
      </c>
      <c r="B1" s="6">
        <v>20</v>
      </c>
      <c r="C1" t="s">
        <v>6</v>
      </c>
      <c r="D1" s="6"/>
      <c r="E1" t="s">
        <v>36</v>
      </c>
    </row>
    <row r="2" spans="1:5" x14ac:dyDescent="0.25">
      <c r="A2" t="s">
        <v>1</v>
      </c>
      <c r="B2" s="6">
        <v>10</v>
      </c>
      <c r="C2" t="s">
        <v>6</v>
      </c>
      <c r="D2" s="5"/>
      <c r="E2" t="s">
        <v>37</v>
      </c>
    </row>
    <row r="3" spans="1:5" x14ac:dyDescent="0.25">
      <c r="A3" t="s">
        <v>2</v>
      </c>
      <c r="B3" s="2">
        <f>[1]!psat_t(B2)</f>
        <v>1.2281838693402238E-2</v>
      </c>
      <c r="C3" t="s">
        <v>3</v>
      </c>
    </row>
    <row r="4" spans="1:5" x14ac:dyDescent="0.25">
      <c r="A4" t="s">
        <v>4</v>
      </c>
      <c r="B4" s="3">
        <f>0.622*B3/(1-B3)</f>
        <v>7.7342950312775252E-3</v>
      </c>
      <c r="C4" t="s">
        <v>5</v>
      </c>
    </row>
    <row r="5" spans="1:5" x14ac:dyDescent="0.25">
      <c r="A5" t="s">
        <v>25</v>
      </c>
      <c r="B5" s="4">
        <f>1.005*B1+B4*(2501+1.864*B1)</f>
        <v>39.731806391991114</v>
      </c>
      <c r="C5" t="s">
        <v>11</v>
      </c>
    </row>
    <row r="7" spans="1:5" x14ac:dyDescent="0.25">
      <c r="A7" t="s">
        <v>7</v>
      </c>
      <c r="B7" s="6">
        <v>30</v>
      </c>
      <c r="C7" t="s">
        <v>6</v>
      </c>
    </row>
    <row r="8" spans="1:5" x14ac:dyDescent="0.25">
      <c r="A8" t="s">
        <v>8</v>
      </c>
      <c r="B8" s="6">
        <v>20</v>
      </c>
      <c r="C8" t="s">
        <v>6</v>
      </c>
    </row>
    <row r="9" spans="1:5" x14ac:dyDescent="0.25">
      <c r="A9" t="s">
        <v>9</v>
      </c>
      <c r="B9" s="2">
        <f>[1]!psat_t(B8)</f>
        <v>2.3392147667768967E-2</v>
      </c>
      <c r="C9" t="s">
        <v>3</v>
      </c>
    </row>
    <row r="10" spans="1:5" x14ac:dyDescent="0.25">
      <c r="A10" t="s">
        <v>10</v>
      </c>
      <c r="B10" s="3">
        <f>0.622*B9/(1-B9)</f>
        <v>1.4898421935279073E-2</v>
      </c>
      <c r="C10" t="s">
        <v>5</v>
      </c>
    </row>
    <row r="11" spans="1:5" x14ac:dyDescent="0.25">
      <c r="A11" t="s">
        <v>14</v>
      </c>
      <c r="B11" s="4">
        <f>1.005*B8+B10*(2501+1.864*B8)</f>
        <v>57.916366429880171</v>
      </c>
      <c r="C11" t="s">
        <v>11</v>
      </c>
      <c r="E11" t="s">
        <v>13</v>
      </c>
    </row>
    <row r="12" spans="1:5" x14ac:dyDescent="0.25">
      <c r="A12" t="s">
        <v>12</v>
      </c>
      <c r="B12" s="3">
        <f>(B11-1.005*B7)/(2501+1.864*B7)</f>
        <v>1.085930198437189E-2</v>
      </c>
      <c r="C12" t="s">
        <v>5</v>
      </c>
      <c r="E12" t="s">
        <v>15</v>
      </c>
    </row>
    <row r="14" spans="1:5" x14ac:dyDescent="0.25">
      <c r="A14" t="s">
        <v>16</v>
      </c>
      <c r="B14" s="6">
        <v>17</v>
      </c>
      <c r="C14" t="s">
        <v>6</v>
      </c>
    </row>
    <row r="15" spans="1:5" x14ac:dyDescent="0.25">
      <c r="A15" s="1" t="s">
        <v>17</v>
      </c>
      <c r="B15" s="10">
        <v>1</v>
      </c>
    </row>
    <row r="16" spans="1:5" x14ac:dyDescent="0.25">
      <c r="A16" s="1" t="s">
        <v>18</v>
      </c>
      <c r="B16" s="2">
        <f>[1]!psat_t(B14)</f>
        <v>1.9382908805320127E-2</v>
      </c>
      <c r="C16" t="s">
        <v>3</v>
      </c>
    </row>
    <row r="17" spans="1:5" x14ac:dyDescent="0.25">
      <c r="A17" s="1" t="s">
        <v>19</v>
      </c>
      <c r="B17" s="3">
        <f>0.622*B16/(1-B16)</f>
        <v>1.2294471904646451E-2</v>
      </c>
      <c r="C17" t="s">
        <v>5</v>
      </c>
    </row>
    <row r="18" spans="1:5" x14ac:dyDescent="0.25">
      <c r="A18" s="1" t="s">
        <v>20</v>
      </c>
      <c r="B18" s="4">
        <f>1.005*B14+B17*(2501+1.864*B14)</f>
        <v>48.223061459235211</v>
      </c>
      <c r="C18" t="s">
        <v>11</v>
      </c>
    </row>
    <row r="20" spans="1:5" x14ac:dyDescent="0.25">
      <c r="A20" t="s">
        <v>21</v>
      </c>
      <c r="B20" s="4">
        <f>B18</f>
        <v>48.223061459235211</v>
      </c>
      <c r="C20" t="s">
        <v>11</v>
      </c>
      <c r="E20" t="s">
        <v>22</v>
      </c>
    </row>
    <row r="21" spans="1:5" x14ac:dyDescent="0.25">
      <c r="E21" t="s">
        <v>23</v>
      </c>
    </row>
    <row r="22" spans="1:5" x14ac:dyDescent="0.25">
      <c r="A22" t="s">
        <v>26</v>
      </c>
      <c r="B22" s="3">
        <f>(B20-B11)/(B5-B20)</f>
        <v>1.1415632782058209</v>
      </c>
      <c r="E22" t="s">
        <v>24</v>
      </c>
    </row>
    <row r="24" spans="1:5" x14ac:dyDescent="0.25">
      <c r="E24" t="s">
        <v>27</v>
      </c>
    </row>
    <row r="25" spans="1:5" x14ac:dyDescent="0.25">
      <c r="A25" t="s">
        <v>29</v>
      </c>
      <c r="B25" s="3">
        <f>(B22*B4+B12)/(B22+1)</f>
        <v>9.1935126901236657E-3</v>
      </c>
      <c r="C25" t="s">
        <v>5</v>
      </c>
      <c r="E25" t="s">
        <v>28</v>
      </c>
    </row>
    <row r="26" spans="1:5" x14ac:dyDescent="0.25">
      <c r="A26" t="s">
        <v>30</v>
      </c>
      <c r="B26" s="9">
        <f>(B22*B1+B7)/(B22+1)</f>
        <v>24.669486118746818</v>
      </c>
      <c r="C26" s="7" t="s">
        <v>6</v>
      </c>
      <c r="E26" t="s">
        <v>31</v>
      </c>
    </row>
    <row r="27" spans="1:5" x14ac:dyDescent="0.25">
      <c r="A27" t="s">
        <v>32</v>
      </c>
      <c r="B27" s="2">
        <f>[1]!psat_t(B26)</f>
        <v>3.1078284980541521E-2</v>
      </c>
      <c r="C27" t="s">
        <v>3</v>
      </c>
    </row>
    <row r="28" spans="1:5" x14ac:dyDescent="0.25">
      <c r="A28" t="s">
        <v>34</v>
      </c>
      <c r="B28" s="2">
        <f>B25*1/(0.622+B25)</f>
        <v>1.4565283871409341E-2</v>
      </c>
      <c r="C28" t="s">
        <v>3</v>
      </c>
    </row>
    <row r="29" spans="1:5" x14ac:dyDescent="0.25">
      <c r="A29" s="1" t="s">
        <v>33</v>
      </c>
      <c r="B29" s="8">
        <f>B28/B27</f>
        <v>0.46866433847713396</v>
      </c>
    </row>
    <row r="30" spans="1:5" x14ac:dyDescent="0.25">
      <c r="A30" s="1" t="s">
        <v>35</v>
      </c>
      <c r="B30" s="7">
        <f>B14</f>
        <v>17</v>
      </c>
      <c r="C30" s="7" t="s">
        <v>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2019-06-16T21:02:19Z</dcterms:created>
  <dcterms:modified xsi:type="dcterms:W3CDTF">2019-06-16T21:02:22Z</dcterms:modified>
</cp:coreProperties>
</file>