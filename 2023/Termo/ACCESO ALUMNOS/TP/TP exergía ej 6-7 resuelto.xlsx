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ropbox\TERMO\TERMOYMT\ACCESO ALUMNOS\TP\"/>
    </mc:Choice>
  </mc:AlternateContent>
  <bookViews>
    <workbookView xWindow="0" yWindow="0" windowWidth="14220" windowHeight="10245"/>
  </bookViews>
  <sheets>
    <sheet name="Hoja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4" i="1" l="1"/>
  <c r="B42" i="1"/>
  <c r="B43" i="1" s="1"/>
  <c r="B40" i="1"/>
  <c r="B38" i="1"/>
  <c r="B37" i="1"/>
  <c r="B35" i="1"/>
  <c r="B34" i="1"/>
  <c r="B33" i="1"/>
  <c r="B28" i="1"/>
  <c r="B27" i="1"/>
  <c r="B26" i="1"/>
  <c r="B25" i="1"/>
  <c r="B15" i="1"/>
  <c r="B32" i="1"/>
  <c r="B31" i="1"/>
  <c r="E30" i="1"/>
  <c r="B20" i="1"/>
  <c r="B19" i="1"/>
  <c r="B16" i="1"/>
  <c r="B18" i="1"/>
  <c r="F30" i="1" l="1"/>
  <c r="B9" i="1"/>
  <c r="B10" i="1" s="1"/>
</calcChain>
</file>

<file path=xl/sharedStrings.xml><?xml version="1.0" encoding="utf-8"?>
<sst xmlns="http://schemas.openxmlformats.org/spreadsheetml/2006/main" count="75" uniqueCount="52">
  <si>
    <t>ma</t>
  </si>
  <si>
    <t>kg</t>
  </si>
  <si>
    <t>Va</t>
  </si>
  <si>
    <t>m3</t>
  </si>
  <si>
    <t>Aire</t>
  </si>
  <si>
    <t>Vapor</t>
  </si>
  <si>
    <t>mb</t>
  </si>
  <si>
    <t>Vb</t>
  </si>
  <si>
    <t>bar</t>
  </si>
  <si>
    <t>vb</t>
  </si>
  <si>
    <t>m3/kg</t>
  </si>
  <si>
    <t>ºC</t>
  </si>
  <si>
    <t>R</t>
  </si>
  <si>
    <t>kJ/kgK</t>
  </si>
  <si>
    <t>Tf</t>
  </si>
  <si>
    <t>K</t>
  </si>
  <si>
    <t>Ta1</t>
  </si>
  <si>
    <t>pa1</t>
  </si>
  <si>
    <t>Tb1</t>
  </si>
  <si>
    <t>pb1</t>
  </si>
  <si>
    <t>xb1</t>
  </si>
  <si>
    <t>ub1</t>
  </si>
  <si>
    <t>sb1</t>
  </si>
  <si>
    <t>Ta2=Tb2</t>
  </si>
  <si>
    <t>pa2</t>
  </si>
  <si>
    <t>ΔUa</t>
  </si>
  <si>
    <t>cv</t>
  </si>
  <si>
    <t>kJ</t>
  </si>
  <si>
    <t>ΔSa</t>
  </si>
  <si>
    <t>kJ/K</t>
  </si>
  <si>
    <t>p0</t>
  </si>
  <si>
    <t>T0</t>
  </si>
  <si>
    <t>ΔExa</t>
  </si>
  <si>
    <t>pb2</t>
  </si>
  <si>
    <t>ub2</t>
  </si>
  <si>
    <t>sb2</t>
  </si>
  <si>
    <t>kJ/kg</t>
  </si>
  <si>
    <t>ΔUb</t>
  </si>
  <si>
    <t>ΔSb</t>
  </si>
  <si>
    <t>ΔExb</t>
  </si>
  <si>
    <t>Q</t>
  </si>
  <si>
    <t>ΔSf</t>
  </si>
  <si>
    <t>ΔSu</t>
  </si>
  <si>
    <t>Quf</t>
  </si>
  <si>
    <t>ΔExu</t>
  </si>
  <si>
    <t>ηexe</t>
  </si>
  <si>
    <t>d)</t>
  </si>
  <si>
    <t>c)</t>
  </si>
  <si>
    <t>b)</t>
  </si>
  <si>
    <t>a)</t>
  </si>
  <si>
    <t>Datos</t>
  </si>
  <si>
    <t>Iterar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</si>
</sst>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0.00000"/>
    <numFmt numFmtId="167" formatCode="0.000"/>
    <numFmt numFmtId="168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164" fontId="0" fillId="0" borderId="0" xfId="1" applyNumberFormat="1" applyFont="1"/>
    <xf numFmtId="165" fontId="0" fillId="0" borderId="0" xfId="0" applyNumberFormat="1"/>
    <xf numFmtId="167" fontId="0" fillId="0" borderId="0" xfId="0" applyNumberFormat="1"/>
    <xf numFmtId="2" fontId="0" fillId="0" borderId="0" xfId="0" applyNumberFormat="1"/>
    <xf numFmtId="168" fontId="0" fillId="0" borderId="0" xfId="0" applyNumberFormat="1"/>
    <xf numFmtId="0" fontId="0" fillId="2" borderId="0" xfId="0" applyFill="1"/>
    <xf numFmtId="168" fontId="0" fillId="0" borderId="0" xfId="1" applyNumberFormat="1" applyFont="1"/>
    <xf numFmtId="165" fontId="0" fillId="0" borderId="0" xfId="1" applyNumberFormat="1" applyFont="1"/>
    <xf numFmtId="0" fontId="2" fillId="0" borderId="0" xfId="0" applyFont="1"/>
    <xf numFmtId="167" fontId="0" fillId="3" borderId="0" xfId="0" applyNumberFormat="1" applyFill="1"/>
    <xf numFmtId="0" fontId="3" fillId="0" borderId="0" xfId="0" applyFont="1"/>
    <xf numFmtId="2" fontId="3" fillId="0" borderId="0" xfId="0" applyNumberFormat="1" applyFont="1"/>
    <xf numFmtId="167" fontId="3" fillId="3" borderId="0" xfId="0" applyNumberFormat="1" applyFont="1" applyFill="1"/>
    <xf numFmtId="0" fontId="4" fillId="0" borderId="0" xfId="0" applyFont="1"/>
    <xf numFmtId="165" fontId="3" fillId="0" borderId="0" xfId="0" applyNumberFormat="1" applyFont="1"/>
    <xf numFmtId="164" fontId="3" fillId="0" borderId="0" xfId="1" applyNumberFormat="1" applyFont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ablo\AppData\Roaming\Microsoft\AddIns\Steam_fns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perties"/>
      <sheetName val="Functions"/>
    </sheetNames>
    <definedNames>
      <definedName name="h_px"/>
      <definedName name="s_ph"/>
      <definedName name="s_pT"/>
      <definedName name="Tsat_p"/>
      <definedName name="u_ph"/>
      <definedName name="u_pT"/>
      <definedName name="v_pT"/>
      <definedName name="vL_p"/>
      <definedName name="vV_p"/>
    </defined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tabSelected="1" topLeftCell="A16" workbookViewId="0">
      <selection activeCell="E17" sqref="E17"/>
    </sheetView>
  </sheetViews>
  <sheetFormatPr baseColWidth="10" defaultRowHeight="15" x14ac:dyDescent="0.25"/>
  <sheetData>
    <row r="1" spans="1:5" x14ac:dyDescent="0.25">
      <c r="A1" t="s">
        <v>30</v>
      </c>
      <c r="B1" s="6">
        <v>1</v>
      </c>
      <c r="C1" t="s">
        <v>8</v>
      </c>
      <c r="E1" s="17" t="s">
        <v>50</v>
      </c>
    </row>
    <row r="2" spans="1:5" x14ac:dyDescent="0.25">
      <c r="A2" t="s">
        <v>31</v>
      </c>
      <c r="B2" s="6">
        <v>300</v>
      </c>
      <c r="C2" t="s">
        <v>15</v>
      </c>
      <c r="E2" s="18" t="s">
        <v>51</v>
      </c>
    </row>
    <row r="4" spans="1:5" x14ac:dyDescent="0.25">
      <c r="A4" t="s">
        <v>4</v>
      </c>
    </row>
    <row r="5" spans="1:5" x14ac:dyDescent="0.25">
      <c r="A5" t="s">
        <v>12</v>
      </c>
      <c r="B5" s="6">
        <v>0.28699999999999998</v>
      </c>
      <c r="C5" t="s">
        <v>13</v>
      </c>
    </row>
    <row r="6" spans="1:5" x14ac:dyDescent="0.25">
      <c r="A6" t="s">
        <v>26</v>
      </c>
      <c r="B6" s="6">
        <v>0.71799999999999997</v>
      </c>
      <c r="C6" t="s">
        <v>13</v>
      </c>
    </row>
    <row r="7" spans="1:5" x14ac:dyDescent="0.25">
      <c r="A7" t="s">
        <v>0</v>
      </c>
      <c r="B7" s="6">
        <v>2</v>
      </c>
      <c r="C7" t="s">
        <v>1</v>
      </c>
    </row>
    <row r="8" spans="1:5" x14ac:dyDescent="0.25">
      <c r="A8" t="s">
        <v>2</v>
      </c>
      <c r="B8" s="6">
        <v>0.5</v>
      </c>
      <c r="C8" t="s">
        <v>3</v>
      </c>
    </row>
    <row r="9" spans="1:5" x14ac:dyDescent="0.25">
      <c r="A9" t="s">
        <v>16</v>
      </c>
      <c r="B9" s="5">
        <f>B16</f>
        <v>120.2115459364889</v>
      </c>
      <c r="C9" t="s">
        <v>11</v>
      </c>
    </row>
    <row r="10" spans="1:5" x14ac:dyDescent="0.25">
      <c r="A10" t="s">
        <v>17</v>
      </c>
      <c r="B10" s="4">
        <f>B7*B5*(B9+273)/B8/100</f>
        <v>4.5140685473508917</v>
      </c>
      <c r="C10" t="s">
        <v>8</v>
      </c>
    </row>
    <row r="12" spans="1:5" x14ac:dyDescent="0.25">
      <c r="A12" t="s">
        <v>5</v>
      </c>
    </row>
    <row r="13" spans="1:5" x14ac:dyDescent="0.25">
      <c r="A13" t="s">
        <v>6</v>
      </c>
      <c r="B13" s="6">
        <v>1.2</v>
      </c>
      <c r="C13" t="s">
        <v>1</v>
      </c>
    </row>
    <row r="14" spans="1:5" x14ac:dyDescent="0.25">
      <c r="A14" t="s">
        <v>7</v>
      </c>
      <c r="B14" s="6">
        <v>0.5</v>
      </c>
      <c r="C14" t="s">
        <v>3</v>
      </c>
    </row>
    <row r="15" spans="1:5" x14ac:dyDescent="0.25">
      <c r="A15" t="s">
        <v>9</v>
      </c>
      <c r="B15" s="3">
        <f>B14/B13</f>
        <v>0.41666666666666669</v>
      </c>
      <c r="C15" t="s">
        <v>10</v>
      </c>
    </row>
    <row r="16" spans="1:5" x14ac:dyDescent="0.25">
      <c r="A16" t="s">
        <v>18</v>
      </c>
      <c r="B16" s="5">
        <f>[1]!Tsat_p(B17)</f>
        <v>120.2115459364889</v>
      </c>
      <c r="C16" t="s">
        <v>11</v>
      </c>
    </row>
    <row r="17" spans="1:6" x14ac:dyDescent="0.25">
      <c r="A17" t="s">
        <v>19</v>
      </c>
      <c r="B17" s="6">
        <v>2</v>
      </c>
      <c r="C17" t="s">
        <v>8</v>
      </c>
    </row>
    <row r="18" spans="1:6" x14ac:dyDescent="0.25">
      <c r="A18" t="s">
        <v>20</v>
      </c>
      <c r="B18" s="1">
        <f>(B15-[1]!vL_p(B17))/([1]!vV_p(B17)-[1]!vL_p(B17))</f>
        <v>0.46978422723041535</v>
      </c>
    </row>
    <row r="19" spans="1:6" x14ac:dyDescent="0.25">
      <c r="A19" t="s">
        <v>21</v>
      </c>
      <c r="B19" s="7">
        <f>[1]!u_ph(B17,[1]!h_px(B17,B18))</f>
        <v>1455.6074990847978</v>
      </c>
      <c r="C19" t="s">
        <v>36</v>
      </c>
    </row>
    <row r="20" spans="1:6" x14ac:dyDescent="0.25">
      <c r="A20" t="s">
        <v>22</v>
      </c>
      <c r="B20" s="8">
        <f>[1]!s_ph(B17,[1]!h_px(B17,B18))</f>
        <v>4.1593669225617909</v>
      </c>
      <c r="C20" t="s">
        <v>13</v>
      </c>
    </row>
    <row r="22" spans="1:6" x14ac:dyDescent="0.25">
      <c r="A22" t="s">
        <v>14</v>
      </c>
      <c r="B22">
        <v>1000</v>
      </c>
      <c r="C22" t="s">
        <v>15</v>
      </c>
    </row>
    <row r="23" spans="1:6" x14ac:dyDescent="0.25">
      <c r="A23" t="s">
        <v>23</v>
      </c>
      <c r="B23">
        <v>200</v>
      </c>
      <c r="C23" t="s">
        <v>11</v>
      </c>
    </row>
    <row r="25" spans="1:6" ht="15.75" x14ac:dyDescent="0.25">
      <c r="A25" s="11" t="s">
        <v>24</v>
      </c>
      <c r="B25" s="12">
        <f>B7*B5*(B23+273)/B8/100</f>
        <v>5.4300399999999991</v>
      </c>
      <c r="C25" s="11" t="s">
        <v>8</v>
      </c>
      <c r="D25" s="11" t="s">
        <v>49</v>
      </c>
    </row>
    <row r="26" spans="1:6" ht="15.75" x14ac:dyDescent="0.25">
      <c r="A26" s="9" t="s">
        <v>25</v>
      </c>
      <c r="B26" s="4">
        <f>B7*B6*(B23-B9)</f>
        <v>114.57622003520193</v>
      </c>
      <c r="C26" t="s">
        <v>27</v>
      </c>
      <c r="D26" s="11"/>
    </row>
    <row r="27" spans="1:6" ht="15.75" x14ac:dyDescent="0.25">
      <c r="A27" s="9" t="s">
        <v>28</v>
      </c>
      <c r="B27" s="2">
        <f>B7*B6*LN((B23+273)/(B9+273))</f>
        <v>0.26529760618676318</v>
      </c>
      <c r="C27" t="s">
        <v>29</v>
      </c>
      <c r="D27" s="11"/>
    </row>
    <row r="28" spans="1:6" ht="15.75" x14ac:dyDescent="0.25">
      <c r="A28" s="9" t="s">
        <v>32</v>
      </c>
      <c r="B28" s="4">
        <f>B26-B2*B27</f>
        <v>34.986938179172981</v>
      </c>
      <c r="C28" t="s">
        <v>27</v>
      </c>
      <c r="D28" s="11"/>
    </row>
    <row r="29" spans="1:6" ht="15.75" x14ac:dyDescent="0.25">
      <c r="D29" s="11"/>
    </row>
    <row r="30" spans="1:6" ht="15.75" x14ac:dyDescent="0.25">
      <c r="A30" s="11" t="s">
        <v>33</v>
      </c>
      <c r="B30" s="13">
        <v>5.0975129695422705</v>
      </c>
      <c r="C30" s="11" t="s">
        <v>8</v>
      </c>
      <c r="D30" s="11" t="s">
        <v>49</v>
      </c>
      <c r="E30" s="3">
        <f>[1]!v_pT(B30,B23)</f>
        <v>0.41666666713279271</v>
      </c>
      <c r="F30" s="10">
        <f>(B15-E30)*1000000</f>
        <v>-4.6612602666584735E-4</v>
      </c>
    </row>
    <row r="31" spans="1:6" ht="15.75" x14ac:dyDescent="0.25">
      <c r="A31" t="s">
        <v>34</v>
      </c>
      <c r="B31" s="5">
        <f>[1]!u_pT(B30,B23)</f>
        <v>2642.9956349516297</v>
      </c>
      <c r="C31" t="s">
        <v>36</v>
      </c>
      <c r="D31" s="11"/>
    </row>
    <row r="32" spans="1:6" ht="15.75" x14ac:dyDescent="0.25">
      <c r="A32" t="s">
        <v>35</v>
      </c>
      <c r="B32" s="2">
        <f>[1]!s_pT(B30,B23)</f>
        <v>7.0513326578594544</v>
      </c>
      <c r="C32" t="s">
        <v>13</v>
      </c>
      <c r="D32" s="11"/>
    </row>
    <row r="33" spans="1:4" ht="15.75" x14ac:dyDescent="0.25">
      <c r="A33" s="9" t="s">
        <v>37</v>
      </c>
      <c r="B33" s="4">
        <f>B13*(B31-B19)</f>
        <v>1424.8657630401981</v>
      </c>
      <c r="C33" t="s">
        <v>27</v>
      </c>
      <c r="D33" s="11"/>
    </row>
    <row r="34" spans="1:4" ht="15.75" x14ac:dyDescent="0.25">
      <c r="A34" s="9" t="s">
        <v>38</v>
      </c>
      <c r="B34" s="2">
        <f>B13*(B32-B20)</f>
        <v>3.4703588823571963</v>
      </c>
      <c r="C34" t="s">
        <v>29</v>
      </c>
      <c r="D34" s="11"/>
    </row>
    <row r="35" spans="1:4" ht="15.75" x14ac:dyDescent="0.25">
      <c r="A35" s="9" t="s">
        <v>39</v>
      </c>
      <c r="B35" s="4">
        <f>B33-B2*B34</f>
        <v>383.75809833303924</v>
      </c>
      <c r="C35" t="s">
        <v>27</v>
      </c>
      <c r="D35" s="11"/>
    </row>
    <row r="36" spans="1:4" ht="15.75" x14ac:dyDescent="0.25">
      <c r="D36" s="11"/>
    </row>
    <row r="37" spans="1:4" ht="15.75" x14ac:dyDescent="0.25">
      <c r="A37" t="s">
        <v>40</v>
      </c>
      <c r="B37" s="4">
        <f>B26+B33</f>
        <v>1539.4419830754</v>
      </c>
      <c r="C37" t="s">
        <v>27</v>
      </c>
      <c r="D37" s="11"/>
    </row>
    <row r="38" spans="1:4" ht="15.75" x14ac:dyDescent="0.25">
      <c r="A38" s="9" t="s">
        <v>41</v>
      </c>
      <c r="B38" s="2">
        <f>-B37/B22</f>
        <v>-1.5394419830754</v>
      </c>
      <c r="C38" t="s">
        <v>29</v>
      </c>
      <c r="D38" s="11"/>
    </row>
    <row r="39" spans="1:4" ht="15.75" x14ac:dyDescent="0.25">
      <c r="D39" s="11"/>
    </row>
    <row r="40" spans="1:4" ht="15.75" x14ac:dyDescent="0.25">
      <c r="A40" s="14" t="s">
        <v>42</v>
      </c>
      <c r="B40" s="15">
        <f>B38+B34+B27</f>
        <v>2.1962145054685593</v>
      </c>
      <c r="C40" s="11" t="s">
        <v>29</v>
      </c>
      <c r="D40" s="11" t="s">
        <v>48</v>
      </c>
    </row>
    <row r="41" spans="1:4" ht="15.75" x14ac:dyDescent="0.25">
      <c r="D41" s="11"/>
    </row>
    <row r="42" spans="1:4" ht="15.75" x14ac:dyDescent="0.25">
      <c r="A42" t="s">
        <v>43</v>
      </c>
      <c r="B42" s="5">
        <f>-B37*(1-B2/B22)</f>
        <v>-1077.60938815278</v>
      </c>
      <c r="C42" t="s">
        <v>27</v>
      </c>
      <c r="D42" s="11"/>
    </row>
    <row r="43" spans="1:4" ht="15.75" x14ac:dyDescent="0.25">
      <c r="A43" s="14" t="s">
        <v>44</v>
      </c>
      <c r="B43" s="12">
        <f>B28+B35+B42</f>
        <v>-658.86435164056775</v>
      </c>
      <c r="C43" s="11" t="s">
        <v>27</v>
      </c>
      <c r="D43" s="11" t="s">
        <v>47</v>
      </c>
    </row>
    <row r="44" spans="1:4" ht="15.75" x14ac:dyDescent="0.25">
      <c r="A44" s="14" t="s">
        <v>45</v>
      </c>
      <c r="B44" s="16">
        <f>(B28+B35)/ABS(B42)</f>
        <v>0.388587034519083</v>
      </c>
      <c r="C44" s="11"/>
      <c r="D44" s="1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AGREST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</dc:creator>
  <cp:lastModifiedBy>Pablo</cp:lastModifiedBy>
  <dcterms:created xsi:type="dcterms:W3CDTF">2020-07-25T15:32:33Z</dcterms:created>
  <dcterms:modified xsi:type="dcterms:W3CDTF">2020-07-25T16:01:24Z</dcterms:modified>
</cp:coreProperties>
</file>