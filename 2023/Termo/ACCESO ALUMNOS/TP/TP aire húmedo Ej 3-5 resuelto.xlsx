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ropbox\TERMO\TERMOYMT\ACCESO ALUMNOS\TP\"/>
    </mc:Choice>
  </mc:AlternateContent>
  <bookViews>
    <workbookView xWindow="480" yWindow="45" windowWidth="15315" windowHeight="9015"/>
  </bookViews>
  <sheets>
    <sheet name="Hoja1" sheetId="1" r:id="rId1"/>
    <sheet name="Hoja2" sheetId="2" r:id="rId2"/>
    <sheet name="Hoja3" sheetId="3" r:id="rId3"/>
  </sheets>
  <externalReferences>
    <externalReference r:id="rId4"/>
  </externalReferences>
  <calcPr calcId="162913"/>
</workbook>
</file>

<file path=xl/calcChain.xml><?xml version="1.0" encoding="utf-8"?>
<calcChain xmlns="http://schemas.openxmlformats.org/spreadsheetml/2006/main">
  <c r="B24" i="1" l="1"/>
  <c r="D21" i="1" l="1"/>
  <c r="H22" i="1"/>
  <c r="D22" i="1"/>
  <c r="H21" i="1"/>
  <c r="F22" i="1"/>
  <c r="F21" i="1"/>
  <c r="F23" i="1"/>
  <c r="B29" i="1"/>
  <c r="B3" i="1"/>
  <c r="B15" i="1"/>
  <c r="F24" i="1"/>
  <c r="B27" i="1"/>
  <c r="B30" i="1" s="1"/>
  <c r="B32" i="1" s="1"/>
  <c r="B8" i="1"/>
  <c r="B5" i="1"/>
  <c r="B16" i="1"/>
  <c r="B17" i="1" l="1"/>
  <c r="B9" i="1"/>
  <c r="B10" i="1" l="1"/>
  <c r="B13" i="1"/>
  <c r="B19" i="1" l="1"/>
  <c r="B14" i="1"/>
  <c r="B18" i="1" s="1"/>
</calcChain>
</file>

<file path=xl/sharedStrings.xml><?xml version="1.0" encoding="utf-8"?>
<sst xmlns="http://schemas.openxmlformats.org/spreadsheetml/2006/main" count="57" uniqueCount="45">
  <si>
    <t>p2</t>
  </si>
  <si>
    <t>pv2</t>
  </si>
  <si>
    <t>t3</t>
  </si>
  <si>
    <t>ºC</t>
  </si>
  <si>
    <t>pv3</t>
  </si>
  <si>
    <t>bar</t>
  </si>
  <si>
    <t>x3</t>
  </si>
  <si>
    <t>kg agua / kg aire seco</t>
  </si>
  <si>
    <t>mw</t>
  </si>
  <si>
    <t>p4</t>
  </si>
  <si>
    <t>x4</t>
  </si>
  <si>
    <t>xs4</t>
  </si>
  <si>
    <t>t4</t>
  </si>
  <si>
    <t>ps4</t>
  </si>
  <si>
    <t>pv4</t>
  </si>
  <si>
    <t>ψ4</t>
  </si>
  <si>
    <t>φ4</t>
  </si>
  <si>
    <t>Humedad relativa</t>
  </si>
  <si>
    <t>Grado de saturación</t>
  </si>
  <si>
    <t>ºC (De tabla para pv2)</t>
  </si>
  <si>
    <t>bar (De tabla para t3)</t>
  </si>
  <si>
    <t>: Dato</t>
  </si>
  <si>
    <t>: Resultado</t>
  </si>
  <si>
    <t>t rocío</t>
  </si>
  <si>
    <t>bar (De tabla para t4)</t>
  </si>
  <si>
    <t>h1</t>
  </si>
  <si>
    <t>h2</t>
  </si>
  <si>
    <t>cpa</t>
  </si>
  <si>
    <t>cpv</t>
  </si>
  <si>
    <t>r0</t>
  </si>
  <si>
    <t>t1</t>
  </si>
  <si>
    <t>t2</t>
  </si>
  <si>
    <t>k</t>
  </si>
  <si>
    <t>kJ/kg a.s.</t>
  </si>
  <si>
    <t>p1</t>
  </si>
  <si>
    <t>ga</t>
  </si>
  <si>
    <t>gv</t>
  </si>
  <si>
    <t>cpm</t>
  </si>
  <si>
    <t>cvm</t>
  </si>
  <si>
    <t>cva</t>
  </si>
  <si>
    <t>cvv</t>
  </si>
  <si>
    <t>Ra</t>
  </si>
  <si>
    <t>Rv</t>
  </si>
  <si>
    <t>Wc</t>
  </si>
  <si>
    <t>x1=x2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</si>
</sst>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0000"/>
    <numFmt numFmtId="165" formatCode="0.0000"/>
    <numFmt numFmtId="166" formatCode="0.000"/>
    <numFmt numFmtId="167" formatCode="0.0"/>
    <numFmt numFmtId="168" formatCode="0.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C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164" fontId="0" fillId="0" borderId="0" xfId="0" applyNumberFormat="1"/>
    <xf numFmtId="165" fontId="0" fillId="0" borderId="0" xfId="0" applyNumberFormat="1"/>
    <xf numFmtId="167" fontId="2" fillId="2" borderId="0" xfId="0" applyNumberFormat="1" applyFont="1" applyFill="1"/>
    <xf numFmtId="0" fontId="2" fillId="2" borderId="0" xfId="0" applyFont="1" applyFill="1"/>
    <xf numFmtId="165" fontId="2" fillId="2" borderId="0" xfId="0" applyNumberFormat="1" applyFont="1" applyFill="1"/>
    <xf numFmtId="0" fontId="3" fillId="0" borderId="0" xfId="0" applyFont="1"/>
    <xf numFmtId="168" fontId="2" fillId="2" borderId="0" xfId="1" applyNumberFormat="1" applyFont="1" applyFill="1"/>
    <xf numFmtId="0" fontId="0" fillId="3" borderId="0" xfId="0" applyFill="1"/>
    <xf numFmtId="0" fontId="0" fillId="2" borderId="0" xfId="0" applyFill="1"/>
    <xf numFmtId="166" fontId="0" fillId="0" borderId="0" xfId="0" applyNumberFormat="1"/>
    <xf numFmtId="167" fontId="0" fillId="0" borderId="0" xfId="0" applyNumberFormat="1"/>
    <xf numFmtId="0" fontId="0" fillId="0" borderId="0" xfId="0" applyAlignment="1">
      <alignment horizontal="right"/>
    </xf>
    <xf numFmtId="165" fontId="0" fillId="3" borderId="0" xfId="0" applyNumberFormat="1" applyFill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ablo\AppData\Roaming\Microsoft\AddIns\Steam_fns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perties"/>
      <sheetName val="Functions"/>
    </sheetNames>
    <definedNames>
      <definedName name="psat_t"/>
      <definedName name="Tsat_p"/>
    </defined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tabSelected="1" workbookViewId="0">
      <selection activeCell="B26" sqref="B26"/>
    </sheetView>
  </sheetViews>
  <sheetFormatPr baseColWidth="10" defaultRowHeight="15" x14ac:dyDescent="0.25"/>
  <cols>
    <col min="3" max="3" width="19.7109375" bestFit="1" customWidth="1"/>
  </cols>
  <sheetData>
    <row r="1" spans="1:6" x14ac:dyDescent="0.25">
      <c r="A1" t="s">
        <v>44</v>
      </c>
      <c r="B1" s="8">
        <v>1.4E-2</v>
      </c>
      <c r="C1" t="s">
        <v>7</v>
      </c>
      <c r="E1" s="8"/>
      <c r="F1" t="s">
        <v>21</v>
      </c>
    </row>
    <row r="2" spans="1:6" x14ac:dyDescent="0.25">
      <c r="A2" t="s">
        <v>0</v>
      </c>
      <c r="B2" s="8">
        <v>5</v>
      </c>
      <c r="C2" t="s">
        <v>5</v>
      </c>
      <c r="E2" s="9"/>
      <c r="F2" t="s">
        <v>22</v>
      </c>
    </row>
    <row r="3" spans="1:6" x14ac:dyDescent="0.25">
      <c r="A3" t="s">
        <v>1</v>
      </c>
      <c r="B3" s="2">
        <f>B1*B2/(0.622+B1)</f>
        <v>0.11006289308176101</v>
      </c>
      <c r="C3" t="s">
        <v>5</v>
      </c>
    </row>
    <row r="5" spans="1:6" x14ac:dyDescent="0.25">
      <c r="A5" t="s">
        <v>23</v>
      </c>
      <c r="B5" s="3">
        <f>[1]!Tsat_p(B3)</f>
        <v>47.695611111695769</v>
      </c>
      <c r="C5" s="4" t="s">
        <v>19</v>
      </c>
    </row>
    <row r="7" spans="1:6" x14ac:dyDescent="0.25">
      <c r="A7" t="s">
        <v>2</v>
      </c>
      <c r="B7" s="8">
        <v>35</v>
      </c>
      <c r="C7" t="s">
        <v>3</v>
      </c>
    </row>
    <row r="8" spans="1:6" x14ac:dyDescent="0.25">
      <c r="A8" t="s">
        <v>4</v>
      </c>
      <c r="B8" s="2">
        <f>[1]!psat_t(B7)</f>
        <v>5.628620144121381E-2</v>
      </c>
      <c r="C8" t="s">
        <v>20</v>
      </c>
    </row>
    <row r="9" spans="1:6" x14ac:dyDescent="0.25">
      <c r="A9" t="s">
        <v>6</v>
      </c>
      <c r="B9" s="2">
        <f>0.622*B8/(B2-B8)</f>
        <v>7.0817241294674604E-3</v>
      </c>
      <c r="C9" t="s">
        <v>7</v>
      </c>
    </row>
    <row r="10" spans="1:6" x14ac:dyDescent="0.25">
      <c r="A10" t="s">
        <v>8</v>
      </c>
      <c r="B10" s="5">
        <f>B1-B9</f>
        <v>6.9182758705325399E-3</v>
      </c>
      <c r="C10" s="4" t="s">
        <v>7</v>
      </c>
    </row>
    <row r="12" spans="1:6" x14ac:dyDescent="0.25">
      <c r="A12" t="s">
        <v>9</v>
      </c>
      <c r="B12" s="8">
        <v>2</v>
      </c>
      <c r="C12" t="s">
        <v>5</v>
      </c>
    </row>
    <row r="13" spans="1:6" x14ac:dyDescent="0.25">
      <c r="A13" t="s">
        <v>10</v>
      </c>
      <c r="B13" s="2">
        <f>B9</f>
        <v>7.0817241294674604E-3</v>
      </c>
      <c r="C13" t="s">
        <v>7</v>
      </c>
    </row>
    <row r="14" spans="1:6" x14ac:dyDescent="0.25">
      <c r="A14" t="s">
        <v>14</v>
      </c>
      <c r="B14" s="2">
        <f>B13*B12/(0.622+B13)</f>
        <v>2.2514480576485522E-2</v>
      </c>
    </row>
    <row r="15" spans="1:6" x14ac:dyDescent="0.25">
      <c r="A15" t="s">
        <v>12</v>
      </c>
      <c r="B15">
        <f>B7</f>
        <v>35</v>
      </c>
      <c r="C15" t="s">
        <v>3</v>
      </c>
    </row>
    <row r="16" spans="1:6" x14ac:dyDescent="0.25">
      <c r="A16" t="s">
        <v>13</v>
      </c>
      <c r="B16" s="2">
        <f>[1]!psat_t(B15)</f>
        <v>5.628620144121381E-2</v>
      </c>
      <c r="C16" t="s">
        <v>24</v>
      </c>
    </row>
    <row r="17" spans="1:8" x14ac:dyDescent="0.25">
      <c r="A17" t="s">
        <v>11</v>
      </c>
      <c r="B17" s="1">
        <f>0.622*B16/(B12-B16)</f>
        <v>1.8011919924833593E-2</v>
      </c>
      <c r="C17" t="s">
        <v>7</v>
      </c>
    </row>
    <row r="18" spans="1:8" x14ac:dyDescent="0.25">
      <c r="A18" s="6" t="s">
        <v>16</v>
      </c>
      <c r="B18" s="7">
        <f>B14/B16</f>
        <v>0.39999999999999997</v>
      </c>
      <c r="C18" s="4" t="s">
        <v>17</v>
      </c>
    </row>
    <row r="19" spans="1:8" x14ac:dyDescent="0.25">
      <c r="A19" s="6" t="s">
        <v>15</v>
      </c>
      <c r="B19" s="7">
        <f>B13/B17</f>
        <v>0.39316875485903463</v>
      </c>
      <c r="C19" s="4" t="s">
        <v>18</v>
      </c>
    </row>
    <row r="21" spans="1:8" x14ac:dyDescent="0.25">
      <c r="A21" t="s">
        <v>27</v>
      </c>
      <c r="B21" s="8">
        <v>1.0049999999999999</v>
      </c>
      <c r="C21" s="12" t="s">
        <v>39</v>
      </c>
      <c r="D21" s="10">
        <f>+B21-H21</f>
        <v>0.71801346220227802</v>
      </c>
      <c r="E21" s="12" t="s">
        <v>35</v>
      </c>
      <c r="F21">
        <f>1-F22</f>
        <v>0.98619329388560162</v>
      </c>
      <c r="G21" s="12" t="s">
        <v>41</v>
      </c>
      <c r="H21" s="13">
        <f>8.314/28.97</f>
        <v>0.28698653779772182</v>
      </c>
    </row>
    <row r="22" spans="1:8" x14ac:dyDescent="0.25">
      <c r="A22" t="s">
        <v>28</v>
      </c>
      <c r="B22" s="8">
        <v>1.8640000000000001</v>
      </c>
      <c r="C22" s="12" t="s">
        <v>40</v>
      </c>
      <c r="D22" s="10">
        <f>+B22-H22</f>
        <v>1.4021111111111111</v>
      </c>
      <c r="E22" s="12" t="s">
        <v>36</v>
      </c>
      <c r="F22">
        <f>B1/(1+B1)</f>
        <v>1.3806706114398421E-2</v>
      </c>
      <c r="G22" s="12" t="s">
        <v>42</v>
      </c>
      <c r="H22" s="13">
        <f>8.314/18</f>
        <v>0.4618888888888889</v>
      </c>
    </row>
    <row r="23" spans="1:8" x14ac:dyDescent="0.25">
      <c r="A23" t="s">
        <v>29</v>
      </c>
      <c r="B23" s="8">
        <v>2501</v>
      </c>
      <c r="E23" s="12" t="s">
        <v>37</v>
      </c>
      <c r="F23">
        <f>F21*B21+F22*B22</f>
        <v>1.0168599605522681</v>
      </c>
      <c r="G23" s="12"/>
    </row>
    <row r="24" spans="1:8" x14ac:dyDescent="0.25">
      <c r="A24" t="s">
        <v>32</v>
      </c>
      <c r="B24" s="10">
        <f>F23/F24</f>
        <v>1.397825201591627</v>
      </c>
      <c r="E24" s="12" t="s">
        <v>38</v>
      </c>
      <c r="F24">
        <f>F21*D21+F22*D22</f>
        <v>0.72745859739431318</v>
      </c>
    </row>
    <row r="25" spans="1:8" x14ac:dyDescent="0.25">
      <c r="A25" t="s">
        <v>34</v>
      </c>
      <c r="B25" s="8">
        <v>1</v>
      </c>
      <c r="C25" t="s">
        <v>5</v>
      </c>
      <c r="E25" s="12"/>
    </row>
    <row r="26" spans="1:8" x14ac:dyDescent="0.25">
      <c r="A26" t="s">
        <v>30</v>
      </c>
      <c r="B26" s="8">
        <v>15</v>
      </c>
      <c r="C26" t="s">
        <v>3</v>
      </c>
    </row>
    <row r="27" spans="1:8" x14ac:dyDescent="0.25">
      <c r="A27" t="s">
        <v>31</v>
      </c>
      <c r="B27" s="11">
        <f>(B26+273)*(B25/B2)^((1-B24)/B24)-273</f>
        <v>182.32492609480903</v>
      </c>
      <c r="C27" t="s">
        <v>3</v>
      </c>
    </row>
    <row r="29" spans="1:8" x14ac:dyDescent="0.25">
      <c r="A29" t="s">
        <v>25</v>
      </c>
      <c r="B29" s="11">
        <f>$B$21*B26+$B$1*($B$23+$B$22*B26)</f>
        <v>50.480440000000002</v>
      </c>
      <c r="C29" t="s">
        <v>33</v>
      </c>
    </row>
    <row r="30" spans="1:8" x14ac:dyDescent="0.25">
      <c r="A30" t="s">
        <v>26</v>
      </c>
      <c r="B30" s="11">
        <f>$B$21*B27+$B$1*($B$23+$B$22*B27)</f>
        <v>223.00850199665319</v>
      </c>
      <c r="C30" t="s">
        <v>33</v>
      </c>
    </row>
    <row r="31" spans="1:8" x14ac:dyDescent="0.25">
      <c r="D31" s="11"/>
    </row>
    <row r="32" spans="1:8" x14ac:dyDescent="0.25">
      <c r="A32" t="s">
        <v>43</v>
      </c>
      <c r="B32" s="3">
        <f>B29-B30</f>
        <v>-172.52806199665321</v>
      </c>
      <c r="C32" s="4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AGREST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Sobral</dc:creator>
  <cp:lastModifiedBy>Pablo</cp:lastModifiedBy>
  <dcterms:created xsi:type="dcterms:W3CDTF">2013-11-18T11:45:48Z</dcterms:created>
  <dcterms:modified xsi:type="dcterms:W3CDTF">2020-06-02T21:42:33Z</dcterms:modified>
</cp:coreProperties>
</file>