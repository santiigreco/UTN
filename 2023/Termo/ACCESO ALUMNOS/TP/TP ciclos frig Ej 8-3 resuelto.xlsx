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ropbox\TERMO\TERMOYMT\ACCESO ALUMNOS\TP\"/>
    </mc:Choice>
  </mc:AlternateContent>
  <bookViews>
    <workbookView xWindow="0" yWindow="0" windowWidth="21120" windowHeight="7095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13" i="1"/>
  <c r="C9" i="1"/>
  <c r="D2" i="1"/>
  <c r="F6" i="1"/>
  <c r="E6" i="1"/>
  <c r="B5" i="1"/>
  <c r="E2" i="1"/>
  <c r="B10" i="1" l="1"/>
  <c r="B7" i="1"/>
  <c r="B8" i="1"/>
  <c r="B6" i="1"/>
  <c r="E7" i="1"/>
  <c r="C10" i="1"/>
  <c r="E10" i="1"/>
  <c r="F10" i="1"/>
  <c r="C8" i="1"/>
  <c r="C7" i="1"/>
  <c r="G7" i="1"/>
  <c r="F2" i="1"/>
  <c r="B2" i="1"/>
  <c r="F7" i="1"/>
  <c r="F8" i="1"/>
  <c r="E8" i="1"/>
  <c r="E9" i="1" l="1"/>
  <c r="B14" i="1" s="1"/>
  <c r="B15" i="1" s="1"/>
  <c r="B9" i="1"/>
  <c r="F3" i="1"/>
  <c r="G9" i="1"/>
  <c r="F9" i="1" s="1"/>
  <c r="C3" i="1"/>
  <c r="E3" i="1"/>
  <c r="B16" i="1" l="1"/>
  <c r="B19" i="1" s="1"/>
  <c r="B17" i="1"/>
  <c r="B18" i="1" s="1"/>
  <c r="E4" i="1"/>
  <c r="D4" i="1"/>
  <c r="F4" i="1"/>
  <c r="C4" i="1"/>
  <c r="B20" i="1" l="1"/>
  <c r="F5" i="1"/>
  <c r="E5" i="1"/>
  <c r="C5" i="1"/>
  <c r="B22" i="1" l="1"/>
  <c r="B21" i="1"/>
  <c r="B23" i="1" s="1"/>
</calcChain>
</file>

<file path=xl/sharedStrings.xml><?xml version="1.0" encoding="utf-8"?>
<sst xmlns="http://schemas.openxmlformats.org/spreadsheetml/2006/main" count="35" uniqueCount="29">
  <si>
    <t>Q2</t>
  </si>
  <si>
    <t>tonR</t>
  </si>
  <si>
    <t>kW</t>
  </si>
  <si>
    <t>q2</t>
  </si>
  <si>
    <t>kJ/kg (evap)</t>
  </si>
  <si>
    <t>mevap</t>
  </si>
  <si>
    <t>kg/s</t>
  </si>
  <si>
    <t>kg/h</t>
  </si>
  <si>
    <t>mcond</t>
  </si>
  <si>
    <t>p [kPa]</t>
  </si>
  <si>
    <t>t [ºC]</t>
  </si>
  <si>
    <t>v [m³/kg]</t>
  </si>
  <si>
    <t>h [kJ/kg]</t>
  </si>
  <si>
    <t>s [kJ/kgK]</t>
  </si>
  <si>
    <t>x [%]</t>
  </si>
  <si>
    <t>V1</t>
  </si>
  <si>
    <t>m³/h</t>
  </si>
  <si>
    <t>V3</t>
  </si>
  <si>
    <t>Wc</t>
  </si>
  <si>
    <t>Qcond</t>
  </si>
  <si>
    <t>kJ/h</t>
  </si>
  <si>
    <t>εf</t>
  </si>
  <si>
    <t>tcond [ºC]</t>
  </si>
  <si>
    <t>c)</t>
  </si>
  <si>
    <t>d)</t>
  </si>
  <si>
    <t>e)</t>
  </si>
  <si>
    <t>f)</t>
  </si>
  <si>
    <t>g)</t>
  </si>
  <si>
    <t>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</si>
</sst>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7" formatCode="0.0%"/>
    <numFmt numFmtId="168" formatCode="0.00000"/>
    <numFmt numFmtId="169" formatCode="0.0000"/>
    <numFmt numFmtId="170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2" borderId="0" xfId="0" applyFill="1"/>
    <xf numFmtId="170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2" fontId="2" fillId="2" borderId="1" xfId="0" applyNumberFormat="1" applyFont="1" applyFill="1" applyBorder="1"/>
    <xf numFmtId="168" fontId="2" fillId="0" borderId="1" xfId="0" applyNumberFormat="1" applyFont="1" applyFill="1" applyBorder="1"/>
    <xf numFmtId="2" fontId="0" fillId="0" borderId="1" xfId="0" applyNumberFormat="1" applyBorder="1"/>
    <xf numFmtId="169" fontId="0" fillId="0" borderId="1" xfId="0" applyNumberFormat="1" applyBorder="1"/>
    <xf numFmtId="167" fontId="0" fillId="0" borderId="1" xfId="0" applyNumberFormat="1" applyBorder="1"/>
    <xf numFmtId="164" fontId="2" fillId="2" borderId="1" xfId="0" applyNumberFormat="1" applyFont="1" applyFill="1" applyBorder="1"/>
    <xf numFmtId="168" fontId="0" fillId="0" borderId="1" xfId="0" applyNumberFormat="1" applyBorder="1"/>
    <xf numFmtId="0" fontId="0" fillId="0" borderId="1" xfId="0" applyNumberFormat="1" applyBorder="1"/>
    <xf numFmtId="2" fontId="0" fillId="2" borderId="1" xfId="0" applyNumberFormat="1" applyFill="1" applyBorder="1"/>
    <xf numFmtId="2" fontId="0" fillId="0" borderId="1" xfId="0" applyNumberFormat="1" applyFill="1" applyBorder="1"/>
    <xf numFmtId="167" fontId="0" fillId="0" borderId="1" xfId="1" applyNumberFormat="1" applyFont="1" applyBorder="1"/>
    <xf numFmtId="167" fontId="0" fillId="2" borderId="1" xfId="0" applyNumberFormat="1" applyFill="1" applyBorder="1"/>
    <xf numFmtId="0" fontId="0" fillId="0" borderId="2" xfId="0" applyBorder="1"/>
    <xf numFmtId="0" fontId="0" fillId="2" borderId="3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blo\AppData\Roaming\Microsoft\AddIns\ThermoTable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History"/>
      <sheetName val="List of Current Functions"/>
    </sheetNames>
    <definedNames>
      <definedName name="h_ps_R22"/>
      <definedName name="hL_T_R22"/>
      <definedName name="hV_p_R22"/>
      <definedName name="hV_T_R22"/>
      <definedName name="psat_T_R22"/>
      <definedName name="s_ph_R22"/>
      <definedName name="s_px_R22"/>
      <definedName name="s_Tx_R22"/>
      <definedName name="sL_T_R22"/>
      <definedName name="sV_p_R22"/>
      <definedName name="sV_T_R22"/>
      <definedName name="T_ph_R22"/>
      <definedName name="T_ps_R22"/>
      <definedName name="Tsat_p_R22"/>
      <definedName name="v_ph_R22"/>
      <definedName name="vV_T_R22"/>
      <definedName name="x_ph_R22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J23"/>
  <sheetViews>
    <sheetView tabSelected="1" workbookViewId="0">
      <selection activeCell="A24" sqref="A24"/>
    </sheetView>
  </sheetViews>
  <sheetFormatPr baseColWidth="10" defaultRowHeight="15" x14ac:dyDescent="0.25"/>
  <cols>
    <col min="1" max="1" width="7" bestFit="1" customWidth="1"/>
    <col min="2" max="2" width="9.28515625" bestFit="1" customWidth="1"/>
    <col min="3" max="3" width="11.7109375" bestFit="1" customWidth="1"/>
    <col min="4" max="4" width="9.140625" bestFit="1" customWidth="1"/>
    <col min="5" max="5" width="8.5703125" bestFit="1" customWidth="1"/>
    <col min="6" max="6" width="9.42578125" bestFit="1" customWidth="1"/>
    <col min="7" max="7" width="7.140625" bestFit="1" customWidth="1"/>
    <col min="8" max="8" width="2.42578125" customWidth="1"/>
    <col min="9" max="9" width="9.85546875" bestFit="1" customWidth="1"/>
    <col min="10" max="10" width="3" bestFit="1" customWidth="1"/>
  </cols>
  <sheetData>
    <row r="1" spans="1:10" x14ac:dyDescent="0.25">
      <c r="A1" s="7"/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I1" s="22" t="s">
        <v>22</v>
      </c>
      <c r="J1" s="23">
        <v>40</v>
      </c>
    </row>
    <row r="2" spans="1:10" x14ac:dyDescent="0.25">
      <c r="A2" s="7">
        <v>1</v>
      </c>
      <c r="B2" s="9">
        <f>[1]!psat_T_R22(C2)</f>
        <v>354.87596710664275</v>
      </c>
      <c r="C2" s="10">
        <v>-10</v>
      </c>
      <c r="D2" s="11">
        <f>[1]!vV_T_R22(C2)</f>
        <v>6.5258760777153618E-2</v>
      </c>
      <c r="E2" s="12">
        <f>[1]!hV_T_R22(C2)</f>
        <v>401.10640867094344</v>
      </c>
      <c r="F2" s="13">
        <f>[1]!sV_T_R22(C2)</f>
        <v>1.7654373362631308</v>
      </c>
      <c r="G2" s="14"/>
    </row>
    <row r="3" spans="1:10" x14ac:dyDescent="0.25">
      <c r="A3" s="7">
        <v>2</v>
      </c>
      <c r="B3" s="15">
        <v>423.3</v>
      </c>
      <c r="C3" s="12">
        <f>[1]!T_ps_R22(B3,F3)</f>
        <v>-1.9824940256774273</v>
      </c>
      <c r="D3" s="16"/>
      <c r="E3" s="12">
        <f>[1]!h_ps_R22(B3,F3)</f>
        <v>405.24297504547576</v>
      </c>
      <c r="F3" s="13">
        <f>F2</f>
        <v>1.7654373362631308</v>
      </c>
      <c r="G3" s="14"/>
    </row>
    <row r="4" spans="1:10" x14ac:dyDescent="0.25">
      <c r="A4" s="17">
        <v>3</v>
      </c>
      <c r="B4" s="9">
        <f>$B$3</f>
        <v>423.3</v>
      </c>
      <c r="C4" s="12">
        <f>[1]!T_ph_R22(B4,E4)</f>
        <v>-2.6684046536147843</v>
      </c>
      <c r="D4" s="16">
        <f>[1]!v_ph_R22(B4,E4)</f>
        <v>5.573645770013172E-2</v>
      </c>
      <c r="E4" s="12">
        <f>E10*G7+E3*(1-G7)</f>
        <v>404.74647370744219</v>
      </c>
      <c r="F4" s="13">
        <f>[1]!s_ph_R22(B4,E4)</f>
        <v>1.7635876456852859</v>
      </c>
      <c r="G4" s="14"/>
    </row>
    <row r="5" spans="1:10" x14ac:dyDescent="0.25">
      <c r="A5" s="17">
        <v>4</v>
      </c>
      <c r="B5" s="9">
        <f>[1]!psat_T_R22(J1)</f>
        <v>1533.5211954702656</v>
      </c>
      <c r="C5" s="12">
        <f>[1]!T_ps_R22(B5,F5)</f>
        <v>62.837468679779583</v>
      </c>
      <c r="D5" s="12"/>
      <c r="E5" s="12">
        <f>[1]!h_ps_R22(B5,F5)</f>
        <v>437.36289883209446</v>
      </c>
      <c r="F5" s="13">
        <f>F4</f>
        <v>1.7635876456852859</v>
      </c>
      <c r="G5" s="14"/>
    </row>
    <row r="6" spans="1:10" x14ac:dyDescent="0.25">
      <c r="A6" s="17">
        <v>5</v>
      </c>
      <c r="B6" s="9">
        <f>B5</f>
        <v>1533.5211954702656</v>
      </c>
      <c r="C6" s="18">
        <v>35</v>
      </c>
      <c r="D6" s="19"/>
      <c r="E6" s="12">
        <f>[1]!hL_T_R22(C6)</f>
        <v>243.21129681930336</v>
      </c>
      <c r="F6" s="13">
        <f>[1]!sL_T_R22(C6)</f>
        <v>1.1462787793425839</v>
      </c>
      <c r="G6" s="14"/>
    </row>
    <row r="7" spans="1:10" x14ac:dyDescent="0.25">
      <c r="A7" s="17">
        <v>6</v>
      </c>
      <c r="B7" s="9">
        <f>$B$3</f>
        <v>423.3</v>
      </c>
      <c r="C7" s="12">
        <f>[1]!Tsat_p_R22(B7)</f>
        <v>-4.9059875488281097</v>
      </c>
      <c r="D7" s="12"/>
      <c r="E7" s="12">
        <f>E6</f>
        <v>243.21129681930336</v>
      </c>
      <c r="F7" s="13">
        <f>[1]!s_px_R22(B7,G7)</f>
        <v>1.1614512400623731</v>
      </c>
      <c r="G7" s="20">
        <f>[1]!x_ph_R22(B7,E7)</f>
        <v>0.23442705772420194</v>
      </c>
    </row>
    <row r="8" spans="1:10" x14ac:dyDescent="0.25">
      <c r="A8" s="17">
        <v>7</v>
      </c>
      <c r="B8" s="9">
        <f>$B$3</f>
        <v>423.3</v>
      </c>
      <c r="C8" s="12">
        <f>[1]!Tsat_p_R22(B8)</f>
        <v>-4.9059875488281097</v>
      </c>
      <c r="D8" s="12"/>
      <c r="E8" s="12">
        <f>[1]!hL_T_R22(C8)</f>
        <v>194.24390759156657</v>
      </c>
      <c r="F8" s="13">
        <f>[1]!sL_T_R22(C8)</f>
        <v>0.97889631489120876</v>
      </c>
      <c r="G8" s="21">
        <v>0</v>
      </c>
    </row>
    <row r="9" spans="1:10" x14ac:dyDescent="0.25">
      <c r="A9" s="17">
        <v>8</v>
      </c>
      <c r="B9" s="9">
        <f>B2</f>
        <v>354.87596710664275</v>
      </c>
      <c r="C9" s="12">
        <f>C2</f>
        <v>-10</v>
      </c>
      <c r="D9" s="12"/>
      <c r="E9" s="12">
        <f>E8</f>
        <v>194.24390759156657</v>
      </c>
      <c r="F9" s="13">
        <f>[1]!s_Tx_R22(C9,G9)</f>
        <v>0.97931015332577587</v>
      </c>
      <c r="G9" s="14">
        <f>[1]!x_ph_R22(B9,E9)</f>
        <v>2.7794446044312162E-2</v>
      </c>
    </row>
    <row r="10" spans="1:10" x14ac:dyDescent="0.25">
      <c r="A10" s="17">
        <v>9</v>
      </c>
      <c r="B10" s="9">
        <f>$B$3</f>
        <v>423.3</v>
      </c>
      <c r="C10" s="12">
        <f>[1]!Tsat_p_R22(B10)</f>
        <v>-4.9059875488281097</v>
      </c>
      <c r="D10" s="12"/>
      <c r="E10" s="12">
        <f>[1]!hV_p_R22(B10)</f>
        <v>403.12503975740128</v>
      </c>
      <c r="F10" s="13">
        <f>[1]!sV_p_R22(B10)</f>
        <v>1.7576243633656128</v>
      </c>
      <c r="G10" s="21">
        <v>1</v>
      </c>
    </row>
    <row r="12" spans="1:10" x14ac:dyDescent="0.25">
      <c r="A12" s="5" t="s">
        <v>0</v>
      </c>
      <c r="B12" s="2">
        <v>10</v>
      </c>
      <c r="C12" t="s">
        <v>1</v>
      </c>
    </row>
    <row r="13" spans="1:10" x14ac:dyDescent="0.25">
      <c r="A13" s="5"/>
      <c r="B13" s="1">
        <f>B12*3024*4.1868/3600</f>
        <v>35.169119999999999</v>
      </c>
      <c r="C13" t="s">
        <v>2</v>
      </c>
    </row>
    <row r="14" spans="1:10" x14ac:dyDescent="0.25">
      <c r="A14" t="s">
        <v>3</v>
      </c>
      <c r="B14" s="4">
        <f>E2-E9</f>
        <v>206.86250107937687</v>
      </c>
      <c r="C14" t="s">
        <v>4</v>
      </c>
      <c r="D14" t="s">
        <v>23</v>
      </c>
    </row>
    <row r="15" spans="1:10" x14ac:dyDescent="0.25">
      <c r="A15" s="5" t="s">
        <v>5</v>
      </c>
      <c r="B15" s="3">
        <f>B13/B14</f>
        <v>0.17001206026463431</v>
      </c>
      <c r="C15" t="s">
        <v>6</v>
      </c>
    </row>
    <row r="16" spans="1:10" x14ac:dyDescent="0.25">
      <c r="A16" s="5"/>
      <c r="B16" s="1">
        <f>B15*3600</f>
        <v>612.04341695268351</v>
      </c>
      <c r="C16" t="s">
        <v>7</v>
      </c>
      <c r="D16" t="s">
        <v>24</v>
      </c>
    </row>
    <row r="17" spans="1:4" x14ac:dyDescent="0.25">
      <c r="A17" s="5" t="s">
        <v>8</v>
      </c>
      <c r="B17" s="3">
        <f>B15/(1-G7)</f>
        <v>0.22207166799710035</v>
      </c>
      <c r="C17" t="s">
        <v>6</v>
      </c>
    </row>
    <row r="18" spans="1:4" x14ac:dyDescent="0.25">
      <c r="A18" s="5"/>
      <c r="B18" s="1">
        <f>B17*3600</f>
        <v>799.4580047895613</v>
      </c>
      <c r="C18" t="s">
        <v>7</v>
      </c>
      <c r="D18" t="s">
        <v>24</v>
      </c>
    </row>
    <row r="19" spans="1:4" x14ac:dyDescent="0.25">
      <c r="A19" t="s">
        <v>15</v>
      </c>
      <c r="B19" s="4">
        <f>D2*B16</f>
        <v>39.941194932146864</v>
      </c>
      <c r="C19" t="s">
        <v>16</v>
      </c>
      <c r="D19" t="s">
        <v>25</v>
      </c>
    </row>
    <row r="20" spans="1:4" x14ac:dyDescent="0.25">
      <c r="A20" t="s">
        <v>17</v>
      </c>
      <c r="B20" s="4">
        <f>D4*B18</f>
        <v>44.558957266985082</v>
      </c>
      <c r="C20" t="s">
        <v>16</v>
      </c>
      <c r="D20" t="s">
        <v>25</v>
      </c>
    </row>
    <row r="21" spans="1:4" x14ac:dyDescent="0.25">
      <c r="A21" t="s">
        <v>18</v>
      </c>
      <c r="B21" s="4">
        <f>(E2-E3)*B15+(E4-E5)*B17</f>
        <v>-7.9464501032897097</v>
      </c>
      <c r="C21" t="s">
        <v>2</v>
      </c>
      <c r="D21" t="s">
        <v>26</v>
      </c>
    </row>
    <row r="22" spans="1:4" x14ac:dyDescent="0.25">
      <c r="A22" t="s">
        <v>19</v>
      </c>
      <c r="B22" s="1">
        <f>B18*(E6-E5)</f>
        <v>-155216.05237184296</v>
      </c>
      <c r="C22" t="s">
        <v>20</v>
      </c>
      <c r="D22" t="s">
        <v>27</v>
      </c>
    </row>
    <row r="23" spans="1:4" x14ac:dyDescent="0.25">
      <c r="A23" s="6" t="s">
        <v>21</v>
      </c>
      <c r="B23" s="4">
        <f>B13/ABS(B21)</f>
        <v>4.4257649067022413</v>
      </c>
      <c r="D23" t="s">
        <v>28</v>
      </c>
    </row>
  </sheetData>
  <mergeCells count="3">
    <mergeCell ref="A12:A13"/>
    <mergeCell ref="A15:A16"/>
    <mergeCell ref="A17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AGREST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2020-10-15T21:50:08Z</dcterms:created>
  <dcterms:modified xsi:type="dcterms:W3CDTF">2020-10-15T22:46:13Z</dcterms:modified>
</cp:coreProperties>
</file>