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11355" windowHeight="86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9" i="1"/>
  <c r="B7" i="1"/>
  <c r="B6" i="1"/>
  <c r="B8" i="1" s="1"/>
</calcChain>
</file>

<file path=xl/sharedStrings.xml><?xml version="1.0" encoding="utf-8"?>
<sst xmlns="http://schemas.openxmlformats.org/spreadsheetml/2006/main" count="20" uniqueCount="14">
  <si>
    <t>kg</t>
  </si>
  <si>
    <t>mac</t>
  </si>
  <si>
    <t>mw</t>
  </si>
  <si>
    <t>cac</t>
  </si>
  <si>
    <t>kJ/kgK</t>
  </si>
  <si>
    <t>cw</t>
  </si>
  <si>
    <t>tac</t>
  </si>
  <si>
    <t>tw</t>
  </si>
  <si>
    <t>t_mezc</t>
  </si>
  <si>
    <t>K</t>
  </si>
  <si>
    <t>kJ/K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</si>
  <si>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Sac</t>
    </r>
  </si>
  <si>
    <t>ΔSw</t>
  </si>
  <si>
    <t>ΔSu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</si>
</sst>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8" fontId="0" fillId="0" borderId="0" xfId="0" applyNumberFormat="1"/>
    <xf numFmtId="0" fontId="0" fillId="2" borderId="0" xfId="0" applyFill="1"/>
    <xf numFmtId="0" fontId="1" fillId="0" borderId="1" xfId="0" applyFont="1" applyBorder="1"/>
    <xf numFmtId="2" fontId="1" fillId="0" borderId="2" xfId="0" applyNumberFormat="1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tabSelected="1" workbookViewId="0">
      <selection activeCell="A12" sqref="A12"/>
    </sheetView>
  </sheetViews>
  <sheetFormatPr baseColWidth="10" defaultRowHeight="15" x14ac:dyDescent="0.25"/>
  <sheetData>
    <row r="2" spans="1:3" x14ac:dyDescent="0.25">
      <c r="A2" t="s">
        <v>1</v>
      </c>
      <c r="B2" s="3">
        <v>10</v>
      </c>
      <c r="C2" t="s">
        <v>0</v>
      </c>
    </row>
    <row r="3" spans="1:3" x14ac:dyDescent="0.25">
      <c r="A3" t="s">
        <v>2</v>
      </c>
      <c r="B3" s="3">
        <v>18</v>
      </c>
      <c r="C3" t="s">
        <v>0</v>
      </c>
    </row>
    <row r="4" spans="1:3" x14ac:dyDescent="0.25">
      <c r="A4" t="s">
        <v>3</v>
      </c>
      <c r="B4" s="3">
        <v>0.51290000000000002</v>
      </c>
      <c r="C4" t="s">
        <v>4</v>
      </c>
    </row>
    <row r="5" spans="1:3" x14ac:dyDescent="0.25">
      <c r="A5" t="s">
        <v>5</v>
      </c>
      <c r="B5" s="3">
        <v>4.1859999999999999</v>
      </c>
      <c r="C5" t="s">
        <v>4</v>
      </c>
    </row>
    <row r="6" spans="1:3" x14ac:dyDescent="0.25">
      <c r="A6" t="s">
        <v>6</v>
      </c>
      <c r="B6" s="3">
        <f>500+273</f>
        <v>773</v>
      </c>
      <c r="C6" t="s">
        <v>9</v>
      </c>
    </row>
    <row r="7" spans="1:3" x14ac:dyDescent="0.25">
      <c r="A7" t="s">
        <v>7</v>
      </c>
      <c r="B7" s="3">
        <f>15+273</f>
        <v>288</v>
      </c>
      <c r="C7" t="s">
        <v>9</v>
      </c>
    </row>
    <row r="8" spans="1:3" x14ac:dyDescent="0.25">
      <c r="A8" t="s">
        <v>8</v>
      </c>
      <c r="B8" s="2">
        <f>(B2*B4*B6+B3*B5*B7)/(B2*B4+B3*B5)</f>
        <v>318.9102600743069</v>
      </c>
      <c r="C8" t="s">
        <v>9</v>
      </c>
    </row>
    <row r="9" spans="1:3" x14ac:dyDescent="0.25">
      <c r="A9" t="s">
        <v>11</v>
      </c>
      <c r="B9" s="1">
        <f>B2*B4*LN(B8/B6)</f>
        <v>-4.5410591487318426</v>
      </c>
      <c r="C9" t="s">
        <v>10</v>
      </c>
    </row>
    <row r="10" spans="1:3" x14ac:dyDescent="0.25">
      <c r="A10" t="s">
        <v>12</v>
      </c>
      <c r="B10" s="1">
        <f>B3*B5*LN(B8/B7)</f>
        <v>7.6816733465987941</v>
      </c>
      <c r="C10" t="s">
        <v>10</v>
      </c>
    </row>
    <row r="11" spans="1:3" ht="15.75" x14ac:dyDescent="0.25">
      <c r="A11" s="4" t="s">
        <v>13</v>
      </c>
      <c r="B11" s="5">
        <f>B9+B10</f>
        <v>3.1406141978669515</v>
      </c>
      <c r="C11" s="6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2021-08-04T23:56:36Z</dcterms:created>
  <dcterms:modified xsi:type="dcterms:W3CDTF">2021-08-05T00:01:43Z</dcterms:modified>
</cp:coreProperties>
</file>