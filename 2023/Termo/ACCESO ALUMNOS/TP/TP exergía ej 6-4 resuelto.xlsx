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7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22" i="1" l="1"/>
  <c r="B10" i="1"/>
  <c r="B11" i="1" l="1"/>
  <c r="B12" i="1" s="1"/>
  <c r="B17" i="1" s="1"/>
  <c r="B21" i="1" l="1"/>
  <c r="B23" i="1" s="1"/>
  <c r="B19" i="1"/>
  <c r="B24" i="1" s="1"/>
</calcChain>
</file>

<file path=xl/sharedStrings.xml><?xml version="1.0" encoding="utf-8"?>
<sst xmlns="http://schemas.openxmlformats.org/spreadsheetml/2006/main" count="34" uniqueCount="28">
  <si>
    <t>p1</t>
  </si>
  <si>
    <t>t1</t>
  </si>
  <si>
    <t>K</t>
  </si>
  <si>
    <t>kPa</t>
  </si>
  <si>
    <t>rend exe t</t>
  </si>
  <si>
    <t>W</t>
  </si>
  <si>
    <t>kW</t>
  </si>
  <si>
    <t>p0</t>
  </si>
  <si>
    <t>T0</t>
  </si>
  <si>
    <t>t2</t>
  </si>
  <si>
    <t>w</t>
  </si>
  <si>
    <t>cpa</t>
  </si>
  <si>
    <t>kJ/kgK</t>
  </si>
  <si>
    <t>kJ/kg</t>
  </si>
  <si>
    <t>m</t>
  </si>
  <si>
    <t>kg/s</t>
  </si>
  <si>
    <t>kg/h</t>
  </si>
  <si>
    <t>kJ/h</t>
  </si>
  <si>
    <t>kJ/hK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</si>
  <si>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Ssist</t>
    </r>
  </si>
  <si>
    <t>ΔSm</t>
  </si>
  <si>
    <t>ΔSu</t>
  </si>
  <si>
    <t>ΔExu</t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</si>
  <si>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</si>
  <si>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kJ/hK (no hay intercambio de Q)</t>
  </si>
  <si>
    <t>ΔExs</t>
  </si>
  <si>
    <t>ΔExm</t>
  </si>
  <si>
    <t>ΔExu (verif)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</si>
</sst>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/>
    </xf>
    <xf numFmtId="0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12</xdr:row>
      <xdr:rowOff>76199</xdr:rowOff>
    </xdr:from>
    <xdr:ext cx="4562474" cy="5682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1 CuadroTexto"/>
            <xdr:cNvSpPr txBox="1"/>
          </xdr:nvSpPr>
          <xdr:spPr>
            <a:xfrm>
              <a:off x="1" y="2743199"/>
              <a:ext cx="4562474" cy="568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η</m:t>
                        </m:r>
                      </m:e>
                      <m:sub>
                        <m:r>
                          <a:rPr lang="es-AR" sz="1100" b="0" i="1">
                            <a:latin typeface="Cambria Math"/>
                          </a:rPr>
                          <m:t>𝑒𝑥𝑒</m:t>
                        </m:r>
                        <m:r>
                          <a:rPr lang="es-AR" sz="1100" b="0" i="1">
                            <a:latin typeface="Cambria Math"/>
                          </a:rPr>
                          <m:t>,</m:t>
                        </m:r>
                        <m:r>
                          <a:rPr lang="es-AR" sz="1100" b="0" i="1">
                            <a:latin typeface="Cambria Math"/>
                          </a:rPr>
                          <m:t>𝑡</m:t>
                        </m:r>
                      </m:sub>
                    </m:sSub>
                    <m:r>
                      <a:rPr lang="es-AR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AR" sz="11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/>
                          </a:rPr>
                          <m:t>𝑤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s-AR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lang="es-AR" sz="1100" b="0" i="1">
                                <a:latin typeface="Cambria Math"/>
                                <a:ea typeface="Cambria Math"/>
                              </a:rPr>
                              <m:t>∆</m:t>
                            </m:r>
                            <m:r>
                              <a:rPr lang="es-AR" sz="1100" b="0" i="1">
                                <a:latin typeface="Cambria Math"/>
                                <a:ea typeface="Cambria Math"/>
                              </a:rPr>
                              <m:t>h</m:t>
                            </m:r>
                            <m:r>
                              <a:rPr lang="es-AR" sz="1100" b="0" i="1">
                                <a:latin typeface="Cambria Math"/>
                                <a:ea typeface="Cambria Math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AR" sz="1100" b="0" i="1">
                                    <a:latin typeface="Cambria Math"/>
                                    <a:ea typeface="Cambria Math"/>
                                  </a:rPr>
                                </m:ctrlPr>
                              </m:sSubPr>
                              <m:e>
                                <m:r>
                                  <a:rPr lang="es-AR" sz="1100" b="0" i="1">
                                    <a:latin typeface="Cambria Math"/>
                                    <a:ea typeface="Cambria Math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AR" sz="1100" b="0" i="1">
                                    <a:latin typeface="Cambria Math"/>
                                    <a:ea typeface="Cambria Math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es-AR" sz="1100" b="0" i="1">
                                <a:latin typeface="Cambria Math"/>
                                <a:ea typeface="Cambria Math"/>
                              </a:rPr>
                              <m:t>∙∆</m:t>
                            </m:r>
                            <m:r>
                              <a:rPr lang="es-AR" sz="1100" b="0" i="1">
                                <a:latin typeface="Cambria Math"/>
                                <a:ea typeface="Cambria Math"/>
                              </a:rPr>
                              <m:t>𝑠</m:t>
                            </m:r>
                          </m:e>
                        </m:d>
                      </m:den>
                    </m:f>
                    <m:r>
                      <a:rPr lang="es-AR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A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AR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A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s-A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∆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∙∆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</m:d>
                      </m:den>
                    </m:f>
                    <m:r>
                      <a:rPr lang="es-AR" sz="1100" b="0" i="1">
                        <a:latin typeface="Cambria Math"/>
                      </a:rPr>
                      <m:t>  </m:t>
                    </m:r>
                    <m:groupChr>
                      <m:groupChrPr>
                        <m:chr m:val="⇒"/>
                        <m:pos m:val="top"/>
                        <m:ctrlPr>
                          <a:rPr lang="es-AR" sz="1100" b="0" i="1">
                            <a:latin typeface="Cambria Math"/>
                          </a:rPr>
                        </m:ctrlPr>
                      </m:groupChrPr>
                      <m:e>
                        <m:r>
                          <m:rPr>
                            <m:brk m:alnAt="1"/>
                          </m:rPr>
                          <a:rPr lang="es-AR" sz="1100" b="0" i="1">
                            <a:latin typeface="Cambria Math"/>
                          </a:rPr>
                          <m:t>𝑒𝑛𝑡𝑜𝑛𝑐𝑒𝑠</m:t>
                        </m:r>
                      </m:e>
                    </m:groupChr>
                    <m:r>
                      <a:rPr lang="es-AR" sz="1100" b="0" i="1">
                        <a:latin typeface="Cambria Math"/>
                      </a:rPr>
                      <m:t> </m:t>
                    </m:r>
                    <m:r>
                      <a:rPr lang="es-AR" sz="1100" b="0" i="1">
                        <a:latin typeface="Cambria Math"/>
                        <a:ea typeface="Cambria Math"/>
                      </a:rPr>
                      <m:t>∆</m:t>
                    </m:r>
                    <m:r>
                      <a:rPr lang="es-AR" sz="1100" b="0" i="1">
                        <a:latin typeface="Cambria Math"/>
                        <a:ea typeface="Cambria Math"/>
                      </a:rPr>
                      <m:t>𝑠</m:t>
                    </m:r>
                    <m:r>
                      <a:rPr lang="es-AR" sz="1100" b="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s-AR" sz="1100" b="0" i="1">
                            <a:latin typeface="Cambria Math"/>
                            <a:ea typeface="Cambria Math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AR" sz="1100" b="0" i="1">
                                <a:latin typeface="Cambria Math"/>
                                <a:ea typeface="Cambria Math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l-G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l-G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η</m:t>
                                </m:r>
                              </m:e>
                              <m:sub>
                                <m: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𝑒𝑥𝑒</m:t>
                                </m:r>
                                <m: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A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AR" sz="1100" b="0" i="1">
                            <a:latin typeface="Cambria Math"/>
                            <a:ea typeface="Cambria Math"/>
                          </a:rPr>
                          <m:t>∙∆</m:t>
                        </m:r>
                        <m:r>
                          <a:rPr lang="es-AR" sz="1100" b="0" i="1">
                            <a:latin typeface="Cambria Math"/>
                            <a:ea typeface="Cambria Math"/>
                          </a:rPr>
                          <m:t>h</m:t>
                        </m:r>
                      </m:num>
                      <m:den>
                        <m:sSub>
                          <m:sSubPr>
                            <m:ctrl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η</m:t>
                            </m:r>
                          </m:e>
                          <m: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𝑒𝑥𝑒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  <m:r>
                          <a:rPr lang="es-AR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Cambria Math"/>
                            <a:cs typeface="+mn-cs"/>
                          </a:rPr>
                          <m:t>∙</m:t>
                        </m:r>
                        <m:sSub>
                          <m:sSubPr>
                            <m:ctrlP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Cambria Math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Cambria Math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Cambria Math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s-AR" sz="1100" b="0" i="1">
                        <a:latin typeface="Cambria Math"/>
                      </a:rPr>
                      <m:t>   </m:t>
                    </m:r>
                  </m:oMath>
                </m:oMathPara>
              </a14:m>
              <a:endParaRPr lang="es-AR" sz="1100"/>
            </a:p>
          </xdr:txBody>
        </xdr:sp>
      </mc:Choice>
      <mc:Fallback>
        <xdr:sp macro="" textlink="">
          <xdr:nvSpPr>
            <xdr:cNvPr id="2" name="1 CuadroTexto"/>
            <xdr:cNvSpPr txBox="1"/>
          </xdr:nvSpPr>
          <xdr:spPr>
            <a:xfrm>
              <a:off x="1" y="2743199"/>
              <a:ext cx="4562474" cy="568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η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_(</a:t>
              </a:r>
              <a:r>
                <a:rPr lang="es-AR" sz="1100" b="0" i="0">
                  <a:latin typeface="Cambria Math"/>
                </a:rPr>
                <a:t>𝑒𝑥𝑒,𝑡</a:t>
              </a:r>
              <a:r>
                <a:rPr lang="el-GR" sz="1100" b="0" i="0">
                  <a:latin typeface="Cambria Math"/>
                </a:rPr>
                <a:t>)</a:t>
              </a:r>
              <a:r>
                <a:rPr lang="es-AR" sz="1100" b="0" i="0">
                  <a:latin typeface="Cambria Math"/>
                </a:rPr>
                <a:t>=𝑤/|</a:t>
              </a:r>
              <a:r>
                <a:rPr lang="es-AR" sz="1100" b="0" i="0">
                  <a:latin typeface="Cambria Math"/>
                  <a:ea typeface="Cambria Math"/>
                </a:rPr>
                <a:t>∆ℎ−𝑇_0∙∆𝑠| 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=(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∆ℎ)/|∆ℎ−𝑇_0∙∆𝑠| 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</a:t>
              </a:r>
              <a:r>
                <a:rPr lang="es-AR" sz="1100" b="0" i="0">
                  <a:latin typeface="Cambria Math"/>
                </a:rPr>
                <a:t>  ⇒┬𝑒𝑛𝑡𝑜𝑛𝑐𝑒𝑠  </a:t>
              </a:r>
              <a:r>
                <a:rPr lang="es-AR" sz="1100" b="0" i="0">
                  <a:latin typeface="Cambria Math"/>
                  <a:ea typeface="Cambria Math"/>
                </a:rPr>
                <a:t>∆𝑠=((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η_(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𝑒𝑥𝑒,𝑡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−1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)</a:t>
              </a:r>
              <a:r>
                <a:rPr lang="es-AR" sz="1100" b="0" i="0">
                  <a:latin typeface="Cambria Math"/>
                  <a:ea typeface="Cambria Math"/>
                </a:rPr>
                <a:t>∙∆ℎ)/(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η_(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𝑒𝑥𝑒,𝑡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∙𝑇_0 ) </a:t>
              </a:r>
              <a:r>
                <a:rPr lang="es-AR" sz="1100" b="0" i="0">
                  <a:latin typeface="Cambria Math"/>
                </a:rPr>
                <a:t>   </a:t>
              </a:r>
              <a:endParaRPr lang="es-A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6" sqref="A26"/>
    </sheetView>
  </sheetViews>
  <sheetFormatPr baseColWidth="10" defaultRowHeight="15" x14ac:dyDescent="0.25"/>
  <sheetData>
    <row r="1" spans="1:3" x14ac:dyDescent="0.25">
      <c r="A1" t="s">
        <v>0</v>
      </c>
      <c r="B1">
        <v>1000</v>
      </c>
      <c r="C1" t="s">
        <v>3</v>
      </c>
    </row>
    <row r="2" spans="1:3" x14ac:dyDescent="0.25">
      <c r="A2" s="7" t="s">
        <v>1</v>
      </c>
      <c r="B2">
        <v>800</v>
      </c>
      <c r="C2" t="s">
        <v>23</v>
      </c>
    </row>
    <row r="3" spans="1:3" x14ac:dyDescent="0.25">
      <c r="A3" s="7" t="s">
        <v>9</v>
      </c>
      <c r="B3">
        <v>360</v>
      </c>
      <c r="C3" t="s">
        <v>23</v>
      </c>
    </row>
    <row r="4" spans="1:3" x14ac:dyDescent="0.25">
      <c r="A4" t="s">
        <v>4</v>
      </c>
      <c r="B4">
        <v>0.9</v>
      </c>
    </row>
    <row r="5" spans="1:3" x14ac:dyDescent="0.25">
      <c r="A5" t="s">
        <v>5</v>
      </c>
      <c r="B5">
        <v>375</v>
      </c>
      <c r="C5" t="s">
        <v>6</v>
      </c>
    </row>
    <row r="6" spans="1:3" x14ac:dyDescent="0.25">
      <c r="A6" t="s">
        <v>7</v>
      </c>
      <c r="B6">
        <v>100</v>
      </c>
      <c r="C6" t="s">
        <v>3</v>
      </c>
    </row>
    <row r="7" spans="1:3" x14ac:dyDescent="0.25">
      <c r="A7" t="s">
        <v>8</v>
      </c>
      <c r="B7">
        <v>300</v>
      </c>
      <c r="C7" t="s">
        <v>2</v>
      </c>
    </row>
    <row r="9" spans="1:3" x14ac:dyDescent="0.25">
      <c r="A9" t="s">
        <v>11</v>
      </c>
      <c r="B9">
        <v>1.0049999999999999</v>
      </c>
      <c r="C9" t="s">
        <v>12</v>
      </c>
    </row>
    <row r="10" spans="1:3" x14ac:dyDescent="0.25">
      <c r="A10" t="s">
        <v>10</v>
      </c>
      <c r="B10">
        <f>B9*(B2-B3)</f>
        <v>442.19999999999993</v>
      </c>
      <c r="C10" t="s">
        <v>13</v>
      </c>
    </row>
    <row r="11" spans="1:3" x14ac:dyDescent="0.25">
      <c r="A11" s="3" t="s">
        <v>14</v>
      </c>
      <c r="B11" s="1">
        <f>B5/B10</f>
        <v>0.84803256445047503</v>
      </c>
      <c r="C11" t="s">
        <v>15</v>
      </c>
    </row>
    <row r="12" spans="1:3" x14ac:dyDescent="0.25">
      <c r="A12" s="3"/>
      <c r="B12" s="2">
        <f>B11*3600</f>
        <v>3052.9172320217103</v>
      </c>
      <c r="C12" t="s">
        <v>16</v>
      </c>
    </row>
    <row r="17" spans="1:3" x14ac:dyDescent="0.25">
      <c r="A17" t="s">
        <v>19</v>
      </c>
      <c r="B17" s="4">
        <f>(1-B4)*(B10)/(B4*B7)*B12</f>
        <v>499.99999999999994</v>
      </c>
      <c r="C17" t="s">
        <v>18</v>
      </c>
    </row>
    <row r="18" spans="1:3" x14ac:dyDescent="0.25">
      <c r="A18" t="s">
        <v>20</v>
      </c>
      <c r="B18">
        <v>0</v>
      </c>
      <c r="C18" t="s">
        <v>24</v>
      </c>
    </row>
    <row r="19" spans="1:3" x14ac:dyDescent="0.25">
      <c r="A19" t="s">
        <v>21</v>
      </c>
      <c r="B19">
        <f>SUM(B17:B18)</f>
        <v>499.99999999999994</v>
      </c>
      <c r="C19" t="s">
        <v>18</v>
      </c>
    </row>
    <row r="21" spans="1:3" x14ac:dyDescent="0.25">
      <c r="A21" s="6" t="s">
        <v>25</v>
      </c>
      <c r="B21">
        <f>-B5*3600-B7*B17</f>
        <v>-1500000</v>
      </c>
      <c r="C21" t="s">
        <v>17</v>
      </c>
    </row>
    <row r="22" spans="1:3" x14ac:dyDescent="0.25">
      <c r="A22" s="6" t="s">
        <v>26</v>
      </c>
      <c r="B22">
        <f>B5*3600</f>
        <v>1350000</v>
      </c>
      <c r="C22" t="s">
        <v>17</v>
      </c>
    </row>
    <row r="23" spans="1:3" x14ac:dyDescent="0.25">
      <c r="A23" s="5" t="s">
        <v>22</v>
      </c>
      <c r="B23" s="5">
        <f>SUM(B21:B22)</f>
        <v>-150000</v>
      </c>
      <c r="C23" s="5" t="s">
        <v>17</v>
      </c>
    </row>
    <row r="24" spans="1:3" x14ac:dyDescent="0.25">
      <c r="A24" s="5" t="s">
        <v>27</v>
      </c>
      <c r="B24" s="5">
        <f>-B7*B19</f>
        <v>-149999.99999999997</v>
      </c>
      <c r="C24" s="5" t="s">
        <v>17</v>
      </c>
    </row>
  </sheetData>
  <mergeCells count="1">
    <mergeCell ref="A11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Paula Fernandez</dc:creator>
  <cp:lastModifiedBy>María Paula Fernandez</cp:lastModifiedBy>
  <dcterms:created xsi:type="dcterms:W3CDTF">2018-08-26T14:16:56Z</dcterms:created>
  <dcterms:modified xsi:type="dcterms:W3CDTF">2018-08-26T14:43:16Z</dcterms:modified>
</cp:coreProperties>
</file>