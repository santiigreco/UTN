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4220" windowHeight="102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9" i="1"/>
  <c r="B42" i="1"/>
  <c r="B40" i="1"/>
  <c r="B19" i="1"/>
  <c r="B23" i="1" s="1"/>
  <c r="B25" i="1" s="1"/>
  <c r="B34" i="1" s="1"/>
  <c r="B17" i="1"/>
  <c r="B6" i="1"/>
  <c r="B27" i="1" l="1"/>
  <c r="B28" i="1"/>
  <c r="B29" i="1" s="1"/>
  <c r="B41" i="1" s="1"/>
  <c r="B32" i="1"/>
  <c r="B33" i="1"/>
  <c r="B43" i="1"/>
  <c r="B35" i="1" l="1"/>
  <c r="B37" i="1"/>
  <c r="B45" i="1"/>
  <c r="B44" i="1"/>
</calcChain>
</file>

<file path=xl/sharedStrings.xml><?xml version="1.0" encoding="utf-8"?>
<sst xmlns="http://schemas.openxmlformats.org/spreadsheetml/2006/main" count="74" uniqueCount="44">
  <si>
    <t>m1</t>
  </si>
  <si>
    <t>kg/h</t>
  </si>
  <si>
    <t>p1</t>
  </si>
  <si>
    <t>bar</t>
  </si>
  <si>
    <t>T1</t>
  </si>
  <si>
    <t>K</t>
  </si>
  <si>
    <t>p3</t>
  </si>
  <si>
    <t>m2</t>
  </si>
  <si>
    <t>p2</t>
  </si>
  <si>
    <t>T2</t>
  </si>
  <si>
    <t>kJ/h</t>
  </si>
  <si>
    <t>We</t>
  </si>
  <si>
    <t>p4</t>
  </si>
  <si>
    <t>T4</t>
  </si>
  <si>
    <t>T3</t>
  </si>
  <si>
    <t>cp</t>
  </si>
  <si>
    <t>kJ/kgK</t>
  </si>
  <si>
    <t>m4</t>
  </si>
  <si>
    <t>p5</t>
  </si>
  <si>
    <t>Δs4-5</t>
  </si>
  <si>
    <t>T5</t>
  </si>
  <si>
    <t>R</t>
  </si>
  <si>
    <t>ΔSs=ΔSu</t>
  </si>
  <si>
    <t>Wt</t>
  </si>
  <si>
    <t>kW</t>
  </si>
  <si>
    <t>kJ/hK</t>
  </si>
  <si>
    <t>ΔEx1</t>
  </si>
  <si>
    <t>ΔS1</t>
  </si>
  <si>
    <t>ΔS2</t>
  </si>
  <si>
    <t>T0</t>
  </si>
  <si>
    <t>ΔEx2</t>
  </si>
  <si>
    <t>ΔExm</t>
  </si>
  <si>
    <t>ΔExu</t>
  </si>
  <si>
    <t>ηexe</t>
  </si>
  <si>
    <t>a)</t>
  </si>
  <si>
    <t>b)</t>
  </si>
  <si>
    <t>c)</t>
  </si>
  <si>
    <t>d)</t>
  </si>
  <si>
    <t>Tf</t>
  </si>
  <si>
    <t>ΔSf</t>
  </si>
  <si>
    <t>ΔSu</t>
  </si>
  <si>
    <t>Quf</t>
  </si>
  <si>
    <t>e)</t>
  </si>
  <si>
    <r>
      <t>-We=</t>
    </r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</si>
</sst>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0.0"/>
    <numFmt numFmtId="169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167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2" borderId="0" xfId="0" applyFill="1"/>
    <xf numFmtId="0" fontId="3" fillId="0" borderId="0" xfId="0" applyFont="1"/>
    <xf numFmtId="2" fontId="3" fillId="0" borderId="0" xfId="0" applyNumberFormat="1" applyFont="1"/>
    <xf numFmtId="167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169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B23" sqref="B23"/>
    </sheetView>
  </sheetViews>
  <sheetFormatPr baseColWidth="10" defaultRowHeight="15" x14ac:dyDescent="0.25"/>
  <sheetData>
    <row r="1" spans="1:3" x14ac:dyDescent="0.25">
      <c r="A1" t="s">
        <v>0</v>
      </c>
      <c r="B1" s="5">
        <v>1000</v>
      </c>
      <c r="C1" t="s">
        <v>1</v>
      </c>
    </row>
    <row r="2" spans="1:3" x14ac:dyDescent="0.25">
      <c r="A2" t="s">
        <v>2</v>
      </c>
      <c r="B2" s="5">
        <v>30</v>
      </c>
      <c r="C2" t="s">
        <v>3</v>
      </c>
    </row>
    <row r="3" spans="1:3" x14ac:dyDescent="0.25">
      <c r="A3" t="s">
        <v>4</v>
      </c>
      <c r="B3" s="5">
        <v>400</v>
      </c>
      <c r="C3" t="s">
        <v>5</v>
      </c>
    </row>
    <row r="5" spans="1:3" x14ac:dyDescent="0.25">
      <c r="A5" t="s">
        <v>6</v>
      </c>
      <c r="B5" s="5">
        <v>10</v>
      </c>
      <c r="C5" t="s">
        <v>3</v>
      </c>
    </row>
    <row r="6" spans="1:3" x14ac:dyDescent="0.25">
      <c r="A6" t="s">
        <v>14</v>
      </c>
      <c r="B6">
        <f>B3</f>
        <v>400</v>
      </c>
      <c r="C6" t="s">
        <v>5</v>
      </c>
    </row>
    <row r="8" spans="1:3" x14ac:dyDescent="0.25">
      <c r="A8" t="s">
        <v>7</v>
      </c>
      <c r="B8" s="5">
        <v>400</v>
      </c>
      <c r="C8" t="s">
        <v>1</v>
      </c>
    </row>
    <row r="9" spans="1:3" x14ac:dyDescent="0.25">
      <c r="A9" t="s">
        <v>8</v>
      </c>
      <c r="B9">
        <f>B5</f>
        <v>10</v>
      </c>
      <c r="C9" t="s">
        <v>3</v>
      </c>
    </row>
    <row r="10" spans="1:3" x14ac:dyDescent="0.25">
      <c r="A10" t="s">
        <v>9</v>
      </c>
      <c r="B10" s="5">
        <v>300</v>
      </c>
      <c r="C10" t="s">
        <v>5</v>
      </c>
    </row>
    <row r="12" spans="1:3" x14ac:dyDescent="0.25">
      <c r="A12" t="s">
        <v>11</v>
      </c>
      <c r="B12" s="5">
        <v>-200000</v>
      </c>
      <c r="C12" t="s">
        <v>10</v>
      </c>
    </row>
    <row r="14" spans="1:3" x14ac:dyDescent="0.25">
      <c r="A14" t="s">
        <v>15</v>
      </c>
      <c r="B14" s="5">
        <v>1.0049999999999999</v>
      </c>
      <c r="C14" t="s">
        <v>16</v>
      </c>
    </row>
    <row r="15" spans="1:3" x14ac:dyDescent="0.25">
      <c r="A15" t="s">
        <v>21</v>
      </c>
      <c r="B15" s="5">
        <v>0.28699999999999998</v>
      </c>
      <c r="C15" t="s">
        <v>16</v>
      </c>
    </row>
    <row r="17" spans="1:4" x14ac:dyDescent="0.25">
      <c r="A17" t="s">
        <v>17</v>
      </c>
      <c r="B17">
        <f>B1+B8</f>
        <v>1400</v>
      </c>
      <c r="C17" t="s">
        <v>1</v>
      </c>
    </row>
    <row r="18" spans="1:4" x14ac:dyDescent="0.25">
      <c r="A18" t="s">
        <v>12</v>
      </c>
      <c r="B18">
        <f>B5</f>
        <v>10</v>
      </c>
      <c r="C18" t="s">
        <v>3</v>
      </c>
    </row>
    <row r="19" spans="1:4" x14ac:dyDescent="0.25">
      <c r="A19" t="s">
        <v>13</v>
      </c>
      <c r="B19" s="2">
        <f>(B1*B6+B8*B10-B12/B14)/B17</f>
        <v>513.57498223169864</v>
      </c>
      <c r="C19" t="s">
        <v>5</v>
      </c>
      <c r="D19" s="1" t="s">
        <v>43</v>
      </c>
    </row>
    <row r="21" spans="1:4" x14ac:dyDescent="0.25">
      <c r="A21" t="s">
        <v>18</v>
      </c>
      <c r="B21" s="5">
        <v>1</v>
      </c>
      <c r="C21" t="s">
        <v>3</v>
      </c>
    </row>
    <row r="22" spans="1:4" x14ac:dyDescent="0.25">
      <c r="A22" s="3" t="s">
        <v>19</v>
      </c>
      <c r="B22" s="5">
        <v>0.4</v>
      </c>
      <c r="C22" t="s">
        <v>16</v>
      </c>
    </row>
    <row r="23" spans="1:4" x14ac:dyDescent="0.25">
      <c r="A23" s="3" t="s">
        <v>20</v>
      </c>
      <c r="B23" s="2">
        <f>B19*EXP((B22+B15*LN(B21/B18))/B14)</f>
        <v>396.17333886807461</v>
      </c>
      <c r="C23" t="s">
        <v>5</v>
      </c>
    </row>
    <row r="25" spans="1:4" ht="15.75" x14ac:dyDescent="0.25">
      <c r="A25" s="6" t="s">
        <v>23</v>
      </c>
      <c r="B25" s="7">
        <f>B17/3600*B14*(B19-B23)</f>
        <v>45.884475614616392</v>
      </c>
      <c r="C25" s="6" t="s">
        <v>24</v>
      </c>
      <c r="D25" s="6" t="s">
        <v>34</v>
      </c>
    </row>
    <row r="26" spans="1:4" ht="15.75" x14ac:dyDescent="0.25">
      <c r="D26" s="6"/>
    </row>
    <row r="27" spans="1:4" ht="15.75" x14ac:dyDescent="0.25">
      <c r="A27" t="s">
        <v>27</v>
      </c>
      <c r="B27" s="2">
        <f>B1*(B14*LN(B23/B3)-B15*LN(B21/B2))</f>
        <v>966.48287778841984</v>
      </c>
      <c r="C27" t="s">
        <v>25</v>
      </c>
      <c r="D27" s="6"/>
    </row>
    <row r="28" spans="1:4" ht="15.75" x14ac:dyDescent="0.25">
      <c r="A28" t="s">
        <v>28</v>
      </c>
      <c r="B28" s="2">
        <f>B8*(B14*LN(B23/B10)-B15*LN(B21/B9))</f>
        <v>376.12065350188487</v>
      </c>
      <c r="C28" t="s">
        <v>25</v>
      </c>
      <c r="D28" s="6"/>
    </row>
    <row r="29" spans="1:4" ht="15.75" x14ac:dyDescent="0.25">
      <c r="A29" s="6" t="s">
        <v>22</v>
      </c>
      <c r="B29" s="8">
        <f>B27+B28</f>
        <v>1342.6035312903048</v>
      </c>
      <c r="C29" s="6" t="s">
        <v>25</v>
      </c>
      <c r="D29" s="6" t="s">
        <v>35</v>
      </c>
    </row>
    <row r="30" spans="1:4" ht="15.75" x14ac:dyDescent="0.25">
      <c r="D30" s="6"/>
    </row>
    <row r="31" spans="1:4" ht="15.75" x14ac:dyDescent="0.25">
      <c r="A31" t="s">
        <v>29</v>
      </c>
      <c r="B31" s="5">
        <v>300</v>
      </c>
      <c r="C31" t="s">
        <v>5</v>
      </c>
      <c r="D31" s="6"/>
    </row>
    <row r="32" spans="1:4" ht="15.75" x14ac:dyDescent="0.25">
      <c r="A32" t="s">
        <v>26</v>
      </c>
      <c r="B32" s="4">
        <f>B1*B14*(B23-B3)-B31*B27</f>
        <v>-293790.65777411096</v>
      </c>
      <c r="C32" t="s">
        <v>10</v>
      </c>
      <c r="D32" s="6"/>
    </row>
    <row r="33" spans="1:4" ht="15.75" x14ac:dyDescent="0.25">
      <c r="A33" t="s">
        <v>30</v>
      </c>
      <c r="B33" s="4">
        <f>B8*B14*(B23-B10)-B31*B28</f>
        <v>-74174.513825599468</v>
      </c>
      <c r="C33" t="s">
        <v>10</v>
      </c>
      <c r="D33" s="6"/>
    </row>
    <row r="34" spans="1:4" ht="15.75" x14ac:dyDescent="0.25">
      <c r="A34" t="s">
        <v>31</v>
      </c>
      <c r="B34" s="4">
        <f>B25*3600+B12</f>
        <v>-34815.887787380983</v>
      </c>
      <c r="C34" t="s">
        <v>10</v>
      </c>
      <c r="D34" s="6"/>
    </row>
    <row r="35" spans="1:4" ht="15.75" x14ac:dyDescent="0.25">
      <c r="A35" s="6" t="s">
        <v>32</v>
      </c>
      <c r="B35" s="9">
        <f>SUM(B32:B34)</f>
        <v>-402781.05938709143</v>
      </c>
      <c r="C35" s="6" t="s">
        <v>10</v>
      </c>
      <c r="D35" s="6" t="s">
        <v>36</v>
      </c>
    </row>
    <row r="36" spans="1:4" ht="15.75" x14ac:dyDescent="0.25">
      <c r="D36" s="6"/>
    </row>
    <row r="37" spans="1:4" ht="15.75" x14ac:dyDescent="0.25">
      <c r="A37" s="10" t="s">
        <v>33</v>
      </c>
      <c r="B37" s="11">
        <f>B25*3600/(-B12-B32-B33)</f>
        <v>0.29083493226770812</v>
      </c>
      <c r="D37" s="6" t="s">
        <v>37</v>
      </c>
    </row>
    <row r="38" spans="1:4" ht="15.75" x14ac:dyDescent="0.25">
      <c r="D38" s="6"/>
    </row>
    <row r="39" spans="1:4" ht="15.75" x14ac:dyDescent="0.25">
      <c r="A39" s="3" t="s">
        <v>38</v>
      </c>
      <c r="B39" s="5">
        <v>1000</v>
      </c>
      <c r="C39" t="s">
        <v>5</v>
      </c>
      <c r="D39" s="6"/>
    </row>
    <row r="40" spans="1:4" ht="15.75" x14ac:dyDescent="0.25">
      <c r="A40" t="s">
        <v>39</v>
      </c>
      <c r="B40">
        <f>B12/B39</f>
        <v>-200</v>
      </c>
      <c r="C40" t="s">
        <v>25</v>
      </c>
      <c r="D40" s="6"/>
    </row>
    <row r="41" spans="1:4" ht="15.75" x14ac:dyDescent="0.25">
      <c r="A41" s="6" t="s">
        <v>40</v>
      </c>
      <c r="B41" s="8">
        <f>B29+B40</f>
        <v>1142.6035312903048</v>
      </c>
      <c r="C41" s="6" t="s">
        <v>25</v>
      </c>
      <c r="D41" s="6" t="s">
        <v>42</v>
      </c>
    </row>
    <row r="42" spans="1:4" ht="15.75" x14ac:dyDescent="0.25">
      <c r="A42" t="s">
        <v>41</v>
      </c>
      <c r="B42">
        <f>B12*(1-B31/B39)</f>
        <v>-140000</v>
      </c>
      <c r="C42" t="s">
        <v>10</v>
      </c>
      <c r="D42" s="6"/>
    </row>
    <row r="43" spans="1:4" ht="15.75" x14ac:dyDescent="0.25">
      <c r="A43" t="s">
        <v>31</v>
      </c>
      <c r="B43" s="4">
        <f>B25*3600+B42</f>
        <v>25184.112212619017</v>
      </c>
      <c r="C43" t="s">
        <v>10</v>
      </c>
      <c r="D43" s="6"/>
    </row>
    <row r="44" spans="1:4" ht="15.75" x14ac:dyDescent="0.25">
      <c r="A44" s="6" t="s">
        <v>32</v>
      </c>
      <c r="B44" s="9">
        <f>SUM(B32:B33)+B43</f>
        <v>-342781.05938709143</v>
      </c>
      <c r="C44" s="6" t="s">
        <v>10</v>
      </c>
      <c r="D44" s="6" t="s">
        <v>42</v>
      </c>
    </row>
    <row r="45" spans="1:4" ht="15.75" x14ac:dyDescent="0.25">
      <c r="A45" s="10" t="s">
        <v>33</v>
      </c>
      <c r="B45" s="11">
        <f>B25*3600/(-B42-B32-B33)</f>
        <v>0.32518787005103633</v>
      </c>
      <c r="D45" s="6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2020-07-25T14:37:24Z</dcterms:created>
  <dcterms:modified xsi:type="dcterms:W3CDTF">2020-07-25T15:12:25Z</dcterms:modified>
</cp:coreProperties>
</file>