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TERMO\TERMOYMT\ACCESO ALUMNOS\TP\"/>
    </mc:Choice>
  </mc:AlternateContent>
  <bookViews>
    <workbookView xWindow="0" yWindow="0" windowWidth="14220" windowHeight="10245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C8" i="1" s="1"/>
  <c r="C3" i="1"/>
  <c r="C4" i="1"/>
  <c r="C15" i="1" l="1"/>
  <c r="C20" i="1" l="1"/>
  <c r="C11" i="1"/>
  <c r="C12" i="1"/>
  <c r="C14" i="1" l="1"/>
  <c r="C21" i="1"/>
  <c r="C23" i="1"/>
  <c r="C26" i="1" s="1"/>
  <c r="C27" i="1" s="1"/>
  <c r="C17" i="1"/>
  <c r="C16" i="1"/>
</calcChain>
</file>

<file path=xl/sharedStrings.xml><?xml version="1.0" encoding="utf-8"?>
<sst xmlns="http://schemas.openxmlformats.org/spreadsheetml/2006/main" count="44" uniqueCount="35">
  <si>
    <t>h3i</t>
  </si>
  <si>
    <t>s3i</t>
  </si>
  <si>
    <t>s2</t>
  </si>
  <si>
    <t>h2</t>
  </si>
  <si>
    <t>p2</t>
  </si>
  <si>
    <t>p1</t>
  </si>
  <si>
    <t>t1</t>
  </si>
  <si>
    <t>h1</t>
  </si>
  <si>
    <t>h3</t>
  </si>
  <si>
    <t>t2</t>
  </si>
  <si>
    <t>bar</t>
  </si>
  <si>
    <t>ºC</t>
  </si>
  <si>
    <t>kJ/kg</t>
  </si>
  <si>
    <t>kJ/kgK</t>
  </si>
  <si>
    <t>s1</t>
  </si>
  <si>
    <t>s3</t>
  </si>
  <si>
    <t>p3</t>
  </si>
  <si>
    <t>W</t>
  </si>
  <si>
    <t>MW</t>
  </si>
  <si>
    <t>m</t>
  </si>
  <si>
    <t>kg/s</t>
  </si>
  <si>
    <t>t/h</t>
  </si>
  <si>
    <t>ΔSu</t>
  </si>
  <si>
    <t>kW/K</t>
  </si>
  <si>
    <t>T0</t>
  </si>
  <si>
    <t>K</t>
  </si>
  <si>
    <t>ΔExu</t>
  </si>
  <si>
    <t>kW</t>
  </si>
  <si>
    <t>ηexe</t>
  </si>
  <si>
    <t>ηiso2-3</t>
  </si>
  <si>
    <t>a)</t>
  </si>
  <si>
    <t>b)</t>
  </si>
  <si>
    <t>c)</t>
  </si>
  <si>
    <t>d)</t>
  </si>
  <si>
    <t>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</si>
</sst>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7" formatCode="0.000"/>
    <numFmt numFmtId="168" formatCode="0.0"/>
    <numFmt numFmtId="170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67" fontId="0" fillId="0" borderId="0" xfId="0" applyNumberFormat="1"/>
    <xf numFmtId="168" fontId="0" fillId="0" borderId="0" xfId="0" applyNumberFormat="1"/>
    <xf numFmtId="1" fontId="0" fillId="0" borderId="0" xfId="0" applyNumberFormat="1"/>
    <xf numFmtId="0" fontId="2" fillId="0" borderId="0" xfId="0" applyFont="1"/>
    <xf numFmtId="0" fontId="0" fillId="2" borderId="0" xfId="0" applyFill="1"/>
    <xf numFmtId="0" fontId="3" fillId="0" borderId="1" xfId="0" applyFont="1" applyBorder="1"/>
    <xf numFmtId="168" fontId="3" fillId="0" borderId="2" xfId="0" applyNumberFormat="1" applyFont="1" applyBorder="1"/>
    <xf numFmtId="0" fontId="3" fillId="0" borderId="2" xfId="0" applyFont="1" applyBorder="1"/>
    <xf numFmtId="0" fontId="0" fillId="0" borderId="3" xfId="0" applyBorder="1"/>
    <xf numFmtId="0" fontId="4" fillId="0" borderId="1" xfId="0" applyFont="1" applyBorder="1"/>
    <xf numFmtId="2" fontId="3" fillId="0" borderId="2" xfId="0" applyNumberFormat="1" applyFont="1" applyBorder="1"/>
    <xf numFmtId="170" fontId="3" fillId="0" borderId="2" xfId="1" applyNumberFormat="1" applyFont="1" applyBorder="1"/>
    <xf numFmtId="2" fontId="0" fillId="0" borderId="4" xfId="0" applyNumberFormat="1" applyBorder="1"/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blo\AppData\Roaming\Microsoft\AddIns\Steam_fns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perties"/>
      <sheetName val="Functions"/>
    </sheetNames>
    <definedNames>
      <definedName name="h_pt"/>
      <definedName name="hV_p"/>
      <definedName name="p_hs"/>
      <definedName name="s_ph"/>
      <definedName name="T_hs"/>
    </defined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tabSelected="1" workbookViewId="0">
      <selection activeCell="B29" sqref="B29"/>
    </sheetView>
  </sheetViews>
  <sheetFormatPr baseColWidth="10" defaultRowHeight="15" x14ac:dyDescent="0.25"/>
  <cols>
    <col min="1" max="1" width="2.7109375" customWidth="1"/>
    <col min="2" max="2" width="7.42578125" bestFit="1" customWidth="1"/>
    <col min="5" max="5" width="2.85546875" bestFit="1" customWidth="1"/>
  </cols>
  <sheetData>
    <row r="1" spans="2:5" x14ac:dyDescent="0.25">
      <c r="B1" t="s">
        <v>5</v>
      </c>
      <c r="C1" s="5">
        <v>35</v>
      </c>
      <c r="D1" t="s">
        <v>10</v>
      </c>
    </row>
    <row r="2" spans="2:5" x14ac:dyDescent="0.25">
      <c r="B2" t="s">
        <v>6</v>
      </c>
      <c r="C2" s="5">
        <v>350</v>
      </c>
      <c r="D2" t="s">
        <v>11</v>
      </c>
    </row>
    <row r="3" spans="2:5" x14ac:dyDescent="0.25">
      <c r="B3" t="s">
        <v>7</v>
      </c>
      <c r="C3" s="2">
        <f>[1]!h_pt(C1,C2)</f>
        <v>3104.8427564065873</v>
      </c>
      <c r="D3" t="s">
        <v>12</v>
      </c>
    </row>
    <row r="4" spans="2:5" x14ac:dyDescent="0.25">
      <c r="B4" t="s">
        <v>14</v>
      </c>
      <c r="C4" s="1">
        <f>[1]!s_ph(C1,C3)</f>
        <v>6.6600569957808693</v>
      </c>
      <c r="D4" t="s">
        <v>13</v>
      </c>
    </row>
    <row r="6" spans="2:5" x14ac:dyDescent="0.25">
      <c r="B6" t="s">
        <v>16</v>
      </c>
      <c r="C6" s="5">
        <v>0.8</v>
      </c>
      <c r="D6" t="s">
        <v>10</v>
      </c>
    </row>
    <row r="7" spans="2:5" x14ac:dyDescent="0.25">
      <c r="B7" t="s">
        <v>8</v>
      </c>
      <c r="C7" s="2">
        <f>[1]!hV_p(C6)</f>
        <v>2665.1776978972252</v>
      </c>
      <c r="D7" t="s">
        <v>12</v>
      </c>
    </row>
    <row r="8" spans="2:5" x14ac:dyDescent="0.25">
      <c r="B8" t="s">
        <v>15</v>
      </c>
      <c r="C8" s="1">
        <f>[1]!s_ph(C6,C7)</f>
        <v>7.4339154824805549</v>
      </c>
      <c r="D8" t="s">
        <v>13</v>
      </c>
    </row>
    <row r="10" spans="2:5" x14ac:dyDescent="0.25">
      <c r="B10" s="4" t="s">
        <v>29</v>
      </c>
      <c r="C10" s="5">
        <v>0.9</v>
      </c>
    </row>
    <row r="11" spans="2:5" x14ac:dyDescent="0.25">
      <c r="B11" t="s">
        <v>0</v>
      </c>
      <c r="C11" s="2">
        <f>C15-(C15-C7)/C10</f>
        <v>2616.3260247295184</v>
      </c>
      <c r="D11" t="s">
        <v>12</v>
      </c>
    </row>
    <row r="12" spans="2:5" x14ac:dyDescent="0.25">
      <c r="B12" t="s">
        <v>1</v>
      </c>
      <c r="C12" s="1">
        <f>[1]!s_ph(C6,C11)</f>
        <v>7.3006504967336863</v>
      </c>
      <c r="D12" t="s">
        <v>13</v>
      </c>
    </row>
    <row r="14" spans="2:5" x14ac:dyDescent="0.25">
      <c r="B14" t="s">
        <v>2</v>
      </c>
      <c r="C14" s="1">
        <f>C12</f>
        <v>7.3006504967336863</v>
      </c>
      <c r="D14" t="s">
        <v>13</v>
      </c>
    </row>
    <row r="15" spans="2:5" x14ac:dyDescent="0.25">
      <c r="B15" t="s">
        <v>3</v>
      </c>
      <c r="C15" s="2">
        <f>C3</f>
        <v>3104.8427564065873</v>
      </c>
      <c r="D15" t="s">
        <v>12</v>
      </c>
    </row>
    <row r="16" spans="2:5" ht="15.75" x14ac:dyDescent="0.25">
      <c r="B16" s="6" t="s">
        <v>4</v>
      </c>
      <c r="C16" s="7">
        <f>[1]!p_hs(C15,C14)</f>
        <v>8.2849928393819763</v>
      </c>
      <c r="D16" s="8" t="s">
        <v>10</v>
      </c>
      <c r="E16" s="9" t="s">
        <v>30</v>
      </c>
    </row>
    <row r="17" spans="2:5" x14ac:dyDescent="0.25">
      <c r="B17" t="s">
        <v>9</v>
      </c>
      <c r="C17" s="3">
        <f>[1]!T_hs(C15,C14)</f>
        <v>323.05945001744715</v>
      </c>
      <c r="D17" t="s">
        <v>11</v>
      </c>
    </row>
    <row r="19" spans="2:5" x14ac:dyDescent="0.25">
      <c r="B19" t="s">
        <v>17</v>
      </c>
      <c r="C19" s="5">
        <v>15</v>
      </c>
      <c r="D19" t="s">
        <v>18</v>
      </c>
    </row>
    <row r="20" spans="2:5" x14ac:dyDescent="0.25">
      <c r="B20" s="14" t="s">
        <v>19</v>
      </c>
      <c r="C20" s="13">
        <f>C19*1000/(C15-C7)</f>
        <v>34.116879905935477</v>
      </c>
      <c r="D20" t="s">
        <v>20</v>
      </c>
    </row>
    <row r="21" spans="2:5" ht="15.75" x14ac:dyDescent="0.25">
      <c r="B21" s="15"/>
      <c r="C21" s="7">
        <f>+C20*3.6</f>
        <v>122.82076766136773</v>
      </c>
      <c r="D21" s="8" t="s">
        <v>21</v>
      </c>
      <c r="E21" s="9" t="s">
        <v>31</v>
      </c>
    </row>
    <row r="23" spans="2:5" ht="15.75" x14ac:dyDescent="0.25">
      <c r="B23" s="10" t="s">
        <v>22</v>
      </c>
      <c r="C23" s="11">
        <f>C20*(C8-C4)</f>
        <v>26.401637054922141</v>
      </c>
      <c r="D23" s="8" t="s">
        <v>23</v>
      </c>
      <c r="E23" s="9" t="s">
        <v>32</v>
      </c>
    </row>
    <row r="25" spans="2:5" x14ac:dyDescent="0.25">
      <c r="B25" t="s">
        <v>24</v>
      </c>
      <c r="C25" s="5">
        <v>300</v>
      </c>
      <c r="D25" t="s">
        <v>25</v>
      </c>
    </row>
    <row r="26" spans="2:5" ht="15.75" x14ac:dyDescent="0.25">
      <c r="B26" s="10" t="s">
        <v>26</v>
      </c>
      <c r="C26" s="7">
        <f>-C25*C23</f>
        <v>-7920.4911164766418</v>
      </c>
      <c r="D26" s="8" t="s">
        <v>27</v>
      </c>
      <c r="E26" s="9" t="s">
        <v>33</v>
      </c>
    </row>
    <row r="27" spans="2:5" ht="15.75" x14ac:dyDescent="0.25">
      <c r="B27" s="10" t="s">
        <v>28</v>
      </c>
      <c r="C27" s="12">
        <f>C19/(C19-C26/1000)</f>
        <v>0.65443623889965818</v>
      </c>
      <c r="D27" s="8"/>
      <c r="E27" s="9" t="s">
        <v>34</v>
      </c>
    </row>
  </sheetData>
  <mergeCells count="1">
    <mergeCell ref="B20:B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AGREST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</cp:lastModifiedBy>
  <cp:lastPrinted>2020-07-28T12:24:25Z</cp:lastPrinted>
  <dcterms:created xsi:type="dcterms:W3CDTF">2020-07-28T11:00:34Z</dcterms:created>
  <dcterms:modified xsi:type="dcterms:W3CDTF">2020-07-28T12:25:54Z</dcterms:modified>
</cp:coreProperties>
</file>