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19830" windowHeight="85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3" i="1"/>
  <c r="F4" i="1"/>
  <c r="H3" i="1"/>
  <c r="H2" i="1"/>
  <c r="D4" i="1"/>
  <c r="E2" i="1" s="1"/>
  <c r="F2" i="1" s="1"/>
  <c r="D3" i="1"/>
  <c r="E3" i="1" s="1"/>
  <c r="F3" i="1" s="1"/>
  <c r="I3" i="1" s="1"/>
  <c r="D2" i="1"/>
  <c r="I2" i="1" l="1"/>
  <c r="I4" i="1" s="1"/>
</calcChain>
</file>

<file path=xl/sharedStrings.xml><?xml version="1.0" encoding="utf-8"?>
<sst xmlns="http://schemas.openxmlformats.org/spreadsheetml/2006/main" count="17" uniqueCount="16">
  <si>
    <t>N2</t>
  </si>
  <si>
    <t>Ar</t>
  </si>
  <si>
    <t>m</t>
  </si>
  <si>
    <t>M</t>
  </si>
  <si>
    <t>n</t>
  </si>
  <si>
    <t>x</t>
  </si>
  <si>
    <t>p</t>
  </si>
  <si>
    <t>cp</t>
  </si>
  <si>
    <t>R</t>
  </si>
  <si>
    <t>T0</t>
  </si>
  <si>
    <t>T1</t>
  </si>
  <si>
    <t>K</t>
  </si>
  <si>
    <t>p0=p1</t>
  </si>
  <si>
    <t>bar</t>
  </si>
  <si>
    <t>ΔS</t>
  </si>
  <si>
    <t>Mezcla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</si>
</sst>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7" fontId="0" fillId="0" borderId="1" xfId="0" applyNumberFormat="1" applyBorder="1"/>
    <xf numFmtId="0" fontId="0" fillId="0" borderId="1" xfId="0" applyFill="1" applyBorder="1"/>
    <xf numFmtId="0" fontId="0" fillId="2" borderId="1" xfId="0" applyFill="1" applyBorder="1"/>
    <xf numFmtId="167" fontId="0" fillId="2" borderId="1" xfId="0" applyNumberFormat="1" applyFill="1" applyBorder="1"/>
    <xf numFmtId="167" fontId="1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13" sqref="B13"/>
    </sheetView>
  </sheetViews>
  <sheetFormatPr baseColWidth="10" defaultRowHeight="15" x14ac:dyDescent="0.25"/>
  <cols>
    <col min="1" max="1" width="7.140625" bestFit="1" customWidth="1"/>
    <col min="2" max="2" width="5" bestFit="1" customWidth="1"/>
    <col min="3" max="3" width="7" bestFit="1" customWidth="1"/>
    <col min="4" max="6" width="6.5703125" bestFit="1" customWidth="1"/>
    <col min="7" max="7" width="7" bestFit="1" customWidth="1"/>
    <col min="8" max="8" width="6.5703125" bestFit="1" customWidth="1"/>
    <col min="9" max="9" width="7.28515625" bestFit="1" customWidth="1"/>
  </cols>
  <sheetData>
    <row r="1" spans="1:9" ht="15.75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7" t="s">
        <v>14</v>
      </c>
    </row>
    <row r="2" spans="1:9" ht="15.75" x14ac:dyDescent="0.25">
      <c r="A2" s="1" t="s">
        <v>0</v>
      </c>
      <c r="B2" s="4">
        <v>0.37</v>
      </c>
      <c r="C2" s="4">
        <v>28.015999999999998</v>
      </c>
      <c r="D2" s="2">
        <f>B2/C2</f>
        <v>1.3206739006282124E-2</v>
      </c>
      <c r="E2" s="2">
        <f>D2/$D$4</f>
        <v>0.45573764021244945</v>
      </c>
      <c r="F2" s="2">
        <f>E2*$F$4</f>
        <v>0.45573764021244945</v>
      </c>
      <c r="G2" s="4">
        <v>1.04</v>
      </c>
      <c r="H2" s="5">
        <f>30.24*0.00980665</f>
        <v>0.29655309599999996</v>
      </c>
      <c r="I2" s="6">
        <f>B2*(G2*LN($B$7/$B$6)-H2*LN(F2/$B$8))</f>
        <v>0.3715218713950364</v>
      </c>
    </row>
    <row r="3" spans="1:9" ht="15.75" x14ac:dyDescent="0.25">
      <c r="A3" s="1" t="s">
        <v>1</v>
      </c>
      <c r="B3" s="3">
        <f>B4-B2</f>
        <v>0.63</v>
      </c>
      <c r="C3" s="4">
        <v>39.944000000000003</v>
      </c>
      <c r="D3" s="2">
        <f>B3/C3</f>
        <v>1.5772080913278589E-2</v>
      </c>
      <c r="E3" s="2">
        <f>D3/$D$4</f>
        <v>0.54426235978755044</v>
      </c>
      <c r="F3" s="2">
        <f>E3*$F$4</f>
        <v>0.54426235978755044</v>
      </c>
      <c r="G3" s="4">
        <v>0.52329999999999999</v>
      </c>
      <c r="H3" s="5">
        <f>21.22*0.00980665</f>
        <v>0.208097113</v>
      </c>
      <c r="I3" s="6">
        <f>B3*(G3*LN($B$7/$B$6)-H3*LN(F3/$B$8))</f>
        <v>0.32418057805572248</v>
      </c>
    </row>
    <row r="4" spans="1:9" ht="15.75" x14ac:dyDescent="0.25">
      <c r="A4" t="s">
        <v>15</v>
      </c>
      <c r="B4" s="4">
        <v>1</v>
      </c>
      <c r="D4" s="2">
        <f>SUM(D2:D3)</f>
        <v>2.8978819919560715E-2</v>
      </c>
      <c r="F4" s="1">
        <f>B8</f>
        <v>1</v>
      </c>
      <c r="I4" s="6">
        <f>SUM(I2:I3)</f>
        <v>0.69570244945075888</v>
      </c>
    </row>
    <row r="6" spans="1:9" x14ac:dyDescent="0.25">
      <c r="A6" s="1" t="s">
        <v>9</v>
      </c>
      <c r="B6" s="4">
        <v>273</v>
      </c>
      <c r="C6" s="1" t="s">
        <v>11</v>
      </c>
    </row>
    <row r="7" spans="1:9" x14ac:dyDescent="0.25">
      <c r="A7" s="1" t="s">
        <v>10</v>
      </c>
      <c r="B7" s="4">
        <f>300+273</f>
        <v>573</v>
      </c>
      <c r="C7" s="1" t="s">
        <v>11</v>
      </c>
    </row>
    <row r="8" spans="1:9" x14ac:dyDescent="0.25">
      <c r="A8" s="1" t="s">
        <v>12</v>
      </c>
      <c r="B8" s="4">
        <v>1</v>
      </c>
      <c r="C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2021-07-31T14:46:56Z</dcterms:created>
  <dcterms:modified xsi:type="dcterms:W3CDTF">2021-07-31T15:40:07Z</dcterms:modified>
</cp:coreProperties>
</file>