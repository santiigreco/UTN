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23040" windowHeight="9675"/>
  </bookViews>
  <sheets>
    <sheet name="Hoja1" sheetId="1" r:id="rId1"/>
  </sheets>
  <calcPr calcId="162913" iterate="1" iterateCount="1000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1" i="1"/>
  <c r="B12" i="1"/>
  <c r="B10" i="1"/>
  <c r="B9" i="1"/>
  <c r="B8" i="1"/>
  <c r="E3" i="1"/>
  <c r="B5" i="1"/>
  <c r="B3" i="1"/>
  <c r="E5" i="1"/>
  <c r="F5" i="1"/>
</calcChain>
</file>

<file path=xl/sharedStrings.xml><?xml version="1.0" encoding="utf-8"?>
<sst xmlns="http://schemas.openxmlformats.org/spreadsheetml/2006/main" count="17" uniqueCount="16">
  <si>
    <t>p</t>
  </si>
  <si>
    <t>t</t>
  </si>
  <si>
    <t>h</t>
  </si>
  <si>
    <t>s</t>
  </si>
  <si>
    <t>x</t>
  </si>
  <si>
    <t>Q2</t>
  </si>
  <si>
    <t>kJ/h</t>
  </si>
  <si>
    <t>q2</t>
  </si>
  <si>
    <t>kJ/kg</t>
  </si>
  <si>
    <t>kg/h</t>
  </si>
  <si>
    <t>m</t>
  </si>
  <si>
    <t>kg/s</t>
  </si>
  <si>
    <t>Q1</t>
  </si>
  <si>
    <t>kW</t>
  </si>
  <si>
    <t>Wc</t>
  </si>
  <si>
    <t>εf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</si>
</sst>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0.00000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4" sqref="A14"/>
    </sheetView>
  </sheetViews>
  <sheetFormatPr baseColWidth="10" defaultRowHeight="15" x14ac:dyDescent="0.25"/>
  <sheetData>
    <row r="1" spans="1:6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>
        <v>1</v>
      </c>
      <c r="B2">
        <v>0.93098000000000003</v>
      </c>
      <c r="C2">
        <v>-35</v>
      </c>
      <c r="D2">
        <v>1558.8</v>
      </c>
      <c r="E2">
        <v>6.6231999999999998</v>
      </c>
    </row>
    <row r="3" spans="1:6" x14ac:dyDescent="0.25">
      <c r="A3">
        <v>2</v>
      </c>
      <c r="B3">
        <f>B4</f>
        <v>8.5747999999999998</v>
      </c>
      <c r="C3">
        <v>123.26</v>
      </c>
      <c r="D3">
        <v>1887.4</v>
      </c>
      <c r="E3">
        <f>E2</f>
        <v>6.6231999999999998</v>
      </c>
    </row>
    <row r="4" spans="1:6" x14ac:dyDescent="0.25">
      <c r="A4">
        <v>3</v>
      </c>
      <c r="B4">
        <v>8.5747999999999998</v>
      </c>
      <c r="C4">
        <v>20</v>
      </c>
      <c r="D4">
        <v>436.94</v>
      </c>
      <c r="E4">
        <v>1.8005</v>
      </c>
    </row>
    <row r="5" spans="1:6" x14ac:dyDescent="0.25">
      <c r="A5">
        <v>4</v>
      </c>
      <c r="B5">
        <f>B2</f>
        <v>0.93098000000000003</v>
      </c>
      <c r="C5">
        <v>-35</v>
      </c>
      <c r="D5">
        <v>436.94</v>
      </c>
      <c r="E5" s="3">
        <f>F5*(6.6232-0.85219)+0.85219</f>
        <v>1.9123136863321497</v>
      </c>
      <c r="F5" s="1">
        <f>(D5-184.48)/(1558.8-184.48)</f>
        <v>0.18369811979742712</v>
      </c>
    </row>
    <row r="7" spans="1:6" x14ac:dyDescent="0.25">
      <c r="A7" t="s">
        <v>5</v>
      </c>
      <c r="B7">
        <v>50000</v>
      </c>
      <c r="C7" t="s">
        <v>6</v>
      </c>
    </row>
    <row r="8" spans="1:6" x14ac:dyDescent="0.25">
      <c r="A8" t="s">
        <v>7</v>
      </c>
      <c r="B8">
        <f>D2-D5</f>
        <v>1121.8599999999999</v>
      </c>
      <c r="C8" t="s">
        <v>8</v>
      </c>
    </row>
    <row r="9" spans="1:6" x14ac:dyDescent="0.25">
      <c r="A9" s="5" t="s">
        <v>10</v>
      </c>
      <c r="B9" s="6">
        <f>B7/B8</f>
        <v>44.568841031857815</v>
      </c>
      <c r="C9" t="s">
        <v>9</v>
      </c>
    </row>
    <row r="10" spans="1:6" x14ac:dyDescent="0.25">
      <c r="A10" s="5"/>
      <c r="B10" s="2">
        <f>B9/3600</f>
        <v>1.2380233619960504E-2</v>
      </c>
      <c r="C10" t="s">
        <v>11</v>
      </c>
    </row>
    <row r="11" spans="1:6" x14ac:dyDescent="0.25">
      <c r="A11" t="s">
        <v>12</v>
      </c>
      <c r="B11" s="6">
        <f>B10*(D4-D3)</f>
        <v>-17.957033656407912</v>
      </c>
      <c r="C11" t="s">
        <v>13</v>
      </c>
    </row>
    <row r="12" spans="1:6" x14ac:dyDescent="0.25">
      <c r="A12" t="s">
        <v>14</v>
      </c>
      <c r="B12" s="6">
        <f>B10*(D2-D3)</f>
        <v>-4.0681447675190237</v>
      </c>
      <c r="C12" t="s">
        <v>13</v>
      </c>
    </row>
    <row r="13" spans="1:6" x14ac:dyDescent="0.25">
      <c r="A13" s="7" t="s">
        <v>15</v>
      </c>
      <c r="B13" s="6">
        <f>B10*B8/ABS(B12)</f>
        <v>3.4140596469872162</v>
      </c>
    </row>
  </sheetData>
  <mergeCells count="1">
    <mergeCell ref="A9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2020-10-22T13:36:31Z</dcterms:created>
  <dcterms:modified xsi:type="dcterms:W3CDTF">2020-10-22T20:58:37Z</dcterms:modified>
</cp:coreProperties>
</file>