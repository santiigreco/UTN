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TERMO\TERMOYMT\ACCESO ALUMNOS\TP\"/>
    </mc:Choice>
  </mc:AlternateContent>
  <bookViews>
    <workbookView xWindow="0" yWindow="0" windowWidth="28800" windowHeight="1291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" l="1"/>
  <c r="B18" i="1" s="1"/>
  <c r="B20" i="1" s="1"/>
  <c r="B7" i="1" l="1"/>
  <c r="B8" i="1" s="1"/>
  <c r="B24" i="1" l="1"/>
  <c r="B10" i="1"/>
  <c r="B26" i="1" l="1"/>
</calcChain>
</file>

<file path=xl/sharedStrings.xml><?xml version="1.0" encoding="utf-8"?>
<sst xmlns="http://schemas.openxmlformats.org/spreadsheetml/2006/main" count="31" uniqueCount="24">
  <si>
    <t>t1</t>
  </si>
  <si>
    <t>ºC</t>
  </si>
  <si>
    <t>p1</t>
  </si>
  <si>
    <t>bar</t>
  </si>
  <si>
    <t>phi</t>
  </si>
  <si>
    <t>pvs1</t>
  </si>
  <si>
    <t>pv1</t>
  </si>
  <si>
    <t>x1</t>
  </si>
  <si>
    <t>kgH2O/kgAS</t>
  </si>
  <si>
    <t>h1</t>
  </si>
  <si>
    <t>p2</t>
  </si>
  <si>
    <t>t2</t>
  </si>
  <si>
    <t>pvs2</t>
  </si>
  <si>
    <t>pv2</t>
  </si>
  <si>
    <t>x2</t>
  </si>
  <si>
    <t>h2</t>
  </si>
  <si>
    <t>kJ/kgAS</t>
  </si>
  <si>
    <t>mah1</t>
  </si>
  <si>
    <t>kg/h</t>
  </si>
  <si>
    <t>mas</t>
  </si>
  <si>
    <t>kgAS/h</t>
  </si>
  <si>
    <t>W</t>
  </si>
  <si>
    <t>kJ/h</t>
  </si>
  <si>
    <t>bar (DE TABLAS)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</si>
</sst>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9" fontId="0" fillId="2" borderId="0" xfId="0" applyNumberFormat="1" applyFill="1"/>
    <xf numFmtId="0" fontId="1" fillId="3" borderId="1" xfId="0" applyFont="1" applyFill="1" applyBorder="1"/>
    <xf numFmtId="165" fontId="1" fillId="3" borderId="2" xfId="0" applyNumberFormat="1" applyFont="1" applyFill="1" applyBorder="1"/>
    <xf numFmtId="0" fontId="1" fillId="3" borderId="3" xfId="0" applyFont="1" applyFill="1" applyBorder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6"/>
  <sheetViews>
    <sheetView tabSelected="1" workbookViewId="0">
      <selection activeCell="B16" sqref="B16"/>
    </sheetView>
  </sheetViews>
  <sheetFormatPr baseColWidth="10" defaultRowHeight="15" x14ac:dyDescent="0.25"/>
  <cols>
    <col min="3" max="3" width="11.85546875" bestFit="1" customWidth="1"/>
  </cols>
  <sheetData>
    <row r="2" spans="1:3" x14ac:dyDescent="0.25">
      <c r="A2" t="s">
        <v>0</v>
      </c>
      <c r="B2" s="4">
        <v>170</v>
      </c>
      <c r="C2" t="s">
        <v>1</v>
      </c>
    </row>
    <row r="3" spans="1:3" x14ac:dyDescent="0.25">
      <c r="A3" t="s">
        <v>2</v>
      </c>
      <c r="B3" s="4">
        <v>10</v>
      </c>
      <c r="C3" t="s">
        <v>3</v>
      </c>
    </row>
    <row r="4" spans="1:3" x14ac:dyDescent="0.25">
      <c r="A4" t="s">
        <v>4</v>
      </c>
      <c r="B4" s="5">
        <v>0.25</v>
      </c>
    </row>
    <row r="6" spans="1:3" x14ac:dyDescent="0.25">
      <c r="A6" t="s">
        <v>5</v>
      </c>
      <c r="B6" s="9">
        <v>7.9205318368769371</v>
      </c>
      <c r="C6" t="s">
        <v>23</v>
      </c>
    </row>
    <row r="7" spans="1:3" x14ac:dyDescent="0.25">
      <c r="A7" t="s">
        <v>6</v>
      </c>
      <c r="B7" s="2">
        <f>B4*B6</f>
        <v>1.9801329592192343</v>
      </c>
      <c r="C7" t="s">
        <v>3</v>
      </c>
    </row>
    <row r="8" spans="1:3" x14ac:dyDescent="0.25">
      <c r="A8" t="s">
        <v>7</v>
      </c>
      <c r="B8" s="2">
        <f>0.622*B7/(B3-B7)</f>
        <v>0.15357395507575131</v>
      </c>
      <c r="C8" t="s">
        <v>8</v>
      </c>
    </row>
    <row r="10" spans="1:3" x14ac:dyDescent="0.25">
      <c r="A10" t="s">
        <v>9</v>
      </c>
      <c r="B10">
        <f>1.005*B2+B8*(2501+1.864*B2)</f>
        <v>603.60297652885811</v>
      </c>
      <c r="C10" t="s">
        <v>16</v>
      </c>
    </row>
    <row r="12" spans="1:3" x14ac:dyDescent="0.25">
      <c r="A12" t="s">
        <v>11</v>
      </c>
      <c r="B12" s="4">
        <v>30</v>
      </c>
      <c r="C12" t="s">
        <v>1</v>
      </c>
    </row>
    <row r="13" spans="1:3" x14ac:dyDescent="0.25">
      <c r="A13" t="s">
        <v>10</v>
      </c>
      <c r="B13" s="4">
        <v>0.2</v>
      </c>
      <c r="C13" t="s">
        <v>3</v>
      </c>
    </row>
    <row r="14" spans="1:3" x14ac:dyDescent="0.25">
      <c r="B14" s="5">
        <v>0.9</v>
      </c>
    </row>
    <row r="15" spans="1:3" x14ac:dyDescent="0.25">
      <c r="B15" s="1"/>
    </row>
    <row r="16" spans="1:3" x14ac:dyDescent="0.25">
      <c r="A16" t="s">
        <v>12</v>
      </c>
      <c r="B16" s="9">
        <v>4.2466883405480646E-2</v>
      </c>
      <c r="C16" t="s">
        <v>23</v>
      </c>
    </row>
    <row r="17" spans="1:3" x14ac:dyDescent="0.25">
      <c r="A17" t="s">
        <v>13</v>
      </c>
      <c r="B17">
        <f>B14*B16</f>
        <v>3.8220195064932586E-2</v>
      </c>
      <c r="C17" t="s">
        <v>3</v>
      </c>
    </row>
    <row r="18" spans="1:3" x14ac:dyDescent="0.25">
      <c r="A18" t="s">
        <v>14</v>
      </c>
      <c r="B18">
        <f>0.622*B17/(B13-B17)</f>
        <v>0.14694640866905284</v>
      </c>
      <c r="C18" t="s">
        <v>8</v>
      </c>
    </row>
    <row r="20" spans="1:3" x14ac:dyDescent="0.25">
      <c r="A20" t="s">
        <v>15</v>
      </c>
      <c r="B20">
        <f>1.005*B12+B18*(2501+1.864*B12)</f>
        <v>405.8802112540746</v>
      </c>
      <c r="C20" t="s">
        <v>16</v>
      </c>
    </row>
    <row r="23" spans="1:3" x14ac:dyDescent="0.25">
      <c r="A23" t="s">
        <v>17</v>
      </c>
      <c r="B23" s="4">
        <v>100</v>
      </c>
      <c r="C23" t="s">
        <v>18</v>
      </c>
    </row>
    <row r="24" spans="1:3" x14ac:dyDescent="0.25">
      <c r="A24" t="s">
        <v>19</v>
      </c>
      <c r="B24" s="3">
        <f>B23/(1+B8)</f>
        <v>86.687116643018641</v>
      </c>
      <c r="C24" t="s">
        <v>20</v>
      </c>
    </row>
    <row r="26" spans="1:3" x14ac:dyDescent="0.25">
      <c r="A26" s="6" t="s">
        <v>21</v>
      </c>
      <c r="B26" s="7">
        <f>B24*(B10-B20)</f>
        <v>17140.016416355353</v>
      </c>
      <c r="C26" s="8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AGREST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dcterms:created xsi:type="dcterms:W3CDTF">2020-06-08T12:05:13Z</dcterms:created>
  <dcterms:modified xsi:type="dcterms:W3CDTF">2020-06-08T16:26:08Z</dcterms:modified>
</cp:coreProperties>
</file>