
<file path=[Content_Types].xml><?xml version="1.0" encoding="utf-8"?>
<Types xmlns="http://schemas.openxmlformats.org/package/2006/content-types">
  <Default Extension="png" ContentType="image/png"/>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mbeddings/oleObject3.bin" ContentType="application/vnd.openxmlformats-officedocument.oleObject"/>
  <Override PartName="/xl/embeddings/oleObject4.bin" ContentType="application/vnd.openxmlformats-officedocument.oleObject"/>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mbeddings/oleObject1.bin" ContentType="application/vnd.openxmlformats-officedocument.oleObject"/>
  <Override PartName="/xl/embeddings/oleObject2.bin" ContentType="application/vnd.openxmlformats-officedocument.oleObject"/>
  <Override PartName="/xl/drawings/drawing2.xml" ContentType="application/vnd.openxmlformats-officedocument.drawing+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20490" windowHeight="7620" tabRatio="584"/>
  </bookViews>
  <sheets>
    <sheet name="CARATULA" sheetId="1" r:id="rId1"/>
    <sheet name="Consideraciones" sheetId="2" r:id="rId2"/>
    <sheet name="Memoria descriptiva" sheetId="3" r:id="rId3"/>
    <sheet name="EJ.1" sheetId="4" r:id="rId4"/>
    <sheet name="EJ.2" sheetId="5" r:id="rId5"/>
    <sheet name="EJ.3" sheetId="6" r:id="rId6"/>
    <sheet name="EJ.4" sheetId="7" r:id="rId7"/>
    <sheet name="EJ.5" sheetId="8" r:id="rId8"/>
  </sheets>
  <externalReferences>
    <externalReference r:id="rId9"/>
  </externalReferences>
  <calcPr calcId="162913"/>
</workbook>
</file>

<file path=xl/calcChain.xml><?xml version="1.0" encoding="utf-8"?>
<calcChain xmlns="http://schemas.openxmlformats.org/spreadsheetml/2006/main">
  <c r="H22" i="6"/>
  <c r="L100" i="5"/>
  <c r="L99"/>
  <c r="L98"/>
  <c r="L77"/>
  <c r="L78"/>
  <c r="L76"/>
  <c r="L75"/>
  <c r="L56"/>
  <c r="L55"/>
  <c r="L54"/>
  <c r="L29"/>
  <c r="L28"/>
  <c r="L27"/>
  <c r="L26"/>
  <c r="L25"/>
  <c r="L24"/>
  <c r="L23"/>
  <c r="L135"/>
  <c r="L138"/>
  <c r="L137"/>
  <c r="L136"/>
  <c r="L27" i="4"/>
  <c r="L26"/>
  <c r="L25"/>
  <c r="L24"/>
  <c r="E33" i="6"/>
  <c r="D33"/>
  <c r="C33"/>
  <c r="E14"/>
  <c r="E13"/>
  <c r="D13"/>
  <c r="C13"/>
  <c r="E26"/>
  <c r="D27"/>
  <c r="D14"/>
  <c r="F27"/>
  <c r="S44" i="7"/>
  <c r="E53"/>
  <c r="S38"/>
  <c r="E51"/>
  <c r="Q36"/>
  <c r="I135" i="5"/>
  <c r="G135"/>
  <c r="F135"/>
  <c r="F130"/>
  <c r="L141"/>
  <c r="L140"/>
  <c r="L139"/>
  <c r="H135"/>
  <c r="K131"/>
  <c r="I131"/>
  <c r="F131"/>
  <c r="L117"/>
  <c r="L116"/>
  <c r="G116"/>
  <c r="F116"/>
  <c r="L122"/>
  <c r="L121"/>
  <c r="L120"/>
  <c r="L119"/>
  <c r="L118"/>
  <c r="H116"/>
  <c r="I116"/>
  <c r="I112"/>
  <c r="K112"/>
  <c r="F112"/>
  <c r="F111"/>
  <c r="L102"/>
  <c r="L101"/>
  <c r="L97"/>
  <c r="L96"/>
  <c r="G96"/>
  <c r="F96"/>
  <c r="I92"/>
  <c r="K92"/>
  <c r="F91"/>
  <c r="H96"/>
  <c r="I96"/>
  <c r="K96"/>
  <c r="F92"/>
  <c r="L57"/>
  <c r="L58"/>
  <c r="L59"/>
  <c r="L60"/>
  <c r="G75"/>
  <c r="F75"/>
  <c r="F71"/>
  <c r="F70"/>
  <c r="L81"/>
  <c r="L80"/>
  <c r="L79"/>
  <c r="H75"/>
  <c r="I75"/>
  <c r="I71"/>
  <c r="K71"/>
  <c r="F49"/>
  <c r="F50"/>
  <c r="I50"/>
  <c r="K50"/>
  <c r="F54"/>
  <c r="G54"/>
  <c r="H54"/>
  <c r="I54"/>
  <c r="F18"/>
  <c r="I19"/>
  <c r="G23"/>
  <c r="F23"/>
  <c r="K116"/>
  <c r="J96"/>
  <c r="F19"/>
  <c r="K19"/>
  <c r="H23"/>
  <c r="I23"/>
  <c r="G53" i="4"/>
  <c r="G52"/>
  <c r="M142"/>
  <c r="M141"/>
  <c r="M122"/>
  <c r="M123"/>
  <c r="M124"/>
  <c r="M125"/>
  <c r="M126"/>
  <c r="M127"/>
  <c r="M128"/>
  <c r="M129"/>
  <c r="M130"/>
  <c r="M131"/>
  <c r="M132"/>
  <c r="M133"/>
  <c r="M134"/>
  <c r="M135"/>
  <c r="M136"/>
  <c r="M137"/>
  <c r="M138"/>
  <c r="M139"/>
  <c r="M140"/>
  <c r="M121"/>
  <c r="M58"/>
  <c r="M59"/>
  <c r="M60"/>
  <c r="M61"/>
  <c r="M62"/>
  <c r="M63"/>
  <c r="M64"/>
  <c r="M65"/>
  <c r="M66"/>
  <c r="M67"/>
  <c r="M68"/>
  <c r="M69"/>
  <c r="M70"/>
  <c r="M71"/>
  <c r="M72"/>
  <c r="M73"/>
  <c r="M74"/>
  <c r="M75"/>
  <c r="M76"/>
  <c r="M57"/>
  <c r="M94"/>
  <c r="M95"/>
  <c r="M96"/>
  <c r="M97"/>
  <c r="M98"/>
  <c r="M99"/>
  <c r="M100"/>
  <c r="M101"/>
  <c r="M102"/>
  <c r="M103"/>
  <c r="M104"/>
  <c r="M105"/>
  <c r="M106"/>
  <c r="M107"/>
  <c r="M108"/>
  <c r="M91"/>
  <c r="M92"/>
  <c r="M93"/>
  <c r="M90"/>
  <c r="M89"/>
  <c r="G116"/>
  <c r="G117"/>
  <c r="J117"/>
  <c r="L117"/>
  <c r="H121"/>
  <c r="G121"/>
  <c r="I121"/>
  <c r="J121"/>
  <c r="H90"/>
  <c r="J89"/>
  <c r="H89"/>
  <c r="G89"/>
  <c r="K89"/>
  <c r="E90"/>
  <c r="G90"/>
  <c r="G85"/>
  <c r="G84"/>
  <c r="I89"/>
  <c r="L85"/>
  <c r="J85"/>
  <c r="H57"/>
  <c r="G57"/>
  <c r="I57"/>
  <c r="J57"/>
  <c r="L57"/>
  <c r="L53"/>
  <c r="J53"/>
  <c r="L43"/>
  <c r="L42"/>
  <c r="L41"/>
  <c r="L40"/>
  <c r="L39"/>
  <c r="L38"/>
  <c r="L37"/>
  <c r="L36"/>
  <c r="L35"/>
  <c r="L34"/>
  <c r="L33"/>
  <c r="L32"/>
  <c r="L31"/>
  <c r="L30"/>
  <c r="L29"/>
  <c r="L28"/>
  <c r="G24"/>
  <c r="I24"/>
  <c r="H24"/>
  <c r="F24"/>
  <c r="K121"/>
  <c r="F122"/>
  <c r="H122"/>
  <c r="L121"/>
  <c r="L89"/>
  <c r="F90"/>
  <c r="I90"/>
  <c r="J90"/>
  <c r="L90"/>
  <c r="K57"/>
  <c r="E122"/>
  <c r="J20"/>
  <c r="L20"/>
  <c r="G20"/>
  <c r="G19"/>
  <c r="D77" i="8"/>
  <c r="F77"/>
  <c r="G77"/>
  <c r="D76"/>
  <c r="D75"/>
  <c r="F75"/>
  <c r="G75"/>
  <c r="F76"/>
  <c r="G76"/>
  <c r="E59"/>
  <c r="I63"/>
  <c r="I61"/>
  <c r="I59"/>
  <c r="E63"/>
  <c r="D63"/>
  <c r="C63"/>
  <c r="E61"/>
  <c r="D61"/>
  <c r="C61"/>
  <c r="D59"/>
  <c r="C59"/>
  <c r="E47"/>
  <c r="G47"/>
  <c r="H47"/>
  <c r="E46"/>
  <c r="G46"/>
  <c r="H46"/>
  <c r="E45"/>
  <c r="G45"/>
  <c r="H45"/>
  <c r="G49"/>
  <c r="I35"/>
  <c r="E35"/>
  <c r="D35"/>
  <c r="I33"/>
  <c r="E33"/>
  <c r="C42" i="7"/>
  <c r="D40"/>
  <c r="H40"/>
  <c r="H42"/>
  <c r="D42"/>
  <c r="C40"/>
  <c r="F37" i="1"/>
  <c r="J23" i="5"/>
  <c r="K23"/>
  <c r="D24"/>
  <c r="E24"/>
  <c r="G24"/>
  <c r="F79" i="8"/>
  <c r="G122" i="4"/>
  <c r="I122"/>
  <c r="J122"/>
  <c r="K90"/>
  <c r="J135" i="5"/>
  <c r="K135"/>
  <c r="E42" i="6"/>
  <c r="D43"/>
  <c r="I39"/>
  <c r="E58" i="4"/>
  <c r="F58"/>
  <c r="H58"/>
  <c r="J24"/>
  <c r="K24"/>
  <c r="D97" i="5"/>
  <c r="E97"/>
  <c r="G97"/>
  <c r="J54"/>
  <c r="K54"/>
  <c r="J75"/>
  <c r="K75"/>
  <c r="J116"/>
  <c r="C14" i="6"/>
  <c r="E27"/>
  <c r="D28"/>
  <c r="E15"/>
  <c r="C15"/>
  <c r="F28"/>
  <c r="E28"/>
  <c r="D29"/>
  <c r="D15"/>
  <c r="E117" i="5"/>
  <c r="G117"/>
  <c r="D117"/>
  <c r="D76"/>
  <c r="E76"/>
  <c r="G76"/>
  <c r="E55"/>
  <c r="G55"/>
  <c r="D55"/>
  <c r="H97"/>
  <c r="I97"/>
  <c r="F97"/>
  <c r="D25" i="4"/>
  <c r="E25"/>
  <c r="G25"/>
  <c r="I58"/>
  <c r="J58"/>
  <c r="G58"/>
  <c r="E34" i="6"/>
  <c r="C34"/>
  <c r="D34"/>
  <c r="E136" i="5"/>
  <c r="G136"/>
  <c r="D136"/>
  <c r="F24"/>
  <c r="H24"/>
  <c r="I24"/>
  <c r="F91" i="4"/>
  <c r="H91"/>
  <c r="E91"/>
  <c r="K122"/>
  <c r="L122"/>
  <c r="G91"/>
  <c r="I91"/>
  <c r="J91"/>
  <c r="H136" i="5"/>
  <c r="I136"/>
  <c r="F136"/>
  <c r="H25" i="4"/>
  <c r="I25"/>
  <c r="F25"/>
  <c r="H76" i="5"/>
  <c r="I76"/>
  <c r="F76"/>
  <c r="D16" i="6"/>
  <c r="C16"/>
  <c r="F29"/>
  <c r="E16"/>
  <c r="E29"/>
  <c r="I27"/>
  <c r="F123" i="4"/>
  <c r="H123"/>
  <c r="E123"/>
  <c r="K24" i="5"/>
  <c r="J24"/>
  <c r="K58" i="4"/>
  <c r="L58"/>
  <c r="K97" i="5"/>
  <c r="J97"/>
  <c r="F55"/>
  <c r="H55"/>
  <c r="I55"/>
  <c r="F117"/>
  <c r="H117"/>
  <c r="I117"/>
  <c r="E98"/>
  <c r="G98"/>
  <c r="D98"/>
  <c r="D25"/>
  <c r="E25"/>
  <c r="G25"/>
  <c r="G123" i="4"/>
  <c r="I123"/>
  <c r="J123"/>
  <c r="K91"/>
  <c r="L91"/>
  <c r="J117" i="5"/>
  <c r="K117"/>
  <c r="J55"/>
  <c r="K55"/>
  <c r="E59" i="4"/>
  <c r="F59"/>
  <c r="H59"/>
  <c r="J76" i="5"/>
  <c r="K76"/>
  <c r="K25" i="4"/>
  <c r="J25"/>
  <c r="K136" i="5"/>
  <c r="J136"/>
  <c r="D137"/>
  <c r="E137"/>
  <c r="G137"/>
  <c r="E26" i="4"/>
  <c r="G26"/>
  <c r="D26"/>
  <c r="H98" i="5"/>
  <c r="I98"/>
  <c r="F98"/>
  <c r="D77"/>
  <c r="E77"/>
  <c r="G77"/>
  <c r="G59" i="4"/>
  <c r="I59"/>
  <c r="J59"/>
  <c r="E56" i="5"/>
  <c r="G56"/>
  <c r="D56"/>
  <c r="D118"/>
  <c r="E118"/>
  <c r="G118"/>
  <c r="E92" i="4"/>
  <c r="F92"/>
  <c r="H92"/>
  <c r="K123"/>
  <c r="L123"/>
  <c r="H25" i="5"/>
  <c r="I25"/>
  <c r="F25"/>
  <c r="E124" i="4"/>
  <c r="F124"/>
  <c r="H124"/>
  <c r="I92"/>
  <c r="J92"/>
  <c r="G92"/>
  <c r="H118" i="5"/>
  <c r="I118"/>
  <c r="F118"/>
  <c r="K59" i="4"/>
  <c r="L59"/>
  <c r="H77" i="5"/>
  <c r="I77"/>
  <c r="F77"/>
  <c r="F137"/>
  <c r="H137"/>
  <c r="I137"/>
  <c r="K25"/>
  <c r="J25"/>
  <c r="H56"/>
  <c r="I56"/>
  <c r="F56"/>
  <c r="K98"/>
  <c r="J98"/>
  <c r="H26" i="4"/>
  <c r="I26"/>
  <c r="F26"/>
  <c r="J26"/>
  <c r="K26"/>
  <c r="E99" i="5"/>
  <c r="G99"/>
  <c r="D99"/>
  <c r="J56"/>
  <c r="K56"/>
  <c r="D26"/>
  <c r="E26"/>
  <c r="G26"/>
  <c r="K77"/>
  <c r="J77"/>
  <c r="K118"/>
  <c r="J118"/>
  <c r="L92" i="4"/>
  <c r="K92"/>
  <c r="K137" i="5"/>
  <c r="J137"/>
  <c r="E60" i="4"/>
  <c r="F60"/>
  <c r="H60"/>
  <c r="G124"/>
  <c r="I124"/>
  <c r="J124"/>
  <c r="K124"/>
  <c r="L124"/>
  <c r="I60"/>
  <c r="J60"/>
  <c r="G60"/>
  <c r="F26" i="5"/>
  <c r="H26"/>
  <c r="I26"/>
  <c r="D57"/>
  <c r="E57"/>
  <c r="G57"/>
  <c r="D27" i="4"/>
  <c r="E27"/>
  <c r="G27"/>
  <c r="D138" i="5"/>
  <c r="E138"/>
  <c r="G138"/>
  <c r="E93" i="4"/>
  <c r="F93"/>
  <c r="H93"/>
  <c r="D119" i="5"/>
  <c r="E119"/>
  <c r="G119"/>
  <c r="E78"/>
  <c r="G78"/>
  <c r="D78"/>
  <c r="H99"/>
  <c r="I99"/>
  <c r="F99"/>
  <c r="J99"/>
  <c r="K99"/>
  <c r="F78"/>
  <c r="H78"/>
  <c r="I78"/>
  <c r="L60" i="4"/>
  <c r="K60"/>
  <c r="F119" i="5"/>
  <c r="H119"/>
  <c r="I119"/>
  <c r="I93" i="4"/>
  <c r="J93"/>
  <c r="G93"/>
  <c r="F138" i="5"/>
  <c r="H138"/>
  <c r="I138"/>
  <c r="F27" i="4"/>
  <c r="H27"/>
  <c r="I27"/>
  <c r="H57" i="5"/>
  <c r="I57"/>
  <c r="F57"/>
  <c r="J26"/>
  <c r="K26"/>
  <c r="E125" i="4"/>
  <c r="F125"/>
  <c r="H125"/>
  <c r="G125"/>
  <c r="I125"/>
  <c r="J125"/>
  <c r="E27" i="5"/>
  <c r="G27"/>
  <c r="D27"/>
  <c r="K27" i="4"/>
  <c r="J27"/>
  <c r="K138" i="5"/>
  <c r="J138"/>
  <c r="J119"/>
  <c r="K119"/>
  <c r="K78"/>
  <c r="J78"/>
  <c r="D100"/>
  <c r="E100"/>
  <c r="G100"/>
  <c r="J57"/>
  <c r="K57"/>
  <c r="L93" i="4"/>
  <c r="K93"/>
  <c r="F61"/>
  <c r="H61"/>
  <c r="E61"/>
  <c r="I61"/>
  <c r="J61"/>
  <c r="G61"/>
  <c r="F94"/>
  <c r="H94"/>
  <c r="E94"/>
  <c r="D79" i="5"/>
  <c r="E79"/>
  <c r="G79"/>
  <c r="D139"/>
  <c r="E139"/>
  <c r="G139"/>
  <c r="D28" i="4"/>
  <c r="E28"/>
  <c r="G28"/>
  <c r="H27" i="5"/>
  <c r="I27"/>
  <c r="F27"/>
  <c r="E58"/>
  <c r="G58"/>
  <c r="D58"/>
  <c r="F100"/>
  <c r="H100"/>
  <c r="I100"/>
  <c r="D120"/>
  <c r="E120"/>
  <c r="G120"/>
  <c r="K125" i="4"/>
  <c r="L125"/>
  <c r="E126"/>
  <c r="F126"/>
  <c r="H126"/>
  <c r="F120" i="5"/>
  <c r="H120"/>
  <c r="I120"/>
  <c r="J100"/>
  <c r="K100"/>
  <c r="F28" i="4"/>
  <c r="H28"/>
  <c r="I28"/>
  <c r="F139" i="5"/>
  <c r="H139"/>
  <c r="I139"/>
  <c r="F79"/>
  <c r="H79"/>
  <c r="I79"/>
  <c r="F58"/>
  <c r="H58"/>
  <c r="I58"/>
  <c r="J27"/>
  <c r="K27"/>
  <c r="G94" i="4"/>
  <c r="I94"/>
  <c r="J94"/>
  <c r="L61"/>
  <c r="K61"/>
  <c r="E62"/>
  <c r="F62"/>
  <c r="H62"/>
  <c r="K94"/>
  <c r="L94"/>
  <c r="E28" i="5"/>
  <c r="G28"/>
  <c r="D28"/>
  <c r="J58"/>
  <c r="K58"/>
  <c r="K79"/>
  <c r="J79"/>
  <c r="J139"/>
  <c r="K139"/>
  <c r="J28" i="4"/>
  <c r="K28"/>
  <c r="E101" i="5"/>
  <c r="G101"/>
  <c r="D101"/>
  <c r="J120"/>
  <c r="K120"/>
  <c r="I126" i="4"/>
  <c r="J126"/>
  <c r="G126"/>
  <c r="E121" i="5"/>
  <c r="G121"/>
  <c r="D121"/>
  <c r="D29" i="4"/>
  <c r="E29"/>
  <c r="G29"/>
  <c r="E140" i="5"/>
  <c r="G140"/>
  <c r="D140"/>
  <c r="E59"/>
  <c r="G59"/>
  <c r="D59"/>
  <c r="F95" i="4"/>
  <c r="H95"/>
  <c r="E95"/>
  <c r="G62"/>
  <c r="I62"/>
  <c r="J62"/>
  <c r="K126"/>
  <c r="L126"/>
  <c r="F101" i="5"/>
  <c r="H101"/>
  <c r="I101"/>
  <c r="D80"/>
  <c r="E80"/>
  <c r="G80"/>
  <c r="F28"/>
  <c r="H28"/>
  <c r="I28"/>
  <c r="G95" i="4"/>
  <c r="I95"/>
  <c r="J95"/>
  <c r="H59" i="5"/>
  <c r="I59"/>
  <c r="F59"/>
  <c r="F140"/>
  <c r="H140"/>
  <c r="I140"/>
  <c r="F121"/>
  <c r="H121"/>
  <c r="I121"/>
  <c r="K28"/>
  <c r="J28"/>
  <c r="F80"/>
  <c r="H80"/>
  <c r="I80"/>
  <c r="K101"/>
  <c r="J101"/>
  <c r="E127" i="4"/>
  <c r="F127"/>
  <c r="H127"/>
  <c r="K62"/>
  <c r="L62"/>
  <c r="H29"/>
  <c r="I29"/>
  <c r="F29"/>
  <c r="F63"/>
  <c r="H63"/>
  <c r="E63"/>
  <c r="G127"/>
  <c r="I127"/>
  <c r="J127"/>
  <c r="J80" i="5"/>
  <c r="K80"/>
  <c r="K121"/>
  <c r="J121"/>
  <c r="K140"/>
  <c r="J140"/>
  <c r="K95" i="4"/>
  <c r="L95"/>
  <c r="J29"/>
  <c r="K29"/>
  <c r="E102" i="5"/>
  <c r="G102"/>
  <c r="D102"/>
  <c r="E29"/>
  <c r="G29"/>
  <c r="D29"/>
  <c r="K59"/>
  <c r="J59"/>
  <c r="D60"/>
  <c r="E60"/>
  <c r="G60"/>
  <c r="F29"/>
  <c r="H29"/>
  <c r="H102"/>
  <c r="F102"/>
  <c r="E141"/>
  <c r="G141"/>
  <c r="D141"/>
  <c r="E122"/>
  <c r="G122"/>
  <c r="D122"/>
  <c r="I63" i="4"/>
  <c r="J63"/>
  <c r="G63"/>
  <c r="E30"/>
  <c r="G30"/>
  <c r="D30"/>
  <c r="F96"/>
  <c r="H96"/>
  <c r="E96"/>
  <c r="D81" i="5"/>
  <c r="E81"/>
  <c r="G81"/>
  <c r="K127" i="4"/>
  <c r="L127"/>
  <c r="E128"/>
  <c r="F128"/>
  <c r="H128"/>
  <c r="F81" i="5"/>
  <c r="H81"/>
  <c r="I102"/>
  <c r="F105"/>
  <c r="F60"/>
  <c r="H60"/>
  <c r="G96" i="4"/>
  <c r="I96"/>
  <c r="J96"/>
  <c r="F30"/>
  <c r="H30"/>
  <c r="I30"/>
  <c r="L63"/>
  <c r="K63"/>
  <c r="F122" i="5"/>
  <c r="H122"/>
  <c r="F141"/>
  <c r="H141"/>
  <c r="J102"/>
  <c r="K102"/>
  <c r="F33"/>
  <c r="I29"/>
  <c r="K29"/>
  <c r="F144"/>
  <c r="I141"/>
  <c r="J141"/>
  <c r="F125"/>
  <c r="I122"/>
  <c r="J122"/>
  <c r="F64" i="4"/>
  <c r="H64"/>
  <c r="E64"/>
  <c r="F63" i="5"/>
  <c r="I60"/>
  <c r="K60"/>
  <c r="J29"/>
  <c r="I81"/>
  <c r="K81"/>
  <c r="F84"/>
  <c r="K141"/>
  <c r="K122"/>
  <c r="J30" i="4"/>
  <c r="K30"/>
  <c r="L96"/>
  <c r="K96"/>
  <c r="J60" i="5"/>
  <c r="J81"/>
  <c r="G128" i="4"/>
  <c r="I128"/>
  <c r="J128"/>
  <c r="L128"/>
  <c r="K128"/>
  <c r="D31"/>
  <c r="E31"/>
  <c r="G31"/>
  <c r="I64"/>
  <c r="J64"/>
  <c r="G64"/>
  <c r="F97"/>
  <c r="H97"/>
  <c r="E97"/>
  <c r="I97"/>
  <c r="J97"/>
  <c r="G97"/>
  <c r="K64"/>
  <c r="L64"/>
  <c r="E129"/>
  <c r="F129"/>
  <c r="H129"/>
  <c r="F31"/>
  <c r="H31"/>
  <c r="I31"/>
  <c r="J31"/>
  <c r="K31"/>
  <c r="I129"/>
  <c r="J129"/>
  <c r="G129"/>
  <c r="F65"/>
  <c r="H65"/>
  <c r="E65"/>
  <c r="L97"/>
  <c r="K97"/>
  <c r="F98"/>
  <c r="H98"/>
  <c r="E98"/>
  <c r="G65"/>
  <c r="I65"/>
  <c r="J65"/>
  <c r="L129"/>
  <c r="K129"/>
  <c r="D32"/>
  <c r="E32"/>
  <c r="G32"/>
  <c r="F32"/>
  <c r="H32"/>
  <c r="I32"/>
  <c r="L65"/>
  <c r="K65"/>
  <c r="E130"/>
  <c r="F130"/>
  <c r="H130"/>
  <c r="I98"/>
  <c r="J98"/>
  <c r="G98"/>
  <c r="K98"/>
  <c r="L98"/>
  <c r="E66"/>
  <c r="F66"/>
  <c r="H66"/>
  <c r="G130"/>
  <c r="I130"/>
  <c r="J130"/>
  <c r="J32"/>
  <c r="K32"/>
  <c r="E33"/>
  <c r="G33"/>
  <c r="D33"/>
  <c r="K130"/>
  <c r="L130"/>
  <c r="G66"/>
  <c r="I66"/>
  <c r="J66"/>
  <c r="E99"/>
  <c r="F99"/>
  <c r="H99"/>
  <c r="F33"/>
  <c r="H33"/>
  <c r="I33"/>
  <c r="G99"/>
  <c r="I99"/>
  <c r="J99"/>
  <c r="L66"/>
  <c r="K66"/>
  <c r="F131"/>
  <c r="H131"/>
  <c r="E131"/>
  <c r="L99"/>
  <c r="K99"/>
  <c r="J33"/>
  <c r="K33"/>
  <c r="G131"/>
  <c r="I131"/>
  <c r="J131"/>
  <c r="E67"/>
  <c r="F67"/>
  <c r="H67"/>
  <c r="E100"/>
  <c r="F100"/>
  <c r="H100"/>
  <c r="I67"/>
  <c r="J67"/>
  <c r="G67"/>
  <c r="L131"/>
  <c r="K131"/>
  <c r="D34"/>
  <c r="E34"/>
  <c r="G34"/>
  <c r="H34"/>
  <c r="I34"/>
  <c r="F34"/>
  <c r="G100"/>
  <c r="I100"/>
  <c r="J100"/>
  <c r="F132"/>
  <c r="H132"/>
  <c r="E132"/>
  <c r="K67"/>
  <c r="L67"/>
  <c r="G132"/>
  <c r="I132"/>
  <c r="J132"/>
  <c r="K34"/>
  <c r="J34"/>
  <c r="F68"/>
  <c r="H68"/>
  <c r="E68"/>
  <c r="K100"/>
  <c r="L100"/>
  <c r="F101"/>
  <c r="H101"/>
  <c r="E101"/>
  <c r="K132"/>
  <c r="L132"/>
  <c r="G68"/>
  <c r="I68"/>
  <c r="J68"/>
  <c r="E35"/>
  <c r="G35"/>
  <c r="D35"/>
  <c r="F35"/>
  <c r="H35"/>
  <c r="I35"/>
  <c r="G101"/>
  <c r="I101"/>
  <c r="J101"/>
  <c r="L68"/>
  <c r="K68"/>
  <c r="E133"/>
  <c r="F133"/>
  <c r="H133"/>
  <c r="G133"/>
  <c r="I133"/>
  <c r="J133"/>
  <c r="K101"/>
  <c r="L101"/>
  <c r="K35"/>
  <c r="J35"/>
  <c r="E69"/>
  <c r="F69"/>
  <c r="H69"/>
  <c r="D36"/>
  <c r="E36"/>
  <c r="G36"/>
  <c r="I69"/>
  <c r="J69"/>
  <c r="G69"/>
  <c r="F102"/>
  <c r="H102"/>
  <c r="E102"/>
  <c r="L133"/>
  <c r="K133"/>
  <c r="H36"/>
  <c r="I36"/>
  <c r="F36"/>
  <c r="F134"/>
  <c r="H134"/>
  <c r="E134"/>
  <c r="I102"/>
  <c r="J102"/>
  <c r="G102"/>
  <c r="K69"/>
  <c r="L69"/>
  <c r="K102"/>
  <c r="L102"/>
  <c r="G134"/>
  <c r="I134"/>
  <c r="J134"/>
  <c r="K36"/>
  <c r="J36"/>
  <c r="F70"/>
  <c r="H70"/>
  <c r="E70"/>
  <c r="L134"/>
  <c r="K134"/>
  <c r="F103"/>
  <c r="H103"/>
  <c r="E103"/>
  <c r="I70"/>
  <c r="J70"/>
  <c r="G70"/>
  <c r="E37"/>
  <c r="G37"/>
  <c r="D37"/>
  <c r="F37"/>
  <c r="H37"/>
  <c r="I37"/>
  <c r="K70"/>
  <c r="L70"/>
  <c r="G103"/>
  <c r="I103"/>
  <c r="J103"/>
  <c r="F135"/>
  <c r="H135"/>
  <c r="E135"/>
  <c r="L103"/>
  <c r="K103"/>
  <c r="E71"/>
  <c r="F71"/>
  <c r="H71"/>
  <c r="J37"/>
  <c r="K37"/>
  <c r="I135"/>
  <c r="J135"/>
  <c r="G135"/>
  <c r="L135"/>
  <c r="K135"/>
  <c r="E104"/>
  <c r="F104"/>
  <c r="H104"/>
  <c r="E38"/>
  <c r="G38"/>
  <c r="D38"/>
  <c r="I71"/>
  <c r="J71"/>
  <c r="G71"/>
  <c r="G104"/>
  <c r="I104"/>
  <c r="J104"/>
  <c r="L71"/>
  <c r="K71"/>
  <c r="H38"/>
  <c r="I38"/>
  <c r="F38"/>
  <c r="F136"/>
  <c r="H136"/>
  <c r="E136"/>
  <c r="G136"/>
  <c r="I136"/>
  <c r="J136"/>
  <c r="K38"/>
  <c r="J38"/>
  <c r="F72"/>
  <c r="H72"/>
  <c r="E72"/>
  <c r="K104"/>
  <c r="L104"/>
  <c r="F105"/>
  <c r="H105"/>
  <c r="E105"/>
  <c r="K136"/>
  <c r="L136"/>
  <c r="G72"/>
  <c r="I72"/>
  <c r="J72"/>
  <c r="E39"/>
  <c r="G39"/>
  <c r="D39"/>
  <c r="F39"/>
  <c r="H39"/>
  <c r="I39"/>
  <c r="G105"/>
  <c r="I105"/>
  <c r="J105"/>
  <c r="K72"/>
  <c r="L72"/>
  <c r="E137"/>
  <c r="F137"/>
  <c r="H137"/>
  <c r="G137"/>
  <c r="I137"/>
  <c r="J137"/>
  <c r="F73"/>
  <c r="H73"/>
  <c r="E73"/>
  <c r="L105"/>
  <c r="K105"/>
  <c r="K39"/>
  <c r="J39"/>
  <c r="D40"/>
  <c r="E40"/>
  <c r="G40"/>
  <c r="F106"/>
  <c r="H106"/>
  <c r="E106"/>
  <c r="I73"/>
  <c r="J73"/>
  <c r="G73"/>
  <c r="K137"/>
  <c r="L137"/>
  <c r="F138"/>
  <c r="H138"/>
  <c r="E138"/>
  <c r="H40"/>
  <c r="I40"/>
  <c r="F40"/>
  <c r="K73"/>
  <c r="L73"/>
  <c r="G106"/>
  <c r="I106"/>
  <c r="J106"/>
  <c r="J40"/>
  <c r="K40"/>
  <c r="G138"/>
  <c r="I138"/>
  <c r="J138"/>
  <c r="L106"/>
  <c r="K106"/>
  <c r="E74"/>
  <c r="F74"/>
  <c r="H74"/>
  <c r="G74"/>
  <c r="I74"/>
  <c r="J74"/>
  <c r="K138"/>
  <c r="L138"/>
  <c r="E41"/>
  <c r="G41"/>
  <c r="D41"/>
  <c r="F107"/>
  <c r="H107"/>
  <c r="E107"/>
  <c r="G107"/>
  <c r="I107"/>
  <c r="J107"/>
  <c r="F41"/>
  <c r="H41"/>
  <c r="I41"/>
  <c r="E139"/>
  <c r="F139"/>
  <c r="H139"/>
  <c r="L74"/>
  <c r="K74"/>
  <c r="G139"/>
  <c r="I139"/>
  <c r="J139"/>
  <c r="K41"/>
  <c r="J41"/>
  <c r="K107"/>
  <c r="L107"/>
  <c r="F75"/>
  <c r="H75"/>
  <c r="E75"/>
  <c r="I75"/>
  <c r="J75"/>
  <c r="G75"/>
  <c r="E42"/>
  <c r="G42"/>
  <c r="D42"/>
  <c r="E108"/>
  <c r="F108"/>
  <c r="H108"/>
  <c r="K139"/>
  <c r="L139"/>
  <c r="E140"/>
  <c r="F140"/>
  <c r="H140"/>
  <c r="G108"/>
  <c r="I108"/>
  <c r="F42"/>
  <c r="H42"/>
  <c r="I42"/>
  <c r="L75"/>
  <c r="K75"/>
  <c r="E76"/>
  <c r="F76"/>
  <c r="H76"/>
  <c r="J108"/>
  <c r="L108"/>
  <c r="F110"/>
  <c r="J42"/>
  <c r="K42"/>
  <c r="K108"/>
  <c r="G140"/>
  <c r="I140"/>
  <c r="J140"/>
  <c r="K140"/>
  <c r="L140"/>
  <c r="E43"/>
  <c r="G43"/>
  <c r="D43"/>
  <c r="I76"/>
  <c r="G76"/>
  <c r="J76"/>
  <c r="F78"/>
  <c r="F141"/>
  <c r="H141"/>
  <c r="E141"/>
  <c r="K76"/>
  <c r="L76"/>
  <c r="F43"/>
  <c r="H43"/>
  <c r="F45"/>
  <c r="I43"/>
  <c r="I141"/>
  <c r="J141"/>
  <c r="G141"/>
  <c r="K43"/>
  <c r="J43"/>
  <c r="L141"/>
  <c r="K141"/>
  <c r="E142"/>
  <c r="F142"/>
  <c r="H142"/>
  <c r="I142"/>
  <c r="G142"/>
  <c r="K142"/>
  <c r="F144"/>
  <c r="J142"/>
  <c r="L142"/>
</calcChain>
</file>

<file path=xl/sharedStrings.xml><?xml version="1.0" encoding="utf-8"?>
<sst xmlns="http://schemas.openxmlformats.org/spreadsheetml/2006/main" count="404" uniqueCount="160">
  <si>
    <t>UTN FRBA</t>
  </si>
  <si>
    <t>ANALISIS NUMERICO Y CALCULO AVANZADO</t>
  </si>
  <si>
    <t>PROFESOR :</t>
  </si>
  <si>
    <t>PROFESOR ING. JULIAN D.BARBIERI</t>
  </si>
  <si>
    <t>AYUDANTE TP:</t>
  </si>
  <si>
    <t>ING. ANA LIZA PEREZ</t>
  </si>
  <si>
    <t xml:space="preserve">REFERENCIA: </t>
  </si>
  <si>
    <t>Parcial  1º CUATRIMESTRE.</t>
  </si>
  <si>
    <t>Eje.</t>
  </si>
  <si>
    <t>Punt. Teorico</t>
  </si>
  <si>
    <t>Punt. Obtenido</t>
  </si>
  <si>
    <t>El examen consta de un conjunto de actividades, a resolver, cada una referenciada en una hoja del presente libro como EJ.1, EJ2, etc.                                                                                  En estos espacios deben mostrarse la memoria de calculo, que concluya en la/las soluciones que se requieran para cada situación.                                                                                           La hoja rotulada como "Memoria descriptiva" debe contener la redacción que responda a las consignas de cada actividad. La memoria descriptiva debe seguir el orden propuesto para cada actividad. Considere a esta parte del examen como las propuestas que efectúa un profesional de la ingeniería, respecto de una problemática por la que fue consultado. Sean claros en la redacción y contundentes en los argumentos. La puntuación asignada a cada actividad se corresponde a una solución adecuada, las desviaciones en este proceso, o la falta de originalidad, traerán aparejadas una merma en la puntuación.                                                                                                                                           El criterio en la asignación, de puntuaciones parciales,  es propio del cuerpo docente. En ninguna oportunidad se asignará puntuación negativa por mala resolución.                                                                                          Importante: Todas las soluciones deben ser realizadas usando modelos de calculo desarrollados en planillas Excel.                                                                                                               Puntuación:  EJ.1 .... 4 PUNTOS, EJ.2.... 3 PUNTOS, EJ.3.... 3 PUNTOS. La condición de destacado requiere un mínimo de dos EJ completos y correctos.</t>
  </si>
  <si>
    <t>Considere la ecuación de estado de Van der Waals para un gas real, dada por:</t>
  </si>
  <si>
    <t>(P+a/V²)(V-b)=RT</t>
  </si>
  <si>
    <t xml:space="preserve">Donde P es la presión medida en atmósferas, T es la temperatura medida en grados Kelvin, V es el volumen molar del gas medido en lt/gr mol, R es la constante universal de los gases 0.08205 lt atm /mol K, y a y b son constantes particulares de cada gas. Calcule V a T=80 C (353 K), para presiones de 10, 20, 30 y 100 atm, con un error menor a 10-6 , utlizando el métodos de Bisección </t>
  </si>
  <si>
    <t>Nota:</t>
  </si>
  <si>
    <t>a</t>
  </si>
  <si>
    <t>b</t>
  </si>
  <si>
    <t>He</t>
  </si>
  <si>
    <t>El factor de fricción f para fluidos turbulentos dentro de una tubería, es un coeficiente adimensional que permite calcular la pérdida de carga debida a la fricción. Dicho factor se relaciona con el número de Reynolds (Re) mediante la fórmula (1/f) = -0.4 +1.74 ln(1/2 Re f), donde el número de Reynolds para fluidos turbulentos es mayor que 4000. Utilizar el método de Bisección  para construir una tabla de valores de f para números de Reynolds mayores e iguales a 5000 y menores e iguales a 30000, a intervalos de 5000.</t>
  </si>
  <si>
    <t>Resolver el ej.2 usando el metodo de punto fijo o Newton.</t>
  </si>
  <si>
    <t>El crecimiento de bacterias en un organismo puede ser modelado con una función exponencial de la forma ,                              donde      es el número de bacterias (en millones) y t es el tiempo medido en horas a partir del momento en que se detectaron         bacterias (lo cual ocurre a tiempo t=0). Se realizó un experimento para medir el número de bacterias a distintos tiempos, el cual arrojó la siguiente información:</t>
  </si>
  <si>
    <t>t [ hs ]</t>
  </si>
  <si>
    <t>N [ millones ]</t>
  </si>
  <si>
    <t>Encontrar       y b aplicando el método de cuadrados mínimos a la ecuación linealizada</t>
  </si>
  <si>
    <t>¿Cuántas bacterias se espera encontrar a las 48 horas?</t>
  </si>
  <si>
    <t>¿En qué momento se hallaran 2 millones de bacterias? ¿Cómo se interpreta el valor del tiempo encontrado?</t>
  </si>
  <si>
    <t>Para los siguientes puntos: (1,3) , (3,5) y (5,6)</t>
  </si>
  <si>
    <t>a) Encontrar la ecuación de la recta que mejor ajusta usando el método de cuadrados mínimos.</t>
  </si>
  <si>
    <t>b) Graficar</t>
  </si>
  <si>
    <t>c) Calcular la distancia de cada punto a la recta</t>
  </si>
  <si>
    <t>d) Calcular el desvío total como la suma de los cuadrados de las distancias de cada punto a la recta.</t>
  </si>
  <si>
    <t>e) Encuentre la ecuacion del polinomio cuadratico completo que mejor ajusta a los puntos datos.</t>
  </si>
  <si>
    <t>f) Calcular el desvío total como la suma de los cuadrados de las distancias de cada punto a la cuadrática. Compare los resultados con los del ajuste lineal: ¿que puede decir, según la teoría vista en clase?</t>
  </si>
  <si>
    <t>g) Encontrar la ecuación del polinomio de grado 3 completo que mejor ajusta a los puntos datos.</t>
  </si>
  <si>
    <t>t (h)</t>
  </si>
  <si>
    <t>N (millones)</t>
  </si>
  <si>
    <t>N= No e^bt</t>
  </si>
  <si>
    <t>y = Ln (N)</t>
  </si>
  <si>
    <t>Ln (N) = Ln (No) + Ln (e^bt)</t>
  </si>
  <si>
    <t>®</t>
  </si>
  <si>
    <t>b = Ln (No)</t>
  </si>
  <si>
    <t>Ln (N) = Ln (No) + bt</t>
  </si>
  <si>
    <t>a = b</t>
  </si>
  <si>
    <t>x = t</t>
  </si>
  <si>
    <t>n</t>
  </si>
  <si>
    <t>Σ xi</t>
  </si>
  <si>
    <t>Σ Уi</t>
  </si>
  <si>
    <t>*</t>
  </si>
  <si>
    <t>Σ xi^2</t>
  </si>
  <si>
    <t>Σ Уi*xi</t>
  </si>
  <si>
    <t xml:space="preserve">Calculando el sistema de ecuaciones por calculadora:  </t>
  </si>
  <si>
    <t>5b + 75a  = 7,505</t>
  </si>
  <si>
    <t>b = 0,8464</t>
  </si>
  <si>
    <t>No = e^0,8464 = 2,331</t>
  </si>
  <si>
    <t>y= 0,8464 + 0,0436 x</t>
  </si>
  <si>
    <t>b = 0,0436</t>
  </si>
  <si>
    <t>75b + 1375a  = 123,484</t>
  </si>
  <si>
    <t>a = 0,0436</t>
  </si>
  <si>
    <t>Con t = 48 hs</t>
  </si>
  <si>
    <t>Con N = 2</t>
  </si>
  <si>
    <t>Ln (N) = Ln (No e^bt)</t>
  </si>
  <si>
    <t>Al linealizar los datos</t>
  </si>
  <si>
    <t>a, b, c y d)</t>
  </si>
  <si>
    <t>x</t>
  </si>
  <si>
    <t>У</t>
  </si>
  <si>
    <t>3b + 9a  = 14</t>
  </si>
  <si>
    <t>b = 2,41</t>
  </si>
  <si>
    <t>y=2,41 + 0,75 x</t>
  </si>
  <si>
    <t>9b + 35a  = 48</t>
  </si>
  <si>
    <t>a = 0,75</t>
  </si>
  <si>
    <t>y</t>
  </si>
  <si>
    <t>ei</t>
  </si>
  <si>
    <t>ei^2</t>
  </si>
  <si>
    <t>S (desvío total)</t>
  </si>
  <si>
    <t>y = b + a x</t>
  </si>
  <si>
    <t>Σ xi^3</t>
  </si>
  <si>
    <t>Σ xi^4</t>
  </si>
  <si>
    <t>c</t>
  </si>
  <si>
    <t>Σ Уi*xi^2</t>
  </si>
  <si>
    <t>3a + 9b + 34c = 14</t>
  </si>
  <si>
    <t>9a + 35b + 153c = 48</t>
  </si>
  <si>
    <t>35a + 153b + 707c = 198</t>
  </si>
  <si>
    <t xml:space="preserve">Calculando sistema de ecuaciones por calculadora: </t>
  </si>
  <si>
    <t>a = 1,625</t>
  </si>
  <si>
    <t>b = 1,5</t>
  </si>
  <si>
    <t>c = -0,125</t>
  </si>
  <si>
    <t>y = 1,625 + 1,5 x - 0,125 x^2</t>
  </si>
  <si>
    <t>Según la teoria vista en clase, se puede decir que la parábola ajusta mejor que la recta, esto se debe a que su desvío total es menor.</t>
  </si>
  <si>
    <t>e y f)</t>
  </si>
  <si>
    <t>g)</t>
  </si>
  <si>
    <t>No vamos a poder encontrar un polinomio de grado 3 de ajuste único, hay menos datos en la tabla que variables a encontrar para formar la función de ajuste pedida. El sistema de ecuaciones me quedará compatible indeterminado (infinitas soluciones).</t>
  </si>
  <si>
    <t>(P+a/V^2)(V-b)=RT</t>
  </si>
  <si>
    <t>N</t>
  </si>
  <si>
    <t>error</t>
  </si>
  <si>
    <t>P</t>
  </si>
  <si>
    <t>V</t>
  </si>
  <si>
    <t>N° iteraciones</t>
  </si>
  <si>
    <t>R</t>
  </si>
  <si>
    <t>T</t>
  </si>
  <si>
    <t>f(a)*f (c)</t>
  </si>
  <si>
    <t>f( c)</t>
  </si>
  <si>
    <t>f(b)</t>
  </si>
  <si>
    <t>f(a)</t>
  </si>
  <si>
    <t>Para b =4</t>
  </si>
  <si>
    <t>Para a =3</t>
  </si>
  <si>
    <t>Para a =1</t>
  </si>
  <si>
    <t>Para b =2</t>
  </si>
  <si>
    <t>Para a =-1</t>
  </si>
  <si>
    <t xml:space="preserve">V </t>
  </si>
  <si>
    <t>Para b = 2</t>
  </si>
  <si>
    <t>1/f = -0,4 + 1,74 ln (1/2 Re f)</t>
  </si>
  <si>
    <t>Re</t>
  </si>
  <si>
    <t>Para a =0,09</t>
  </si>
  <si>
    <t>Tomando un error menor a 10^-3</t>
  </si>
  <si>
    <t>Para b =0,2</t>
  </si>
  <si>
    <t>Para a =0,08</t>
  </si>
  <si>
    <t>f</t>
  </si>
  <si>
    <t>Punto 1)</t>
  </si>
  <si>
    <t>A partir de la ecuación de Van der Walls se encontraron los diferentes valores para el volumen de un gas real a medida que la presión variaba. Los valores de volumen que corresponden a cada presión son los siguientes:</t>
  </si>
  <si>
    <t>Punto 2)</t>
  </si>
  <si>
    <t>A partir de la fórmula que relaciona el factor de fricción para fluidos turbulentos con el número de Reynolds (mayor a 4000 tratandose de fluidos turbulentos), se encontraron los distintos valores del factor de fricción para diferentes valores del número de Reynolds (toma valores de 5000 a 30000 en intervalos de 5000). Los valores de f encontrados son los siguientes:</t>
  </si>
  <si>
    <t>Los valores de f admiten un error menor a 0,001.</t>
  </si>
  <si>
    <t>Los valores de V admiten un error menor a 10^-6.</t>
  </si>
  <si>
    <t>Punto 4)</t>
  </si>
  <si>
    <r>
      <t xml:space="preserve">A partir de cierta formula que modela el crecimiento de las bacterias  </t>
    </r>
    <r>
      <rPr>
        <sz val="10"/>
        <rFont val="Wingdings"/>
        <charset val="2"/>
      </rPr>
      <t>à</t>
    </r>
  </si>
  <si>
    <t>, se obtuvo el número de bacterias formadas a las 48 hs y el tiempo que tardan en formarse 2 millones de las mismas, habiendo obtenido previamente las 2 incognitas que faltaban de la ecuación (el número de baterias comienzo del experimento y el parámetro b). Los resultados fueron los siguientes:</t>
  </si>
  <si>
    <t>N = 2,331 * e^0,0436 t</t>
  </si>
  <si>
    <t>t = 48 hs</t>
  </si>
  <si>
    <t>Punto 5)</t>
  </si>
  <si>
    <t>Recta</t>
  </si>
  <si>
    <t>Desvío total</t>
  </si>
  <si>
    <t>Parábola</t>
  </si>
  <si>
    <t>A partir de una serie de datos se buscaron diferentes funciones que representen a los mismos, tratando de encontrar la que mejor lo logre, es decir, la función que mejor ajusta. Se llego a la conclusión que la parabola, con un desvío nulo, era la que mejor ajustaba. Las funciones obtenidas fueron las siguientes:</t>
  </si>
  <si>
    <t>No se puede encontrar un único polinomio cúbico que sea el que mejor ajuste, hay infinitos porque las variables que lo forman son mayores que los datos de partida.</t>
  </si>
  <si>
    <t>Interpretación del valor encontrado: El valor del tiempo da negativo porque para t = 0 ya tenía mas de 2 millones de bacterias, por lo tanto 2 millones había antes de empezar el experimento.</t>
  </si>
  <si>
    <t>Calculos auxiliares:</t>
  </si>
  <si>
    <t>y = 0,8464 + 0,0436 * 48 =</t>
  </si>
  <si>
    <t>Como y = Ln (N)</t>
  </si>
  <si>
    <t>N= e^2,9392 =</t>
  </si>
  <si>
    <t>Interpretación del valor encontrado: A las 48 hs habrá 18.900.720 de bacterias.</t>
  </si>
  <si>
    <t>x = (Ln (2) - 0,8464)/0,0436</t>
  </si>
  <si>
    <t>x = t =</t>
  </si>
  <si>
    <t xml:space="preserve">N = 2 </t>
  </si>
  <si>
    <t>F(f) = -0,4 + 1,74*Ln (0,5 Re f) - 1/f</t>
  </si>
  <si>
    <t>F'(f) = 1,74/f + 1/f^2</t>
  </si>
  <si>
    <t>F''(f) = -1,74/f^2 - 2/x^3</t>
  </si>
  <si>
    <t>Iteraciones</t>
  </si>
  <si>
    <t>xi</t>
  </si>
  <si>
    <t>xi-[F(xi)/F'(xi)]</t>
  </si>
  <si>
    <t>Error |xi+1 - xi|</t>
  </si>
  <si>
    <t>Cumple el criterio de convergencia</t>
  </si>
  <si>
    <t>Error menor a 0,001</t>
  </si>
  <si>
    <t xml:space="preserve">Con xi = 0,09  </t>
  </si>
  <si>
    <t>Newton</t>
  </si>
  <si>
    <t xml:space="preserve">Con xi = 1,5  </t>
  </si>
  <si>
    <t>Faltan encontrar raíces (f) para los restantes valores de Re por falta de tiempo</t>
  </si>
  <si>
    <t xml:space="preserve">Polinomio Cúbico </t>
  </si>
  <si>
    <t xml:space="preserve">Nombre: </t>
  </si>
  <si>
    <t>verificar las formulas</t>
  </si>
</sst>
</file>

<file path=xl/styles.xml><?xml version="1.0" encoding="utf-8"?>
<styleSheet xmlns="http://schemas.openxmlformats.org/spreadsheetml/2006/main">
  <numFmts count="2">
    <numFmt numFmtId="172" formatCode="0.000"/>
    <numFmt numFmtId="176" formatCode="0.000000"/>
  </numFmts>
  <fonts count="16">
    <font>
      <sz val="10"/>
      <name val="Arial"/>
    </font>
    <font>
      <b/>
      <sz val="14"/>
      <name val="Arial"/>
      <family val="2"/>
    </font>
    <font>
      <sz val="14"/>
      <name val="Arial"/>
      <family val="2"/>
    </font>
    <font>
      <sz val="14"/>
      <name val="Arial"/>
      <family val="2"/>
    </font>
    <font>
      <sz val="12"/>
      <name val="Arial"/>
      <family val="2"/>
    </font>
    <font>
      <sz val="12"/>
      <name val="Arial"/>
      <family val="2"/>
    </font>
    <font>
      <sz val="10"/>
      <name val="Arial"/>
      <family val="2"/>
    </font>
    <font>
      <sz val="10"/>
      <name val="Arial"/>
      <family val="2"/>
    </font>
    <font>
      <sz val="10"/>
      <name val="Wingdings"/>
      <charset val="2"/>
    </font>
    <font>
      <b/>
      <sz val="11"/>
      <color theme="1"/>
      <name val="Calibri"/>
      <family val="2"/>
      <scheme val="minor"/>
    </font>
    <font>
      <sz val="11"/>
      <color theme="1"/>
      <name val="Calibri"/>
      <family val="2"/>
    </font>
    <font>
      <sz val="11"/>
      <color theme="1"/>
      <name val="Symbol"/>
      <family val="1"/>
      <charset val="2"/>
    </font>
    <font>
      <sz val="11"/>
      <name val="Calibri"/>
      <family val="2"/>
      <scheme val="minor"/>
    </font>
    <font>
      <sz val="10"/>
      <color theme="1"/>
      <name val="Arial"/>
      <family val="2"/>
    </font>
    <font>
      <sz val="10"/>
      <color rgb="FFFF0000"/>
      <name val="Arial"/>
      <family val="2"/>
    </font>
    <font>
      <sz val="12"/>
      <color rgb="FFFF0000"/>
      <name val="Arial"/>
      <family val="2"/>
    </font>
  </fonts>
  <fills count="26">
    <fill>
      <patternFill patternType="none"/>
    </fill>
    <fill>
      <patternFill patternType="gray125"/>
    </fill>
    <fill>
      <patternFill patternType="solid">
        <fgColor theme="8"/>
        <bgColor indexed="64"/>
      </patternFill>
    </fill>
    <fill>
      <patternFill patternType="solid">
        <fgColor theme="9"/>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theme="7"/>
        <bgColor indexed="64"/>
      </patternFill>
    </fill>
    <fill>
      <patternFill patternType="solid">
        <fgColor theme="5" tint="-0.249977111117893"/>
        <bgColor indexed="64"/>
      </patternFill>
    </fill>
    <fill>
      <patternFill patternType="solid">
        <fgColor rgb="FFFF0000"/>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FC000"/>
        <bgColor indexed="64"/>
      </patternFill>
    </fill>
    <fill>
      <patternFill patternType="solid">
        <fgColor rgb="FF92D050"/>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rgb="FFFFFF0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4"/>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59999389629810485"/>
        <bgColor indexed="64"/>
      </patternFill>
    </fill>
  </fills>
  <borders count="14">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2">
    <xf numFmtId="0" fontId="0" fillId="0" borderId="0" xfId="0"/>
    <xf numFmtId="0" fontId="1" fillId="0" borderId="0" xfId="0" applyFont="1"/>
    <xf numFmtId="0" fontId="2" fillId="0" borderId="0" xfId="0" applyFont="1"/>
    <xf numFmtId="0" fontId="0" fillId="0" borderId="1" xfId="0" applyFont="1" applyBorder="1"/>
    <xf numFmtId="0" fontId="0" fillId="0" borderId="0" xfId="0" applyAlignment="1">
      <alignment horizontal="left" vertical="center"/>
    </xf>
    <xf numFmtId="0" fontId="0" fillId="0" borderId="1" xfId="0" applyFont="1" applyBorder="1" applyAlignment="1">
      <alignment horizontal="left" vertical="center"/>
    </xf>
    <xf numFmtId="0" fontId="0" fillId="0" borderId="2" xfId="0" applyFont="1" applyBorder="1" applyAlignment="1">
      <alignment horizontal="left" vertical="center"/>
    </xf>
    <xf numFmtId="0" fontId="4" fillId="0" borderId="0" xfId="0" applyNumberFormat="1" applyFont="1" applyAlignment="1"/>
    <xf numFmtId="0" fontId="4" fillId="0" borderId="0" xfId="0" applyFont="1"/>
    <xf numFmtId="0" fontId="0" fillId="2" borderId="3" xfId="0" applyFill="1" applyBorder="1" applyAlignment="1">
      <alignment horizontal="center"/>
    </xf>
    <xf numFmtId="0" fontId="10" fillId="3" borderId="3" xfId="0" applyFont="1" applyFill="1" applyBorder="1" applyAlignment="1">
      <alignment horizontal="center"/>
    </xf>
    <xf numFmtId="0" fontId="0" fillId="0" borderId="3" xfId="0" applyBorder="1"/>
    <xf numFmtId="0" fontId="0" fillId="0" borderId="0" xfId="0" applyAlignment="1">
      <alignment horizontal="center"/>
    </xf>
    <xf numFmtId="0" fontId="11" fillId="0" borderId="0" xfId="0" applyFont="1" applyAlignment="1">
      <alignment horizontal="center"/>
    </xf>
    <xf numFmtId="0" fontId="0" fillId="0" borderId="4" xfId="0" applyBorder="1" applyAlignment="1">
      <alignment horizontal="center"/>
    </xf>
    <xf numFmtId="0" fontId="10" fillId="0" borderId="5" xfId="0" applyFont="1" applyBorder="1" applyAlignment="1">
      <alignment horizontal="center"/>
    </xf>
    <xf numFmtId="0" fontId="0" fillId="0" borderId="6" xfId="0" applyBorder="1" applyAlignment="1">
      <alignment horizontal="center"/>
    </xf>
    <xf numFmtId="0" fontId="10" fillId="0" borderId="6" xfId="0" applyFont="1" applyBorder="1" applyAlignment="1">
      <alignment horizontal="center"/>
    </xf>
    <xf numFmtId="0" fontId="0" fillId="0" borderId="4" xfId="0" applyBorder="1"/>
    <xf numFmtId="0" fontId="0" fillId="0" borderId="5" xfId="0" applyBorder="1"/>
    <xf numFmtId="0" fontId="0" fillId="0" borderId="6" xfId="0" applyBorder="1"/>
    <xf numFmtId="0" fontId="10" fillId="0" borderId="4" xfId="0" applyFont="1" applyBorder="1" applyAlignment="1">
      <alignment horizontal="center"/>
    </xf>
    <xf numFmtId="172" fontId="0" fillId="0" borderId="6" xfId="0" applyNumberFormat="1" applyBorder="1" applyAlignment="1">
      <alignment horizontal="center"/>
    </xf>
    <xf numFmtId="0" fontId="0" fillId="4" borderId="0" xfId="0" applyFill="1" applyAlignment="1">
      <alignment horizontal="center"/>
    </xf>
    <xf numFmtId="0" fontId="0" fillId="5" borderId="0" xfId="0" applyFill="1" applyAlignment="1">
      <alignment horizontal="center"/>
    </xf>
    <xf numFmtId="2" fontId="0" fillId="0" borderId="3" xfId="0" applyNumberFormat="1" applyBorder="1"/>
    <xf numFmtId="0" fontId="7" fillId="0" borderId="0" xfId="0" applyFont="1"/>
    <xf numFmtId="0" fontId="10" fillId="6" borderId="3" xfId="0" applyFont="1" applyFill="1" applyBorder="1" applyAlignment="1">
      <alignment horizontal="center"/>
    </xf>
    <xf numFmtId="0" fontId="10" fillId="7" borderId="3" xfId="0" applyFont="1" applyFill="1" applyBorder="1" applyAlignment="1">
      <alignment horizontal="center"/>
    </xf>
    <xf numFmtId="0" fontId="10" fillId="8" borderId="3" xfId="0" applyFont="1" applyFill="1" applyBorder="1" applyAlignment="1">
      <alignment horizontal="center"/>
    </xf>
    <xf numFmtId="0" fontId="0" fillId="9" borderId="0" xfId="0" applyFill="1" applyAlignment="1">
      <alignment horizontal="center"/>
    </xf>
    <xf numFmtId="0" fontId="10" fillId="0" borderId="0" xfId="0" applyFont="1" applyBorder="1" applyAlignment="1">
      <alignment horizontal="center"/>
    </xf>
    <xf numFmtId="0" fontId="0" fillId="0" borderId="0" xfId="0" applyBorder="1" applyAlignment="1">
      <alignment horizontal="center"/>
    </xf>
    <xf numFmtId="0" fontId="0" fillId="0" borderId="0" xfId="0" applyBorder="1"/>
    <xf numFmtId="0" fontId="0" fillId="0" borderId="5" xfId="0" applyBorder="1" applyAlignment="1">
      <alignment horizontal="center"/>
    </xf>
    <xf numFmtId="0" fontId="11" fillId="0" borderId="0" xfId="0" applyFont="1" applyBorder="1" applyAlignment="1">
      <alignment horizontal="center"/>
    </xf>
    <xf numFmtId="0" fontId="7" fillId="0" borderId="0" xfId="0" applyFont="1" applyAlignment="1"/>
    <xf numFmtId="0" fontId="7" fillId="10" borderId="0" xfId="0" applyFont="1" applyFill="1"/>
    <xf numFmtId="0" fontId="7" fillId="11" borderId="0" xfId="0" applyFont="1" applyFill="1"/>
    <xf numFmtId="0" fontId="7" fillId="12" borderId="0" xfId="0" applyFont="1" applyFill="1"/>
    <xf numFmtId="0" fontId="12" fillId="0" borderId="0" xfId="0" applyFont="1" applyFill="1" applyBorder="1" applyAlignment="1"/>
    <xf numFmtId="0" fontId="10" fillId="0" borderId="0" xfId="0" applyFont="1" applyFill="1" applyBorder="1" applyAlignment="1">
      <alignment horizontal="center"/>
    </xf>
    <xf numFmtId="0" fontId="7" fillId="0" borderId="0" xfId="0" applyFont="1" applyBorder="1" applyAlignment="1">
      <alignment horizontal="center"/>
    </xf>
    <xf numFmtId="0" fontId="7" fillId="0" borderId="0" xfId="0" applyFont="1" applyFill="1"/>
    <xf numFmtId="0" fontId="7" fillId="0" borderId="0" xfId="0" applyFont="1" applyFill="1" applyAlignment="1"/>
    <xf numFmtId="0" fontId="0" fillId="0" borderId="0" xfId="0" applyFill="1"/>
    <xf numFmtId="0" fontId="11" fillId="0" borderId="0" xfId="0" applyFont="1" applyFill="1" applyAlignment="1">
      <alignment horizontal="center"/>
    </xf>
    <xf numFmtId="0" fontId="7" fillId="13" borderId="0" xfId="0" applyFont="1" applyFill="1" applyBorder="1" applyAlignment="1"/>
    <xf numFmtId="0" fontId="0" fillId="13" borderId="0" xfId="0" applyFill="1"/>
    <xf numFmtId="0" fontId="0" fillId="0" borderId="3" xfId="0" applyFill="1" applyBorder="1" applyAlignment="1">
      <alignment horizontal="center" vertical="center"/>
    </xf>
    <xf numFmtId="0" fontId="7" fillId="0" borderId="0" xfId="0" applyFont="1" applyAlignment="1">
      <alignment horizontal="center" vertical="center"/>
    </xf>
    <xf numFmtId="0" fontId="9" fillId="0" borderId="0"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xf numFmtId="0" fontId="7" fillId="0" borderId="0" xfId="0" applyFont="1" applyAlignment="1">
      <alignment vertical="center"/>
    </xf>
    <xf numFmtId="0" fontId="7" fillId="11" borderId="3" xfId="0" applyFont="1" applyFill="1" applyBorder="1" applyAlignment="1">
      <alignment horizontal="center" vertical="center"/>
    </xf>
    <xf numFmtId="0" fontId="13" fillId="0" borderId="13" xfId="0" applyFont="1" applyBorder="1" applyAlignment="1">
      <alignment horizontal="left" vertical="center"/>
    </xf>
    <xf numFmtId="0" fontId="0" fillId="0" borderId="13" xfId="0" applyBorder="1" applyAlignment="1">
      <alignment horizontal="left" vertical="center"/>
    </xf>
    <xf numFmtId="0" fontId="7" fillId="14" borderId="3" xfId="0" applyFont="1" applyFill="1" applyBorder="1"/>
    <xf numFmtId="0" fontId="0" fillId="0" borderId="3" xfId="0" applyBorder="1" applyAlignment="1">
      <alignment horizontal="left" vertical="center"/>
    </xf>
    <xf numFmtId="0" fontId="13" fillId="0" borderId="0" xfId="0" applyFont="1" applyBorder="1" applyAlignment="1">
      <alignment horizontal="left"/>
    </xf>
    <xf numFmtId="0" fontId="13" fillId="0" borderId="0" xfId="0" applyFont="1" applyBorder="1"/>
    <xf numFmtId="0" fontId="0" fillId="0" borderId="3" xfId="0" applyFill="1" applyBorder="1" applyAlignment="1">
      <alignment horizontal="center"/>
    </xf>
    <xf numFmtId="0" fontId="0" fillId="0" borderId="0" xfId="0" applyFill="1" applyBorder="1" applyAlignment="1">
      <alignment horizontal="center"/>
    </xf>
    <xf numFmtId="0" fontId="0" fillId="15" borderId="3" xfId="0" applyFill="1" applyBorder="1"/>
    <xf numFmtId="0" fontId="0" fillId="0" borderId="0" xfId="0" applyFont="1" applyBorder="1" applyAlignment="1">
      <alignment horizontal="left" vertical="center"/>
    </xf>
    <xf numFmtId="0" fontId="13" fillId="0" borderId="0" xfId="0" applyFont="1" applyBorder="1" applyAlignment="1">
      <alignment horizontal="left" vertical="center"/>
    </xf>
    <xf numFmtId="0" fontId="0" fillId="0" borderId="0" xfId="0" applyBorder="1" applyAlignment="1">
      <alignment horizontal="left" vertical="center"/>
    </xf>
    <xf numFmtId="0" fontId="0" fillId="0" borderId="3" xfId="0" applyFill="1" applyBorder="1"/>
    <xf numFmtId="0" fontId="9" fillId="15" borderId="3" xfId="0" applyFont="1" applyFill="1" applyBorder="1" applyAlignment="1">
      <alignment horizontal="center" vertical="center"/>
    </xf>
    <xf numFmtId="0" fontId="7" fillId="11" borderId="3" xfId="0" applyFont="1" applyFill="1" applyBorder="1" applyAlignment="1">
      <alignment horizontal="center"/>
    </xf>
    <xf numFmtId="0" fontId="0" fillId="0" borderId="7" xfId="0" applyBorder="1"/>
    <xf numFmtId="0" fontId="0" fillId="0" borderId="7" xfId="0" applyFill="1" applyBorder="1"/>
    <xf numFmtId="0" fontId="7" fillId="12" borderId="3" xfId="0" applyFont="1" applyFill="1" applyBorder="1" applyAlignment="1">
      <alignment horizontal="center" vertical="center"/>
    </xf>
    <xf numFmtId="0" fontId="7" fillId="15" borderId="3" xfId="0" applyFont="1" applyFill="1" applyBorder="1"/>
    <xf numFmtId="0" fontId="7" fillId="16" borderId="3" xfId="0" applyFont="1" applyFill="1" applyBorder="1" applyAlignment="1">
      <alignment horizontal="center"/>
    </xf>
    <xf numFmtId="0" fontId="0" fillId="0" borderId="3" xfId="0" applyFill="1" applyBorder="1" applyAlignment="1">
      <alignment horizontal="left" vertical="center"/>
    </xf>
    <xf numFmtId="0" fontId="7" fillId="12" borderId="3" xfId="0" applyFont="1" applyFill="1" applyBorder="1" applyAlignment="1">
      <alignment horizontal="center"/>
    </xf>
    <xf numFmtId="0" fontId="7" fillId="0" borderId="3" xfId="0" applyFont="1" applyBorder="1"/>
    <xf numFmtId="0" fontId="7" fillId="12" borderId="3" xfId="0" applyFont="1" applyFill="1" applyBorder="1"/>
    <xf numFmtId="0" fontId="7" fillId="11" borderId="3" xfId="0" applyFont="1" applyFill="1" applyBorder="1"/>
    <xf numFmtId="176" fontId="0" fillId="0" borderId="0" xfId="0" applyNumberFormat="1"/>
    <xf numFmtId="176" fontId="0" fillId="0" borderId="3" xfId="0" applyNumberFormat="1" applyFill="1" applyBorder="1"/>
    <xf numFmtId="0" fontId="14" fillId="0" borderId="0" xfId="0" applyFont="1" applyFill="1"/>
    <xf numFmtId="0" fontId="0" fillId="17" borderId="8" xfId="0" applyFill="1" applyBorder="1" applyAlignment="1">
      <alignment horizontal="center"/>
    </xf>
    <xf numFmtId="0" fontId="0" fillId="17" borderId="9" xfId="0" applyFill="1" applyBorder="1" applyAlignment="1">
      <alignment horizontal="center"/>
    </xf>
    <xf numFmtId="0" fontId="0" fillId="0" borderId="8" xfId="0" applyBorder="1"/>
    <xf numFmtId="0" fontId="7" fillId="15" borderId="0" xfId="0" applyFont="1" applyFill="1"/>
    <xf numFmtId="0" fontId="0" fillId="15" borderId="0" xfId="0" applyFill="1"/>
    <xf numFmtId="0" fontId="0" fillId="17" borderId="3" xfId="0" applyFill="1" applyBorder="1" applyAlignment="1">
      <alignment horizontal="center"/>
    </xf>
    <xf numFmtId="0" fontId="7" fillId="15" borderId="3" xfId="0" applyFont="1" applyFill="1" applyBorder="1" applyAlignment="1">
      <alignment horizontal="center"/>
    </xf>
    <xf numFmtId="0" fontId="7" fillId="18" borderId="3" xfId="0" applyFont="1" applyFill="1" applyBorder="1" applyAlignment="1">
      <alignment horizontal="center"/>
    </xf>
    <xf numFmtId="0" fontId="7" fillId="3" borderId="3" xfId="0" applyFont="1" applyFill="1" applyBorder="1" applyAlignment="1">
      <alignment horizontal="center"/>
    </xf>
    <xf numFmtId="0" fontId="7" fillId="0" borderId="8" xfId="0" applyFont="1" applyBorder="1"/>
    <xf numFmtId="0" fontId="0" fillId="8" borderId="3" xfId="0" applyFill="1" applyBorder="1" applyAlignment="1">
      <alignment horizontal="center" vertical="center"/>
    </xf>
    <xf numFmtId="0" fontId="6" fillId="8" borderId="0" xfId="0" applyFont="1" applyFill="1" applyBorder="1" applyAlignment="1">
      <alignment horizontal="center" vertical="center"/>
    </xf>
    <xf numFmtId="0" fontId="0" fillId="0" borderId="0" xfId="0" applyAlignment="1">
      <alignment horizontal="center"/>
    </xf>
    <xf numFmtId="0" fontId="3" fillId="0" borderId="0" xfId="0" applyFont="1" applyFill="1" applyBorder="1" applyAlignment="1">
      <alignment horizontal="left" vertical="top" wrapText="1"/>
    </xf>
    <xf numFmtId="0" fontId="7" fillId="0" borderId="3" xfId="0" applyFont="1" applyFill="1" applyBorder="1" applyAlignment="1">
      <alignment horizontal="center"/>
    </xf>
    <xf numFmtId="0" fontId="0" fillId="0" borderId="3" xfId="0" applyBorder="1" applyAlignment="1">
      <alignment horizontal="center"/>
    </xf>
    <xf numFmtId="0" fontId="7" fillId="12" borderId="3" xfId="0" applyFont="1" applyFill="1" applyBorder="1" applyAlignment="1">
      <alignment horizontal="center"/>
    </xf>
    <xf numFmtId="0" fontId="7" fillId="0" borderId="0" xfId="0" applyFont="1" applyAlignment="1">
      <alignment horizontal="center"/>
    </xf>
    <xf numFmtId="0" fontId="0" fillId="12" borderId="3" xfId="0" applyFill="1" applyBorder="1" applyAlignment="1">
      <alignment horizontal="center"/>
    </xf>
    <xf numFmtId="0" fontId="7" fillId="11" borderId="3" xfId="0" applyFont="1" applyFill="1" applyBorder="1" applyAlignment="1">
      <alignment horizontal="center"/>
    </xf>
    <xf numFmtId="0" fontId="0" fillId="11" borderId="3" xfId="0" applyFill="1" applyBorder="1" applyAlignment="1">
      <alignment horizontal="center"/>
    </xf>
    <xf numFmtId="0" fontId="7" fillId="17" borderId="0" xfId="0" applyFont="1" applyFill="1" applyAlignment="1">
      <alignment horizontal="center"/>
    </xf>
    <xf numFmtId="0" fontId="10" fillId="0" borderId="3" xfId="0" applyFont="1" applyFill="1" applyBorder="1" applyAlignment="1">
      <alignment horizontal="center"/>
    </xf>
    <xf numFmtId="0" fontId="7" fillId="19" borderId="0" xfId="0" applyFont="1" applyFill="1" applyAlignment="1">
      <alignment horizontal="center" vertical="center"/>
    </xf>
    <xf numFmtId="0" fontId="7" fillId="16" borderId="0" xfId="0" applyFont="1" applyFill="1" applyAlignment="1">
      <alignment horizontal="center" vertical="center"/>
    </xf>
    <xf numFmtId="0" fontId="4" fillId="0" borderId="10" xfId="0" applyFont="1" applyBorder="1" applyAlignment="1">
      <alignment wrapText="1"/>
    </xf>
    <xf numFmtId="0" fontId="4" fillId="0" borderId="11" xfId="0" applyFont="1" applyBorder="1" applyAlignment="1">
      <alignment horizontal="center"/>
    </xf>
    <xf numFmtId="0" fontId="5" fillId="0" borderId="12" xfId="0" applyNumberFormat="1" applyFont="1" applyBorder="1" applyAlignment="1">
      <alignment wrapText="1"/>
    </xf>
    <xf numFmtId="0" fontId="4" fillId="0" borderId="12" xfId="0" applyNumberFormat="1" applyFont="1" applyBorder="1" applyAlignment="1">
      <alignment wrapText="1"/>
    </xf>
    <xf numFmtId="0" fontId="7" fillId="15" borderId="0" xfId="0" applyFont="1" applyFill="1" applyAlignment="1">
      <alignment horizontal="center"/>
    </xf>
    <xf numFmtId="0" fontId="7" fillId="15" borderId="0" xfId="0" applyFont="1" applyFill="1" applyAlignment="1">
      <alignment horizontal="center" vertical="center"/>
    </xf>
    <xf numFmtId="0" fontId="4" fillId="0" borderId="0" xfId="0" applyNumberFormat="1" applyFont="1" applyBorder="1" applyAlignment="1">
      <alignment wrapText="1"/>
    </xf>
    <xf numFmtId="0" fontId="7" fillId="11" borderId="0" xfId="0" applyFont="1" applyFill="1" applyAlignment="1">
      <alignment horizontal="center"/>
    </xf>
    <xf numFmtId="0" fontId="15" fillId="15" borderId="0" xfId="0" applyFont="1" applyFill="1" applyAlignment="1">
      <alignment horizontal="center"/>
    </xf>
    <xf numFmtId="0" fontId="0" fillId="12" borderId="0" xfId="0" applyFill="1" applyBorder="1" applyAlignment="1">
      <alignment horizontal="center"/>
    </xf>
    <xf numFmtId="0" fontId="0" fillId="11" borderId="0" xfId="0" applyFill="1" applyAlignment="1">
      <alignment horizontal="center"/>
    </xf>
    <xf numFmtId="0" fontId="4" fillId="0" borderId="0" xfId="0" applyFont="1" applyBorder="1" applyAlignment="1">
      <alignment wrapText="1"/>
    </xf>
    <xf numFmtId="0" fontId="0" fillId="20" borderId="0" xfId="0" applyFill="1" applyAlignment="1">
      <alignment horizontal="center"/>
    </xf>
    <xf numFmtId="0" fontId="10" fillId="15" borderId="0" xfId="0" applyFont="1" applyFill="1" applyAlignment="1">
      <alignment horizontal="center"/>
    </xf>
    <xf numFmtId="0" fontId="0" fillId="21" borderId="0" xfId="0" applyFill="1" applyAlignment="1">
      <alignment horizontal="center"/>
    </xf>
    <xf numFmtId="0" fontId="0" fillId="16" borderId="0" xfId="0" applyFill="1" applyAlignment="1">
      <alignment horizontal="center"/>
    </xf>
    <xf numFmtId="0" fontId="5" fillId="0" borderId="0" xfId="0" applyFont="1" applyBorder="1" applyAlignment="1">
      <alignment wrapText="1"/>
    </xf>
    <xf numFmtId="0" fontId="12" fillId="23" borderId="3" xfId="0" applyFont="1" applyFill="1" applyBorder="1" applyAlignment="1">
      <alignment horizontal="center"/>
    </xf>
    <xf numFmtId="0" fontId="7" fillId="25" borderId="0" xfId="0" applyFont="1" applyFill="1" applyAlignment="1">
      <alignment horizontal="center"/>
    </xf>
    <xf numFmtId="0" fontId="7" fillId="0" borderId="0" xfId="0" applyFont="1" applyFill="1" applyAlignment="1">
      <alignment horizontal="center"/>
    </xf>
    <xf numFmtId="0" fontId="7" fillId="22" borderId="0" xfId="0" applyFont="1" applyFill="1" applyAlignment="1">
      <alignment horizontal="center"/>
    </xf>
    <xf numFmtId="0" fontId="7" fillId="14" borderId="0" xfId="0" applyFont="1" applyFill="1" applyAlignment="1">
      <alignment horizontal="center"/>
    </xf>
    <xf numFmtId="0" fontId="7" fillId="24" borderId="0" xfId="0" applyFont="1" applyFill="1" applyAlignment="1">
      <alignment horizontal="center"/>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c:lang val="es-ES"/>
  <c:chart>
    <c:title>
      <c:tx>
        <c:rich>
          <a:bodyPr/>
          <a:lstStyle/>
          <a:p>
            <a:pPr>
              <a:defRPr sz="1400" b="1" i="0" u="none" strike="noStrike" baseline="0">
                <a:solidFill>
                  <a:srgbClr val="C0C0C0"/>
                </a:solidFill>
                <a:latin typeface="Calibri"/>
                <a:ea typeface="Calibri"/>
                <a:cs typeface="Calibri"/>
              </a:defRPr>
            </a:pPr>
            <a:r>
              <a:rPr lang="es-ES"/>
              <a:t>Recta de ajuste</a:t>
            </a:r>
          </a:p>
        </c:rich>
      </c:tx>
      <c:layout/>
      <c:spPr>
        <a:noFill/>
        <a:ln w="25400">
          <a:noFill/>
        </a:ln>
      </c:spPr>
    </c:title>
    <c:plotArea>
      <c:layout/>
      <c:scatterChart>
        <c:scatterStyle val="lineMarker"/>
        <c:ser>
          <c:idx val="0"/>
          <c:order val="0"/>
          <c:spPr>
            <a:ln w="22225" cap="rnd">
              <a:solidFill>
                <a:schemeClr val="accent1"/>
              </a:solidFill>
            </a:ln>
            <a:effectLst>
              <a:glow rad="139700">
                <a:schemeClr val="accent1">
                  <a:satMod val="175000"/>
                  <a:alpha val="14000"/>
                </a:schemeClr>
              </a:glow>
            </a:effectLst>
          </c:spPr>
          <c:marker>
            <c:symbol val="none"/>
          </c:marker>
          <c:xVal>
            <c:numRef>
              <c:f>'[1]Ejercicio 1'!$B$29:$B$31</c:f>
              <c:numCache>
                <c:formatCode>General</c:formatCode>
                <c:ptCount val="3"/>
                <c:pt idx="0">
                  <c:v>1</c:v>
                </c:pt>
                <c:pt idx="1">
                  <c:v>3</c:v>
                </c:pt>
                <c:pt idx="2">
                  <c:v>5</c:v>
                </c:pt>
              </c:numCache>
            </c:numRef>
          </c:xVal>
          <c:yVal>
            <c:numRef>
              <c:f>'[1]Ejercicio 1'!$C$29:$C$31</c:f>
              <c:numCache>
                <c:formatCode>General</c:formatCode>
                <c:ptCount val="3"/>
                <c:pt idx="0">
                  <c:v>3.16</c:v>
                </c:pt>
                <c:pt idx="1">
                  <c:v>4.66</c:v>
                </c:pt>
                <c:pt idx="2">
                  <c:v>6.16</c:v>
                </c:pt>
              </c:numCache>
            </c:numRef>
          </c:yVal>
        </c:ser>
        <c:ser>
          <c:idx val="1"/>
          <c:order val="1"/>
          <c:tx>
            <c:v>Puntos</c:v>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'[1]Ejercicio 1'!$B$29:$B$31</c:f>
              <c:numCache>
                <c:formatCode>General</c:formatCode>
                <c:ptCount val="3"/>
                <c:pt idx="0">
                  <c:v>1</c:v>
                </c:pt>
                <c:pt idx="1">
                  <c:v>3</c:v>
                </c:pt>
                <c:pt idx="2">
                  <c:v>5</c:v>
                </c:pt>
              </c:numCache>
            </c:numRef>
          </c:xVal>
          <c:yVal>
            <c:numRef>
              <c:f>'[1]Ejercicio 1'!$D$29:$D$31</c:f>
              <c:numCache>
                <c:formatCode>General</c:formatCode>
                <c:ptCount val="3"/>
                <c:pt idx="0">
                  <c:v>3</c:v>
                </c:pt>
                <c:pt idx="1">
                  <c:v>5</c:v>
                </c:pt>
                <c:pt idx="2">
                  <c:v>6</c:v>
                </c:pt>
              </c:numCache>
            </c:numRef>
          </c:yVal>
        </c:ser>
        <c:axId val="80434304"/>
        <c:axId val="80436224"/>
      </c:scatterChart>
      <c:valAx>
        <c:axId val="80434304"/>
        <c:scaling>
          <c:orientation val="minMax"/>
        </c:scaling>
        <c:axPos val="b"/>
        <c:majorGridlines>
          <c:spPr>
            <a:ln w="9525" cap="flat" cmpd="sng" algn="ctr">
              <a:solidFill>
                <a:schemeClr val="dk1">
                  <a:lumMod val="65000"/>
                  <a:lumOff val="35000"/>
                  <a:alpha val="75000"/>
                </a:schemeClr>
              </a:solidFill>
              <a:round/>
            </a:ln>
            <a:effectLst/>
          </c:spPr>
        </c:majorGridlines>
        <c:numFmt formatCode="General" sourceLinked="1"/>
        <c:majorTickMark val="none"/>
        <c:tickLblPos val="nextTo"/>
        <c:spPr>
          <a:ln w="9525">
            <a:noFill/>
          </a:ln>
        </c:spPr>
        <c:txPr>
          <a:bodyPr rot="0" vert="horz"/>
          <a:lstStyle/>
          <a:p>
            <a:pPr>
              <a:defRPr sz="900" b="0" i="0" u="none" strike="noStrike" baseline="0">
                <a:solidFill>
                  <a:srgbClr val="C0C0C0"/>
                </a:solidFill>
                <a:latin typeface="Calibri"/>
                <a:ea typeface="Calibri"/>
                <a:cs typeface="Calibri"/>
              </a:defRPr>
            </a:pPr>
            <a:endParaRPr lang="es-ES"/>
          </a:p>
        </c:txPr>
        <c:crossAx val="80436224"/>
        <c:crosses val="autoZero"/>
        <c:crossBetween val="midCat"/>
      </c:valAx>
      <c:valAx>
        <c:axId val="80436224"/>
        <c:scaling>
          <c:orientation val="minMax"/>
        </c:scaling>
        <c:axPos val="l"/>
        <c:majorGridlines>
          <c:spPr>
            <a:ln w="9525" cap="flat" cmpd="sng" algn="ctr">
              <a:solidFill>
                <a:schemeClr val="dk1">
                  <a:lumMod val="65000"/>
                  <a:lumOff val="35000"/>
                  <a:alpha val="75000"/>
                </a:schemeClr>
              </a:solidFill>
              <a:round/>
            </a:ln>
            <a:effectLst/>
          </c:spPr>
        </c:majorGridlines>
        <c:numFmt formatCode="General" sourceLinked="1"/>
        <c:majorTickMark val="none"/>
        <c:tickLblPos val="nextTo"/>
        <c:spPr>
          <a:noFill/>
          <a:ln w="9525" cap="flat" cmpd="sng" algn="ctr">
            <a:solidFill>
              <a:schemeClr val="lt1">
                <a:lumMod val="50000"/>
              </a:schemeClr>
            </a:solidFill>
            <a:round/>
          </a:ln>
          <a:effectLst/>
        </c:spPr>
        <c:txPr>
          <a:bodyPr rot="0" vert="horz"/>
          <a:lstStyle/>
          <a:p>
            <a:pPr>
              <a:defRPr sz="900" b="0" i="0" u="none" strike="noStrike" baseline="0">
                <a:solidFill>
                  <a:srgbClr val="C0C0C0"/>
                </a:solidFill>
                <a:latin typeface="Calibri"/>
                <a:ea typeface="Calibri"/>
                <a:cs typeface="Calibri"/>
              </a:defRPr>
            </a:pPr>
            <a:endParaRPr lang="es-ES"/>
          </a:p>
        </c:txPr>
        <c:crossAx val="80434304"/>
        <c:crosses val="autoZero"/>
        <c:crossBetween val="midCat"/>
      </c:valAx>
      <c:spPr>
        <a:noFill/>
        <a:ln w="25400">
          <a:noFill/>
        </a:ln>
      </c:spPr>
    </c:plotArea>
    <c:plotVisOnly val="1"/>
    <c:dispBlanksAs val="gap"/>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E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9525</xdr:rowOff>
    </xdr:from>
    <xdr:to>
      <xdr:col>3</xdr:col>
      <xdr:colOff>581025</xdr:colOff>
      <xdr:row>12</xdr:row>
      <xdr:rowOff>133350</xdr:rowOff>
    </xdr:to>
    <xdr:pic>
      <xdr:nvPicPr>
        <xdr:cNvPr id="1080" name="Picture 1"/>
        <xdr:cNvPicPr>
          <a:picLocks noChangeAspect="1" noChangeArrowheads="1"/>
        </xdr:cNvPicPr>
      </xdr:nvPicPr>
      <xdr:blipFill>
        <a:blip xmlns:r="http://schemas.openxmlformats.org/officeDocument/2006/relationships" r:embed="rId1"/>
        <a:srcRect/>
        <a:stretch>
          <a:fillRect/>
        </a:stretch>
      </xdr:blipFill>
      <xdr:spPr bwMode="auto">
        <a:xfrm>
          <a:off x="342900" y="171450"/>
          <a:ext cx="2028825" cy="1905000"/>
        </a:xfrm>
        <a:prstGeom prst="rect">
          <a:avLst/>
        </a:prstGeom>
        <a:noFill/>
        <a:ln w="9525">
          <a:noFill/>
          <a:round/>
          <a:headEnd/>
          <a:tailEn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514350</xdr:colOff>
      <xdr:row>27</xdr:row>
      <xdr:rowOff>190500</xdr:rowOff>
    </xdr:from>
    <xdr:to>
      <xdr:col>16</xdr:col>
      <xdr:colOff>514350</xdr:colOff>
      <xdr:row>42</xdr:row>
      <xdr:rowOff>66675</xdr:rowOff>
    </xdr:to>
    <xdr:graphicFrame macro="">
      <xdr:nvGraphicFramePr>
        <xdr:cNvPr id="824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arinajulian_2/Downloads/Ejercicios/Ejercicios%20Ajustes/Ejercicio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jercicio 1"/>
      <sheetName val="Ejercicio 2"/>
      <sheetName val="Ejercicio 3"/>
      <sheetName val="Ejercicio 4"/>
      <sheetName val="Ejercicio 5"/>
      <sheetName val="Ejercicio 6"/>
    </sheetNames>
    <sheetDataSet>
      <sheetData sheetId="0">
        <row r="29">
          <cell r="B29">
            <v>1</v>
          </cell>
          <cell r="C29">
            <v>3.16</v>
          </cell>
          <cell r="D29">
            <v>3</v>
          </cell>
        </row>
        <row r="30">
          <cell r="B30">
            <v>3</v>
          </cell>
          <cell r="C30">
            <v>4.66</v>
          </cell>
          <cell r="D30">
            <v>5</v>
          </cell>
        </row>
        <row r="31">
          <cell r="B31">
            <v>5</v>
          </cell>
          <cell r="C31">
            <v>6.16</v>
          </cell>
          <cell r="D31">
            <v>6</v>
          </cell>
        </row>
      </sheetData>
      <sheetData sheetId="1"/>
      <sheetData sheetId="2"/>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printerSettings" Target="../printerSettings/printerSettings2.bin"/><Relationship Id="rId6" Type="http://schemas.openxmlformats.org/officeDocument/2006/relationships/oleObject" Target="../embeddings/oleObject4.bin"/><Relationship Id="rId5" Type="http://schemas.openxmlformats.org/officeDocument/2006/relationships/oleObject" Target="../embeddings/oleObject3.bin"/><Relationship Id="rId4" Type="http://schemas.openxmlformats.org/officeDocument/2006/relationships/oleObject" Target="../embeddings/oleObject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B16:J37"/>
  <sheetViews>
    <sheetView tabSelected="1" topLeftCell="A15" workbookViewId="0">
      <selection activeCell="K41" sqref="K41"/>
    </sheetView>
  </sheetViews>
  <sheetFormatPr baseColWidth="10" defaultColWidth="11" defaultRowHeight="12.75"/>
  <cols>
    <col min="1" max="1" width="4.85546875" customWidth="1"/>
    <col min="2" max="5" width="11" customWidth="1"/>
    <col min="6" max="6" width="14.5703125" customWidth="1"/>
  </cols>
  <sheetData>
    <row r="16" spans="2:2" ht="18">
      <c r="B16" s="1" t="s">
        <v>0</v>
      </c>
    </row>
    <row r="18" spans="2:10" ht="18">
      <c r="B18" s="1" t="s">
        <v>1</v>
      </c>
    </row>
    <row r="20" spans="2:10" ht="18">
      <c r="B20" s="1" t="s">
        <v>2</v>
      </c>
      <c r="C20" s="2"/>
      <c r="D20" s="2"/>
      <c r="E20" s="2"/>
      <c r="F20" s="2"/>
      <c r="G20" s="2"/>
      <c r="H20" s="2"/>
    </row>
    <row r="21" spans="2:10" ht="18">
      <c r="B21" s="2"/>
      <c r="C21" s="2"/>
      <c r="D21" s="2" t="s">
        <v>3</v>
      </c>
      <c r="E21" s="2"/>
      <c r="F21" s="2"/>
      <c r="G21" s="2"/>
      <c r="H21" s="2"/>
    </row>
    <row r="22" spans="2:10" ht="18">
      <c r="B22" s="2"/>
      <c r="C22" s="2"/>
      <c r="E22" s="2"/>
      <c r="F22" s="2"/>
      <c r="G22" s="2"/>
      <c r="H22" s="2"/>
    </row>
    <row r="23" spans="2:10" ht="18">
      <c r="B23" s="1" t="s">
        <v>4</v>
      </c>
      <c r="C23" s="2"/>
      <c r="E23" s="2"/>
      <c r="F23" s="2"/>
      <c r="G23" s="2"/>
      <c r="H23" s="2"/>
    </row>
    <row r="24" spans="2:10" ht="18">
      <c r="B24" s="2"/>
      <c r="C24" s="2"/>
      <c r="D24" s="2" t="s">
        <v>5</v>
      </c>
      <c r="E24" s="2"/>
      <c r="F24" s="2"/>
      <c r="G24" s="2"/>
      <c r="H24" s="2"/>
    </row>
    <row r="25" spans="2:10" ht="18">
      <c r="B25" s="2"/>
      <c r="C25" s="2"/>
      <c r="D25" s="2"/>
      <c r="E25" s="2"/>
      <c r="F25" s="2"/>
      <c r="G25" s="2"/>
      <c r="H25" s="2"/>
    </row>
    <row r="26" spans="2:10" ht="18">
      <c r="B26" s="2" t="s">
        <v>6</v>
      </c>
      <c r="C26" s="2"/>
      <c r="D26" s="2"/>
      <c r="E26" s="2"/>
      <c r="F26" s="2"/>
      <c r="G26" s="2"/>
      <c r="H26" s="2"/>
    </row>
    <row r="27" spans="2:10" ht="18">
      <c r="B27" s="2"/>
      <c r="C27" s="2"/>
      <c r="D27" s="2" t="s">
        <v>7</v>
      </c>
      <c r="E27" s="2"/>
      <c r="F27" s="2"/>
      <c r="G27" s="2"/>
      <c r="H27" s="2"/>
    </row>
    <row r="30" spans="2:10">
      <c r="H30" t="s">
        <v>158</v>
      </c>
      <c r="I30" s="96"/>
      <c r="J30" s="96"/>
    </row>
    <row r="31" spans="2:10">
      <c r="D31" s="3" t="s">
        <v>8</v>
      </c>
      <c r="E31" s="3" t="s">
        <v>9</v>
      </c>
      <c r="F31" s="3" t="s">
        <v>10</v>
      </c>
    </row>
    <row r="32" spans="2:10">
      <c r="D32" s="3">
        <v>1</v>
      </c>
      <c r="E32" s="3">
        <v>2</v>
      </c>
      <c r="F32" s="3">
        <v>2</v>
      </c>
    </row>
    <row r="33" spans="4:6">
      <c r="D33" s="3">
        <v>2</v>
      </c>
      <c r="E33" s="3">
        <v>2</v>
      </c>
      <c r="F33" s="3">
        <v>2</v>
      </c>
    </row>
    <row r="34" spans="4:6">
      <c r="D34" s="3">
        <v>3</v>
      </c>
      <c r="E34" s="3">
        <v>1</v>
      </c>
      <c r="F34" s="3">
        <v>1</v>
      </c>
    </row>
    <row r="35" spans="4:6">
      <c r="D35" s="3">
        <v>4</v>
      </c>
      <c r="E35" s="3">
        <v>2</v>
      </c>
      <c r="F35" s="3">
        <v>2</v>
      </c>
    </row>
    <row r="36" spans="4:6">
      <c r="D36" s="3">
        <v>5</v>
      </c>
      <c r="E36" s="3">
        <v>3</v>
      </c>
      <c r="F36" s="3">
        <v>3</v>
      </c>
    </row>
    <row r="37" spans="4:6">
      <c r="F37" s="3">
        <f>SUM(F32:F36)</f>
        <v>10</v>
      </c>
    </row>
  </sheetData>
  <sheetProtection selectLockedCells="1" selectUnlockedCells="1"/>
  <mergeCells count="1">
    <mergeCell ref="I30:J30"/>
  </mergeCells>
  <pageMargins left="0.75" right="0.75" top="1" bottom="1" header="0.51180555555555551" footer="0.51180555555555551"/>
  <pageSetup paperSize="9" firstPageNumber="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dimension ref="A1:H53"/>
  <sheetViews>
    <sheetView topLeftCell="A25" zoomScale="140" zoomScaleNormal="140" workbookViewId="0">
      <selection sqref="A1:H53"/>
    </sheetView>
  </sheetViews>
  <sheetFormatPr baseColWidth="10" defaultColWidth="11" defaultRowHeight="12.75"/>
  <sheetData>
    <row r="1" spans="1:8" ht="14.65" customHeight="1">
      <c r="A1" s="97" t="s">
        <v>11</v>
      </c>
      <c r="B1" s="97"/>
      <c r="C1" s="97"/>
      <c r="D1" s="97"/>
      <c r="E1" s="97"/>
      <c r="F1" s="97"/>
      <c r="G1" s="97"/>
      <c r="H1" s="97"/>
    </row>
    <row r="2" spans="1:8">
      <c r="A2" s="97"/>
      <c r="B2" s="97"/>
      <c r="C2" s="97"/>
      <c r="D2" s="97"/>
      <c r="E2" s="97"/>
      <c r="F2" s="97"/>
      <c r="G2" s="97"/>
      <c r="H2" s="97"/>
    </row>
    <row r="3" spans="1:8">
      <c r="A3" s="97"/>
      <c r="B3" s="97"/>
      <c r="C3" s="97"/>
      <c r="D3" s="97"/>
      <c r="E3" s="97"/>
      <c r="F3" s="97"/>
      <c r="G3" s="97"/>
      <c r="H3" s="97"/>
    </row>
    <row r="4" spans="1:8">
      <c r="A4" s="97"/>
      <c r="B4" s="97"/>
      <c r="C4" s="97"/>
      <c r="D4" s="97"/>
      <c r="E4" s="97"/>
      <c r="F4" s="97"/>
      <c r="G4" s="97"/>
      <c r="H4" s="97"/>
    </row>
    <row r="5" spans="1:8">
      <c r="A5" s="97"/>
      <c r="B5" s="97"/>
      <c r="C5" s="97"/>
      <c r="D5" s="97"/>
      <c r="E5" s="97"/>
      <c r="F5" s="97"/>
      <c r="G5" s="97"/>
      <c r="H5" s="97"/>
    </row>
    <row r="6" spans="1:8">
      <c r="A6" s="97"/>
      <c r="B6" s="97"/>
      <c r="C6" s="97"/>
      <c r="D6" s="97"/>
      <c r="E6" s="97"/>
      <c r="F6" s="97"/>
      <c r="G6" s="97"/>
      <c r="H6" s="97"/>
    </row>
    <row r="7" spans="1:8">
      <c r="A7" s="97"/>
      <c r="B7" s="97"/>
      <c r="C7" s="97"/>
      <c r="D7" s="97"/>
      <c r="E7" s="97"/>
      <c r="F7" s="97"/>
      <c r="G7" s="97"/>
      <c r="H7" s="97"/>
    </row>
    <row r="8" spans="1:8">
      <c r="A8" s="97"/>
      <c r="B8" s="97"/>
      <c r="C8" s="97"/>
      <c r="D8" s="97"/>
      <c r="E8" s="97"/>
      <c r="F8" s="97"/>
      <c r="G8" s="97"/>
      <c r="H8" s="97"/>
    </row>
    <row r="9" spans="1:8">
      <c r="A9" s="97"/>
      <c r="B9" s="97"/>
      <c r="C9" s="97"/>
      <c r="D9" s="97"/>
      <c r="E9" s="97"/>
      <c r="F9" s="97"/>
      <c r="G9" s="97"/>
      <c r="H9" s="97"/>
    </row>
    <row r="10" spans="1:8">
      <c r="A10" s="97"/>
      <c r="B10" s="97"/>
      <c r="C10" s="97"/>
      <c r="D10" s="97"/>
      <c r="E10" s="97"/>
      <c r="F10" s="97"/>
      <c r="G10" s="97"/>
      <c r="H10" s="97"/>
    </row>
    <row r="11" spans="1:8">
      <c r="A11" s="97"/>
      <c r="B11" s="97"/>
      <c r="C11" s="97"/>
      <c r="D11" s="97"/>
      <c r="E11" s="97"/>
      <c r="F11" s="97"/>
      <c r="G11" s="97"/>
      <c r="H11" s="97"/>
    </row>
    <row r="12" spans="1:8">
      <c r="A12" s="97"/>
      <c r="B12" s="97"/>
      <c r="C12" s="97"/>
      <c r="D12" s="97"/>
      <c r="E12" s="97"/>
      <c r="F12" s="97"/>
      <c r="G12" s="97"/>
      <c r="H12" s="97"/>
    </row>
    <row r="13" spans="1:8">
      <c r="A13" s="97"/>
      <c r="B13" s="97"/>
      <c r="C13" s="97"/>
      <c r="D13" s="97"/>
      <c r="E13" s="97"/>
      <c r="F13" s="97"/>
      <c r="G13" s="97"/>
      <c r="H13" s="97"/>
    </row>
    <row r="14" spans="1:8">
      <c r="A14" s="97"/>
      <c r="B14" s="97"/>
      <c r="C14" s="97"/>
      <c r="D14" s="97"/>
      <c r="E14" s="97"/>
      <c r="F14" s="97"/>
      <c r="G14" s="97"/>
      <c r="H14" s="97"/>
    </row>
    <row r="15" spans="1:8">
      <c r="A15" s="97"/>
      <c r="B15" s="97"/>
      <c r="C15" s="97"/>
      <c r="D15" s="97"/>
      <c r="E15" s="97"/>
      <c r="F15" s="97"/>
      <c r="G15" s="97"/>
      <c r="H15" s="97"/>
    </row>
    <row r="16" spans="1:8">
      <c r="A16" s="97"/>
      <c r="B16" s="97"/>
      <c r="C16" s="97"/>
      <c r="D16" s="97"/>
      <c r="E16" s="97"/>
      <c r="F16" s="97"/>
      <c r="G16" s="97"/>
      <c r="H16" s="97"/>
    </row>
    <row r="17" spans="1:8">
      <c r="A17" s="97"/>
      <c r="B17" s="97"/>
      <c r="C17" s="97"/>
      <c r="D17" s="97"/>
      <c r="E17" s="97"/>
      <c r="F17" s="97"/>
      <c r="G17" s="97"/>
      <c r="H17" s="97"/>
    </row>
    <row r="18" spans="1:8">
      <c r="A18" s="97"/>
      <c r="B18" s="97"/>
      <c r="C18" s="97"/>
      <c r="D18" s="97"/>
      <c r="E18" s="97"/>
      <c r="F18" s="97"/>
      <c r="G18" s="97"/>
      <c r="H18" s="97"/>
    </row>
    <row r="19" spans="1:8">
      <c r="A19" s="97"/>
      <c r="B19" s="97"/>
      <c r="C19" s="97"/>
      <c r="D19" s="97"/>
      <c r="E19" s="97"/>
      <c r="F19" s="97"/>
      <c r="G19" s="97"/>
      <c r="H19" s="97"/>
    </row>
    <row r="20" spans="1:8">
      <c r="A20" s="97"/>
      <c r="B20" s="97"/>
      <c r="C20" s="97"/>
      <c r="D20" s="97"/>
      <c r="E20" s="97"/>
      <c r="F20" s="97"/>
      <c r="G20" s="97"/>
      <c r="H20" s="97"/>
    </row>
    <row r="21" spans="1:8">
      <c r="A21" s="97"/>
      <c r="B21" s="97"/>
      <c r="C21" s="97"/>
      <c r="D21" s="97"/>
      <c r="E21" s="97"/>
      <c r="F21" s="97"/>
      <c r="G21" s="97"/>
      <c r="H21" s="97"/>
    </row>
    <row r="22" spans="1:8">
      <c r="A22" s="97"/>
      <c r="B22" s="97"/>
      <c r="C22" s="97"/>
      <c r="D22" s="97"/>
      <c r="E22" s="97"/>
      <c r="F22" s="97"/>
      <c r="G22" s="97"/>
      <c r="H22" s="97"/>
    </row>
    <row r="23" spans="1:8">
      <c r="A23" s="97"/>
      <c r="B23" s="97"/>
      <c r="C23" s="97"/>
      <c r="D23" s="97"/>
      <c r="E23" s="97"/>
      <c r="F23" s="97"/>
      <c r="G23" s="97"/>
      <c r="H23" s="97"/>
    </row>
    <row r="24" spans="1:8">
      <c r="A24" s="97"/>
      <c r="B24" s="97"/>
      <c r="C24" s="97"/>
      <c r="D24" s="97"/>
      <c r="E24" s="97"/>
      <c r="F24" s="97"/>
      <c r="G24" s="97"/>
      <c r="H24" s="97"/>
    </row>
    <row r="25" spans="1:8">
      <c r="A25" s="97"/>
      <c r="B25" s="97"/>
      <c r="C25" s="97"/>
      <c r="D25" s="97"/>
      <c r="E25" s="97"/>
      <c r="F25" s="97"/>
      <c r="G25" s="97"/>
      <c r="H25" s="97"/>
    </row>
    <row r="26" spans="1:8">
      <c r="A26" s="97"/>
      <c r="B26" s="97"/>
      <c r="C26" s="97"/>
      <c r="D26" s="97"/>
      <c r="E26" s="97"/>
      <c r="F26" s="97"/>
      <c r="G26" s="97"/>
      <c r="H26" s="97"/>
    </row>
    <row r="27" spans="1:8">
      <c r="A27" s="97"/>
      <c r="B27" s="97"/>
      <c r="C27" s="97"/>
      <c r="D27" s="97"/>
      <c r="E27" s="97"/>
      <c r="F27" s="97"/>
      <c r="G27" s="97"/>
      <c r="H27" s="97"/>
    </row>
    <row r="28" spans="1:8">
      <c r="A28" s="97"/>
      <c r="B28" s="97"/>
      <c r="C28" s="97"/>
      <c r="D28" s="97"/>
      <c r="E28" s="97"/>
      <c r="F28" s="97"/>
      <c r="G28" s="97"/>
      <c r="H28" s="97"/>
    </row>
    <row r="29" spans="1:8">
      <c r="A29" s="97"/>
      <c r="B29" s="97"/>
      <c r="C29" s="97"/>
      <c r="D29" s="97"/>
      <c r="E29" s="97"/>
      <c r="F29" s="97"/>
      <c r="G29" s="97"/>
      <c r="H29" s="97"/>
    </row>
    <row r="30" spans="1:8">
      <c r="A30" s="97"/>
      <c r="B30" s="97"/>
      <c r="C30" s="97"/>
      <c r="D30" s="97"/>
      <c r="E30" s="97"/>
      <c r="F30" s="97"/>
      <c r="G30" s="97"/>
      <c r="H30" s="97"/>
    </row>
    <row r="31" spans="1:8">
      <c r="A31" s="97"/>
      <c r="B31" s="97"/>
      <c r="C31" s="97"/>
      <c r="D31" s="97"/>
      <c r="E31" s="97"/>
      <c r="F31" s="97"/>
      <c r="G31" s="97"/>
      <c r="H31" s="97"/>
    </row>
    <row r="32" spans="1:8">
      <c r="A32" s="97"/>
      <c r="B32" s="97"/>
      <c r="C32" s="97"/>
      <c r="D32" s="97"/>
      <c r="E32" s="97"/>
      <c r="F32" s="97"/>
      <c r="G32" s="97"/>
      <c r="H32" s="97"/>
    </row>
    <row r="33" spans="1:8">
      <c r="A33" s="97"/>
      <c r="B33" s="97"/>
      <c r="C33" s="97"/>
      <c r="D33" s="97"/>
      <c r="E33" s="97"/>
      <c r="F33" s="97"/>
      <c r="G33" s="97"/>
      <c r="H33" s="97"/>
    </row>
    <row r="34" spans="1:8">
      <c r="A34" s="97"/>
      <c r="B34" s="97"/>
      <c r="C34" s="97"/>
      <c r="D34" s="97"/>
      <c r="E34" s="97"/>
      <c r="F34" s="97"/>
      <c r="G34" s="97"/>
      <c r="H34" s="97"/>
    </row>
    <row r="35" spans="1:8">
      <c r="A35" s="97"/>
      <c r="B35" s="97"/>
      <c r="C35" s="97"/>
      <c r="D35" s="97"/>
      <c r="E35" s="97"/>
      <c r="F35" s="97"/>
      <c r="G35" s="97"/>
      <c r="H35" s="97"/>
    </row>
    <row r="36" spans="1:8">
      <c r="A36" s="97"/>
      <c r="B36" s="97"/>
      <c r="C36" s="97"/>
      <c r="D36" s="97"/>
      <c r="E36" s="97"/>
      <c r="F36" s="97"/>
      <c r="G36" s="97"/>
      <c r="H36" s="97"/>
    </row>
    <row r="37" spans="1:8">
      <c r="A37" s="97"/>
      <c r="B37" s="97"/>
      <c r="C37" s="97"/>
      <c r="D37" s="97"/>
      <c r="E37" s="97"/>
      <c r="F37" s="97"/>
      <c r="G37" s="97"/>
      <c r="H37" s="97"/>
    </row>
    <row r="38" spans="1:8">
      <c r="A38" s="97"/>
      <c r="B38" s="97"/>
      <c r="C38" s="97"/>
      <c r="D38" s="97"/>
      <c r="E38" s="97"/>
      <c r="F38" s="97"/>
      <c r="G38" s="97"/>
      <c r="H38" s="97"/>
    </row>
    <row r="39" spans="1:8">
      <c r="A39" s="97"/>
      <c r="B39" s="97"/>
      <c r="C39" s="97"/>
      <c r="D39" s="97"/>
      <c r="E39" s="97"/>
      <c r="F39" s="97"/>
      <c r="G39" s="97"/>
      <c r="H39" s="97"/>
    </row>
    <row r="40" spans="1:8">
      <c r="A40" s="97"/>
      <c r="B40" s="97"/>
      <c r="C40" s="97"/>
      <c r="D40" s="97"/>
      <c r="E40" s="97"/>
      <c r="F40" s="97"/>
      <c r="G40" s="97"/>
      <c r="H40" s="97"/>
    </row>
    <row r="41" spans="1:8">
      <c r="A41" s="97"/>
      <c r="B41" s="97"/>
      <c r="C41" s="97"/>
      <c r="D41" s="97"/>
      <c r="E41" s="97"/>
      <c r="F41" s="97"/>
      <c r="G41" s="97"/>
      <c r="H41" s="97"/>
    </row>
    <row r="42" spans="1:8">
      <c r="A42" s="97"/>
      <c r="B42" s="97"/>
      <c r="C42" s="97"/>
      <c r="D42" s="97"/>
      <c r="E42" s="97"/>
      <c r="F42" s="97"/>
      <c r="G42" s="97"/>
      <c r="H42" s="97"/>
    </row>
    <row r="43" spans="1:8">
      <c r="A43" s="97"/>
      <c r="B43" s="97"/>
      <c r="C43" s="97"/>
      <c r="D43" s="97"/>
      <c r="E43" s="97"/>
      <c r="F43" s="97"/>
      <c r="G43" s="97"/>
      <c r="H43" s="97"/>
    </row>
    <row r="44" spans="1:8">
      <c r="A44" s="97"/>
      <c r="B44" s="97"/>
      <c r="C44" s="97"/>
      <c r="D44" s="97"/>
      <c r="E44" s="97"/>
      <c r="F44" s="97"/>
      <c r="G44" s="97"/>
      <c r="H44" s="97"/>
    </row>
    <row r="45" spans="1:8">
      <c r="A45" s="97"/>
      <c r="B45" s="97"/>
      <c r="C45" s="97"/>
      <c r="D45" s="97"/>
      <c r="E45" s="97"/>
      <c r="F45" s="97"/>
      <c r="G45" s="97"/>
      <c r="H45" s="97"/>
    </row>
    <row r="46" spans="1:8">
      <c r="A46" s="97"/>
      <c r="B46" s="97"/>
      <c r="C46" s="97"/>
      <c r="D46" s="97"/>
      <c r="E46" s="97"/>
      <c r="F46" s="97"/>
      <c r="G46" s="97"/>
      <c r="H46" s="97"/>
    </row>
    <row r="47" spans="1:8">
      <c r="A47" s="97"/>
      <c r="B47" s="97"/>
      <c r="C47" s="97"/>
      <c r="D47" s="97"/>
      <c r="E47" s="97"/>
      <c r="F47" s="97"/>
      <c r="G47" s="97"/>
      <c r="H47" s="97"/>
    </row>
    <row r="48" spans="1:8">
      <c r="A48" s="97"/>
      <c r="B48" s="97"/>
      <c r="C48" s="97"/>
      <c r="D48" s="97"/>
      <c r="E48" s="97"/>
      <c r="F48" s="97"/>
      <c r="G48" s="97"/>
      <c r="H48" s="97"/>
    </row>
    <row r="49" spans="1:8">
      <c r="A49" s="97"/>
      <c r="B49" s="97"/>
      <c r="C49" s="97"/>
      <c r="D49" s="97"/>
      <c r="E49" s="97"/>
      <c r="F49" s="97"/>
      <c r="G49" s="97"/>
      <c r="H49" s="97"/>
    </row>
    <row r="50" spans="1:8">
      <c r="A50" s="97"/>
      <c r="B50" s="97"/>
      <c r="C50" s="97"/>
      <c r="D50" s="97"/>
      <c r="E50" s="97"/>
      <c r="F50" s="97"/>
      <c r="G50" s="97"/>
      <c r="H50" s="97"/>
    </row>
    <row r="51" spans="1:8">
      <c r="A51" s="97"/>
      <c r="B51" s="97"/>
      <c r="C51" s="97"/>
      <c r="D51" s="97"/>
      <c r="E51" s="97"/>
      <c r="F51" s="97"/>
      <c r="G51" s="97"/>
      <c r="H51" s="97"/>
    </row>
    <row r="52" spans="1:8">
      <c r="A52" s="97"/>
      <c r="B52" s="97"/>
      <c r="C52" s="97"/>
      <c r="D52" s="97"/>
      <c r="E52" s="97"/>
      <c r="F52" s="97"/>
      <c r="G52" s="97"/>
      <c r="H52" s="97"/>
    </row>
    <row r="53" spans="1:8">
      <c r="A53" s="97"/>
      <c r="B53" s="97"/>
      <c r="C53" s="97"/>
      <c r="D53" s="97"/>
      <c r="E53" s="97"/>
      <c r="F53" s="97"/>
      <c r="G53" s="97"/>
      <c r="H53" s="97"/>
    </row>
  </sheetData>
  <sheetProtection selectLockedCells="1" selectUnlockedCells="1"/>
  <mergeCells count="1">
    <mergeCell ref="A1:H53"/>
  </mergeCells>
  <pageMargins left="0.7" right="0.7" top="0.75" bottom="0.75" header="0.51180555555555551" footer="0.51180555555555551"/>
  <pageSetup paperSize="9"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dimension ref="A1:Q52"/>
  <sheetViews>
    <sheetView workbookViewId="0">
      <selection activeCell="C52" sqref="C52:D52"/>
    </sheetView>
  </sheetViews>
  <sheetFormatPr baseColWidth="10" defaultColWidth="11" defaultRowHeight="12.75"/>
  <sheetData>
    <row r="1" spans="1:17">
      <c r="A1" s="74" t="s">
        <v>118</v>
      </c>
    </row>
    <row r="3" spans="1:17">
      <c r="B3" s="36" t="s">
        <v>119</v>
      </c>
      <c r="C3" s="36"/>
      <c r="D3" s="36"/>
      <c r="E3" s="36"/>
      <c r="F3" s="36"/>
      <c r="G3" s="36"/>
      <c r="H3" s="36"/>
      <c r="I3" s="36"/>
      <c r="J3" s="36"/>
      <c r="K3" s="36"/>
      <c r="L3" s="36"/>
      <c r="M3" s="36"/>
      <c r="N3" s="36"/>
      <c r="O3" s="36"/>
      <c r="P3" s="36"/>
      <c r="Q3" s="36"/>
    </row>
    <row r="5" spans="1:17">
      <c r="C5" s="77" t="s">
        <v>95</v>
      </c>
      <c r="D5" s="75" t="s">
        <v>96</v>
      </c>
    </row>
    <row r="6" spans="1:17">
      <c r="C6" s="59">
        <v>10</v>
      </c>
      <c r="D6" s="11">
        <v>3.132359504699707</v>
      </c>
    </row>
    <row r="7" spans="1:17">
      <c r="C7" s="59">
        <v>20</v>
      </c>
      <c r="D7" s="11">
        <v>1.6843118667602539</v>
      </c>
      <c r="F7" s="26" t="s">
        <v>123</v>
      </c>
    </row>
    <row r="8" spans="1:17">
      <c r="C8" s="59">
        <v>30</v>
      </c>
      <c r="D8" s="11">
        <v>1.201695442199707</v>
      </c>
    </row>
    <row r="9" spans="1:17">
      <c r="C9" s="59">
        <v>100</v>
      </c>
      <c r="D9" s="11">
        <v>0.52628779411315918</v>
      </c>
    </row>
    <row r="12" spans="1:17">
      <c r="A12" s="74" t="s">
        <v>120</v>
      </c>
    </row>
    <row r="14" spans="1:17">
      <c r="B14" s="26" t="s">
        <v>121</v>
      </c>
    </row>
    <row r="16" spans="1:17">
      <c r="C16" s="77" t="s">
        <v>112</v>
      </c>
      <c r="D16" s="75" t="s">
        <v>117</v>
      </c>
    </row>
    <row r="17" spans="1:9">
      <c r="C17" s="59">
        <v>5000</v>
      </c>
      <c r="D17" s="11">
        <v>0.10804687500000001</v>
      </c>
    </row>
    <row r="18" spans="1:9">
      <c r="C18" s="59">
        <v>10000</v>
      </c>
      <c r="D18" s="11">
        <v>9.6015624999999993E-2</v>
      </c>
      <c r="F18" s="26" t="s">
        <v>122</v>
      </c>
    </row>
    <row r="19" spans="1:9">
      <c r="C19" s="59">
        <v>15000</v>
      </c>
      <c r="D19" s="11">
        <v>9.0859374999999992E-2</v>
      </c>
    </row>
    <row r="20" spans="1:9">
      <c r="C20" s="59">
        <v>20000</v>
      </c>
      <c r="D20" s="11">
        <v>8.8437500000000002E-2</v>
      </c>
    </row>
    <row r="21" spans="1:9">
      <c r="C21" s="76">
        <v>25000</v>
      </c>
      <c r="D21" s="11">
        <v>8.4687499999999999E-2</v>
      </c>
    </row>
    <row r="22" spans="1:9">
      <c r="C22" s="76">
        <v>30000</v>
      </c>
      <c r="D22" s="11">
        <v>8.2812499999999997E-2</v>
      </c>
    </row>
    <row r="26" spans="1:9">
      <c r="A26" s="74" t="s">
        <v>124</v>
      </c>
    </row>
    <row r="28" spans="1:9">
      <c r="B28" s="101" t="s">
        <v>125</v>
      </c>
      <c r="C28" s="101"/>
      <c r="D28" s="101"/>
      <c r="E28" s="101"/>
      <c r="F28" s="101"/>
      <c r="G28" s="101"/>
      <c r="H28" t="s">
        <v>37</v>
      </c>
      <c r="I28" s="26" t="s">
        <v>126</v>
      </c>
    </row>
    <row r="31" spans="1:9">
      <c r="C31" s="105" t="s">
        <v>127</v>
      </c>
      <c r="D31" s="105"/>
    </row>
    <row r="34" spans="1:6">
      <c r="C34" s="102" t="s">
        <v>59</v>
      </c>
      <c r="D34" s="102"/>
      <c r="E34" s="82">
        <v>18.900719686662228</v>
      </c>
    </row>
    <row r="36" spans="1:6">
      <c r="C36" s="103" t="s">
        <v>60</v>
      </c>
      <c r="D36" s="104"/>
      <c r="E36" s="25">
        <v>-3.5149729229370359</v>
      </c>
    </row>
    <row r="40" spans="1:6">
      <c r="A40" s="74" t="s">
        <v>129</v>
      </c>
    </row>
    <row r="42" spans="1:6">
      <c r="B42" s="26" t="s">
        <v>133</v>
      </c>
    </row>
    <row r="44" spans="1:6" ht="15">
      <c r="C44" s="79" t="s">
        <v>130</v>
      </c>
      <c r="D44" s="106" t="s">
        <v>68</v>
      </c>
      <c r="E44" s="106"/>
    </row>
    <row r="45" spans="1:6">
      <c r="C45" s="80" t="s">
        <v>131</v>
      </c>
      <c r="D45" s="99">
        <v>0.16679999999999998</v>
      </c>
      <c r="E45" s="99"/>
    </row>
    <row r="48" spans="1:6">
      <c r="C48" s="79" t="s">
        <v>132</v>
      </c>
      <c r="D48" s="98" t="s">
        <v>87</v>
      </c>
      <c r="E48" s="98"/>
      <c r="F48" s="98"/>
    </row>
    <row r="49" spans="3:17">
      <c r="C49" s="80" t="s">
        <v>131</v>
      </c>
      <c r="D49" s="99">
        <v>0</v>
      </c>
      <c r="E49" s="99"/>
      <c r="F49" s="99"/>
    </row>
    <row r="52" spans="3:17">
      <c r="C52" s="100" t="s">
        <v>157</v>
      </c>
      <c r="D52" s="100"/>
      <c r="E52" s="78" t="s">
        <v>134</v>
      </c>
      <c r="F52" s="11"/>
      <c r="G52" s="11"/>
      <c r="H52" s="11"/>
      <c r="I52" s="11"/>
      <c r="J52" s="11"/>
      <c r="K52" s="11"/>
      <c r="L52" s="11"/>
      <c r="M52" s="11"/>
      <c r="N52" s="11"/>
      <c r="O52" s="11"/>
      <c r="P52" s="11"/>
      <c r="Q52" s="11"/>
    </row>
  </sheetData>
  <sheetProtection selectLockedCells="1" selectUnlockedCells="1"/>
  <mergeCells count="9">
    <mergeCell ref="D48:F48"/>
    <mergeCell ref="D49:F49"/>
    <mergeCell ref="C52:D52"/>
    <mergeCell ref="B28:G28"/>
    <mergeCell ref="C34:D34"/>
    <mergeCell ref="C36:D36"/>
    <mergeCell ref="C31:D31"/>
    <mergeCell ref="D44:E44"/>
    <mergeCell ref="D45:E45"/>
  </mergeCells>
  <pageMargins left="0.7" right="0.7" top="0.75" bottom="0.75" header="0.51180555555555551" footer="0.51180555555555551"/>
  <pageSetup paperSize="9"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dimension ref="B3:U144"/>
  <sheetViews>
    <sheetView topLeftCell="A28" workbookViewId="0">
      <selection activeCell="L28" sqref="L28"/>
    </sheetView>
  </sheetViews>
  <sheetFormatPr baseColWidth="10" defaultColWidth="11" defaultRowHeight="12.75"/>
  <cols>
    <col min="1" max="2" width="4.140625" customWidth="1"/>
    <col min="3" max="8" width="11" customWidth="1"/>
    <col min="9" max="9" width="12.42578125" customWidth="1"/>
  </cols>
  <sheetData>
    <row r="3" spans="3:9" ht="23.25" customHeight="1">
      <c r="C3" s="109" t="s">
        <v>12</v>
      </c>
      <c r="D3" s="109"/>
      <c r="E3" s="109"/>
      <c r="F3" s="109"/>
      <c r="G3" s="109"/>
      <c r="H3" s="109"/>
      <c r="I3" s="109"/>
    </row>
    <row r="4" spans="3:9" ht="26.25" customHeight="1">
      <c r="C4" s="110" t="s">
        <v>13</v>
      </c>
      <c r="D4" s="110"/>
      <c r="E4" s="110"/>
      <c r="F4" s="110"/>
      <c r="G4" s="110"/>
      <c r="H4" s="110"/>
      <c r="I4" s="110"/>
    </row>
    <row r="5" spans="3:9" ht="12.75" customHeight="1">
      <c r="C5" s="111" t="s">
        <v>14</v>
      </c>
      <c r="D5" s="112"/>
      <c r="E5" s="112"/>
      <c r="F5" s="112"/>
      <c r="G5" s="112"/>
      <c r="H5" s="112"/>
      <c r="I5" s="112"/>
    </row>
    <row r="6" spans="3:9">
      <c r="C6" s="112"/>
      <c r="D6" s="112"/>
      <c r="E6" s="112"/>
      <c r="F6" s="112"/>
      <c r="G6" s="112"/>
      <c r="H6" s="112"/>
      <c r="I6" s="112"/>
    </row>
    <row r="7" spans="3:9">
      <c r="C7" s="112"/>
      <c r="D7" s="112"/>
      <c r="E7" s="112"/>
      <c r="F7" s="112"/>
      <c r="G7" s="112"/>
      <c r="H7" s="112"/>
      <c r="I7" s="112"/>
    </row>
    <row r="8" spans="3:9">
      <c r="C8" s="112"/>
      <c r="D8" s="112"/>
      <c r="E8" s="112"/>
      <c r="F8" s="112"/>
      <c r="G8" s="112"/>
      <c r="H8" s="112"/>
      <c r="I8" s="112"/>
    </row>
    <row r="9" spans="3:9" ht="30" customHeight="1">
      <c r="C9" s="112"/>
      <c r="D9" s="112"/>
      <c r="E9" s="112"/>
      <c r="F9" s="112"/>
      <c r="G9" s="112"/>
      <c r="H9" s="112"/>
      <c r="I9" s="112"/>
    </row>
    <row r="10" spans="3:9">
      <c r="C10" s="4"/>
      <c r="D10" s="4"/>
      <c r="E10" s="4"/>
      <c r="F10" s="4"/>
      <c r="G10" s="4"/>
      <c r="H10" s="4"/>
      <c r="I10" s="4"/>
    </row>
    <row r="11" spans="3:9">
      <c r="C11" s="4" t="s">
        <v>15</v>
      </c>
      <c r="D11" s="4"/>
      <c r="E11" s="4"/>
      <c r="F11" s="4"/>
      <c r="G11" s="4"/>
      <c r="H11" s="4"/>
      <c r="I11" s="4"/>
    </row>
    <row r="12" spans="3:9">
      <c r="C12" s="4"/>
      <c r="D12" s="5" t="s">
        <v>16</v>
      </c>
      <c r="E12" s="5" t="s">
        <v>17</v>
      </c>
      <c r="F12" s="56" t="s">
        <v>99</v>
      </c>
      <c r="G12" s="56" t="s">
        <v>98</v>
      </c>
      <c r="H12" s="50"/>
      <c r="I12" s="4"/>
    </row>
    <row r="13" spans="3:9" ht="15">
      <c r="C13" s="6" t="s">
        <v>18</v>
      </c>
      <c r="D13" s="5">
        <v>3.4099999999999998E-2</v>
      </c>
      <c r="E13" s="5">
        <v>0.23699999999999999</v>
      </c>
      <c r="F13" s="57">
        <v>353</v>
      </c>
      <c r="G13" s="57">
        <v>8.2049999999999998E-2</v>
      </c>
      <c r="H13" s="54"/>
      <c r="I13" s="13"/>
    </row>
    <row r="14" spans="3:9" ht="15">
      <c r="D14" s="4"/>
      <c r="E14" s="4"/>
      <c r="F14" s="4"/>
      <c r="G14" s="54"/>
      <c r="H14" s="54"/>
      <c r="I14" s="13"/>
    </row>
    <row r="15" spans="3:9">
      <c r="C15" s="113" t="s">
        <v>92</v>
      </c>
      <c r="D15" s="113"/>
      <c r="E15" s="4"/>
      <c r="F15" s="4"/>
      <c r="G15" s="4"/>
      <c r="H15" s="4"/>
      <c r="I15" s="4"/>
    </row>
    <row r="16" spans="3:9">
      <c r="C16" s="4"/>
      <c r="D16" s="4"/>
      <c r="E16" s="4"/>
      <c r="F16" s="4"/>
      <c r="G16" s="4"/>
      <c r="H16" s="4"/>
      <c r="I16" s="4"/>
    </row>
    <row r="17" spans="2:21">
      <c r="C17" s="58" t="s">
        <v>95</v>
      </c>
      <c r="D17" s="59">
        <v>10</v>
      </c>
      <c r="E17" s="4"/>
      <c r="F17" s="4"/>
      <c r="G17" s="4"/>
      <c r="H17" s="4"/>
      <c r="I17" s="4"/>
    </row>
    <row r="18" spans="2:21">
      <c r="D18" s="4"/>
      <c r="E18" s="4"/>
      <c r="F18" s="4"/>
      <c r="G18" s="4"/>
      <c r="H18" s="4"/>
      <c r="I18" s="4"/>
    </row>
    <row r="19" spans="2:21" ht="15">
      <c r="C19" s="53"/>
      <c r="D19" s="107" t="s">
        <v>105</v>
      </c>
      <c r="E19" s="107"/>
      <c r="F19" s="13" t="s">
        <v>40</v>
      </c>
      <c r="G19">
        <f>(D17+D13/(3)^2)*(3-E13)-(0.08205*353)</f>
        <v>-1.3231812999999981</v>
      </c>
      <c r="H19" s="51"/>
      <c r="I19" s="51"/>
      <c r="J19" s="51"/>
      <c r="K19" s="51"/>
      <c r="L19" s="51"/>
    </row>
    <row r="20" spans="2:21" ht="15">
      <c r="C20" s="53"/>
      <c r="D20" s="108" t="s">
        <v>104</v>
      </c>
      <c r="E20" s="108"/>
      <c r="F20" s="13" t="s">
        <v>40</v>
      </c>
      <c r="G20">
        <f>(D17+D13/(4)^2)*(4-E13)-(0.08205*353)</f>
        <v>8.6743698937500007</v>
      </c>
      <c r="H20" s="52"/>
      <c r="I20" s="55" t="s">
        <v>97</v>
      </c>
      <c r="J20" s="49">
        <f>(LN(1)-LN(0.000001))/LN(2)</f>
        <v>19.931568569324174</v>
      </c>
      <c r="K20" s="13" t="s">
        <v>40</v>
      </c>
      <c r="L20" s="49">
        <f>ROUNDUP(J20,0)</f>
        <v>20</v>
      </c>
    </row>
    <row r="21" spans="2:21">
      <c r="C21" s="53"/>
      <c r="D21" s="52"/>
      <c r="E21" s="52"/>
      <c r="F21" s="52"/>
      <c r="G21" s="52"/>
      <c r="H21" s="52"/>
      <c r="I21" s="52"/>
      <c r="J21" s="52"/>
      <c r="K21" s="52"/>
      <c r="L21" s="52"/>
    </row>
    <row r="22" spans="2:21">
      <c r="C22" s="53"/>
      <c r="D22" s="52"/>
      <c r="E22" s="52"/>
      <c r="F22" s="52"/>
      <c r="G22" s="52"/>
      <c r="H22" s="52"/>
      <c r="I22" s="52"/>
      <c r="J22" s="52"/>
      <c r="K22" s="52"/>
      <c r="L22" s="52"/>
    </row>
    <row r="23" spans="2:21" ht="15">
      <c r="B23" s="64" t="s">
        <v>45</v>
      </c>
      <c r="C23" s="64" t="s">
        <v>93</v>
      </c>
      <c r="D23" s="69" t="s">
        <v>16</v>
      </c>
      <c r="E23" s="69" t="s">
        <v>17</v>
      </c>
      <c r="F23" s="69" t="s">
        <v>103</v>
      </c>
      <c r="G23" s="69" t="s">
        <v>102</v>
      </c>
      <c r="H23" s="69" t="s">
        <v>78</v>
      </c>
      <c r="I23" s="69" t="s">
        <v>101</v>
      </c>
      <c r="J23" s="69" t="s">
        <v>100</v>
      </c>
      <c r="K23" s="69"/>
      <c r="L23" s="69" t="s">
        <v>94</v>
      </c>
    </row>
    <row r="24" spans="2:21">
      <c r="B24" s="11">
        <v>0</v>
      </c>
      <c r="C24" s="68">
        <v>1</v>
      </c>
      <c r="D24" s="49">
        <v>3</v>
      </c>
      <c r="E24" s="49">
        <v>4</v>
      </c>
      <c r="F24" s="49">
        <f t="shared" ref="F24:F43" si="0">($D$17+$D$13/D24^2)*(D24-$E$13)-$G$13*$F$13</f>
        <v>-1.3231812999999981</v>
      </c>
      <c r="G24" s="49">
        <f t="shared" ref="G24:G43" si="1">($D$17+$D$13/E24^2)*(E24-$E$13)-$G$13*$F$13</f>
        <v>8.6743698937500007</v>
      </c>
      <c r="H24" s="49">
        <f t="shared" ref="H24:H43" si="2">(D24+E24)/2</f>
        <v>3.5</v>
      </c>
      <c r="I24" s="49">
        <f t="shared" ref="I24:I43" si="3">($D$17+$D$13/H24^2)*(H24-$E$13)-$G$13*$F$13</f>
        <v>3.675433126530617</v>
      </c>
      <c r="J24" s="49">
        <f t="shared" ref="J24:J43" si="4">F24*I24</f>
        <v>-4.8632643824258395</v>
      </c>
      <c r="K24" s="49" t="str">
        <f t="shared" ref="K24:K43" si="5">IF(F24*I24&gt;0,"+","-")</f>
        <v>-</v>
      </c>
      <c r="L24" s="49">
        <f>($E$24-$D$24)/2^(C24)</f>
        <v>0.5</v>
      </c>
    </row>
    <row r="25" spans="2:21">
      <c r="B25" s="11">
        <v>1</v>
      </c>
      <c r="C25" s="68">
        <v>2</v>
      </c>
      <c r="D25" s="49">
        <f>IF(J24&gt;0,H24,D24)</f>
        <v>3</v>
      </c>
      <c r="E25" s="49">
        <f>IF(J24&lt;0,H24,E24)</f>
        <v>3.5</v>
      </c>
      <c r="F25" s="49">
        <f t="shared" si="0"/>
        <v>-1.3231812999999981</v>
      </c>
      <c r="G25" s="49">
        <f t="shared" si="1"/>
        <v>3.675433126530617</v>
      </c>
      <c r="H25" s="49">
        <f t="shared" si="2"/>
        <v>3.25</v>
      </c>
      <c r="I25" s="49">
        <f t="shared" si="3"/>
        <v>1.1760771763313613</v>
      </c>
      <c r="J25" s="49">
        <f t="shared" si="4"/>
        <v>-1.5561633270784576</v>
      </c>
      <c r="K25" s="49" t="str">
        <f t="shared" si="5"/>
        <v>-</v>
      </c>
      <c r="L25" s="49">
        <f>($E$24-$D$24)/2^(C25)</f>
        <v>0.25</v>
      </c>
      <c r="O25" s="65"/>
      <c r="P25" s="65"/>
      <c r="Q25" s="66"/>
      <c r="R25" s="66"/>
    </row>
    <row r="26" spans="2:21" ht="15">
      <c r="B26" s="11">
        <v>2</v>
      </c>
      <c r="C26" s="68">
        <v>3</v>
      </c>
      <c r="D26" s="49">
        <f>IF(J25&gt;0,H25,D25)</f>
        <v>3</v>
      </c>
      <c r="E26" s="49">
        <f>IF(J25&lt;0,H25,E25)</f>
        <v>3.25</v>
      </c>
      <c r="F26" s="49">
        <f t="shared" si="0"/>
        <v>-1.3231812999999981</v>
      </c>
      <c r="G26" s="49">
        <f t="shared" si="1"/>
        <v>1.1760771763313613</v>
      </c>
      <c r="H26" s="49">
        <f t="shared" si="2"/>
        <v>3.125</v>
      </c>
      <c r="I26" s="49">
        <f t="shared" si="3"/>
        <v>-7.3565566079995648E-2</v>
      </c>
      <c r="J26" s="49">
        <f t="shared" si="4"/>
        <v>9.7340581360964407E-2</v>
      </c>
      <c r="K26" s="49" t="str">
        <f t="shared" si="5"/>
        <v>+</v>
      </c>
      <c r="L26" s="49">
        <f>($E$24-$D$24)/2^(C26)</f>
        <v>0.125</v>
      </c>
      <c r="O26" s="65"/>
      <c r="P26" s="65"/>
      <c r="Q26" s="67"/>
      <c r="R26" s="67"/>
      <c r="S26" s="51"/>
      <c r="T26" s="51"/>
      <c r="U26" s="51"/>
    </row>
    <row r="27" spans="2:21">
      <c r="B27" s="11">
        <v>3</v>
      </c>
      <c r="C27" s="68">
        <v>4</v>
      </c>
      <c r="D27" s="49">
        <f>IF(J26&gt;0,H26,D26)</f>
        <v>3.125</v>
      </c>
      <c r="E27" s="49">
        <f>IF(J26&lt;0,H26,E26)</f>
        <v>3.25</v>
      </c>
      <c r="F27" s="49">
        <f t="shared" si="0"/>
        <v>-7.3565566079995648E-2</v>
      </c>
      <c r="G27" s="49">
        <f t="shared" si="1"/>
        <v>1.1760771763313613</v>
      </c>
      <c r="H27" s="49">
        <f t="shared" si="2"/>
        <v>3.1875</v>
      </c>
      <c r="I27" s="49">
        <f t="shared" si="3"/>
        <v>0.55125260853517588</v>
      </c>
      <c r="J27" s="49">
        <f t="shared" si="4"/>
        <v>-4.0553210199964454E-2</v>
      </c>
      <c r="K27" s="49" t="str">
        <f t="shared" si="5"/>
        <v>-</v>
      </c>
      <c r="L27" s="49">
        <f>($E$24-$D$24)/2^(C27)</f>
        <v>6.25E-2</v>
      </c>
      <c r="O27" s="33"/>
      <c r="P27" s="33"/>
      <c r="Q27" s="33"/>
      <c r="R27" s="33"/>
      <c r="S27" s="52"/>
      <c r="T27" s="52"/>
      <c r="U27" s="52"/>
    </row>
    <row r="28" spans="2:21">
      <c r="B28" s="11">
        <v>4</v>
      </c>
      <c r="C28" s="68">
        <v>5</v>
      </c>
      <c r="D28" s="49">
        <f>IF(J27&gt;0,H27,D27)</f>
        <v>3.125</v>
      </c>
      <c r="E28" s="49">
        <f>IF(J27&lt;0,H27,E27)</f>
        <v>3.1875</v>
      </c>
      <c r="F28" s="49">
        <f t="shared" si="0"/>
        <v>-7.3565566079995648E-2</v>
      </c>
      <c r="G28" s="49">
        <f t="shared" si="1"/>
        <v>0.55125260853517588</v>
      </c>
      <c r="H28" s="49">
        <f t="shared" si="2"/>
        <v>3.15625</v>
      </c>
      <c r="I28" s="49">
        <f t="shared" si="3"/>
        <v>0.23884270063719271</v>
      </c>
      <c r="J28" s="49">
        <f t="shared" si="4"/>
        <v>-1.7570598476450018E-2</v>
      </c>
      <c r="K28" s="49" t="str">
        <f t="shared" si="5"/>
        <v>-</v>
      </c>
      <c r="L28" s="49">
        <f t="shared" ref="L28:L43" si="6">($E$24-$D$24)/2^(C28)</f>
        <v>3.125E-2</v>
      </c>
      <c r="S28" s="52"/>
      <c r="T28" s="52"/>
      <c r="U28" s="52"/>
    </row>
    <row r="29" spans="2:21">
      <c r="B29" s="11">
        <v>5</v>
      </c>
      <c r="C29" s="68">
        <v>6</v>
      </c>
      <c r="D29" s="49">
        <f t="shared" ref="D29:D43" si="7">IF(J28&gt;0,H28,D28)</f>
        <v>3.125</v>
      </c>
      <c r="E29" s="49">
        <f t="shared" ref="E29:E43" si="8">IF(J28&lt;0,H28,E28)</f>
        <v>3.15625</v>
      </c>
      <c r="F29" s="49">
        <f t="shared" si="0"/>
        <v>-7.3565566079995648E-2</v>
      </c>
      <c r="G29" s="49">
        <f t="shared" si="1"/>
        <v>0.23884270063719271</v>
      </c>
      <c r="H29" s="49">
        <f t="shared" si="2"/>
        <v>3.140625</v>
      </c>
      <c r="I29" s="49">
        <f t="shared" si="3"/>
        <v>8.2638359367344094E-2</v>
      </c>
      <c r="J29" s="49">
        <f t="shared" si="4"/>
        <v>-6.0793376867807796E-3</v>
      </c>
      <c r="K29" s="49" t="str">
        <f t="shared" si="5"/>
        <v>-</v>
      </c>
      <c r="L29" s="49">
        <f t="shared" si="6"/>
        <v>1.5625E-2</v>
      </c>
      <c r="S29" s="52"/>
      <c r="T29" s="52"/>
      <c r="U29" s="52"/>
    </row>
    <row r="30" spans="2:21">
      <c r="B30" s="11">
        <v>6</v>
      </c>
      <c r="C30" s="68">
        <v>7</v>
      </c>
      <c r="D30" s="49">
        <f t="shared" si="7"/>
        <v>3.125</v>
      </c>
      <c r="E30" s="49">
        <f t="shared" si="8"/>
        <v>3.140625</v>
      </c>
      <c r="F30" s="49">
        <f t="shared" si="0"/>
        <v>-7.3565566079995648E-2</v>
      </c>
      <c r="G30" s="49">
        <f t="shared" si="1"/>
        <v>8.2638359367344094E-2</v>
      </c>
      <c r="H30" s="49">
        <f t="shared" si="2"/>
        <v>3.1328125</v>
      </c>
      <c r="I30" s="49">
        <f t="shared" si="3"/>
        <v>4.5363443150243654E-3</v>
      </c>
      <c r="J30" s="49">
        <f t="shared" si="4"/>
        <v>-3.3371873746853756E-4</v>
      </c>
      <c r="K30" s="49" t="str">
        <f t="shared" si="5"/>
        <v>-</v>
      </c>
      <c r="L30" s="49">
        <f t="shared" si="6"/>
        <v>7.8125E-3</v>
      </c>
      <c r="S30" s="52"/>
      <c r="T30" s="52"/>
      <c r="U30" s="52"/>
    </row>
    <row r="31" spans="2:21">
      <c r="B31" s="11">
        <v>7</v>
      </c>
      <c r="C31" s="68">
        <v>8</v>
      </c>
      <c r="D31" s="49">
        <f t="shared" si="7"/>
        <v>3.125</v>
      </c>
      <c r="E31" s="49">
        <f t="shared" si="8"/>
        <v>3.1328125</v>
      </c>
      <c r="F31" s="49">
        <f t="shared" si="0"/>
        <v>-7.3565566079995648E-2</v>
      </c>
      <c r="G31" s="49">
        <f t="shared" si="1"/>
        <v>4.5363443150243654E-3</v>
      </c>
      <c r="H31" s="49">
        <f t="shared" si="2"/>
        <v>3.12890625</v>
      </c>
      <c r="I31" s="49">
        <f t="shared" si="3"/>
        <v>-3.4514624008846084E-2</v>
      </c>
      <c r="J31" s="49">
        <f t="shared" si="4"/>
        <v>2.5390878532489708E-3</v>
      </c>
      <c r="K31" s="49" t="str">
        <f t="shared" si="5"/>
        <v>+</v>
      </c>
      <c r="L31" s="49">
        <f t="shared" si="6"/>
        <v>3.90625E-3</v>
      </c>
      <c r="S31" s="52"/>
      <c r="T31" s="52"/>
      <c r="U31" s="52"/>
    </row>
    <row r="32" spans="2:21">
      <c r="B32" s="11">
        <v>8</v>
      </c>
      <c r="C32" s="68">
        <v>9</v>
      </c>
      <c r="D32" s="49">
        <f t="shared" si="7"/>
        <v>3.12890625</v>
      </c>
      <c r="E32" s="49">
        <f t="shared" si="8"/>
        <v>3.1328125</v>
      </c>
      <c r="F32" s="49">
        <f t="shared" si="0"/>
        <v>-3.4514624008846084E-2</v>
      </c>
      <c r="G32" s="49">
        <f t="shared" si="1"/>
        <v>4.5363443150243654E-3</v>
      </c>
      <c r="H32" s="49">
        <f t="shared" si="2"/>
        <v>3.130859375</v>
      </c>
      <c r="I32" s="49">
        <f t="shared" si="3"/>
        <v>-1.4989143122960513E-2</v>
      </c>
      <c r="J32" s="49">
        <f t="shared" si="4"/>
        <v>5.1734463910376306E-4</v>
      </c>
      <c r="K32" s="49" t="str">
        <f t="shared" si="5"/>
        <v>+</v>
      </c>
      <c r="L32" s="49">
        <f t="shared" si="6"/>
        <v>1.953125E-3</v>
      </c>
    </row>
    <row r="33" spans="2:12">
      <c r="B33" s="11">
        <v>9</v>
      </c>
      <c r="C33" s="68">
        <v>10</v>
      </c>
      <c r="D33" s="49">
        <f t="shared" si="7"/>
        <v>3.130859375</v>
      </c>
      <c r="E33" s="49">
        <f t="shared" si="8"/>
        <v>3.1328125</v>
      </c>
      <c r="F33" s="49">
        <f t="shared" si="0"/>
        <v>-1.4989143122960513E-2</v>
      </c>
      <c r="G33" s="49">
        <f t="shared" si="1"/>
        <v>4.5363443150243654E-3</v>
      </c>
      <c r="H33" s="49">
        <f t="shared" si="2"/>
        <v>3.1318359375</v>
      </c>
      <c r="I33" s="49">
        <f t="shared" si="3"/>
        <v>-5.2264002222877082E-3</v>
      </c>
      <c r="J33" s="49">
        <f t="shared" si="4"/>
        <v>7.8339260949743093E-5</v>
      </c>
      <c r="K33" s="49" t="str">
        <f t="shared" si="5"/>
        <v>+</v>
      </c>
      <c r="L33" s="49">
        <f t="shared" si="6"/>
        <v>9.765625E-4</v>
      </c>
    </row>
    <row r="34" spans="2:12">
      <c r="B34" s="11">
        <v>10</v>
      </c>
      <c r="C34" s="68">
        <v>11</v>
      </c>
      <c r="D34" s="49">
        <f t="shared" si="7"/>
        <v>3.1318359375</v>
      </c>
      <c r="E34" s="49">
        <f t="shared" si="8"/>
        <v>3.1328125</v>
      </c>
      <c r="F34" s="49">
        <f t="shared" si="0"/>
        <v>-5.2264002222877082E-3</v>
      </c>
      <c r="G34" s="49">
        <f t="shared" si="1"/>
        <v>4.5363443150243654E-3</v>
      </c>
      <c r="H34" s="49">
        <f t="shared" si="2"/>
        <v>3.13232421875</v>
      </c>
      <c r="I34" s="49">
        <f t="shared" si="3"/>
        <v>-3.4502815812587073E-4</v>
      </c>
      <c r="J34" s="49">
        <f t="shared" si="4"/>
        <v>1.8032552423245693E-6</v>
      </c>
      <c r="K34" s="49" t="str">
        <f t="shared" si="5"/>
        <v>+</v>
      </c>
      <c r="L34" s="49">
        <f t="shared" si="6"/>
        <v>4.8828125E-4</v>
      </c>
    </row>
    <row r="35" spans="2:12">
      <c r="B35" s="11">
        <v>11</v>
      </c>
      <c r="C35" s="68">
        <v>12</v>
      </c>
      <c r="D35" s="49">
        <f t="shared" si="7"/>
        <v>3.13232421875</v>
      </c>
      <c r="E35" s="49">
        <f t="shared" si="8"/>
        <v>3.1328125</v>
      </c>
      <c r="F35" s="49">
        <f t="shared" si="0"/>
        <v>-3.4502815812587073E-4</v>
      </c>
      <c r="G35" s="49">
        <f t="shared" si="1"/>
        <v>4.5363443150243654E-3</v>
      </c>
      <c r="H35" s="49">
        <f t="shared" si="2"/>
        <v>3.132568359375</v>
      </c>
      <c r="I35" s="49">
        <f t="shared" si="3"/>
        <v>2.0956580273363556E-3</v>
      </c>
      <c r="J35" s="49">
        <f t="shared" si="4"/>
        <v>-7.2306102923355842E-7</v>
      </c>
      <c r="K35" s="49" t="str">
        <f t="shared" si="5"/>
        <v>-</v>
      </c>
      <c r="L35" s="49">
        <f t="shared" si="6"/>
        <v>2.44140625E-4</v>
      </c>
    </row>
    <row r="36" spans="2:12">
      <c r="B36" s="11">
        <v>12</v>
      </c>
      <c r="C36" s="68">
        <v>13</v>
      </c>
      <c r="D36" s="49">
        <f t="shared" si="7"/>
        <v>3.13232421875</v>
      </c>
      <c r="E36" s="49">
        <f t="shared" si="8"/>
        <v>3.132568359375</v>
      </c>
      <c r="F36" s="49">
        <f t="shared" si="0"/>
        <v>-3.4502815812587073E-4</v>
      </c>
      <c r="G36" s="49">
        <f t="shared" si="1"/>
        <v>2.0956580273363556E-3</v>
      </c>
      <c r="H36" s="49">
        <f t="shared" si="2"/>
        <v>3.1324462890625</v>
      </c>
      <c r="I36" s="49">
        <f t="shared" si="3"/>
        <v>8.75314921824355E-4</v>
      </c>
      <c r="J36" s="49">
        <f t="shared" si="4"/>
        <v>-3.0200829525714771E-7</v>
      </c>
      <c r="K36" s="49" t="str">
        <f t="shared" si="5"/>
        <v>-</v>
      </c>
      <c r="L36" s="49">
        <f t="shared" si="6"/>
        <v>1.220703125E-4</v>
      </c>
    </row>
    <row r="37" spans="2:12">
      <c r="B37" s="11">
        <v>13</v>
      </c>
      <c r="C37" s="68">
        <v>14</v>
      </c>
      <c r="D37" s="49">
        <f t="shared" si="7"/>
        <v>3.13232421875</v>
      </c>
      <c r="E37" s="49">
        <f t="shared" si="8"/>
        <v>3.1324462890625</v>
      </c>
      <c r="F37" s="49">
        <f t="shared" si="0"/>
        <v>-3.4502815812587073E-4</v>
      </c>
      <c r="G37" s="49">
        <f t="shared" si="1"/>
        <v>8.75314921824355E-4</v>
      </c>
      <c r="H37" s="49">
        <f t="shared" si="2"/>
        <v>3.13238525390625</v>
      </c>
      <c r="I37" s="49">
        <f t="shared" si="3"/>
        <v>2.6514337865179982E-4</v>
      </c>
      <c r="J37" s="49">
        <f t="shared" si="4"/>
        <v>-9.1481931575500812E-8</v>
      </c>
      <c r="K37" s="49" t="str">
        <f t="shared" si="5"/>
        <v>-</v>
      </c>
      <c r="L37" s="49">
        <f t="shared" si="6"/>
        <v>6.103515625E-5</v>
      </c>
    </row>
    <row r="38" spans="2:12">
      <c r="B38" s="11">
        <v>14</v>
      </c>
      <c r="C38" s="68">
        <v>15</v>
      </c>
      <c r="D38" s="49">
        <f t="shared" si="7"/>
        <v>3.13232421875</v>
      </c>
      <c r="E38" s="49">
        <f t="shared" si="8"/>
        <v>3.13238525390625</v>
      </c>
      <c r="F38" s="49">
        <f t="shared" si="0"/>
        <v>-3.4502815812587073E-4</v>
      </c>
      <c r="G38" s="49">
        <f t="shared" si="1"/>
        <v>2.6514337865179982E-4</v>
      </c>
      <c r="H38" s="49">
        <f t="shared" si="2"/>
        <v>3.132354736328125</v>
      </c>
      <c r="I38" s="49">
        <f t="shared" si="3"/>
        <v>-3.9942390536396033E-5</v>
      </c>
      <c r="J38" s="49">
        <f t="shared" si="4"/>
        <v>1.3781249437916933E-8</v>
      </c>
      <c r="K38" s="49" t="str">
        <f t="shared" si="5"/>
        <v>+</v>
      </c>
      <c r="L38" s="49">
        <f t="shared" si="6"/>
        <v>3.0517578125E-5</v>
      </c>
    </row>
    <row r="39" spans="2:12">
      <c r="B39" s="11">
        <v>15</v>
      </c>
      <c r="C39" s="68">
        <v>16</v>
      </c>
      <c r="D39" s="49">
        <f t="shared" si="7"/>
        <v>3.132354736328125</v>
      </c>
      <c r="E39" s="49">
        <f t="shared" si="8"/>
        <v>3.13238525390625</v>
      </c>
      <c r="F39" s="49">
        <f t="shared" si="0"/>
        <v>-3.9942390536396033E-5</v>
      </c>
      <c r="G39" s="49">
        <f t="shared" si="1"/>
        <v>2.6514337865179982E-4</v>
      </c>
      <c r="H39" s="49">
        <f t="shared" si="2"/>
        <v>3.1323699951171875</v>
      </c>
      <c r="I39" s="49">
        <f t="shared" si="3"/>
        <v>1.1260049386052629E-4</v>
      </c>
      <c r="J39" s="49">
        <f t="shared" si="4"/>
        <v>-4.4975329003682045E-9</v>
      </c>
      <c r="K39" s="49" t="str">
        <f t="shared" si="5"/>
        <v>-</v>
      </c>
      <c r="L39" s="49">
        <f t="shared" si="6"/>
        <v>1.52587890625E-5</v>
      </c>
    </row>
    <row r="40" spans="2:12">
      <c r="B40" s="11">
        <v>16</v>
      </c>
      <c r="C40" s="68">
        <v>17</v>
      </c>
      <c r="D40" s="49">
        <f t="shared" si="7"/>
        <v>3.132354736328125</v>
      </c>
      <c r="E40" s="49">
        <f t="shared" si="8"/>
        <v>3.1323699951171875</v>
      </c>
      <c r="F40" s="49">
        <f t="shared" si="0"/>
        <v>-3.9942390536396033E-5</v>
      </c>
      <c r="G40" s="49">
        <f t="shared" si="1"/>
        <v>1.1260049386052629E-4</v>
      </c>
      <c r="H40" s="49">
        <f t="shared" si="2"/>
        <v>3.1323623657226563</v>
      </c>
      <c r="I40" s="49">
        <f t="shared" si="3"/>
        <v>3.6329051614103491E-5</v>
      </c>
      <c r="J40" s="49">
        <f t="shared" si="4"/>
        <v>-1.4510691673874103E-9</v>
      </c>
      <c r="K40" s="49" t="str">
        <f t="shared" si="5"/>
        <v>-</v>
      </c>
      <c r="L40" s="49">
        <f t="shared" si="6"/>
        <v>7.62939453125E-6</v>
      </c>
    </row>
    <row r="41" spans="2:12">
      <c r="B41" s="11">
        <v>17</v>
      </c>
      <c r="C41" s="68">
        <v>18</v>
      </c>
      <c r="D41" s="49">
        <f t="shared" si="7"/>
        <v>3.132354736328125</v>
      </c>
      <c r="E41" s="49">
        <f t="shared" si="8"/>
        <v>3.1323623657226563</v>
      </c>
      <c r="F41" s="49">
        <f t="shared" si="0"/>
        <v>-3.9942390536396033E-5</v>
      </c>
      <c r="G41" s="49">
        <f t="shared" si="1"/>
        <v>3.6329051614103491E-5</v>
      </c>
      <c r="H41" s="49">
        <f t="shared" si="2"/>
        <v>3.1323585510253906</v>
      </c>
      <c r="I41" s="49">
        <f t="shared" si="3"/>
        <v>-1.8066694735807687E-6</v>
      </c>
      <c r="J41" s="49">
        <f t="shared" si="4"/>
        <v>7.2162697683948098E-11</v>
      </c>
      <c r="K41" s="49" t="str">
        <f t="shared" si="5"/>
        <v>+</v>
      </c>
      <c r="L41" s="49">
        <f t="shared" si="6"/>
        <v>3.814697265625E-6</v>
      </c>
    </row>
    <row r="42" spans="2:12">
      <c r="B42" s="11">
        <v>18</v>
      </c>
      <c r="C42" s="68">
        <v>19</v>
      </c>
      <c r="D42" s="49">
        <f t="shared" si="7"/>
        <v>3.1323585510253906</v>
      </c>
      <c r="E42" s="49">
        <f t="shared" si="8"/>
        <v>3.1323623657226563</v>
      </c>
      <c r="F42" s="49">
        <f t="shared" si="0"/>
        <v>-1.8066694735807687E-6</v>
      </c>
      <c r="G42" s="49">
        <f t="shared" si="1"/>
        <v>3.6329051614103491E-5</v>
      </c>
      <c r="H42" s="49">
        <f t="shared" si="2"/>
        <v>3.1323604583740234</v>
      </c>
      <c r="I42" s="49">
        <f t="shared" si="3"/>
        <v>1.7261191068485005E-5</v>
      </c>
      <c r="J42" s="49">
        <f t="shared" si="4"/>
        <v>-3.1185266981076866E-11</v>
      </c>
      <c r="K42" s="49" t="str">
        <f t="shared" si="5"/>
        <v>-</v>
      </c>
      <c r="L42" s="49">
        <f t="shared" si="6"/>
        <v>1.9073486328125E-6</v>
      </c>
    </row>
    <row r="43" spans="2:12">
      <c r="B43" s="11">
        <v>19</v>
      </c>
      <c r="C43" s="68">
        <v>20</v>
      </c>
      <c r="D43" s="49">
        <f t="shared" si="7"/>
        <v>3.1323585510253906</v>
      </c>
      <c r="E43" s="49">
        <f t="shared" si="8"/>
        <v>3.1323604583740234</v>
      </c>
      <c r="F43" s="49">
        <f t="shared" si="0"/>
        <v>-1.8066694735807687E-6</v>
      </c>
      <c r="G43" s="49">
        <f t="shared" si="1"/>
        <v>1.7261191068485005E-5</v>
      </c>
      <c r="H43" s="49">
        <f t="shared" si="2"/>
        <v>3.132359504699707</v>
      </c>
      <c r="I43" s="49">
        <f t="shared" si="3"/>
        <v>7.7272607938994042E-6</v>
      </c>
      <c r="J43" s="49">
        <f t="shared" si="4"/>
        <v>-1.3960606190735549E-11</v>
      </c>
      <c r="K43" s="49" t="str">
        <f t="shared" si="5"/>
        <v>-</v>
      </c>
      <c r="L43" s="49">
        <f t="shared" si="6"/>
        <v>9.5367431640625E-7</v>
      </c>
    </row>
    <row r="44" spans="2:12">
      <c r="C44" s="63"/>
      <c r="D44" s="63"/>
      <c r="E44" s="63"/>
      <c r="F44" s="63"/>
      <c r="G44" s="63"/>
      <c r="H44" s="63"/>
      <c r="I44" s="63"/>
      <c r="J44" s="60"/>
      <c r="K44" s="60"/>
      <c r="L44" s="61"/>
    </row>
    <row r="45" spans="2:12">
      <c r="C45" s="63"/>
      <c r="D45" s="63"/>
      <c r="E45" s="70" t="s">
        <v>96</v>
      </c>
      <c r="F45" s="62">
        <f>H43</f>
        <v>3.132359504699707</v>
      </c>
      <c r="G45" s="63"/>
      <c r="H45" s="63"/>
      <c r="I45" s="63"/>
      <c r="J45" s="60"/>
      <c r="K45" s="60"/>
      <c r="L45" s="61"/>
    </row>
    <row r="46" spans="2:12">
      <c r="C46" s="63"/>
      <c r="D46" s="63"/>
      <c r="E46" s="63"/>
      <c r="F46" s="63"/>
      <c r="G46" s="63"/>
      <c r="H46" s="63"/>
      <c r="I46" s="63"/>
      <c r="J46" s="60"/>
      <c r="K46" s="60"/>
      <c r="L46" s="61"/>
    </row>
    <row r="47" spans="2:12">
      <c r="C47" s="63"/>
      <c r="D47" s="63"/>
      <c r="E47" s="63"/>
      <c r="F47" s="63"/>
      <c r="G47" s="63"/>
      <c r="H47" s="63"/>
      <c r="I47" s="63"/>
    </row>
    <row r="48" spans="2:12">
      <c r="C48" s="63"/>
      <c r="D48" s="63"/>
      <c r="E48" s="63"/>
      <c r="F48" s="63"/>
      <c r="G48" s="63"/>
      <c r="H48" s="63"/>
      <c r="I48" s="63"/>
    </row>
    <row r="49" spans="3:13">
      <c r="C49" s="63"/>
      <c r="D49" s="63"/>
      <c r="E49" s="63"/>
      <c r="F49" s="63"/>
      <c r="G49" s="63"/>
      <c r="H49" s="63"/>
      <c r="I49" s="63"/>
    </row>
    <row r="50" spans="3:13">
      <c r="C50" s="58" t="s">
        <v>95</v>
      </c>
      <c r="D50" s="59">
        <v>20</v>
      </c>
      <c r="E50" s="4"/>
      <c r="F50" s="4"/>
      <c r="G50" s="4"/>
      <c r="H50" s="4"/>
      <c r="I50" s="4"/>
    </row>
    <row r="51" spans="3:13">
      <c r="D51" s="4"/>
      <c r="E51" s="4"/>
      <c r="F51" s="4"/>
      <c r="G51" s="4"/>
      <c r="H51" s="4"/>
      <c r="I51" s="4"/>
    </row>
    <row r="52" spans="3:13" ht="15">
      <c r="C52" s="53"/>
      <c r="D52" s="107" t="s">
        <v>106</v>
      </c>
      <c r="E52" s="107"/>
      <c r="F52" s="13" t="s">
        <v>40</v>
      </c>
      <c r="G52">
        <f>(D50+D13/(1)^2)*(1-E13)-(0.08205*353)</f>
        <v>-13.677631699999999</v>
      </c>
      <c r="H52" s="51"/>
      <c r="I52" s="51"/>
      <c r="J52" s="51"/>
      <c r="K52" s="51"/>
      <c r="L52" s="51"/>
    </row>
    <row r="53" spans="3:13" ht="15">
      <c r="C53" s="53"/>
      <c r="D53" s="108" t="s">
        <v>107</v>
      </c>
      <c r="E53" s="108"/>
      <c r="F53" s="13" t="s">
        <v>40</v>
      </c>
      <c r="G53">
        <f>(D50+D13/(2)^2)*(2-E13)-(0.08205*353)</f>
        <v>6.3113795750000001</v>
      </c>
      <c r="H53" s="52"/>
      <c r="I53" s="55" t="s">
        <v>97</v>
      </c>
      <c r="J53" s="49">
        <f>(LN(1)-LN(0.000001))/LN(2)</f>
        <v>19.931568569324174</v>
      </c>
      <c r="K53" s="13" t="s">
        <v>40</v>
      </c>
      <c r="L53" s="49">
        <f>ROUNDUP(J53,0)</f>
        <v>20</v>
      </c>
    </row>
    <row r="56" spans="3:13" ht="15">
      <c r="C56" s="64" t="s">
        <v>45</v>
      </c>
      <c r="D56" s="64" t="s">
        <v>93</v>
      </c>
      <c r="E56" s="69" t="s">
        <v>16</v>
      </c>
      <c r="F56" s="69" t="s">
        <v>17</v>
      </c>
      <c r="G56" s="69" t="s">
        <v>103</v>
      </c>
      <c r="H56" s="69" t="s">
        <v>102</v>
      </c>
      <c r="I56" s="69" t="s">
        <v>78</v>
      </c>
      <c r="J56" s="69" t="s">
        <v>101</v>
      </c>
      <c r="K56" s="69" t="s">
        <v>100</v>
      </c>
      <c r="L56" s="69"/>
      <c r="M56" s="69" t="s">
        <v>94</v>
      </c>
    </row>
    <row r="57" spans="3:13">
      <c r="C57" s="11">
        <v>0</v>
      </c>
      <c r="D57" s="68">
        <v>1</v>
      </c>
      <c r="E57" s="49">
        <v>1</v>
      </c>
      <c r="F57" s="49">
        <v>2</v>
      </c>
      <c r="G57" s="49">
        <f t="shared" ref="G57:G76" si="9">($D$50+$D$13/E57^2)*(E57-$E$13)-$G$13*$F$13</f>
        <v>-13.677631699999999</v>
      </c>
      <c r="H57" s="49">
        <f t="shared" ref="H57:H76" si="10">($D$50+$D$13/F57^2)*(F57-$E$13)-$G$13*$F$13</f>
        <v>6.3113795750000001</v>
      </c>
      <c r="I57" s="49">
        <f t="shared" ref="I57:I76" si="11">(E57+F57)/2</f>
        <v>1.5</v>
      </c>
      <c r="J57" s="49">
        <f t="shared" ref="J57:J76" si="12">($D$50+$D$13/I57^2)*(I57-$E$13)-$G$13*$F$13</f>
        <v>-3.6845085333333323</v>
      </c>
      <c r="K57" s="49">
        <f t="shared" ref="K57:K76" si="13">G57*J57</f>
        <v>50.39535071444049</v>
      </c>
      <c r="L57" s="49" t="str">
        <f t="shared" ref="L57:L76" si="14">IF(G57*J57&gt;0,"+","-")</f>
        <v>+</v>
      </c>
      <c r="M57" s="49">
        <f>($F$57-$E$57)/2^(D57)</f>
        <v>0.5</v>
      </c>
    </row>
    <row r="58" spans="3:13">
      <c r="C58" s="11">
        <v>1</v>
      </c>
      <c r="D58" s="68">
        <v>2</v>
      </c>
      <c r="E58" s="49">
        <f>IF(K57&gt;0,I57,E57)</f>
        <v>1.5</v>
      </c>
      <c r="F58" s="49">
        <f>IF(K57&lt;0,I57,F57)</f>
        <v>2</v>
      </c>
      <c r="G58" s="49">
        <f t="shared" si="9"/>
        <v>-3.6845085333333323</v>
      </c>
      <c r="H58" s="49">
        <f t="shared" si="10"/>
        <v>6.3113795750000001</v>
      </c>
      <c r="I58" s="49">
        <f t="shared" si="11"/>
        <v>1.75</v>
      </c>
      <c r="J58" s="49">
        <f t="shared" si="12"/>
        <v>1.3131967918367344</v>
      </c>
      <c r="K58" s="49">
        <f t="shared" si="13"/>
        <v>-4.8384847854684034</v>
      </c>
      <c r="L58" s="49" t="str">
        <f t="shared" si="14"/>
        <v>-</v>
      </c>
      <c r="M58" s="49">
        <f t="shared" ref="M58:M76" si="15">($F$57-$E$57)/2^(D58)</f>
        <v>0.25</v>
      </c>
    </row>
    <row r="59" spans="3:13">
      <c r="C59" s="11">
        <v>2</v>
      </c>
      <c r="D59" s="68">
        <v>3</v>
      </c>
      <c r="E59" s="49">
        <f>IF(K58&gt;0,I58,E58)</f>
        <v>1.5</v>
      </c>
      <c r="F59" s="49">
        <f>IF(K58&lt;0,I58,F58)</f>
        <v>1.75</v>
      </c>
      <c r="G59" s="49">
        <f t="shared" si="9"/>
        <v>-3.6845085333333323</v>
      </c>
      <c r="H59" s="49">
        <f t="shared" si="10"/>
        <v>1.3131967918367344</v>
      </c>
      <c r="I59" s="49">
        <f t="shared" si="11"/>
        <v>1.625</v>
      </c>
      <c r="J59" s="49">
        <f t="shared" si="12"/>
        <v>-1.1857259100591691</v>
      </c>
      <c r="K59" s="49">
        <f t="shared" si="13"/>
        <v>4.36881723380744</v>
      </c>
      <c r="L59" s="49" t="str">
        <f t="shared" si="14"/>
        <v>+</v>
      </c>
      <c r="M59" s="49">
        <f t="shared" si="15"/>
        <v>0.125</v>
      </c>
    </row>
    <row r="60" spans="3:13">
      <c r="C60" s="11">
        <v>3</v>
      </c>
      <c r="D60" s="68">
        <v>4</v>
      </c>
      <c r="E60" s="49">
        <f>IF(K59&gt;0,I59,E59)</f>
        <v>1.625</v>
      </c>
      <c r="F60" s="49">
        <f>IF(K59&lt;0,I59,F59)</f>
        <v>1.75</v>
      </c>
      <c r="G60" s="49">
        <f t="shared" si="9"/>
        <v>-1.1857259100591691</v>
      </c>
      <c r="H60" s="49">
        <f t="shared" si="10"/>
        <v>1.3131967918367344</v>
      </c>
      <c r="I60" s="49">
        <f t="shared" si="11"/>
        <v>1.6875</v>
      </c>
      <c r="J60" s="49">
        <f t="shared" si="12"/>
        <v>6.3719389300409546E-2</v>
      </c>
      <c r="K60" s="49">
        <f t="shared" si="13"/>
        <v>-7.5553730866642591E-2</v>
      </c>
      <c r="L60" s="49" t="str">
        <f t="shared" si="14"/>
        <v>-</v>
      </c>
      <c r="M60" s="49">
        <f t="shared" si="15"/>
        <v>6.25E-2</v>
      </c>
    </row>
    <row r="61" spans="3:13">
      <c r="C61" s="11">
        <v>4</v>
      </c>
      <c r="D61" s="68">
        <v>5</v>
      </c>
      <c r="E61" s="49">
        <f>IF(K60&gt;0,I60,E60)</f>
        <v>1.625</v>
      </c>
      <c r="F61" s="49">
        <f>IF(K60&lt;0,I60,F60)</f>
        <v>1.6875</v>
      </c>
      <c r="G61" s="49">
        <f t="shared" si="9"/>
        <v>-1.1857259100591691</v>
      </c>
      <c r="H61" s="49">
        <f t="shared" si="10"/>
        <v>6.3719389300409546E-2</v>
      </c>
      <c r="I61" s="49">
        <f t="shared" si="11"/>
        <v>1.65625</v>
      </c>
      <c r="J61" s="49">
        <f t="shared" si="12"/>
        <v>-0.56100744421502569</v>
      </c>
      <c r="K61" s="49">
        <f t="shared" si="13"/>
        <v>0.66520106234182985</v>
      </c>
      <c r="L61" s="49" t="str">
        <f t="shared" si="14"/>
        <v>+</v>
      </c>
      <c r="M61" s="49">
        <f t="shared" si="15"/>
        <v>3.125E-2</v>
      </c>
    </row>
    <row r="62" spans="3:13">
      <c r="C62" s="11">
        <v>5</v>
      </c>
      <c r="D62" s="68">
        <v>6</v>
      </c>
      <c r="E62" s="49">
        <f t="shared" ref="E62:E76" si="16">IF(K61&gt;0,I61,E61)</f>
        <v>1.65625</v>
      </c>
      <c r="F62" s="49">
        <f t="shared" ref="F62:F76" si="17">IF(K61&lt;0,I61,F61)</f>
        <v>1.6875</v>
      </c>
      <c r="G62" s="49">
        <f t="shared" si="9"/>
        <v>-0.56100744421502569</v>
      </c>
      <c r="H62" s="49">
        <f t="shared" si="10"/>
        <v>6.3719389300409546E-2</v>
      </c>
      <c r="I62" s="49">
        <f t="shared" si="11"/>
        <v>1.671875</v>
      </c>
      <c r="J62" s="49">
        <f t="shared" si="12"/>
        <v>-0.24864505137566439</v>
      </c>
      <c r="K62" s="49">
        <f t="shared" si="13"/>
        <v>0.13949172478897523</v>
      </c>
      <c r="L62" s="49" t="str">
        <f t="shared" si="14"/>
        <v>+</v>
      </c>
      <c r="M62" s="49">
        <f t="shared" si="15"/>
        <v>1.5625E-2</v>
      </c>
    </row>
    <row r="63" spans="3:13">
      <c r="C63" s="11">
        <v>6</v>
      </c>
      <c r="D63" s="68">
        <v>7</v>
      </c>
      <c r="E63" s="49">
        <f t="shared" si="16"/>
        <v>1.671875</v>
      </c>
      <c r="F63" s="49">
        <f t="shared" si="17"/>
        <v>1.6875</v>
      </c>
      <c r="G63" s="49">
        <f t="shared" si="9"/>
        <v>-0.24864505137566439</v>
      </c>
      <c r="H63" s="49">
        <f t="shared" si="10"/>
        <v>6.3719389300409546E-2</v>
      </c>
      <c r="I63" s="49">
        <f t="shared" si="11"/>
        <v>1.6796875</v>
      </c>
      <c r="J63" s="49">
        <f t="shared" si="12"/>
        <v>-9.2463084322336186E-2</v>
      </c>
      <c r="K63" s="49">
        <f t="shared" si="13"/>
        <v>2.2990488351679671E-2</v>
      </c>
      <c r="L63" s="49" t="str">
        <f t="shared" si="14"/>
        <v>+</v>
      </c>
      <c r="M63" s="49">
        <f t="shared" si="15"/>
        <v>7.8125E-3</v>
      </c>
    </row>
    <row r="64" spans="3:13">
      <c r="C64" s="11">
        <v>7</v>
      </c>
      <c r="D64" s="68">
        <v>8</v>
      </c>
      <c r="E64" s="49">
        <f t="shared" si="16"/>
        <v>1.6796875</v>
      </c>
      <c r="F64" s="49">
        <f t="shared" si="17"/>
        <v>1.6875</v>
      </c>
      <c r="G64" s="49">
        <f t="shared" si="9"/>
        <v>-9.2463084322336186E-2</v>
      </c>
      <c r="H64" s="49">
        <f t="shared" si="10"/>
        <v>6.3719389300409546E-2</v>
      </c>
      <c r="I64" s="49">
        <f t="shared" si="11"/>
        <v>1.68359375</v>
      </c>
      <c r="J64" s="49">
        <f t="shared" si="12"/>
        <v>-1.4371910498976348E-2</v>
      </c>
      <c r="K64" s="49">
        <f t="shared" si="13"/>
        <v>1.3288711723399187E-3</v>
      </c>
      <c r="L64" s="49" t="str">
        <f t="shared" si="14"/>
        <v>+</v>
      </c>
      <c r="M64" s="49">
        <f t="shared" si="15"/>
        <v>3.90625E-3</v>
      </c>
    </row>
    <row r="65" spans="3:13">
      <c r="C65" s="11">
        <v>8</v>
      </c>
      <c r="D65" s="68">
        <v>9</v>
      </c>
      <c r="E65" s="49">
        <f t="shared" si="16"/>
        <v>1.68359375</v>
      </c>
      <c r="F65" s="49">
        <f t="shared" si="17"/>
        <v>1.6875</v>
      </c>
      <c r="G65" s="49">
        <f t="shared" si="9"/>
        <v>-1.4371910498976348E-2</v>
      </c>
      <c r="H65" s="49">
        <f t="shared" si="10"/>
        <v>6.3719389300409546E-2</v>
      </c>
      <c r="I65" s="49">
        <f t="shared" si="11"/>
        <v>1.685546875</v>
      </c>
      <c r="J65" s="49">
        <f t="shared" si="12"/>
        <v>2.4673723695133987E-2</v>
      </c>
      <c r="K65" s="49">
        <f t="shared" si="13"/>
        <v>-3.5460854862293762E-4</v>
      </c>
      <c r="L65" s="49" t="str">
        <f t="shared" si="14"/>
        <v>-</v>
      </c>
      <c r="M65" s="49">
        <f t="shared" si="15"/>
        <v>1.953125E-3</v>
      </c>
    </row>
    <row r="66" spans="3:13">
      <c r="C66" s="11">
        <v>9</v>
      </c>
      <c r="D66" s="68">
        <v>10</v>
      </c>
      <c r="E66" s="49">
        <f t="shared" si="16"/>
        <v>1.68359375</v>
      </c>
      <c r="F66" s="49">
        <f t="shared" si="17"/>
        <v>1.685546875</v>
      </c>
      <c r="G66" s="49">
        <f t="shared" si="9"/>
        <v>-1.4371910498976348E-2</v>
      </c>
      <c r="H66" s="49">
        <f t="shared" si="10"/>
        <v>2.4673723695133987E-2</v>
      </c>
      <c r="I66" s="49">
        <f t="shared" si="11"/>
        <v>1.6845703125</v>
      </c>
      <c r="J66" s="49">
        <f t="shared" si="12"/>
        <v>5.150902666514412E-3</v>
      </c>
      <c r="K66" s="49">
        <f t="shared" si="13"/>
        <v>-7.402831211208374E-5</v>
      </c>
      <c r="L66" s="49" t="str">
        <f t="shared" si="14"/>
        <v>-</v>
      </c>
      <c r="M66" s="49">
        <f t="shared" si="15"/>
        <v>9.765625E-4</v>
      </c>
    </row>
    <row r="67" spans="3:13">
      <c r="C67" s="11">
        <v>10</v>
      </c>
      <c r="D67" s="68">
        <v>11</v>
      </c>
      <c r="E67" s="49">
        <f t="shared" si="16"/>
        <v>1.68359375</v>
      </c>
      <c r="F67" s="49">
        <f t="shared" si="17"/>
        <v>1.6845703125</v>
      </c>
      <c r="G67" s="49">
        <f t="shared" si="9"/>
        <v>-1.4371910498976348E-2</v>
      </c>
      <c r="H67" s="49">
        <f t="shared" si="10"/>
        <v>5.150902666514412E-3</v>
      </c>
      <c r="I67" s="49">
        <f t="shared" si="11"/>
        <v>1.68408203125</v>
      </c>
      <c r="J67" s="49">
        <f t="shared" si="12"/>
        <v>-4.6105048997659992E-3</v>
      </c>
      <c r="K67" s="49">
        <f t="shared" si="13"/>
        <v>6.626176377452886E-5</v>
      </c>
      <c r="L67" s="49" t="str">
        <f t="shared" si="14"/>
        <v>+</v>
      </c>
      <c r="M67" s="49">
        <f t="shared" si="15"/>
        <v>4.8828125E-4</v>
      </c>
    </row>
    <row r="68" spans="3:13">
      <c r="C68" s="11">
        <v>11</v>
      </c>
      <c r="D68" s="68">
        <v>12</v>
      </c>
      <c r="E68" s="49">
        <f t="shared" si="16"/>
        <v>1.68408203125</v>
      </c>
      <c r="F68" s="49">
        <f t="shared" si="17"/>
        <v>1.6845703125</v>
      </c>
      <c r="G68" s="49">
        <f t="shared" si="9"/>
        <v>-4.6105048997659992E-3</v>
      </c>
      <c r="H68" s="49">
        <f t="shared" si="10"/>
        <v>5.150902666514412E-3</v>
      </c>
      <c r="I68" s="49">
        <f t="shared" si="11"/>
        <v>1.684326171875</v>
      </c>
      <c r="J68" s="49">
        <f t="shared" si="12"/>
        <v>2.7019863757260509E-4</v>
      </c>
      <c r="K68" s="49">
        <f t="shared" si="13"/>
        <v>-1.2457521424385933E-6</v>
      </c>
      <c r="L68" s="49" t="str">
        <f t="shared" si="14"/>
        <v>-</v>
      </c>
      <c r="M68" s="49">
        <f t="shared" si="15"/>
        <v>2.44140625E-4</v>
      </c>
    </row>
    <row r="69" spans="3:13">
      <c r="C69" s="11">
        <v>12</v>
      </c>
      <c r="D69" s="68">
        <v>13</v>
      </c>
      <c r="E69" s="49">
        <f t="shared" si="16"/>
        <v>1.68408203125</v>
      </c>
      <c r="F69" s="49">
        <f t="shared" si="17"/>
        <v>1.684326171875</v>
      </c>
      <c r="G69" s="49">
        <f t="shared" si="9"/>
        <v>-4.6105048997659992E-3</v>
      </c>
      <c r="H69" s="49">
        <f t="shared" si="10"/>
        <v>2.7019863757260509E-4</v>
      </c>
      <c r="I69" s="49">
        <f t="shared" si="11"/>
        <v>1.6842041015625</v>
      </c>
      <c r="J69" s="49">
        <f t="shared" si="12"/>
        <v>-2.1701531925586437E-3</v>
      </c>
      <c r="K69" s="49">
        <f t="shared" si="13"/>
        <v>1.0005501927534452E-5</v>
      </c>
      <c r="L69" s="49" t="str">
        <f t="shared" si="14"/>
        <v>+</v>
      </c>
      <c r="M69" s="49">
        <f t="shared" si="15"/>
        <v>1.220703125E-4</v>
      </c>
    </row>
    <row r="70" spans="3:13">
      <c r="C70" s="11">
        <v>13</v>
      </c>
      <c r="D70" s="68">
        <v>14</v>
      </c>
      <c r="E70" s="49">
        <f t="shared" si="16"/>
        <v>1.6842041015625</v>
      </c>
      <c r="F70" s="49">
        <f t="shared" si="17"/>
        <v>1.684326171875</v>
      </c>
      <c r="G70" s="49">
        <f t="shared" si="9"/>
        <v>-2.1701531925586437E-3</v>
      </c>
      <c r="H70" s="49">
        <f t="shared" si="10"/>
        <v>2.7019863757260509E-4</v>
      </c>
      <c r="I70" s="49">
        <f t="shared" si="11"/>
        <v>1.68426513671875</v>
      </c>
      <c r="J70" s="49">
        <f t="shared" si="12"/>
        <v>-9.4997729285495325E-4</v>
      </c>
      <c r="K70" s="49">
        <f t="shared" si="13"/>
        <v>2.0615962549473945E-6</v>
      </c>
      <c r="L70" s="49" t="str">
        <f t="shared" si="14"/>
        <v>+</v>
      </c>
      <c r="M70" s="49">
        <f t="shared" si="15"/>
        <v>6.103515625E-5</v>
      </c>
    </row>
    <row r="71" spans="3:13">
      <c r="C71" s="11">
        <v>14</v>
      </c>
      <c r="D71" s="68">
        <v>15</v>
      </c>
      <c r="E71" s="49">
        <f t="shared" si="16"/>
        <v>1.68426513671875</v>
      </c>
      <c r="F71" s="49">
        <f t="shared" si="17"/>
        <v>1.684326171875</v>
      </c>
      <c r="G71" s="49">
        <f t="shared" si="9"/>
        <v>-9.4997729285495325E-4</v>
      </c>
      <c r="H71" s="49">
        <f t="shared" si="10"/>
        <v>2.7019863757260509E-4</v>
      </c>
      <c r="I71" s="49">
        <f t="shared" si="11"/>
        <v>1.684295654296875</v>
      </c>
      <c r="J71" s="49">
        <f t="shared" si="12"/>
        <v>-3.3988933148521028E-4</v>
      </c>
      <c r="K71" s="49">
        <f t="shared" si="13"/>
        <v>3.2288714699459988E-7</v>
      </c>
      <c r="L71" s="49" t="str">
        <f t="shared" si="14"/>
        <v>+</v>
      </c>
      <c r="M71" s="49">
        <f t="shared" si="15"/>
        <v>3.0517578125E-5</v>
      </c>
    </row>
    <row r="72" spans="3:13">
      <c r="C72" s="11">
        <v>15</v>
      </c>
      <c r="D72" s="68">
        <v>16</v>
      </c>
      <c r="E72" s="49">
        <f t="shared" si="16"/>
        <v>1.684295654296875</v>
      </c>
      <c r="F72" s="49">
        <f t="shared" si="17"/>
        <v>1.684326171875</v>
      </c>
      <c r="G72" s="49">
        <f t="shared" si="9"/>
        <v>-3.3988933148521028E-4</v>
      </c>
      <c r="H72" s="49">
        <f t="shared" si="10"/>
        <v>2.7019863757260509E-4</v>
      </c>
      <c r="I72" s="49">
        <f t="shared" si="11"/>
        <v>1.6843109130859375</v>
      </c>
      <c r="J72" s="49">
        <f t="shared" si="12"/>
        <v>-3.4845347919087999E-5</v>
      </c>
      <c r="K72" s="49">
        <f t="shared" si="13"/>
        <v>1.1843562009588383E-8</v>
      </c>
      <c r="L72" s="49" t="str">
        <f t="shared" si="14"/>
        <v>+</v>
      </c>
      <c r="M72" s="49">
        <f t="shared" si="15"/>
        <v>1.52587890625E-5</v>
      </c>
    </row>
    <row r="73" spans="3:13">
      <c r="C73" s="11">
        <v>16</v>
      </c>
      <c r="D73" s="68">
        <v>17</v>
      </c>
      <c r="E73" s="49">
        <f t="shared" si="16"/>
        <v>1.6843109130859375</v>
      </c>
      <c r="F73" s="49">
        <f t="shared" si="17"/>
        <v>1.684326171875</v>
      </c>
      <c r="G73" s="49">
        <f t="shared" si="9"/>
        <v>-3.4845347919087999E-5</v>
      </c>
      <c r="H73" s="49">
        <f t="shared" si="10"/>
        <v>2.7019863757260509E-4</v>
      </c>
      <c r="I73" s="49">
        <f t="shared" si="11"/>
        <v>1.6843185424804687</v>
      </c>
      <c r="J73" s="49">
        <f t="shared" si="12"/>
        <v>1.1767664458872673E-4</v>
      </c>
      <c r="K73" s="49">
        <f t="shared" si="13"/>
        <v>-4.1004836226450468E-9</v>
      </c>
      <c r="L73" s="49" t="str">
        <f t="shared" si="14"/>
        <v>-</v>
      </c>
      <c r="M73" s="49">
        <f t="shared" si="15"/>
        <v>7.62939453125E-6</v>
      </c>
    </row>
    <row r="74" spans="3:13">
      <c r="C74" s="11">
        <v>17</v>
      </c>
      <c r="D74" s="68">
        <v>18</v>
      </c>
      <c r="E74" s="49">
        <f t="shared" si="16"/>
        <v>1.6843109130859375</v>
      </c>
      <c r="F74" s="49">
        <f t="shared" si="17"/>
        <v>1.6843185424804687</v>
      </c>
      <c r="G74" s="49">
        <f t="shared" si="9"/>
        <v>-3.4845347919087999E-5</v>
      </c>
      <c r="H74" s="49">
        <f t="shared" si="10"/>
        <v>1.1767664458872673E-4</v>
      </c>
      <c r="I74" s="49">
        <f t="shared" si="11"/>
        <v>1.6843147277832031</v>
      </c>
      <c r="J74" s="49">
        <f t="shared" si="12"/>
        <v>4.141564827619959E-5</v>
      </c>
      <c r="K74" s="49">
        <f t="shared" si="13"/>
        <v>-1.4431426734787519E-9</v>
      </c>
      <c r="L74" s="49" t="str">
        <f t="shared" si="14"/>
        <v>-</v>
      </c>
      <c r="M74" s="49">
        <f t="shared" si="15"/>
        <v>3.814697265625E-6</v>
      </c>
    </row>
    <row r="75" spans="3:13">
      <c r="C75" s="11">
        <v>18</v>
      </c>
      <c r="D75" s="68">
        <v>19</v>
      </c>
      <c r="E75" s="49">
        <f t="shared" si="16"/>
        <v>1.6843109130859375</v>
      </c>
      <c r="F75" s="49">
        <f t="shared" si="17"/>
        <v>1.6843147277832031</v>
      </c>
      <c r="G75" s="49">
        <f t="shared" si="9"/>
        <v>-3.4845347919087999E-5</v>
      </c>
      <c r="H75" s="49">
        <f t="shared" si="10"/>
        <v>4.141564827619959E-5</v>
      </c>
      <c r="I75" s="49">
        <f t="shared" si="11"/>
        <v>1.6843128204345703</v>
      </c>
      <c r="J75" s="49">
        <f t="shared" si="12"/>
        <v>3.285150164344941E-6</v>
      </c>
      <c r="K75" s="49">
        <f t="shared" si="13"/>
        <v>-1.1447220044304858E-10</v>
      </c>
      <c r="L75" s="49" t="str">
        <f t="shared" si="14"/>
        <v>-</v>
      </c>
      <c r="M75" s="49">
        <f t="shared" si="15"/>
        <v>1.9073486328125E-6</v>
      </c>
    </row>
    <row r="76" spans="3:13">
      <c r="C76" s="11">
        <v>19</v>
      </c>
      <c r="D76" s="68">
        <v>20</v>
      </c>
      <c r="E76" s="49">
        <f t="shared" si="16"/>
        <v>1.6843109130859375</v>
      </c>
      <c r="F76" s="49">
        <f t="shared" si="17"/>
        <v>1.6843128204345703</v>
      </c>
      <c r="G76" s="49">
        <f t="shared" si="9"/>
        <v>-3.4845347919087999E-5</v>
      </c>
      <c r="H76" s="49">
        <f t="shared" si="10"/>
        <v>3.285150164344941E-6</v>
      </c>
      <c r="I76" s="49">
        <f t="shared" si="11"/>
        <v>1.6843118667602539</v>
      </c>
      <c r="J76" s="49">
        <f t="shared" si="12"/>
        <v>-1.5780098880924243E-5</v>
      </c>
      <c r="K76" s="49">
        <f t="shared" si="13"/>
        <v>5.4986303570341638E-10</v>
      </c>
      <c r="L76" s="49" t="str">
        <f t="shared" si="14"/>
        <v>+</v>
      </c>
      <c r="M76" s="49">
        <f t="shared" si="15"/>
        <v>9.5367431640625E-7</v>
      </c>
    </row>
    <row r="78" spans="3:13">
      <c r="E78" s="70" t="s">
        <v>109</v>
      </c>
      <c r="F78" s="62">
        <f>I76</f>
        <v>1.6843118667602539</v>
      </c>
    </row>
    <row r="82" spans="3:13">
      <c r="C82" s="58" t="s">
        <v>95</v>
      </c>
      <c r="D82" s="59">
        <v>30</v>
      </c>
      <c r="E82" s="4"/>
      <c r="F82" s="4"/>
      <c r="G82" s="4"/>
      <c r="H82" s="4"/>
      <c r="I82" s="4"/>
    </row>
    <row r="83" spans="3:13">
      <c r="D83" s="4"/>
      <c r="E83" s="4"/>
      <c r="F83" s="4"/>
      <c r="G83" s="4"/>
      <c r="H83" s="4"/>
      <c r="I83" s="4"/>
    </row>
    <row r="84" spans="3:13" ht="15">
      <c r="C84" s="53"/>
      <c r="D84" s="107" t="s">
        <v>106</v>
      </c>
      <c r="E84" s="107"/>
      <c r="F84" s="13" t="s">
        <v>40</v>
      </c>
      <c r="G84">
        <f>(D82+$D$13/(1)^2)*(1-$E$13)-(0.08205*353)</f>
        <v>-6.0476316999999966</v>
      </c>
      <c r="H84" s="51"/>
      <c r="I84" s="51"/>
      <c r="J84" s="51"/>
      <c r="K84" s="51"/>
      <c r="L84" s="51"/>
    </row>
    <row r="85" spans="3:13" ht="15">
      <c r="C85" s="53"/>
      <c r="D85" s="108" t="s">
        <v>107</v>
      </c>
      <c r="E85" s="108"/>
      <c r="F85" s="13" t="s">
        <v>40</v>
      </c>
      <c r="G85">
        <f>(D82+$D$13/(2)^2)*(2-$E$13)-(0.08205*353)</f>
        <v>23.941379574999996</v>
      </c>
      <c r="H85" s="52"/>
      <c r="I85" s="55" t="s">
        <v>97</v>
      </c>
      <c r="J85" s="49">
        <f>(LN(1)-LN(0.000001))/LN(2)</f>
        <v>19.931568569324174</v>
      </c>
      <c r="K85" s="13" t="s">
        <v>40</v>
      </c>
      <c r="L85" s="49">
        <f>ROUNDUP(J85,0)</f>
        <v>20</v>
      </c>
    </row>
    <row r="88" spans="3:13" ht="15">
      <c r="C88" s="64" t="s">
        <v>45</v>
      </c>
      <c r="D88" s="64" t="s">
        <v>93</v>
      </c>
      <c r="E88" s="69" t="s">
        <v>16</v>
      </c>
      <c r="F88" s="69" t="s">
        <v>17</v>
      </c>
      <c r="G88" s="69" t="s">
        <v>103</v>
      </c>
      <c r="H88" s="69" t="s">
        <v>102</v>
      </c>
      <c r="I88" s="69" t="s">
        <v>78</v>
      </c>
      <c r="J88" s="69" t="s">
        <v>101</v>
      </c>
      <c r="K88" s="69" t="s">
        <v>100</v>
      </c>
      <c r="L88" s="69"/>
      <c r="M88" s="69" t="s">
        <v>94</v>
      </c>
    </row>
    <row r="89" spans="3:13">
      <c r="C89" s="11">
        <v>0</v>
      </c>
      <c r="D89" s="68">
        <v>1</v>
      </c>
      <c r="E89" s="49">
        <v>1</v>
      </c>
      <c r="F89" s="49">
        <v>2</v>
      </c>
      <c r="G89" s="49">
        <f t="shared" ref="G89:G108" si="18">($D$82+$D$13/E89^2)*(E89-$E$13)-$G$13*$F$13</f>
        <v>-6.0476316999999966</v>
      </c>
      <c r="H89" s="49">
        <f t="shared" ref="H89:H108" si="19">($D$82+$D$13/F89^2)*(F89-$E$13)-$G$13*$F$13</f>
        <v>23.941379574999996</v>
      </c>
      <c r="I89" s="49">
        <f t="shared" ref="I89:I108" si="20">(E89+F89)/2</f>
        <v>1.5</v>
      </c>
      <c r="J89" s="49">
        <f t="shared" ref="J89:J108" si="21">($D$82+$D$13/I89^2)*(I89-$E$13)-$G$13*$F$13</f>
        <v>8.9454914666666632</v>
      </c>
      <c r="K89" s="49">
        <f t="shared" ref="K89:K108" si="22">G89*J89</f>
        <v>-54.099037765892774</v>
      </c>
      <c r="L89" s="49" t="str">
        <f t="shared" ref="L89:L108" si="23">IF(G89*J89&gt;0,"+","-")</f>
        <v>-</v>
      </c>
      <c r="M89" s="49">
        <f>($F$89-$E$89)/2^(D89)</f>
        <v>0.5</v>
      </c>
    </row>
    <row r="90" spans="3:13">
      <c r="C90" s="11">
        <v>1</v>
      </c>
      <c r="D90" s="68">
        <v>2</v>
      </c>
      <c r="E90" s="49">
        <f>IF(K89&gt;0,I89,E89)</f>
        <v>1</v>
      </c>
      <c r="F90" s="49">
        <f>IF(K89&lt;0,I89,F89)</f>
        <v>1.5</v>
      </c>
      <c r="G90" s="49">
        <f t="shared" si="18"/>
        <v>-6.0476316999999966</v>
      </c>
      <c r="H90" s="49">
        <f t="shared" si="19"/>
        <v>8.9454914666666632</v>
      </c>
      <c r="I90" s="49">
        <f t="shared" si="20"/>
        <v>1.25</v>
      </c>
      <c r="J90" s="49">
        <f t="shared" si="21"/>
        <v>1.4484577119999997</v>
      </c>
      <c r="K90" s="49">
        <f t="shared" si="22"/>
        <v>-8.7597387752006632</v>
      </c>
      <c r="L90" s="49" t="str">
        <f t="shared" si="23"/>
        <v>-</v>
      </c>
      <c r="M90" s="49">
        <f>($F$89-$E$89)/2^(D90)</f>
        <v>0.25</v>
      </c>
    </row>
    <row r="91" spans="3:13">
      <c r="C91" s="11">
        <v>2</v>
      </c>
      <c r="D91" s="68">
        <v>3</v>
      </c>
      <c r="E91" s="49">
        <f>IF(K90&gt;0,I90,E90)</f>
        <v>1</v>
      </c>
      <c r="F91" s="49">
        <f>IF(K90&lt;0,I90,F90)</f>
        <v>1.25</v>
      </c>
      <c r="G91" s="49">
        <f t="shared" si="18"/>
        <v>-6.0476316999999966</v>
      </c>
      <c r="H91" s="49">
        <f t="shared" si="19"/>
        <v>1.4484577119999997</v>
      </c>
      <c r="I91" s="49">
        <f t="shared" si="20"/>
        <v>1.125</v>
      </c>
      <c r="J91" s="49">
        <f t="shared" si="21"/>
        <v>-2.2997244296296273</v>
      </c>
      <c r="K91" s="49">
        <f t="shared" si="22"/>
        <v>13.907886361892546</v>
      </c>
      <c r="L91" s="49" t="str">
        <f t="shared" si="23"/>
        <v>+</v>
      </c>
      <c r="M91" s="49">
        <f t="shared" ref="M91:M108" si="24">($F$89-$E$89)/2^(D91)</f>
        <v>0.125</v>
      </c>
    </row>
    <row r="92" spans="3:13">
      <c r="C92" s="11">
        <v>3</v>
      </c>
      <c r="D92" s="68">
        <v>4</v>
      </c>
      <c r="E92" s="49">
        <f>IF(K91&gt;0,I91,E91)</f>
        <v>1.125</v>
      </c>
      <c r="F92" s="49">
        <f>IF(K91&lt;0,I91,F91)</f>
        <v>1.25</v>
      </c>
      <c r="G92" s="49">
        <f t="shared" si="18"/>
        <v>-2.2997244296296273</v>
      </c>
      <c r="H92" s="49">
        <f t="shared" si="19"/>
        <v>1.4484577119999997</v>
      </c>
      <c r="I92" s="49">
        <f t="shared" si="20"/>
        <v>1.1875</v>
      </c>
      <c r="J92" s="49">
        <f t="shared" si="21"/>
        <v>-0.42566527756232375</v>
      </c>
      <c r="K92" s="49">
        <f t="shared" si="22"/>
        <v>0.97891283765515202</v>
      </c>
      <c r="L92" s="49" t="str">
        <f t="shared" si="23"/>
        <v>+</v>
      </c>
      <c r="M92" s="49">
        <f t="shared" si="24"/>
        <v>6.25E-2</v>
      </c>
    </row>
    <row r="93" spans="3:13">
      <c r="C93" s="11">
        <v>4</v>
      </c>
      <c r="D93" s="68">
        <v>5</v>
      </c>
      <c r="E93" s="49">
        <f>IF(K92&gt;0,I92,E92)</f>
        <v>1.1875</v>
      </c>
      <c r="F93" s="49">
        <f>IF(K92&lt;0,I92,F92)</f>
        <v>1.25</v>
      </c>
      <c r="G93" s="49">
        <f t="shared" si="18"/>
        <v>-0.42566527756232375</v>
      </c>
      <c r="H93" s="49">
        <f t="shared" si="19"/>
        <v>1.4484577119999997</v>
      </c>
      <c r="I93" s="49">
        <f t="shared" si="20"/>
        <v>1.21875</v>
      </c>
      <c r="J93" s="49">
        <f t="shared" si="21"/>
        <v>0.51138855305720199</v>
      </c>
      <c r="K93" s="49">
        <f t="shared" si="22"/>
        <v>-0.21768035037928901</v>
      </c>
      <c r="L93" s="49" t="str">
        <f t="shared" si="23"/>
        <v>-</v>
      </c>
      <c r="M93" s="49">
        <f t="shared" si="24"/>
        <v>3.125E-2</v>
      </c>
    </row>
    <row r="94" spans="3:13">
      <c r="C94" s="11">
        <v>5</v>
      </c>
      <c r="D94" s="68">
        <v>6</v>
      </c>
      <c r="E94" s="49">
        <f t="shared" ref="E94:E108" si="25">IF(K93&gt;0,I93,E93)</f>
        <v>1.1875</v>
      </c>
      <c r="F94" s="49">
        <f t="shared" ref="F94:F108" si="26">IF(K93&lt;0,I93,F93)</f>
        <v>1.21875</v>
      </c>
      <c r="G94" s="49">
        <f t="shared" si="18"/>
        <v>-0.42566527756232375</v>
      </c>
      <c r="H94" s="49">
        <f t="shared" si="19"/>
        <v>0.51138855305720199</v>
      </c>
      <c r="I94" s="49">
        <f t="shared" si="20"/>
        <v>1.203125</v>
      </c>
      <c r="J94" s="49">
        <f t="shared" si="21"/>
        <v>4.2859682374771779E-2</v>
      </c>
      <c r="K94" s="49">
        <f t="shared" si="22"/>
        <v>-1.8243878594290264E-2</v>
      </c>
      <c r="L94" s="49" t="str">
        <f t="shared" si="23"/>
        <v>-</v>
      </c>
      <c r="M94" s="49">
        <f t="shared" si="24"/>
        <v>1.5625E-2</v>
      </c>
    </row>
    <row r="95" spans="3:13">
      <c r="C95" s="11">
        <v>6</v>
      </c>
      <c r="D95" s="68">
        <v>7</v>
      </c>
      <c r="E95" s="49">
        <f t="shared" si="25"/>
        <v>1.1875</v>
      </c>
      <c r="F95" s="49">
        <f t="shared" si="26"/>
        <v>1.203125</v>
      </c>
      <c r="G95" s="49">
        <f t="shared" si="18"/>
        <v>-0.42566527756232375</v>
      </c>
      <c r="H95" s="49">
        <f t="shared" si="19"/>
        <v>4.2859682374771779E-2</v>
      </c>
      <c r="I95" s="49">
        <f t="shared" si="20"/>
        <v>1.1953125</v>
      </c>
      <c r="J95" s="49">
        <f t="shared" si="21"/>
        <v>-0.19140329137511003</v>
      </c>
      <c r="K95" s="49">
        <f t="shared" si="22"/>
        <v>8.1473735149528534E-2</v>
      </c>
      <c r="L95" s="49" t="str">
        <f t="shared" si="23"/>
        <v>+</v>
      </c>
      <c r="M95" s="49">
        <f t="shared" si="24"/>
        <v>7.8125E-3</v>
      </c>
    </row>
    <row r="96" spans="3:13">
      <c r="C96" s="11">
        <v>7</v>
      </c>
      <c r="D96" s="68">
        <v>8</v>
      </c>
      <c r="E96" s="49">
        <f t="shared" si="25"/>
        <v>1.1953125</v>
      </c>
      <c r="F96" s="49">
        <f t="shared" si="26"/>
        <v>1.203125</v>
      </c>
      <c r="G96" s="49">
        <f t="shared" si="18"/>
        <v>-0.19140329137511003</v>
      </c>
      <c r="H96" s="49">
        <f t="shared" si="19"/>
        <v>4.2859682374771779E-2</v>
      </c>
      <c r="I96" s="49">
        <f t="shared" si="20"/>
        <v>1.19921875</v>
      </c>
      <c r="J96" s="49">
        <f t="shared" si="21"/>
        <v>-7.4271927327608012E-2</v>
      </c>
      <c r="K96" s="49">
        <f t="shared" si="22"/>
        <v>1.4215891347277153E-2</v>
      </c>
      <c r="L96" s="49" t="str">
        <f t="shared" si="23"/>
        <v>+</v>
      </c>
      <c r="M96" s="49">
        <f t="shared" si="24"/>
        <v>3.90625E-3</v>
      </c>
    </row>
    <row r="97" spans="3:13">
      <c r="C97" s="11">
        <v>8</v>
      </c>
      <c r="D97" s="68">
        <v>9</v>
      </c>
      <c r="E97" s="49">
        <f t="shared" si="25"/>
        <v>1.19921875</v>
      </c>
      <c r="F97" s="49">
        <f t="shared" si="26"/>
        <v>1.203125</v>
      </c>
      <c r="G97" s="49">
        <f t="shared" si="18"/>
        <v>-7.4271927327608012E-2</v>
      </c>
      <c r="H97" s="49">
        <f t="shared" si="19"/>
        <v>4.2859682374771779E-2</v>
      </c>
      <c r="I97" s="49">
        <f t="shared" si="20"/>
        <v>1.201171875</v>
      </c>
      <c r="J97" s="49">
        <f t="shared" si="21"/>
        <v>-1.5706153106084031E-2</v>
      </c>
      <c r="K97" s="49">
        <f t="shared" si="22"/>
        <v>1.1665262620913579E-3</v>
      </c>
      <c r="L97" s="49" t="str">
        <f t="shared" si="23"/>
        <v>+</v>
      </c>
      <c r="M97" s="49">
        <f t="shared" si="24"/>
        <v>1.953125E-3</v>
      </c>
    </row>
    <row r="98" spans="3:13">
      <c r="C98" s="11">
        <v>9</v>
      </c>
      <c r="D98" s="68">
        <v>10</v>
      </c>
      <c r="E98" s="49">
        <f t="shared" si="25"/>
        <v>1.201171875</v>
      </c>
      <c r="F98" s="49">
        <f t="shared" si="26"/>
        <v>1.203125</v>
      </c>
      <c r="G98" s="49">
        <f t="shared" si="18"/>
        <v>-1.5706153106084031E-2</v>
      </c>
      <c r="H98" s="49">
        <f t="shared" si="19"/>
        <v>4.2859682374771779E-2</v>
      </c>
      <c r="I98" s="49">
        <f t="shared" si="20"/>
        <v>1.2021484375</v>
      </c>
      <c r="J98" s="49">
        <f t="shared" si="21"/>
        <v>1.3576756986573457E-2</v>
      </c>
      <c r="K98" s="49">
        <f t="shared" si="22"/>
        <v>-2.1323862391521879E-4</v>
      </c>
      <c r="L98" s="49" t="str">
        <f t="shared" si="23"/>
        <v>-</v>
      </c>
      <c r="M98" s="49">
        <f t="shared" si="24"/>
        <v>9.765625E-4</v>
      </c>
    </row>
    <row r="99" spans="3:13">
      <c r="C99" s="11">
        <v>10</v>
      </c>
      <c r="D99" s="68">
        <v>11</v>
      </c>
      <c r="E99" s="49">
        <f t="shared" si="25"/>
        <v>1.201171875</v>
      </c>
      <c r="F99" s="49">
        <f t="shared" si="26"/>
        <v>1.2021484375</v>
      </c>
      <c r="G99" s="49">
        <f t="shared" si="18"/>
        <v>-1.5706153106084031E-2</v>
      </c>
      <c r="H99" s="49">
        <f t="shared" si="19"/>
        <v>1.3576756986573457E-2</v>
      </c>
      <c r="I99" s="49">
        <f t="shared" si="20"/>
        <v>1.20166015625</v>
      </c>
      <c r="J99" s="49">
        <f t="shared" si="21"/>
        <v>-1.0646999729040374E-3</v>
      </c>
      <c r="K99" s="49">
        <f t="shared" si="22"/>
        <v>1.672234078647433E-5</v>
      </c>
      <c r="L99" s="49" t="str">
        <f t="shared" si="23"/>
        <v>+</v>
      </c>
      <c r="M99" s="49">
        <f t="shared" si="24"/>
        <v>4.8828125E-4</v>
      </c>
    </row>
    <row r="100" spans="3:13">
      <c r="C100" s="11">
        <v>11</v>
      </c>
      <c r="D100" s="68">
        <v>12</v>
      </c>
      <c r="E100" s="49">
        <f t="shared" si="25"/>
        <v>1.20166015625</v>
      </c>
      <c r="F100" s="49">
        <f t="shared" si="26"/>
        <v>1.2021484375</v>
      </c>
      <c r="G100" s="49">
        <f t="shared" si="18"/>
        <v>-1.0646999729040374E-3</v>
      </c>
      <c r="H100" s="49">
        <f t="shared" si="19"/>
        <v>1.3576756986573457E-2</v>
      </c>
      <c r="I100" s="49">
        <f t="shared" si="20"/>
        <v>1.201904296875</v>
      </c>
      <c r="J100" s="49">
        <f t="shared" si="21"/>
        <v>6.2560280286980685E-3</v>
      </c>
      <c r="K100" s="49">
        <f t="shared" si="22"/>
        <v>-6.6607928726417319E-6</v>
      </c>
      <c r="L100" s="49" t="str">
        <f t="shared" si="23"/>
        <v>-</v>
      </c>
      <c r="M100" s="49">
        <f t="shared" si="24"/>
        <v>2.44140625E-4</v>
      </c>
    </row>
    <row r="101" spans="3:13">
      <c r="C101" s="11">
        <v>12</v>
      </c>
      <c r="D101" s="68">
        <v>13</v>
      </c>
      <c r="E101" s="49">
        <f t="shared" si="25"/>
        <v>1.20166015625</v>
      </c>
      <c r="F101" s="49">
        <f t="shared" si="26"/>
        <v>1.201904296875</v>
      </c>
      <c r="G101" s="49">
        <f t="shared" si="18"/>
        <v>-1.0646999729040374E-3</v>
      </c>
      <c r="H101" s="49">
        <f t="shared" si="19"/>
        <v>6.2560280286980685E-3</v>
      </c>
      <c r="I101" s="49">
        <f t="shared" si="20"/>
        <v>1.2017822265625</v>
      </c>
      <c r="J101" s="49">
        <f t="shared" si="21"/>
        <v>2.5956639083446476E-3</v>
      </c>
      <c r="K101" s="49">
        <f t="shared" si="22"/>
        <v>-2.763603292882534E-6</v>
      </c>
      <c r="L101" s="49" t="str">
        <f t="shared" si="23"/>
        <v>-</v>
      </c>
      <c r="M101" s="49">
        <f t="shared" si="24"/>
        <v>1.220703125E-4</v>
      </c>
    </row>
    <row r="102" spans="3:13">
      <c r="C102" s="11">
        <v>13</v>
      </c>
      <c r="D102" s="68">
        <v>14</v>
      </c>
      <c r="E102" s="49">
        <f t="shared" si="25"/>
        <v>1.20166015625</v>
      </c>
      <c r="F102" s="49">
        <f t="shared" si="26"/>
        <v>1.2017822265625</v>
      </c>
      <c r="G102" s="49">
        <f t="shared" si="18"/>
        <v>-1.0646999729040374E-3</v>
      </c>
      <c r="H102" s="49">
        <f t="shared" si="19"/>
        <v>2.5956639083446476E-3</v>
      </c>
      <c r="I102" s="49">
        <f t="shared" si="20"/>
        <v>1.20172119140625</v>
      </c>
      <c r="J102" s="49">
        <f t="shared" si="21"/>
        <v>7.6548193782954854E-4</v>
      </c>
      <c r="K102" s="49">
        <f t="shared" si="22"/>
        <v>-8.1500859846565042E-7</v>
      </c>
      <c r="L102" s="49" t="str">
        <f t="shared" si="23"/>
        <v>-</v>
      </c>
      <c r="M102" s="49">
        <f t="shared" si="24"/>
        <v>6.103515625E-5</v>
      </c>
    </row>
    <row r="103" spans="3:13">
      <c r="C103" s="11">
        <v>14</v>
      </c>
      <c r="D103" s="68">
        <v>15</v>
      </c>
      <c r="E103" s="49">
        <f t="shared" si="25"/>
        <v>1.20166015625</v>
      </c>
      <c r="F103" s="49">
        <f t="shared" si="26"/>
        <v>1.20172119140625</v>
      </c>
      <c r="G103" s="49">
        <f t="shared" si="18"/>
        <v>-1.0646999729040374E-3</v>
      </c>
      <c r="H103" s="49">
        <f t="shared" si="19"/>
        <v>7.6548193782954854E-4</v>
      </c>
      <c r="I103" s="49">
        <f t="shared" si="20"/>
        <v>1.201690673828125</v>
      </c>
      <c r="J103" s="49">
        <f t="shared" si="21"/>
        <v>-1.4960902500860129E-4</v>
      </c>
      <c r="K103" s="49">
        <f t="shared" si="22"/>
        <v>1.5928872487285726E-7</v>
      </c>
      <c r="L103" s="49" t="str">
        <f t="shared" si="23"/>
        <v>+</v>
      </c>
      <c r="M103" s="49">
        <f t="shared" si="24"/>
        <v>3.0517578125E-5</v>
      </c>
    </row>
    <row r="104" spans="3:13">
      <c r="C104" s="11">
        <v>15</v>
      </c>
      <c r="D104" s="68">
        <v>16</v>
      </c>
      <c r="E104" s="49">
        <f t="shared" si="25"/>
        <v>1.201690673828125</v>
      </c>
      <c r="F104" s="49">
        <f t="shared" si="26"/>
        <v>1.20172119140625</v>
      </c>
      <c r="G104" s="49">
        <f t="shared" si="18"/>
        <v>-1.4960902500860129E-4</v>
      </c>
      <c r="H104" s="49">
        <f t="shared" si="19"/>
        <v>7.6548193782954854E-4</v>
      </c>
      <c r="I104" s="49">
        <f t="shared" si="20"/>
        <v>1.2017059326171875</v>
      </c>
      <c r="J104" s="49">
        <f t="shared" si="21"/>
        <v>3.0793645453996987E-4</v>
      </c>
      <c r="K104" s="49">
        <f t="shared" si="22"/>
        <v>-4.607007272833037E-8</v>
      </c>
      <c r="L104" s="49" t="str">
        <f t="shared" si="23"/>
        <v>-</v>
      </c>
      <c r="M104" s="49">
        <f t="shared" si="24"/>
        <v>1.52587890625E-5</v>
      </c>
    </row>
    <row r="105" spans="3:13">
      <c r="C105" s="11">
        <v>16</v>
      </c>
      <c r="D105" s="68">
        <v>17</v>
      </c>
      <c r="E105" s="49">
        <f t="shared" si="25"/>
        <v>1.201690673828125</v>
      </c>
      <c r="F105" s="49">
        <f t="shared" si="26"/>
        <v>1.2017059326171875</v>
      </c>
      <c r="G105" s="49">
        <f t="shared" si="18"/>
        <v>-1.4960902500860129E-4</v>
      </c>
      <c r="H105" s="49">
        <f t="shared" si="19"/>
        <v>3.0793645453996987E-4</v>
      </c>
      <c r="I105" s="49">
        <f t="shared" si="20"/>
        <v>1.2016983032226562</v>
      </c>
      <c r="J105" s="49">
        <f t="shared" si="21"/>
        <v>7.9163714300278798E-5</v>
      </c>
      <c r="K105" s="49">
        <f t="shared" si="22"/>
        <v>-1.1843606112524178E-8</v>
      </c>
      <c r="L105" s="49" t="str">
        <f t="shared" si="23"/>
        <v>-</v>
      </c>
      <c r="M105" s="49">
        <f t="shared" si="24"/>
        <v>7.62939453125E-6</v>
      </c>
    </row>
    <row r="106" spans="3:13">
      <c r="C106" s="11">
        <v>17</v>
      </c>
      <c r="D106" s="68">
        <v>18</v>
      </c>
      <c r="E106" s="49">
        <f t="shared" si="25"/>
        <v>1.201690673828125</v>
      </c>
      <c r="F106" s="49">
        <f t="shared" si="26"/>
        <v>1.2016983032226562</v>
      </c>
      <c r="G106" s="49">
        <f t="shared" si="18"/>
        <v>-1.4960902500860129E-4</v>
      </c>
      <c r="H106" s="49">
        <f t="shared" si="19"/>
        <v>7.9163714300278798E-5</v>
      </c>
      <c r="I106" s="49">
        <f t="shared" si="20"/>
        <v>1.2016944885253906</v>
      </c>
      <c r="J106" s="49">
        <f t="shared" si="21"/>
        <v>-3.5222655473177156E-5</v>
      </c>
      <c r="K106" s="49">
        <f t="shared" si="22"/>
        <v>5.2696271435559086E-9</v>
      </c>
      <c r="L106" s="49" t="str">
        <f t="shared" si="23"/>
        <v>+</v>
      </c>
      <c r="M106" s="49">
        <f t="shared" si="24"/>
        <v>3.814697265625E-6</v>
      </c>
    </row>
    <row r="107" spans="3:13">
      <c r="C107" s="11">
        <v>18</v>
      </c>
      <c r="D107" s="68">
        <v>19</v>
      </c>
      <c r="E107" s="49">
        <f t="shared" si="25"/>
        <v>1.2016944885253906</v>
      </c>
      <c r="F107" s="49">
        <f t="shared" si="26"/>
        <v>1.2016983032226562</v>
      </c>
      <c r="G107" s="49">
        <f t="shared" si="18"/>
        <v>-3.5222655473177156E-5</v>
      </c>
      <c r="H107" s="49">
        <f t="shared" si="19"/>
        <v>7.9163714300278798E-5</v>
      </c>
      <c r="I107" s="49">
        <f t="shared" si="20"/>
        <v>1.2016963958740234</v>
      </c>
      <c r="J107" s="49">
        <f t="shared" si="21"/>
        <v>2.1970529381576398E-5</v>
      </c>
      <c r="K107" s="49">
        <f t="shared" si="22"/>
        <v>-7.7386038697058143E-10</v>
      </c>
      <c r="L107" s="49" t="str">
        <f t="shared" si="23"/>
        <v>-</v>
      </c>
      <c r="M107" s="49">
        <f t="shared" si="24"/>
        <v>1.9073486328125E-6</v>
      </c>
    </row>
    <row r="108" spans="3:13">
      <c r="C108" s="11">
        <v>19</v>
      </c>
      <c r="D108" s="68">
        <v>20</v>
      </c>
      <c r="E108" s="49">
        <f t="shared" si="25"/>
        <v>1.2016944885253906</v>
      </c>
      <c r="F108" s="49">
        <f t="shared" si="26"/>
        <v>1.2016963958740234</v>
      </c>
      <c r="G108" s="49">
        <f t="shared" si="18"/>
        <v>-3.5222655473177156E-5</v>
      </c>
      <c r="H108" s="49">
        <f t="shared" si="19"/>
        <v>2.1970529381576398E-5</v>
      </c>
      <c r="I108" s="49">
        <f t="shared" si="20"/>
        <v>1.201695442199707</v>
      </c>
      <c r="J108" s="49">
        <f t="shared" si="21"/>
        <v>-6.6260630546821631E-6</v>
      </c>
      <c r="K108" s="49">
        <f t="shared" si="22"/>
        <v>2.3338753611861763E-10</v>
      </c>
      <c r="L108" s="49" t="str">
        <f t="shared" si="23"/>
        <v>+</v>
      </c>
      <c r="M108" s="49">
        <f t="shared" si="24"/>
        <v>9.5367431640625E-7</v>
      </c>
    </row>
    <row r="110" spans="3:13">
      <c r="E110" s="70" t="s">
        <v>96</v>
      </c>
      <c r="F110" s="62">
        <f>I108</f>
        <v>1.201695442199707</v>
      </c>
    </row>
    <row r="114" spans="3:13">
      <c r="C114" s="58" t="s">
        <v>95</v>
      </c>
      <c r="D114" s="59">
        <v>100</v>
      </c>
      <c r="E114" s="4"/>
      <c r="F114" s="4"/>
      <c r="G114" s="4"/>
      <c r="H114" s="4"/>
      <c r="I114" s="4"/>
    </row>
    <row r="115" spans="3:13">
      <c r="D115" s="4"/>
      <c r="E115" s="4"/>
      <c r="F115" s="4"/>
      <c r="G115" s="4"/>
      <c r="H115" s="4"/>
      <c r="I115" s="4"/>
    </row>
    <row r="116" spans="3:13" ht="15">
      <c r="C116" s="53"/>
      <c r="D116" s="107" t="s">
        <v>108</v>
      </c>
      <c r="E116" s="107"/>
      <c r="F116" s="13" t="s">
        <v>40</v>
      </c>
      <c r="G116">
        <f>(D114+$D$13/(-1)^2)*(-1-$E$13)-(0.08205*353)</f>
        <v>-152.7058317</v>
      </c>
      <c r="H116" s="51"/>
      <c r="I116" s="51"/>
      <c r="J116" s="51"/>
      <c r="K116" s="51"/>
      <c r="L116" s="51"/>
    </row>
    <row r="117" spans="3:13" ht="15">
      <c r="C117" s="53"/>
      <c r="D117" s="108" t="s">
        <v>110</v>
      </c>
      <c r="E117" s="108"/>
      <c r="F117" s="13" t="s">
        <v>40</v>
      </c>
      <c r="G117">
        <f>(D114+$D$13/(2)^2)*(2-$E$13)-(0.08205*353)</f>
        <v>147.35137957500001</v>
      </c>
      <c r="H117" s="52"/>
      <c r="I117" s="55" t="s">
        <v>97</v>
      </c>
      <c r="J117" s="49">
        <f>(LN(3)-LN(0.000001))/LN(2)</f>
        <v>21.516531070045328</v>
      </c>
      <c r="K117" s="13" t="s">
        <v>40</v>
      </c>
      <c r="L117" s="49">
        <f>ROUNDUP(J117,0)</f>
        <v>22</v>
      </c>
    </row>
    <row r="120" spans="3:13" ht="15">
      <c r="C120" s="64" t="s">
        <v>45</v>
      </c>
      <c r="D120" s="64" t="s">
        <v>93</v>
      </c>
      <c r="E120" s="69" t="s">
        <v>16</v>
      </c>
      <c r="F120" s="69" t="s">
        <v>17</v>
      </c>
      <c r="G120" s="69" t="s">
        <v>103</v>
      </c>
      <c r="H120" s="69" t="s">
        <v>102</v>
      </c>
      <c r="I120" s="69" t="s">
        <v>78</v>
      </c>
      <c r="J120" s="69" t="s">
        <v>101</v>
      </c>
      <c r="K120" s="69" t="s">
        <v>100</v>
      </c>
      <c r="L120" s="69"/>
      <c r="M120" s="69" t="s">
        <v>94</v>
      </c>
    </row>
    <row r="121" spans="3:13">
      <c r="C121" s="11">
        <v>0</v>
      </c>
      <c r="D121" s="68">
        <v>1</v>
      </c>
      <c r="E121" s="49">
        <v>-1</v>
      </c>
      <c r="F121" s="49">
        <v>2</v>
      </c>
      <c r="G121" s="49">
        <f t="shared" ref="G121:G142" si="27">($D$114+$D$13/E121^2)*(E121-$E$13)-$G$13*$F$13</f>
        <v>-152.7058317</v>
      </c>
      <c r="H121" s="49">
        <f t="shared" ref="H121:H142" si="28">($D$114+$D$13/F121^2)*(F121-$E$13)-$G$13*$F$13</f>
        <v>147.35137957500001</v>
      </c>
      <c r="I121" s="49">
        <f t="shared" ref="I121:I142" si="29">(E121+F121)/2</f>
        <v>0.5</v>
      </c>
      <c r="J121" s="49">
        <f t="shared" ref="J121:J137" si="30">($D$114+$D$13/I121^2)*(I121-$E$13)-$G$13*$F$13</f>
        <v>-2.6277767999999995</v>
      </c>
      <c r="K121" s="49">
        <f t="shared" ref="K121:K142" si="31">G121*J121</f>
        <v>401.27684176596449</v>
      </c>
      <c r="L121" s="49" t="str">
        <f t="shared" ref="L121:L142" si="32">IF(G121*J121&gt;0,"+","-")</f>
        <v>+</v>
      </c>
      <c r="M121" s="49">
        <f>($F$121-$E$121)/2^(D121)</f>
        <v>1.5</v>
      </c>
    </row>
    <row r="122" spans="3:13">
      <c r="C122" s="11">
        <v>1</v>
      </c>
      <c r="D122" s="68">
        <v>2</v>
      </c>
      <c r="E122" s="49">
        <f>IF(K121&gt;0,I121,E121)</f>
        <v>0.5</v>
      </c>
      <c r="F122" s="49">
        <f>IF(K121&lt;0,I121,F121)</f>
        <v>2</v>
      </c>
      <c r="G122" s="49">
        <f t="shared" si="27"/>
        <v>-2.6277767999999995</v>
      </c>
      <c r="H122" s="49">
        <f t="shared" si="28"/>
        <v>147.35137957500001</v>
      </c>
      <c r="I122" s="49">
        <f t="shared" si="29"/>
        <v>1.25</v>
      </c>
      <c r="J122" s="49">
        <f t="shared" si="30"/>
        <v>72.358457711999989</v>
      </c>
      <c r="K122" s="49">
        <f t="shared" si="31"/>
        <v>-190.14187645937463</v>
      </c>
      <c r="L122" s="49" t="str">
        <f t="shared" si="32"/>
        <v>-</v>
      </c>
      <c r="M122" s="49">
        <f t="shared" ref="M122:M142" si="33">($F$121-$E$121)/2^(D122)</f>
        <v>0.75</v>
      </c>
    </row>
    <row r="123" spans="3:13">
      <c r="C123" s="11">
        <v>2</v>
      </c>
      <c r="D123" s="68">
        <v>3</v>
      </c>
      <c r="E123" s="49">
        <f>IF(K122&gt;0,I122,E122)</f>
        <v>0.5</v>
      </c>
      <c r="F123" s="49">
        <f>IF(K122&lt;0,I122,F122)</f>
        <v>1.25</v>
      </c>
      <c r="G123" s="49">
        <f t="shared" si="27"/>
        <v>-2.6277767999999995</v>
      </c>
      <c r="H123" s="49">
        <f t="shared" si="28"/>
        <v>72.358457711999989</v>
      </c>
      <c r="I123" s="49">
        <f t="shared" si="29"/>
        <v>0.875</v>
      </c>
      <c r="J123" s="49">
        <f t="shared" si="30"/>
        <v>34.864765738775517</v>
      </c>
      <c r="K123" s="49">
        <f t="shared" si="31"/>
        <v>-91.616822545789148</v>
      </c>
      <c r="L123" s="49" t="str">
        <f t="shared" si="32"/>
        <v>-</v>
      </c>
      <c r="M123" s="49">
        <f t="shared" si="33"/>
        <v>0.375</v>
      </c>
    </row>
    <row r="124" spans="3:13">
      <c r="C124" s="11">
        <v>3</v>
      </c>
      <c r="D124" s="68">
        <v>4</v>
      </c>
      <c r="E124" s="49">
        <f>IF(K123&gt;0,I123,E123)</f>
        <v>0.5</v>
      </c>
      <c r="F124" s="49">
        <f>IF(K123&lt;0,I123,F123)</f>
        <v>0.875</v>
      </c>
      <c r="G124" s="49">
        <f t="shared" si="27"/>
        <v>-2.6277767999999995</v>
      </c>
      <c r="H124" s="49">
        <f t="shared" si="28"/>
        <v>34.864765738775517</v>
      </c>
      <c r="I124" s="49">
        <f t="shared" si="29"/>
        <v>0.6875</v>
      </c>
      <c r="J124" s="49">
        <f t="shared" si="30"/>
        <v>16.118851527272728</v>
      </c>
      <c r="K124" s="49">
        <f t="shared" si="31"/>
        <v>-42.356744086011837</v>
      </c>
      <c r="L124" s="49" t="str">
        <f t="shared" si="32"/>
        <v>-</v>
      </c>
      <c r="M124" s="49">
        <f t="shared" si="33"/>
        <v>0.1875</v>
      </c>
    </row>
    <row r="125" spans="3:13">
      <c r="C125" s="11">
        <v>4</v>
      </c>
      <c r="D125" s="68">
        <v>5</v>
      </c>
      <c r="E125" s="49">
        <f>IF(K124&gt;0,I124,E124)</f>
        <v>0.5</v>
      </c>
      <c r="F125" s="49">
        <f>IF(K124&lt;0,I124,F124)</f>
        <v>0.6875</v>
      </c>
      <c r="G125" s="49">
        <f t="shared" si="27"/>
        <v>-2.6277767999999995</v>
      </c>
      <c r="H125" s="49">
        <f t="shared" si="28"/>
        <v>16.118851527272728</v>
      </c>
      <c r="I125" s="49">
        <f t="shared" si="29"/>
        <v>0.59375</v>
      </c>
      <c r="J125" s="49">
        <f t="shared" si="30"/>
        <v>6.7458573108033271</v>
      </c>
      <c r="K125" s="49">
        <f t="shared" si="31"/>
        <v>-17.726607337439368</v>
      </c>
      <c r="L125" s="49" t="str">
        <f t="shared" si="32"/>
        <v>-</v>
      </c>
      <c r="M125" s="49">
        <f t="shared" si="33"/>
        <v>9.375E-2</v>
      </c>
    </row>
    <row r="126" spans="3:13">
      <c r="C126" s="11">
        <v>5</v>
      </c>
      <c r="D126" s="68">
        <v>6</v>
      </c>
      <c r="E126" s="49">
        <f t="shared" ref="E126:E142" si="34">IF(K125&gt;0,I125,E125)</f>
        <v>0.5</v>
      </c>
      <c r="F126" s="49">
        <f t="shared" ref="F126:F142" si="35">IF(K125&lt;0,I125,F125)</f>
        <v>0.59375</v>
      </c>
      <c r="G126" s="49">
        <f t="shared" si="27"/>
        <v>-2.6277767999999995</v>
      </c>
      <c r="H126" s="49">
        <f t="shared" si="28"/>
        <v>6.7458573108033271</v>
      </c>
      <c r="I126" s="49">
        <f t="shared" si="29"/>
        <v>0.546875</v>
      </c>
      <c r="J126" s="49">
        <f t="shared" si="30"/>
        <v>2.0591817198367401</v>
      </c>
      <c r="K126" s="49">
        <f t="shared" si="31"/>
        <v>-5.4110699503710844</v>
      </c>
      <c r="L126" s="49" t="str">
        <f t="shared" si="32"/>
        <v>-</v>
      </c>
      <c r="M126" s="49">
        <f t="shared" si="33"/>
        <v>4.6875E-2</v>
      </c>
    </row>
    <row r="127" spans="3:13">
      <c r="C127" s="11">
        <v>6</v>
      </c>
      <c r="D127" s="68">
        <v>7</v>
      </c>
      <c r="E127" s="49">
        <f t="shared" si="34"/>
        <v>0.5</v>
      </c>
      <c r="F127" s="49">
        <f t="shared" si="35"/>
        <v>0.546875</v>
      </c>
      <c r="G127" s="49">
        <f t="shared" si="27"/>
        <v>-2.6277767999999995</v>
      </c>
      <c r="H127" s="49">
        <f t="shared" si="28"/>
        <v>2.0591817198367401</v>
      </c>
      <c r="I127" s="49">
        <f t="shared" si="29"/>
        <v>0.5234375</v>
      </c>
      <c r="J127" s="49">
        <f t="shared" si="30"/>
        <v>-0.28425040605925389</v>
      </c>
      <c r="K127" s="49">
        <f t="shared" si="31"/>
        <v>0.74694662243308663</v>
      </c>
      <c r="L127" s="49" t="str">
        <f t="shared" si="32"/>
        <v>+</v>
      </c>
      <c r="M127" s="49">
        <f t="shared" si="33"/>
        <v>2.34375E-2</v>
      </c>
    </row>
    <row r="128" spans="3:13">
      <c r="C128" s="11">
        <v>7</v>
      </c>
      <c r="D128" s="68">
        <v>8</v>
      </c>
      <c r="E128" s="49">
        <f t="shared" si="34"/>
        <v>0.5234375</v>
      </c>
      <c r="F128" s="49">
        <f t="shared" si="35"/>
        <v>0.546875</v>
      </c>
      <c r="G128" s="49">
        <f t="shared" si="27"/>
        <v>-0.28425040605925389</v>
      </c>
      <c r="H128" s="49">
        <f t="shared" si="28"/>
        <v>2.0591817198367401</v>
      </c>
      <c r="I128" s="49">
        <f t="shared" si="29"/>
        <v>0.53515625</v>
      </c>
      <c r="J128" s="49">
        <f t="shared" si="30"/>
        <v>0.88747571441206574</v>
      </c>
      <c r="K128" s="49">
        <f t="shared" si="31"/>
        <v>-0.25226533218935615</v>
      </c>
      <c r="L128" s="49" t="str">
        <f t="shared" si="32"/>
        <v>-</v>
      </c>
      <c r="M128" s="49">
        <f t="shared" si="33"/>
        <v>1.171875E-2</v>
      </c>
    </row>
    <row r="129" spans="3:13">
      <c r="C129" s="11">
        <v>8</v>
      </c>
      <c r="D129" s="68">
        <v>9</v>
      </c>
      <c r="E129" s="49">
        <f t="shared" si="34"/>
        <v>0.5234375</v>
      </c>
      <c r="F129" s="49">
        <f t="shared" si="35"/>
        <v>0.53515625</v>
      </c>
      <c r="G129" s="49">
        <f t="shared" si="27"/>
        <v>-0.28425040605925389</v>
      </c>
      <c r="H129" s="49">
        <f t="shared" si="28"/>
        <v>0.88747571441206574</v>
      </c>
      <c r="I129" s="49">
        <f t="shared" si="29"/>
        <v>0.529296875</v>
      </c>
      <c r="J129" s="49">
        <f t="shared" si="30"/>
        <v>0.3016153657044498</v>
      </c>
      <c r="K129" s="49">
        <f t="shared" si="31"/>
        <v>-8.573429017520022E-2</v>
      </c>
      <c r="L129" s="49" t="str">
        <f t="shared" si="32"/>
        <v>-</v>
      </c>
      <c r="M129" s="49">
        <f t="shared" si="33"/>
        <v>5.859375E-3</v>
      </c>
    </row>
    <row r="130" spans="3:13">
      <c r="C130" s="11">
        <v>9</v>
      </c>
      <c r="D130" s="68">
        <v>10</v>
      </c>
      <c r="E130" s="49">
        <f t="shared" si="34"/>
        <v>0.5234375</v>
      </c>
      <c r="F130" s="49">
        <f t="shared" si="35"/>
        <v>0.529296875</v>
      </c>
      <c r="G130" s="49">
        <f t="shared" si="27"/>
        <v>-0.28425040605925389</v>
      </c>
      <c r="H130" s="49">
        <f t="shared" si="28"/>
        <v>0.3016153657044498</v>
      </c>
      <c r="I130" s="49">
        <f t="shared" si="29"/>
        <v>0.5263671875</v>
      </c>
      <c r="J130" s="49">
        <f t="shared" si="30"/>
        <v>8.6831838646794779E-3</v>
      </c>
      <c r="K130" s="49">
        <f t="shared" si="31"/>
        <v>-2.4681985394223033E-3</v>
      </c>
      <c r="L130" s="49" t="str">
        <f t="shared" si="32"/>
        <v>-</v>
      </c>
      <c r="M130" s="49">
        <f t="shared" si="33"/>
        <v>2.9296875E-3</v>
      </c>
    </row>
    <row r="131" spans="3:13">
      <c r="C131" s="11">
        <v>10</v>
      </c>
      <c r="D131" s="68">
        <v>11</v>
      </c>
      <c r="E131" s="49">
        <f t="shared" si="34"/>
        <v>0.5234375</v>
      </c>
      <c r="F131" s="49">
        <f t="shared" si="35"/>
        <v>0.5263671875</v>
      </c>
      <c r="G131" s="49">
        <f t="shared" si="27"/>
        <v>-0.28425040605925389</v>
      </c>
      <c r="H131" s="49">
        <f t="shared" si="28"/>
        <v>8.6831838646794779E-3</v>
      </c>
      <c r="I131" s="49">
        <f t="shared" si="29"/>
        <v>0.52490234375</v>
      </c>
      <c r="J131" s="49">
        <f t="shared" si="30"/>
        <v>-0.13778343171653518</v>
      </c>
      <c r="K131" s="49">
        <f t="shared" si="31"/>
        <v>3.9164996413662605E-2</v>
      </c>
      <c r="L131" s="49" t="str">
        <f t="shared" si="32"/>
        <v>+</v>
      </c>
      <c r="M131" s="49">
        <f t="shared" si="33"/>
        <v>1.46484375E-3</v>
      </c>
    </row>
    <row r="132" spans="3:13">
      <c r="C132" s="11">
        <v>11</v>
      </c>
      <c r="D132" s="68">
        <v>12</v>
      </c>
      <c r="E132" s="49">
        <f t="shared" si="34"/>
        <v>0.52490234375</v>
      </c>
      <c r="F132" s="49">
        <f t="shared" si="35"/>
        <v>0.5263671875</v>
      </c>
      <c r="G132" s="49">
        <f t="shared" si="27"/>
        <v>-0.13778343171653518</v>
      </c>
      <c r="H132" s="49">
        <f t="shared" si="28"/>
        <v>8.6831838646794779E-3</v>
      </c>
      <c r="I132" s="49">
        <f t="shared" si="29"/>
        <v>0.525634765625</v>
      </c>
      <c r="J132" s="49">
        <f t="shared" si="30"/>
        <v>-6.4550079506602742E-2</v>
      </c>
      <c r="K132" s="49">
        <f t="shared" si="31"/>
        <v>8.8939314719949161E-3</v>
      </c>
      <c r="L132" s="49" t="str">
        <f t="shared" si="32"/>
        <v>+</v>
      </c>
      <c r="M132" s="49">
        <f t="shared" si="33"/>
        <v>7.32421875E-4</v>
      </c>
    </row>
    <row r="133" spans="3:13">
      <c r="C133" s="11">
        <v>12</v>
      </c>
      <c r="D133" s="68">
        <v>13</v>
      </c>
      <c r="E133" s="49">
        <f t="shared" si="34"/>
        <v>0.525634765625</v>
      </c>
      <c r="F133" s="49">
        <f t="shared" si="35"/>
        <v>0.5263671875</v>
      </c>
      <c r="G133" s="49">
        <f t="shared" si="27"/>
        <v>-6.4550079506602742E-2</v>
      </c>
      <c r="H133" s="49">
        <f t="shared" si="28"/>
        <v>8.6831838646794779E-3</v>
      </c>
      <c r="I133" s="49">
        <f t="shared" si="29"/>
        <v>0.5260009765625</v>
      </c>
      <c r="J133" s="49">
        <f t="shared" si="30"/>
        <v>-2.7933436768961428E-2</v>
      </c>
      <c r="K133" s="49">
        <f t="shared" si="31"/>
        <v>1.8031055643291207E-3</v>
      </c>
      <c r="L133" s="49" t="str">
        <f t="shared" si="32"/>
        <v>+</v>
      </c>
      <c r="M133" s="49">
        <f t="shared" si="33"/>
        <v>3.662109375E-4</v>
      </c>
    </row>
    <row r="134" spans="3:13">
      <c r="C134" s="11">
        <v>13</v>
      </c>
      <c r="D134" s="68">
        <v>14</v>
      </c>
      <c r="E134" s="49">
        <f t="shared" si="34"/>
        <v>0.5260009765625</v>
      </c>
      <c r="F134" s="49">
        <f t="shared" si="35"/>
        <v>0.5263671875</v>
      </c>
      <c r="G134" s="49">
        <f t="shared" si="27"/>
        <v>-2.7933436768961428E-2</v>
      </c>
      <c r="H134" s="49">
        <f t="shared" si="28"/>
        <v>8.6831838646794779E-3</v>
      </c>
      <c r="I134" s="49">
        <f t="shared" si="29"/>
        <v>0.52618408203125</v>
      </c>
      <c r="J134" s="49">
        <f t="shared" si="30"/>
        <v>-9.6251236957165531E-3</v>
      </c>
      <c r="K134" s="49">
        <f t="shared" si="31"/>
        <v>2.6886278414773066E-4</v>
      </c>
      <c r="L134" s="49" t="str">
        <f t="shared" si="32"/>
        <v>+</v>
      </c>
      <c r="M134" s="49">
        <f t="shared" si="33"/>
        <v>1.8310546875E-4</v>
      </c>
    </row>
    <row r="135" spans="3:13">
      <c r="C135" s="11">
        <v>14</v>
      </c>
      <c r="D135" s="68">
        <v>15</v>
      </c>
      <c r="E135" s="49">
        <f t="shared" si="34"/>
        <v>0.52618408203125</v>
      </c>
      <c r="F135" s="49">
        <f t="shared" si="35"/>
        <v>0.5263671875</v>
      </c>
      <c r="G135" s="49">
        <f t="shared" si="27"/>
        <v>-9.6251236957165531E-3</v>
      </c>
      <c r="H135" s="49">
        <f t="shared" si="28"/>
        <v>8.6831838646794779E-3</v>
      </c>
      <c r="I135" s="49">
        <f t="shared" si="29"/>
        <v>0.526275634765625</v>
      </c>
      <c r="J135" s="49">
        <f t="shared" si="30"/>
        <v>-4.7096922723355306E-4</v>
      </c>
      <c r="K135" s="49">
        <f t="shared" si="31"/>
        <v>4.5331370689989856E-6</v>
      </c>
      <c r="L135" s="49" t="str">
        <f t="shared" si="32"/>
        <v>+</v>
      </c>
      <c r="M135" s="49">
        <f t="shared" si="33"/>
        <v>9.1552734375E-5</v>
      </c>
    </row>
    <row r="136" spans="3:13">
      <c r="C136" s="11">
        <v>15</v>
      </c>
      <c r="D136" s="68">
        <v>16</v>
      </c>
      <c r="E136" s="49">
        <f t="shared" si="34"/>
        <v>0.526275634765625</v>
      </c>
      <c r="F136" s="49">
        <f t="shared" si="35"/>
        <v>0.5263671875</v>
      </c>
      <c r="G136" s="49">
        <f t="shared" si="27"/>
        <v>-4.7096922723355306E-4</v>
      </c>
      <c r="H136" s="49">
        <f t="shared" si="28"/>
        <v>8.6831838646794779E-3</v>
      </c>
      <c r="I136" s="49">
        <f t="shared" si="29"/>
        <v>0.5263214111328125</v>
      </c>
      <c r="J136" s="49">
        <f t="shared" si="30"/>
        <v>4.106107490692068E-3</v>
      </c>
      <c r="K136" s="49">
        <f t="shared" si="31"/>
        <v>-1.9338502718291469E-6</v>
      </c>
      <c r="L136" s="49" t="str">
        <f t="shared" si="32"/>
        <v>-</v>
      </c>
      <c r="M136" s="49">
        <f t="shared" si="33"/>
        <v>4.57763671875E-5</v>
      </c>
    </row>
    <row r="137" spans="3:13">
      <c r="C137" s="11">
        <v>16</v>
      </c>
      <c r="D137" s="68">
        <v>17</v>
      </c>
      <c r="E137" s="49">
        <f t="shared" si="34"/>
        <v>0.526275634765625</v>
      </c>
      <c r="F137" s="49">
        <f t="shared" si="35"/>
        <v>0.5263214111328125</v>
      </c>
      <c r="G137" s="49">
        <f t="shared" si="27"/>
        <v>-4.7096922723355306E-4</v>
      </c>
      <c r="H137" s="49">
        <f t="shared" si="28"/>
        <v>4.106107490692068E-3</v>
      </c>
      <c r="I137" s="49">
        <f t="shared" si="29"/>
        <v>0.52629852294921875</v>
      </c>
      <c r="J137" s="49">
        <f t="shared" si="30"/>
        <v>1.8175691747366329E-3</v>
      </c>
      <c r="K137" s="49">
        <f t="shared" si="31"/>
        <v>-8.5601914966923877E-7</v>
      </c>
      <c r="L137" s="49" t="str">
        <f t="shared" si="32"/>
        <v>-</v>
      </c>
      <c r="M137" s="49">
        <f t="shared" si="33"/>
        <v>2.288818359375E-5</v>
      </c>
    </row>
    <row r="138" spans="3:13">
      <c r="C138" s="11">
        <v>17</v>
      </c>
      <c r="D138" s="68">
        <v>18</v>
      </c>
      <c r="E138" s="49">
        <f t="shared" si="34"/>
        <v>0.526275634765625</v>
      </c>
      <c r="F138" s="49">
        <f t="shared" si="35"/>
        <v>0.52629852294921875</v>
      </c>
      <c r="G138" s="49">
        <f t="shared" si="27"/>
        <v>-4.7096922723355306E-4</v>
      </c>
      <c r="H138" s="49">
        <f t="shared" si="28"/>
        <v>1.8175691747366329E-3</v>
      </c>
      <c r="I138" s="49">
        <f t="shared" si="29"/>
        <v>0.52628707885742188</v>
      </c>
      <c r="J138" s="49">
        <f>($D$82+$D$13/I138^2)*(I138-$E$13)-$G$13*$F$13</f>
        <v>-20.249422220035029</v>
      </c>
      <c r="K138" s="49">
        <f t="shared" si="31"/>
        <v>9.536854734895836E-3</v>
      </c>
      <c r="L138" s="49" t="str">
        <f t="shared" si="32"/>
        <v>+</v>
      </c>
      <c r="M138" s="49">
        <f t="shared" si="33"/>
        <v>1.1444091796875E-5</v>
      </c>
    </row>
    <row r="139" spans="3:13">
      <c r="C139" s="11">
        <v>18</v>
      </c>
      <c r="D139" s="68">
        <v>19</v>
      </c>
      <c r="E139" s="49">
        <f t="shared" si="34"/>
        <v>0.52628707885742188</v>
      </c>
      <c r="F139" s="49">
        <f t="shared" si="35"/>
        <v>0.52629852294921875</v>
      </c>
      <c r="G139" s="49">
        <f t="shared" si="27"/>
        <v>6.7329998450205153E-4</v>
      </c>
      <c r="H139" s="49">
        <f t="shared" si="28"/>
        <v>1.8175691747366329E-3</v>
      </c>
      <c r="I139" s="49">
        <f t="shared" si="29"/>
        <v>0.52629280090332031</v>
      </c>
      <c r="J139" s="49">
        <f>($D$82+$D$13/I139^2)*(I139-$E$13)-$G$13*$F$13</f>
        <v>-20.249250628650117</v>
      </c>
      <c r="K139" s="49">
        <f t="shared" si="31"/>
        <v>-1.363382013444828E-2</v>
      </c>
      <c r="L139" s="49" t="str">
        <f t="shared" si="32"/>
        <v>-</v>
      </c>
      <c r="M139" s="49">
        <f t="shared" si="33"/>
        <v>5.7220458984375E-6</v>
      </c>
    </row>
    <row r="140" spans="3:13">
      <c r="C140" s="11">
        <v>19</v>
      </c>
      <c r="D140" s="68">
        <v>20</v>
      </c>
      <c r="E140" s="49">
        <f t="shared" si="34"/>
        <v>0.52628707885742188</v>
      </c>
      <c r="F140" s="49">
        <f t="shared" si="35"/>
        <v>0.52629280090332031</v>
      </c>
      <c r="G140" s="49">
        <f t="shared" si="27"/>
        <v>6.7329998450205153E-4</v>
      </c>
      <c r="H140" s="49">
        <f t="shared" si="28"/>
        <v>1.2454345823051938E-3</v>
      </c>
      <c r="I140" s="49">
        <f t="shared" si="29"/>
        <v>0.52628993988037109</v>
      </c>
      <c r="J140" s="49">
        <f>($D$82+$D$13/I140^2)*(I140-$E$13)-$G$13*$F$13</f>
        <v>-20.249336424341898</v>
      </c>
      <c r="K140" s="49">
        <f t="shared" si="31"/>
        <v>-1.3633877900686228E-2</v>
      </c>
      <c r="L140" s="49" t="str">
        <f t="shared" si="32"/>
        <v>-</v>
      </c>
      <c r="M140" s="49">
        <f t="shared" si="33"/>
        <v>2.86102294921875E-6</v>
      </c>
    </row>
    <row r="141" spans="3:13">
      <c r="C141" s="11">
        <v>20</v>
      </c>
      <c r="D141" s="68">
        <v>21</v>
      </c>
      <c r="E141" s="49">
        <f t="shared" si="34"/>
        <v>0.52628707885742188</v>
      </c>
      <c r="F141" s="49">
        <f t="shared" si="35"/>
        <v>0.52628993988037109</v>
      </c>
      <c r="G141" s="49">
        <f t="shared" si="27"/>
        <v>6.7329998450205153E-4</v>
      </c>
      <c r="H141" s="49">
        <f t="shared" si="28"/>
        <v>9.5936728407863825E-4</v>
      </c>
      <c r="I141" s="49">
        <f t="shared" si="29"/>
        <v>0.52628850936889648</v>
      </c>
      <c r="J141" s="49">
        <f>($D$82+$D$13/I141^2)*(I141-$E$13)-$G$13*$F$13</f>
        <v>-20.249379322188297</v>
      </c>
      <c r="K141" s="49">
        <f t="shared" si="31"/>
        <v>-1.3633906783805542E-2</v>
      </c>
      <c r="L141" s="49" t="str">
        <f t="shared" si="32"/>
        <v>-</v>
      </c>
      <c r="M141" s="49">
        <f t="shared" si="33"/>
        <v>1.430511474609375E-6</v>
      </c>
    </row>
    <row r="142" spans="3:13">
      <c r="C142" s="11">
        <v>21</v>
      </c>
      <c r="D142" s="68">
        <v>22</v>
      </c>
      <c r="E142" s="49">
        <f t="shared" si="34"/>
        <v>0.52628707885742188</v>
      </c>
      <c r="F142" s="49">
        <f t="shared" si="35"/>
        <v>0.52628850936889648</v>
      </c>
      <c r="G142" s="49">
        <f t="shared" si="27"/>
        <v>6.7329998450205153E-4</v>
      </c>
      <c r="H142" s="49">
        <f t="shared" si="28"/>
        <v>8.1633363445732243E-4</v>
      </c>
      <c r="I142" s="49">
        <f t="shared" si="29"/>
        <v>0.52628779411315918</v>
      </c>
      <c r="J142" s="49">
        <f>($D$82+$D$13/I142^2)*(I142-$E$13)-$G$13*$F$13</f>
        <v>-20.24940077111162</v>
      </c>
      <c r="K142" s="49">
        <f t="shared" si="31"/>
        <v>-1.3633921225365284E-2</v>
      </c>
      <c r="L142" s="49" t="str">
        <f t="shared" si="32"/>
        <v>-</v>
      </c>
      <c r="M142" s="49">
        <f t="shared" si="33"/>
        <v>7.152557373046875E-7</v>
      </c>
    </row>
    <row r="143" spans="3:13">
      <c r="C143" s="71"/>
      <c r="D143" s="72"/>
    </row>
    <row r="144" spans="3:13">
      <c r="E144" s="70" t="s">
        <v>96</v>
      </c>
      <c r="F144" s="62">
        <f>I142</f>
        <v>0.52628779411315918</v>
      </c>
    </row>
  </sheetData>
  <sheetProtection selectLockedCells="1" selectUnlockedCells="1"/>
  <mergeCells count="12">
    <mergeCell ref="D116:E116"/>
    <mergeCell ref="D117:E117"/>
    <mergeCell ref="D19:E19"/>
    <mergeCell ref="D20:E20"/>
    <mergeCell ref="D52:E52"/>
    <mergeCell ref="D53:E53"/>
    <mergeCell ref="D84:E84"/>
    <mergeCell ref="D85:E85"/>
    <mergeCell ref="C3:I3"/>
    <mergeCell ref="C4:I4"/>
    <mergeCell ref="C5:I9"/>
    <mergeCell ref="C15:D15"/>
  </mergeCells>
  <pageMargins left="0.78749999999999998" right="0.78749999999999998" top="0.98402777777777772" bottom="0.98402777777777772" header="0.51180555555555551" footer="0.51180555555555551"/>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dimension ref="B2:L144"/>
  <sheetViews>
    <sheetView topLeftCell="A82" workbookViewId="0">
      <selection activeCell="Q98" sqref="Q98"/>
    </sheetView>
  </sheetViews>
  <sheetFormatPr baseColWidth="10" defaultColWidth="11" defaultRowHeight="12.75"/>
  <cols>
    <col min="1" max="1" width="4" customWidth="1"/>
    <col min="8" max="8" width="12.42578125" bestFit="1" customWidth="1"/>
  </cols>
  <sheetData>
    <row r="2" spans="2:10" ht="12" customHeight="1"/>
    <row r="3" spans="2:10" ht="12.75" customHeight="1">
      <c r="B3" s="115" t="s">
        <v>19</v>
      </c>
      <c r="C3" s="115"/>
      <c r="D3" s="115"/>
      <c r="E3" s="115"/>
      <c r="F3" s="115"/>
      <c r="G3" s="115"/>
      <c r="H3" s="115"/>
    </row>
    <row r="4" spans="2:10" ht="12.75" customHeight="1">
      <c r="B4" s="115"/>
      <c r="C4" s="115"/>
      <c r="D4" s="115"/>
      <c r="E4" s="115"/>
      <c r="F4" s="115"/>
      <c r="G4" s="115"/>
      <c r="H4" s="115"/>
    </row>
    <row r="5" spans="2:10" ht="12.75" customHeight="1">
      <c r="B5" s="115"/>
      <c r="C5" s="115"/>
      <c r="D5" s="115"/>
      <c r="E5" s="115"/>
      <c r="F5" s="115"/>
      <c r="G5" s="115"/>
      <c r="H5" s="115"/>
    </row>
    <row r="6" spans="2:10" ht="12.75" customHeight="1">
      <c r="B6" s="115"/>
      <c r="C6" s="115"/>
      <c r="D6" s="115"/>
      <c r="E6" s="115"/>
      <c r="F6" s="115"/>
      <c r="G6" s="115"/>
      <c r="H6" s="115"/>
    </row>
    <row r="7" spans="2:10" ht="12.75" customHeight="1">
      <c r="B7" s="115"/>
      <c r="C7" s="115"/>
      <c r="D7" s="115"/>
      <c r="E7" s="115"/>
      <c r="F7" s="115"/>
      <c r="G7" s="115"/>
      <c r="H7" s="115"/>
    </row>
    <row r="8" spans="2:10" ht="12.75" customHeight="1">
      <c r="B8" s="115"/>
      <c r="C8" s="115"/>
      <c r="D8" s="115"/>
      <c r="E8" s="115"/>
      <c r="F8" s="115"/>
      <c r="G8" s="115"/>
      <c r="H8" s="115"/>
    </row>
    <row r="9" spans="2:10" ht="12.75" customHeight="1">
      <c r="B9" s="115"/>
      <c r="C9" s="115"/>
      <c r="D9" s="115"/>
      <c r="E9" s="115"/>
      <c r="F9" s="115"/>
      <c r="G9" s="115"/>
      <c r="H9" s="115"/>
    </row>
    <row r="10" spans="2:10" ht="12.75" customHeight="1">
      <c r="B10" s="115"/>
      <c r="C10" s="115"/>
      <c r="D10" s="115"/>
      <c r="E10" s="115"/>
      <c r="F10" s="115"/>
      <c r="G10" s="115"/>
      <c r="H10" s="115"/>
    </row>
    <row r="11" spans="2:10" ht="12.75" customHeight="1">
      <c r="B11" s="115"/>
      <c r="C11" s="115"/>
      <c r="D11" s="115"/>
      <c r="E11" s="115"/>
      <c r="F11" s="115"/>
      <c r="G11" s="115"/>
      <c r="H11" s="115"/>
    </row>
    <row r="12" spans="2:10" ht="12.75" customHeight="1">
      <c r="B12" s="115"/>
      <c r="C12" s="115"/>
      <c r="D12" s="115"/>
      <c r="E12" s="115"/>
      <c r="F12" s="115"/>
      <c r="G12" s="115"/>
      <c r="H12" s="115"/>
    </row>
    <row r="13" spans="2:10" ht="12.75" customHeight="1">
      <c r="B13" s="7"/>
      <c r="C13" s="7"/>
      <c r="D13" s="7"/>
      <c r="E13" s="7"/>
      <c r="F13" s="7"/>
      <c r="G13" s="7"/>
      <c r="H13" s="7"/>
    </row>
    <row r="14" spans="2:10" ht="12.75" customHeight="1">
      <c r="B14" s="114" t="s">
        <v>111</v>
      </c>
      <c r="C14" s="114"/>
      <c r="D14" s="114"/>
      <c r="E14" s="7"/>
      <c r="F14" s="7"/>
      <c r="G14" s="7"/>
      <c r="H14" s="114" t="s">
        <v>114</v>
      </c>
      <c r="I14" s="114"/>
      <c r="J14" s="114"/>
    </row>
    <row r="15" spans="2:10" ht="12.75" customHeight="1">
      <c r="B15" s="7"/>
      <c r="C15" s="7"/>
      <c r="D15" s="7"/>
      <c r="E15" s="7"/>
      <c r="F15" s="7"/>
      <c r="G15" s="7"/>
      <c r="H15" s="7"/>
    </row>
    <row r="16" spans="2:10" ht="12.75" customHeight="1">
      <c r="B16" s="58" t="s">
        <v>112</v>
      </c>
      <c r="C16" s="59">
        <v>5000</v>
      </c>
      <c r="D16" s="4"/>
      <c r="E16" s="4"/>
      <c r="F16" s="4"/>
      <c r="G16" s="4"/>
      <c r="H16" s="4"/>
    </row>
    <row r="17" spans="2:12" ht="12.75" customHeight="1">
      <c r="C17" s="4"/>
      <c r="D17" s="4"/>
      <c r="E17" s="4"/>
      <c r="F17" s="4"/>
      <c r="G17" s="4"/>
      <c r="H17" s="4"/>
    </row>
    <row r="18" spans="2:12" ht="12.75" customHeight="1">
      <c r="B18" s="53"/>
      <c r="C18" s="107" t="s">
        <v>113</v>
      </c>
      <c r="D18" s="107"/>
      <c r="E18" s="13" t="s">
        <v>40</v>
      </c>
      <c r="F18">
        <f>-0.4 + (1.74* LN(0.5*C16*0.09))-(1/0.09)</f>
        <v>-2.0870964112754198</v>
      </c>
      <c r="G18" s="51"/>
      <c r="H18" s="51"/>
      <c r="I18" s="51"/>
      <c r="J18" s="51"/>
      <c r="K18" s="51"/>
    </row>
    <row r="19" spans="2:12" ht="12.75" customHeight="1">
      <c r="B19" s="53"/>
      <c r="C19" s="108" t="s">
        <v>115</v>
      </c>
      <c r="D19" s="108"/>
      <c r="E19" s="13" t="s">
        <v>40</v>
      </c>
      <c r="F19">
        <f>-0.4 + (1.74* LN(0.5*C16*0.2))-(1/0.2)</f>
        <v>5.4134180912546128</v>
      </c>
      <c r="G19" s="52"/>
      <c r="H19" s="55" t="s">
        <v>97</v>
      </c>
      <c r="I19" s="49">
        <f>(LN(0.2-0.09)-LN(10^-3))/LN(2)</f>
        <v>6.781359713524659</v>
      </c>
      <c r="J19" s="13" t="s">
        <v>40</v>
      </c>
      <c r="K19" s="49">
        <f>ROUNDUP(I19,0)</f>
        <v>7</v>
      </c>
    </row>
    <row r="20" spans="2:12" ht="12.75" customHeight="1"/>
    <row r="22" spans="2:12" ht="15">
      <c r="B22" s="64" t="s">
        <v>45</v>
      </c>
      <c r="C22" s="64" t="s">
        <v>93</v>
      </c>
      <c r="D22" s="69" t="s">
        <v>16</v>
      </c>
      <c r="E22" s="69" t="s">
        <v>17</v>
      </c>
      <c r="F22" s="69" t="s">
        <v>103</v>
      </c>
      <c r="G22" s="69" t="s">
        <v>102</v>
      </c>
      <c r="H22" s="69" t="s">
        <v>78</v>
      </c>
      <c r="I22" s="69" t="s">
        <v>101</v>
      </c>
      <c r="J22" s="69" t="s">
        <v>100</v>
      </c>
      <c r="K22" s="69"/>
      <c r="L22" s="69" t="s">
        <v>94</v>
      </c>
    </row>
    <row r="23" spans="2:12">
      <c r="B23" s="11">
        <v>0</v>
      </c>
      <c r="C23" s="68">
        <v>1</v>
      </c>
      <c r="D23" s="49">
        <v>0.09</v>
      </c>
      <c r="E23" s="49">
        <v>0.2</v>
      </c>
      <c r="F23" s="49">
        <f t="shared" ref="F23:G29" si="0">-0.4 + (1.74* LN(0.5*$C$16*D23))-(1/D23)</f>
        <v>-2.0870964112754198</v>
      </c>
      <c r="G23" s="49">
        <f t="shared" si="0"/>
        <v>5.4134180912546128</v>
      </c>
      <c r="H23" s="49">
        <f t="shared" ref="H23:H29" si="1">(D23+E23)/2</f>
        <v>0.14500000000000002</v>
      </c>
      <c r="I23" s="49">
        <f t="shared" ref="I23:I29" si="2">-0.4 + (1.74* LN(0.5*$C$16*H23))-(1/H23)</f>
        <v>2.9573108611348982</v>
      </c>
      <c r="J23" s="49">
        <f t="shared" ref="J23:J29" si="3">F23*I23</f>
        <v>-6.1721928853004675</v>
      </c>
      <c r="K23" s="49" t="str">
        <f t="shared" ref="K23:K29" si="4">IF(F23*I23&gt;0,"+","-")</f>
        <v>-</v>
      </c>
      <c r="L23" s="49">
        <f t="shared" ref="L23:L29" si="5">($E$23-$D$23)/2^(C23)</f>
        <v>5.5000000000000007E-2</v>
      </c>
    </row>
    <row r="24" spans="2:12">
      <c r="B24" s="11">
        <v>1</v>
      </c>
      <c r="C24" s="68">
        <v>2</v>
      </c>
      <c r="D24" s="49">
        <f t="shared" ref="D24:D29" si="6">IF(J23&gt;0,H23,D23)</f>
        <v>0.09</v>
      </c>
      <c r="E24" s="49">
        <f t="shared" ref="E24:E29" si="7">IF(J23&lt;0,H23,E23)</f>
        <v>0.14500000000000002</v>
      </c>
      <c r="F24" s="49">
        <f t="shared" si="0"/>
        <v>-2.0870964112754198</v>
      </c>
      <c r="G24" s="49">
        <f t="shared" si="0"/>
        <v>2.9573108611348982</v>
      </c>
      <c r="H24" s="49">
        <f t="shared" si="1"/>
        <v>0.11750000000000001</v>
      </c>
      <c r="I24" s="49">
        <f t="shared" si="2"/>
        <v>0.97731027602522147</v>
      </c>
      <c r="J24" s="49">
        <f t="shared" si="3"/>
        <v>-2.0397407697948298</v>
      </c>
      <c r="K24" s="49" t="str">
        <f t="shared" si="4"/>
        <v>-</v>
      </c>
      <c r="L24" s="49">
        <f t="shared" si="5"/>
        <v>2.7500000000000004E-2</v>
      </c>
    </row>
    <row r="25" spans="2:12">
      <c r="B25" s="11">
        <v>2</v>
      </c>
      <c r="C25" s="68">
        <v>3</v>
      </c>
      <c r="D25" s="49">
        <f t="shared" si="6"/>
        <v>0.09</v>
      </c>
      <c r="E25" s="49">
        <f t="shared" si="7"/>
        <v>0.11750000000000001</v>
      </c>
      <c r="F25" s="49">
        <f t="shared" si="0"/>
        <v>-2.0870964112754198</v>
      </c>
      <c r="G25" s="49">
        <f t="shared" si="0"/>
        <v>0.97731027602522147</v>
      </c>
      <c r="H25" s="49">
        <f t="shared" si="1"/>
        <v>0.10375000000000001</v>
      </c>
      <c r="I25" s="49">
        <f t="shared" si="2"/>
        <v>-0.36715590655363428</v>
      </c>
      <c r="J25" s="49">
        <f t="shared" si="3"/>
        <v>0.7662897749466635</v>
      </c>
      <c r="K25" s="49" t="str">
        <f t="shared" si="4"/>
        <v>+</v>
      </c>
      <c r="L25" s="49">
        <f t="shared" si="5"/>
        <v>1.3750000000000002E-2</v>
      </c>
    </row>
    <row r="26" spans="2:12">
      <c r="B26" s="11">
        <v>3</v>
      </c>
      <c r="C26" s="68">
        <v>4</v>
      </c>
      <c r="D26" s="49">
        <f t="shared" si="6"/>
        <v>0.10375000000000001</v>
      </c>
      <c r="E26" s="49">
        <f t="shared" si="7"/>
        <v>0.11750000000000001</v>
      </c>
      <c r="F26" s="49">
        <f t="shared" si="0"/>
        <v>-0.36715590655363428</v>
      </c>
      <c r="G26" s="49">
        <f t="shared" si="0"/>
        <v>0.97731027602522147</v>
      </c>
      <c r="H26" s="49">
        <f t="shared" si="1"/>
        <v>0.110625</v>
      </c>
      <c r="I26" s="49">
        <f t="shared" si="2"/>
        <v>0.34349207065304199</v>
      </c>
      <c r="J26" s="49">
        <f t="shared" si="3"/>
        <v>-0.12611514259460263</v>
      </c>
      <c r="K26" s="49" t="str">
        <f t="shared" si="4"/>
        <v>-</v>
      </c>
      <c r="L26" s="49">
        <f t="shared" si="5"/>
        <v>6.8750000000000009E-3</v>
      </c>
    </row>
    <row r="27" spans="2:12">
      <c r="B27" s="11">
        <v>4</v>
      </c>
      <c r="C27" s="68">
        <v>5</v>
      </c>
      <c r="D27" s="49">
        <f t="shared" si="6"/>
        <v>0.10375000000000001</v>
      </c>
      <c r="E27" s="49">
        <f t="shared" si="7"/>
        <v>0.110625</v>
      </c>
      <c r="F27" s="49">
        <f t="shared" si="0"/>
        <v>-0.36715590655363428</v>
      </c>
      <c r="G27" s="49">
        <f t="shared" si="0"/>
        <v>0.34349207065304199</v>
      </c>
      <c r="H27" s="49">
        <f t="shared" si="1"/>
        <v>0.1071875</v>
      </c>
      <c r="I27" s="49">
        <f t="shared" si="2"/>
        <v>-1.3316216720600238E-3</v>
      </c>
      <c r="J27" s="49">
        <f t="shared" si="3"/>
        <v>4.8891276219166437E-4</v>
      </c>
      <c r="K27" s="49" t="str">
        <f t="shared" si="4"/>
        <v>+</v>
      </c>
      <c r="L27" s="49">
        <f t="shared" si="5"/>
        <v>3.4375000000000005E-3</v>
      </c>
    </row>
    <row r="28" spans="2:12">
      <c r="B28" s="11">
        <v>5</v>
      </c>
      <c r="C28" s="68">
        <v>6</v>
      </c>
      <c r="D28" s="49">
        <f t="shared" si="6"/>
        <v>0.1071875</v>
      </c>
      <c r="E28" s="49">
        <f t="shared" si="7"/>
        <v>0.110625</v>
      </c>
      <c r="F28" s="49">
        <f t="shared" si="0"/>
        <v>-1.3316216720600238E-3</v>
      </c>
      <c r="G28" s="49">
        <f t="shared" si="0"/>
        <v>0.34349207065304199</v>
      </c>
      <c r="H28" s="49">
        <f t="shared" si="1"/>
        <v>0.10890625000000001</v>
      </c>
      <c r="I28" s="49">
        <f t="shared" si="2"/>
        <v>0.17358451579463718</v>
      </c>
      <c r="J28" s="49">
        <f t="shared" si="3"/>
        <v>-2.3114890316618437E-4</v>
      </c>
      <c r="K28" s="49" t="str">
        <f t="shared" si="4"/>
        <v>-</v>
      </c>
      <c r="L28" s="49">
        <f t="shared" si="5"/>
        <v>1.7187500000000002E-3</v>
      </c>
    </row>
    <row r="29" spans="2:12">
      <c r="B29" s="11">
        <v>6</v>
      </c>
      <c r="C29" s="68">
        <v>7</v>
      </c>
      <c r="D29" s="49">
        <f t="shared" si="6"/>
        <v>0.1071875</v>
      </c>
      <c r="E29" s="49">
        <f t="shared" si="7"/>
        <v>0.10890625000000001</v>
      </c>
      <c r="F29" s="49">
        <f t="shared" si="0"/>
        <v>-1.3316216720600238E-3</v>
      </c>
      <c r="G29" s="49">
        <f t="shared" si="0"/>
        <v>0.17358451579463718</v>
      </c>
      <c r="H29" s="49">
        <f t="shared" si="1"/>
        <v>0.10804687500000001</v>
      </c>
      <c r="I29" s="49">
        <f t="shared" si="2"/>
        <v>8.6767026104555001E-2</v>
      </c>
      <c r="J29" s="49">
        <f t="shared" si="3"/>
        <v>-1.1554085238102326E-4</v>
      </c>
      <c r="K29" s="49" t="str">
        <f t="shared" si="4"/>
        <v>-</v>
      </c>
      <c r="L29" s="49">
        <f t="shared" si="5"/>
        <v>8.5937500000000011E-4</v>
      </c>
    </row>
    <row r="30" spans="2:12">
      <c r="B30" s="33"/>
      <c r="C30" s="53"/>
      <c r="D30" s="52"/>
      <c r="E30" s="52"/>
      <c r="F30" s="52"/>
      <c r="G30" s="52"/>
      <c r="H30" s="52"/>
      <c r="I30" s="52"/>
      <c r="J30" s="52"/>
      <c r="K30" s="52"/>
      <c r="L30" s="52"/>
    </row>
    <row r="31" spans="2:12">
      <c r="B31" s="33"/>
      <c r="C31" s="53"/>
      <c r="D31" s="52"/>
      <c r="E31" s="52"/>
      <c r="F31" s="52"/>
      <c r="G31" s="52"/>
      <c r="H31" s="52"/>
      <c r="I31" s="52"/>
      <c r="J31" s="52"/>
      <c r="K31" s="52"/>
      <c r="L31" s="52"/>
    </row>
    <row r="32" spans="2:12">
      <c r="B32" s="33"/>
      <c r="C32" s="53"/>
      <c r="D32" s="52"/>
      <c r="E32" s="52"/>
      <c r="F32" s="52"/>
      <c r="G32" s="52"/>
      <c r="H32" s="52"/>
      <c r="I32" s="52"/>
      <c r="J32" s="52"/>
      <c r="K32" s="52"/>
      <c r="L32" s="52"/>
    </row>
    <row r="33" spans="2:12">
      <c r="B33" s="33"/>
      <c r="C33" s="53"/>
      <c r="D33" s="52"/>
      <c r="E33" s="73" t="s">
        <v>117</v>
      </c>
      <c r="F33" s="49">
        <f>H29</f>
        <v>0.10804687500000001</v>
      </c>
      <c r="G33" s="52"/>
      <c r="H33" s="52"/>
      <c r="I33" s="52"/>
      <c r="J33" s="52"/>
      <c r="K33" s="52"/>
      <c r="L33" s="52"/>
    </row>
    <row r="34" spans="2:12">
      <c r="B34" s="33"/>
      <c r="C34" s="53"/>
      <c r="D34" s="52"/>
      <c r="E34" s="52"/>
      <c r="F34" s="52"/>
      <c r="G34" s="52"/>
      <c r="H34" s="52"/>
      <c r="I34" s="52"/>
      <c r="J34" s="52"/>
      <c r="K34" s="52"/>
      <c r="L34" s="52"/>
    </row>
    <row r="35" spans="2:12">
      <c r="B35" s="33"/>
      <c r="C35" s="53"/>
      <c r="D35" s="52"/>
      <c r="E35" s="52"/>
      <c r="F35" s="52"/>
      <c r="G35" s="52"/>
      <c r="H35" s="52"/>
      <c r="I35" s="52"/>
      <c r="J35" s="52"/>
      <c r="K35" s="52"/>
      <c r="L35" s="52"/>
    </row>
    <row r="36" spans="2:12">
      <c r="B36" s="33"/>
      <c r="C36" s="53"/>
      <c r="D36" s="52"/>
      <c r="E36" s="52"/>
      <c r="F36" s="52"/>
      <c r="G36" s="52"/>
      <c r="H36" s="52"/>
      <c r="I36" s="52"/>
      <c r="J36" s="52"/>
      <c r="K36" s="52"/>
      <c r="L36" s="52"/>
    </row>
    <row r="37" spans="2:12">
      <c r="B37" s="33"/>
      <c r="C37" s="53"/>
      <c r="D37" s="52"/>
      <c r="E37" s="52"/>
      <c r="F37" s="52"/>
      <c r="G37" s="52"/>
      <c r="H37" s="52"/>
      <c r="I37" s="52"/>
      <c r="J37" s="52"/>
      <c r="K37" s="52"/>
      <c r="L37" s="52"/>
    </row>
    <row r="38" spans="2:12">
      <c r="B38" s="33"/>
      <c r="C38" s="53"/>
      <c r="D38" s="52"/>
      <c r="E38" s="52"/>
      <c r="F38" s="52"/>
      <c r="G38" s="52"/>
      <c r="H38" s="52"/>
      <c r="I38" s="52"/>
      <c r="J38" s="52"/>
      <c r="K38" s="52"/>
      <c r="L38" s="52"/>
    </row>
    <row r="39" spans="2:12">
      <c r="B39" s="33"/>
      <c r="C39" s="53"/>
      <c r="D39" s="52"/>
      <c r="E39" s="52"/>
      <c r="F39" s="52"/>
      <c r="G39" s="52"/>
      <c r="H39" s="52"/>
      <c r="I39" s="52"/>
      <c r="J39" s="52"/>
      <c r="K39" s="52"/>
      <c r="L39" s="52"/>
    </row>
    <row r="40" spans="2:12">
      <c r="B40" s="33"/>
      <c r="C40" s="53"/>
      <c r="D40" s="52"/>
      <c r="E40" s="52"/>
      <c r="F40" s="52"/>
      <c r="G40" s="52"/>
      <c r="H40" s="52"/>
      <c r="I40" s="52"/>
      <c r="J40" s="52"/>
      <c r="K40" s="52"/>
      <c r="L40" s="52"/>
    </row>
    <row r="41" spans="2:12">
      <c r="B41" s="33"/>
      <c r="C41" s="53"/>
      <c r="D41" s="52"/>
      <c r="E41" s="52"/>
      <c r="F41" s="52"/>
      <c r="G41" s="52"/>
      <c r="H41" s="52"/>
      <c r="I41" s="52"/>
      <c r="J41" s="52"/>
      <c r="K41" s="52"/>
      <c r="L41" s="52"/>
    </row>
    <row r="42" spans="2:12">
      <c r="B42" s="33"/>
      <c r="C42" s="53"/>
      <c r="D42" s="52"/>
      <c r="E42" s="52"/>
      <c r="F42" s="52"/>
      <c r="G42" s="52"/>
      <c r="H42" s="52"/>
      <c r="I42" s="52"/>
      <c r="J42" s="52"/>
      <c r="K42" s="52"/>
      <c r="L42" s="52"/>
    </row>
    <row r="47" spans="2:12">
      <c r="B47" s="58" t="s">
        <v>112</v>
      </c>
      <c r="C47" s="59">
        <v>10000</v>
      </c>
      <c r="D47" s="4"/>
      <c r="E47" s="4"/>
      <c r="F47" s="4"/>
      <c r="G47" s="4"/>
      <c r="H47" s="4"/>
    </row>
    <row r="48" spans="2:12">
      <c r="C48" s="4"/>
      <c r="D48" s="4"/>
      <c r="E48" s="4"/>
      <c r="F48" s="4"/>
      <c r="G48" s="4"/>
      <c r="H48" s="4"/>
    </row>
    <row r="49" spans="2:12" ht="15">
      <c r="B49" s="53"/>
      <c r="C49" s="107" t="s">
        <v>113</v>
      </c>
      <c r="D49" s="107"/>
      <c r="E49" s="13" t="s">
        <v>40</v>
      </c>
      <c r="F49">
        <f>-0.4 + (1.74* LN(0.5*C47*0.09))-(1/0.09)</f>
        <v>-0.88102031710111461</v>
      </c>
      <c r="G49" s="51"/>
      <c r="H49" s="51"/>
      <c r="I49" s="51"/>
      <c r="J49" s="51"/>
      <c r="K49" s="51"/>
    </row>
    <row r="50" spans="2:12" ht="15">
      <c r="B50" s="53"/>
      <c r="C50" s="108" t="s">
        <v>115</v>
      </c>
      <c r="D50" s="108"/>
      <c r="E50" s="13" t="s">
        <v>40</v>
      </c>
      <c r="F50">
        <f>-0.4 + (1.74* LN(0.5*C47*0.2))-(1/0.2)</f>
        <v>6.619494185428918</v>
      </c>
      <c r="G50" s="52"/>
      <c r="H50" s="55" t="s">
        <v>97</v>
      </c>
      <c r="I50" s="49">
        <f>(LN(0.2-0.09)-LN(10^-3))/LN(2)</f>
        <v>6.781359713524659</v>
      </c>
      <c r="J50" s="13" t="s">
        <v>40</v>
      </c>
      <c r="K50" s="49">
        <f>ROUNDUP(I50,0)</f>
        <v>7</v>
      </c>
    </row>
    <row r="53" spans="2:12" ht="15">
      <c r="B53" s="64" t="s">
        <v>45</v>
      </c>
      <c r="C53" s="64" t="s">
        <v>93</v>
      </c>
      <c r="D53" s="69" t="s">
        <v>16</v>
      </c>
      <c r="E53" s="69" t="s">
        <v>17</v>
      </c>
      <c r="F53" s="69" t="s">
        <v>103</v>
      </c>
      <c r="G53" s="69" t="s">
        <v>102</v>
      </c>
      <c r="H53" s="69" t="s">
        <v>78</v>
      </c>
      <c r="I53" s="69" t="s">
        <v>101</v>
      </c>
      <c r="J53" s="69" t="s">
        <v>100</v>
      </c>
      <c r="K53" s="69"/>
      <c r="L53" s="69" t="s">
        <v>94</v>
      </c>
    </row>
    <row r="54" spans="2:12">
      <c r="B54" s="11">
        <v>0</v>
      </c>
      <c r="C54" s="68">
        <v>1</v>
      </c>
      <c r="D54" s="49">
        <v>0.09</v>
      </c>
      <c r="E54" s="49">
        <v>0.2</v>
      </c>
      <c r="F54" s="49">
        <f t="shared" ref="F54:G60" si="8">-0.4 + (1.74* LN(0.5*$C$47*D54))-(1/D54)</f>
        <v>-0.88102031710111461</v>
      </c>
      <c r="G54" s="49">
        <f t="shared" si="8"/>
        <v>6.619494185428918</v>
      </c>
      <c r="H54" s="49">
        <f t="shared" ref="H54:H60" si="9">(D54+E54)/2</f>
        <v>0.14500000000000002</v>
      </c>
      <c r="I54" s="49">
        <f t="shared" ref="I54:I60" si="10">-0.4 + (1.74* LN(0.5*$C$47*H54))-(1/H54)</f>
        <v>4.1633869553092033</v>
      </c>
      <c r="J54" s="49">
        <f t="shared" ref="J54:J60" si="11">F54*I54</f>
        <v>-3.6680284955811584</v>
      </c>
      <c r="K54" s="49" t="str">
        <f t="shared" ref="K54:K60" si="12">IF(F54*I54&gt;0,"+","-")</f>
        <v>-</v>
      </c>
      <c r="L54" s="49">
        <f>($E$54-$D$54)/2^(C54)</f>
        <v>5.5000000000000007E-2</v>
      </c>
    </row>
    <row r="55" spans="2:12">
      <c r="B55" s="11">
        <v>1</v>
      </c>
      <c r="C55" s="68">
        <v>2</v>
      </c>
      <c r="D55" s="49">
        <f t="shared" ref="D55:D60" si="13">IF(J54&gt;0,H54,D54)</f>
        <v>0.09</v>
      </c>
      <c r="E55" s="49">
        <f t="shared" ref="E55:E60" si="14">IF(J54&lt;0,H54,E54)</f>
        <v>0.14500000000000002</v>
      </c>
      <c r="F55" s="49">
        <f t="shared" si="8"/>
        <v>-0.88102031710111461</v>
      </c>
      <c r="G55" s="49">
        <f t="shared" si="8"/>
        <v>4.1633869553092033</v>
      </c>
      <c r="H55" s="49">
        <f t="shared" si="9"/>
        <v>0.11750000000000001</v>
      </c>
      <c r="I55" s="49">
        <f t="shared" si="10"/>
        <v>2.1833863701995249</v>
      </c>
      <c r="J55" s="49">
        <f t="shared" si="11"/>
        <v>-1.9236077522274371</v>
      </c>
      <c r="K55" s="49" t="str">
        <f t="shared" si="12"/>
        <v>-</v>
      </c>
      <c r="L55" s="49">
        <f>($E$54-$D$54)/2^(C55)</f>
        <v>2.7500000000000004E-2</v>
      </c>
    </row>
    <row r="56" spans="2:12">
      <c r="B56" s="11">
        <v>2</v>
      </c>
      <c r="C56" s="68">
        <v>3</v>
      </c>
      <c r="D56" s="49">
        <f t="shared" si="13"/>
        <v>0.09</v>
      </c>
      <c r="E56" s="49">
        <f t="shared" si="14"/>
        <v>0.11750000000000001</v>
      </c>
      <c r="F56" s="49">
        <f t="shared" si="8"/>
        <v>-0.88102031710111461</v>
      </c>
      <c r="G56" s="49">
        <f t="shared" si="8"/>
        <v>2.1833863701995249</v>
      </c>
      <c r="H56" s="49">
        <f t="shared" si="9"/>
        <v>0.10375000000000001</v>
      </c>
      <c r="I56" s="49">
        <f t="shared" si="10"/>
        <v>0.83892018762067089</v>
      </c>
      <c r="J56" s="49">
        <f t="shared" si="11"/>
        <v>-0.73910572972009003</v>
      </c>
      <c r="K56" s="49" t="str">
        <f t="shared" si="12"/>
        <v>-</v>
      </c>
      <c r="L56" s="49">
        <f>($E$54-$D$54)/2^(C56)</f>
        <v>1.3750000000000002E-2</v>
      </c>
    </row>
    <row r="57" spans="2:12">
      <c r="B57" s="11">
        <v>3</v>
      </c>
      <c r="C57" s="68">
        <v>4</v>
      </c>
      <c r="D57" s="49">
        <f t="shared" si="13"/>
        <v>0.09</v>
      </c>
      <c r="E57" s="49">
        <f t="shared" si="14"/>
        <v>0.10375000000000001</v>
      </c>
      <c r="F57" s="49">
        <f t="shared" si="8"/>
        <v>-0.88102031710111461</v>
      </c>
      <c r="G57" s="49">
        <f t="shared" si="8"/>
        <v>0.83892018762067089</v>
      </c>
      <c r="H57" s="49">
        <f t="shared" si="9"/>
        <v>9.6875000000000003E-2</v>
      </c>
      <c r="I57" s="49">
        <f t="shared" si="10"/>
        <v>3.559471102595424E-2</v>
      </c>
      <c r="J57" s="49">
        <f t="shared" si="11"/>
        <v>-3.1359663595208746E-2</v>
      </c>
      <c r="K57" s="49" t="str">
        <f t="shared" si="12"/>
        <v>-</v>
      </c>
      <c r="L57" s="49">
        <f t="shared" ref="L57:L60" si="15">($E$54-$D$54)/2^(C57)</f>
        <v>6.8750000000000009E-3</v>
      </c>
    </row>
    <row r="58" spans="2:12">
      <c r="B58" s="11">
        <v>4</v>
      </c>
      <c r="C58" s="68">
        <v>5</v>
      </c>
      <c r="D58" s="49">
        <f t="shared" si="13"/>
        <v>0.09</v>
      </c>
      <c r="E58" s="49">
        <f t="shared" si="14"/>
        <v>9.6875000000000003E-2</v>
      </c>
      <c r="F58" s="49">
        <f t="shared" si="8"/>
        <v>-0.88102031710111461</v>
      </c>
      <c r="G58" s="49">
        <f t="shared" si="8"/>
        <v>3.559471102595424E-2</v>
      </c>
      <c r="H58" s="49">
        <f t="shared" si="9"/>
        <v>9.3437500000000007E-2</v>
      </c>
      <c r="I58" s="49">
        <f t="shared" si="10"/>
        <v>-0.40702976085050047</v>
      </c>
      <c r="J58" s="49">
        <f t="shared" si="11"/>
        <v>0.35860148897409877</v>
      </c>
      <c r="K58" s="49" t="str">
        <f t="shared" si="12"/>
        <v>+</v>
      </c>
      <c r="L58" s="49">
        <f t="shared" si="15"/>
        <v>3.4375000000000005E-3</v>
      </c>
    </row>
    <row r="59" spans="2:12">
      <c r="B59" s="11">
        <v>5</v>
      </c>
      <c r="C59" s="68">
        <v>6</v>
      </c>
      <c r="D59" s="49">
        <f t="shared" si="13"/>
        <v>9.3437500000000007E-2</v>
      </c>
      <c r="E59" s="49">
        <f t="shared" si="14"/>
        <v>9.6875000000000003E-2</v>
      </c>
      <c r="F59" s="49">
        <f t="shared" si="8"/>
        <v>-0.40702976085050047</v>
      </c>
      <c r="G59" s="49">
        <f t="shared" si="8"/>
        <v>3.559471102595424E-2</v>
      </c>
      <c r="H59" s="49">
        <f t="shared" si="9"/>
        <v>9.5156249999999998E-2</v>
      </c>
      <c r="I59" s="49">
        <f t="shared" si="10"/>
        <v>-0.18200394847200485</v>
      </c>
      <c r="J59" s="49">
        <f t="shared" si="11"/>
        <v>7.4081023620406944E-2</v>
      </c>
      <c r="K59" s="49" t="str">
        <f t="shared" si="12"/>
        <v>+</v>
      </c>
      <c r="L59" s="49">
        <f t="shared" si="15"/>
        <v>1.7187500000000002E-3</v>
      </c>
    </row>
    <row r="60" spans="2:12">
      <c r="B60" s="11">
        <v>6</v>
      </c>
      <c r="C60" s="68">
        <v>7</v>
      </c>
      <c r="D60" s="49">
        <f t="shared" si="13"/>
        <v>9.5156249999999998E-2</v>
      </c>
      <c r="E60" s="49">
        <f t="shared" si="14"/>
        <v>9.6875000000000003E-2</v>
      </c>
      <c r="F60" s="49">
        <f t="shared" si="8"/>
        <v>-0.18200394847200485</v>
      </c>
      <c r="G60" s="49">
        <f t="shared" si="8"/>
        <v>3.559471102595424E-2</v>
      </c>
      <c r="H60" s="49">
        <f t="shared" si="9"/>
        <v>9.6015624999999993E-2</v>
      </c>
      <c r="I60" s="49">
        <f t="shared" si="10"/>
        <v>-7.2300520692506254E-2</v>
      </c>
      <c r="J60" s="49">
        <f t="shared" si="11"/>
        <v>1.3158980242618029E-2</v>
      </c>
      <c r="K60" s="49" t="str">
        <f t="shared" si="12"/>
        <v>+</v>
      </c>
      <c r="L60" s="49">
        <f t="shared" si="15"/>
        <v>8.5937500000000011E-4</v>
      </c>
    </row>
    <row r="61" spans="2:12">
      <c r="B61" s="33"/>
      <c r="C61" s="53"/>
      <c r="D61" s="52"/>
      <c r="E61" s="52"/>
      <c r="F61" s="52"/>
      <c r="G61" s="52"/>
      <c r="H61" s="52"/>
      <c r="I61" s="52"/>
      <c r="J61" s="52"/>
      <c r="K61" s="52"/>
      <c r="L61" s="52"/>
    </row>
    <row r="62" spans="2:12">
      <c r="B62" s="33"/>
      <c r="C62" s="53"/>
      <c r="D62" s="52"/>
      <c r="E62" s="52"/>
      <c r="F62" s="52"/>
      <c r="G62" s="52"/>
      <c r="H62" s="52"/>
      <c r="I62" s="52"/>
      <c r="J62" s="52"/>
      <c r="K62" s="52"/>
      <c r="L62" s="52"/>
    </row>
    <row r="63" spans="2:12">
      <c r="B63" s="33"/>
      <c r="C63" s="53"/>
      <c r="D63" s="52"/>
      <c r="E63" s="73" t="s">
        <v>117</v>
      </c>
      <c r="F63" s="49">
        <f>H60</f>
        <v>9.6015624999999993E-2</v>
      </c>
      <c r="G63" s="52"/>
      <c r="H63" s="52"/>
      <c r="I63" s="52"/>
      <c r="J63" s="52"/>
      <c r="K63" s="52"/>
      <c r="L63" s="52"/>
    </row>
    <row r="64" spans="2:12">
      <c r="B64" s="33"/>
      <c r="C64" s="53"/>
      <c r="D64" s="52"/>
      <c r="E64" s="52"/>
      <c r="F64" s="52"/>
      <c r="G64" s="52"/>
      <c r="H64" s="52"/>
      <c r="I64" s="52"/>
      <c r="J64" s="52"/>
      <c r="K64" s="52"/>
      <c r="L64" s="52"/>
    </row>
    <row r="65" spans="2:12">
      <c r="B65" s="33"/>
      <c r="C65" s="53"/>
      <c r="D65" s="52"/>
      <c r="E65" s="52"/>
      <c r="F65" s="52"/>
      <c r="G65" s="52"/>
      <c r="H65" s="52"/>
      <c r="I65" s="52"/>
      <c r="J65" s="52"/>
      <c r="K65" s="52"/>
      <c r="L65" s="52"/>
    </row>
    <row r="66" spans="2:12">
      <c r="B66" s="33"/>
      <c r="C66" s="53"/>
      <c r="D66" s="52"/>
      <c r="E66" s="52"/>
      <c r="F66" s="52"/>
      <c r="G66" s="52"/>
      <c r="H66" s="52"/>
      <c r="I66" s="52"/>
      <c r="J66" s="52"/>
      <c r="K66" s="52"/>
      <c r="L66" s="52"/>
    </row>
    <row r="67" spans="2:12">
      <c r="B67" s="33"/>
      <c r="C67" s="53"/>
      <c r="D67" s="52"/>
      <c r="E67" s="52"/>
      <c r="F67" s="52"/>
      <c r="G67" s="52"/>
      <c r="H67" s="52"/>
      <c r="I67" s="52"/>
      <c r="J67" s="52"/>
      <c r="K67" s="52"/>
      <c r="L67" s="52"/>
    </row>
    <row r="68" spans="2:12">
      <c r="B68" s="58" t="s">
        <v>112</v>
      </c>
      <c r="C68" s="59">
        <v>15000</v>
      </c>
      <c r="D68" s="4"/>
      <c r="E68" s="4"/>
      <c r="F68" s="4"/>
      <c r="G68" s="4"/>
      <c r="H68" s="4"/>
    </row>
    <row r="69" spans="2:12">
      <c r="C69" s="4"/>
      <c r="D69" s="4"/>
      <c r="E69" s="4"/>
      <c r="F69" s="4"/>
      <c r="G69" s="4"/>
      <c r="H69" s="4"/>
    </row>
    <row r="70" spans="2:12" ht="15">
      <c r="B70" s="53"/>
      <c r="C70" s="107" t="s">
        <v>113</v>
      </c>
      <c r="D70" s="107"/>
      <c r="E70" s="13" t="s">
        <v>40</v>
      </c>
      <c r="F70">
        <f>-0.4 + (1.74* LN(0.5*C68*0.09))-(1/0.09)</f>
        <v>-0.17551102899290782</v>
      </c>
      <c r="G70" s="51"/>
      <c r="H70" s="51"/>
      <c r="I70" s="51"/>
      <c r="J70" s="51"/>
      <c r="K70" s="51"/>
    </row>
    <row r="71" spans="2:12" ht="15">
      <c r="B71" s="53"/>
      <c r="C71" s="108" t="s">
        <v>115</v>
      </c>
      <c r="D71" s="108"/>
      <c r="E71" s="13" t="s">
        <v>40</v>
      </c>
      <c r="F71">
        <f>-0.4 + (1.74* LN(0.5*C68*0.2))-(1/0.2)</f>
        <v>7.3250034735371248</v>
      </c>
      <c r="G71" s="52"/>
      <c r="H71" s="55" t="s">
        <v>97</v>
      </c>
      <c r="I71" s="49">
        <f>(LN(0.2-0.09)-LN(10^-3))/LN(2)</f>
        <v>6.781359713524659</v>
      </c>
      <c r="J71" s="13" t="s">
        <v>40</v>
      </c>
      <c r="K71" s="49">
        <f>ROUNDUP(I71,0)</f>
        <v>7</v>
      </c>
    </row>
    <row r="74" spans="2:12" ht="15">
      <c r="B74" s="64" t="s">
        <v>45</v>
      </c>
      <c r="C74" s="64" t="s">
        <v>93</v>
      </c>
      <c r="D74" s="69" t="s">
        <v>16</v>
      </c>
      <c r="E74" s="69" t="s">
        <v>17</v>
      </c>
      <c r="F74" s="69" t="s">
        <v>103</v>
      </c>
      <c r="G74" s="69" t="s">
        <v>102</v>
      </c>
      <c r="H74" s="69" t="s">
        <v>78</v>
      </c>
      <c r="I74" s="69" t="s">
        <v>101</v>
      </c>
      <c r="J74" s="69" t="s">
        <v>100</v>
      </c>
      <c r="K74" s="69"/>
      <c r="L74" s="69" t="s">
        <v>94</v>
      </c>
    </row>
    <row r="75" spans="2:12">
      <c r="B75" s="11">
        <v>0</v>
      </c>
      <c r="C75" s="68">
        <v>1</v>
      </c>
      <c r="D75" s="49">
        <v>0.09</v>
      </c>
      <c r="E75" s="49">
        <v>0.2</v>
      </c>
      <c r="F75" s="49">
        <f t="shared" ref="F75:G81" si="16">-0.4 + (1.74* LN(0.5*$C$68*D75))-(1/D75)</f>
        <v>-0.17551102899290782</v>
      </c>
      <c r="G75" s="49">
        <f t="shared" si="16"/>
        <v>7.3250034735371248</v>
      </c>
      <c r="H75" s="49">
        <f t="shared" ref="H75:H81" si="17">(D75+E75)/2</f>
        <v>0.14500000000000002</v>
      </c>
      <c r="I75" s="49">
        <f t="shared" ref="I75:I81" si="18">-0.4 + (1.74* LN(0.5*$C$68*H75))-(1/H75)</f>
        <v>4.8688962434174101</v>
      </c>
      <c r="J75" s="49">
        <f t="shared" ref="J75:J81" si="19">F75*I75</f>
        <v>-0.85454498974189308</v>
      </c>
      <c r="K75" s="49" t="str">
        <f t="shared" ref="K75:K81" si="20">IF(F75*I75&gt;0,"+","-")</f>
        <v>-</v>
      </c>
      <c r="L75" s="49">
        <f>($E$75-$D$75)/2^(C75)</f>
        <v>5.5000000000000007E-2</v>
      </c>
    </row>
    <row r="76" spans="2:12">
      <c r="B76" s="11">
        <v>1</v>
      </c>
      <c r="C76" s="68">
        <v>2</v>
      </c>
      <c r="D76" s="49">
        <f t="shared" ref="D76:D81" si="21">IF(J75&gt;0,H75,D75)</f>
        <v>0.09</v>
      </c>
      <c r="E76" s="49">
        <f t="shared" ref="E76:E81" si="22">IF(J75&lt;0,H75,E75)</f>
        <v>0.14500000000000002</v>
      </c>
      <c r="F76" s="49">
        <f t="shared" si="16"/>
        <v>-0.17551102899290782</v>
      </c>
      <c r="G76" s="49">
        <f t="shared" si="16"/>
        <v>4.8688962434174101</v>
      </c>
      <c r="H76" s="49">
        <f t="shared" si="17"/>
        <v>0.11750000000000001</v>
      </c>
      <c r="I76" s="49">
        <f t="shared" si="18"/>
        <v>2.8888956583077317</v>
      </c>
      <c r="J76" s="49">
        <f t="shared" si="19"/>
        <v>-0.50703304964273388</v>
      </c>
      <c r="K76" s="49" t="str">
        <f t="shared" si="20"/>
        <v>-</v>
      </c>
      <c r="L76" s="49">
        <f>($E$75-$D$75)/2^(C76)</f>
        <v>2.7500000000000004E-2</v>
      </c>
    </row>
    <row r="77" spans="2:12">
      <c r="B77" s="11">
        <v>2</v>
      </c>
      <c r="C77" s="68">
        <v>3</v>
      </c>
      <c r="D77" s="49">
        <f t="shared" si="21"/>
        <v>0.09</v>
      </c>
      <c r="E77" s="49">
        <f t="shared" si="22"/>
        <v>0.11750000000000001</v>
      </c>
      <c r="F77" s="49">
        <f t="shared" si="16"/>
        <v>-0.17551102899290782</v>
      </c>
      <c r="G77" s="49">
        <f t="shared" si="16"/>
        <v>2.8888956583077317</v>
      </c>
      <c r="H77" s="49">
        <f t="shared" si="17"/>
        <v>0.10375000000000001</v>
      </c>
      <c r="I77" s="49">
        <f t="shared" si="18"/>
        <v>1.5444294757288759</v>
      </c>
      <c r="J77" s="49">
        <f t="shared" si="19"/>
        <v>-0.27106440649215219</v>
      </c>
      <c r="K77" s="49" t="str">
        <f t="shared" si="20"/>
        <v>-</v>
      </c>
      <c r="L77" s="94">
        <f>($E$23-$D$23)/2^(C77)</f>
        <v>1.3750000000000002E-2</v>
      </c>
    </row>
    <row r="78" spans="2:12">
      <c r="B78" s="11">
        <v>3</v>
      </c>
      <c r="C78" s="68">
        <v>4</v>
      </c>
      <c r="D78" s="49">
        <f t="shared" si="21"/>
        <v>0.09</v>
      </c>
      <c r="E78" s="49">
        <f t="shared" si="22"/>
        <v>0.10375000000000001</v>
      </c>
      <c r="F78" s="49">
        <f t="shared" si="16"/>
        <v>-0.17551102899290782</v>
      </c>
      <c r="G78" s="49">
        <f t="shared" si="16"/>
        <v>1.5444294757288759</v>
      </c>
      <c r="H78" s="49">
        <f t="shared" si="17"/>
        <v>9.6875000000000003E-2</v>
      </c>
      <c r="I78" s="49">
        <f t="shared" si="18"/>
        <v>0.74110399913415925</v>
      </c>
      <c r="J78" s="49">
        <f t="shared" si="19"/>
        <v>-0.13007192547879537</v>
      </c>
      <c r="K78" s="49" t="str">
        <f t="shared" si="20"/>
        <v>-</v>
      </c>
      <c r="L78" s="94">
        <f>($E$23-$D$23)/2^(C78)</f>
        <v>6.8750000000000009E-3</v>
      </c>
    </row>
    <row r="79" spans="2:12">
      <c r="B79" s="11">
        <v>4</v>
      </c>
      <c r="C79" s="68">
        <v>5</v>
      </c>
      <c r="D79" s="49">
        <f t="shared" si="21"/>
        <v>0.09</v>
      </c>
      <c r="E79" s="49">
        <f t="shared" si="22"/>
        <v>9.6875000000000003E-2</v>
      </c>
      <c r="F79" s="49">
        <f t="shared" si="16"/>
        <v>-0.17551102899290782</v>
      </c>
      <c r="G79" s="49">
        <f t="shared" si="16"/>
        <v>0.74110399913415925</v>
      </c>
      <c r="H79" s="49">
        <f t="shared" si="17"/>
        <v>9.3437500000000007E-2</v>
      </c>
      <c r="I79" s="49">
        <f t="shared" si="18"/>
        <v>0.29847952725770277</v>
      </c>
      <c r="J79" s="49">
        <f t="shared" si="19"/>
        <v>-5.238644896231609E-2</v>
      </c>
      <c r="K79" s="49" t="str">
        <f t="shared" si="20"/>
        <v>-</v>
      </c>
      <c r="L79" s="94">
        <f>($E$23-$D$23)/2^(C79)</f>
        <v>3.4375000000000005E-3</v>
      </c>
    </row>
    <row r="80" spans="2:12">
      <c r="B80" s="11">
        <v>5</v>
      </c>
      <c r="C80" s="68">
        <v>6</v>
      </c>
      <c r="D80" s="49">
        <f t="shared" si="21"/>
        <v>0.09</v>
      </c>
      <c r="E80" s="49">
        <f t="shared" si="22"/>
        <v>9.3437500000000007E-2</v>
      </c>
      <c r="F80" s="49">
        <f t="shared" si="16"/>
        <v>-0.17551102899290782</v>
      </c>
      <c r="G80" s="49">
        <f t="shared" si="16"/>
        <v>0.29847952725770277</v>
      </c>
      <c r="H80" s="49">
        <f t="shared" si="17"/>
        <v>9.1718750000000002E-2</v>
      </c>
      <c r="I80" s="49">
        <f t="shared" si="18"/>
        <v>6.5619857236518087E-2</v>
      </c>
      <c r="J80" s="49">
        <f t="shared" si="19"/>
        <v>-1.1517008665948998E-2</v>
      </c>
      <c r="K80" s="49" t="str">
        <f t="shared" si="20"/>
        <v>-</v>
      </c>
      <c r="L80" s="94">
        <f>($E$23-$D$23)/2^(C80)</f>
        <v>1.7187500000000002E-3</v>
      </c>
    </row>
    <row r="81" spans="2:12">
      <c r="B81" s="11">
        <v>6</v>
      </c>
      <c r="C81" s="68">
        <v>7</v>
      </c>
      <c r="D81" s="49">
        <f t="shared" si="21"/>
        <v>0.09</v>
      </c>
      <c r="E81" s="49">
        <f t="shared" si="22"/>
        <v>9.1718750000000002E-2</v>
      </c>
      <c r="F81" s="49">
        <f t="shared" si="16"/>
        <v>-0.17551102899290782</v>
      </c>
      <c r="G81" s="49">
        <f t="shared" si="16"/>
        <v>6.5619857236518087E-2</v>
      </c>
      <c r="H81" s="49">
        <f t="shared" si="17"/>
        <v>9.0859374999999992E-2</v>
      </c>
      <c r="I81" s="49">
        <f t="shared" si="18"/>
        <v>-5.3883072879491678E-2</v>
      </c>
      <c r="J81" s="49">
        <f t="shared" si="19"/>
        <v>9.4570735663794293E-3</v>
      </c>
      <c r="K81" s="49" t="str">
        <f t="shared" si="20"/>
        <v>+</v>
      </c>
      <c r="L81" s="94">
        <f>($E$23-$D$23)/2^(C81)</f>
        <v>8.5937500000000011E-4</v>
      </c>
    </row>
    <row r="82" spans="2:12">
      <c r="B82" s="33"/>
      <c r="C82" s="53"/>
      <c r="D82" s="52"/>
      <c r="E82" s="52"/>
      <c r="F82" s="52"/>
      <c r="G82" s="52"/>
      <c r="H82" s="52"/>
      <c r="I82" s="52"/>
      <c r="J82" s="52"/>
      <c r="K82" s="52"/>
      <c r="L82" s="95" t="s">
        <v>159</v>
      </c>
    </row>
    <row r="83" spans="2:12">
      <c r="B83" s="33"/>
      <c r="C83" s="53"/>
      <c r="D83" s="52"/>
      <c r="E83" s="52"/>
      <c r="F83" s="52"/>
      <c r="G83" s="52"/>
      <c r="H83" s="52"/>
      <c r="I83" s="52"/>
      <c r="J83" s="52"/>
      <c r="K83" s="52"/>
      <c r="L83" s="52"/>
    </row>
    <row r="84" spans="2:12">
      <c r="B84" s="33"/>
      <c r="C84" s="53"/>
      <c r="D84" s="52"/>
      <c r="E84" s="73" t="s">
        <v>117</v>
      </c>
      <c r="F84" s="49">
        <f>H81</f>
        <v>9.0859374999999992E-2</v>
      </c>
      <c r="G84" s="52"/>
      <c r="H84" s="52"/>
      <c r="I84" s="52"/>
      <c r="J84" s="52"/>
      <c r="K84" s="52"/>
      <c r="L84" s="52"/>
    </row>
    <row r="89" spans="2:12">
      <c r="B89" s="58" t="s">
        <v>112</v>
      </c>
      <c r="C89" s="59">
        <v>20000</v>
      </c>
      <c r="D89" s="4"/>
      <c r="E89" s="4"/>
      <c r="F89" s="4"/>
      <c r="G89" s="4"/>
      <c r="H89" s="4"/>
    </row>
    <row r="90" spans="2:12">
      <c r="C90" s="4"/>
      <c r="D90" s="4"/>
      <c r="E90" s="4"/>
      <c r="F90" s="4"/>
      <c r="G90" s="4"/>
      <c r="H90" s="4"/>
    </row>
    <row r="91" spans="2:12" ht="15">
      <c r="B91" s="53"/>
      <c r="C91" s="107" t="s">
        <v>116</v>
      </c>
      <c r="D91" s="107"/>
      <c r="E91" s="13" t="s">
        <v>40</v>
      </c>
      <c r="F91">
        <f>-0.4 + (1.74* LN(0.5*C89*0.08))-(1/0.08)</f>
        <v>-1.2687755938578071</v>
      </c>
      <c r="G91" s="51"/>
      <c r="H91" s="51"/>
      <c r="I91" s="51"/>
      <c r="J91" s="51"/>
      <c r="K91" s="51"/>
    </row>
    <row r="92" spans="2:12" ht="15">
      <c r="B92" s="53"/>
      <c r="C92" s="108" t="s">
        <v>115</v>
      </c>
      <c r="D92" s="108"/>
      <c r="E92" s="13" t="s">
        <v>40</v>
      </c>
      <c r="F92">
        <f>-0.4 + (1.74* LN(0.5*C89*0.2))-(1/0.2)</f>
        <v>7.8255702796032232</v>
      </c>
      <c r="G92" s="52"/>
      <c r="H92" s="55" t="s">
        <v>97</v>
      </c>
      <c r="I92" s="49">
        <f>(LN(0.2-0.08)-LN(10^-3))/LN(2)</f>
        <v>6.9068905956085187</v>
      </c>
      <c r="J92" s="13" t="s">
        <v>40</v>
      </c>
      <c r="K92" s="49">
        <f>ROUNDUP(I92,0)</f>
        <v>7</v>
      </c>
    </row>
    <row r="95" spans="2:12" ht="15">
      <c r="B95" s="64" t="s">
        <v>45</v>
      </c>
      <c r="C95" s="64" t="s">
        <v>93</v>
      </c>
      <c r="D95" s="69" t="s">
        <v>16</v>
      </c>
      <c r="E95" s="69" t="s">
        <v>17</v>
      </c>
      <c r="F95" s="69" t="s">
        <v>103</v>
      </c>
      <c r="G95" s="69" t="s">
        <v>102</v>
      </c>
      <c r="H95" s="69" t="s">
        <v>78</v>
      </c>
      <c r="I95" s="69" t="s">
        <v>101</v>
      </c>
      <c r="J95" s="69" t="s">
        <v>100</v>
      </c>
      <c r="K95" s="69"/>
      <c r="L95" s="69" t="s">
        <v>94</v>
      </c>
    </row>
    <row r="96" spans="2:12">
      <c r="B96" s="11">
        <v>0</v>
      </c>
      <c r="C96" s="68">
        <v>1</v>
      </c>
      <c r="D96" s="49">
        <v>0.08</v>
      </c>
      <c r="E96" s="49">
        <v>0.2</v>
      </c>
      <c r="F96" s="49">
        <f t="shared" ref="F96:G102" si="23">-0.4 + (1.74* LN(0.5*$C$89*D96))-(1/D96)</f>
        <v>-1.2687755938578071</v>
      </c>
      <c r="G96" s="49">
        <f t="shared" si="23"/>
        <v>7.8255702796032232</v>
      </c>
      <c r="H96" s="49">
        <f t="shared" ref="H96:H102" si="24">(D96+E96)/2</f>
        <v>0.14000000000000001</v>
      </c>
      <c r="I96" s="49">
        <f t="shared" ref="I96:I102" si="25">-0.4 + (1.74* LN(0.5*$C$89*H96))-(1/H96)</f>
        <v>5.062098734292686</v>
      </c>
      <c r="J96" s="49">
        <f t="shared" ref="J96:J102" si="26">F96*I96</f>
        <v>-6.4226673277690569</v>
      </c>
      <c r="K96" s="49" t="str">
        <f t="shared" ref="K96:K102" si="27">IF(F96*I96&gt;0,"+","-")</f>
        <v>-</v>
      </c>
      <c r="L96" s="49">
        <f t="shared" ref="L96:L102" si="28">($E$96-$D$96)/2^(C96)</f>
        <v>6.0000000000000005E-2</v>
      </c>
    </row>
    <row r="97" spans="2:12">
      <c r="B97" s="11">
        <v>1</v>
      </c>
      <c r="C97" s="68">
        <v>2</v>
      </c>
      <c r="D97" s="49">
        <f t="shared" ref="D97:D102" si="29">IF(J96&gt;0,H96,D96)</f>
        <v>0.08</v>
      </c>
      <c r="E97" s="49">
        <f t="shared" ref="E97:E102" si="30">IF(J96&lt;0,H96,E96)</f>
        <v>0.14000000000000001</v>
      </c>
      <c r="F97" s="49">
        <f t="shared" si="23"/>
        <v>-1.2687755938578071</v>
      </c>
      <c r="G97" s="49">
        <f t="shared" si="23"/>
        <v>5.062098734292686</v>
      </c>
      <c r="H97" s="49">
        <f t="shared" si="24"/>
        <v>0.11000000000000001</v>
      </c>
      <c r="I97" s="49">
        <f t="shared" si="25"/>
        <v>2.6944248073793542</v>
      </c>
      <c r="J97" s="49">
        <f t="shared" si="26"/>
        <v>-3.4186204350879477</v>
      </c>
      <c r="K97" s="49" t="str">
        <f t="shared" si="27"/>
        <v>-</v>
      </c>
      <c r="L97" s="49">
        <f t="shared" si="28"/>
        <v>3.0000000000000002E-2</v>
      </c>
    </row>
    <row r="98" spans="2:12">
      <c r="B98" s="11">
        <v>2</v>
      </c>
      <c r="C98" s="68">
        <v>3</v>
      </c>
      <c r="D98" s="49">
        <f t="shared" si="29"/>
        <v>0.08</v>
      </c>
      <c r="E98" s="49">
        <f t="shared" si="30"/>
        <v>0.11000000000000001</v>
      </c>
      <c r="F98" s="49">
        <f t="shared" si="23"/>
        <v>-1.2687755938578071</v>
      </c>
      <c r="G98" s="49">
        <f t="shared" si="23"/>
        <v>2.6944248073793542</v>
      </c>
      <c r="H98" s="49">
        <f t="shared" si="24"/>
        <v>9.5000000000000001E-2</v>
      </c>
      <c r="I98" s="49">
        <f t="shared" si="25"/>
        <v>1.0039280637208954</v>
      </c>
      <c r="J98" s="49">
        <f t="shared" si="26"/>
        <v>-1.2737594252379976</v>
      </c>
      <c r="K98" s="49" t="str">
        <f t="shared" si="27"/>
        <v>-</v>
      </c>
      <c r="L98" s="49">
        <f>($E$96-$D$96)/2^(C98)</f>
        <v>1.5000000000000001E-2</v>
      </c>
    </row>
    <row r="99" spans="2:12">
      <c r="B99" s="11">
        <v>3</v>
      </c>
      <c r="C99" s="68">
        <v>4</v>
      </c>
      <c r="D99" s="49">
        <f t="shared" si="29"/>
        <v>0.08</v>
      </c>
      <c r="E99" s="49">
        <f t="shared" si="30"/>
        <v>9.5000000000000001E-2</v>
      </c>
      <c r="F99" s="49">
        <f t="shared" si="23"/>
        <v>-1.2687755938578071</v>
      </c>
      <c r="G99" s="49">
        <f t="shared" si="23"/>
        <v>1.0039280637208954</v>
      </c>
      <c r="H99" s="49">
        <f t="shared" si="24"/>
        <v>8.7499999999999994E-2</v>
      </c>
      <c r="I99" s="49">
        <f t="shared" si="25"/>
        <v>-4.1421866309180544E-2</v>
      </c>
      <c r="J99" s="49">
        <f t="shared" si="26"/>
        <v>5.2555053025129236E-2</v>
      </c>
      <c r="K99" s="49" t="str">
        <f t="shared" si="27"/>
        <v>+</v>
      </c>
      <c r="L99" s="49">
        <f>($E$96-$D$96)/2^(C99)</f>
        <v>7.5000000000000006E-3</v>
      </c>
    </row>
    <row r="100" spans="2:12">
      <c r="B100" s="11">
        <v>4</v>
      </c>
      <c r="C100" s="68">
        <v>5</v>
      </c>
      <c r="D100" s="49">
        <f t="shared" si="29"/>
        <v>8.7499999999999994E-2</v>
      </c>
      <c r="E100" s="49">
        <f t="shared" si="30"/>
        <v>9.5000000000000001E-2</v>
      </c>
      <c r="F100" s="49">
        <f t="shared" si="23"/>
        <v>-4.1421866309180544E-2</v>
      </c>
      <c r="G100" s="49">
        <f t="shared" si="23"/>
        <v>1.0039280637208954</v>
      </c>
      <c r="H100" s="49">
        <f t="shared" si="24"/>
        <v>9.1249999999999998E-2</v>
      </c>
      <c r="I100" s="49">
        <f t="shared" si="25"/>
        <v>0.50126315910552499</v>
      </c>
      <c r="J100" s="49">
        <f t="shared" si="26"/>
        <v>-2.0763255562186552E-2</v>
      </c>
      <c r="K100" s="49" t="str">
        <f t="shared" si="27"/>
        <v>-</v>
      </c>
      <c r="L100" s="49">
        <f>($E$96-$D$96)/2^(C100)</f>
        <v>3.7500000000000003E-3</v>
      </c>
    </row>
    <row r="101" spans="2:12">
      <c r="B101" s="11">
        <v>5</v>
      </c>
      <c r="C101" s="68">
        <v>6</v>
      </c>
      <c r="D101" s="49">
        <f t="shared" si="29"/>
        <v>8.7499999999999994E-2</v>
      </c>
      <c r="E101" s="49">
        <f t="shared" si="30"/>
        <v>9.1249999999999998E-2</v>
      </c>
      <c r="F101" s="49">
        <f t="shared" si="23"/>
        <v>-4.1421866309180544E-2</v>
      </c>
      <c r="G101" s="49">
        <f t="shared" si="23"/>
        <v>0.50126315910552499</v>
      </c>
      <c r="H101" s="49">
        <f t="shared" si="24"/>
        <v>8.9374999999999996E-2</v>
      </c>
      <c r="I101" s="49">
        <f t="shared" si="25"/>
        <v>0.23523021476310824</v>
      </c>
      <c r="J101" s="49">
        <f t="shared" si="26"/>
        <v>-9.7436745077972963E-3</v>
      </c>
      <c r="K101" s="49" t="str">
        <f t="shared" si="27"/>
        <v>-</v>
      </c>
      <c r="L101" s="49">
        <f t="shared" si="28"/>
        <v>1.8750000000000001E-3</v>
      </c>
    </row>
    <row r="102" spans="2:12">
      <c r="B102" s="11">
        <v>6</v>
      </c>
      <c r="C102" s="68">
        <v>7</v>
      </c>
      <c r="D102" s="49">
        <f t="shared" si="29"/>
        <v>8.7499999999999994E-2</v>
      </c>
      <c r="E102" s="49">
        <f t="shared" si="30"/>
        <v>8.9374999999999996E-2</v>
      </c>
      <c r="F102" s="49">
        <f t="shared" si="23"/>
        <v>-4.1421866309180544E-2</v>
      </c>
      <c r="G102" s="49">
        <f t="shared" si="23"/>
        <v>0.23523021476310824</v>
      </c>
      <c r="H102" s="49">
        <f t="shared" si="24"/>
        <v>8.8437500000000002E-2</v>
      </c>
      <c r="I102" s="49">
        <f t="shared" si="25"/>
        <v>9.8272759947340305E-2</v>
      </c>
      <c r="J102" s="49">
        <f t="shared" si="26"/>
        <v>-4.0706411243729224E-3</v>
      </c>
      <c r="K102" s="49" t="str">
        <f t="shared" si="27"/>
        <v>-</v>
      </c>
      <c r="L102" s="49">
        <f t="shared" si="28"/>
        <v>9.3750000000000007E-4</v>
      </c>
    </row>
    <row r="103" spans="2:12">
      <c r="B103" s="33"/>
      <c r="C103" s="53"/>
      <c r="D103" s="52"/>
      <c r="E103" s="52"/>
      <c r="F103" s="52"/>
      <c r="G103" s="52"/>
      <c r="H103" s="52"/>
      <c r="I103" s="52"/>
      <c r="J103" s="52"/>
      <c r="K103" s="52"/>
      <c r="L103" s="52"/>
    </row>
    <row r="104" spans="2:12">
      <c r="B104" s="33"/>
      <c r="C104" s="53"/>
      <c r="D104" s="52"/>
      <c r="E104" s="52"/>
      <c r="F104" s="52"/>
      <c r="G104" s="52"/>
      <c r="H104" s="52"/>
      <c r="I104" s="52"/>
      <c r="J104" s="52"/>
      <c r="K104" s="52"/>
      <c r="L104" s="52"/>
    </row>
    <row r="105" spans="2:12">
      <c r="B105" s="33"/>
      <c r="C105" s="53"/>
      <c r="D105" s="52"/>
      <c r="E105" s="73" t="s">
        <v>117</v>
      </c>
      <c r="F105" s="49">
        <f>H102</f>
        <v>8.8437500000000002E-2</v>
      </c>
      <c r="G105" s="52"/>
      <c r="H105" s="52"/>
      <c r="I105" s="52"/>
      <c r="J105" s="52"/>
      <c r="K105" s="52"/>
      <c r="L105" s="52"/>
    </row>
    <row r="109" spans="2:12">
      <c r="B109" s="58" t="s">
        <v>112</v>
      </c>
      <c r="C109" s="59">
        <v>25000</v>
      </c>
      <c r="D109" s="4"/>
      <c r="E109" s="4"/>
      <c r="F109" s="4"/>
      <c r="G109" s="4"/>
      <c r="H109" s="4"/>
    </row>
    <row r="110" spans="2:12">
      <c r="C110" s="4"/>
      <c r="D110" s="4"/>
      <c r="E110" s="4"/>
      <c r="F110" s="4"/>
      <c r="G110" s="4"/>
      <c r="H110" s="4"/>
    </row>
    <row r="111" spans="2:12" ht="15">
      <c r="B111" s="53"/>
      <c r="C111" s="107" t="s">
        <v>116</v>
      </c>
      <c r="D111" s="107"/>
      <c r="E111" s="13" t="s">
        <v>40</v>
      </c>
      <c r="F111">
        <f>-0.4 + (1.74* LN(0.5*C109*0.08))-(1/0.08)</f>
        <v>-0.88050581457108201</v>
      </c>
      <c r="G111" s="51"/>
      <c r="H111" s="51"/>
      <c r="I111" s="51"/>
      <c r="J111" s="51"/>
      <c r="K111" s="51"/>
    </row>
    <row r="112" spans="2:12" ht="15">
      <c r="B112" s="53"/>
      <c r="C112" s="108" t="s">
        <v>115</v>
      </c>
      <c r="D112" s="108"/>
      <c r="E112" s="13" t="s">
        <v>40</v>
      </c>
      <c r="F112">
        <f>-0.4 + (1.74* LN(0.5*C109*0.2))-(1/0.2)</f>
        <v>8.2138400588899483</v>
      </c>
      <c r="G112" s="52"/>
      <c r="H112" s="55" t="s">
        <v>97</v>
      </c>
      <c r="I112" s="49">
        <f>(LN(0.2-0.08)-LN(10^-3))/LN(2)</f>
        <v>6.9068905956085187</v>
      </c>
      <c r="J112" s="13" t="s">
        <v>40</v>
      </c>
      <c r="K112" s="49">
        <f>ROUNDUP(I112,0)</f>
        <v>7</v>
      </c>
    </row>
    <row r="115" spans="2:12" ht="15">
      <c r="B115" s="64" t="s">
        <v>45</v>
      </c>
      <c r="C115" s="64" t="s">
        <v>93</v>
      </c>
      <c r="D115" s="69" t="s">
        <v>16</v>
      </c>
      <c r="E115" s="69" t="s">
        <v>17</v>
      </c>
      <c r="F115" s="69" t="s">
        <v>103</v>
      </c>
      <c r="G115" s="69" t="s">
        <v>102</v>
      </c>
      <c r="H115" s="69" t="s">
        <v>78</v>
      </c>
      <c r="I115" s="69" t="s">
        <v>101</v>
      </c>
      <c r="J115" s="69" t="s">
        <v>100</v>
      </c>
      <c r="K115" s="69"/>
      <c r="L115" s="69" t="s">
        <v>94</v>
      </c>
    </row>
    <row r="116" spans="2:12">
      <c r="B116" s="11">
        <v>0</v>
      </c>
      <c r="C116" s="68">
        <v>1</v>
      </c>
      <c r="D116" s="49">
        <v>0.08</v>
      </c>
      <c r="E116" s="49">
        <v>0.2</v>
      </c>
      <c r="F116" s="49">
        <f t="shared" ref="F116:G122" si="31">-0.4 + (1.74* LN(0.5*$C$109*D116))-(1/D116)</f>
        <v>-0.88050581457108201</v>
      </c>
      <c r="G116" s="49">
        <f t="shared" si="31"/>
        <v>8.2138400588899483</v>
      </c>
      <c r="H116" s="49">
        <f t="shared" ref="H116:H122" si="32">(D116+E116)/2</f>
        <v>0.14000000000000001</v>
      </c>
      <c r="I116" s="49">
        <f t="shared" ref="I116:I122" si="33">-0.4 + (1.74* LN(0.5*$C$109*H116))-(1/H116)</f>
        <v>5.4503685135794111</v>
      </c>
      <c r="J116" s="49">
        <f t="shared" ref="J116:J122" si="34">F116*I116</f>
        <v>-4.799081167761817</v>
      </c>
      <c r="K116" s="49" t="str">
        <f t="shared" ref="K116:K122" si="35">IF(F116*I116&gt;0,"+","-")</f>
        <v>-</v>
      </c>
      <c r="L116" s="49">
        <f>($E$116-$D$116)/2^(C116)</f>
        <v>6.0000000000000005E-2</v>
      </c>
    </row>
    <row r="117" spans="2:12">
      <c r="B117" s="11">
        <v>1</v>
      </c>
      <c r="C117" s="68">
        <v>2</v>
      </c>
      <c r="D117" s="49">
        <f t="shared" ref="D117:D122" si="36">IF(J116&gt;0,H116,D116)</f>
        <v>0.08</v>
      </c>
      <c r="E117" s="49">
        <f t="shared" ref="E117:E122" si="37">IF(J116&lt;0,H116,E116)</f>
        <v>0.14000000000000001</v>
      </c>
      <c r="F117" s="49">
        <f t="shared" si="31"/>
        <v>-0.88050581457108201</v>
      </c>
      <c r="G117" s="49">
        <f t="shared" si="31"/>
        <v>5.4503685135794111</v>
      </c>
      <c r="H117" s="49">
        <f t="shared" si="32"/>
        <v>0.11000000000000001</v>
      </c>
      <c r="I117" s="49">
        <f t="shared" si="33"/>
        <v>3.0826945866660793</v>
      </c>
      <c r="J117" s="49">
        <f t="shared" si="34"/>
        <v>-2.714330508106281</v>
      </c>
      <c r="K117" s="49" t="str">
        <f t="shared" si="35"/>
        <v>-</v>
      </c>
      <c r="L117" s="49">
        <f>($E$116-$D$116)/2^(C117)</f>
        <v>3.0000000000000002E-2</v>
      </c>
    </row>
    <row r="118" spans="2:12">
      <c r="B118" s="11">
        <v>2</v>
      </c>
      <c r="C118" s="68">
        <v>3</v>
      </c>
      <c r="D118" s="49">
        <f t="shared" si="36"/>
        <v>0.08</v>
      </c>
      <c r="E118" s="49">
        <f t="shared" si="37"/>
        <v>0.11000000000000001</v>
      </c>
      <c r="F118" s="49">
        <f t="shared" si="31"/>
        <v>-0.88050581457108201</v>
      </c>
      <c r="G118" s="49">
        <f t="shared" si="31"/>
        <v>3.0826945866660793</v>
      </c>
      <c r="H118" s="49">
        <f t="shared" si="32"/>
        <v>9.5000000000000001E-2</v>
      </c>
      <c r="I118" s="49">
        <f t="shared" si="33"/>
        <v>1.3921978430076205</v>
      </c>
      <c r="J118" s="49">
        <f t="shared" si="34"/>
        <v>-1.2258382958015281</v>
      </c>
      <c r="K118" s="49" t="str">
        <f t="shared" si="35"/>
        <v>-</v>
      </c>
      <c r="L118" s="49">
        <f>($E$96-$D$96)/2^(C118)</f>
        <v>1.5000000000000001E-2</v>
      </c>
    </row>
    <row r="119" spans="2:12">
      <c r="B119" s="11">
        <v>3</v>
      </c>
      <c r="C119" s="68">
        <v>4</v>
      </c>
      <c r="D119" s="49">
        <f t="shared" si="36"/>
        <v>0.08</v>
      </c>
      <c r="E119" s="49">
        <f t="shared" si="37"/>
        <v>9.5000000000000001E-2</v>
      </c>
      <c r="F119" s="49">
        <f t="shared" si="31"/>
        <v>-0.88050581457108201</v>
      </c>
      <c r="G119" s="49">
        <f t="shared" si="31"/>
        <v>1.3921978430076205</v>
      </c>
      <c r="H119" s="49">
        <f t="shared" si="32"/>
        <v>8.7499999999999994E-2</v>
      </c>
      <c r="I119" s="49">
        <f t="shared" si="33"/>
        <v>0.34684791297754458</v>
      </c>
      <c r="J119" s="49">
        <f t="shared" si="34"/>
        <v>-0.30540160414857265</v>
      </c>
      <c r="K119" s="49" t="str">
        <f t="shared" si="35"/>
        <v>-</v>
      </c>
      <c r="L119" s="49">
        <f>($E$96-$D$96)/2^(C119)</f>
        <v>7.5000000000000006E-3</v>
      </c>
    </row>
    <row r="120" spans="2:12">
      <c r="B120" s="11">
        <v>4</v>
      </c>
      <c r="C120" s="68">
        <v>5</v>
      </c>
      <c r="D120" s="49">
        <f t="shared" si="36"/>
        <v>0.08</v>
      </c>
      <c r="E120" s="49">
        <f t="shared" si="37"/>
        <v>8.7499999999999994E-2</v>
      </c>
      <c r="F120" s="49">
        <f t="shared" si="31"/>
        <v>-0.88050581457108201</v>
      </c>
      <c r="G120" s="49">
        <f t="shared" si="31"/>
        <v>0.34684791297754458</v>
      </c>
      <c r="H120" s="49">
        <f t="shared" si="32"/>
        <v>8.3749999999999991E-2</v>
      </c>
      <c r="I120" s="49">
        <f t="shared" si="33"/>
        <v>-0.24109572933931744</v>
      </c>
      <c r="J120" s="49">
        <f t="shared" si="34"/>
        <v>0.21228619155152481</v>
      </c>
      <c r="K120" s="49" t="str">
        <f t="shared" si="35"/>
        <v>+</v>
      </c>
      <c r="L120" s="49">
        <f>($E$96-$D$96)/2^(C120)</f>
        <v>3.7500000000000003E-3</v>
      </c>
    </row>
    <row r="121" spans="2:12">
      <c r="B121" s="11">
        <v>5</v>
      </c>
      <c r="C121" s="68">
        <v>6</v>
      </c>
      <c r="D121" s="49">
        <f t="shared" si="36"/>
        <v>8.3749999999999991E-2</v>
      </c>
      <c r="E121" s="49">
        <f t="shared" si="37"/>
        <v>8.7499999999999994E-2</v>
      </c>
      <c r="F121" s="49">
        <f t="shared" si="31"/>
        <v>-0.24109572933931744</v>
      </c>
      <c r="G121" s="49">
        <f t="shared" si="31"/>
        <v>0.34684791297754458</v>
      </c>
      <c r="H121" s="49">
        <f t="shared" si="32"/>
        <v>8.5624999999999993E-2</v>
      </c>
      <c r="I121" s="49">
        <f t="shared" si="33"/>
        <v>5.8896220361399187E-2</v>
      </c>
      <c r="J121" s="49">
        <f t="shared" si="34"/>
        <v>-1.4199627203360696E-2</v>
      </c>
      <c r="K121" s="49" t="str">
        <f t="shared" si="35"/>
        <v>-</v>
      </c>
      <c r="L121" s="49">
        <f>($E$96-$D$96)/2^(C121)</f>
        <v>1.8750000000000001E-3</v>
      </c>
    </row>
    <row r="122" spans="2:12">
      <c r="B122" s="11">
        <v>6</v>
      </c>
      <c r="C122" s="68">
        <v>7</v>
      </c>
      <c r="D122" s="49">
        <f t="shared" si="36"/>
        <v>8.3749999999999991E-2</v>
      </c>
      <c r="E122" s="49">
        <f t="shared" si="37"/>
        <v>8.5624999999999993E-2</v>
      </c>
      <c r="F122" s="49">
        <f t="shared" si="31"/>
        <v>-0.24109572933931744</v>
      </c>
      <c r="G122" s="49">
        <f t="shared" si="31"/>
        <v>5.8896220361399187E-2</v>
      </c>
      <c r="H122" s="49">
        <f t="shared" si="32"/>
        <v>8.4687499999999999E-2</v>
      </c>
      <c r="I122" s="49">
        <f t="shared" si="33"/>
        <v>-8.9545900815652502E-2</v>
      </c>
      <c r="J122" s="49">
        <f t="shared" si="34"/>
        <v>2.1589134266495922E-2</v>
      </c>
      <c r="K122" s="49" t="str">
        <f t="shared" si="35"/>
        <v>+</v>
      </c>
      <c r="L122" s="49">
        <f>($E$96-$D$96)/2^(C122)</f>
        <v>9.3750000000000007E-4</v>
      </c>
    </row>
    <row r="123" spans="2:12">
      <c r="B123" s="33"/>
      <c r="C123" s="53"/>
      <c r="D123" s="52"/>
      <c r="E123" s="52"/>
      <c r="F123" s="52"/>
      <c r="G123" s="52"/>
      <c r="H123" s="52"/>
      <c r="I123" s="52"/>
      <c r="J123" s="52"/>
      <c r="K123" s="52"/>
      <c r="L123" s="52"/>
    </row>
    <row r="124" spans="2:12">
      <c r="B124" s="33"/>
      <c r="C124" s="53"/>
      <c r="D124" s="52"/>
      <c r="E124" s="52"/>
      <c r="F124" s="52"/>
      <c r="G124" s="52"/>
      <c r="H124" s="52"/>
      <c r="I124" s="52"/>
      <c r="J124" s="52"/>
      <c r="K124" s="52"/>
      <c r="L124" s="52"/>
    </row>
    <row r="125" spans="2:12">
      <c r="B125" s="33"/>
      <c r="C125" s="53"/>
      <c r="D125" s="52"/>
      <c r="E125" s="73" t="s">
        <v>117</v>
      </c>
      <c r="F125" s="49">
        <f>H122</f>
        <v>8.4687499999999999E-2</v>
      </c>
      <c r="G125" s="52"/>
      <c r="H125" s="52"/>
      <c r="I125" s="52"/>
      <c r="J125" s="52"/>
      <c r="K125" s="52"/>
      <c r="L125" s="52"/>
    </row>
    <row r="128" spans="2:12">
      <c r="B128" s="58" t="s">
        <v>112</v>
      </c>
      <c r="C128" s="59">
        <v>30000</v>
      </c>
      <c r="D128" s="4"/>
      <c r="E128" s="4"/>
      <c r="F128" s="4"/>
      <c r="G128" s="4"/>
      <c r="H128" s="4"/>
    </row>
    <row r="129" spans="2:12">
      <c r="C129" s="4"/>
      <c r="D129" s="4"/>
      <c r="E129" s="4"/>
      <c r="F129" s="4"/>
      <c r="G129" s="4"/>
      <c r="H129" s="4"/>
    </row>
    <row r="130" spans="2:12" ht="15">
      <c r="B130" s="53"/>
      <c r="C130" s="107" t="s">
        <v>116</v>
      </c>
      <c r="D130" s="107"/>
      <c r="E130" s="13" t="s">
        <v>40</v>
      </c>
      <c r="F130">
        <f>-0.4 + (1.74* LN(0.5*C128*0.08))-(1/0.08)</f>
        <v>-0.56326630574960035</v>
      </c>
      <c r="G130" s="51"/>
      <c r="H130" s="51"/>
      <c r="I130" s="51"/>
      <c r="J130" s="51"/>
      <c r="K130" s="51"/>
    </row>
    <row r="131" spans="2:12" ht="15">
      <c r="B131" s="53"/>
      <c r="C131" s="108" t="s">
        <v>115</v>
      </c>
      <c r="D131" s="108"/>
      <c r="E131" s="13" t="s">
        <v>40</v>
      </c>
      <c r="F131">
        <f>-0.4 + (1.74* LN(0.5*C128*0.2))-(1/0.2)</f>
        <v>8.5310795677114282</v>
      </c>
      <c r="G131" s="52"/>
      <c r="H131" s="55" t="s">
        <v>97</v>
      </c>
      <c r="I131" s="49">
        <f>(LN(0.2-0.08)-LN(10^-3))/LN(2)</f>
        <v>6.9068905956085187</v>
      </c>
      <c r="J131" s="13" t="s">
        <v>40</v>
      </c>
      <c r="K131" s="49">
        <f>ROUNDUP(I131,0)</f>
        <v>7</v>
      </c>
    </row>
    <row r="134" spans="2:12" ht="15">
      <c r="B134" s="64" t="s">
        <v>45</v>
      </c>
      <c r="C134" s="64" t="s">
        <v>93</v>
      </c>
      <c r="D134" s="69" t="s">
        <v>16</v>
      </c>
      <c r="E134" s="69" t="s">
        <v>17</v>
      </c>
      <c r="F134" s="69" t="s">
        <v>103</v>
      </c>
      <c r="G134" s="69" t="s">
        <v>102</v>
      </c>
      <c r="H134" s="69" t="s">
        <v>78</v>
      </c>
      <c r="I134" s="69" t="s">
        <v>101</v>
      </c>
      <c r="J134" s="69" t="s">
        <v>100</v>
      </c>
      <c r="K134" s="69"/>
      <c r="L134" s="69" t="s">
        <v>94</v>
      </c>
    </row>
    <row r="135" spans="2:12">
      <c r="B135" s="11">
        <v>0</v>
      </c>
      <c r="C135" s="68">
        <v>1</v>
      </c>
      <c r="D135" s="49">
        <v>0.08</v>
      </c>
      <c r="E135" s="49">
        <v>0.2</v>
      </c>
      <c r="F135" s="49">
        <f t="shared" ref="F135:G141" si="38">-0.4 + (1.74* LN(0.5*$C$128*D135))-(1/D135)</f>
        <v>-0.56326630574960035</v>
      </c>
      <c r="G135" s="49">
        <f t="shared" si="38"/>
        <v>8.5310795677114282</v>
      </c>
      <c r="H135" s="49">
        <f t="shared" ref="H135:H141" si="39">(D135+E135)/2</f>
        <v>0.14000000000000001</v>
      </c>
      <c r="I135" s="49">
        <f t="shared" ref="I135:I141" si="40">-0.4 + (1.74* LN(0.5*$C$128*H135))-(1/H135)</f>
        <v>5.7676080224008928</v>
      </c>
      <c r="J135" s="49">
        <f t="shared" ref="J135:J141" si="41">F135*I135</f>
        <v>-3.2486992637895091</v>
      </c>
      <c r="K135" s="49" t="str">
        <f t="shared" ref="K135:K141" si="42">IF(F135*I135&gt;0,"+","-")</f>
        <v>-</v>
      </c>
      <c r="L135" s="49">
        <f>($E$135-$D$135)/2^(C135)</f>
        <v>6.0000000000000005E-2</v>
      </c>
    </row>
    <row r="136" spans="2:12">
      <c r="B136" s="11">
        <v>1</v>
      </c>
      <c r="C136" s="68">
        <v>2</v>
      </c>
      <c r="D136" s="49">
        <f t="shared" ref="D136:D141" si="43">IF(J135&gt;0,H135,D135)</f>
        <v>0.08</v>
      </c>
      <c r="E136" s="49">
        <f t="shared" ref="E136:E141" si="44">IF(J135&lt;0,H135,E135)</f>
        <v>0.14000000000000001</v>
      </c>
      <c r="F136" s="49">
        <f t="shared" si="38"/>
        <v>-0.56326630574960035</v>
      </c>
      <c r="G136" s="49">
        <f t="shared" si="38"/>
        <v>5.7676080224008928</v>
      </c>
      <c r="H136" s="49">
        <f t="shared" si="39"/>
        <v>0.11000000000000001</v>
      </c>
      <c r="I136" s="49">
        <f t="shared" si="40"/>
        <v>3.3999340954875592</v>
      </c>
      <c r="J136" s="49">
        <f t="shared" si="41"/>
        <v>-1.9150683177573864</v>
      </c>
      <c r="K136" s="49" t="str">
        <f t="shared" si="42"/>
        <v>-</v>
      </c>
      <c r="L136" s="49">
        <f>($E$135-$D$135)/2^(C136)</f>
        <v>3.0000000000000002E-2</v>
      </c>
    </row>
    <row r="137" spans="2:12">
      <c r="B137" s="11">
        <v>2</v>
      </c>
      <c r="C137" s="68">
        <v>3</v>
      </c>
      <c r="D137" s="49">
        <f t="shared" si="43"/>
        <v>0.08</v>
      </c>
      <c r="E137" s="49">
        <f t="shared" si="44"/>
        <v>0.11000000000000001</v>
      </c>
      <c r="F137" s="49">
        <f t="shared" si="38"/>
        <v>-0.56326630574960035</v>
      </c>
      <c r="G137" s="49">
        <f t="shared" si="38"/>
        <v>3.3999340954875592</v>
      </c>
      <c r="H137" s="49">
        <f t="shared" si="39"/>
        <v>9.5000000000000001E-2</v>
      </c>
      <c r="I137" s="49">
        <f t="shared" si="40"/>
        <v>1.7094373518291022</v>
      </c>
      <c r="J137" s="49">
        <f t="shared" si="41"/>
        <v>-0.96286846207515819</v>
      </c>
      <c r="K137" s="49" t="str">
        <f t="shared" si="42"/>
        <v>-</v>
      </c>
      <c r="L137" s="49">
        <f>($E$96-$D$96)/2^(C137)</f>
        <v>1.5000000000000001E-2</v>
      </c>
    </row>
    <row r="138" spans="2:12">
      <c r="B138" s="11">
        <v>3</v>
      </c>
      <c r="C138" s="68">
        <v>4</v>
      </c>
      <c r="D138" s="49">
        <f t="shared" si="43"/>
        <v>0.08</v>
      </c>
      <c r="E138" s="49">
        <f t="shared" si="44"/>
        <v>9.5000000000000001E-2</v>
      </c>
      <c r="F138" s="49">
        <f t="shared" si="38"/>
        <v>-0.56326630574960035</v>
      </c>
      <c r="G138" s="49">
        <f t="shared" si="38"/>
        <v>1.7094373518291022</v>
      </c>
      <c r="H138" s="49">
        <f t="shared" si="39"/>
        <v>8.7499999999999994E-2</v>
      </c>
      <c r="I138" s="49">
        <f t="shared" si="40"/>
        <v>0.66408742179902625</v>
      </c>
      <c r="J138" s="49">
        <f t="shared" si="41"/>
        <v>-0.37405806877151415</v>
      </c>
      <c r="K138" s="49" t="str">
        <f t="shared" si="42"/>
        <v>-</v>
      </c>
      <c r="L138" s="49">
        <f>($E$96-$D$96)/2^(C138)</f>
        <v>7.5000000000000006E-3</v>
      </c>
    </row>
    <row r="139" spans="2:12">
      <c r="B139" s="11">
        <v>4</v>
      </c>
      <c r="C139" s="68">
        <v>5</v>
      </c>
      <c r="D139" s="49">
        <f t="shared" si="43"/>
        <v>0.08</v>
      </c>
      <c r="E139" s="49">
        <f t="shared" si="44"/>
        <v>8.7499999999999994E-2</v>
      </c>
      <c r="F139" s="49">
        <f t="shared" si="38"/>
        <v>-0.56326630574960035</v>
      </c>
      <c r="G139" s="49">
        <f t="shared" si="38"/>
        <v>0.66408742179902625</v>
      </c>
      <c r="H139" s="49">
        <f t="shared" si="39"/>
        <v>8.3749999999999991E-2</v>
      </c>
      <c r="I139" s="49">
        <f t="shared" si="40"/>
        <v>7.614377948216422E-2</v>
      </c>
      <c r="J139" s="49">
        <f t="shared" si="41"/>
        <v>-4.288922537473086E-2</v>
      </c>
      <c r="K139" s="49" t="str">
        <f t="shared" si="42"/>
        <v>-</v>
      </c>
      <c r="L139" s="49">
        <f>($E$96-$D$96)/2^(C139)</f>
        <v>3.7500000000000003E-3</v>
      </c>
    </row>
    <row r="140" spans="2:12">
      <c r="B140" s="11">
        <v>5</v>
      </c>
      <c r="C140" s="68">
        <v>6</v>
      </c>
      <c r="D140" s="49">
        <f t="shared" si="43"/>
        <v>0.08</v>
      </c>
      <c r="E140" s="49">
        <f t="shared" si="44"/>
        <v>8.3749999999999991E-2</v>
      </c>
      <c r="F140" s="49">
        <f t="shared" si="38"/>
        <v>-0.56326630574960035</v>
      </c>
      <c r="G140" s="49">
        <f t="shared" si="38"/>
        <v>7.614377948216422E-2</v>
      </c>
      <c r="H140" s="49">
        <f t="shared" si="39"/>
        <v>8.1875000000000003E-2</v>
      </c>
      <c r="I140" s="49">
        <f t="shared" si="40"/>
        <v>-0.23669608061499758</v>
      </c>
      <c r="J140" s="49">
        <f t="shared" si="41"/>
        <v>0.13332292691341929</v>
      </c>
      <c r="K140" s="49" t="str">
        <f t="shared" si="42"/>
        <v>+</v>
      </c>
      <c r="L140" s="49">
        <f>($E$96-$D$96)/2^(C140)</f>
        <v>1.8750000000000001E-3</v>
      </c>
    </row>
    <row r="141" spans="2:12">
      <c r="B141" s="11">
        <v>6</v>
      </c>
      <c r="C141" s="68">
        <v>7</v>
      </c>
      <c r="D141" s="49">
        <f t="shared" si="43"/>
        <v>8.1875000000000003E-2</v>
      </c>
      <c r="E141" s="49">
        <f t="shared" si="44"/>
        <v>8.3749999999999991E-2</v>
      </c>
      <c r="F141" s="49">
        <f t="shared" si="38"/>
        <v>-0.23669608061499758</v>
      </c>
      <c r="G141" s="49">
        <f t="shared" si="38"/>
        <v>7.614377948216422E-2</v>
      </c>
      <c r="H141" s="49">
        <f t="shared" si="39"/>
        <v>8.2812499999999997E-2</v>
      </c>
      <c r="I141" s="49">
        <f t="shared" si="40"/>
        <v>-7.8616860041220704E-2</v>
      </c>
      <c r="J141" s="49">
        <f t="shared" si="41"/>
        <v>1.8608302642014758E-2</v>
      </c>
      <c r="K141" s="49" t="str">
        <f t="shared" si="42"/>
        <v>+</v>
      </c>
      <c r="L141" s="49">
        <f>($E$96-$D$96)/2^(C141)</f>
        <v>9.3750000000000007E-4</v>
      </c>
    </row>
    <row r="142" spans="2:12">
      <c r="B142" s="33"/>
      <c r="C142" s="53"/>
      <c r="D142" s="52"/>
      <c r="E142" s="52"/>
      <c r="F142" s="52"/>
      <c r="G142" s="52"/>
      <c r="H142" s="52"/>
      <c r="I142" s="52"/>
      <c r="J142" s="52"/>
      <c r="K142" s="52"/>
      <c r="L142" s="52"/>
    </row>
    <row r="143" spans="2:12">
      <c r="B143" s="33"/>
      <c r="C143" s="53"/>
      <c r="D143" s="52"/>
      <c r="E143" s="52"/>
      <c r="F143" s="52"/>
      <c r="G143" s="52"/>
      <c r="H143" s="52"/>
      <c r="I143" s="52"/>
      <c r="J143" s="52"/>
      <c r="K143" s="52"/>
      <c r="L143" s="52"/>
    </row>
    <row r="144" spans="2:12">
      <c r="B144" s="33"/>
      <c r="C144" s="53"/>
      <c r="D144" s="52"/>
      <c r="E144" s="73" t="s">
        <v>117</v>
      </c>
      <c r="F144" s="49">
        <f>H141</f>
        <v>8.2812499999999997E-2</v>
      </c>
      <c r="G144" s="52"/>
      <c r="H144" s="52"/>
      <c r="I144" s="52"/>
      <c r="J144" s="52"/>
      <c r="K144" s="52"/>
      <c r="L144" s="52"/>
    </row>
  </sheetData>
  <sheetProtection selectLockedCells="1" selectUnlockedCells="1"/>
  <mergeCells count="15">
    <mergeCell ref="C19:D19"/>
    <mergeCell ref="H14:J14"/>
    <mergeCell ref="B3:H12"/>
    <mergeCell ref="B14:D14"/>
    <mergeCell ref="C18:D18"/>
    <mergeCell ref="C49:D49"/>
    <mergeCell ref="C92:D92"/>
    <mergeCell ref="C111:D111"/>
    <mergeCell ref="C112:D112"/>
    <mergeCell ref="C130:D130"/>
    <mergeCell ref="C131:D131"/>
    <mergeCell ref="C50:D50"/>
    <mergeCell ref="C70:D70"/>
    <mergeCell ref="C71:D71"/>
    <mergeCell ref="C91:D91"/>
  </mergeCells>
  <pageMargins left="0.75" right="0.75" top="1" bottom="1" header="0.51180555555555551" footer="0.51180555555555551"/>
  <pageSetup paperSize="9" firstPageNumber="0"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dimension ref="B2:N50"/>
  <sheetViews>
    <sheetView topLeftCell="A5" workbookViewId="0">
      <selection activeCell="H23" sqref="H23"/>
    </sheetView>
  </sheetViews>
  <sheetFormatPr baseColWidth="10" defaultColWidth="11" defaultRowHeight="12.75"/>
  <cols>
    <col min="1" max="1" width="5" customWidth="1"/>
    <col min="3" max="3" width="30.5703125" bestFit="1" customWidth="1"/>
    <col min="4" max="4" width="17.42578125" bestFit="1" customWidth="1"/>
    <col min="5" max="5" width="20" bestFit="1" customWidth="1"/>
    <col min="6" max="6" width="13.28515625" bestFit="1" customWidth="1"/>
    <col min="7" max="8" width="12" bestFit="1" customWidth="1"/>
    <col min="9" max="9" width="12.28515625" bestFit="1" customWidth="1"/>
    <col min="10" max="10" width="13.28515625" bestFit="1" customWidth="1"/>
  </cols>
  <sheetData>
    <row r="2" spans="2:10" ht="15">
      <c r="B2" s="8" t="s">
        <v>20</v>
      </c>
      <c r="C2" s="8"/>
      <c r="D2" s="8"/>
      <c r="E2" s="8"/>
      <c r="F2" s="8"/>
      <c r="G2" s="8"/>
      <c r="H2" s="8"/>
    </row>
    <row r="3" spans="2:10" ht="15">
      <c r="B3" s="8"/>
      <c r="C3" s="8"/>
      <c r="D3" s="8"/>
      <c r="E3" s="8"/>
      <c r="F3" s="8"/>
      <c r="G3" s="8"/>
      <c r="H3" s="8"/>
    </row>
    <row r="5" spans="2:10">
      <c r="B5" s="87" t="s">
        <v>154</v>
      </c>
      <c r="C5" s="101" t="s">
        <v>144</v>
      </c>
      <c r="D5" s="101"/>
      <c r="E5" s="101"/>
    </row>
    <row r="6" spans="2:10">
      <c r="G6" s="87" t="s">
        <v>152</v>
      </c>
      <c r="H6" s="88"/>
    </row>
    <row r="7" spans="2:10">
      <c r="C7" s="101" t="s">
        <v>145</v>
      </c>
      <c r="D7" s="101"/>
      <c r="E7" s="101"/>
    </row>
    <row r="8" spans="2:10">
      <c r="C8" s="83"/>
    </row>
    <row r="9" spans="2:10">
      <c r="C9" s="101" t="s">
        <v>146</v>
      </c>
      <c r="D9" s="101"/>
      <c r="E9" s="101"/>
    </row>
    <row r="12" spans="2:10">
      <c r="C12" s="90" t="s">
        <v>144</v>
      </c>
      <c r="D12" s="91" t="s">
        <v>145</v>
      </c>
      <c r="E12" s="92" t="s">
        <v>146</v>
      </c>
      <c r="G12" s="63"/>
      <c r="H12" s="63"/>
      <c r="I12" s="63"/>
      <c r="J12" s="63"/>
    </row>
    <row r="13" spans="2:10">
      <c r="C13" s="11">
        <f>((-0.4)+(1.74*LN(0.5*$C$23*D26))-(1/D26))</f>
        <v>-2.0870964112754198</v>
      </c>
      <c r="D13" s="11">
        <f>(1.74/D26)+1/(D26^2)</f>
        <v>142.79012345679013</v>
      </c>
      <c r="E13" s="11">
        <f>((-1.74)/(D26^2))-(2/(D26^3))</f>
        <v>-2958.2990397805215</v>
      </c>
      <c r="G13" s="53"/>
      <c r="H13" s="53"/>
      <c r="I13" s="53"/>
      <c r="J13" s="53"/>
    </row>
    <row r="14" spans="2:10">
      <c r="C14" s="11">
        <f>((-0.4)+(1.74*LN(0.5*$C$23*D27))-(1/D27))</f>
        <v>-0.272848052809465</v>
      </c>
      <c r="D14" s="11">
        <f>(1.74/D27)+1/(D27^2)</f>
        <v>108.0012735395274</v>
      </c>
      <c r="E14" s="11">
        <f>((-1.74)/(D27^2))-(2/(D27^3))</f>
        <v>-1905.7253448551708</v>
      </c>
      <c r="G14" s="53"/>
      <c r="H14" s="53"/>
      <c r="I14" s="53"/>
      <c r="J14" s="53"/>
    </row>
    <row r="15" spans="2:10">
      <c r="C15" s="11">
        <f>((-0.4)+(1.74*LN(0.5*$C$23*D28))-(1/D28))</f>
        <v>-5.9420921186656983E-3</v>
      </c>
      <c r="D15" s="11">
        <f>(1.74/D28)+1/(D28^2)</f>
        <v>103.35108276973162</v>
      </c>
      <c r="E15" s="11">
        <f>((-1.74)/(D28^2))-(2/(D28^3))</f>
        <v>-1777.6466364034309</v>
      </c>
      <c r="G15" s="53"/>
      <c r="H15" s="53"/>
      <c r="I15" s="53"/>
      <c r="J15" s="53"/>
    </row>
    <row r="16" spans="2:10">
      <c r="C16" s="11">
        <f>((-0.4)+(1.74*LN(0.5*$C$23*D29))-(1/D29))</f>
        <v>-2.9365525353597377E-6</v>
      </c>
      <c r="D16" s="11">
        <f>(1.74/D29)+1/(D29^2)</f>
        <v>103.24895819643515</v>
      </c>
      <c r="E16" s="11">
        <f>((-1.74)/(D29^2))-(2/(D29^3))</f>
        <v>-1774.8691862719627</v>
      </c>
      <c r="G16" s="53"/>
      <c r="H16" s="53"/>
      <c r="I16" s="53"/>
      <c r="J16" s="53"/>
    </row>
    <row r="17" spans="2:12">
      <c r="G17" s="53"/>
      <c r="H17" s="53"/>
      <c r="I17" s="53"/>
      <c r="J17" s="53"/>
    </row>
    <row r="18" spans="2:12">
      <c r="G18" s="53"/>
      <c r="H18" s="53"/>
      <c r="I18" s="53"/>
      <c r="J18" s="53"/>
    </row>
    <row r="19" spans="2:12">
      <c r="G19" s="53"/>
      <c r="H19" s="53"/>
      <c r="I19" s="53"/>
      <c r="J19" s="53"/>
    </row>
    <row r="20" spans="2:12">
      <c r="G20" s="53"/>
      <c r="H20" s="53"/>
      <c r="I20" s="53"/>
      <c r="J20" s="53"/>
    </row>
    <row r="21" spans="2:12">
      <c r="G21" s="53"/>
      <c r="H21" s="53"/>
      <c r="I21" s="53"/>
      <c r="J21" s="53"/>
    </row>
    <row r="22" spans="2:12" ht="15">
      <c r="G22" s="38" t="s">
        <v>153</v>
      </c>
      <c r="H22">
        <f>ABS((C13*E13)/(D13)^2)</f>
        <v>0.30282257333502544</v>
      </c>
      <c r="I22" s="13" t="s">
        <v>40</v>
      </c>
      <c r="J22" s="116" t="s">
        <v>151</v>
      </c>
      <c r="K22" s="116"/>
      <c r="L22" s="116"/>
    </row>
    <row r="23" spans="2:12">
      <c r="B23" s="58" t="s">
        <v>112</v>
      </c>
      <c r="C23" s="59">
        <v>5000</v>
      </c>
    </row>
    <row r="25" spans="2:12">
      <c r="C25" s="89" t="s">
        <v>147</v>
      </c>
      <c r="D25" s="89" t="s">
        <v>148</v>
      </c>
      <c r="E25" s="89" t="s">
        <v>149</v>
      </c>
      <c r="F25" s="89" t="s">
        <v>150</v>
      </c>
    </row>
    <row r="26" spans="2:12">
      <c r="C26" s="11">
        <v>1</v>
      </c>
      <c r="D26" s="11">
        <v>0.09</v>
      </c>
      <c r="E26" s="11">
        <f>(D26)-(C13/D13)</f>
        <v>0.10461653201740523</v>
      </c>
      <c r="F26" s="11"/>
    </row>
    <row r="27" spans="2:12">
      <c r="C27" s="11">
        <v>2</v>
      </c>
      <c r="D27" s="11">
        <f>E26</f>
        <v>0.10461653201740523</v>
      </c>
      <c r="E27" s="11">
        <f>(D27)-(C14/D14)</f>
        <v>0.10714287308605573</v>
      </c>
      <c r="F27" s="11">
        <f>ABS(D27-D26)</f>
        <v>1.4616532017405232E-2</v>
      </c>
      <c r="H27" s="79" t="s">
        <v>117</v>
      </c>
      <c r="I27" s="11">
        <f>E29</f>
        <v>0.10720039576909351</v>
      </c>
    </row>
    <row r="28" spans="2:12">
      <c r="C28" s="11">
        <v>3</v>
      </c>
      <c r="D28" s="11">
        <f>E27</f>
        <v>0.10714287308605573</v>
      </c>
      <c r="E28" s="11">
        <f>(D28)-(C15/D15)</f>
        <v>0.10720036732761976</v>
      </c>
      <c r="F28" s="11">
        <f>ABS(D28-D27)</f>
        <v>2.5263410686505033E-3</v>
      </c>
    </row>
    <row r="29" spans="2:12">
      <c r="C29" s="11">
        <v>4</v>
      </c>
      <c r="D29" s="11">
        <f>E28</f>
        <v>0.10720036732761976</v>
      </c>
      <c r="E29" s="11">
        <f>(D29)-(C16/D16)</f>
        <v>0.10720039576909351</v>
      </c>
      <c r="F29" s="11">
        <f>ABS(D29-D28)</f>
        <v>5.749424156402394E-5</v>
      </c>
    </row>
    <row r="30" spans="2:12">
      <c r="C30" s="53"/>
      <c r="D30" s="53"/>
      <c r="E30" s="53"/>
      <c r="F30" s="53"/>
    </row>
    <row r="31" spans="2:12">
      <c r="C31" s="53"/>
      <c r="D31" s="53"/>
      <c r="E31" s="53"/>
      <c r="F31" s="53"/>
    </row>
    <row r="32" spans="2:12">
      <c r="C32" s="90" t="s">
        <v>144</v>
      </c>
      <c r="D32" s="91" t="s">
        <v>145</v>
      </c>
      <c r="E32" s="92" t="s">
        <v>146</v>
      </c>
      <c r="F32" s="53"/>
    </row>
    <row r="33" spans="2:14">
      <c r="C33" s="11">
        <f>((-0.4)+(1.74*LN(0.5*$C$39*D42))-(1/D42))</f>
        <v>14.458758774505792</v>
      </c>
      <c r="D33" s="11">
        <f>((-0.4)+(1.74*LN(0.5*$C$39*D42))-(1/D42))</f>
        <v>14.458758774505792</v>
      </c>
      <c r="E33" s="11">
        <f>((-1.74)/(D42^2))-(2/(D42^3))</f>
        <v>-1.365925925925926</v>
      </c>
      <c r="F33" s="53"/>
    </row>
    <row r="34" spans="2:14">
      <c r="C34" s="11">
        <f>((-0.4)+(1.74*LN(0.5*$C$39*D43))-(1/D43))</f>
        <v>11.213840058889948</v>
      </c>
      <c r="D34" s="11">
        <f>((-0.4)+(1.74*LN(0.5*$C$39*D43))-(1/D43))</f>
        <v>11.213840058889948</v>
      </c>
      <c r="E34" s="11">
        <f>((-1.74)/(D43^2))-(2/(D43^3))</f>
        <v>-22.96</v>
      </c>
      <c r="F34" s="53"/>
    </row>
    <row r="35" spans="2:14">
      <c r="C35" s="11"/>
      <c r="D35" s="11"/>
      <c r="E35" s="11"/>
    </row>
    <row r="36" spans="2:14">
      <c r="C36" s="11"/>
      <c r="D36" s="11"/>
      <c r="E36" s="11"/>
    </row>
    <row r="39" spans="2:14" ht="15">
      <c r="B39" s="58" t="s">
        <v>112</v>
      </c>
      <c r="C39" s="59">
        <v>10000</v>
      </c>
      <c r="H39" s="38" t="s">
        <v>155</v>
      </c>
      <c r="I39">
        <f>ABS((C33*E33)/(D33)^2)</f>
        <v>9.4470483063482338E-2</v>
      </c>
      <c r="J39" s="13" t="s">
        <v>40</v>
      </c>
      <c r="K39" s="116" t="s">
        <v>151</v>
      </c>
      <c r="L39" s="116"/>
      <c r="M39" s="116"/>
    </row>
    <row r="40" spans="2:14" ht="13.5" thickBot="1"/>
    <row r="41" spans="2:14" ht="13.5" thickBot="1">
      <c r="C41" s="84" t="s">
        <v>147</v>
      </c>
      <c r="D41" s="84" t="s">
        <v>148</v>
      </c>
      <c r="E41" s="85" t="s">
        <v>149</v>
      </c>
      <c r="F41" s="84" t="s">
        <v>150</v>
      </c>
    </row>
    <row r="42" spans="2:14" ht="13.5" thickBot="1">
      <c r="C42" s="86">
        <v>1</v>
      </c>
      <c r="D42" s="93">
        <v>1.5</v>
      </c>
      <c r="E42" s="86">
        <f>(D42)-(C33/D33)</f>
        <v>0.5</v>
      </c>
      <c r="F42" s="86"/>
    </row>
    <row r="43" spans="2:14" ht="13.5" thickBot="1">
      <c r="C43" s="86">
        <v>2</v>
      </c>
      <c r="D43" s="86">
        <f>E42</f>
        <v>0.5</v>
      </c>
      <c r="E43" s="86"/>
      <c r="F43" s="86"/>
    </row>
    <row r="44" spans="2:14" ht="13.5" thickBot="1">
      <c r="C44" s="86">
        <v>3</v>
      </c>
      <c r="D44" s="86"/>
      <c r="E44" s="86"/>
      <c r="F44" s="86"/>
    </row>
    <row r="45" spans="2:14" ht="15.75" thickBot="1">
      <c r="C45" s="86">
        <v>4</v>
      </c>
      <c r="D45" s="86"/>
      <c r="E45" s="86"/>
      <c r="F45" s="86"/>
      <c r="H45" s="117" t="s">
        <v>156</v>
      </c>
      <c r="I45" s="117"/>
      <c r="J45" s="117"/>
      <c r="K45" s="117"/>
      <c r="L45" s="117"/>
      <c r="M45" s="117"/>
      <c r="N45" s="117"/>
    </row>
    <row r="46" spans="2:14" ht="13.5" thickBot="1">
      <c r="C46" s="86">
        <v>5</v>
      </c>
      <c r="D46" s="86"/>
      <c r="E46" s="86"/>
      <c r="F46" s="86"/>
    </row>
    <row r="47" spans="2:14" ht="13.5" thickBot="1">
      <c r="C47" s="86">
        <v>6</v>
      </c>
      <c r="D47" s="86"/>
      <c r="E47" s="86"/>
      <c r="F47" s="86"/>
    </row>
    <row r="48" spans="2:14" ht="13.5" thickBot="1">
      <c r="C48" s="86">
        <v>7</v>
      </c>
      <c r="D48" s="86"/>
      <c r="E48" s="86"/>
      <c r="F48" s="86"/>
    </row>
    <row r="49" spans="3:6" ht="13.5" thickBot="1">
      <c r="C49" s="86">
        <v>8</v>
      </c>
      <c r="D49" s="86"/>
      <c r="E49" s="86"/>
      <c r="F49" s="86"/>
    </row>
    <row r="50" spans="3:6" ht="13.5" thickBot="1">
      <c r="C50" s="86">
        <v>9</v>
      </c>
      <c r="D50" s="86"/>
      <c r="E50" s="86"/>
      <c r="F50" s="86"/>
    </row>
  </sheetData>
  <sheetProtection selectLockedCells="1" selectUnlockedCells="1"/>
  <mergeCells count="6">
    <mergeCell ref="C5:E5"/>
    <mergeCell ref="C7:E7"/>
    <mergeCell ref="C9:E9"/>
    <mergeCell ref="J22:L22"/>
    <mergeCell ref="K39:M39"/>
    <mergeCell ref="H45:N45"/>
  </mergeCells>
  <pageMargins left="0.75" right="0.75" top="1" bottom="1" header="0.51180555555555551" footer="0.51180555555555551"/>
  <pageSetup paperSize="9" firstPageNumber="0"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dimension ref="B3:S53"/>
  <sheetViews>
    <sheetView topLeftCell="A31" workbookViewId="0">
      <selection activeCell="E59" sqref="E59"/>
    </sheetView>
  </sheetViews>
  <sheetFormatPr baseColWidth="10" defaultColWidth="11" defaultRowHeight="12.75"/>
  <cols>
    <col min="1" max="1" width="4.42578125" customWidth="1"/>
    <col min="18" max="18" width="23.85546875" bestFit="1" customWidth="1"/>
  </cols>
  <sheetData>
    <row r="3" spans="2:8" ht="14.65" customHeight="1">
      <c r="B3" s="115" t="s">
        <v>21</v>
      </c>
      <c r="C3" s="115"/>
      <c r="D3" s="115"/>
      <c r="E3" s="115"/>
      <c r="F3" s="115"/>
      <c r="G3" s="115"/>
      <c r="H3" s="115"/>
    </row>
    <row r="4" spans="2:8">
      <c r="B4" s="115"/>
      <c r="C4" s="115"/>
      <c r="D4" s="115"/>
      <c r="E4" s="115"/>
      <c r="F4" s="115"/>
      <c r="G4" s="115"/>
      <c r="H4" s="115"/>
    </row>
    <row r="5" spans="2:8">
      <c r="B5" s="115"/>
      <c r="C5" s="115"/>
      <c r="D5" s="115"/>
      <c r="E5" s="115"/>
      <c r="F5" s="115"/>
      <c r="G5" s="115"/>
      <c r="H5" s="115"/>
    </row>
    <row r="6" spans="2:8" ht="62.25" customHeight="1">
      <c r="B6" s="115"/>
      <c r="C6" s="115"/>
      <c r="D6" s="115"/>
      <c r="E6" s="115"/>
      <c r="F6" s="115"/>
      <c r="G6" s="115"/>
      <c r="H6" s="115"/>
    </row>
    <row r="9" spans="2:8">
      <c r="B9" s="3" t="s">
        <v>22</v>
      </c>
      <c r="C9" s="3" t="s">
        <v>23</v>
      </c>
    </row>
    <row r="10" spans="2:8">
      <c r="B10" s="3">
        <v>5</v>
      </c>
      <c r="C10" s="3">
        <v>3</v>
      </c>
    </row>
    <row r="11" spans="2:8">
      <c r="B11" s="3">
        <v>10</v>
      </c>
      <c r="C11" s="3">
        <v>3.6</v>
      </c>
    </row>
    <row r="12" spans="2:8">
      <c r="B12" s="3">
        <v>15</v>
      </c>
      <c r="C12" s="3">
        <v>4.4000000000000004</v>
      </c>
    </row>
    <row r="13" spans="2:8">
      <c r="B13" s="3">
        <v>20</v>
      </c>
      <c r="C13" s="3">
        <v>5.0999999999999996</v>
      </c>
    </row>
    <row r="14" spans="2:8">
      <c r="B14" s="3">
        <v>25</v>
      </c>
      <c r="C14" s="3">
        <v>7.5</v>
      </c>
    </row>
    <row r="17" spans="2:17" ht="12.75" customHeight="1">
      <c r="B17" s="120" t="s">
        <v>24</v>
      </c>
      <c r="C17" s="120"/>
      <c r="D17" s="120"/>
      <c r="E17" s="120"/>
      <c r="F17" s="120"/>
      <c r="G17" s="120"/>
      <c r="H17" s="120"/>
    </row>
    <row r="18" spans="2:17" ht="18" customHeight="1">
      <c r="B18" s="120"/>
      <c r="C18" s="120"/>
      <c r="D18" s="120"/>
      <c r="E18" s="120"/>
      <c r="F18" s="120"/>
      <c r="G18" s="120"/>
      <c r="H18" s="120"/>
    </row>
    <row r="19" spans="2:17" ht="15">
      <c r="B19" s="8" t="s">
        <v>25</v>
      </c>
      <c r="C19" s="8"/>
      <c r="D19" s="8"/>
      <c r="E19" s="8"/>
      <c r="F19" s="8"/>
      <c r="G19" s="8"/>
      <c r="H19" s="8"/>
    </row>
    <row r="20" spans="2:17" ht="12.75" customHeight="1">
      <c r="B20" s="120" t="s">
        <v>26</v>
      </c>
      <c r="C20" s="120"/>
      <c r="D20" s="120"/>
      <c r="E20" s="120"/>
      <c r="F20" s="120"/>
      <c r="G20" s="120"/>
      <c r="H20" s="120"/>
    </row>
    <row r="21" spans="2:17" ht="21" customHeight="1">
      <c r="B21" s="120"/>
      <c r="C21" s="120"/>
      <c r="D21" s="120"/>
      <c r="E21" s="120"/>
      <c r="F21" s="120"/>
      <c r="G21" s="120"/>
      <c r="H21" s="120"/>
      <c r="O21" s="96"/>
      <c r="P21" s="96"/>
      <c r="Q21" s="96"/>
    </row>
    <row r="22" spans="2:17">
      <c r="O22" s="96"/>
      <c r="P22" s="96"/>
      <c r="Q22" s="96"/>
    </row>
    <row r="23" spans="2:17" ht="15">
      <c r="C23" s="9" t="s">
        <v>35</v>
      </c>
      <c r="D23" s="10" t="s">
        <v>36</v>
      </c>
    </row>
    <row r="24" spans="2:17">
      <c r="C24" s="11">
        <v>5</v>
      </c>
      <c r="D24" s="11">
        <v>3</v>
      </c>
    </row>
    <row r="25" spans="2:17">
      <c r="C25" s="11">
        <v>10</v>
      </c>
      <c r="D25" s="11">
        <v>3.6</v>
      </c>
    </row>
    <row r="26" spans="2:17">
      <c r="C26" s="11">
        <v>15</v>
      </c>
      <c r="D26" s="11">
        <v>4.4000000000000004</v>
      </c>
    </row>
    <row r="27" spans="2:17">
      <c r="C27" s="11">
        <v>20</v>
      </c>
      <c r="D27" s="11">
        <v>5.0999999999999996</v>
      </c>
    </row>
    <row r="28" spans="2:17">
      <c r="C28" s="11">
        <v>25</v>
      </c>
      <c r="D28" s="11">
        <v>7.5</v>
      </c>
    </row>
    <row r="30" spans="2:17">
      <c r="C30" s="96" t="s">
        <v>37</v>
      </c>
      <c r="D30" s="96"/>
      <c r="E30" s="96"/>
      <c r="K30" s="12" t="s">
        <v>38</v>
      </c>
    </row>
    <row r="31" spans="2:17" ht="15">
      <c r="C31" s="96" t="s">
        <v>61</v>
      </c>
      <c r="D31" s="96"/>
      <c r="E31" s="96"/>
      <c r="F31" s="13" t="s">
        <v>40</v>
      </c>
      <c r="G31" s="96" t="s">
        <v>62</v>
      </c>
      <c r="H31" s="96"/>
      <c r="I31" s="96"/>
      <c r="J31" s="13" t="s">
        <v>40</v>
      </c>
      <c r="K31" s="12" t="s">
        <v>41</v>
      </c>
    </row>
    <row r="32" spans="2:17">
      <c r="C32" s="96" t="s">
        <v>39</v>
      </c>
      <c r="D32" s="96"/>
      <c r="E32" s="96"/>
      <c r="K32" s="12" t="s">
        <v>43</v>
      </c>
    </row>
    <row r="33" spans="3:19">
      <c r="C33" s="96" t="s">
        <v>42</v>
      </c>
      <c r="D33" s="96"/>
      <c r="E33" s="96"/>
      <c r="K33" s="12" t="s">
        <v>44</v>
      </c>
    </row>
    <row r="34" spans="3:19">
      <c r="O34" t="s">
        <v>136</v>
      </c>
    </row>
    <row r="35" spans="3:19" ht="15">
      <c r="C35" s="14" t="s">
        <v>45</v>
      </c>
      <c r="D35" s="15" t="s">
        <v>46</v>
      </c>
      <c r="F35" s="16" t="s">
        <v>17</v>
      </c>
      <c r="H35" s="17" t="s">
        <v>47</v>
      </c>
    </row>
    <row r="36" spans="3:19" ht="15">
      <c r="C36" s="18"/>
      <c r="D36" s="19"/>
      <c r="E36" s="12" t="s">
        <v>48</v>
      </c>
      <c r="F36" s="20"/>
      <c r="G36" s="13" t="s">
        <v>40</v>
      </c>
      <c r="H36" s="20"/>
      <c r="M36" s="118" t="s">
        <v>128</v>
      </c>
      <c r="N36" s="118"/>
      <c r="O36" s="96" t="s">
        <v>137</v>
      </c>
      <c r="P36" s="96"/>
      <c r="Q36">
        <f>0.8464 + (0.0436*48)</f>
        <v>2.9392</v>
      </c>
    </row>
    <row r="37" spans="3:19" ht="15">
      <c r="C37" s="21" t="s">
        <v>46</v>
      </c>
      <c r="D37" s="15" t="s">
        <v>49</v>
      </c>
      <c r="F37" s="16" t="s">
        <v>16</v>
      </c>
      <c r="H37" s="17" t="s">
        <v>50</v>
      </c>
    </row>
    <row r="38" spans="3:19" ht="15">
      <c r="O38" s="96" t="s">
        <v>138</v>
      </c>
      <c r="P38" s="96"/>
      <c r="Q38" s="13" t="s">
        <v>40</v>
      </c>
      <c r="R38" t="s">
        <v>139</v>
      </c>
      <c r="S38" s="81">
        <f>EXP(2.9392)</f>
        <v>18.900719686662228</v>
      </c>
    </row>
    <row r="40" spans="3:19" ht="15">
      <c r="C40" s="14">
        <f>COUNT(C24:C28)</f>
        <v>5</v>
      </c>
      <c r="D40" s="15">
        <f>SUM(C24:C28)</f>
        <v>75</v>
      </c>
      <c r="F40" s="16" t="s">
        <v>17</v>
      </c>
      <c r="H40" s="22">
        <f>LN(D24)+LN(D25)+LN(D26)+LN(D27)+LN(D28)</f>
        <v>7.5052942353269341</v>
      </c>
    </row>
    <row r="41" spans="3:19" ht="15">
      <c r="C41" s="18"/>
      <c r="D41" s="19"/>
      <c r="E41" s="12" t="s">
        <v>48</v>
      </c>
      <c r="F41" s="20"/>
      <c r="G41" s="13" t="s">
        <v>40</v>
      </c>
      <c r="H41" s="20"/>
    </row>
    <row r="42" spans="3:19" ht="15">
      <c r="C42" s="21">
        <f>SUM(C24:C28)</f>
        <v>75</v>
      </c>
      <c r="D42" s="15">
        <f>(C24)^2+(C25)^2+(C26)^2+(C27)^2+(C28)^2</f>
        <v>1375</v>
      </c>
      <c r="F42" s="16" t="s">
        <v>16</v>
      </c>
      <c r="H42" s="22">
        <f>(C24*LN(D24))+(C25*LN(D25))+(C26*LN(D26))+(C27*LN(D27))+(C28*LN(D28))</f>
        <v>123.48385431998665</v>
      </c>
      <c r="M42" s="119" t="s">
        <v>143</v>
      </c>
      <c r="N42" s="119"/>
      <c r="O42" s="96" t="s">
        <v>138</v>
      </c>
      <c r="P42" s="96"/>
      <c r="Q42" s="13" t="s">
        <v>40</v>
      </c>
      <c r="R42" t="s">
        <v>141</v>
      </c>
    </row>
    <row r="44" spans="3:19">
      <c r="C44" t="s">
        <v>51</v>
      </c>
      <c r="R44" t="s">
        <v>142</v>
      </c>
      <c r="S44">
        <f>( LN(2)-0.8464)/0.0436</f>
        <v>-3.5149729229370359</v>
      </c>
    </row>
    <row r="46" spans="3:19">
      <c r="C46" s="124" t="s">
        <v>52</v>
      </c>
      <c r="D46" s="124"/>
      <c r="F46" s="23" t="s">
        <v>53</v>
      </c>
      <c r="K46" s="121" t="s">
        <v>54</v>
      </c>
      <c r="L46" s="121"/>
      <c r="M46" s="121"/>
    </row>
    <row r="47" spans="3:19" ht="15">
      <c r="G47" s="13" t="s">
        <v>40</v>
      </c>
      <c r="H47" s="122" t="s">
        <v>55</v>
      </c>
      <c r="I47" s="122"/>
      <c r="K47" s="123" t="s">
        <v>56</v>
      </c>
      <c r="L47" s="123"/>
      <c r="M47" s="123"/>
    </row>
    <row r="48" spans="3:19">
      <c r="C48" s="121" t="s">
        <v>57</v>
      </c>
      <c r="D48" s="121"/>
      <c r="F48" s="24" t="s">
        <v>58</v>
      </c>
    </row>
    <row r="51" spans="3:7" ht="15">
      <c r="C51" s="102" t="s">
        <v>59</v>
      </c>
      <c r="D51" s="102"/>
      <c r="E51" s="82">
        <f>S38</f>
        <v>18.900719686662228</v>
      </c>
      <c r="F51" s="13" t="s">
        <v>40</v>
      </c>
      <c r="G51" s="26" t="s">
        <v>140</v>
      </c>
    </row>
    <row r="53" spans="3:7" ht="15">
      <c r="C53" s="104" t="s">
        <v>60</v>
      </c>
      <c r="D53" s="104"/>
      <c r="E53" s="25">
        <f>S44</f>
        <v>-3.5149729229370359</v>
      </c>
      <c r="F53" s="13" t="s">
        <v>40</v>
      </c>
      <c r="G53" s="26" t="s">
        <v>135</v>
      </c>
    </row>
  </sheetData>
  <sheetProtection selectLockedCells="1" selectUnlockedCells="1"/>
  <mergeCells count="22">
    <mergeCell ref="C32:E32"/>
    <mergeCell ref="C46:D46"/>
    <mergeCell ref="M36:N36"/>
    <mergeCell ref="M42:N42"/>
    <mergeCell ref="B3:H6"/>
    <mergeCell ref="B17:H18"/>
    <mergeCell ref="B20:H21"/>
    <mergeCell ref="C48:D48"/>
    <mergeCell ref="K46:M46"/>
    <mergeCell ref="H47:I47"/>
    <mergeCell ref="K47:M47"/>
    <mergeCell ref="G31:I31"/>
    <mergeCell ref="C51:D51"/>
    <mergeCell ref="C53:D53"/>
    <mergeCell ref="O21:Q21"/>
    <mergeCell ref="O22:Q22"/>
    <mergeCell ref="C33:E33"/>
    <mergeCell ref="C30:E30"/>
    <mergeCell ref="C31:E31"/>
    <mergeCell ref="O36:P36"/>
    <mergeCell ref="O38:P38"/>
    <mergeCell ref="O42:P42"/>
  </mergeCells>
  <pageMargins left="0.75" right="0.75" top="1" bottom="1" header="0.51180555555555551" footer="0.51180555555555551"/>
  <pageSetup paperSize="9" firstPageNumber="0" orientation="portrait" horizontalDpi="300" verticalDpi="300" r:id="rId1"/>
  <headerFooter alignWithMargins="0"/>
  <legacyDrawing r:id="rId2"/>
  <oleObjects>
    <oleObject progId="Equation.3" shapeId="7169" r:id="rId3"/>
    <oleObject progId="Equation.3" shapeId="7170" r:id="rId4"/>
    <oleObject progId="Equation.3" shapeId="7171" r:id="rId5"/>
    <oleObject progId="Equation.3" shapeId="7172" r:id="rId6"/>
  </oleObjects>
</worksheet>
</file>

<file path=xl/worksheets/sheet8.xml><?xml version="1.0" encoding="utf-8"?>
<worksheet xmlns="http://schemas.openxmlformats.org/spreadsheetml/2006/main" xmlns:r="http://schemas.openxmlformats.org/officeDocument/2006/relationships">
  <dimension ref="B3:T110"/>
  <sheetViews>
    <sheetView workbookViewId="0">
      <selection activeCell="H69" sqref="H69:J69"/>
    </sheetView>
  </sheetViews>
  <sheetFormatPr baseColWidth="10" defaultColWidth="11" defaultRowHeight="12.75"/>
  <cols>
    <col min="1" max="1" width="4.140625" customWidth="1"/>
  </cols>
  <sheetData>
    <row r="3" spans="2:8" ht="15">
      <c r="B3" s="8" t="s">
        <v>27</v>
      </c>
      <c r="C3" s="8"/>
    </row>
    <row r="4" spans="2:8" ht="12.75" customHeight="1">
      <c r="B4" s="120" t="s">
        <v>28</v>
      </c>
      <c r="C4" s="120"/>
      <c r="D4" s="120"/>
      <c r="E4" s="120"/>
      <c r="F4" s="120"/>
      <c r="G4" s="120"/>
      <c r="H4" s="120"/>
    </row>
    <row r="5" spans="2:8" ht="18.75" customHeight="1">
      <c r="B5" s="120"/>
      <c r="C5" s="120"/>
      <c r="D5" s="120"/>
      <c r="E5" s="120"/>
      <c r="F5" s="120"/>
      <c r="G5" s="120"/>
      <c r="H5" s="120"/>
    </row>
    <row r="6" spans="2:8" ht="15">
      <c r="B6" s="8" t="s">
        <v>29</v>
      </c>
      <c r="C6" s="8"/>
    </row>
    <row r="7" spans="2:8" ht="15">
      <c r="B7" s="8" t="s">
        <v>30</v>
      </c>
      <c r="C7" s="8"/>
    </row>
    <row r="8" spans="2:8" ht="12.75" customHeight="1">
      <c r="B8" s="120" t="s">
        <v>31</v>
      </c>
      <c r="C8" s="120"/>
      <c r="D8" s="120"/>
      <c r="E8" s="120"/>
      <c r="F8" s="120"/>
      <c r="G8" s="120"/>
      <c r="H8" s="120"/>
    </row>
    <row r="9" spans="2:8" ht="17.25" customHeight="1">
      <c r="B9" s="120"/>
      <c r="C9" s="120"/>
      <c r="D9" s="120"/>
      <c r="E9" s="120"/>
      <c r="F9" s="120"/>
      <c r="G9" s="120"/>
      <c r="H9" s="120"/>
    </row>
    <row r="10" spans="2:8" ht="14.65" customHeight="1">
      <c r="B10" s="125" t="s">
        <v>32</v>
      </c>
      <c r="C10" s="125"/>
      <c r="D10" s="125"/>
      <c r="E10" s="125"/>
      <c r="F10" s="125"/>
      <c r="G10" s="125"/>
      <c r="H10" s="125"/>
    </row>
    <row r="11" spans="2:8" ht="21" customHeight="1">
      <c r="B11" s="125"/>
      <c r="C11" s="125"/>
      <c r="D11" s="125"/>
      <c r="E11" s="125"/>
      <c r="F11" s="125"/>
      <c r="G11" s="125"/>
      <c r="H11" s="125"/>
    </row>
    <row r="12" spans="2:8" ht="14.65" customHeight="1">
      <c r="B12" s="120" t="s">
        <v>33</v>
      </c>
      <c r="C12" s="120"/>
      <c r="D12" s="120"/>
      <c r="E12" s="120"/>
      <c r="F12" s="120"/>
      <c r="G12" s="120"/>
      <c r="H12" s="120"/>
    </row>
    <row r="13" spans="2:8" ht="33" customHeight="1">
      <c r="B13" s="120"/>
      <c r="C13" s="120"/>
      <c r="D13" s="120"/>
      <c r="E13" s="120"/>
      <c r="F13" s="120"/>
      <c r="G13" s="120"/>
      <c r="H13" s="120"/>
    </row>
    <row r="14" spans="2:8" ht="14.65" customHeight="1">
      <c r="B14" s="120" t="s">
        <v>34</v>
      </c>
      <c r="C14" s="120"/>
      <c r="D14" s="120"/>
      <c r="E14" s="120"/>
      <c r="F14" s="120"/>
      <c r="G14" s="120"/>
      <c r="H14" s="120"/>
    </row>
    <row r="15" spans="2:8" ht="21.75" customHeight="1">
      <c r="B15" s="120"/>
      <c r="C15" s="120"/>
      <c r="D15" s="120"/>
      <c r="E15" s="120"/>
      <c r="F15" s="120"/>
      <c r="G15" s="120"/>
      <c r="H15" s="120"/>
    </row>
    <row r="17" spans="2:9">
      <c r="B17" s="26" t="s">
        <v>63</v>
      </c>
    </row>
    <row r="20" spans="2:9" ht="15">
      <c r="E20" s="9" t="s">
        <v>64</v>
      </c>
      <c r="F20" s="10" t="s">
        <v>65</v>
      </c>
    </row>
    <row r="21" spans="2:9">
      <c r="E21" s="11">
        <v>1</v>
      </c>
      <c r="F21" s="11">
        <v>3</v>
      </c>
    </row>
    <row r="22" spans="2:9">
      <c r="E22" s="11">
        <v>3</v>
      </c>
      <c r="F22" s="11">
        <v>5</v>
      </c>
    </row>
    <row r="23" spans="2:9">
      <c r="E23" s="11">
        <v>5</v>
      </c>
      <c r="F23" s="11">
        <v>6</v>
      </c>
    </row>
    <row r="26" spans="2:9">
      <c r="D26" s="26" t="s">
        <v>75</v>
      </c>
    </row>
    <row r="28" spans="2:9" ht="15">
      <c r="D28" s="14" t="s">
        <v>45</v>
      </c>
      <c r="E28" s="15" t="s">
        <v>46</v>
      </c>
      <c r="G28" s="16" t="s">
        <v>17</v>
      </c>
      <c r="I28" s="17" t="s">
        <v>47</v>
      </c>
    </row>
    <row r="29" spans="2:9" ht="15">
      <c r="D29" s="18"/>
      <c r="E29" s="19"/>
      <c r="F29" s="12" t="s">
        <v>48</v>
      </c>
      <c r="G29" s="20"/>
      <c r="H29" s="13" t="s">
        <v>40</v>
      </c>
      <c r="I29" s="20"/>
    </row>
    <row r="30" spans="2:9" ht="15">
      <c r="D30" s="21" t="s">
        <v>46</v>
      </c>
      <c r="E30" s="15" t="s">
        <v>49</v>
      </c>
      <c r="G30" s="16" t="s">
        <v>16</v>
      </c>
      <c r="I30" s="17" t="s">
        <v>50</v>
      </c>
    </row>
    <row r="33" spans="4:10" ht="15">
      <c r="D33" s="14">
        <v>3</v>
      </c>
      <c r="E33" s="15">
        <f>SUM(E21:E23)</f>
        <v>9</v>
      </c>
      <c r="G33" s="16" t="s">
        <v>17</v>
      </c>
      <c r="I33" s="16">
        <f>SUM(F21:F23)</f>
        <v>14</v>
      </c>
    </row>
    <row r="34" spans="4:10" ht="15">
      <c r="D34" s="18"/>
      <c r="E34" s="19"/>
      <c r="F34" s="12" t="s">
        <v>48</v>
      </c>
      <c r="G34" s="20"/>
      <c r="H34" s="13" t="s">
        <v>40</v>
      </c>
      <c r="I34" s="20"/>
    </row>
    <row r="35" spans="4:10" ht="15">
      <c r="D35" s="21">
        <f>SUM(E21:E23)</f>
        <v>9</v>
      </c>
      <c r="E35" s="15">
        <f>SUM(E21^2,E22^2,E23^2)</f>
        <v>35</v>
      </c>
      <c r="G35" s="16" t="s">
        <v>16</v>
      </c>
      <c r="I35" s="16">
        <f>(E21*F21)+(E22*F22)+(E23*F23)</f>
        <v>48</v>
      </c>
    </row>
    <row r="37" spans="4:10">
      <c r="D37" t="s">
        <v>51</v>
      </c>
    </row>
    <row r="39" spans="4:10">
      <c r="D39" s="124" t="s">
        <v>66</v>
      </c>
      <c r="E39" s="124"/>
      <c r="G39" s="30" t="s">
        <v>67</v>
      </c>
    </row>
    <row r="40" spans="4:10" ht="15">
      <c r="H40" s="13" t="s">
        <v>40</v>
      </c>
      <c r="I40" s="122" t="s">
        <v>68</v>
      </c>
      <c r="J40" s="122"/>
    </row>
    <row r="41" spans="4:10">
      <c r="D41" s="121" t="s">
        <v>69</v>
      </c>
      <c r="E41" s="121"/>
      <c r="G41" s="24" t="s">
        <v>70</v>
      </c>
    </row>
    <row r="44" spans="4:10" ht="15">
      <c r="D44" s="9" t="s">
        <v>64</v>
      </c>
      <c r="E44" s="27" t="s">
        <v>71</v>
      </c>
      <c r="F44" s="10" t="s">
        <v>65</v>
      </c>
      <c r="G44" s="28" t="s">
        <v>72</v>
      </c>
      <c r="H44" s="29" t="s">
        <v>73</v>
      </c>
    </row>
    <row r="45" spans="4:10">
      <c r="D45" s="11">
        <v>1</v>
      </c>
      <c r="E45" s="11">
        <f>2.41+(0.75*D45)</f>
        <v>3.16</v>
      </c>
      <c r="F45" s="11">
        <v>3</v>
      </c>
      <c r="G45" s="11">
        <f>ABS(F45-E45)</f>
        <v>0.16000000000000014</v>
      </c>
      <c r="H45" s="11">
        <f>G45^2</f>
        <v>2.5600000000000046E-2</v>
      </c>
    </row>
    <row r="46" spans="4:10">
      <c r="D46" s="11">
        <v>3</v>
      </c>
      <c r="E46" s="11">
        <f>2.41+(0.75*D46)</f>
        <v>4.66</v>
      </c>
      <c r="F46" s="11">
        <v>5</v>
      </c>
      <c r="G46" s="11">
        <f>ABS(F46-E46)</f>
        <v>0.33999999999999986</v>
      </c>
      <c r="H46" s="11">
        <f>G46^2</f>
        <v>0.1155999999999999</v>
      </c>
    </row>
    <row r="47" spans="4:10">
      <c r="D47" s="11">
        <v>5</v>
      </c>
      <c r="E47" s="11">
        <f>2.41+(0.75*D47)</f>
        <v>6.16</v>
      </c>
      <c r="F47" s="11">
        <v>6</v>
      </c>
      <c r="G47" s="11">
        <f>ABS(F47-E47)</f>
        <v>0.16000000000000014</v>
      </c>
      <c r="H47" s="11">
        <f>G47^2</f>
        <v>2.5600000000000046E-2</v>
      </c>
    </row>
    <row r="49" spans="2:9" ht="15">
      <c r="E49" s="126" t="s">
        <v>74</v>
      </c>
      <c r="F49" s="126"/>
      <c r="G49" s="11">
        <f>SUM(H45:H47)</f>
        <v>0.16679999999999998</v>
      </c>
    </row>
    <row r="52" spans="2:9">
      <c r="B52" s="26" t="s">
        <v>89</v>
      </c>
    </row>
    <row r="53" spans="2:9" ht="15">
      <c r="C53" s="14" t="s">
        <v>45</v>
      </c>
      <c r="D53" s="31" t="s">
        <v>46</v>
      </c>
      <c r="E53" s="15" t="s">
        <v>49</v>
      </c>
      <c r="F53" s="32"/>
      <c r="G53" s="16" t="s">
        <v>16</v>
      </c>
      <c r="H53" s="31"/>
      <c r="I53" s="17" t="s">
        <v>47</v>
      </c>
    </row>
    <row r="54" spans="2:9">
      <c r="C54" s="18"/>
      <c r="D54" s="33"/>
      <c r="E54" s="34"/>
      <c r="F54" s="33"/>
      <c r="G54" s="20"/>
      <c r="H54" s="33"/>
      <c r="I54" s="20"/>
    </row>
    <row r="55" spans="2:9" ht="15">
      <c r="C55" s="21" t="s">
        <v>46</v>
      </c>
      <c r="D55" s="31" t="s">
        <v>49</v>
      </c>
      <c r="E55" s="15" t="s">
        <v>76</v>
      </c>
      <c r="F55" s="32" t="s">
        <v>48</v>
      </c>
      <c r="G55" s="16" t="s">
        <v>17</v>
      </c>
      <c r="H55" s="35" t="s">
        <v>40</v>
      </c>
      <c r="I55" s="17" t="s">
        <v>50</v>
      </c>
    </row>
    <row r="56" spans="2:9">
      <c r="C56" s="18"/>
      <c r="D56" s="33"/>
      <c r="E56" s="19"/>
      <c r="G56" s="20"/>
      <c r="I56" s="20"/>
    </row>
    <row r="57" spans="2:9" ht="15">
      <c r="C57" s="21" t="s">
        <v>49</v>
      </c>
      <c r="D57" s="31" t="s">
        <v>76</v>
      </c>
      <c r="E57" s="15" t="s">
        <v>77</v>
      </c>
      <c r="G57" s="16" t="s">
        <v>78</v>
      </c>
      <c r="I57" s="17" t="s">
        <v>79</v>
      </c>
    </row>
    <row r="59" spans="2:9" ht="15">
      <c r="C59" s="14">
        <f>COUNT(E21:E23)</f>
        <v>3</v>
      </c>
      <c r="D59" s="31">
        <f>SUM(E21:E23)</f>
        <v>9</v>
      </c>
      <c r="E59" s="15">
        <f>(E21)^2+(E22)^2+(E23)^2</f>
        <v>35</v>
      </c>
      <c r="F59" s="32"/>
      <c r="G59" s="16" t="s">
        <v>16</v>
      </c>
      <c r="H59" s="31"/>
      <c r="I59" s="17">
        <f>SUM(F21:F23)</f>
        <v>14</v>
      </c>
    </row>
    <row r="60" spans="2:9">
      <c r="C60" s="18"/>
      <c r="D60" s="33"/>
      <c r="E60" s="34"/>
      <c r="F60" s="33"/>
      <c r="G60" s="20"/>
      <c r="H60" s="33"/>
      <c r="I60" s="20"/>
    </row>
    <row r="61" spans="2:9" ht="15">
      <c r="C61" s="21">
        <f>SUM(E21:E23)</f>
        <v>9</v>
      </c>
      <c r="D61" s="31">
        <f>(E21)^2+(E22)^2+(E23)^2</f>
        <v>35</v>
      </c>
      <c r="E61" s="15">
        <f>(E21)^3+(E22)^3+(E23)^3</f>
        <v>153</v>
      </c>
      <c r="F61" s="32" t="s">
        <v>48</v>
      </c>
      <c r="G61" s="16" t="s">
        <v>17</v>
      </c>
      <c r="H61" s="35" t="s">
        <v>40</v>
      </c>
      <c r="I61" s="17">
        <f>(E21*F21)+(E22*F22)+(E23*F23)</f>
        <v>48</v>
      </c>
    </row>
    <row r="62" spans="2:9">
      <c r="C62" s="18"/>
      <c r="D62" s="33"/>
      <c r="E62" s="19"/>
      <c r="G62" s="20"/>
      <c r="I62" s="20"/>
    </row>
    <row r="63" spans="2:9" ht="15">
      <c r="C63" s="21">
        <f>(E21)^2+(E22)^2+(E23)^2</f>
        <v>35</v>
      </c>
      <c r="D63" s="31">
        <f>(E21)^3+(E22)^3+(E23)^3</f>
        <v>153</v>
      </c>
      <c r="E63" s="15">
        <f>(E21)^4+(E22)^4+(E23)^4</f>
        <v>707</v>
      </c>
      <c r="G63" s="16" t="s">
        <v>78</v>
      </c>
      <c r="I63" s="17">
        <f>((E21)^2*(F21))+((E22)^2*(F22))+((E23)^2*(F23))</f>
        <v>198</v>
      </c>
    </row>
    <row r="65" spans="3:13">
      <c r="C65" s="26" t="s">
        <v>83</v>
      </c>
    </row>
    <row r="66" spans="3:13">
      <c r="C66" s="36"/>
      <c r="D66" s="36"/>
      <c r="K66" s="101"/>
      <c r="L66" s="101"/>
    </row>
    <row r="67" spans="3:13">
      <c r="C67" s="127" t="s">
        <v>80</v>
      </c>
      <c r="D67" s="127"/>
      <c r="F67" s="37" t="s">
        <v>84</v>
      </c>
      <c r="G67" s="101"/>
      <c r="H67" s="101"/>
    </row>
    <row r="68" spans="3:13">
      <c r="C68" s="101"/>
      <c r="D68" s="101"/>
    </row>
    <row r="69" spans="3:13" ht="15">
      <c r="C69" s="129" t="s">
        <v>81</v>
      </c>
      <c r="D69" s="129"/>
      <c r="E69" s="13" t="s">
        <v>40</v>
      </c>
      <c r="F69" s="38" t="s">
        <v>85</v>
      </c>
      <c r="G69" s="13" t="s">
        <v>40</v>
      </c>
      <c r="H69" s="113" t="s">
        <v>87</v>
      </c>
      <c r="I69" s="113"/>
      <c r="J69" s="113"/>
    </row>
    <row r="71" spans="3:13">
      <c r="C71" s="130" t="s">
        <v>82</v>
      </c>
      <c r="D71" s="130"/>
      <c r="F71" s="39" t="s">
        <v>86</v>
      </c>
    </row>
    <row r="74" spans="3:13" ht="15">
      <c r="C74" s="9" t="s">
        <v>64</v>
      </c>
      <c r="D74" s="27" t="s">
        <v>71</v>
      </c>
      <c r="E74" s="10" t="s">
        <v>65</v>
      </c>
      <c r="F74" s="28" t="s">
        <v>72</v>
      </c>
      <c r="G74" s="29" t="s">
        <v>73</v>
      </c>
    </row>
    <row r="75" spans="3:13">
      <c r="C75" s="11">
        <v>1</v>
      </c>
      <c r="D75" s="11">
        <f>1.625+(1.5*C75)-(0.125*(C75)^2)</f>
        <v>3</v>
      </c>
      <c r="E75" s="11">
        <v>3</v>
      </c>
      <c r="F75" s="11">
        <f>ABS(E75-D75)</f>
        <v>0</v>
      </c>
      <c r="G75" s="11">
        <f>F75^2</f>
        <v>0</v>
      </c>
    </row>
    <row r="76" spans="3:13">
      <c r="C76" s="11">
        <v>3</v>
      </c>
      <c r="D76" s="11">
        <f>1.625+(1.5*C76)-(0.125*(C76)^2)</f>
        <v>5</v>
      </c>
      <c r="E76" s="11">
        <v>5</v>
      </c>
      <c r="F76" s="11">
        <f>ABS(E76-D76)</f>
        <v>0</v>
      </c>
      <c r="G76" s="11">
        <f>F76^2</f>
        <v>0</v>
      </c>
    </row>
    <row r="77" spans="3:13" ht="15">
      <c r="C77" s="11">
        <v>5</v>
      </c>
      <c r="D77" s="11">
        <f>1.625+(1.5*C77)-(0.125*(C77)^2)</f>
        <v>6</v>
      </c>
      <c r="E77" s="11">
        <v>6</v>
      </c>
      <c r="F77" s="11">
        <f>ABS(E77-D77)</f>
        <v>0</v>
      </c>
      <c r="G77" s="11">
        <f>F77^2</f>
        <v>0</v>
      </c>
      <c r="K77" s="40"/>
      <c r="L77" s="40"/>
      <c r="M77" s="33"/>
    </row>
    <row r="79" spans="3:13" ht="15">
      <c r="D79" s="126" t="s">
        <v>74</v>
      </c>
      <c r="E79" s="126"/>
      <c r="F79" s="11">
        <f>SUM(G75:G77)</f>
        <v>0</v>
      </c>
    </row>
    <row r="82" spans="2:20">
      <c r="C82" s="131" t="s">
        <v>88</v>
      </c>
      <c r="D82" s="131"/>
      <c r="E82" s="131"/>
      <c r="F82" s="131"/>
      <c r="G82" s="131"/>
      <c r="H82" s="131"/>
      <c r="I82" s="131"/>
      <c r="J82" s="131"/>
      <c r="K82" s="131"/>
      <c r="L82" s="131"/>
    </row>
    <row r="85" spans="2:20">
      <c r="B85" s="26" t="s">
        <v>90</v>
      </c>
    </row>
    <row r="86" spans="2:20" ht="14.45" customHeight="1">
      <c r="B86" s="47" t="s">
        <v>91</v>
      </c>
      <c r="C86" s="47"/>
      <c r="D86" s="47"/>
      <c r="E86" s="47"/>
      <c r="F86" s="47"/>
      <c r="G86" s="47"/>
      <c r="H86" s="47"/>
      <c r="I86" s="47"/>
      <c r="J86" s="47"/>
      <c r="K86" s="47"/>
      <c r="L86" s="47"/>
      <c r="M86" s="47"/>
      <c r="N86" s="47"/>
      <c r="O86" s="47"/>
      <c r="P86" s="47"/>
      <c r="Q86" s="47"/>
      <c r="R86" s="47"/>
      <c r="S86" s="48"/>
      <c r="T86" s="48"/>
    </row>
    <row r="87" spans="2:20">
      <c r="C87" s="33"/>
      <c r="D87" s="33"/>
      <c r="E87" s="32"/>
      <c r="F87" s="33"/>
      <c r="G87" s="33"/>
      <c r="H87" s="33"/>
      <c r="I87" s="33"/>
      <c r="J87" s="33"/>
      <c r="M87" s="33"/>
      <c r="N87" s="33"/>
      <c r="O87" s="33"/>
    </row>
    <row r="88" spans="2:20" ht="15">
      <c r="C88" s="31"/>
      <c r="D88" s="31"/>
      <c r="E88" s="31"/>
      <c r="F88" s="31"/>
      <c r="G88" s="32"/>
      <c r="H88" s="32"/>
      <c r="I88" s="35"/>
      <c r="J88" s="31"/>
      <c r="M88" s="32"/>
      <c r="N88" s="35"/>
      <c r="O88" s="31"/>
    </row>
    <row r="89" spans="2:20" ht="15">
      <c r="C89" s="33"/>
      <c r="D89" s="33"/>
      <c r="E89" s="33"/>
      <c r="F89" s="33"/>
      <c r="G89" s="42"/>
      <c r="H89" s="33"/>
      <c r="I89" s="35"/>
      <c r="J89" s="33"/>
      <c r="M89" s="33"/>
      <c r="N89" s="33"/>
      <c r="O89" s="33"/>
    </row>
    <row r="90" spans="2:20" ht="15">
      <c r="C90" s="31"/>
      <c r="D90" s="31"/>
      <c r="E90" s="31"/>
      <c r="F90" s="31"/>
      <c r="G90" s="32"/>
      <c r="H90" s="41"/>
      <c r="I90" s="33"/>
      <c r="J90" s="31"/>
      <c r="M90" s="32"/>
      <c r="N90" s="33"/>
      <c r="O90" s="31"/>
    </row>
    <row r="91" spans="2:20">
      <c r="C91" s="33"/>
      <c r="D91" s="33"/>
      <c r="E91" s="33"/>
      <c r="F91" s="33"/>
      <c r="G91" s="33"/>
      <c r="H91" s="33"/>
      <c r="I91" s="33"/>
      <c r="J91" s="33"/>
      <c r="M91" s="33"/>
      <c r="N91" s="33"/>
      <c r="O91" s="33"/>
    </row>
    <row r="92" spans="2:20" ht="15">
      <c r="C92" s="31"/>
      <c r="D92" s="31"/>
      <c r="E92" s="31"/>
      <c r="F92" s="31"/>
      <c r="G92" s="42"/>
      <c r="H92" s="31"/>
      <c r="I92" s="31"/>
      <c r="J92" s="31"/>
      <c r="M92" s="42"/>
      <c r="N92" s="31"/>
      <c r="O92" s="31"/>
    </row>
    <row r="93" spans="2:20">
      <c r="C93" s="33"/>
      <c r="D93" s="33"/>
      <c r="E93" s="32"/>
      <c r="F93" s="33"/>
      <c r="G93" s="33"/>
      <c r="H93" s="33"/>
      <c r="I93" s="33"/>
      <c r="J93" s="33"/>
    </row>
    <row r="94" spans="2:20" ht="15">
      <c r="C94" s="32"/>
      <c r="D94" s="31"/>
      <c r="E94" s="31"/>
      <c r="F94" s="31"/>
      <c r="G94" s="32"/>
      <c r="H94" s="31"/>
      <c r="I94" s="31"/>
      <c r="J94" s="31"/>
      <c r="O94" s="128"/>
      <c r="P94" s="128"/>
      <c r="Q94" s="128"/>
    </row>
    <row r="95" spans="2:20">
      <c r="C95" s="33"/>
      <c r="D95" s="33"/>
      <c r="E95" s="32"/>
      <c r="F95" s="33"/>
      <c r="G95" s="33"/>
      <c r="H95" s="33"/>
      <c r="I95" s="33"/>
      <c r="J95" s="33"/>
    </row>
    <row r="96" spans="2:20" ht="15">
      <c r="C96" s="31"/>
      <c r="D96" s="31"/>
      <c r="E96" s="31"/>
      <c r="F96" s="31"/>
      <c r="G96" s="32"/>
      <c r="H96" s="32"/>
      <c r="I96" s="35"/>
      <c r="J96" s="31"/>
    </row>
    <row r="97" spans="3:16" ht="15">
      <c r="C97" s="33"/>
      <c r="D97" s="33"/>
      <c r="E97" s="33"/>
      <c r="F97" s="33"/>
      <c r="G97" s="42"/>
      <c r="H97" s="33"/>
      <c r="I97" s="35"/>
      <c r="J97" s="33"/>
    </row>
    <row r="98" spans="3:16" ht="15">
      <c r="C98" s="31"/>
      <c r="D98" s="31"/>
      <c r="E98" s="31"/>
      <c r="F98" s="31"/>
      <c r="G98" s="32"/>
      <c r="H98" s="41"/>
      <c r="I98" s="33"/>
      <c r="J98" s="31"/>
    </row>
    <row r="99" spans="3:16">
      <c r="C99" s="33"/>
      <c r="D99" s="33"/>
      <c r="E99" s="33"/>
      <c r="F99" s="33"/>
      <c r="G99" s="33"/>
      <c r="H99" s="33"/>
      <c r="I99" s="33"/>
      <c r="J99" s="33"/>
    </row>
    <row r="100" spans="3:16" ht="15">
      <c r="C100" s="31"/>
      <c r="D100" s="31"/>
      <c r="E100" s="31"/>
      <c r="F100" s="31"/>
      <c r="G100" s="42"/>
      <c r="H100" s="31"/>
      <c r="I100" s="31"/>
      <c r="J100" s="31"/>
    </row>
    <row r="101" spans="3:16" ht="15">
      <c r="C101" s="31"/>
      <c r="D101" s="31"/>
      <c r="E101" s="31"/>
      <c r="F101" s="32"/>
      <c r="G101" s="32"/>
      <c r="H101" s="35"/>
      <c r="I101" s="31"/>
    </row>
    <row r="102" spans="3:16">
      <c r="C102" s="26"/>
    </row>
    <row r="103" spans="3:16">
      <c r="C103" s="36"/>
      <c r="D103" s="36"/>
    </row>
    <row r="104" spans="3:16">
      <c r="C104" s="44"/>
      <c r="D104" s="44"/>
      <c r="E104" s="44"/>
      <c r="F104" s="43"/>
      <c r="G104" s="44"/>
      <c r="H104" s="44"/>
      <c r="P104" s="43"/>
    </row>
    <row r="105" spans="3:16">
      <c r="C105" s="44"/>
      <c r="D105" s="44"/>
      <c r="E105" s="45"/>
      <c r="F105" s="45"/>
      <c r="G105" s="45"/>
      <c r="H105" s="45"/>
    </row>
    <row r="106" spans="3:16" ht="15">
      <c r="C106" s="44"/>
      <c r="D106" s="44"/>
      <c r="E106" s="44"/>
      <c r="F106" s="43"/>
      <c r="G106" s="44"/>
      <c r="H106" s="44"/>
      <c r="I106" s="44"/>
      <c r="J106" s="44"/>
      <c r="O106" s="13"/>
      <c r="P106" s="43"/>
    </row>
    <row r="107" spans="3:16" ht="15">
      <c r="C107" s="45"/>
      <c r="D107" s="45"/>
      <c r="E107" s="45"/>
      <c r="F107" s="46"/>
      <c r="G107" s="45"/>
      <c r="H107" s="45"/>
    </row>
    <row r="108" spans="3:16">
      <c r="C108" s="44"/>
      <c r="D108" s="44"/>
      <c r="E108" s="44"/>
      <c r="F108" s="43"/>
      <c r="G108" s="44"/>
      <c r="H108" s="44"/>
      <c r="P108" s="43"/>
    </row>
    <row r="109" spans="3:16">
      <c r="C109" s="45"/>
      <c r="D109" s="45"/>
      <c r="E109" s="45"/>
      <c r="F109" s="45"/>
      <c r="G109" s="45"/>
      <c r="H109" s="45"/>
    </row>
    <row r="110" spans="3:16">
      <c r="C110" s="44"/>
      <c r="D110" s="44"/>
      <c r="E110" s="44"/>
      <c r="F110" s="45"/>
      <c r="G110" s="44"/>
      <c r="H110" s="44"/>
    </row>
  </sheetData>
  <sheetProtection selectLockedCells="1" selectUnlockedCells="1"/>
  <mergeCells count="19">
    <mergeCell ref="O94:Q94"/>
    <mergeCell ref="K66:L66"/>
    <mergeCell ref="C69:D69"/>
    <mergeCell ref="C71:D71"/>
    <mergeCell ref="H69:J69"/>
    <mergeCell ref="D79:E79"/>
    <mergeCell ref="C82:L82"/>
    <mergeCell ref="I40:J40"/>
    <mergeCell ref="D41:E41"/>
    <mergeCell ref="E49:F49"/>
    <mergeCell ref="C67:D67"/>
    <mergeCell ref="C68:D68"/>
    <mergeCell ref="G67:H67"/>
    <mergeCell ref="B4:H5"/>
    <mergeCell ref="B8:H9"/>
    <mergeCell ref="B10:H11"/>
    <mergeCell ref="B12:H13"/>
    <mergeCell ref="B14:H15"/>
    <mergeCell ref="D39:E39"/>
  </mergeCells>
  <pageMargins left="0.75" right="0.75" top="1" bottom="1" header="0.51180555555555551" footer="0.51180555555555551"/>
  <pageSetup paperSize="9" firstPageNumber="0"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Hojas de cálculo</vt:lpstr>
      </vt:variant>
      <vt:variant>
        <vt:i4>8</vt:i4>
      </vt:variant>
    </vt:vector>
  </HeadingPairs>
  <TitlesOfParts>
    <vt:vector size="8" baseType="lpstr">
      <vt:lpstr>CARATULA</vt:lpstr>
      <vt:lpstr>Consideraciones</vt:lpstr>
      <vt:lpstr>Memoria descriptiva</vt:lpstr>
      <vt:lpstr>EJ.1</vt:lpstr>
      <vt:lpstr>EJ.2</vt:lpstr>
      <vt:lpstr>EJ.3</vt:lpstr>
      <vt:lpstr>EJ.4</vt:lpstr>
      <vt:lpstr>EJ.5</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karinajulian</dc:creator>
  <cp:lastModifiedBy>agustin fanelli</cp:lastModifiedBy>
  <dcterms:created xsi:type="dcterms:W3CDTF">2021-08-23T04:06:27Z</dcterms:created>
  <dcterms:modified xsi:type="dcterms:W3CDTF">2023-09-07T03:27:17Z</dcterms:modified>
</cp:coreProperties>
</file>