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Descargas\"/>
    </mc:Choice>
  </mc:AlternateContent>
  <xr:revisionPtr revIDLastSave="0" documentId="13_ncr:1_{D6C4E99B-A725-454E-9805-3014DE84573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alance Inicial" sheetId="6" r:id="rId1"/>
    <sheet name="Libro Diario" sheetId="5" r:id="rId2"/>
    <sheet name="Hoja1" sheetId="7" r:id="rId3"/>
  </sheets>
  <definedNames>
    <definedName name="_xlnm.Print_Titles" localSheetId="1">'Libro Diario'!$1:$3</definedName>
  </definedNames>
  <calcPr calcId="191029"/>
</workbook>
</file>

<file path=xl/calcChain.xml><?xml version="1.0" encoding="utf-8"?>
<calcChain xmlns="http://schemas.openxmlformats.org/spreadsheetml/2006/main">
  <c r="C14" i="6" l="1"/>
  <c r="B4" i="6"/>
  <c r="B6" i="6"/>
  <c r="B12" i="6"/>
  <c r="B16" i="6"/>
  <c r="B17" i="6"/>
  <c r="B18" i="6"/>
  <c r="B108" i="7"/>
  <c r="B110" i="7"/>
  <c r="A113" i="7"/>
  <c r="A112" i="7"/>
  <c r="A111" i="7"/>
  <c r="A110" i="7"/>
  <c r="A109" i="7"/>
  <c r="A108" i="7"/>
  <c r="C101" i="7"/>
  <c r="A106" i="7"/>
  <c r="A105" i="7"/>
  <c r="A104" i="7"/>
  <c r="A103" i="7"/>
  <c r="A102" i="7"/>
  <c r="A101" i="7"/>
  <c r="A100" i="7"/>
  <c r="B88" i="7"/>
  <c r="C89" i="7" s="1"/>
  <c r="B113" i="7" s="1"/>
  <c r="A88" i="7"/>
  <c r="B84" i="7"/>
  <c r="C86" i="7"/>
  <c r="C85" i="7"/>
  <c r="B112" i="7" s="1"/>
  <c r="A82" i="7"/>
  <c r="B78" i="7"/>
  <c r="B77" i="7"/>
  <c r="C79" i="7" s="1"/>
  <c r="A78" i="7"/>
  <c r="A77" i="7"/>
  <c r="C72" i="7"/>
  <c r="C71" i="7"/>
  <c r="A71" i="7"/>
  <c r="C70" i="7"/>
  <c r="B69" i="7"/>
  <c r="C102" i="7" s="1"/>
  <c r="F63" i="7"/>
  <c r="G63" i="7" s="1"/>
  <c r="B63" i="7"/>
  <c r="C65" i="7"/>
  <c r="C64" i="7" s="1"/>
  <c r="B111" i="7" s="1"/>
  <c r="C66" i="7"/>
  <c r="B62" i="7"/>
  <c r="C60" i="7"/>
  <c r="C57" i="7"/>
  <c r="B55" i="7"/>
  <c r="A51" i="7"/>
  <c r="B50" i="7"/>
  <c r="B47" i="7"/>
  <c r="C48" i="7" s="1"/>
  <c r="C45" i="7"/>
  <c r="B37" i="7"/>
  <c r="B38" i="7"/>
  <c r="B39" i="7"/>
  <c r="B40" i="7" s="1"/>
  <c r="C42" i="7"/>
  <c r="B32" i="7"/>
  <c r="C34" i="7" s="1"/>
  <c r="B33" i="7"/>
  <c r="A33" i="7"/>
  <c r="A32" i="7"/>
  <c r="J7" i="7"/>
  <c r="K7" i="7" s="1"/>
  <c r="J8" i="7"/>
  <c r="K8" i="7" s="1"/>
  <c r="J6" i="7"/>
  <c r="J9" i="7" s="1"/>
  <c r="B91" i="7" s="1"/>
  <c r="B6" i="7"/>
  <c r="C82" i="7" s="1"/>
  <c r="B81" i="7" s="1"/>
  <c r="C104" i="7" s="1"/>
  <c r="B18" i="7"/>
  <c r="B17" i="7"/>
  <c r="B16" i="7"/>
  <c r="B7" i="7"/>
  <c r="B74" i="7" s="1"/>
  <c r="B4" i="7"/>
  <c r="C51" i="7" s="1"/>
  <c r="C52" i="7" s="1"/>
  <c r="C105" i="7" l="1"/>
  <c r="C92" i="7"/>
  <c r="C103" i="7"/>
  <c r="C75" i="7"/>
  <c r="B109" i="7"/>
  <c r="C114" i="7" s="1"/>
  <c r="F94" i="7"/>
  <c r="F96" i="7" s="1"/>
  <c r="F97" i="7" s="1"/>
  <c r="B94" i="7" s="1"/>
  <c r="K6" i="7"/>
  <c r="K9" i="7" s="1"/>
  <c r="B12" i="7" s="1"/>
  <c r="B14" i="7" s="1"/>
  <c r="B27" i="7" s="1"/>
  <c r="B28" i="7" s="1"/>
  <c r="B29" i="7" s="1"/>
  <c r="F95" i="7"/>
  <c r="B24" i="7"/>
  <c r="C100" i="7"/>
  <c r="F164" i="5"/>
  <c r="E31" i="5"/>
  <c r="C133" i="5" s="1"/>
  <c r="I131" i="5" s="1"/>
  <c r="I134" i="5" s="1"/>
  <c r="B104" i="5"/>
  <c r="C86" i="5"/>
  <c r="C91" i="5"/>
  <c r="C84" i="5"/>
  <c r="B84" i="5"/>
  <c r="C63" i="5"/>
  <c r="C66" i="5"/>
  <c r="C53" i="5"/>
  <c r="B39" i="5"/>
  <c r="C23" i="5"/>
  <c r="B24" i="5"/>
  <c r="C26" i="5" s="1"/>
  <c r="B22" i="5"/>
  <c r="C25" i="5"/>
  <c r="B115" i="6"/>
  <c r="B116" i="6"/>
  <c r="B114" i="6"/>
  <c r="A78" i="6"/>
  <c r="A88" i="6" s="1"/>
  <c r="A91" i="6"/>
  <c r="B101" i="6" s="1"/>
  <c r="A61" i="6"/>
  <c r="A44" i="6"/>
  <c r="A37" i="6"/>
  <c r="A34" i="6"/>
  <c r="C95" i="7" l="1"/>
  <c r="C106" i="7"/>
  <c r="B99" i="7"/>
  <c r="C117" i="7"/>
  <c r="B116" i="7" s="1"/>
  <c r="B133" i="5"/>
  <c r="B103" i="6"/>
  <c r="C11" i="5"/>
  <c r="I8" i="5" s="1"/>
  <c r="F176" i="5"/>
  <c r="K176" i="5" s="1"/>
  <c r="L162" i="5"/>
  <c r="C106" i="5"/>
  <c r="C100" i="5"/>
  <c r="J103" i="5" s="1"/>
  <c r="J85" i="5"/>
  <c r="F182" i="5"/>
  <c r="K179" i="5" s="1"/>
  <c r="J86" i="5"/>
  <c r="I83" i="5"/>
  <c r="I84" i="5"/>
  <c r="J75" i="5"/>
  <c r="I74" i="5"/>
  <c r="I62" i="5"/>
  <c r="J63" i="5"/>
  <c r="J49" i="5"/>
  <c r="I35" i="5"/>
  <c r="J36" i="5" s="1"/>
  <c r="I38" i="5"/>
  <c r="J39" i="5" s="1"/>
  <c r="I21" i="5"/>
  <c r="I23" i="5"/>
  <c r="I22" i="5"/>
  <c r="J26" i="5"/>
  <c r="A81" i="6"/>
  <c r="A53" i="6"/>
  <c r="A47" i="6"/>
  <c r="B40" i="6"/>
  <c r="I101" i="5"/>
  <c r="E118" i="6"/>
  <c r="F116" i="6"/>
  <c r="F117" i="6"/>
  <c r="F115" i="6"/>
  <c r="B118" i="6"/>
  <c r="C7" i="5"/>
  <c r="I7" i="5" s="1"/>
  <c r="J25" i="5"/>
  <c r="C65" i="6"/>
  <c r="B65" i="5" s="1"/>
  <c r="B61" i="5" s="1"/>
  <c r="F180" i="5" s="1"/>
  <c r="K178" i="5" s="1"/>
  <c r="F178" i="5"/>
  <c r="K177" i="5" s="1"/>
  <c r="B136" i="5" l="1"/>
  <c r="J133" i="5" s="1"/>
  <c r="J132" i="5"/>
  <c r="J134" i="5" s="1"/>
  <c r="I61" i="5"/>
  <c r="I102" i="5"/>
  <c r="I106" i="5" s="1"/>
  <c r="F166" i="5"/>
  <c r="B106" i="5"/>
  <c r="J105" i="5" s="1"/>
  <c r="B143" i="5"/>
  <c r="J27" i="5"/>
  <c r="B101" i="5"/>
  <c r="J104" i="5" s="1"/>
  <c r="J64" i="5"/>
  <c r="J65" i="5" s="1"/>
  <c r="G117" i="6"/>
  <c r="H117" i="6" s="1"/>
  <c r="G116" i="6"/>
  <c r="H116" i="6" s="1"/>
  <c r="G115" i="6"/>
  <c r="H115" i="6" s="1"/>
  <c r="D55" i="6"/>
  <c r="B7" i="6" s="1"/>
  <c r="B126" i="5"/>
  <c r="F170" i="5" s="1"/>
  <c r="L165" i="5" s="1"/>
  <c r="C111" i="5"/>
  <c r="I111" i="5" s="1"/>
  <c r="J112" i="5" s="1"/>
  <c r="B118" i="5"/>
  <c r="I117" i="5" s="1"/>
  <c r="A80" i="6"/>
  <c r="J9" i="5"/>
  <c r="J87" i="5"/>
  <c r="J88" i="5" s="1"/>
  <c r="L163" i="5"/>
  <c r="F160" i="5"/>
  <c r="L161" i="5" s="1"/>
  <c r="I24" i="5"/>
  <c r="I27" i="5" s="1"/>
  <c r="I88" i="5"/>
  <c r="I65" i="5"/>
  <c r="F118" i="6"/>
  <c r="B149" i="5" s="1"/>
  <c r="B154" i="5" s="1"/>
  <c r="B48" i="5"/>
  <c r="I141" i="5" l="1"/>
  <c r="J142" i="5" s="1"/>
  <c r="B153" i="5"/>
  <c r="C155" i="5" s="1"/>
  <c r="J106" i="5"/>
  <c r="F184" i="5"/>
  <c r="K180" i="5" s="1"/>
  <c r="L181" i="5" s="1"/>
  <c r="H118" i="6"/>
  <c r="A96" i="6"/>
  <c r="I126" i="5"/>
  <c r="J127" i="5" s="1"/>
  <c r="F168" i="5"/>
  <c r="L164" i="5" s="1"/>
  <c r="C51" i="5"/>
  <c r="I47" i="5" s="1"/>
  <c r="I50" i="5" s="1"/>
  <c r="J48" i="5"/>
  <c r="J50" i="5" s="1"/>
  <c r="J149" i="5"/>
  <c r="F172" i="5"/>
  <c r="L166" i="5" s="1"/>
  <c r="I148" i="5"/>
  <c r="F174" i="5" l="1"/>
  <c r="L167" i="5" s="1"/>
  <c r="K160" i="5" s="1"/>
  <c r="C188" i="5" s="1"/>
  <c r="B14" i="6"/>
  <c r="B102" i="6"/>
  <c r="B24" i="6" s="1"/>
  <c r="B121" i="5"/>
  <c r="I118" i="5" s="1"/>
  <c r="J119" i="5" s="1"/>
  <c r="B27" i="6" l="1"/>
  <c r="B28" i="6" s="1"/>
  <c r="B29" i="6" s="1"/>
  <c r="L188" i="5"/>
  <c r="K187" i="5"/>
</calcChain>
</file>

<file path=xl/sharedStrings.xml><?xml version="1.0" encoding="utf-8"?>
<sst xmlns="http://schemas.openxmlformats.org/spreadsheetml/2006/main" count="272" uniqueCount="188">
  <si>
    <t>$</t>
  </si>
  <si>
    <t>IVA Crédito Fiscal</t>
  </si>
  <si>
    <t>ACTIVO TOTAL</t>
  </si>
  <si>
    <t>Cuentas por Pagar</t>
  </si>
  <si>
    <t>IVA Débito Fiscal</t>
  </si>
  <si>
    <t>Cargas Sociales a Pagar</t>
  </si>
  <si>
    <t>Intereses Documentados</t>
  </si>
  <si>
    <t>Pasivo Exigible</t>
  </si>
  <si>
    <t>Capital Social</t>
  </si>
  <si>
    <t>Utilidades</t>
  </si>
  <si>
    <t>Patrimonio Neto</t>
  </si>
  <si>
    <t>PASIVO TOTAL</t>
  </si>
  <si>
    <t>Movimientos</t>
  </si>
  <si>
    <t>LIBRO DIARIO</t>
  </si>
  <si>
    <t>Asientos</t>
  </si>
  <si>
    <t xml:space="preserve">DEBE </t>
  </si>
  <si>
    <t>HABER</t>
  </si>
  <si>
    <t>IVA CF (A)</t>
  </si>
  <si>
    <t>a Disponibilidades (A)</t>
  </si>
  <si>
    <t>CS a Pagar (P)</t>
  </si>
  <si>
    <t>Ventas</t>
  </si>
  <si>
    <t>Disponibilidades (A)</t>
  </si>
  <si>
    <t>Sueldos</t>
  </si>
  <si>
    <t>C.Sociales</t>
  </si>
  <si>
    <t xml:space="preserve">   C.Sociales a Pagar (P)</t>
  </si>
  <si>
    <t>a Am.Acum.B.Uso (P)</t>
  </si>
  <si>
    <t>GyP</t>
  </si>
  <si>
    <t>Ganancias y Pérdidas</t>
  </si>
  <si>
    <t>a Ganancias y Pérdidas</t>
  </si>
  <si>
    <t>IVA Crédito Fiscal (A)</t>
  </si>
  <si>
    <t>Dto.P.Pago</t>
  </si>
  <si>
    <t>Cuenta por Cobrar (A)</t>
  </si>
  <si>
    <t xml:space="preserve">   IVA Débito Fiscal (P)</t>
  </si>
  <si>
    <t>Saldo de Préstamos</t>
  </si>
  <si>
    <t>Saldo de Intereses Documentados</t>
  </si>
  <si>
    <t>IG</t>
  </si>
  <si>
    <t>a Ventas (R+)</t>
  </si>
  <si>
    <t>Sueldos (R-)</t>
  </si>
  <si>
    <t>C.Sociales (R-)</t>
  </si>
  <si>
    <t>Intereses Perdidos</t>
  </si>
  <si>
    <t>Amort.Ejercicio B.Uso (R-)</t>
  </si>
  <si>
    <t>Cuentas por Cobrar</t>
  </si>
  <si>
    <t>Remuneraciones a Pagar</t>
  </si>
  <si>
    <t>Reservas</t>
  </si>
  <si>
    <t>Rem a Pagar (P)</t>
  </si>
  <si>
    <t>Descuento Pronto pago (R-)</t>
  </si>
  <si>
    <t xml:space="preserve">     IP</t>
  </si>
  <si>
    <t>Préstamo (P)</t>
  </si>
  <si>
    <t>Inereses Documentados (P)</t>
  </si>
  <si>
    <t>a Dsponibilidades (A)</t>
  </si>
  <si>
    <t>I.Perdidos (R-)</t>
  </si>
  <si>
    <t>CIERRE DEL EJERCICIO</t>
  </si>
  <si>
    <t>CUENTAS DE EGRESO</t>
  </si>
  <si>
    <t>Dto.PP</t>
  </si>
  <si>
    <t>CUENTAS DE INGRESO</t>
  </si>
  <si>
    <t>Ventas (R+)</t>
  </si>
  <si>
    <t>Intereses Ganados (R+)</t>
  </si>
  <si>
    <t>Disponibilidades en M/N</t>
  </si>
  <si>
    <t>Préstamos</t>
  </si>
  <si>
    <t>Previsión Despidos</t>
  </si>
  <si>
    <t>DC</t>
  </si>
  <si>
    <t>BIEN DE USO</t>
  </si>
  <si>
    <t>VO</t>
  </si>
  <si>
    <t>VU</t>
  </si>
  <si>
    <t>VR</t>
  </si>
  <si>
    <t>AM.MES</t>
  </si>
  <si>
    <t>TERRENOS</t>
  </si>
  <si>
    <t>EDIFICIOS</t>
  </si>
  <si>
    <t>INSTALACIONES</t>
  </si>
  <si>
    <t>VEHICULOS Y MUEBLES</t>
  </si>
  <si>
    <t>-</t>
  </si>
  <si>
    <t>a Intereses Ganados (R+)</t>
  </si>
  <si>
    <t>Disponibilidades en M/N (A)</t>
  </si>
  <si>
    <t>Am.Ej.</t>
  </si>
  <si>
    <t>IIGG</t>
  </si>
  <si>
    <t>Cargos Diferidos</t>
  </si>
  <si>
    <t>Terrenos</t>
  </si>
  <si>
    <t>Edificios</t>
  </si>
  <si>
    <t>Instalaciones</t>
  </si>
  <si>
    <t>Vehículos y Muebles</t>
  </si>
  <si>
    <t>Amortizaciones Acumuladas</t>
  </si>
  <si>
    <t>Provisiones</t>
  </si>
  <si>
    <t>Provisión Impuesto a las Ganancias</t>
  </si>
  <si>
    <t>Inversiones Transitorias</t>
  </si>
  <si>
    <t>Y cada fin de mes</t>
  </si>
  <si>
    <t>Seguros</t>
  </si>
  <si>
    <t>Plazo Fijo (A)</t>
  </si>
  <si>
    <t>a Inversiones Transitorias (A)</t>
  </si>
  <si>
    <t>Rendimiento Acciones</t>
  </si>
  <si>
    <t xml:space="preserve">   Rendimiento Acciones (R+)</t>
  </si>
  <si>
    <t xml:space="preserve">Aj.Ej.Ant </t>
  </si>
  <si>
    <t>Provisiones (P)</t>
  </si>
  <si>
    <t xml:space="preserve">  Ajuste Ej.Anteriores (R+)</t>
  </si>
  <si>
    <t>Préstamos al Personal (A)</t>
  </si>
  <si>
    <t>a Bienes de Uso (A)</t>
  </si>
  <si>
    <t xml:space="preserve">   IVA DF (P)</t>
  </si>
  <si>
    <t>Resultado</t>
  </si>
  <si>
    <t>Seguro s/Siniestro</t>
  </si>
  <si>
    <t xml:space="preserve">   Resultado seguro s/Siniestro (R+)</t>
  </si>
  <si>
    <t>Seguros (R-)</t>
  </si>
  <si>
    <t>a Cargos Diferidos (A)</t>
  </si>
  <si>
    <t>R+</t>
  </si>
  <si>
    <t>R-</t>
  </si>
  <si>
    <t>CS Soc</t>
  </si>
  <si>
    <t>Int.Perd.</t>
  </si>
  <si>
    <t>Am.Ej</t>
  </si>
  <si>
    <t>a Dto.PP (R-)</t>
  </si>
  <si>
    <t xml:space="preserve">   Sueldos (R-)</t>
  </si>
  <si>
    <t xml:space="preserve">   Cs.Soc. (R-)</t>
  </si>
  <si>
    <t xml:space="preserve">   Seguros (R-)</t>
  </si>
  <si>
    <t xml:space="preserve">   Int.Perdidos (R-)</t>
  </si>
  <si>
    <t xml:space="preserve">   Amort.Ej (R-)</t>
  </si>
  <si>
    <t xml:space="preserve">   IIGG (R-)</t>
  </si>
  <si>
    <t>Rend.Acc.</t>
  </si>
  <si>
    <t>Aj.Ej.Ant.</t>
  </si>
  <si>
    <t>Result.Seguro s/Siniestro</t>
  </si>
  <si>
    <t>Int.Ganados</t>
  </si>
  <si>
    <t>Rendimiento Acciones (R+)</t>
  </si>
  <si>
    <t>Ajuste de Ejercicios Anteriores (R+)</t>
  </si>
  <si>
    <t>Resultado Seguro s/Siniestros (R+)</t>
  </si>
  <si>
    <t>a Utilidades del Ejercicio (PN)</t>
  </si>
  <si>
    <t>a Préstamos al Personal (A)</t>
  </si>
  <si>
    <t>Balance al 31-07-2017</t>
  </si>
  <si>
    <t>a</t>
  </si>
  <si>
    <t>b</t>
  </si>
  <si>
    <t>e</t>
  </si>
  <si>
    <t>c</t>
  </si>
  <si>
    <t>d</t>
  </si>
  <si>
    <t>Intereses a Devengar</t>
  </si>
  <si>
    <t>f</t>
  </si>
  <si>
    <t>El 10/7 hizo</t>
  </si>
  <si>
    <t>El 31/7 hizo</t>
  </si>
  <si>
    <t xml:space="preserve">Por lo tanto el saldo de Inversiones Transitorias al 31 de Julio será </t>
  </si>
  <si>
    <t xml:space="preserve">o directamente 1.000 x 133 </t>
  </si>
  <si>
    <t>Asi hasta Julio (7 meses)</t>
  </si>
  <si>
    <t>Saldo cargos Diferidos al 31/7</t>
  </si>
  <si>
    <t>En Junio y Julio se hizo</t>
  </si>
  <si>
    <t>Asesoría Contable</t>
  </si>
  <si>
    <t>Por lo que el saldo de la cuenta Provisiones es al 31/7 de</t>
  </si>
  <si>
    <t>Al tomar el préstamo el 31-1-17 hicimos:</t>
  </si>
  <si>
    <t>(900000x0,25/12x10)</t>
  </si>
  <si>
    <t>Desde el 28-2-2012 se devengan los intereses y se pagan capital e intereses:</t>
  </si>
  <si>
    <t>Como al 31-7 transcurrieron 6 meses de cancelación del crédito y devengamiento de intereses:</t>
  </si>
  <si>
    <t>Saldo de Intereses a Devengar</t>
  </si>
  <si>
    <t>AA 31-12-16</t>
  </si>
  <si>
    <t>AA 31-07-17</t>
  </si>
  <si>
    <t>AM.MESx7</t>
  </si>
  <si>
    <t>Intereses P.Fijo (A)</t>
  </si>
  <si>
    <t>a Int.a Devengar (P)</t>
  </si>
  <si>
    <t>Son 1.000 acciones a 147 que estaban en stock a 133, o sea:</t>
  </si>
  <si>
    <t>Amortizaciones Acumuladas (P)</t>
  </si>
  <si>
    <t xml:space="preserve">   Remuneraciones a Pagar (P)</t>
  </si>
  <si>
    <t>a Intereses a Devengar (A)</t>
  </si>
  <si>
    <t>A fin de mes devengar 1700000x0,5x0,12/12/30x(31-10)</t>
  </si>
  <si>
    <t>Intereses por Cobrar (A)</t>
  </si>
  <si>
    <t>Intereses a Devengar (P)</t>
  </si>
  <si>
    <t>Am Mens</t>
  </si>
  <si>
    <t>Disp</t>
  </si>
  <si>
    <t>Ventas R+</t>
  </si>
  <si>
    <t>IVA DF</t>
  </si>
  <si>
    <t>IVA CF</t>
  </si>
  <si>
    <t>Dto PP R-</t>
  </si>
  <si>
    <t>CxC</t>
  </si>
  <si>
    <t>PF</t>
  </si>
  <si>
    <t>IxC</t>
  </si>
  <si>
    <t>Int a Dev</t>
  </si>
  <si>
    <t>Ganancia Acciones R+</t>
  </si>
  <si>
    <t>Aj Ej Ant R+</t>
  </si>
  <si>
    <t>Iva CF</t>
  </si>
  <si>
    <t>Prest Pers</t>
  </si>
  <si>
    <t>AA</t>
  </si>
  <si>
    <t>Venta</t>
  </si>
  <si>
    <t>BU</t>
  </si>
  <si>
    <t>Ut x Vta BU R+</t>
  </si>
  <si>
    <t>S R-</t>
  </si>
  <si>
    <t>CS R-</t>
  </si>
  <si>
    <t>CSAP</t>
  </si>
  <si>
    <t>RAP</t>
  </si>
  <si>
    <t>Seguro Inc R-</t>
  </si>
  <si>
    <t>CD</t>
  </si>
  <si>
    <t>Int Perd R-</t>
  </si>
  <si>
    <t>Int Gan R+</t>
  </si>
  <si>
    <t>Amort R-</t>
  </si>
  <si>
    <t>IIGG R-</t>
  </si>
  <si>
    <t>Prov IIGG</t>
  </si>
  <si>
    <t>Cieres</t>
  </si>
  <si>
    <t>GYP</t>
  </si>
  <si>
    <t>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</si>
</sst>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&quot;$&quot;\ #,##0.00"/>
    <numFmt numFmtId="167" formatCode="#,##0.0;\(#,##0.0\)"/>
  </numFmts>
  <fonts count="19" x14ac:knownFonts="1">
    <font>
      <sz val="10"/>
      <name val="Trebuchet MS"/>
    </font>
    <font>
      <b/>
      <sz val="10"/>
      <name val="Trebuchet MS"/>
      <family val="2"/>
    </font>
    <font>
      <b/>
      <u/>
      <sz val="10"/>
      <name val="Trebuchet MS"/>
      <family val="2"/>
    </font>
    <font>
      <b/>
      <sz val="8"/>
      <name val="Trebuchet MS"/>
      <family val="2"/>
    </font>
    <font>
      <sz val="8"/>
      <name val="Trebuchet MS"/>
      <family val="2"/>
    </font>
    <font>
      <sz val="10"/>
      <name val="Trebuchet MS"/>
      <family val="2"/>
    </font>
    <font>
      <b/>
      <sz val="11"/>
      <name val="Trebuchet MS"/>
      <family val="2"/>
    </font>
    <font>
      <i/>
      <sz val="10"/>
      <name val="Trebuchet MS"/>
      <family val="2"/>
    </font>
    <font>
      <u/>
      <sz val="12"/>
      <name val="Trebuchet MS"/>
      <family val="2"/>
    </font>
    <font>
      <sz val="12"/>
      <name val="Trebuchet MS"/>
      <family val="2"/>
    </font>
    <font>
      <i/>
      <sz val="9"/>
      <name val="Trebuchet MS"/>
      <family val="2"/>
    </font>
    <font>
      <i/>
      <u/>
      <sz val="9"/>
      <name val="Trebuchet MS"/>
      <family val="2"/>
    </font>
    <font>
      <i/>
      <sz val="11"/>
      <name val="Trebuchet MS"/>
      <family val="2"/>
    </font>
    <font>
      <b/>
      <sz val="9"/>
      <name val="Trebuchet MS"/>
      <family val="2"/>
    </font>
    <font>
      <sz val="9"/>
      <name val="Trebuchet MS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9"/>
      <name val="Trebuchet MS"/>
      <family val="2"/>
    </font>
    <font>
      <b/>
      <i/>
      <sz val="10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left"/>
    </xf>
    <xf numFmtId="164" fontId="2" fillId="0" borderId="0" xfId="0" applyNumberFormat="1" applyFont="1"/>
    <xf numFmtId="164" fontId="2" fillId="0" borderId="0" xfId="0" quotePrefix="1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3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2" xfId="0" applyNumberFormat="1" applyBorder="1"/>
    <xf numFmtId="164" fontId="3" fillId="0" borderId="5" xfId="0" applyNumberFormat="1" applyFont="1" applyBorder="1"/>
    <xf numFmtId="164" fontId="0" fillId="0" borderId="4" xfId="0" quotePrefix="1" applyNumberFormat="1" applyBorder="1" applyAlignment="1">
      <alignment horizontal="left"/>
    </xf>
    <xf numFmtId="164" fontId="0" fillId="0" borderId="3" xfId="0" applyNumberFormat="1" applyBorder="1"/>
    <xf numFmtId="0" fontId="1" fillId="0" borderId="0" xfId="0" applyFont="1"/>
    <xf numFmtId="164" fontId="1" fillId="0" borderId="6" xfId="0" applyNumberFormat="1" applyFont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164" fontId="1" fillId="0" borderId="0" xfId="0" applyNumberFormat="1" applyFont="1"/>
    <xf numFmtId="0" fontId="5" fillId="0" borderId="0" xfId="0" applyFont="1"/>
    <xf numFmtId="164" fontId="0" fillId="0" borderId="0" xfId="0" applyNumberFormat="1" applyAlignment="1">
      <alignment horizontal="right"/>
    </xf>
    <xf numFmtId="164" fontId="0" fillId="0" borderId="1" xfId="0" applyNumberFormat="1" applyBorder="1"/>
    <xf numFmtId="164" fontId="3" fillId="0" borderId="5" xfId="0" quotePrefix="1" applyNumberFormat="1" applyFont="1" applyBorder="1" applyAlignment="1">
      <alignment horizontal="left"/>
    </xf>
    <xf numFmtId="164" fontId="1" fillId="0" borderId="0" xfId="0" applyNumberFormat="1" applyFont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4" xfId="0" quotePrefix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164" fontId="0" fillId="0" borderId="12" xfId="0" applyNumberFormat="1" applyBorder="1"/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0" fillId="0" borderId="4" xfId="0" applyBorder="1" applyAlignment="1">
      <alignment horizontal="left"/>
    </xf>
    <xf numFmtId="164" fontId="0" fillId="3" borderId="1" xfId="0" applyNumberFormat="1" applyFill="1" applyBorder="1"/>
    <xf numFmtId="164" fontId="5" fillId="0" borderId="0" xfId="0" applyNumberFormat="1" applyFont="1"/>
    <xf numFmtId="0" fontId="8" fillId="0" borderId="0" xfId="0" applyFont="1" applyAlignment="1">
      <alignment horizontal="left" indent="1"/>
    </xf>
    <xf numFmtId="165" fontId="0" fillId="3" borderId="1" xfId="0" applyNumberFormat="1" applyFill="1" applyBorder="1"/>
    <xf numFmtId="164" fontId="5" fillId="0" borderId="4" xfId="0" quotePrefix="1" applyNumberFormat="1" applyFont="1" applyBorder="1" applyAlignment="1">
      <alignment horizontal="left"/>
    </xf>
    <xf numFmtId="164" fontId="5" fillId="0" borderId="9" xfId="0" quotePrefix="1" applyNumberFormat="1" applyFont="1" applyBorder="1" applyAlignment="1">
      <alignment horizontal="left"/>
    </xf>
    <xf numFmtId="164" fontId="5" fillId="0" borderId="10" xfId="0" quotePrefix="1" applyNumberFormat="1" applyFont="1" applyBorder="1" applyAlignment="1">
      <alignment horizontal="left"/>
    </xf>
    <xf numFmtId="164" fontId="5" fillId="0" borderId="11" xfId="0" quotePrefix="1" applyNumberFormat="1" applyFont="1" applyBorder="1" applyAlignment="1">
      <alignment horizontal="left"/>
    </xf>
    <xf numFmtId="165" fontId="0" fillId="0" borderId="0" xfId="0" applyNumberFormat="1"/>
    <xf numFmtId="164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165" fontId="0" fillId="0" borderId="5" xfId="0" applyNumberFormat="1" applyBorder="1"/>
    <xf numFmtId="165" fontId="0" fillId="0" borderId="2" xfId="0" applyNumberFormat="1" applyBorder="1"/>
    <xf numFmtId="165" fontId="0" fillId="0" borderId="1" xfId="0" applyNumberFormat="1" applyBorder="1"/>
    <xf numFmtId="164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right"/>
    </xf>
    <xf numFmtId="165" fontId="2" fillId="0" borderId="0" xfId="0" applyNumberFormat="1" applyFont="1"/>
    <xf numFmtId="2" fontId="0" fillId="0" borderId="0" xfId="0" applyNumberFormat="1"/>
    <xf numFmtId="164" fontId="5" fillId="0" borderId="0" xfId="0" quotePrefix="1" applyNumberFormat="1" applyFont="1" applyAlignment="1">
      <alignment horizontal="left"/>
    </xf>
    <xf numFmtId="164" fontId="5" fillId="0" borderId="5" xfId="0" quotePrefix="1" applyNumberFormat="1" applyFont="1" applyBorder="1" applyAlignment="1">
      <alignment horizontal="left"/>
    </xf>
    <xf numFmtId="165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5" fontId="0" fillId="0" borderId="0" xfId="0" applyNumberFormat="1" applyAlignment="1">
      <alignment horizontal="left"/>
    </xf>
    <xf numFmtId="164" fontId="5" fillId="0" borderId="4" xfId="0" applyNumberFormat="1" applyFont="1" applyBorder="1" applyAlignment="1">
      <alignment horizontal="left"/>
    </xf>
    <xf numFmtId="165" fontId="0" fillId="0" borderId="15" xfId="0" applyNumberFormat="1" applyBorder="1"/>
    <xf numFmtId="165" fontId="0" fillId="0" borderId="0" xfId="0" applyNumberFormat="1" applyAlignment="1">
      <alignment horizontal="center"/>
    </xf>
    <xf numFmtId="164" fontId="5" fillId="0" borderId="4" xfId="0" applyNumberFormat="1" applyFont="1" applyBorder="1"/>
    <xf numFmtId="164" fontId="5" fillId="0" borderId="2" xfId="0" quotePrefix="1" applyNumberFormat="1" applyFont="1" applyBorder="1" applyAlignment="1">
      <alignment horizontal="left"/>
    </xf>
    <xf numFmtId="164" fontId="5" fillId="0" borderId="5" xfId="0" applyNumberFormat="1" applyFont="1" applyBorder="1"/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166" fontId="0" fillId="0" borderId="7" xfId="0" applyNumberFormat="1" applyBorder="1"/>
    <xf numFmtId="166" fontId="0" fillId="0" borderId="8" xfId="0" applyNumberFormat="1" applyBorder="1"/>
    <xf numFmtId="166" fontId="0" fillId="0" borderId="0" xfId="0" applyNumberFormat="1"/>
    <xf numFmtId="166" fontId="0" fillId="0" borderId="5" xfId="0" applyNumberFormat="1" applyBorder="1"/>
    <xf numFmtId="166" fontId="0" fillId="0" borderId="4" xfId="0" applyNumberFormat="1" applyBorder="1"/>
    <xf numFmtId="166" fontId="0" fillId="0" borderId="2" xfId="0" applyNumberFormat="1" applyBorder="1"/>
    <xf numFmtId="166" fontId="16" fillId="0" borderId="6" xfId="0" applyNumberFormat="1" applyFont="1" applyBorder="1"/>
    <xf numFmtId="166" fontId="15" fillId="0" borderId="0" xfId="0" applyNumberFormat="1" applyFont="1" applyAlignment="1">
      <alignment horizontal="center"/>
    </xf>
    <xf numFmtId="166" fontId="16" fillId="0" borderId="4" xfId="0" quotePrefix="1" applyNumberFormat="1" applyFont="1" applyBorder="1" applyAlignment="1">
      <alignment horizontal="left"/>
    </xf>
    <xf numFmtId="166" fontId="0" fillId="0" borderId="9" xfId="0" applyNumberFormat="1" applyBorder="1"/>
    <xf numFmtId="166" fontId="0" fillId="0" borderId="10" xfId="0" applyNumberFormat="1" applyBorder="1"/>
    <xf numFmtId="166" fontId="0" fillId="0" borderId="11" xfId="0" applyNumberFormat="1" applyBorder="1"/>
    <xf numFmtId="166" fontId="5" fillId="0" borderId="5" xfId="0" applyNumberFormat="1" applyFont="1" applyBorder="1"/>
    <xf numFmtId="166" fontId="5" fillId="0" borderId="4" xfId="0" applyNumberFormat="1" applyFont="1" applyBorder="1"/>
    <xf numFmtId="2" fontId="0" fillId="0" borderId="2" xfId="0" applyNumberFormat="1" applyBorder="1"/>
    <xf numFmtId="2" fontId="0" fillId="0" borderId="5" xfId="0" applyNumberFormat="1" applyBorder="1"/>
    <xf numFmtId="165" fontId="5" fillId="0" borderId="2" xfId="0" quotePrefix="1" applyNumberFormat="1" applyFon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164" fontId="7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right" indent="1"/>
    </xf>
    <xf numFmtId="164" fontId="1" fillId="3" borderId="1" xfId="0" applyNumberFormat="1" applyFont="1" applyFill="1" applyBorder="1"/>
    <xf numFmtId="164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/>
    <xf numFmtId="0" fontId="5" fillId="0" borderId="4" xfId="0" applyFont="1" applyBorder="1"/>
    <xf numFmtId="0" fontId="5" fillId="0" borderId="0" xfId="0" quotePrefix="1" applyFont="1"/>
    <xf numFmtId="0" fontId="10" fillId="0" borderId="4" xfId="0" applyFont="1" applyBorder="1"/>
    <xf numFmtId="0" fontId="5" fillId="0" borderId="4" xfId="0" applyFont="1" applyBorder="1" applyAlignment="1">
      <alignment horizontal="left"/>
    </xf>
    <xf numFmtId="2" fontId="0" fillId="4" borderId="0" xfId="0" applyNumberFormat="1" applyFill="1" applyAlignment="1">
      <alignment horizontal="center"/>
    </xf>
    <xf numFmtId="2" fontId="0" fillId="3" borderId="0" xfId="0" applyNumberFormat="1" applyFill="1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2" fontId="0" fillId="0" borderId="1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11" fillId="0" borderId="4" xfId="0" applyFont="1" applyBorder="1"/>
    <xf numFmtId="0" fontId="5" fillId="0" borderId="4" xfId="0" applyFont="1" applyBorder="1" applyAlignment="1">
      <alignment horizontal="center"/>
    </xf>
    <xf numFmtId="165" fontId="0" fillId="4" borderId="0" xfId="0" applyNumberFormat="1" applyFill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6" fontId="5" fillId="0" borderId="6" xfId="0" applyNumberFormat="1" applyFont="1" applyBorder="1"/>
    <xf numFmtId="166" fontId="5" fillId="0" borderId="0" xfId="0" applyNumberFormat="1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right" indent="1"/>
    </xf>
    <xf numFmtId="164" fontId="13" fillId="0" borderId="0" xfId="0" applyNumberFormat="1" applyFont="1"/>
    <xf numFmtId="0" fontId="3" fillId="0" borderId="7" xfId="0" applyFont="1" applyBorder="1"/>
    <xf numFmtId="0" fontId="3" fillId="0" borderId="10" xfId="0" applyFont="1" applyBorder="1"/>
    <xf numFmtId="164" fontId="5" fillId="0" borderId="6" xfId="0" applyNumberFormat="1" applyFont="1" applyBorder="1" applyAlignment="1">
      <alignment horizontal="left"/>
    </xf>
    <xf numFmtId="164" fontId="5" fillId="0" borderId="0" xfId="0" quotePrefix="1" applyNumberFormat="1" applyFont="1"/>
    <xf numFmtId="164" fontId="0" fillId="0" borderId="15" xfId="0" applyNumberFormat="1" applyBorder="1"/>
    <xf numFmtId="0" fontId="5" fillId="0" borderId="5" xfId="0" applyFont="1" applyBorder="1" applyAlignment="1">
      <alignment horizontal="right"/>
    </xf>
    <xf numFmtId="164" fontId="5" fillId="0" borderId="2" xfId="0" quotePrefix="1" applyNumberFormat="1" applyFon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0" fillId="3" borderId="0" xfId="0" applyNumberFormat="1" applyFill="1" applyAlignment="1">
      <alignment horizontal="right"/>
    </xf>
    <xf numFmtId="2" fontId="0" fillId="4" borderId="0" xfId="0" applyNumberFormat="1" applyFill="1"/>
    <xf numFmtId="2" fontId="0" fillId="3" borderId="0" xfId="0" applyNumberFormat="1" applyFill="1"/>
    <xf numFmtId="166" fontId="5" fillId="0" borderId="10" xfId="0" applyNumberFormat="1" applyFont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64" fontId="0" fillId="4" borderId="0" xfId="0" applyNumberFormat="1" applyFill="1"/>
    <xf numFmtId="0" fontId="0" fillId="4" borderId="0" xfId="0" applyFill="1"/>
    <xf numFmtId="164" fontId="0" fillId="3" borderId="0" xfId="0" applyNumberFormat="1" applyFill="1" applyAlignment="1">
      <alignment horizontal="left"/>
    </xf>
    <xf numFmtId="166" fontId="0" fillId="3" borderId="0" xfId="0" applyNumberFormat="1" applyFill="1"/>
    <xf numFmtId="166" fontId="14" fillId="0" borderId="4" xfId="0" applyNumberFormat="1" applyFont="1" applyBorder="1"/>
    <xf numFmtId="166" fontId="3" fillId="0" borderId="4" xfId="0" applyNumberFormat="1" applyFont="1" applyBorder="1"/>
    <xf numFmtId="166" fontId="5" fillId="0" borderId="0" xfId="0" applyNumberFormat="1" applyFont="1" applyAlignment="1">
      <alignment horizontal="left"/>
    </xf>
    <xf numFmtId="166" fontId="5" fillId="0" borderId="0" xfId="0" quotePrefix="1" applyNumberFormat="1" applyFont="1" applyAlignment="1">
      <alignment horizontal="left"/>
    </xf>
    <xf numFmtId="166" fontId="5" fillId="0" borderId="0" xfId="0" quotePrefix="1" applyNumberFormat="1" applyFont="1"/>
    <xf numFmtId="165" fontId="0" fillId="0" borderId="0" xfId="0" applyNumberFormat="1" applyAlignment="1">
      <alignment horizontal="right"/>
    </xf>
    <xf numFmtId="165" fontId="0" fillId="2" borderId="1" xfId="0" applyNumberFormat="1" applyFill="1" applyBorder="1"/>
    <xf numFmtId="167" fontId="0" fillId="0" borderId="1" xfId="0" applyNumberFormat="1" applyBorder="1"/>
    <xf numFmtId="167" fontId="6" fillId="3" borderId="1" xfId="0" applyNumberFormat="1" applyFont="1" applyFill="1" applyBorder="1"/>
    <xf numFmtId="2" fontId="5" fillId="0" borderId="0" xfId="0" applyNumberFormat="1" applyFont="1"/>
    <xf numFmtId="0" fontId="17" fillId="5" borderId="13" xfId="0" applyFont="1" applyFill="1" applyBorder="1"/>
    <xf numFmtId="0" fontId="3" fillId="5" borderId="14" xfId="0" applyFont="1" applyFill="1" applyBorder="1"/>
    <xf numFmtId="0" fontId="0" fillId="5" borderId="14" xfId="0" applyFill="1" applyBorder="1"/>
    <xf numFmtId="0" fontId="0" fillId="5" borderId="15" xfId="0" applyFill="1" applyBorder="1"/>
    <xf numFmtId="2" fontId="18" fillId="5" borderId="1" xfId="0" applyNumberFormat="1" applyFont="1" applyFill="1" applyBorder="1"/>
    <xf numFmtId="166" fontId="14" fillId="0" borderId="7" xfId="0" applyNumberFormat="1" applyFont="1" applyBorder="1"/>
    <xf numFmtId="166" fontId="14" fillId="0" borderId="0" xfId="0" applyNumberFormat="1" applyFont="1"/>
    <xf numFmtId="164" fontId="2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right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5" fillId="0" borderId="12" xfId="0" quotePrefix="1" applyNumberFormat="1" applyFont="1" applyBorder="1" applyAlignment="1">
      <alignment horizontal="left"/>
    </xf>
    <xf numFmtId="164" fontId="5" fillId="0" borderId="6" xfId="0" quotePrefix="1" applyNumberFormat="1" applyFont="1" applyBorder="1" applyAlignment="1">
      <alignment horizontal="left"/>
    </xf>
    <xf numFmtId="164" fontId="5" fillId="0" borderId="7" xfId="0" quotePrefix="1" applyNumberFormat="1" applyFont="1" applyBorder="1" applyAlignment="1">
      <alignment horizontal="left"/>
    </xf>
    <xf numFmtId="164" fontId="5" fillId="0" borderId="8" xfId="0" quotePrefix="1" applyNumberFormat="1" applyFont="1" applyBorder="1" applyAlignment="1">
      <alignment horizontal="left"/>
    </xf>
    <xf numFmtId="164" fontId="5" fillId="0" borderId="0" xfId="0" applyNumberFormat="1" applyFont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13" Type="http://schemas.openxmlformats.org/officeDocument/2006/relationships/image" Target="../media/image18.emf"/><Relationship Id="rId3" Type="http://schemas.openxmlformats.org/officeDocument/2006/relationships/image" Target="../media/image8.emf"/><Relationship Id="rId7" Type="http://schemas.openxmlformats.org/officeDocument/2006/relationships/image" Target="../media/image12.emf"/><Relationship Id="rId12" Type="http://schemas.openxmlformats.org/officeDocument/2006/relationships/image" Target="../media/image17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6" Type="http://schemas.openxmlformats.org/officeDocument/2006/relationships/image" Target="../media/image11.emf"/><Relationship Id="rId11" Type="http://schemas.openxmlformats.org/officeDocument/2006/relationships/image" Target="../media/image16.emf"/><Relationship Id="rId5" Type="http://schemas.openxmlformats.org/officeDocument/2006/relationships/image" Target="../media/image10.emf"/><Relationship Id="rId10" Type="http://schemas.openxmlformats.org/officeDocument/2006/relationships/image" Target="../media/image15.emf"/><Relationship Id="rId4" Type="http://schemas.openxmlformats.org/officeDocument/2006/relationships/image" Target="../media/image9.emf"/><Relationship Id="rId9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71</xdr:row>
      <xdr:rowOff>49530</xdr:rowOff>
    </xdr:from>
    <xdr:to>
      <xdr:col>0</xdr:col>
      <xdr:colOff>703571</xdr:colOff>
      <xdr:row>75</xdr:row>
      <xdr:rowOff>118375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209550" y="12668250"/>
          <a:ext cx="485775" cy="819150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Préstamos</a:t>
          </a:r>
        </a:p>
      </xdr:txBody>
    </xdr:sp>
    <xdr:clientData/>
  </xdr:twoCellAnchor>
  <xdr:twoCellAnchor>
    <xdr:from>
      <xdr:col>0</xdr:col>
      <xdr:colOff>2074545</xdr:colOff>
      <xdr:row>71</xdr:row>
      <xdr:rowOff>0</xdr:rowOff>
    </xdr:from>
    <xdr:to>
      <xdr:col>0</xdr:col>
      <xdr:colOff>2640146</xdr:colOff>
      <xdr:row>74</xdr:row>
      <xdr:rowOff>49578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2066925" y="12611100"/>
          <a:ext cx="581025" cy="6286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Disp.</a:t>
          </a:r>
        </a:p>
      </xdr:txBody>
    </xdr:sp>
    <xdr:clientData/>
  </xdr:twoCellAnchor>
  <xdr:twoCellAnchor>
    <xdr:from>
      <xdr:col>0</xdr:col>
      <xdr:colOff>695325</xdr:colOff>
      <xdr:row>72</xdr:row>
      <xdr:rowOff>123825</xdr:rowOff>
    </xdr:from>
    <xdr:to>
      <xdr:col>0</xdr:col>
      <xdr:colOff>2066925</xdr:colOff>
      <xdr:row>73</xdr:row>
      <xdr:rowOff>85725</xdr:rowOff>
    </xdr:to>
    <xdr:cxnSp macro="">
      <xdr:nvCxnSpPr>
        <xdr:cNvPr id="32335" name="AutoShape 13">
          <a:extLst>
            <a:ext uri="{FF2B5EF4-FFF2-40B4-BE49-F238E27FC236}">
              <a16:creationId xmlns:a16="http://schemas.microsoft.com/office/drawing/2014/main" id="{00000000-0008-0000-0000-00004F7E0000}"/>
            </a:ext>
          </a:extLst>
        </xdr:cNvPr>
        <xdr:cNvCxnSpPr>
          <a:cxnSpLocks noChangeShapeType="1"/>
          <a:stCxn id="12" idx="3"/>
          <a:endCxn id="13" idx="2"/>
        </xdr:cNvCxnSpPr>
      </xdr:nvCxnSpPr>
      <xdr:spPr bwMode="auto">
        <a:xfrm flipV="1">
          <a:off x="695325" y="15344775"/>
          <a:ext cx="1371600" cy="1524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209550</xdr:colOff>
      <xdr:row>76</xdr:row>
      <xdr:rowOff>49530</xdr:rowOff>
    </xdr:from>
    <xdr:to>
      <xdr:col>0</xdr:col>
      <xdr:colOff>703571</xdr:colOff>
      <xdr:row>80</xdr:row>
      <xdr:rowOff>118375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209550" y="13620750"/>
          <a:ext cx="485775" cy="819150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Inter.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Docum.</a:t>
          </a:r>
        </a:p>
      </xdr:txBody>
    </xdr:sp>
    <xdr:clientData/>
  </xdr:twoCellAnchor>
  <xdr:twoCellAnchor>
    <xdr:from>
      <xdr:col>1</xdr:col>
      <xdr:colOff>142875</xdr:colOff>
      <xdr:row>76</xdr:row>
      <xdr:rowOff>11430</xdr:rowOff>
    </xdr:from>
    <xdr:to>
      <xdr:col>1</xdr:col>
      <xdr:colOff>731750</xdr:colOff>
      <xdr:row>79</xdr:row>
      <xdr:rowOff>76248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2857500" y="13582650"/>
          <a:ext cx="581025" cy="6286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Inter.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Difer.</a:t>
          </a:r>
        </a:p>
      </xdr:txBody>
    </xdr:sp>
    <xdr:clientData/>
  </xdr:twoCellAnchor>
  <xdr:twoCellAnchor>
    <xdr:from>
      <xdr:col>0</xdr:col>
      <xdr:colOff>695325</xdr:colOff>
      <xdr:row>78</xdr:row>
      <xdr:rowOff>57150</xdr:rowOff>
    </xdr:from>
    <xdr:to>
      <xdr:col>0</xdr:col>
      <xdr:colOff>1762125</xdr:colOff>
      <xdr:row>78</xdr:row>
      <xdr:rowOff>85725</xdr:rowOff>
    </xdr:to>
    <xdr:cxnSp macro="">
      <xdr:nvCxnSpPr>
        <xdr:cNvPr id="32338" name="AutoShape 16">
          <a:extLst>
            <a:ext uri="{FF2B5EF4-FFF2-40B4-BE49-F238E27FC236}">
              <a16:creationId xmlns:a16="http://schemas.microsoft.com/office/drawing/2014/main" id="{00000000-0008-0000-0000-0000527E0000}"/>
            </a:ext>
          </a:extLst>
        </xdr:cNvPr>
        <xdr:cNvCxnSpPr>
          <a:cxnSpLocks noChangeShapeType="1"/>
          <a:stCxn id="15" idx="3"/>
          <a:endCxn id="32347" idx="1"/>
        </xdr:cNvCxnSpPr>
      </xdr:nvCxnSpPr>
      <xdr:spPr bwMode="auto">
        <a:xfrm flipV="1">
          <a:off x="695325" y="16421100"/>
          <a:ext cx="1066800" cy="285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209550</xdr:colOff>
      <xdr:row>86</xdr:row>
      <xdr:rowOff>76200</xdr:rowOff>
    </xdr:from>
    <xdr:to>
      <xdr:col>0</xdr:col>
      <xdr:colOff>781485</xdr:colOff>
      <xdr:row>89</xdr:row>
      <xdr:rowOff>125778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209550" y="15735300"/>
          <a:ext cx="581025" cy="6286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Inter.</a:t>
          </a:r>
          <a:endParaRPr lang="x-none" sz="800" b="1" i="0" u="none" strike="noStrike" baseline="0">
            <a:solidFill>
              <a:srgbClr val="000000"/>
            </a:solidFill>
            <a:latin typeface="Trebuchet MS"/>
          </a:endParaRPr>
        </a:p>
        <a:p>
          <a:pPr algn="ctr" rtl="0">
            <a:defRPr sz="1000"/>
          </a:pPr>
          <a:r>
            <a:rPr lang="x-none" sz="800" b="1" i="0" u="none" strike="noStrike" baseline="0">
              <a:solidFill>
                <a:srgbClr val="000000"/>
              </a:solidFill>
              <a:latin typeface="Trebuchet MS"/>
            </a:rPr>
            <a:t>a</a:t>
          </a:r>
          <a:endParaRPr lang="es-AR" sz="800" b="1" i="0" u="none" strike="noStrike" baseline="0">
            <a:solidFill>
              <a:srgbClr val="000000"/>
            </a:solidFill>
            <a:latin typeface="Trebuchet MS"/>
          </a:endParaRP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Dev</a:t>
          </a:r>
        </a:p>
      </xdr:txBody>
    </xdr:sp>
    <xdr:clientData/>
  </xdr:twoCellAnchor>
  <xdr:twoCellAnchor>
    <xdr:from>
      <xdr:col>0</xdr:col>
      <xdr:colOff>2524125</xdr:colOff>
      <xdr:row>87</xdr:row>
      <xdr:rowOff>0</xdr:rowOff>
    </xdr:from>
    <xdr:to>
      <xdr:col>0</xdr:col>
      <xdr:colOff>2657475</xdr:colOff>
      <xdr:row>87</xdr:row>
      <xdr:rowOff>142875</xdr:rowOff>
    </xdr:to>
    <xdr:sp macro="" textlink="">
      <xdr:nvSpPr>
        <xdr:cNvPr id="32340" name="Oval 18">
          <a:extLst>
            <a:ext uri="{FF2B5EF4-FFF2-40B4-BE49-F238E27FC236}">
              <a16:creationId xmlns:a16="http://schemas.microsoft.com/office/drawing/2014/main" id="{00000000-0008-0000-0000-0000547E0000}"/>
            </a:ext>
          </a:extLst>
        </xdr:cNvPr>
        <xdr:cNvSpPr>
          <a:spLocks noChangeArrowheads="1"/>
        </xdr:cNvSpPr>
      </xdr:nvSpPr>
      <xdr:spPr bwMode="auto">
        <a:xfrm>
          <a:off x="2524125" y="18078450"/>
          <a:ext cx="133350" cy="142875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790575</xdr:colOff>
      <xdr:row>87</xdr:row>
      <xdr:rowOff>76200</xdr:rowOff>
    </xdr:from>
    <xdr:to>
      <xdr:col>0</xdr:col>
      <xdr:colOff>2524125</xdr:colOff>
      <xdr:row>88</xdr:row>
      <xdr:rowOff>9525</xdr:rowOff>
    </xdr:to>
    <xdr:cxnSp macro="">
      <xdr:nvCxnSpPr>
        <xdr:cNvPr id="32341" name="AutoShape 19">
          <a:extLst>
            <a:ext uri="{FF2B5EF4-FFF2-40B4-BE49-F238E27FC236}">
              <a16:creationId xmlns:a16="http://schemas.microsoft.com/office/drawing/2014/main" id="{00000000-0008-0000-0000-0000557E0000}"/>
            </a:ext>
          </a:extLst>
        </xdr:cNvPr>
        <xdr:cNvCxnSpPr>
          <a:cxnSpLocks noChangeShapeType="1"/>
          <a:stCxn id="18" idx="6"/>
          <a:endCxn id="32340" idx="2"/>
        </xdr:cNvCxnSpPr>
      </xdr:nvCxnSpPr>
      <xdr:spPr bwMode="auto">
        <a:xfrm flipV="1">
          <a:off x="790575" y="18154650"/>
          <a:ext cx="1733550" cy="1238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152400</xdr:colOff>
      <xdr:row>91</xdr:row>
      <xdr:rowOff>0</xdr:rowOff>
    </xdr:from>
    <xdr:to>
      <xdr:col>0</xdr:col>
      <xdr:colOff>741275</xdr:colOff>
      <xdr:row>94</xdr:row>
      <xdr:rowOff>49578</xdr:rowOff>
    </xdr:to>
    <xdr:sp macro="" textlink="">
      <xdr:nvSpPr>
        <xdr:cNvPr id="21" name="Oval 1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152400" y="16611600"/>
          <a:ext cx="581025" cy="6286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Disp.</a:t>
          </a:r>
        </a:p>
      </xdr:txBody>
    </xdr:sp>
    <xdr:clientData/>
  </xdr:twoCellAnchor>
  <xdr:twoCellAnchor>
    <xdr:from>
      <xdr:col>0</xdr:col>
      <xdr:colOff>1842135</xdr:colOff>
      <xdr:row>88</xdr:row>
      <xdr:rowOff>11430</xdr:rowOff>
    </xdr:from>
    <xdr:to>
      <xdr:col>0</xdr:col>
      <xdr:colOff>2332197</xdr:colOff>
      <xdr:row>92</xdr:row>
      <xdr:rowOff>76237</xdr:rowOff>
    </xdr:to>
    <xdr:sp macro="" textlink="">
      <xdr:nvSpPr>
        <xdr:cNvPr id="22" name="Rectangle 1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1838325" y="16059150"/>
          <a:ext cx="485775" cy="819150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Préstamos</a:t>
          </a:r>
        </a:p>
      </xdr:txBody>
    </xdr:sp>
    <xdr:clientData/>
  </xdr:twoCellAnchor>
  <xdr:twoCellAnchor>
    <xdr:from>
      <xdr:col>0</xdr:col>
      <xdr:colOff>1842135</xdr:colOff>
      <xdr:row>93</xdr:row>
      <xdr:rowOff>165735</xdr:rowOff>
    </xdr:from>
    <xdr:to>
      <xdr:col>0</xdr:col>
      <xdr:colOff>2332197</xdr:colOff>
      <xdr:row>98</xdr:row>
      <xdr:rowOff>28438</xdr:rowOff>
    </xdr:to>
    <xdr:sp macro="" textlink="">
      <xdr:nvSpPr>
        <xdr:cNvPr id="23" name="Rectangle 1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1838325" y="17154525"/>
          <a:ext cx="485775" cy="819150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Inter.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Docum.</a:t>
          </a:r>
        </a:p>
      </xdr:txBody>
    </xdr:sp>
    <xdr:clientData/>
  </xdr:twoCellAnchor>
  <xdr:twoCellAnchor>
    <xdr:from>
      <xdr:col>0</xdr:col>
      <xdr:colOff>733425</xdr:colOff>
      <xdr:row>90</xdr:row>
      <xdr:rowOff>47625</xdr:rowOff>
    </xdr:from>
    <xdr:to>
      <xdr:col>0</xdr:col>
      <xdr:colOff>1838325</xdr:colOff>
      <xdr:row>92</xdr:row>
      <xdr:rowOff>123825</xdr:rowOff>
    </xdr:to>
    <xdr:cxnSp macro="">
      <xdr:nvCxnSpPr>
        <xdr:cNvPr id="32345" name="AutoShape 19">
          <a:extLst>
            <a:ext uri="{FF2B5EF4-FFF2-40B4-BE49-F238E27FC236}">
              <a16:creationId xmlns:a16="http://schemas.microsoft.com/office/drawing/2014/main" id="{00000000-0008-0000-0000-0000597E0000}"/>
            </a:ext>
          </a:extLst>
        </xdr:cNvPr>
        <xdr:cNvCxnSpPr>
          <a:cxnSpLocks noChangeShapeType="1"/>
          <a:stCxn id="21" idx="6"/>
          <a:endCxn id="22" idx="1"/>
        </xdr:cNvCxnSpPr>
      </xdr:nvCxnSpPr>
      <xdr:spPr bwMode="auto">
        <a:xfrm flipV="1">
          <a:off x="733425" y="18697575"/>
          <a:ext cx="1104900" cy="4572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733425</xdr:colOff>
      <xdr:row>92</xdr:row>
      <xdr:rowOff>123825</xdr:rowOff>
    </xdr:from>
    <xdr:to>
      <xdr:col>0</xdr:col>
      <xdr:colOff>1838325</xdr:colOff>
      <xdr:row>96</xdr:row>
      <xdr:rowOff>0</xdr:rowOff>
    </xdr:to>
    <xdr:cxnSp macro="">
      <xdr:nvCxnSpPr>
        <xdr:cNvPr id="32346" name="AutoShape 19">
          <a:extLst>
            <a:ext uri="{FF2B5EF4-FFF2-40B4-BE49-F238E27FC236}">
              <a16:creationId xmlns:a16="http://schemas.microsoft.com/office/drawing/2014/main" id="{00000000-0008-0000-0000-00005A7E0000}"/>
            </a:ext>
          </a:extLst>
        </xdr:cNvPr>
        <xdr:cNvCxnSpPr>
          <a:cxnSpLocks noChangeShapeType="1"/>
          <a:stCxn id="21" idx="6"/>
          <a:endCxn id="23" idx="1"/>
        </xdr:cNvCxnSpPr>
      </xdr:nvCxnSpPr>
      <xdr:spPr bwMode="auto">
        <a:xfrm>
          <a:off x="733425" y="19154775"/>
          <a:ext cx="1104900" cy="6381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1752600</xdr:colOff>
      <xdr:row>78</xdr:row>
      <xdr:rowOff>47625</xdr:rowOff>
    </xdr:from>
    <xdr:to>
      <xdr:col>0</xdr:col>
      <xdr:colOff>1828800</xdr:colOff>
      <xdr:row>78</xdr:row>
      <xdr:rowOff>123825</xdr:rowOff>
    </xdr:to>
    <xdr:sp macro="" textlink="">
      <xdr:nvSpPr>
        <xdr:cNvPr id="32347" name="Oval 5">
          <a:extLst>
            <a:ext uri="{FF2B5EF4-FFF2-40B4-BE49-F238E27FC236}">
              <a16:creationId xmlns:a16="http://schemas.microsoft.com/office/drawing/2014/main" id="{00000000-0008-0000-0000-00005B7E0000}"/>
            </a:ext>
          </a:extLst>
        </xdr:cNvPr>
        <xdr:cNvSpPr>
          <a:spLocks noChangeArrowheads="1"/>
        </xdr:cNvSpPr>
      </xdr:nvSpPr>
      <xdr:spPr bwMode="auto">
        <a:xfrm>
          <a:off x="1752600" y="16411575"/>
          <a:ext cx="76200" cy="76200"/>
        </a:xfrm>
        <a:prstGeom prst="ellipse">
          <a:avLst/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1790700</xdr:colOff>
      <xdr:row>78</xdr:row>
      <xdr:rowOff>123825</xdr:rowOff>
    </xdr:from>
    <xdr:to>
      <xdr:col>0</xdr:col>
      <xdr:colOff>2552700</xdr:colOff>
      <xdr:row>82</xdr:row>
      <xdr:rowOff>76200</xdr:rowOff>
    </xdr:to>
    <xdr:cxnSp macro="">
      <xdr:nvCxnSpPr>
        <xdr:cNvPr id="32348" name="AutoShape 19">
          <a:extLst>
            <a:ext uri="{FF2B5EF4-FFF2-40B4-BE49-F238E27FC236}">
              <a16:creationId xmlns:a16="http://schemas.microsoft.com/office/drawing/2014/main" id="{00000000-0008-0000-0000-00005C7E0000}"/>
            </a:ext>
          </a:extLst>
        </xdr:cNvPr>
        <xdr:cNvCxnSpPr>
          <a:cxnSpLocks noChangeShapeType="1"/>
          <a:stCxn id="32347" idx="4"/>
          <a:endCxn id="28" idx="1"/>
        </xdr:cNvCxnSpPr>
      </xdr:nvCxnSpPr>
      <xdr:spPr bwMode="auto">
        <a:xfrm>
          <a:off x="1790700" y="16487775"/>
          <a:ext cx="762000" cy="7143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2470785</xdr:colOff>
      <xdr:row>81</xdr:row>
      <xdr:rowOff>165735</xdr:rowOff>
    </xdr:from>
    <xdr:to>
      <xdr:col>1</xdr:col>
      <xdr:colOff>329751</xdr:colOff>
      <xdr:row>84</xdr:row>
      <xdr:rowOff>190411</xdr:rowOff>
    </xdr:to>
    <xdr:sp macro="" textlink="">
      <xdr:nvSpPr>
        <xdr:cNvPr id="28" name="Oval 1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rrowheads="1"/>
        </xdr:cNvSpPr>
      </xdr:nvSpPr>
      <xdr:spPr bwMode="auto">
        <a:xfrm>
          <a:off x="2466975" y="14687550"/>
          <a:ext cx="581025" cy="6286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IVA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CF</a:t>
          </a:r>
        </a:p>
      </xdr:txBody>
    </xdr:sp>
    <xdr:clientData/>
  </xdr:twoCellAnchor>
  <xdr:twoCellAnchor>
    <xdr:from>
      <xdr:col>0</xdr:col>
      <xdr:colOff>1819275</xdr:colOff>
      <xdr:row>77</xdr:row>
      <xdr:rowOff>142875</xdr:rowOff>
    </xdr:from>
    <xdr:to>
      <xdr:col>1</xdr:col>
      <xdr:colOff>142875</xdr:colOff>
      <xdr:row>78</xdr:row>
      <xdr:rowOff>57150</xdr:rowOff>
    </xdr:to>
    <xdr:cxnSp macro="">
      <xdr:nvCxnSpPr>
        <xdr:cNvPr id="32350" name="AutoShape 16">
          <a:extLst>
            <a:ext uri="{FF2B5EF4-FFF2-40B4-BE49-F238E27FC236}">
              <a16:creationId xmlns:a16="http://schemas.microsoft.com/office/drawing/2014/main" id="{00000000-0008-0000-0000-00005E7E0000}"/>
            </a:ext>
          </a:extLst>
        </xdr:cNvPr>
        <xdr:cNvCxnSpPr>
          <a:cxnSpLocks noChangeShapeType="1"/>
          <a:stCxn id="32347" idx="7"/>
          <a:endCxn id="16" idx="2"/>
        </xdr:cNvCxnSpPr>
      </xdr:nvCxnSpPr>
      <xdr:spPr bwMode="auto">
        <a:xfrm flipV="1">
          <a:off x="1819275" y="16316325"/>
          <a:ext cx="103822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838200</xdr:colOff>
      <xdr:row>60</xdr:row>
      <xdr:rowOff>76200</xdr:rowOff>
    </xdr:from>
    <xdr:to>
      <xdr:col>1</xdr:col>
      <xdr:colOff>381000</xdr:colOff>
      <xdr:row>61</xdr:row>
      <xdr:rowOff>28575</xdr:rowOff>
    </xdr:to>
    <xdr:cxnSp macro="">
      <xdr:nvCxnSpPr>
        <xdr:cNvPr id="32351" name="AutoShape 19">
          <a:extLst>
            <a:ext uri="{FF2B5EF4-FFF2-40B4-BE49-F238E27FC236}">
              <a16:creationId xmlns:a16="http://schemas.microsoft.com/office/drawing/2014/main" id="{00000000-0008-0000-0000-00005F7E0000}"/>
            </a:ext>
          </a:extLst>
        </xdr:cNvPr>
        <xdr:cNvCxnSpPr>
          <a:cxnSpLocks noChangeShapeType="1"/>
          <a:stCxn id="75" idx="3"/>
          <a:endCxn id="32382" idx="2"/>
        </xdr:cNvCxnSpPr>
      </xdr:nvCxnSpPr>
      <xdr:spPr bwMode="auto">
        <a:xfrm flipV="1">
          <a:off x="838200" y="12963525"/>
          <a:ext cx="2257425" cy="1428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68580</xdr:colOff>
      <xdr:row>33</xdr:row>
      <xdr:rowOff>121920</xdr:rowOff>
    </xdr:from>
    <xdr:to>
      <xdr:col>0</xdr:col>
      <xdr:colOff>642346</xdr:colOff>
      <xdr:row>36</xdr:row>
      <xdr:rowOff>95346</xdr:rowOff>
    </xdr:to>
    <xdr:sp macro="" textlink="">
      <xdr:nvSpPr>
        <xdr:cNvPr id="29" name="Oval 1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68580" y="9117330"/>
          <a:ext cx="596315" cy="598218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Disp.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M/N</a:t>
          </a:r>
        </a:p>
      </xdr:txBody>
    </xdr:sp>
    <xdr:clientData/>
  </xdr:twoCellAnchor>
  <xdr:twoCellAnchor>
    <xdr:from>
      <xdr:col>0</xdr:col>
      <xdr:colOff>2527935</xdr:colOff>
      <xdr:row>32</xdr:row>
      <xdr:rowOff>38100</xdr:rowOff>
    </xdr:from>
    <xdr:to>
      <xdr:col>1</xdr:col>
      <xdr:colOff>398143</xdr:colOff>
      <xdr:row>35</xdr:row>
      <xdr:rowOff>36168</xdr:rowOff>
    </xdr:to>
    <xdr:sp macro="" textlink="">
      <xdr:nvSpPr>
        <xdr:cNvPr id="32" name="Oval 1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2592705" y="8839200"/>
          <a:ext cx="603960" cy="60579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IT</a:t>
          </a:r>
        </a:p>
      </xdr:txBody>
    </xdr:sp>
    <xdr:clientData/>
  </xdr:twoCellAnchor>
  <xdr:twoCellAnchor>
    <xdr:from>
      <xdr:col>0</xdr:col>
      <xdr:colOff>647700</xdr:colOff>
      <xdr:row>33</xdr:row>
      <xdr:rowOff>152400</xdr:rowOff>
    </xdr:from>
    <xdr:to>
      <xdr:col>0</xdr:col>
      <xdr:colOff>2524125</xdr:colOff>
      <xdr:row>35</xdr:row>
      <xdr:rowOff>0</xdr:rowOff>
    </xdr:to>
    <xdr:cxnSp macro="">
      <xdr:nvCxnSpPr>
        <xdr:cNvPr id="32354" name="AutoShape 19">
          <a:extLst>
            <a:ext uri="{FF2B5EF4-FFF2-40B4-BE49-F238E27FC236}">
              <a16:creationId xmlns:a16="http://schemas.microsoft.com/office/drawing/2014/main" id="{00000000-0008-0000-0000-0000627E0000}"/>
            </a:ext>
          </a:extLst>
        </xdr:cNvPr>
        <xdr:cNvCxnSpPr>
          <a:cxnSpLocks noChangeShapeType="1"/>
          <a:stCxn id="29" idx="6"/>
          <a:endCxn id="32" idx="2"/>
        </xdr:cNvCxnSpPr>
      </xdr:nvCxnSpPr>
      <xdr:spPr bwMode="auto">
        <a:xfrm flipV="1">
          <a:off x="647700" y="6743700"/>
          <a:ext cx="1876425" cy="3048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1108710</xdr:colOff>
      <xdr:row>36</xdr:row>
      <xdr:rowOff>0</xdr:rowOff>
    </xdr:from>
    <xdr:to>
      <xdr:col>0</xdr:col>
      <xdr:colOff>1699086</xdr:colOff>
      <xdr:row>38</xdr:row>
      <xdr:rowOff>209383</xdr:rowOff>
    </xdr:to>
    <xdr:sp macro="" textlink="">
      <xdr:nvSpPr>
        <xdr:cNvPr id="34" name="Oval 1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1135380" y="9624060"/>
          <a:ext cx="603960" cy="60579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IT</a:t>
          </a:r>
        </a:p>
      </xdr:txBody>
    </xdr:sp>
    <xdr:clientData/>
  </xdr:twoCellAnchor>
  <xdr:twoCellAnchor>
    <xdr:from>
      <xdr:col>1</xdr:col>
      <xdr:colOff>381000</xdr:colOff>
      <xdr:row>36</xdr:row>
      <xdr:rowOff>114300</xdr:rowOff>
    </xdr:from>
    <xdr:to>
      <xdr:col>1</xdr:col>
      <xdr:colOff>514350</xdr:colOff>
      <xdr:row>37</xdr:row>
      <xdr:rowOff>38100</xdr:rowOff>
    </xdr:to>
    <xdr:sp macro="" textlink="">
      <xdr:nvSpPr>
        <xdr:cNvPr id="32356" name="Oval 18">
          <a:extLst>
            <a:ext uri="{FF2B5EF4-FFF2-40B4-BE49-F238E27FC236}">
              <a16:creationId xmlns:a16="http://schemas.microsoft.com/office/drawing/2014/main" id="{00000000-0008-0000-0000-0000647E0000}"/>
            </a:ext>
          </a:extLst>
        </xdr:cNvPr>
        <xdr:cNvSpPr>
          <a:spLocks noChangeArrowheads="1"/>
        </xdr:cNvSpPr>
      </xdr:nvSpPr>
      <xdr:spPr bwMode="auto">
        <a:xfrm>
          <a:off x="3095625" y="7391400"/>
          <a:ext cx="133350" cy="1524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1695450</xdr:colOff>
      <xdr:row>36</xdr:row>
      <xdr:rowOff>190500</xdr:rowOff>
    </xdr:from>
    <xdr:to>
      <xdr:col>1</xdr:col>
      <xdr:colOff>381000</xdr:colOff>
      <xdr:row>37</xdr:row>
      <xdr:rowOff>114300</xdr:rowOff>
    </xdr:to>
    <xdr:cxnSp macro="">
      <xdr:nvCxnSpPr>
        <xdr:cNvPr id="32357" name="AutoShape 19">
          <a:extLst>
            <a:ext uri="{FF2B5EF4-FFF2-40B4-BE49-F238E27FC236}">
              <a16:creationId xmlns:a16="http://schemas.microsoft.com/office/drawing/2014/main" id="{00000000-0008-0000-0000-0000657E0000}"/>
            </a:ext>
          </a:extLst>
        </xdr:cNvPr>
        <xdr:cNvCxnSpPr>
          <a:cxnSpLocks noChangeShapeType="1"/>
          <a:stCxn id="34" idx="6"/>
          <a:endCxn id="32356" idx="2"/>
        </xdr:cNvCxnSpPr>
      </xdr:nvCxnSpPr>
      <xdr:spPr bwMode="auto">
        <a:xfrm flipV="1">
          <a:off x="1695450" y="7467600"/>
          <a:ext cx="1400175" cy="1524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375285</xdr:colOff>
      <xdr:row>42</xdr:row>
      <xdr:rowOff>7620</xdr:rowOff>
    </xdr:from>
    <xdr:to>
      <xdr:col>0</xdr:col>
      <xdr:colOff>966083</xdr:colOff>
      <xdr:row>44</xdr:row>
      <xdr:rowOff>209544</xdr:rowOff>
    </xdr:to>
    <xdr:sp macro="" textlink="">
      <xdr:nvSpPr>
        <xdr:cNvPr id="52" name="Oval 1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396240" y="8351520"/>
          <a:ext cx="596315" cy="598218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Disp.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M/N</a:t>
          </a:r>
        </a:p>
      </xdr:txBody>
    </xdr:sp>
    <xdr:clientData/>
  </xdr:twoCellAnchor>
  <xdr:twoCellAnchor>
    <xdr:from>
      <xdr:col>1</xdr:col>
      <xdr:colOff>0</xdr:colOff>
      <xdr:row>42</xdr:row>
      <xdr:rowOff>0</xdr:rowOff>
    </xdr:from>
    <xdr:to>
      <xdr:col>1</xdr:col>
      <xdr:colOff>588875</xdr:colOff>
      <xdr:row>44</xdr:row>
      <xdr:rowOff>209383</xdr:rowOff>
    </xdr:to>
    <xdr:sp macro="" textlink="">
      <xdr:nvSpPr>
        <xdr:cNvPr id="53" name="Oval 1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2788920" y="8343900"/>
          <a:ext cx="603960" cy="60579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CD</a:t>
          </a:r>
        </a:p>
      </xdr:txBody>
    </xdr:sp>
    <xdr:clientData/>
  </xdr:twoCellAnchor>
  <xdr:twoCellAnchor>
    <xdr:from>
      <xdr:col>0</xdr:col>
      <xdr:colOff>1112520</xdr:colOff>
      <xdr:row>47</xdr:row>
      <xdr:rowOff>182880</xdr:rowOff>
    </xdr:from>
    <xdr:to>
      <xdr:col>0</xdr:col>
      <xdr:colOff>1712803</xdr:colOff>
      <xdr:row>50</xdr:row>
      <xdr:rowOff>171450</xdr:rowOff>
    </xdr:to>
    <xdr:sp macro="" textlink="">
      <xdr:nvSpPr>
        <xdr:cNvPr id="54" name="Oval 1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1158240" y="9540240"/>
          <a:ext cx="603960" cy="60579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IVA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CF</a:t>
          </a:r>
        </a:p>
      </xdr:txBody>
    </xdr:sp>
    <xdr:clientData/>
  </xdr:twoCellAnchor>
  <xdr:twoCellAnchor>
    <xdr:from>
      <xdr:col>0</xdr:col>
      <xdr:colOff>962025</xdr:colOff>
      <xdr:row>43</xdr:row>
      <xdr:rowOff>114300</xdr:rowOff>
    </xdr:from>
    <xdr:to>
      <xdr:col>0</xdr:col>
      <xdr:colOff>1714500</xdr:colOff>
      <xdr:row>44</xdr:row>
      <xdr:rowOff>133350</xdr:rowOff>
    </xdr:to>
    <xdr:cxnSp macro="">
      <xdr:nvCxnSpPr>
        <xdr:cNvPr id="32374" name="AutoShape 19">
          <a:extLst>
            <a:ext uri="{FF2B5EF4-FFF2-40B4-BE49-F238E27FC236}">
              <a16:creationId xmlns:a16="http://schemas.microsoft.com/office/drawing/2014/main" id="{00000000-0008-0000-0000-0000767E0000}"/>
            </a:ext>
          </a:extLst>
        </xdr:cNvPr>
        <xdr:cNvCxnSpPr>
          <a:cxnSpLocks noChangeShapeType="1"/>
          <a:stCxn id="52" idx="6"/>
          <a:endCxn id="32377" idx="1"/>
        </xdr:cNvCxnSpPr>
      </xdr:nvCxnSpPr>
      <xdr:spPr bwMode="auto">
        <a:xfrm>
          <a:off x="962025" y="9220200"/>
          <a:ext cx="752475" cy="2476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1771650</xdr:colOff>
      <xdr:row>43</xdr:row>
      <xdr:rowOff>114300</xdr:rowOff>
    </xdr:from>
    <xdr:to>
      <xdr:col>1</xdr:col>
      <xdr:colOff>0</xdr:colOff>
      <xdr:row>44</xdr:row>
      <xdr:rowOff>133350</xdr:rowOff>
    </xdr:to>
    <xdr:cxnSp macro="">
      <xdr:nvCxnSpPr>
        <xdr:cNvPr id="32375" name="AutoShape 19">
          <a:extLst>
            <a:ext uri="{FF2B5EF4-FFF2-40B4-BE49-F238E27FC236}">
              <a16:creationId xmlns:a16="http://schemas.microsoft.com/office/drawing/2014/main" id="{00000000-0008-0000-0000-0000777E0000}"/>
            </a:ext>
          </a:extLst>
        </xdr:cNvPr>
        <xdr:cNvCxnSpPr>
          <a:cxnSpLocks noChangeShapeType="1"/>
          <a:stCxn id="32377" idx="7"/>
          <a:endCxn id="53" idx="2"/>
        </xdr:cNvCxnSpPr>
      </xdr:nvCxnSpPr>
      <xdr:spPr bwMode="auto">
        <a:xfrm flipV="1">
          <a:off x="1771650" y="9220200"/>
          <a:ext cx="942975" cy="2476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1419225</xdr:colOff>
      <xdr:row>44</xdr:row>
      <xdr:rowOff>200025</xdr:rowOff>
    </xdr:from>
    <xdr:to>
      <xdr:col>0</xdr:col>
      <xdr:colOff>1771650</xdr:colOff>
      <xdr:row>47</xdr:row>
      <xdr:rowOff>190500</xdr:rowOff>
    </xdr:to>
    <xdr:cxnSp macro="">
      <xdr:nvCxnSpPr>
        <xdr:cNvPr id="32376" name="AutoShape 19">
          <a:extLst>
            <a:ext uri="{FF2B5EF4-FFF2-40B4-BE49-F238E27FC236}">
              <a16:creationId xmlns:a16="http://schemas.microsoft.com/office/drawing/2014/main" id="{00000000-0008-0000-0000-0000787E0000}"/>
            </a:ext>
          </a:extLst>
        </xdr:cNvPr>
        <xdr:cNvCxnSpPr>
          <a:cxnSpLocks noChangeShapeType="1"/>
          <a:stCxn id="32377" idx="5"/>
          <a:endCxn id="54" idx="0"/>
        </xdr:cNvCxnSpPr>
      </xdr:nvCxnSpPr>
      <xdr:spPr bwMode="auto">
        <a:xfrm flipH="1">
          <a:off x="1419225" y="9534525"/>
          <a:ext cx="352425" cy="6762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1704975</xdr:colOff>
      <xdr:row>44</xdr:row>
      <xdr:rowOff>123825</xdr:rowOff>
    </xdr:from>
    <xdr:to>
      <xdr:col>0</xdr:col>
      <xdr:colOff>1781175</xdr:colOff>
      <xdr:row>44</xdr:row>
      <xdr:rowOff>209550</xdr:rowOff>
    </xdr:to>
    <xdr:sp macro="" textlink="">
      <xdr:nvSpPr>
        <xdr:cNvPr id="32377" name="Oval 5">
          <a:extLst>
            <a:ext uri="{FF2B5EF4-FFF2-40B4-BE49-F238E27FC236}">
              <a16:creationId xmlns:a16="http://schemas.microsoft.com/office/drawing/2014/main" id="{00000000-0008-0000-0000-0000797E0000}"/>
            </a:ext>
          </a:extLst>
        </xdr:cNvPr>
        <xdr:cNvSpPr>
          <a:spLocks noChangeArrowheads="1"/>
        </xdr:cNvSpPr>
      </xdr:nvSpPr>
      <xdr:spPr bwMode="auto">
        <a:xfrm>
          <a:off x="1704975" y="9458325"/>
          <a:ext cx="76200" cy="85725"/>
        </a:xfrm>
        <a:prstGeom prst="ellipse">
          <a:avLst/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316230</xdr:colOff>
      <xdr:row>51</xdr:row>
      <xdr:rowOff>167640</xdr:rowOff>
    </xdr:from>
    <xdr:to>
      <xdr:col>0</xdr:col>
      <xdr:colOff>899057</xdr:colOff>
      <xdr:row>54</xdr:row>
      <xdr:rowOff>171450</xdr:rowOff>
    </xdr:to>
    <xdr:sp macro="" textlink="">
      <xdr:nvSpPr>
        <xdr:cNvPr id="70" name="Oval 12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rrowheads="1"/>
        </xdr:cNvSpPr>
      </xdr:nvSpPr>
      <xdr:spPr bwMode="auto">
        <a:xfrm>
          <a:off x="320040" y="10347960"/>
          <a:ext cx="603960" cy="60579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CD</a:t>
          </a:r>
        </a:p>
      </xdr:txBody>
    </xdr:sp>
    <xdr:clientData/>
  </xdr:twoCellAnchor>
  <xdr:twoCellAnchor>
    <xdr:from>
      <xdr:col>0</xdr:col>
      <xdr:colOff>895350</xdr:colOff>
      <xdr:row>52</xdr:row>
      <xdr:rowOff>76200</xdr:rowOff>
    </xdr:from>
    <xdr:to>
      <xdr:col>1</xdr:col>
      <xdr:colOff>0</xdr:colOff>
      <xdr:row>53</xdr:row>
      <xdr:rowOff>66675</xdr:rowOff>
    </xdr:to>
    <xdr:cxnSp macro="">
      <xdr:nvCxnSpPr>
        <xdr:cNvPr id="32379" name="AutoShape 19">
          <a:extLst>
            <a:ext uri="{FF2B5EF4-FFF2-40B4-BE49-F238E27FC236}">
              <a16:creationId xmlns:a16="http://schemas.microsoft.com/office/drawing/2014/main" id="{00000000-0008-0000-0000-00007B7E0000}"/>
            </a:ext>
          </a:extLst>
        </xdr:cNvPr>
        <xdr:cNvCxnSpPr>
          <a:cxnSpLocks noChangeShapeType="1"/>
          <a:stCxn id="70" idx="6"/>
          <a:endCxn id="32380" idx="2"/>
        </xdr:cNvCxnSpPr>
      </xdr:nvCxnSpPr>
      <xdr:spPr bwMode="auto">
        <a:xfrm flipV="1">
          <a:off x="895350" y="11220450"/>
          <a:ext cx="1819275" cy="2190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133350</xdr:colOff>
      <xdr:row>52</xdr:row>
      <xdr:rowOff>152400</xdr:rowOff>
    </xdr:to>
    <xdr:sp macro="" textlink="">
      <xdr:nvSpPr>
        <xdr:cNvPr id="32380" name="Oval 18">
          <a:extLst>
            <a:ext uri="{FF2B5EF4-FFF2-40B4-BE49-F238E27FC236}">
              <a16:creationId xmlns:a16="http://schemas.microsoft.com/office/drawing/2014/main" id="{00000000-0008-0000-0000-00007C7E0000}"/>
            </a:ext>
          </a:extLst>
        </xdr:cNvPr>
        <xdr:cNvSpPr>
          <a:spLocks noChangeArrowheads="1"/>
        </xdr:cNvSpPr>
      </xdr:nvSpPr>
      <xdr:spPr bwMode="auto">
        <a:xfrm>
          <a:off x="2714625" y="11144250"/>
          <a:ext cx="133350" cy="1524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337185</xdr:colOff>
      <xdr:row>59</xdr:row>
      <xdr:rowOff>0</xdr:rowOff>
    </xdr:from>
    <xdr:to>
      <xdr:col>0</xdr:col>
      <xdr:colOff>843811</xdr:colOff>
      <xdr:row>63</xdr:row>
      <xdr:rowOff>49567</xdr:rowOff>
    </xdr:to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rrowheads="1"/>
        </xdr:cNvSpPr>
      </xdr:nvSpPr>
      <xdr:spPr bwMode="auto">
        <a:xfrm>
          <a:off x="358140" y="11788140"/>
          <a:ext cx="500955" cy="781087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Provisiones</a:t>
          </a:r>
        </a:p>
      </xdr:txBody>
    </xdr:sp>
    <xdr:clientData/>
  </xdr:twoCellAnchor>
  <xdr:twoCellAnchor>
    <xdr:from>
      <xdr:col>1</xdr:col>
      <xdr:colOff>381000</xdr:colOff>
      <xdr:row>60</xdr:row>
      <xdr:rowOff>0</xdr:rowOff>
    </xdr:from>
    <xdr:to>
      <xdr:col>1</xdr:col>
      <xdr:colOff>514350</xdr:colOff>
      <xdr:row>60</xdr:row>
      <xdr:rowOff>142875</xdr:rowOff>
    </xdr:to>
    <xdr:sp macro="" textlink="">
      <xdr:nvSpPr>
        <xdr:cNvPr id="32382" name="Oval 18">
          <a:extLst>
            <a:ext uri="{FF2B5EF4-FFF2-40B4-BE49-F238E27FC236}">
              <a16:creationId xmlns:a16="http://schemas.microsoft.com/office/drawing/2014/main" id="{00000000-0008-0000-0000-00007E7E0000}"/>
            </a:ext>
          </a:extLst>
        </xdr:cNvPr>
        <xdr:cNvSpPr>
          <a:spLocks noChangeArrowheads="1"/>
        </xdr:cNvSpPr>
      </xdr:nvSpPr>
      <xdr:spPr bwMode="auto">
        <a:xfrm>
          <a:off x="3095625" y="12887325"/>
          <a:ext cx="133350" cy="142875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6</xdr:col>
          <xdr:colOff>361950</xdr:colOff>
          <xdr:row>31</xdr:row>
          <xdr:rowOff>161925</xdr:rowOff>
        </xdr:to>
        <xdr:sp macro="" textlink="">
          <xdr:nvSpPr>
            <xdr:cNvPr id="28261" name="Object 1637" hidden="1">
              <a:extLst>
                <a:ext uri="{63B3BB69-23CF-44E3-9099-C40C66FF867C}">
                  <a14:compatExt spid="_x0000_s28261"/>
                </a:ext>
                <a:ext uri="{FF2B5EF4-FFF2-40B4-BE49-F238E27FC236}">
                  <a16:creationId xmlns:a16="http://schemas.microsoft.com/office/drawing/2014/main" id="{00000000-0008-0000-0000-0000656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40</xdr:row>
          <xdr:rowOff>38100</xdr:rowOff>
        </xdr:from>
        <xdr:to>
          <xdr:col>6</xdr:col>
          <xdr:colOff>390525</xdr:colOff>
          <xdr:row>41</xdr:row>
          <xdr:rowOff>161925</xdr:rowOff>
        </xdr:to>
        <xdr:sp macro="" textlink="">
          <xdr:nvSpPr>
            <xdr:cNvPr id="28262" name="Object 1638" hidden="1">
              <a:extLst>
                <a:ext uri="{63B3BB69-23CF-44E3-9099-C40C66FF867C}">
                  <a14:compatExt spid="_x0000_s28262"/>
                </a:ext>
                <a:ext uri="{FF2B5EF4-FFF2-40B4-BE49-F238E27FC236}">
                  <a16:creationId xmlns:a16="http://schemas.microsoft.com/office/drawing/2014/main" id="{00000000-0008-0000-0000-0000666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55</xdr:row>
          <xdr:rowOff>28575</xdr:rowOff>
        </xdr:from>
        <xdr:to>
          <xdr:col>6</xdr:col>
          <xdr:colOff>381000</xdr:colOff>
          <xdr:row>57</xdr:row>
          <xdr:rowOff>104775</xdr:rowOff>
        </xdr:to>
        <xdr:sp macro="" textlink="">
          <xdr:nvSpPr>
            <xdr:cNvPr id="28263" name="Object 1639" hidden="1">
              <a:extLst>
                <a:ext uri="{63B3BB69-23CF-44E3-9099-C40C66FF867C}">
                  <a14:compatExt spid="_x0000_s28263"/>
                </a:ext>
                <a:ext uri="{FF2B5EF4-FFF2-40B4-BE49-F238E27FC236}">
                  <a16:creationId xmlns:a16="http://schemas.microsoft.com/office/drawing/2014/main" id="{00000000-0008-0000-0000-0000676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6</xdr:col>
          <xdr:colOff>361950</xdr:colOff>
          <xdr:row>68</xdr:row>
          <xdr:rowOff>95250</xdr:rowOff>
        </xdr:to>
        <xdr:sp macro="" textlink="">
          <xdr:nvSpPr>
            <xdr:cNvPr id="28264" name="Object 1640" hidden="1">
              <a:extLst>
                <a:ext uri="{63B3BB69-23CF-44E3-9099-C40C66FF867C}">
                  <a14:compatExt spid="_x0000_s28264"/>
                </a:ext>
                <a:ext uri="{FF2B5EF4-FFF2-40B4-BE49-F238E27FC236}">
                  <a16:creationId xmlns:a16="http://schemas.microsoft.com/office/drawing/2014/main" id="{00000000-0008-0000-0000-0000686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103</xdr:row>
          <xdr:rowOff>161925</xdr:rowOff>
        </xdr:from>
        <xdr:to>
          <xdr:col>6</xdr:col>
          <xdr:colOff>390525</xdr:colOff>
          <xdr:row>111</xdr:row>
          <xdr:rowOff>85725</xdr:rowOff>
        </xdr:to>
        <xdr:sp macro="" textlink="">
          <xdr:nvSpPr>
            <xdr:cNvPr id="28266" name="Object 1642" hidden="1">
              <a:extLst>
                <a:ext uri="{63B3BB69-23CF-44E3-9099-C40C66FF867C}">
                  <a14:compatExt spid="_x0000_s28266"/>
                </a:ext>
                <a:ext uri="{FF2B5EF4-FFF2-40B4-BE49-F238E27FC236}">
                  <a16:creationId xmlns:a16="http://schemas.microsoft.com/office/drawing/2014/main" id="{00000000-0008-0000-0000-00006A6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29</xdr:row>
      <xdr:rowOff>19050</xdr:rowOff>
    </xdr:from>
    <xdr:to>
      <xdr:col>1</xdr:col>
      <xdr:colOff>571500</xdr:colOff>
      <xdr:row>29</xdr:row>
      <xdr:rowOff>161925</xdr:rowOff>
    </xdr:to>
    <xdr:sp macro="" textlink="">
      <xdr:nvSpPr>
        <xdr:cNvPr id="34037" name="Rectangle 18">
          <a:extLst>
            <a:ext uri="{FF2B5EF4-FFF2-40B4-BE49-F238E27FC236}">
              <a16:creationId xmlns:a16="http://schemas.microsoft.com/office/drawing/2014/main" id="{00000000-0008-0000-0100-0000F5840000}"/>
            </a:ext>
          </a:extLst>
        </xdr:cNvPr>
        <xdr:cNvSpPr>
          <a:spLocks noChangeArrowheads="1"/>
        </xdr:cNvSpPr>
      </xdr:nvSpPr>
      <xdr:spPr bwMode="auto">
        <a:xfrm>
          <a:off x="1209675" y="8972550"/>
          <a:ext cx="123825" cy="1428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180975</xdr:colOff>
      <xdr:row>22</xdr:row>
      <xdr:rowOff>28575</xdr:rowOff>
    </xdr:from>
    <xdr:to>
      <xdr:col>3</xdr:col>
      <xdr:colOff>658611</xdr:colOff>
      <xdr:row>26</xdr:row>
      <xdr:rowOff>85725</xdr:rowOff>
    </xdr:to>
    <xdr:sp macro="" textlink="">
      <xdr:nvSpPr>
        <xdr:cNvPr id="4115" name="Rectangle 19">
          <a:extLst>
            <a:ext uri="{FF2B5EF4-FFF2-40B4-BE49-F238E27FC236}">
              <a16:creationId xmlns:a16="http://schemas.microsoft.com/office/drawing/2014/main" id="{00000000-0008-0000-0100-000013100000}"/>
            </a:ext>
          </a:extLst>
        </xdr:cNvPr>
        <xdr:cNvSpPr>
          <a:spLocks noChangeArrowheads="1"/>
        </xdr:cNvSpPr>
      </xdr:nvSpPr>
      <xdr:spPr bwMode="auto">
        <a:xfrm>
          <a:off x="3324225" y="16049625"/>
          <a:ext cx="485775" cy="819150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IVA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DF</a:t>
          </a:r>
        </a:p>
      </xdr:txBody>
    </xdr:sp>
    <xdr:clientData/>
  </xdr:twoCellAnchor>
  <xdr:twoCellAnchor>
    <xdr:from>
      <xdr:col>0</xdr:col>
      <xdr:colOff>146685</xdr:colOff>
      <xdr:row>18</xdr:row>
      <xdr:rowOff>9525</xdr:rowOff>
    </xdr:from>
    <xdr:to>
      <xdr:col>0</xdr:col>
      <xdr:colOff>733753</xdr:colOff>
      <xdr:row>21</xdr:row>
      <xdr:rowOff>70646</xdr:rowOff>
    </xdr:to>
    <xdr:sp macro="" textlink="">
      <xdr:nvSpPr>
        <xdr:cNvPr id="4116" name="Oval 20">
          <a:extLst>
            <a:ext uri="{FF2B5EF4-FFF2-40B4-BE49-F238E27FC236}">
              <a16:creationId xmlns:a16="http://schemas.microsoft.com/office/drawing/2014/main" id="{00000000-0008-0000-0100-000014100000}"/>
            </a:ext>
          </a:extLst>
        </xdr:cNvPr>
        <xdr:cNvSpPr>
          <a:spLocks noChangeArrowheads="1"/>
        </xdr:cNvSpPr>
      </xdr:nvSpPr>
      <xdr:spPr bwMode="auto">
        <a:xfrm>
          <a:off x="148590" y="6593205"/>
          <a:ext cx="611505" cy="598218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Disponib.</a:t>
          </a:r>
        </a:p>
      </xdr:txBody>
    </xdr:sp>
    <xdr:clientData/>
  </xdr:twoCellAnchor>
  <xdr:twoCellAnchor>
    <xdr:from>
      <xdr:col>2</xdr:col>
      <xdr:colOff>81915</xdr:colOff>
      <xdr:row>17</xdr:row>
      <xdr:rowOff>49530</xdr:rowOff>
    </xdr:from>
    <xdr:to>
      <xdr:col>2</xdr:col>
      <xdr:colOff>658741</xdr:colOff>
      <xdr:row>20</xdr:row>
      <xdr:rowOff>118457</xdr:rowOff>
    </xdr:to>
    <xdr:sp macro="" textlink="">
      <xdr:nvSpPr>
        <xdr:cNvPr id="4117" name="Oval 21">
          <a:extLst>
            <a:ext uri="{FF2B5EF4-FFF2-40B4-BE49-F238E27FC236}">
              <a16:creationId xmlns:a16="http://schemas.microsoft.com/office/drawing/2014/main" id="{00000000-0008-0000-0100-000015100000}"/>
            </a:ext>
          </a:extLst>
        </xdr:cNvPr>
        <xdr:cNvSpPr>
          <a:spLocks noChangeArrowheads="1"/>
        </xdr:cNvSpPr>
      </xdr:nvSpPr>
      <xdr:spPr bwMode="auto">
        <a:xfrm>
          <a:off x="2466975" y="15125700"/>
          <a:ext cx="581025" cy="6286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Ctas.x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Cobrar</a:t>
          </a:r>
        </a:p>
      </xdr:txBody>
    </xdr:sp>
    <xdr:clientData/>
  </xdr:twoCellAnchor>
  <xdr:twoCellAnchor>
    <xdr:from>
      <xdr:col>1</xdr:col>
      <xdr:colOff>609600</xdr:colOff>
      <xdr:row>23</xdr:row>
      <xdr:rowOff>123825</xdr:rowOff>
    </xdr:from>
    <xdr:to>
      <xdr:col>1</xdr:col>
      <xdr:colOff>695325</xdr:colOff>
      <xdr:row>24</xdr:row>
      <xdr:rowOff>9525</xdr:rowOff>
    </xdr:to>
    <xdr:sp macro="" textlink="">
      <xdr:nvSpPr>
        <xdr:cNvPr id="34041" name="Oval 22">
          <a:extLst>
            <a:ext uri="{FF2B5EF4-FFF2-40B4-BE49-F238E27FC236}">
              <a16:creationId xmlns:a16="http://schemas.microsoft.com/office/drawing/2014/main" id="{00000000-0008-0000-0100-0000F9840000}"/>
            </a:ext>
          </a:extLst>
        </xdr:cNvPr>
        <xdr:cNvSpPr>
          <a:spLocks noChangeArrowheads="1"/>
        </xdr:cNvSpPr>
      </xdr:nvSpPr>
      <xdr:spPr bwMode="auto">
        <a:xfrm>
          <a:off x="1371600" y="7934325"/>
          <a:ext cx="85725" cy="76200"/>
        </a:xfrm>
        <a:prstGeom prst="ellipse">
          <a:avLst/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504825</xdr:colOff>
      <xdr:row>24</xdr:row>
      <xdr:rowOff>9525</xdr:rowOff>
    </xdr:from>
    <xdr:to>
      <xdr:col>1</xdr:col>
      <xdr:colOff>647700</xdr:colOff>
      <xdr:row>29</xdr:row>
      <xdr:rowOff>19050</xdr:rowOff>
    </xdr:to>
    <xdr:cxnSp macro="">
      <xdr:nvCxnSpPr>
        <xdr:cNvPr id="34042" name="AutoShape 23">
          <a:extLst>
            <a:ext uri="{FF2B5EF4-FFF2-40B4-BE49-F238E27FC236}">
              <a16:creationId xmlns:a16="http://schemas.microsoft.com/office/drawing/2014/main" id="{00000000-0008-0000-0100-0000FA840000}"/>
            </a:ext>
          </a:extLst>
        </xdr:cNvPr>
        <xdr:cNvCxnSpPr>
          <a:cxnSpLocks noChangeShapeType="1"/>
          <a:stCxn id="34037" idx="0"/>
          <a:endCxn id="34041" idx="4"/>
        </xdr:cNvCxnSpPr>
      </xdr:nvCxnSpPr>
      <xdr:spPr bwMode="auto">
        <a:xfrm flipV="1">
          <a:off x="1266825" y="8010525"/>
          <a:ext cx="142875" cy="9620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676275</xdr:colOff>
      <xdr:row>23</xdr:row>
      <xdr:rowOff>133350</xdr:rowOff>
    </xdr:from>
    <xdr:to>
      <xdr:col>3</xdr:col>
      <xdr:colOff>180975</xdr:colOff>
      <xdr:row>24</xdr:row>
      <xdr:rowOff>57150</xdr:rowOff>
    </xdr:to>
    <xdr:cxnSp macro="">
      <xdr:nvCxnSpPr>
        <xdr:cNvPr id="34043" name="AutoShape 24">
          <a:extLst>
            <a:ext uri="{FF2B5EF4-FFF2-40B4-BE49-F238E27FC236}">
              <a16:creationId xmlns:a16="http://schemas.microsoft.com/office/drawing/2014/main" id="{00000000-0008-0000-0100-0000FB840000}"/>
            </a:ext>
          </a:extLst>
        </xdr:cNvPr>
        <xdr:cNvCxnSpPr>
          <a:cxnSpLocks noChangeShapeType="1"/>
          <a:stCxn id="4115" idx="1"/>
          <a:endCxn id="34041" idx="7"/>
        </xdr:cNvCxnSpPr>
      </xdr:nvCxnSpPr>
      <xdr:spPr bwMode="auto">
        <a:xfrm flipH="1" flipV="1">
          <a:off x="1438275" y="7943850"/>
          <a:ext cx="1095375" cy="1143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676275</xdr:colOff>
      <xdr:row>20</xdr:row>
      <xdr:rowOff>19050</xdr:rowOff>
    </xdr:from>
    <xdr:to>
      <xdr:col>2</xdr:col>
      <xdr:colOff>171450</xdr:colOff>
      <xdr:row>23</xdr:row>
      <xdr:rowOff>133350</xdr:rowOff>
    </xdr:to>
    <xdr:cxnSp macro="">
      <xdr:nvCxnSpPr>
        <xdr:cNvPr id="34044" name="AutoShape 25">
          <a:extLst>
            <a:ext uri="{FF2B5EF4-FFF2-40B4-BE49-F238E27FC236}">
              <a16:creationId xmlns:a16="http://schemas.microsoft.com/office/drawing/2014/main" id="{00000000-0008-0000-0100-0000FC840000}"/>
            </a:ext>
          </a:extLst>
        </xdr:cNvPr>
        <xdr:cNvCxnSpPr>
          <a:cxnSpLocks noChangeShapeType="1"/>
          <a:stCxn id="34041" idx="7"/>
          <a:endCxn id="4117" idx="3"/>
        </xdr:cNvCxnSpPr>
      </xdr:nvCxnSpPr>
      <xdr:spPr bwMode="auto">
        <a:xfrm flipV="1">
          <a:off x="1438275" y="7258050"/>
          <a:ext cx="285750" cy="6858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647700</xdr:colOff>
      <xdr:row>20</xdr:row>
      <xdr:rowOff>161925</xdr:rowOff>
    </xdr:from>
    <xdr:to>
      <xdr:col>1</xdr:col>
      <xdr:colOff>609600</xdr:colOff>
      <xdr:row>23</xdr:row>
      <xdr:rowOff>171450</xdr:rowOff>
    </xdr:to>
    <xdr:cxnSp macro="">
      <xdr:nvCxnSpPr>
        <xdr:cNvPr id="34045" name="AutoShape 26">
          <a:extLst>
            <a:ext uri="{FF2B5EF4-FFF2-40B4-BE49-F238E27FC236}">
              <a16:creationId xmlns:a16="http://schemas.microsoft.com/office/drawing/2014/main" id="{00000000-0008-0000-0100-0000FD840000}"/>
            </a:ext>
          </a:extLst>
        </xdr:cNvPr>
        <xdr:cNvCxnSpPr>
          <a:cxnSpLocks noChangeShapeType="1"/>
          <a:stCxn id="34041" idx="2"/>
          <a:endCxn id="4116" idx="5"/>
        </xdr:cNvCxnSpPr>
      </xdr:nvCxnSpPr>
      <xdr:spPr bwMode="auto">
        <a:xfrm flipH="1" flipV="1">
          <a:off x="647700" y="7400925"/>
          <a:ext cx="723900" cy="5810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314325</xdr:colOff>
      <xdr:row>23</xdr:row>
      <xdr:rowOff>180975</xdr:rowOff>
    </xdr:from>
    <xdr:to>
      <xdr:col>0</xdr:col>
      <xdr:colOff>447675</xdr:colOff>
      <xdr:row>24</xdr:row>
      <xdr:rowOff>133350</xdr:rowOff>
    </xdr:to>
    <xdr:sp macro="" textlink="">
      <xdr:nvSpPr>
        <xdr:cNvPr id="34046" name="Oval 27">
          <a:extLst>
            <a:ext uri="{FF2B5EF4-FFF2-40B4-BE49-F238E27FC236}">
              <a16:creationId xmlns:a16="http://schemas.microsoft.com/office/drawing/2014/main" id="{00000000-0008-0000-0100-0000FE840000}"/>
            </a:ext>
          </a:extLst>
        </xdr:cNvPr>
        <xdr:cNvSpPr>
          <a:spLocks noChangeArrowheads="1"/>
        </xdr:cNvSpPr>
      </xdr:nvSpPr>
      <xdr:spPr bwMode="auto">
        <a:xfrm>
          <a:off x="314325" y="7991475"/>
          <a:ext cx="133350" cy="142875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447675</xdr:colOff>
      <xdr:row>23</xdr:row>
      <xdr:rowOff>161925</xdr:rowOff>
    </xdr:from>
    <xdr:to>
      <xdr:col>1</xdr:col>
      <xdr:colOff>609600</xdr:colOff>
      <xdr:row>24</xdr:row>
      <xdr:rowOff>66675</xdr:rowOff>
    </xdr:to>
    <xdr:cxnSp macro="">
      <xdr:nvCxnSpPr>
        <xdr:cNvPr id="34047" name="AutoShape 28">
          <a:extLst>
            <a:ext uri="{FF2B5EF4-FFF2-40B4-BE49-F238E27FC236}">
              <a16:creationId xmlns:a16="http://schemas.microsoft.com/office/drawing/2014/main" id="{00000000-0008-0000-0100-0000FF840000}"/>
            </a:ext>
          </a:extLst>
        </xdr:cNvPr>
        <xdr:cNvCxnSpPr>
          <a:cxnSpLocks noChangeShapeType="1"/>
          <a:stCxn id="34041" idx="2"/>
          <a:endCxn id="34046" idx="6"/>
        </xdr:cNvCxnSpPr>
      </xdr:nvCxnSpPr>
      <xdr:spPr bwMode="auto">
        <a:xfrm flipH="1">
          <a:off x="447675" y="7972425"/>
          <a:ext cx="923925" cy="952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361950</xdr:colOff>
      <xdr:row>101</xdr:row>
      <xdr:rowOff>171450</xdr:rowOff>
    </xdr:from>
    <xdr:to>
      <xdr:col>3</xdr:col>
      <xdr:colOff>495300</xdr:colOff>
      <xdr:row>102</xdr:row>
      <xdr:rowOff>123825</xdr:rowOff>
    </xdr:to>
    <xdr:sp macro="" textlink="">
      <xdr:nvSpPr>
        <xdr:cNvPr id="34048" name="Oval 105">
          <a:extLst>
            <a:ext uri="{FF2B5EF4-FFF2-40B4-BE49-F238E27FC236}">
              <a16:creationId xmlns:a16="http://schemas.microsoft.com/office/drawing/2014/main" id="{00000000-0008-0000-0100-000000850000}"/>
            </a:ext>
          </a:extLst>
        </xdr:cNvPr>
        <xdr:cNvSpPr>
          <a:spLocks noChangeArrowheads="1"/>
        </xdr:cNvSpPr>
      </xdr:nvSpPr>
      <xdr:spPr bwMode="auto">
        <a:xfrm>
          <a:off x="2714625" y="24564975"/>
          <a:ext cx="133350" cy="142875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114300</xdr:colOff>
      <xdr:row>105</xdr:row>
      <xdr:rowOff>161925</xdr:rowOff>
    </xdr:from>
    <xdr:to>
      <xdr:col>3</xdr:col>
      <xdr:colOff>247650</xdr:colOff>
      <xdr:row>106</xdr:row>
      <xdr:rowOff>114300</xdr:rowOff>
    </xdr:to>
    <xdr:sp macro="" textlink="">
      <xdr:nvSpPr>
        <xdr:cNvPr id="34049" name="Oval 106">
          <a:extLst>
            <a:ext uri="{FF2B5EF4-FFF2-40B4-BE49-F238E27FC236}">
              <a16:creationId xmlns:a16="http://schemas.microsoft.com/office/drawing/2014/main" id="{00000000-0008-0000-0100-000001850000}"/>
            </a:ext>
          </a:extLst>
        </xdr:cNvPr>
        <xdr:cNvSpPr>
          <a:spLocks noChangeArrowheads="1"/>
        </xdr:cNvSpPr>
      </xdr:nvSpPr>
      <xdr:spPr bwMode="auto">
        <a:xfrm>
          <a:off x="2466975" y="25317450"/>
          <a:ext cx="133350" cy="142875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38100</xdr:colOff>
      <xdr:row>101</xdr:row>
      <xdr:rowOff>123825</xdr:rowOff>
    </xdr:from>
    <xdr:to>
      <xdr:col>2</xdr:col>
      <xdr:colOff>114300</xdr:colOff>
      <xdr:row>102</xdr:row>
      <xdr:rowOff>9525</xdr:rowOff>
    </xdr:to>
    <xdr:sp macro="" textlink="">
      <xdr:nvSpPr>
        <xdr:cNvPr id="34050" name="Oval 107">
          <a:extLst>
            <a:ext uri="{FF2B5EF4-FFF2-40B4-BE49-F238E27FC236}">
              <a16:creationId xmlns:a16="http://schemas.microsoft.com/office/drawing/2014/main" id="{00000000-0008-0000-0100-000002850000}"/>
            </a:ext>
          </a:extLst>
        </xdr:cNvPr>
        <xdr:cNvSpPr>
          <a:spLocks noChangeArrowheads="1"/>
        </xdr:cNvSpPr>
      </xdr:nvSpPr>
      <xdr:spPr bwMode="auto">
        <a:xfrm>
          <a:off x="1590675" y="24517350"/>
          <a:ext cx="76200" cy="76200"/>
        </a:xfrm>
        <a:prstGeom prst="ellipse">
          <a:avLst/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647700</xdr:colOff>
      <xdr:row>105</xdr:row>
      <xdr:rowOff>161925</xdr:rowOff>
    </xdr:from>
    <xdr:to>
      <xdr:col>1</xdr:col>
      <xdr:colOff>733425</xdr:colOff>
      <xdr:row>106</xdr:row>
      <xdr:rowOff>47625</xdr:rowOff>
    </xdr:to>
    <xdr:sp macro="" textlink="">
      <xdr:nvSpPr>
        <xdr:cNvPr id="34051" name="Oval 108">
          <a:extLst>
            <a:ext uri="{FF2B5EF4-FFF2-40B4-BE49-F238E27FC236}">
              <a16:creationId xmlns:a16="http://schemas.microsoft.com/office/drawing/2014/main" id="{00000000-0008-0000-0100-000003850000}"/>
            </a:ext>
          </a:extLst>
        </xdr:cNvPr>
        <xdr:cNvSpPr>
          <a:spLocks noChangeArrowheads="1"/>
        </xdr:cNvSpPr>
      </xdr:nvSpPr>
      <xdr:spPr bwMode="auto">
        <a:xfrm>
          <a:off x="1409700" y="25317450"/>
          <a:ext cx="85725" cy="76200"/>
        </a:xfrm>
        <a:prstGeom prst="ellipse">
          <a:avLst/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104775</xdr:colOff>
      <xdr:row>97</xdr:row>
      <xdr:rowOff>108585</xdr:rowOff>
    </xdr:from>
    <xdr:to>
      <xdr:col>0</xdr:col>
      <xdr:colOff>588609</xdr:colOff>
      <xdr:row>101</xdr:row>
      <xdr:rowOff>165735</xdr:rowOff>
    </xdr:to>
    <xdr:sp macro="" textlink="">
      <xdr:nvSpPr>
        <xdr:cNvPr id="4206" name="Rectangle 110">
          <a:extLst>
            <a:ext uri="{FF2B5EF4-FFF2-40B4-BE49-F238E27FC236}">
              <a16:creationId xmlns:a16="http://schemas.microsoft.com/office/drawing/2014/main" id="{00000000-0008-0000-0100-00006E100000}"/>
            </a:ext>
          </a:extLst>
        </xdr:cNvPr>
        <xdr:cNvSpPr>
          <a:spLocks noChangeArrowheads="1"/>
        </xdr:cNvSpPr>
      </xdr:nvSpPr>
      <xdr:spPr bwMode="auto">
        <a:xfrm>
          <a:off x="962025" y="43748325"/>
          <a:ext cx="485775" cy="819150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Rem.a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Pagar</a:t>
          </a:r>
        </a:p>
      </xdr:txBody>
    </xdr:sp>
    <xdr:clientData/>
  </xdr:twoCellAnchor>
  <xdr:twoCellAnchor>
    <xdr:from>
      <xdr:col>0</xdr:col>
      <xdr:colOff>104775</xdr:colOff>
      <xdr:row>103</xdr:row>
      <xdr:rowOff>108585</xdr:rowOff>
    </xdr:from>
    <xdr:to>
      <xdr:col>0</xdr:col>
      <xdr:colOff>588609</xdr:colOff>
      <xdr:row>107</xdr:row>
      <xdr:rowOff>165735</xdr:rowOff>
    </xdr:to>
    <xdr:sp macro="" textlink="">
      <xdr:nvSpPr>
        <xdr:cNvPr id="4207" name="Rectangle 111">
          <a:extLst>
            <a:ext uri="{FF2B5EF4-FFF2-40B4-BE49-F238E27FC236}">
              <a16:creationId xmlns:a16="http://schemas.microsoft.com/office/drawing/2014/main" id="{00000000-0008-0000-0100-00006F100000}"/>
            </a:ext>
          </a:extLst>
        </xdr:cNvPr>
        <xdr:cNvSpPr>
          <a:spLocks noChangeArrowheads="1"/>
        </xdr:cNvSpPr>
      </xdr:nvSpPr>
      <xdr:spPr bwMode="auto">
        <a:xfrm>
          <a:off x="962025" y="44891325"/>
          <a:ext cx="485775" cy="819150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C.S.a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Pagar</a:t>
          </a:r>
        </a:p>
      </xdr:txBody>
    </xdr:sp>
    <xdr:clientData/>
  </xdr:twoCellAnchor>
  <xdr:twoCellAnchor>
    <xdr:from>
      <xdr:col>2</xdr:col>
      <xdr:colOff>114300</xdr:colOff>
      <xdr:row>101</xdr:row>
      <xdr:rowOff>171450</xdr:rowOff>
    </xdr:from>
    <xdr:to>
      <xdr:col>3</xdr:col>
      <xdr:colOff>361950</xdr:colOff>
      <xdr:row>102</xdr:row>
      <xdr:rowOff>47625</xdr:rowOff>
    </xdr:to>
    <xdr:cxnSp macro="">
      <xdr:nvCxnSpPr>
        <xdr:cNvPr id="34054" name="AutoShape 112">
          <a:extLst>
            <a:ext uri="{FF2B5EF4-FFF2-40B4-BE49-F238E27FC236}">
              <a16:creationId xmlns:a16="http://schemas.microsoft.com/office/drawing/2014/main" id="{00000000-0008-0000-0100-000006850000}"/>
            </a:ext>
          </a:extLst>
        </xdr:cNvPr>
        <xdr:cNvCxnSpPr>
          <a:cxnSpLocks noChangeShapeType="1"/>
          <a:stCxn id="34050" idx="6"/>
          <a:endCxn id="34048" idx="2"/>
        </xdr:cNvCxnSpPr>
      </xdr:nvCxnSpPr>
      <xdr:spPr bwMode="auto">
        <a:xfrm>
          <a:off x="1666875" y="24564975"/>
          <a:ext cx="1047750" cy="666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723900</xdr:colOff>
      <xdr:row>106</xdr:row>
      <xdr:rowOff>38100</xdr:rowOff>
    </xdr:from>
    <xdr:to>
      <xdr:col>3</xdr:col>
      <xdr:colOff>114300</xdr:colOff>
      <xdr:row>106</xdr:row>
      <xdr:rowOff>47625</xdr:rowOff>
    </xdr:to>
    <xdr:cxnSp macro="">
      <xdr:nvCxnSpPr>
        <xdr:cNvPr id="34055" name="AutoShape 113">
          <a:extLst>
            <a:ext uri="{FF2B5EF4-FFF2-40B4-BE49-F238E27FC236}">
              <a16:creationId xmlns:a16="http://schemas.microsoft.com/office/drawing/2014/main" id="{00000000-0008-0000-0100-000007850000}"/>
            </a:ext>
          </a:extLst>
        </xdr:cNvPr>
        <xdr:cNvCxnSpPr>
          <a:cxnSpLocks noChangeShapeType="1"/>
          <a:stCxn id="34051" idx="5"/>
          <a:endCxn id="34049" idx="2"/>
        </xdr:cNvCxnSpPr>
      </xdr:nvCxnSpPr>
      <xdr:spPr bwMode="auto">
        <a:xfrm>
          <a:off x="1485900" y="25384125"/>
          <a:ext cx="981075" cy="95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695325</xdr:colOff>
      <xdr:row>102</xdr:row>
      <xdr:rowOff>9525</xdr:rowOff>
    </xdr:from>
    <xdr:to>
      <xdr:col>2</xdr:col>
      <xdr:colOff>76200</xdr:colOff>
      <xdr:row>105</xdr:row>
      <xdr:rowOff>161925</xdr:rowOff>
    </xdr:to>
    <xdr:cxnSp macro="">
      <xdr:nvCxnSpPr>
        <xdr:cNvPr id="34056" name="AutoShape 114">
          <a:extLst>
            <a:ext uri="{FF2B5EF4-FFF2-40B4-BE49-F238E27FC236}">
              <a16:creationId xmlns:a16="http://schemas.microsoft.com/office/drawing/2014/main" id="{00000000-0008-0000-0100-000008850000}"/>
            </a:ext>
          </a:extLst>
        </xdr:cNvPr>
        <xdr:cNvCxnSpPr>
          <a:cxnSpLocks noChangeShapeType="1"/>
          <a:stCxn id="34051" idx="0"/>
          <a:endCxn id="34050" idx="4"/>
        </xdr:cNvCxnSpPr>
      </xdr:nvCxnSpPr>
      <xdr:spPr bwMode="auto">
        <a:xfrm flipV="1">
          <a:off x="1457325" y="24593550"/>
          <a:ext cx="171450" cy="7239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590550</xdr:colOff>
      <xdr:row>105</xdr:row>
      <xdr:rowOff>133350</xdr:rowOff>
    </xdr:from>
    <xdr:to>
      <xdr:col>1</xdr:col>
      <xdr:colOff>647700</xdr:colOff>
      <xdr:row>106</xdr:row>
      <xdr:rowOff>9525</xdr:rowOff>
    </xdr:to>
    <xdr:cxnSp macro="">
      <xdr:nvCxnSpPr>
        <xdr:cNvPr id="34057" name="AutoShape 116">
          <a:extLst>
            <a:ext uri="{FF2B5EF4-FFF2-40B4-BE49-F238E27FC236}">
              <a16:creationId xmlns:a16="http://schemas.microsoft.com/office/drawing/2014/main" id="{00000000-0008-0000-0100-000009850000}"/>
            </a:ext>
          </a:extLst>
        </xdr:cNvPr>
        <xdr:cNvCxnSpPr>
          <a:cxnSpLocks noChangeShapeType="1"/>
          <a:stCxn id="4207" idx="3"/>
          <a:endCxn id="34051" idx="2"/>
        </xdr:cNvCxnSpPr>
      </xdr:nvCxnSpPr>
      <xdr:spPr bwMode="auto">
        <a:xfrm>
          <a:off x="590550" y="25288875"/>
          <a:ext cx="819150" cy="666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590550</xdr:colOff>
      <xdr:row>99</xdr:row>
      <xdr:rowOff>133350</xdr:rowOff>
    </xdr:from>
    <xdr:to>
      <xdr:col>2</xdr:col>
      <xdr:colOff>38100</xdr:colOff>
      <xdr:row>101</xdr:row>
      <xdr:rowOff>161925</xdr:rowOff>
    </xdr:to>
    <xdr:cxnSp macro="">
      <xdr:nvCxnSpPr>
        <xdr:cNvPr id="34058" name="AutoShape 117">
          <a:extLst>
            <a:ext uri="{FF2B5EF4-FFF2-40B4-BE49-F238E27FC236}">
              <a16:creationId xmlns:a16="http://schemas.microsoft.com/office/drawing/2014/main" id="{00000000-0008-0000-0100-00000A850000}"/>
            </a:ext>
          </a:extLst>
        </xdr:cNvPr>
        <xdr:cNvCxnSpPr>
          <a:cxnSpLocks noChangeShapeType="1"/>
          <a:stCxn id="4206" idx="3"/>
          <a:endCxn id="34050" idx="2"/>
        </xdr:cNvCxnSpPr>
      </xdr:nvCxnSpPr>
      <xdr:spPr bwMode="auto">
        <a:xfrm>
          <a:off x="590550" y="24145875"/>
          <a:ext cx="1000125" cy="4095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104775</xdr:colOff>
      <xdr:row>146</xdr:row>
      <xdr:rowOff>38100</xdr:rowOff>
    </xdr:from>
    <xdr:to>
      <xdr:col>0</xdr:col>
      <xdr:colOff>588609</xdr:colOff>
      <xdr:row>151</xdr:row>
      <xdr:rowOff>0</xdr:rowOff>
    </xdr:to>
    <xdr:sp macro="" textlink="">
      <xdr:nvSpPr>
        <xdr:cNvPr id="4214" name="Rectangle 118">
          <a:extLst>
            <a:ext uri="{FF2B5EF4-FFF2-40B4-BE49-F238E27FC236}">
              <a16:creationId xmlns:a16="http://schemas.microsoft.com/office/drawing/2014/main" id="{00000000-0008-0000-0100-000076100000}"/>
            </a:ext>
          </a:extLst>
        </xdr:cNvPr>
        <xdr:cNvSpPr>
          <a:spLocks noChangeArrowheads="1"/>
        </xdr:cNvSpPr>
      </xdr:nvSpPr>
      <xdr:spPr bwMode="auto">
        <a:xfrm>
          <a:off x="104775" y="30213300"/>
          <a:ext cx="508546" cy="876300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Am.Ac.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B.Uso</a:t>
          </a:r>
        </a:p>
      </xdr:txBody>
    </xdr:sp>
    <xdr:clientData/>
  </xdr:twoCellAnchor>
  <xdr:twoCellAnchor>
    <xdr:from>
      <xdr:col>2</xdr:col>
      <xdr:colOff>238125</xdr:colOff>
      <xdr:row>148</xdr:row>
      <xdr:rowOff>180975</xdr:rowOff>
    </xdr:from>
    <xdr:to>
      <xdr:col>2</xdr:col>
      <xdr:colOff>371475</xdr:colOff>
      <xdr:row>149</xdr:row>
      <xdr:rowOff>133350</xdr:rowOff>
    </xdr:to>
    <xdr:sp macro="" textlink="">
      <xdr:nvSpPr>
        <xdr:cNvPr id="34060" name="Oval 119">
          <a:extLst>
            <a:ext uri="{FF2B5EF4-FFF2-40B4-BE49-F238E27FC236}">
              <a16:creationId xmlns:a16="http://schemas.microsoft.com/office/drawing/2014/main" id="{00000000-0008-0000-0100-00000C850000}"/>
            </a:ext>
          </a:extLst>
        </xdr:cNvPr>
        <xdr:cNvSpPr>
          <a:spLocks noChangeArrowheads="1"/>
        </xdr:cNvSpPr>
      </xdr:nvSpPr>
      <xdr:spPr bwMode="auto">
        <a:xfrm>
          <a:off x="1790700" y="32023050"/>
          <a:ext cx="133350" cy="142875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590550</xdr:colOff>
      <xdr:row>148</xdr:row>
      <xdr:rowOff>123825</xdr:rowOff>
    </xdr:from>
    <xdr:to>
      <xdr:col>2</xdr:col>
      <xdr:colOff>238125</xdr:colOff>
      <xdr:row>149</xdr:row>
      <xdr:rowOff>66675</xdr:rowOff>
    </xdr:to>
    <xdr:cxnSp macro="">
      <xdr:nvCxnSpPr>
        <xdr:cNvPr id="34061" name="AutoShape 120">
          <a:extLst>
            <a:ext uri="{FF2B5EF4-FFF2-40B4-BE49-F238E27FC236}">
              <a16:creationId xmlns:a16="http://schemas.microsoft.com/office/drawing/2014/main" id="{00000000-0008-0000-0100-00000D850000}"/>
            </a:ext>
          </a:extLst>
        </xdr:cNvPr>
        <xdr:cNvCxnSpPr>
          <a:cxnSpLocks noChangeShapeType="1"/>
          <a:stCxn id="4214" idx="3"/>
          <a:endCxn id="34060" idx="2"/>
        </xdr:cNvCxnSpPr>
      </xdr:nvCxnSpPr>
      <xdr:spPr bwMode="auto">
        <a:xfrm>
          <a:off x="590550" y="31965900"/>
          <a:ext cx="1200150" cy="1333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436245</xdr:colOff>
      <xdr:row>8</xdr:row>
      <xdr:rowOff>0</xdr:rowOff>
    </xdr:from>
    <xdr:to>
      <xdr:col>1</xdr:col>
      <xdr:colOff>253968</xdr:colOff>
      <xdr:row>11</xdr:row>
      <xdr:rowOff>49578</xdr:rowOff>
    </xdr:to>
    <xdr:sp macro="" textlink="">
      <xdr:nvSpPr>
        <xdr:cNvPr id="158" name="Oval 12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>
          <a:spLocks noChangeArrowheads="1"/>
        </xdr:cNvSpPr>
      </xdr:nvSpPr>
      <xdr:spPr bwMode="auto">
        <a:xfrm>
          <a:off x="428625" y="11049000"/>
          <a:ext cx="581025" cy="6286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Disponib.</a:t>
          </a:r>
        </a:p>
      </xdr:txBody>
    </xdr:sp>
    <xdr:clientData/>
  </xdr:twoCellAnchor>
  <xdr:twoCellAnchor>
    <xdr:from>
      <xdr:col>3</xdr:col>
      <xdr:colOff>78105</xdr:colOff>
      <xdr:row>9</xdr:row>
      <xdr:rowOff>76200</xdr:rowOff>
    </xdr:from>
    <xdr:to>
      <xdr:col>3</xdr:col>
      <xdr:colOff>620778</xdr:colOff>
      <xdr:row>13</xdr:row>
      <xdr:rowOff>125767</xdr:rowOff>
    </xdr:to>
    <xdr:sp macro="" textlink="">
      <xdr:nvSpPr>
        <xdr:cNvPr id="159" name="Rectangle 13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>
          <a:spLocks noChangeArrowheads="1"/>
        </xdr:cNvSpPr>
      </xdr:nvSpPr>
      <xdr:spPr bwMode="auto">
        <a:xfrm>
          <a:off x="2495550" y="6111240"/>
          <a:ext cx="546735" cy="781087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CS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a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Pagar</a:t>
          </a:r>
        </a:p>
      </xdr:txBody>
    </xdr:sp>
    <xdr:clientData/>
  </xdr:twoCellAnchor>
  <xdr:twoCellAnchor>
    <xdr:from>
      <xdr:col>2</xdr:col>
      <xdr:colOff>731520</xdr:colOff>
      <xdr:row>4</xdr:row>
      <xdr:rowOff>87630</xdr:rowOff>
    </xdr:from>
    <xdr:to>
      <xdr:col>3</xdr:col>
      <xdr:colOff>443993</xdr:colOff>
      <xdr:row>8</xdr:row>
      <xdr:rowOff>156475</xdr:rowOff>
    </xdr:to>
    <xdr:sp macro="" textlink="">
      <xdr:nvSpPr>
        <xdr:cNvPr id="160" name="Rectangle 13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>
          <a:spLocks noChangeArrowheads="1"/>
        </xdr:cNvSpPr>
      </xdr:nvSpPr>
      <xdr:spPr bwMode="auto">
        <a:xfrm>
          <a:off x="2247900" y="10763250"/>
          <a:ext cx="485775" cy="819150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Rem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a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Pagar</a:t>
          </a:r>
        </a:p>
      </xdr:txBody>
    </xdr:sp>
    <xdr:clientData/>
  </xdr:twoCellAnchor>
  <xdr:twoCellAnchor>
    <xdr:from>
      <xdr:col>1</xdr:col>
      <xdr:colOff>247650</xdr:colOff>
      <xdr:row>6</xdr:row>
      <xdr:rowOff>123825</xdr:rowOff>
    </xdr:from>
    <xdr:to>
      <xdr:col>2</xdr:col>
      <xdr:colOff>723900</xdr:colOff>
      <xdr:row>9</xdr:row>
      <xdr:rowOff>123825</xdr:rowOff>
    </xdr:to>
    <xdr:cxnSp macro="">
      <xdr:nvCxnSpPr>
        <xdr:cNvPr id="34065" name="AutoShape 17">
          <a:extLst>
            <a:ext uri="{FF2B5EF4-FFF2-40B4-BE49-F238E27FC236}">
              <a16:creationId xmlns:a16="http://schemas.microsoft.com/office/drawing/2014/main" id="{00000000-0008-0000-0100-000011850000}"/>
            </a:ext>
          </a:extLst>
        </xdr:cNvPr>
        <xdr:cNvCxnSpPr>
          <a:cxnSpLocks noChangeShapeType="1"/>
          <a:stCxn id="158" idx="6"/>
          <a:endCxn id="160" idx="1"/>
        </xdr:cNvCxnSpPr>
      </xdr:nvCxnSpPr>
      <xdr:spPr bwMode="auto">
        <a:xfrm flipV="1">
          <a:off x="1009650" y="1266825"/>
          <a:ext cx="1266825" cy="5715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247650</xdr:colOff>
      <xdr:row>9</xdr:row>
      <xdr:rowOff>123825</xdr:rowOff>
    </xdr:from>
    <xdr:to>
      <xdr:col>3</xdr:col>
      <xdr:colOff>85725</xdr:colOff>
      <xdr:row>11</xdr:row>
      <xdr:rowOff>104775</xdr:rowOff>
    </xdr:to>
    <xdr:cxnSp macro="">
      <xdr:nvCxnSpPr>
        <xdr:cNvPr id="34066" name="AutoShape 17">
          <a:extLst>
            <a:ext uri="{FF2B5EF4-FFF2-40B4-BE49-F238E27FC236}">
              <a16:creationId xmlns:a16="http://schemas.microsoft.com/office/drawing/2014/main" id="{00000000-0008-0000-0100-000012850000}"/>
            </a:ext>
          </a:extLst>
        </xdr:cNvPr>
        <xdr:cNvCxnSpPr>
          <a:cxnSpLocks noChangeShapeType="1"/>
          <a:stCxn id="158" idx="6"/>
          <a:endCxn id="159" idx="1"/>
        </xdr:cNvCxnSpPr>
      </xdr:nvCxnSpPr>
      <xdr:spPr bwMode="auto">
        <a:xfrm>
          <a:off x="1009650" y="1838325"/>
          <a:ext cx="1428750" cy="3619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62</xdr:row>
      <xdr:rowOff>123825</xdr:rowOff>
    </xdr:from>
    <xdr:to>
      <xdr:col>2</xdr:col>
      <xdr:colOff>76200</xdr:colOff>
      <xdr:row>63</xdr:row>
      <xdr:rowOff>9525</xdr:rowOff>
    </xdr:to>
    <xdr:sp macro="" textlink="">
      <xdr:nvSpPr>
        <xdr:cNvPr id="34067" name="Oval 130">
          <a:extLst>
            <a:ext uri="{FF2B5EF4-FFF2-40B4-BE49-F238E27FC236}">
              <a16:creationId xmlns:a16="http://schemas.microsoft.com/office/drawing/2014/main" id="{00000000-0008-0000-0100-000013850000}"/>
            </a:ext>
          </a:extLst>
        </xdr:cNvPr>
        <xdr:cNvSpPr>
          <a:spLocks noChangeArrowheads="1"/>
        </xdr:cNvSpPr>
      </xdr:nvSpPr>
      <xdr:spPr bwMode="auto">
        <a:xfrm>
          <a:off x="1552575" y="15182850"/>
          <a:ext cx="76200" cy="76200"/>
        </a:xfrm>
        <a:prstGeom prst="ellipse">
          <a:avLst/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142875</xdr:colOff>
      <xdr:row>61</xdr:row>
      <xdr:rowOff>49530</xdr:rowOff>
    </xdr:from>
    <xdr:to>
      <xdr:col>3</xdr:col>
      <xdr:colOff>731750</xdr:colOff>
      <xdr:row>64</xdr:row>
      <xdr:rowOff>118457</xdr:rowOff>
    </xdr:to>
    <xdr:sp macro="" textlink="">
      <xdr:nvSpPr>
        <xdr:cNvPr id="176" name="Oval 131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>
          <a:spLocks noChangeArrowheads="1"/>
        </xdr:cNvSpPr>
      </xdr:nvSpPr>
      <xdr:spPr bwMode="auto">
        <a:xfrm>
          <a:off x="2428875" y="14725650"/>
          <a:ext cx="581025" cy="6286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IVA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CF</a:t>
          </a:r>
        </a:p>
      </xdr:txBody>
    </xdr:sp>
    <xdr:clientData/>
  </xdr:twoCellAnchor>
  <xdr:twoCellAnchor>
    <xdr:from>
      <xdr:col>2</xdr:col>
      <xdr:colOff>9525</xdr:colOff>
      <xdr:row>62</xdr:row>
      <xdr:rowOff>171450</xdr:rowOff>
    </xdr:from>
    <xdr:to>
      <xdr:col>3</xdr:col>
      <xdr:colOff>142875</xdr:colOff>
      <xdr:row>62</xdr:row>
      <xdr:rowOff>190500</xdr:rowOff>
    </xdr:to>
    <xdr:cxnSp macro="">
      <xdr:nvCxnSpPr>
        <xdr:cNvPr id="34069" name="AutoShape 132">
          <a:extLst>
            <a:ext uri="{FF2B5EF4-FFF2-40B4-BE49-F238E27FC236}">
              <a16:creationId xmlns:a16="http://schemas.microsoft.com/office/drawing/2014/main" id="{00000000-0008-0000-0100-000015850000}"/>
            </a:ext>
          </a:extLst>
        </xdr:cNvPr>
        <xdr:cNvCxnSpPr>
          <a:cxnSpLocks noChangeShapeType="1"/>
          <a:stCxn id="34067" idx="3"/>
          <a:endCxn id="176" idx="2"/>
        </xdr:cNvCxnSpPr>
      </xdr:nvCxnSpPr>
      <xdr:spPr bwMode="auto">
        <a:xfrm flipV="1">
          <a:off x="1562100" y="15230475"/>
          <a:ext cx="933450" cy="190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356235</xdr:colOff>
      <xdr:row>66</xdr:row>
      <xdr:rowOff>85725</xdr:rowOff>
    </xdr:from>
    <xdr:to>
      <xdr:col>3</xdr:col>
      <xdr:colOff>133557</xdr:colOff>
      <xdr:row>69</xdr:row>
      <xdr:rowOff>146846</xdr:rowOff>
    </xdr:to>
    <xdr:sp macro="" textlink="">
      <xdr:nvSpPr>
        <xdr:cNvPr id="182" name="Oval 12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>
          <a:spLocks noChangeArrowheads="1"/>
        </xdr:cNvSpPr>
      </xdr:nvSpPr>
      <xdr:spPr bwMode="auto">
        <a:xfrm>
          <a:off x="1945005" y="15264765"/>
          <a:ext cx="596406" cy="598218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Disponib.</a:t>
          </a:r>
        </a:p>
      </xdr:txBody>
    </xdr:sp>
    <xdr:clientData/>
  </xdr:twoCellAnchor>
  <xdr:twoCellAnchor>
    <xdr:from>
      <xdr:col>2</xdr:col>
      <xdr:colOff>38100</xdr:colOff>
      <xdr:row>63</xdr:row>
      <xdr:rowOff>9525</xdr:rowOff>
    </xdr:from>
    <xdr:to>
      <xdr:col>2</xdr:col>
      <xdr:colOff>638175</xdr:colOff>
      <xdr:row>66</xdr:row>
      <xdr:rowOff>85725</xdr:rowOff>
    </xdr:to>
    <xdr:cxnSp macro="">
      <xdr:nvCxnSpPr>
        <xdr:cNvPr id="34071" name="AutoShape 132">
          <a:extLst>
            <a:ext uri="{FF2B5EF4-FFF2-40B4-BE49-F238E27FC236}">
              <a16:creationId xmlns:a16="http://schemas.microsoft.com/office/drawing/2014/main" id="{00000000-0008-0000-0100-000017850000}"/>
            </a:ext>
          </a:extLst>
        </xdr:cNvPr>
        <xdr:cNvCxnSpPr>
          <a:cxnSpLocks noChangeShapeType="1"/>
          <a:stCxn id="182" idx="0"/>
          <a:endCxn id="34067" idx="4"/>
        </xdr:cNvCxnSpPr>
      </xdr:nvCxnSpPr>
      <xdr:spPr bwMode="auto">
        <a:xfrm flipH="1" flipV="1">
          <a:off x="1590675" y="15259050"/>
          <a:ext cx="600075" cy="6477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117</xdr:row>
      <xdr:rowOff>165735</xdr:rowOff>
    </xdr:from>
    <xdr:to>
      <xdr:col>0</xdr:col>
      <xdr:colOff>588875</xdr:colOff>
      <xdr:row>121</xdr:row>
      <xdr:rowOff>38017</xdr:rowOff>
    </xdr:to>
    <xdr:sp macro="" textlink="">
      <xdr:nvSpPr>
        <xdr:cNvPr id="236" name="Oval 12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>
          <a:spLocks noChangeArrowheads="1"/>
        </xdr:cNvSpPr>
      </xdr:nvSpPr>
      <xdr:spPr bwMode="auto">
        <a:xfrm>
          <a:off x="0" y="37890450"/>
          <a:ext cx="581025" cy="6286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Disp.</a:t>
          </a:r>
        </a:p>
      </xdr:txBody>
    </xdr:sp>
    <xdr:clientData/>
  </xdr:twoCellAnchor>
  <xdr:twoCellAnchor>
    <xdr:from>
      <xdr:col>1</xdr:col>
      <xdr:colOff>729615</xdr:colOff>
      <xdr:row>115</xdr:row>
      <xdr:rowOff>57150</xdr:rowOff>
    </xdr:from>
    <xdr:to>
      <xdr:col>2</xdr:col>
      <xdr:colOff>420842</xdr:colOff>
      <xdr:row>119</xdr:row>
      <xdr:rowOff>106717</xdr:rowOff>
    </xdr:to>
    <xdr:sp macro="" textlink="">
      <xdr:nvSpPr>
        <xdr:cNvPr id="237" name="Rectangle 11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>
          <a:spLocks noChangeArrowheads="1"/>
        </xdr:cNvSpPr>
      </xdr:nvSpPr>
      <xdr:spPr bwMode="auto">
        <a:xfrm>
          <a:off x="1491615" y="21783675"/>
          <a:ext cx="481802" cy="811567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Préstamos</a:t>
          </a:r>
        </a:p>
      </xdr:txBody>
    </xdr:sp>
    <xdr:clientData/>
  </xdr:twoCellAnchor>
  <xdr:twoCellAnchor>
    <xdr:from>
      <xdr:col>2</xdr:col>
      <xdr:colOff>158115</xdr:colOff>
      <xdr:row>120</xdr:row>
      <xdr:rowOff>146685</xdr:rowOff>
    </xdr:from>
    <xdr:to>
      <xdr:col>2</xdr:col>
      <xdr:colOff>639917</xdr:colOff>
      <xdr:row>125</xdr:row>
      <xdr:rowOff>66</xdr:rowOff>
    </xdr:to>
    <xdr:sp macro="" textlink="">
      <xdr:nvSpPr>
        <xdr:cNvPr id="238" name="Rectangle 14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>
          <a:spLocks noChangeArrowheads="1"/>
        </xdr:cNvSpPr>
      </xdr:nvSpPr>
      <xdr:spPr bwMode="auto">
        <a:xfrm>
          <a:off x="1685925" y="38433375"/>
          <a:ext cx="485775" cy="819150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Inter.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Docum.</a:t>
          </a:r>
        </a:p>
      </xdr:txBody>
    </xdr:sp>
    <xdr:clientData/>
  </xdr:twoCellAnchor>
  <xdr:twoCellAnchor>
    <xdr:from>
      <xdr:col>0</xdr:col>
      <xdr:colOff>588875</xdr:colOff>
      <xdr:row>117</xdr:row>
      <xdr:rowOff>81934</xdr:rowOff>
    </xdr:from>
    <xdr:to>
      <xdr:col>1</xdr:col>
      <xdr:colOff>729615</xdr:colOff>
      <xdr:row>119</xdr:row>
      <xdr:rowOff>101876</xdr:rowOff>
    </xdr:to>
    <xdr:cxnSp macro="">
      <xdr:nvCxnSpPr>
        <xdr:cNvPr id="34075" name="AutoShape 19">
          <a:extLst>
            <a:ext uri="{FF2B5EF4-FFF2-40B4-BE49-F238E27FC236}">
              <a16:creationId xmlns:a16="http://schemas.microsoft.com/office/drawing/2014/main" id="{00000000-0008-0000-0100-00001B850000}"/>
            </a:ext>
          </a:extLst>
        </xdr:cNvPr>
        <xdr:cNvCxnSpPr>
          <a:cxnSpLocks noChangeShapeType="1"/>
          <a:stCxn id="236" idx="6"/>
          <a:endCxn id="237" idx="1"/>
        </xdr:cNvCxnSpPr>
      </xdr:nvCxnSpPr>
      <xdr:spPr bwMode="auto">
        <a:xfrm flipV="1">
          <a:off x="588875" y="22189459"/>
          <a:ext cx="902740" cy="40094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581025</xdr:colOff>
      <xdr:row>119</xdr:row>
      <xdr:rowOff>104775</xdr:rowOff>
    </xdr:from>
    <xdr:to>
      <xdr:col>2</xdr:col>
      <xdr:colOff>161925</xdr:colOff>
      <xdr:row>122</xdr:row>
      <xdr:rowOff>171450</xdr:rowOff>
    </xdr:to>
    <xdr:cxnSp macro="">
      <xdr:nvCxnSpPr>
        <xdr:cNvPr id="34076" name="AutoShape 19">
          <a:extLst>
            <a:ext uri="{FF2B5EF4-FFF2-40B4-BE49-F238E27FC236}">
              <a16:creationId xmlns:a16="http://schemas.microsoft.com/office/drawing/2014/main" id="{00000000-0008-0000-0100-00001C850000}"/>
            </a:ext>
          </a:extLst>
        </xdr:cNvPr>
        <xdr:cNvCxnSpPr>
          <a:cxnSpLocks noChangeShapeType="1"/>
          <a:stCxn id="236" idx="6"/>
          <a:endCxn id="238" idx="1"/>
        </xdr:cNvCxnSpPr>
      </xdr:nvCxnSpPr>
      <xdr:spPr bwMode="auto">
        <a:xfrm>
          <a:off x="581025" y="27546300"/>
          <a:ext cx="1133475" cy="6381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588875</xdr:colOff>
      <xdr:row>128</xdr:row>
      <xdr:rowOff>49578</xdr:rowOff>
    </xdr:to>
    <xdr:sp macro="" textlink="">
      <xdr:nvSpPr>
        <xdr:cNvPr id="241" name="Oval 17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>
          <a:spLocks noChangeArrowheads="1"/>
        </xdr:cNvSpPr>
      </xdr:nvSpPr>
      <xdr:spPr bwMode="auto">
        <a:xfrm>
          <a:off x="0" y="39433500"/>
          <a:ext cx="581025" cy="6286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Int</a:t>
          </a:r>
          <a:endParaRPr lang="x-none" sz="800" b="1" i="0" u="none" strike="noStrike" baseline="0">
            <a:solidFill>
              <a:srgbClr val="000000"/>
            </a:solidFill>
            <a:latin typeface="Trebuchet MS"/>
          </a:endParaRPr>
        </a:p>
        <a:p>
          <a:pPr algn="ctr" rtl="0">
            <a:defRPr sz="1000"/>
          </a:pPr>
          <a:r>
            <a:rPr lang="x-none" sz="800" b="1" i="0" u="none" strike="noStrike" baseline="0">
              <a:solidFill>
                <a:srgbClr val="000000"/>
              </a:solidFill>
              <a:latin typeface="Trebuchet MS"/>
            </a:rPr>
            <a:t>a</a:t>
          </a:r>
        </a:p>
        <a:p>
          <a:pPr algn="ctr" rtl="0">
            <a:defRPr sz="1000"/>
          </a:pPr>
          <a:r>
            <a:rPr lang="x-none" sz="800" b="1" i="0" u="none" strike="noStrike" baseline="0">
              <a:solidFill>
                <a:srgbClr val="000000"/>
              </a:solidFill>
              <a:latin typeface="Trebuchet MS"/>
            </a:rPr>
            <a:t>Dev</a:t>
          </a:r>
          <a:endParaRPr lang="es-AR" sz="800" b="1" i="0" u="none" strike="noStrike" baseline="0">
            <a:solidFill>
              <a:srgbClr val="000000"/>
            </a:solidFill>
            <a:latin typeface="Trebuchet MS"/>
          </a:endParaRPr>
        </a:p>
      </xdr:txBody>
    </xdr:sp>
    <xdr:clientData/>
  </xdr:twoCellAnchor>
  <xdr:twoCellAnchor>
    <xdr:from>
      <xdr:col>3</xdr:col>
      <xdr:colOff>28575</xdr:colOff>
      <xdr:row>125</xdr:row>
      <xdr:rowOff>114300</xdr:rowOff>
    </xdr:from>
    <xdr:to>
      <xdr:col>3</xdr:col>
      <xdr:colOff>161925</xdr:colOff>
      <xdr:row>126</xdr:row>
      <xdr:rowOff>66675</xdr:rowOff>
    </xdr:to>
    <xdr:sp macro="" textlink="">
      <xdr:nvSpPr>
        <xdr:cNvPr id="34078" name="Oval 18">
          <a:extLst>
            <a:ext uri="{FF2B5EF4-FFF2-40B4-BE49-F238E27FC236}">
              <a16:creationId xmlns:a16="http://schemas.microsoft.com/office/drawing/2014/main" id="{00000000-0008-0000-0100-00001E850000}"/>
            </a:ext>
          </a:extLst>
        </xdr:cNvPr>
        <xdr:cNvSpPr>
          <a:spLocks noChangeArrowheads="1"/>
        </xdr:cNvSpPr>
      </xdr:nvSpPr>
      <xdr:spPr bwMode="auto">
        <a:xfrm>
          <a:off x="2381250" y="28698825"/>
          <a:ext cx="133350" cy="142875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581025</xdr:colOff>
      <xdr:row>126</xdr:row>
      <xdr:rowOff>0</xdr:rowOff>
    </xdr:from>
    <xdr:to>
      <xdr:col>3</xdr:col>
      <xdr:colOff>28575</xdr:colOff>
      <xdr:row>126</xdr:row>
      <xdr:rowOff>123825</xdr:rowOff>
    </xdr:to>
    <xdr:cxnSp macro="">
      <xdr:nvCxnSpPr>
        <xdr:cNvPr id="34079" name="AutoShape 19">
          <a:extLst>
            <a:ext uri="{FF2B5EF4-FFF2-40B4-BE49-F238E27FC236}">
              <a16:creationId xmlns:a16="http://schemas.microsoft.com/office/drawing/2014/main" id="{00000000-0008-0000-0100-00001F850000}"/>
            </a:ext>
          </a:extLst>
        </xdr:cNvPr>
        <xdr:cNvCxnSpPr>
          <a:cxnSpLocks noChangeShapeType="1"/>
          <a:stCxn id="241" idx="6"/>
          <a:endCxn id="34078" idx="2"/>
        </xdr:cNvCxnSpPr>
      </xdr:nvCxnSpPr>
      <xdr:spPr bwMode="auto">
        <a:xfrm flipV="1">
          <a:off x="581025" y="28775025"/>
          <a:ext cx="1800225" cy="1238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541020</xdr:colOff>
      <xdr:row>159</xdr:row>
      <xdr:rowOff>0</xdr:rowOff>
    </xdr:from>
    <xdr:to>
      <xdr:col>0</xdr:col>
      <xdr:colOff>727441</xdr:colOff>
      <xdr:row>159</xdr:row>
      <xdr:rowOff>165949</xdr:rowOff>
    </xdr:to>
    <xdr:sp macro="" textlink="">
      <xdr:nvSpPr>
        <xdr:cNvPr id="274" name="273 Elipse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/>
      </xdr:nvSpPr>
      <xdr:spPr>
        <a:xfrm>
          <a:off x="533400" y="66074925"/>
          <a:ext cx="190500" cy="1714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0</xdr:col>
      <xdr:colOff>541020</xdr:colOff>
      <xdr:row>163</xdr:row>
      <xdr:rowOff>0</xdr:rowOff>
    </xdr:from>
    <xdr:to>
      <xdr:col>0</xdr:col>
      <xdr:colOff>727441</xdr:colOff>
      <xdr:row>163</xdr:row>
      <xdr:rowOff>165949</xdr:rowOff>
    </xdr:to>
    <xdr:sp macro="" textlink="">
      <xdr:nvSpPr>
        <xdr:cNvPr id="276" name="275 Elipse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/>
      </xdr:nvSpPr>
      <xdr:spPr>
        <a:xfrm>
          <a:off x="533400" y="66836925"/>
          <a:ext cx="190500" cy="1714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0</xdr:col>
      <xdr:colOff>541020</xdr:colOff>
      <xdr:row>165</xdr:row>
      <xdr:rowOff>0</xdr:rowOff>
    </xdr:from>
    <xdr:to>
      <xdr:col>0</xdr:col>
      <xdr:colOff>727441</xdr:colOff>
      <xdr:row>165</xdr:row>
      <xdr:rowOff>165949</xdr:rowOff>
    </xdr:to>
    <xdr:sp macro="" textlink="">
      <xdr:nvSpPr>
        <xdr:cNvPr id="277" name="276 Elipse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/>
      </xdr:nvSpPr>
      <xdr:spPr>
        <a:xfrm>
          <a:off x="533400" y="67217925"/>
          <a:ext cx="190500" cy="1714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0</xdr:col>
      <xdr:colOff>541020</xdr:colOff>
      <xdr:row>167</xdr:row>
      <xdr:rowOff>0</xdr:rowOff>
    </xdr:from>
    <xdr:to>
      <xdr:col>0</xdr:col>
      <xdr:colOff>727441</xdr:colOff>
      <xdr:row>167</xdr:row>
      <xdr:rowOff>165949</xdr:rowOff>
    </xdr:to>
    <xdr:sp macro="" textlink="">
      <xdr:nvSpPr>
        <xdr:cNvPr id="278" name="277 Elipse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/>
      </xdr:nvSpPr>
      <xdr:spPr>
        <a:xfrm>
          <a:off x="533400" y="67598925"/>
          <a:ext cx="190500" cy="1714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0</xdr:col>
      <xdr:colOff>541020</xdr:colOff>
      <xdr:row>169</xdr:row>
      <xdr:rowOff>0</xdr:rowOff>
    </xdr:from>
    <xdr:to>
      <xdr:col>0</xdr:col>
      <xdr:colOff>727441</xdr:colOff>
      <xdr:row>169</xdr:row>
      <xdr:rowOff>165949</xdr:rowOff>
    </xdr:to>
    <xdr:sp macro="" textlink="">
      <xdr:nvSpPr>
        <xdr:cNvPr id="279" name="278 Elipse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/>
      </xdr:nvSpPr>
      <xdr:spPr>
        <a:xfrm>
          <a:off x="533400" y="67979925"/>
          <a:ext cx="190500" cy="1714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0</xdr:col>
      <xdr:colOff>541020</xdr:colOff>
      <xdr:row>171</xdr:row>
      <xdr:rowOff>0</xdr:rowOff>
    </xdr:from>
    <xdr:to>
      <xdr:col>0</xdr:col>
      <xdr:colOff>727441</xdr:colOff>
      <xdr:row>171</xdr:row>
      <xdr:rowOff>165949</xdr:rowOff>
    </xdr:to>
    <xdr:sp macro="" textlink="">
      <xdr:nvSpPr>
        <xdr:cNvPr id="280" name="279 Elipse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/>
      </xdr:nvSpPr>
      <xdr:spPr>
        <a:xfrm>
          <a:off x="533400" y="68360925"/>
          <a:ext cx="190500" cy="1714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4</xdr:col>
      <xdr:colOff>320040</xdr:colOff>
      <xdr:row>165</xdr:row>
      <xdr:rowOff>0</xdr:rowOff>
    </xdr:from>
    <xdr:to>
      <xdr:col>4</xdr:col>
      <xdr:colOff>506929</xdr:colOff>
      <xdr:row>165</xdr:row>
      <xdr:rowOff>165949</xdr:rowOff>
    </xdr:to>
    <xdr:sp macro="" textlink="">
      <xdr:nvSpPr>
        <xdr:cNvPr id="281" name="280 Elipse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/>
      </xdr:nvSpPr>
      <xdr:spPr>
        <a:xfrm>
          <a:off x="3714750" y="67217925"/>
          <a:ext cx="190500" cy="1714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4</xdr:col>
      <xdr:colOff>320040</xdr:colOff>
      <xdr:row>164</xdr:row>
      <xdr:rowOff>184785</xdr:rowOff>
    </xdr:from>
    <xdr:to>
      <xdr:col>4</xdr:col>
      <xdr:colOff>506929</xdr:colOff>
      <xdr:row>165</xdr:row>
      <xdr:rowOff>184785</xdr:rowOff>
    </xdr:to>
    <xdr:sp macro="" textlink="">
      <xdr:nvSpPr>
        <xdr:cNvPr id="282" name="281 Rectángulo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/>
      </xdr:nvSpPr>
      <xdr:spPr>
        <a:xfrm>
          <a:off x="3714750" y="67208400"/>
          <a:ext cx="190500" cy="190500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0</xdr:col>
      <xdr:colOff>727710</xdr:colOff>
      <xdr:row>159</xdr:row>
      <xdr:rowOff>85725</xdr:rowOff>
    </xdr:from>
    <xdr:to>
      <xdr:col>4</xdr:col>
      <xdr:colOff>320117</xdr:colOff>
      <xdr:row>165</xdr:row>
      <xdr:rowOff>85725</xdr:rowOff>
    </xdr:to>
    <xdr:cxnSp macro="">
      <xdr:nvCxnSpPr>
        <xdr:cNvPr id="283" name="282 Conector recto de flecha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CxnSpPr>
          <a:stCxn id="274" idx="6"/>
          <a:endCxn id="282" idx="1"/>
        </xdr:cNvCxnSpPr>
      </xdr:nvCxnSpPr>
      <xdr:spPr>
        <a:xfrm>
          <a:off x="723900" y="66160650"/>
          <a:ext cx="2990850" cy="1143000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727710</xdr:colOff>
      <xdr:row>163</xdr:row>
      <xdr:rowOff>85725</xdr:rowOff>
    </xdr:from>
    <xdr:to>
      <xdr:col>4</xdr:col>
      <xdr:colOff>320117</xdr:colOff>
      <xdr:row>165</xdr:row>
      <xdr:rowOff>85725</xdr:rowOff>
    </xdr:to>
    <xdr:cxnSp macro="">
      <xdr:nvCxnSpPr>
        <xdr:cNvPr id="285" name="284 Conector recto de flecha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CxnSpPr>
          <a:stCxn id="276" idx="6"/>
          <a:endCxn id="282" idx="1"/>
        </xdr:cNvCxnSpPr>
      </xdr:nvCxnSpPr>
      <xdr:spPr>
        <a:xfrm>
          <a:off x="723900" y="66922650"/>
          <a:ext cx="2990850" cy="381000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727710</xdr:colOff>
      <xdr:row>165</xdr:row>
      <xdr:rowOff>85725</xdr:rowOff>
    </xdr:from>
    <xdr:to>
      <xdr:col>4</xdr:col>
      <xdr:colOff>320117</xdr:colOff>
      <xdr:row>165</xdr:row>
      <xdr:rowOff>87313</xdr:rowOff>
    </xdr:to>
    <xdr:cxnSp macro="">
      <xdr:nvCxnSpPr>
        <xdr:cNvPr id="286" name="285 Conector recto de flecha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CxnSpPr>
          <a:stCxn id="277" idx="6"/>
          <a:endCxn id="282" idx="1"/>
        </xdr:cNvCxnSpPr>
      </xdr:nvCxnSpPr>
      <xdr:spPr>
        <a:xfrm>
          <a:off x="723900" y="67303650"/>
          <a:ext cx="2990850" cy="1588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727710</xdr:colOff>
      <xdr:row>165</xdr:row>
      <xdr:rowOff>85725</xdr:rowOff>
    </xdr:from>
    <xdr:to>
      <xdr:col>4</xdr:col>
      <xdr:colOff>320117</xdr:colOff>
      <xdr:row>167</xdr:row>
      <xdr:rowOff>85725</xdr:rowOff>
    </xdr:to>
    <xdr:cxnSp macro="">
      <xdr:nvCxnSpPr>
        <xdr:cNvPr id="287" name="286 Conector recto de flecha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CxnSpPr>
          <a:stCxn id="278" idx="6"/>
          <a:endCxn id="282" idx="1"/>
        </xdr:cNvCxnSpPr>
      </xdr:nvCxnSpPr>
      <xdr:spPr>
        <a:xfrm flipV="1">
          <a:off x="723900" y="67303650"/>
          <a:ext cx="2990850" cy="381000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727710</xdr:colOff>
      <xdr:row>165</xdr:row>
      <xdr:rowOff>85725</xdr:rowOff>
    </xdr:from>
    <xdr:to>
      <xdr:col>4</xdr:col>
      <xdr:colOff>320117</xdr:colOff>
      <xdr:row>169</xdr:row>
      <xdr:rowOff>85725</xdr:rowOff>
    </xdr:to>
    <xdr:cxnSp macro="">
      <xdr:nvCxnSpPr>
        <xdr:cNvPr id="288" name="287 Conector recto de flecha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CxnSpPr>
          <a:stCxn id="279" idx="6"/>
          <a:endCxn id="282" idx="1"/>
        </xdr:cNvCxnSpPr>
      </xdr:nvCxnSpPr>
      <xdr:spPr>
        <a:xfrm flipV="1">
          <a:off x="723900" y="67303650"/>
          <a:ext cx="2990850" cy="762000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727710</xdr:colOff>
      <xdr:row>165</xdr:row>
      <xdr:rowOff>85725</xdr:rowOff>
    </xdr:from>
    <xdr:to>
      <xdr:col>4</xdr:col>
      <xdr:colOff>320117</xdr:colOff>
      <xdr:row>171</xdr:row>
      <xdr:rowOff>85725</xdr:rowOff>
    </xdr:to>
    <xdr:cxnSp macro="">
      <xdr:nvCxnSpPr>
        <xdr:cNvPr id="289" name="288 Conector recto de flecha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CxnSpPr>
          <a:stCxn id="280" idx="6"/>
          <a:endCxn id="282" idx="1"/>
        </xdr:cNvCxnSpPr>
      </xdr:nvCxnSpPr>
      <xdr:spPr>
        <a:xfrm flipV="1">
          <a:off x="723900" y="67303650"/>
          <a:ext cx="2990850" cy="1143000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552450</xdr:colOff>
      <xdr:row>175</xdr:row>
      <xdr:rowOff>9525</xdr:rowOff>
    </xdr:from>
    <xdr:to>
      <xdr:col>0</xdr:col>
      <xdr:colOff>710777</xdr:colOff>
      <xdr:row>175</xdr:row>
      <xdr:rowOff>165404</xdr:rowOff>
    </xdr:to>
    <xdr:sp macro="" textlink="">
      <xdr:nvSpPr>
        <xdr:cNvPr id="290" name="289 Rectángulo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/>
      </xdr:nvSpPr>
      <xdr:spPr>
        <a:xfrm>
          <a:off x="561975" y="69322950"/>
          <a:ext cx="152400" cy="152400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0</xdr:col>
      <xdr:colOff>552450</xdr:colOff>
      <xdr:row>177</xdr:row>
      <xdr:rowOff>9525</xdr:rowOff>
    </xdr:from>
    <xdr:to>
      <xdr:col>0</xdr:col>
      <xdr:colOff>710777</xdr:colOff>
      <xdr:row>177</xdr:row>
      <xdr:rowOff>170129</xdr:rowOff>
    </xdr:to>
    <xdr:sp macro="" textlink="">
      <xdr:nvSpPr>
        <xdr:cNvPr id="291" name="290 Rectángulo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/>
      </xdr:nvSpPr>
      <xdr:spPr>
        <a:xfrm>
          <a:off x="561975" y="69703950"/>
          <a:ext cx="152400" cy="152400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0</xdr:col>
      <xdr:colOff>552450</xdr:colOff>
      <xdr:row>179</xdr:row>
      <xdr:rowOff>9525</xdr:rowOff>
    </xdr:from>
    <xdr:to>
      <xdr:col>0</xdr:col>
      <xdr:colOff>710777</xdr:colOff>
      <xdr:row>179</xdr:row>
      <xdr:rowOff>165404</xdr:rowOff>
    </xdr:to>
    <xdr:sp macro="" textlink="">
      <xdr:nvSpPr>
        <xdr:cNvPr id="292" name="291 Rectángulo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/>
      </xdr:nvSpPr>
      <xdr:spPr>
        <a:xfrm>
          <a:off x="561975" y="70084950"/>
          <a:ext cx="152400" cy="152400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4</xdr:col>
      <xdr:colOff>320040</xdr:colOff>
      <xdr:row>177</xdr:row>
      <xdr:rowOff>196215</xdr:rowOff>
    </xdr:from>
    <xdr:to>
      <xdr:col>4</xdr:col>
      <xdr:colOff>506929</xdr:colOff>
      <xdr:row>178</xdr:row>
      <xdr:rowOff>166307</xdr:rowOff>
    </xdr:to>
    <xdr:sp macro="" textlink="">
      <xdr:nvSpPr>
        <xdr:cNvPr id="293" name="292 Elipse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/>
      </xdr:nvSpPr>
      <xdr:spPr>
        <a:xfrm>
          <a:off x="3714750" y="69875400"/>
          <a:ext cx="190500" cy="1714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4</xdr:col>
      <xdr:colOff>320040</xdr:colOff>
      <xdr:row>177</xdr:row>
      <xdr:rowOff>167640</xdr:rowOff>
    </xdr:from>
    <xdr:to>
      <xdr:col>4</xdr:col>
      <xdr:colOff>506929</xdr:colOff>
      <xdr:row>178</xdr:row>
      <xdr:rowOff>165995</xdr:rowOff>
    </xdr:to>
    <xdr:sp macro="" textlink="">
      <xdr:nvSpPr>
        <xdr:cNvPr id="294" name="293 Rectángulo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/>
      </xdr:nvSpPr>
      <xdr:spPr>
        <a:xfrm>
          <a:off x="3714750" y="69865875"/>
          <a:ext cx="190500" cy="190500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0</xdr:col>
      <xdr:colOff>718186</xdr:colOff>
      <xdr:row>175</xdr:row>
      <xdr:rowOff>85726</xdr:rowOff>
    </xdr:from>
    <xdr:to>
      <xdr:col>4</xdr:col>
      <xdr:colOff>320088</xdr:colOff>
      <xdr:row>178</xdr:row>
      <xdr:rowOff>76201</xdr:rowOff>
    </xdr:to>
    <xdr:cxnSp macro="">
      <xdr:nvCxnSpPr>
        <xdr:cNvPr id="295" name="294 Conector recto de flecha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CxnSpPr>
          <a:stCxn id="294" idx="1"/>
          <a:endCxn id="290" idx="3"/>
        </xdr:cNvCxnSpPr>
      </xdr:nvCxnSpPr>
      <xdr:spPr>
        <a:xfrm rot="10800000">
          <a:off x="714376" y="69399151"/>
          <a:ext cx="3000375" cy="561975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718186</xdr:colOff>
      <xdr:row>177</xdr:row>
      <xdr:rowOff>89536</xdr:rowOff>
    </xdr:from>
    <xdr:to>
      <xdr:col>4</xdr:col>
      <xdr:colOff>320088</xdr:colOff>
      <xdr:row>178</xdr:row>
      <xdr:rowOff>76260</xdr:rowOff>
    </xdr:to>
    <xdr:cxnSp macro="">
      <xdr:nvCxnSpPr>
        <xdr:cNvPr id="296" name="295 Conector recto de flecha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CxnSpPr>
          <a:stCxn id="294" idx="1"/>
          <a:endCxn id="291" idx="3"/>
        </xdr:cNvCxnSpPr>
      </xdr:nvCxnSpPr>
      <xdr:spPr>
        <a:xfrm rot="10800000">
          <a:off x="714376" y="69780151"/>
          <a:ext cx="3000375" cy="180975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718186</xdr:colOff>
      <xdr:row>178</xdr:row>
      <xdr:rowOff>76199</xdr:rowOff>
    </xdr:from>
    <xdr:to>
      <xdr:col>4</xdr:col>
      <xdr:colOff>320088</xdr:colOff>
      <xdr:row>179</xdr:row>
      <xdr:rowOff>85724</xdr:rowOff>
    </xdr:to>
    <xdr:cxnSp macro="">
      <xdr:nvCxnSpPr>
        <xdr:cNvPr id="297" name="296 Conector recto de flecha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CxnSpPr>
          <a:stCxn id="294" idx="1"/>
          <a:endCxn id="292" idx="3"/>
        </xdr:cNvCxnSpPr>
      </xdr:nvCxnSpPr>
      <xdr:spPr>
        <a:xfrm rot="10800000" flipV="1">
          <a:off x="714376" y="69961124"/>
          <a:ext cx="3000375" cy="200025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241935</xdr:colOff>
      <xdr:row>186</xdr:row>
      <xdr:rowOff>28575</xdr:rowOff>
    </xdr:from>
    <xdr:to>
      <xdr:col>5</xdr:col>
      <xdr:colOff>196215</xdr:colOff>
      <xdr:row>192</xdr:row>
      <xdr:rowOff>0</xdr:rowOff>
    </xdr:to>
    <xdr:sp macro="" textlink="">
      <xdr:nvSpPr>
        <xdr:cNvPr id="298" name="297 Rectángulo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/>
      </xdr:nvSpPr>
      <xdr:spPr>
        <a:xfrm>
          <a:off x="3629025" y="71247000"/>
          <a:ext cx="733425" cy="111442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AR" sz="1100" b="1" i="0" baseline="0">
              <a:solidFill>
                <a:sysClr val="windowText" lastClr="000000"/>
              </a:solidFill>
            </a:rPr>
            <a:t>Utilid.</a:t>
          </a:r>
        </a:p>
        <a:p>
          <a:pPr algn="ctr"/>
          <a:r>
            <a:rPr lang="es-AR" sz="1100" b="1" i="0" baseline="0">
              <a:solidFill>
                <a:sysClr val="windowText" lastClr="000000"/>
              </a:solidFill>
            </a:rPr>
            <a:t>del</a:t>
          </a:r>
        </a:p>
        <a:p>
          <a:pPr algn="ctr"/>
          <a:r>
            <a:rPr lang="es-AR" sz="1100" b="1" i="0" baseline="0">
              <a:solidFill>
                <a:sysClr val="windowText" lastClr="000000"/>
              </a:solidFill>
            </a:rPr>
            <a:t>Ejercicio</a:t>
          </a:r>
        </a:p>
      </xdr:txBody>
    </xdr:sp>
    <xdr:clientData/>
  </xdr:twoCellAnchor>
  <xdr:twoCellAnchor>
    <xdr:from>
      <xdr:col>1</xdr:col>
      <xdr:colOff>262890</xdr:colOff>
      <xdr:row>187</xdr:row>
      <xdr:rowOff>9525</xdr:rowOff>
    </xdr:from>
    <xdr:to>
      <xdr:col>1</xdr:col>
      <xdr:colOff>449779</xdr:colOff>
      <xdr:row>187</xdr:row>
      <xdr:rowOff>185388</xdr:rowOff>
    </xdr:to>
    <xdr:sp macro="" textlink="">
      <xdr:nvSpPr>
        <xdr:cNvPr id="299" name="298 Elipse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/>
      </xdr:nvSpPr>
      <xdr:spPr>
        <a:xfrm>
          <a:off x="1028700" y="71418450"/>
          <a:ext cx="190500" cy="1714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1</xdr:col>
      <xdr:colOff>262890</xdr:colOff>
      <xdr:row>187</xdr:row>
      <xdr:rowOff>0</xdr:rowOff>
    </xdr:from>
    <xdr:to>
      <xdr:col>1</xdr:col>
      <xdr:colOff>449779</xdr:colOff>
      <xdr:row>188</xdr:row>
      <xdr:rowOff>0</xdr:rowOff>
    </xdr:to>
    <xdr:sp macro="" textlink="">
      <xdr:nvSpPr>
        <xdr:cNvPr id="300" name="299 Rectángulo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/>
      </xdr:nvSpPr>
      <xdr:spPr>
        <a:xfrm>
          <a:off x="1028700" y="71408925"/>
          <a:ext cx="190500" cy="190500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1</xdr:col>
      <xdr:colOff>449580</xdr:colOff>
      <xdr:row>187</xdr:row>
      <xdr:rowOff>83820</xdr:rowOff>
    </xdr:from>
    <xdr:to>
      <xdr:col>4</xdr:col>
      <xdr:colOff>242037</xdr:colOff>
      <xdr:row>189</xdr:row>
      <xdr:rowOff>10761</xdr:rowOff>
    </xdr:to>
    <xdr:cxnSp macro="">
      <xdr:nvCxnSpPr>
        <xdr:cNvPr id="301" name="300 Conector recto de flecha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CxnSpPr>
          <a:stCxn id="298" idx="1"/>
          <a:endCxn id="300" idx="3"/>
        </xdr:cNvCxnSpPr>
      </xdr:nvCxnSpPr>
      <xdr:spPr>
        <a:xfrm flipH="1" flipV="1">
          <a:off x="1264920" y="37658040"/>
          <a:ext cx="2310765" cy="292418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544830</xdr:colOff>
      <xdr:row>181</xdr:row>
      <xdr:rowOff>0</xdr:rowOff>
    </xdr:from>
    <xdr:to>
      <xdr:col>0</xdr:col>
      <xdr:colOff>702874</xdr:colOff>
      <xdr:row>181</xdr:row>
      <xdr:rowOff>156491</xdr:rowOff>
    </xdr:to>
    <xdr:sp macro="" textlink="">
      <xdr:nvSpPr>
        <xdr:cNvPr id="302" name="301 Rectángulo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/>
      </xdr:nvSpPr>
      <xdr:spPr>
        <a:xfrm>
          <a:off x="552450" y="70456425"/>
          <a:ext cx="152400" cy="152400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0</xdr:col>
      <xdr:colOff>701041</xdr:colOff>
      <xdr:row>178</xdr:row>
      <xdr:rowOff>76200</xdr:rowOff>
    </xdr:from>
    <xdr:to>
      <xdr:col>4</xdr:col>
      <xdr:colOff>320220</xdr:colOff>
      <xdr:row>181</xdr:row>
      <xdr:rowOff>76200</xdr:rowOff>
    </xdr:to>
    <xdr:cxnSp macro="">
      <xdr:nvCxnSpPr>
        <xdr:cNvPr id="303" name="302 Conector recto de flecha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CxnSpPr>
          <a:stCxn id="294" idx="1"/>
          <a:endCxn id="302" idx="3"/>
        </xdr:cNvCxnSpPr>
      </xdr:nvCxnSpPr>
      <xdr:spPr>
        <a:xfrm rot="10800000" flipV="1">
          <a:off x="704851" y="69961125"/>
          <a:ext cx="3009900" cy="571500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142875</xdr:colOff>
      <xdr:row>45</xdr:row>
      <xdr:rowOff>78105</xdr:rowOff>
    </xdr:from>
    <xdr:to>
      <xdr:col>0</xdr:col>
      <xdr:colOff>721493</xdr:colOff>
      <xdr:row>48</xdr:row>
      <xdr:rowOff>120016</xdr:rowOff>
    </xdr:to>
    <xdr:sp macro="" textlink="">
      <xdr:nvSpPr>
        <xdr:cNvPr id="147" name="Oval 29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ChangeArrowheads="1"/>
        </xdr:cNvSpPr>
      </xdr:nvSpPr>
      <xdr:spPr bwMode="auto">
        <a:xfrm>
          <a:off x="144780" y="13601700"/>
          <a:ext cx="603960" cy="59817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IT</a:t>
          </a:r>
        </a:p>
      </xdr:txBody>
    </xdr:sp>
    <xdr:clientData/>
  </xdr:twoCellAnchor>
  <xdr:twoCellAnchor>
    <xdr:from>
      <xdr:col>0</xdr:col>
      <xdr:colOff>714375</xdr:colOff>
      <xdr:row>47</xdr:row>
      <xdr:rowOff>9525</xdr:rowOff>
    </xdr:from>
    <xdr:to>
      <xdr:col>1</xdr:col>
      <xdr:colOff>762000</xdr:colOff>
      <xdr:row>49</xdr:row>
      <xdr:rowOff>28575</xdr:rowOff>
    </xdr:to>
    <xdr:cxnSp macro="">
      <xdr:nvCxnSpPr>
        <xdr:cNvPr id="34111" name="AutoShape 31">
          <a:extLst>
            <a:ext uri="{FF2B5EF4-FFF2-40B4-BE49-F238E27FC236}">
              <a16:creationId xmlns:a16="http://schemas.microsoft.com/office/drawing/2014/main" id="{00000000-0008-0000-0100-00003F850000}"/>
            </a:ext>
          </a:extLst>
        </xdr:cNvPr>
        <xdr:cNvCxnSpPr>
          <a:cxnSpLocks noChangeShapeType="1"/>
          <a:stCxn id="147" idx="6"/>
          <a:endCxn id="34112" idx="1"/>
        </xdr:cNvCxnSpPr>
      </xdr:nvCxnSpPr>
      <xdr:spPr bwMode="auto">
        <a:xfrm>
          <a:off x="714375" y="12211050"/>
          <a:ext cx="809625" cy="4000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752475</xdr:colOff>
      <xdr:row>49</xdr:row>
      <xdr:rowOff>19050</xdr:rowOff>
    </xdr:from>
    <xdr:to>
      <xdr:col>2</xdr:col>
      <xdr:colOff>57150</xdr:colOff>
      <xdr:row>49</xdr:row>
      <xdr:rowOff>95250</xdr:rowOff>
    </xdr:to>
    <xdr:sp macro="" textlink="">
      <xdr:nvSpPr>
        <xdr:cNvPr id="34112" name="Oval 130">
          <a:extLst>
            <a:ext uri="{FF2B5EF4-FFF2-40B4-BE49-F238E27FC236}">
              <a16:creationId xmlns:a16="http://schemas.microsoft.com/office/drawing/2014/main" id="{00000000-0008-0000-0100-000040850000}"/>
            </a:ext>
          </a:extLst>
        </xdr:cNvPr>
        <xdr:cNvSpPr>
          <a:spLocks noChangeArrowheads="1"/>
        </xdr:cNvSpPr>
      </xdr:nvSpPr>
      <xdr:spPr bwMode="auto">
        <a:xfrm>
          <a:off x="1514475" y="12601575"/>
          <a:ext cx="95250" cy="76200"/>
        </a:xfrm>
        <a:prstGeom prst="ellipse">
          <a:avLst/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97155</xdr:colOff>
      <xdr:row>48</xdr:row>
      <xdr:rowOff>167640</xdr:rowOff>
    </xdr:from>
    <xdr:to>
      <xdr:col>3</xdr:col>
      <xdr:colOff>686041</xdr:colOff>
      <xdr:row>52</xdr:row>
      <xdr:rowOff>30207</xdr:rowOff>
    </xdr:to>
    <xdr:sp macro="" textlink="">
      <xdr:nvSpPr>
        <xdr:cNvPr id="150" name="Oval 131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>
          <a:spLocks noChangeArrowheads="1"/>
        </xdr:cNvSpPr>
      </xdr:nvSpPr>
      <xdr:spPr bwMode="auto">
        <a:xfrm>
          <a:off x="2505075" y="14237970"/>
          <a:ext cx="603960" cy="60579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Disp.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M/N</a:t>
          </a:r>
        </a:p>
      </xdr:txBody>
    </xdr:sp>
    <xdr:clientData/>
  </xdr:twoCellAnchor>
  <xdr:twoCellAnchor>
    <xdr:from>
      <xdr:col>1</xdr:col>
      <xdr:colOff>762000</xdr:colOff>
      <xdr:row>49</xdr:row>
      <xdr:rowOff>76200</xdr:rowOff>
    </xdr:from>
    <xdr:to>
      <xdr:col>3</xdr:col>
      <xdr:colOff>180975</xdr:colOff>
      <xdr:row>49</xdr:row>
      <xdr:rowOff>76200</xdr:rowOff>
    </xdr:to>
    <xdr:cxnSp macro="">
      <xdr:nvCxnSpPr>
        <xdr:cNvPr id="34114" name="AutoShape 132">
          <a:extLst>
            <a:ext uri="{FF2B5EF4-FFF2-40B4-BE49-F238E27FC236}">
              <a16:creationId xmlns:a16="http://schemas.microsoft.com/office/drawing/2014/main" id="{00000000-0008-0000-0100-000042850000}"/>
            </a:ext>
          </a:extLst>
        </xdr:cNvPr>
        <xdr:cNvCxnSpPr>
          <a:cxnSpLocks noChangeShapeType="1"/>
          <a:stCxn id="34112" idx="3"/>
          <a:endCxn id="150" idx="1"/>
        </xdr:cNvCxnSpPr>
      </xdr:nvCxnSpPr>
      <xdr:spPr bwMode="auto">
        <a:xfrm flipV="1">
          <a:off x="1524000" y="12658725"/>
          <a:ext cx="10096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609600</xdr:colOff>
      <xdr:row>53</xdr:row>
      <xdr:rowOff>152400</xdr:rowOff>
    </xdr:from>
    <xdr:to>
      <xdr:col>1</xdr:col>
      <xdr:colOff>733425</xdr:colOff>
      <xdr:row>54</xdr:row>
      <xdr:rowOff>104775</xdr:rowOff>
    </xdr:to>
    <xdr:sp macro="" textlink="">
      <xdr:nvSpPr>
        <xdr:cNvPr id="34115" name="Rectangle 13">
          <a:extLst>
            <a:ext uri="{FF2B5EF4-FFF2-40B4-BE49-F238E27FC236}">
              <a16:creationId xmlns:a16="http://schemas.microsoft.com/office/drawing/2014/main" id="{00000000-0008-0000-0100-000043850000}"/>
            </a:ext>
          </a:extLst>
        </xdr:cNvPr>
        <xdr:cNvSpPr>
          <a:spLocks noChangeArrowheads="1"/>
        </xdr:cNvSpPr>
      </xdr:nvSpPr>
      <xdr:spPr bwMode="auto">
        <a:xfrm>
          <a:off x="1371600" y="13496925"/>
          <a:ext cx="123825" cy="1428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676275</xdr:colOff>
      <xdr:row>49</xdr:row>
      <xdr:rowOff>85725</xdr:rowOff>
    </xdr:from>
    <xdr:to>
      <xdr:col>1</xdr:col>
      <xdr:colOff>762000</xdr:colOff>
      <xdr:row>53</xdr:row>
      <xdr:rowOff>152400</xdr:rowOff>
    </xdr:to>
    <xdr:cxnSp macro="">
      <xdr:nvCxnSpPr>
        <xdr:cNvPr id="34116" name="AutoShape 19">
          <a:extLst>
            <a:ext uri="{FF2B5EF4-FFF2-40B4-BE49-F238E27FC236}">
              <a16:creationId xmlns:a16="http://schemas.microsoft.com/office/drawing/2014/main" id="{00000000-0008-0000-0100-000044850000}"/>
            </a:ext>
          </a:extLst>
        </xdr:cNvPr>
        <xdr:cNvCxnSpPr>
          <a:cxnSpLocks noChangeShapeType="1"/>
          <a:stCxn id="34115" idx="0"/>
          <a:endCxn id="34112" idx="3"/>
        </xdr:cNvCxnSpPr>
      </xdr:nvCxnSpPr>
      <xdr:spPr bwMode="auto">
        <a:xfrm flipV="1">
          <a:off x="1438275" y="12668250"/>
          <a:ext cx="85725" cy="8286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476250</xdr:colOff>
      <xdr:row>26</xdr:row>
      <xdr:rowOff>76200</xdr:rowOff>
    </xdr:from>
    <xdr:to>
      <xdr:col>3</xdr:col>
      <xdr:colOff>251744</xdr:colOff>
      <xdr:row>29</xdr:row>
      <xdr:rowOff>144833</xdr:rowOff>
    </xdr:to>
    <xdr:sp macro="" textlink="">
      <xdr:nvSpPr>
        <xdr:cNvPr id="154" name="Oval 131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>
          <a:spLocks noChangeArrowheads="1"/>
        </xdr:cNvSpPr>
      </xdr:nvSpPr>
      <xdr:spPr bwMode="auto">
        <a:xfrm>
          <a:off x="2065020" y="20010120"/>
          <a:ext cx="603960" cy="60579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IVA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CF</a:t>
          </a:r>
        </a:p>
      </xdr:txBody>
    </xdr:sp>
    <xdr:clientData/>
  </xdr:twoCellAnchor>
  <xdr:twoCellAnchor>
    <xdr:from>
      <xdr:col>1</xdr:col>
      <xdr:colOff>676275</xdr:colOff>
      <xdr:row>23</xdr:row>
      <xdr:rowOff>190500</xdr:rowOff>
    </xdr:from>
    <xdr:to>
      <xdr:col>2</xdr:col>
      <xdr:colOff>466725</xdr:colOff>
      <xdr:row>28</xdr:row>
      <xdr:rowOff>19050</xdr:rowOff>
    </xdr:to>
    <xdr:cxnSp macro="">
      <xdr:nvCxnSpPr>
        <xdr:cNvPr id="34118" name="AutoShape 25">
          <a:extLst>
            <a:ext uri="{FF2B5EF4-FFF2-40B4-BE49-F238E27FC236}">
              <a16:creationId xmlns:a16="http://schemas.microsoft.com/office/drawing/2014/main" id="{00000000-0008-0000-0100-000046850000}"/>
            </a:ext>
          </a:extLst>
        </xdr:cNvPr>
        <xdr:cNvCxnSpPr>
          <a:cxnSpLocks noChangeShapeType="1"/>
          <a:stCxn id="34041" idx="5"/>
          <a:endCxn id="154" idx="2"/>
        </xdr:cNvCxnSpPr>
      </xdr:nvCxnSpPr>
      <xdr:spPr bwMode="auto">
        <a:xfrm>
          <a:off x="1438275" y="8001000"/>
          <a:ext cx="581025" cy="7810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130</xdr:row>
      <xdr:rowOff>0</xdr:rowOff>
    </xdr:from>
    <xdr:to>
      <xdr:col>3</xdr:col>
      <xdr:colOff>581123</xdr:colOff>
      <xdr:row>133</xdr:row>
      <xdr:rowOff>49578</xdr:rowOff>
    </xdr:to>
    <xdr:sp macro="" textlink="">
      <xdr:nvSpPr>
        <xdr:cNvPr id="183" name="Oval 17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Arrowheads="1"/>
        </xdr:cNvSpPr>
      </xdr:nvSpPr>
      <xdr:spPr bwMode="auto">
        <a:xfrm>
          <a:off x="2407920" y="32735520"/>
          <a:ext cx="603960" cy="598218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Int</a:t>
          </a:r>
          <a:endParaRPr lang="x-none" sz="800" b="1" i="0" u="none" strike="noStrike" baseline="0">
            <a:solidFill>
              <a:srgbClr val="000000"/>
            </a:solidFill>
            <a:latin typeface="Trebuchet MS"/>
          </a:endParaRPr>
        </a:p>
        <a:p>
          <a:pPr algn="ctr" rtl="0">
            <a:defRPr sz="1000"/>
          </a:pPr>
          <a:r>
            <a:rPr lang="x-none" sz="800" b="1" i="0" u="none" strike="noStrike" baseline="0">
              <a:solidFill>
                <a:srgbClr val="000000"/>
              </a:solidFill>
              <a:latin typeface="Trebuchet MS"/>
            </a:rPr>
            <a:t>por</a:t>
          </a:r>
        </a:p>
        <a:p>
          <a:pPr algn="ctr" rtl="0">
            <a:defRPr sz="1000"/>
          </a:pPr>
          <a:r>
            <a:rPr lang="x-none" sz="800" b="1" i="0" u="none" strike="noStrike" baseline="0">
              <a:solidFill>
                <a:srgbClr val="000000"/>
              </a:solidFill>
              <a:latin typeface="Trebuchet MS"/>
            </a:rPr>
            <a:t>Cobrar</a:t>
          </a:r>
          <a:endParaRPr lang="es-AR" sz="800" b="1" i="0" u="none" strike="noStrike" baseline="0">
            <a:solidFill>
              <a:srgbClr val="000000"/>
            </a:solidFill>
            <a:latin typeface="Trebuchet MS"/>
          </a:endParaRPr>
        </a:p>
      </xdr:txBody>
    </xdr:sp>
    <xdr:clientData/>
  </xdr:twoCellAnchor>
  <xdr:twoCellAnchor>
    <xdr:from>
      <xdr:col>0</xdr:col>
      <xdr:colOff>285750</xdr:colOff>
      <xdr:row>131</xdr:row>
      <xdr:rowOff>0</xdr:rowOff>
    </xdr:from>
    <xdr:to>
      <xdr:col>0</xdr:col>
      <xdr:colOff>409575</xdr:colOff>
      <xdr:row>131</xdr:row>
      <xdr:rowOff>142875</xdr:rowOff>
    </xdr:to>
    <xdr:sp macro="" textlink="">
      <xdr:nvSpPr>
        <xdr:cNvPr id="34120" name="Rectangle 13">
          <a:extLst>
            <a:ext uri="{FF2B5EF4-FFF2-40B4-BE49-F238E27FC236}">
              <a16:creationId xmlns:a16="http://schemas.microsoft.com/office/drawing/2014/main" id="{00000000-0008-0000-0100-000048850000}"/>
            </a:ext>
          </a:extLst>
        </xdr:cNvPr>
        <xdr:cNvSpPr>
          <a:spLocks noChangeArrowheads="1"/>
        </xdr:cNvSpPr>
      </xdr:nvSpPr>
      <xdr:spPr bwMode="auto">
        <a:xfrm>
          <a:off x="285750" y="29737050"/>
          <a:ext cx="123825" cy="1428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409575</xdr:colOff>
      <xdr:row>131</xdr:row>
      <xdr:rowOff>71438</xdr:rowOff>
    </xdr:from>
    <xdr:to>
      <xdr:col>1</xdr:col>
      <xdr:colOff>688829</xdr:colOff>
      <xdr:row>133</xdr:row>
      <xdr:rowOff>106409</xdr:rowOff>
    </xdr:to>
    <xdr:cxnSp macro="">
      <xdr:nvCxnSpPr>
        <xdr:cNvPr id="34121" name="AutoShape 19">
          <a:extLst>
            <a:ext uri="{FF2B5EF4-FFF2-40B4-BE49-F238E27FC236}">
              <a16:creationId xmlns:a16="http://schemas.microsoft.com/office/drawing/2014/main" id="{00000000-0008-0000-0100-000049850000}"/>
            </a:ext>
          </a:extLst>
        </xdr:cNvPr>
        <xdr:cNvCxnSpPr>
          <a:cxnSpLocks noChangeShapeType="1"/>
          <a:stCxn id="34120" idx="3"/>
          <a:endCxn id="161" idx="1"/>
        </xdr:cNvCxnSpPr>
      </xdr:nvCxnSpPr>
      <xdr:spPr bwMode="auto">
        <a:xfrm>
          <a:off x="409575" y="25055513"/>
          <a:ext cx="1041254" cy="41597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183</xdr:row>
      <xdr:rowOff>45720</xdr:rowOff>
    </xdr:from>
    <xdr:to>
      <xdr:col>2</xdr:col>
      <xdr:colOff>148835</xdr:colOff>
      <xdr:row>184</xdr:row>
      <xdr:rowOff>7620</xdr:rowOff>
    </xdr:to>
    <xdr:sp macro="" textlink="">
      <xdr:nvSpPr>
        <xdr:cNvPr id="191" name="190 Rectángulo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/>
      </xdr:nvSpPr>
      <xdr:spPr>
        <a:xfrm>
          <a:off x="1584960" y="42740580"/>
          <a:ext cx="160020" cy="144780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2</xdr:col>
      <xdr:colOff>148590</xdr:colOff>
      <xdr:row>178</xdr:row>
      <xdr:rowOff>72390</xdr:rowOff>
    </xdr:from>
    <xdr:to>
      <xdr:col>4</xdr:col>
      <xdr:colOff>320040</xdr:colOff>
      <xdr:row>183</xdr:row>
      <xdr:rowOff>125730</xdr:rowOff>
    </xdr:to>
    <xdr:cxnSp macro="">
      <xdr:nvCxnSpPr>
        <xdr:cNvPr id="192" name="191 Conector recto de flecha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CxnSpPr>
          <a:stCxn id="294" idx="1"/>
          <a:endCxn id="191" idx="3"/>
        </xdr:cNvCxnSpPr>
      </xdr:nvCxnSpPr>
      <xdr:spPr>
        <a:xfrm flipH="1">
          <a:off x="1744980" y="41837610"/>
          <a:ext cx="1885950" cy="975360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362149</xdr:colOff>
      <xdr:row>154</xdr:row>
      <xdr:rowOff>106680</xdr:rowOff>
    </xdr:from>
    <xdr:to>
      <xdr:col>3</xdr:col>
      <xdr:colOff>647700</xdr:colOff>
      <xdr:row>155</xdr:row>
      <xdr:rowOff>63057</xdr:rowOff>
    </xdr:to>
    <xdr:cxnSp macro="">
      <xdr:nvCxnSpPr>
        <xdr:cNvPr id="200" name="199 Conector recto de flecha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CxnSpPr>
          <a:stCxn id="145" idx="1"/>
          <a:endCxn id="137" idx="6"/>
        </xdr:cNvCxnSpPr>
      </xdr:nvCxnSpPr>
      <xdr:spPr>
        <a:xfrm flipH="1">
          <a:off x="1124149" y="29538930"/>
          <a:ext cx="2000051" cy="165927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293370</xdr:colOff>
      <xdr:row>33</xdr:row>
      <xdr:rowOff>32385</xdr:rowOff>
    </xdr:from>
    <xdr:to>
      <xdr:col>1</xdr:col>
      <xdr:colOff>114307</xdr:colOff>
      <xdr:row>36</xdr:row>
      <xdr:rowOff>72553</xdr:rowOff>
    </xdr:to>
    <xdr:sp macro="" textlink="">
      <xdr:nvSpPr>
        <xdr:cNvPr id="140" name="Oval 20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ChangeArrowheads="1"/>
        </xdr:cNvSpPr>
      </xdr:nvSpPr>
      <xdr:spPr bwMode="auto">
        <a:xfrm>
          <a:off x="304800" y="9166860"/>
          <a:ext cx="611505" cy="598218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Disp.</a:t>
          </a:r>
        </a:p>
      </xdr:txBody>
    </xdr:sp>
    <xdr:clientData/>
  </xdr:twoCellAnchor>
  <xdr:twoCellAnchor>
    <xdr:from>
      <xdr:col>2</xdr:col>
      <xdr:colOff>518160</xdr:colOff>
      <xdr:row>33</xdr:row>
      <xdr:rowOff>38100</xdr:rowOff>
    </xdr:from>
    <xdr:to>
      <xdr:col>3</xdr:col>
      <xdr:colOff>318464</xdr:colOff>
      <xdr:row>36</xdr:row>
      <xdr:rowOff>87678</xdr:rowOff>
    </xdr:to>
    <xdr:sp macro="" textlink="">
      <xdr:nvSpPr>
        <xdr:cNvPr id="141" name="Oval 2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Arrowheads="1"/>
        </xdr:cNvSpPr>
      </xdr:nvSpPr>
      <xdr:spPr bwMode="auto">
        <a:xfrm>
          <a:off x="2125980" y="9182100"/>
          <a:ext cx="611505" cy="598218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PF</a:t>
          </a:r>
        </a:p>
      </xdr:txBody>
    </xdr:sp>
    <xdr:clientData/>
  </xdr:twoCellAnchor>
  <xdr:twoCellAnchor>
    <xdr:from>
      <xdr:col>0</xdr:col>
      <xdr:colOff>140970</xdr:colOff>
      <xdr:row>37</xdr:row>
      <xdr:rowOff>0</xdr:rowOff>
    </xdr:from>
    <xdr:to>
      <xdr:col>0</xdr:col>
      <xdr:colOff>618965</xdr:colOff>
      <xdr:row>41</xdr:row>
      <xdr:rowOff>68620</xdr:rowOff>
    </xdr:to>
    <xdr:sp macro="" textlink="">
      <xdr:nvSpPr>
        <xdr:cNvPr id="142" name="Rectangle 19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>
          <a:spLocks noChangeArrowheads="1"/>
        </xdr:cNvSpPr>
      </xdr:nvSpPr>
      <xdr:spPr bwMode="auto">
        <a:xfrm>
          <a:off x="152400" y="9875520"/>
          <a:ext cx="500955" cy="788670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Int</a:t>
          </a:r>
        </a:p>
        <a:p>
          <a:pPr algn="ctr" rtl="0">
            <a:defRPr sz="1000"/>
          </a:pPr>
          <a:r>
            <a:rPr lang="x-none" sz="800" b="1" i="0" u="none" strike="noStrike" baseline="0">
              <a:solidFill>
                <a:srgbClr val="000000"/>
              </a:solidFill>
              <a:latin typeface="Trebuchet MS"/>
            </a:rPr>
            <a:t>a </a:t>
          </a:r>
        </a:p>
        <a:p>
          <a:pPr algn="ctr" rtl="0">
            <a:defRPr sz="1000"/>
          </a:pPr>
          <a:r>
            <a:rPr lang="x-none" sz="800" b="1" i="0" u="none" strike="noStrike" baseline="0">
              <a:solidFill>
                <a:srgbClr val="000000"/>
              </a:solidFill>
              <a:latin typeface="Trebuchet MS"/>
            </a:rPr>
            <a:t>Dev</a:t>
          </a:r>
          <a:endParaRPr lang="es-AR" sz="800" b="1" i="0" u="none" strike="noStrike" baseline="0">
            <a:solidFill>
              <a:srgbClr val="000000"/>
            </a:solidFill>
            <a:latin typeface="Trebuchet MS"/>
          </a:endParaRPr>
        </a:p>
      </xdr:txBody>
    </xdr:sp>
    <xdr:clientData/>
  </xdr:twoCellAnchor>
  <xdr:twoCellAnchor>
    <xdr:from>
      <xdr:col>2</xdr:col>
      <xdr:colOff>512445</xdr:colOff>
      <xdr:row>37</xdr:row>
      <xdr:rowOff>0</xdr:rowOff>
    </xdr:from>
    <xdr:to>
      <xdr:col>3</xdr:col>
      <xdr:colOff>310484</xdr:colOff>
      <xdr:row>40</xdr:row>
      <xdr:rowOff>49578</xdr:rowOff>
    </xdr:to>
    <xdr:sp macro="" textlink="">
      <xdr:nvSpPr>
        <xdr:cNvPr id="143" name="Oval 20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Arrowheads="1"/>
        </xdr:cNvSpPr>
      </xdr:nvSpPr>
      <xdr:spPr bwMode="auto">
        <a:xfrm>
          <a:off x="2118360" y="9875520"/>
          <a:ext cx="611505" cy="598218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x-none" sz="800" b="1" i="0" u="none" strike="noStrike" baseline="0">
              <a:solidFill>
                <a:srgbClr val="000000"/>
              </a:solidFill>
              <a:latin typeface="Trebuchet MS"/>
            </a:rPr>
            <a:t>Int</a:t>
          </a:r>
        </a:p>
        <a:p>
          <a:pPr algn="ctr" rtl="0">
            <a:defRPr sz="1000"/>
          </a:pPr>
          <a:r>
            <a:rPr lang="x-none" sz="800" b="1" i="0" u="none" strike="noStrike" baseline="0">
              <a:solidFill>
                <a:srgbClr val="000000"/>
              </a:solidFill>
              <a:latin typeface="Trebuchet MS"/>
            </a:rPr>
            <a:t>P.Fijo</a:t>
          </a:r>
          <a:endParaRPr lang="es-AR" sz="800" b="1" i="0" u="none" strike="noStrike" baseline="0">
            <a:solidFill>
              <a:srgbClr val="000000"/>
            </a:solidFill>
            <a:latin typeface="Trebuchet MS"/>
          </a:endParaRPr>
        </a:p>
      </xdr:txBody>
    </xdr:sp>
    <xdr:clientData/>
  </xdr:twoCellAnchor>
  <xdr:twoCellAnchor>
    <xdr:from>
      <xdr:col>1</xdr:col>
      <xdr:colOff>114300</xdr:colOff>
      <xdr:row>34</xdr:row>
      <xdr:rowOff>142875</xdr:rowOff>
    </xdr:from>
    <xdr:to>
      <xdr:col>2</xdr:col>
      <xdr:colOff>523875</xdr:colOff>
      <xdr:row>34</xdr:row>
      <xdr:rowOff>161925</xdr:rowOff>
    </xdr:to>
    <xdr:cxnSp macro="">
      <xdr:nvCxnSpPr>
        <xdr:cNvPr id="34138" name="AutoShape 25">
          <a:extLst>
            <a:ext uri="{FF2B5EF4-FFF2-40B4-BE49-F238E27FC236}">
              <a16:creationId xmlns:a16="http://schemas.microsoft.com/office/drawing/2014/main" id="{00000000-0008-0000-0100-00005A850000}"/>
            </a:ext>
          </a:extLst>
        </xdr:cNvPr>
        <xdr:cNvCxnSpPr>
          <a:cxnSpLocks noChangeShapeType="1"/>
          <a:stCxn id="140" idx="6"/>
          <a:endCxn id="141" idx="2"/>
        </xdr:cNvCxnSpPr>
      </xdr:nvCxnSpPr>
      <xdr:spPr bwMode="auto">
        <a:xfrm>
          <a:off x="876300" y="9858375"/>
          <a:ext cx="1200150" cy="190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628650</xdr:colOff>
      <xdr:row>38</xdr:row>
      <xdr:rowOff>123825</xdr:rowOff>
    </xdr:from>
    <xdr:to>
      <xdr:col>2</xdr:col>
      <xdr:colOff>514350</xdr:colOff>
      <xdr:row>39</xdr:row>
      <xdr:rowOff>28575</xdr:rowOff>
    </xdr:to>
    <xdr:cxnSp macro="">
      <xdr:nvCxnSpPr>
        <xdr:cNvPr id="34139" name="AutoShape 25">
          <a:extLst>
            <a:ext uri="{FF2B5EF4-FFF2-40B4-BE49-F238E27FC236}">
              <a16:creationId xmlns:a16="http://schemas.microsoft.com/office/drawing/2014/main" id="{00000000-0008-0000-0100-00005B850000}"/>
            </a:ext>
          </a:extLst>
        </xdr:cNvPr>
        <xdr:cNvCxnSpPr>
          <a:cxnSpLocks noChangeShapeType="1"/>
          <a:stCxn id="142" idx="3"/>
          <a:endCxn id="143" idx="2"/>
        </xdr:cNvCxnSpPr>
      </xdr:nvCxnSpPr>
      <xdr:spPr bwMode="auto">
        <a:xfrm flipV="1">
          <a:off x="628650" y="10601325"/>
          <a:ext cx="1438275" cy="952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110490</xdr:colOff>
      <xdr:row>63</xdr:row>
      <xdr:rowOff>83820</xdr:rowOff>
    </xdr:from>
    <xdr:to>
      <xdr:col>0</xdr:col>
      <xdr:colOff>588715</xdr:colOff>
      <xdr:row>67</xdr:row>
      <xdr:rowOff>152483</xdr:rowOff>
    </xdr:to>
    <xdr:sp macro="" textlink="">
      <xdr:nvSpPr>
        <xdr:cNvPr id="156" name="Rectangle 11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>
          <a:spLocks noChangeArrowheads="1"/>
        </xdr:cNvSpPr>
      </xdr:nvSpPr>
      <xdr:spPr bwMode="auto">
        <a:xfrm>
          <a:off x="121920" y="14721840"/>
          <a:ext cx="500955" cy="781087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Provisiones</a:t>
          </a:r>
        </a:p>
      </xdr:txBody>
    </xdr:sp>
    <xdr:clientData/>
  </xdr:twoCellAnchor>
  <xdr:twoCellAnchor>
    <xdr:from>
      <xdr:col>0</xdr:col>
      <xdr:colOff>600075</xdr:colOff>
      <xdr:row>62</xdr:row>
      <xdr:rowOff>190500</xdr:rowOff>
    </xdr:from>
    <xdr:to>
      <xdr:col>2</xdr:col>
      <xdr:colOff>9525</xdr:colOff>
      <xdr:row>65</xdr:row>
      <xdr:rowOff>123825</xdr:rowOff>
    </xdr:to>
    <xdr:cxnSp macro="">
      <xdr:nvCxnSpPr>
        <xdr:cNvPr id="34142" name="AutoShape 132">
          <a:extLst>
            <a:ext uri="{FF2B5EF4-FFF2-40B4-BE49-F238E27FC236}">
              <a16:creationId xmlns:a16="http://schemas.microsoft.com/office/drawing/2014/main" id="{00000000-0008-0000-0100-00005E850000}"/>
            </a:ext>
          </a:extLst>
        </xdr:cNvPr>
        <xdr:cNvCxnSpPr>
          <a:cxnSpLocks noChangeShapeType="1"/>
          <a:stCxn id="34067" idx="3"/>
          <a:endCxn id="156" idx="3"/>
        </xdr:cNvCxnSpPr>
      </xdr:nvCxnSpPr>
      <xdr:spPr bwMode="auto">
        <a:xfrm flipH="1">
          <a:off x="600075" y="15249525"/>
          <a:ext cx="962025" cy="5048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571500</xdr:colOff>
      <xdr:row>58</xdr:row>
      <xdr:rowOff>114300</xdr:rowOff>
    </xdr:from>
    <xdr:to>
      <xdr:col>0</xdr:col>
      <xdr:colOff>695325</xdr:colOff>
      <xdr:row>59</xdr:row>
      <xdr:rowOff>66675</xdr:rowOff>
    </xdr:to>
    <xdr:sp macro="" textlink="">
      <xdr:nvSpPr>
        <xdr:cNvPr id="34143" name="Rectangle 13">
          <a:extLst>
            <a:ext uri="{FF2B5EF4-FFF2-40B4-BE49-F238E27FC236}">
              <a16:creationId xmlns:a16="http://schemas.microsoft.com/office/drawing/2014/main" id="{00000000-0008-0000-0100-00005F850000}"/>
            </a:ext>
          </a:extLst>
        </xdr:cNvPr>
        <xdr:cNvSpPr>
          <a:spLocks noChangeArrowheads="1"/>
        </xdr:cNvSpPr>
      </xdr:nvSpPr>
      <xdr:spPr bwMode="auto">
        <a:xfrm>
          <a:off x="571500" y="14411325"/>
          <a:ext cx="123825" cy="1428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695325</xdr:colOff>
      <xdr:row>58</xdr:row>
      <xdr:rowOff>180975</xdr:rowOff>
    </xdr:from>
    <xdr:to>
      <xdr:col>2</xdr:col>
      <xdr:colOff>0</xdr:colOff>
      <xdr:row>62</xdr:row>
      <xdr:rowOff>161925</xdr:rowOff>
    </xdr:to>
    <xdr:cxnSp macro="">
      <xdr:nvCxnSpPr>
        <xdr:cNvPr id="34144" name="AutoShape 132">
          <a:extLst>
            <a:ext uri="{FF2B5EF4-FFF2-40B4-BE49-F238E27FC236}">
              <a16:creationId xmlns:a16="http://schemas.microsoft.com/office/drawing/2014/main" id="{00000000-0008-0000-0100-000060850000}"/>
            </a:ext>
          </a:extLst>
        </xdr:cNvPr>
        <xdr:cNvCxnSpPr>
          <a:cxnSpLocks noChangeShapeType="1"/>
          <a:stCxn id="34143" idx="3"/>
          <a:endCxn id="34067" idx="2"/>
        </xdr:cNvCxnSpPr>
      </xdr:nvCxnSpPr>
      <xdr:spPr bwMode="auto">
        <a:xfrm>
          <a:off x="695325" y="14478000"/>
          <a:ext cx="857250" cy="7429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99060</xdr:colOff>
      <xdr:row>73</xdr:row>
      <xdr:rowOff>0</xdr:rowOff>
    </xdr:from>
    <xdr:to>
      <xdr:col>0</xdr:col>
      <xdr:colOff>661656</xdr:colOff>
      <xdr:row>76</xdr:row>
      <xdr:rowOff>49578</xdr:rowOff>
    </xdr:to>
    <xdr:sp macro="" textlink="">
      <xdr:nvSpPr>
        <xdr:cNvPr id="194" name="Oval 12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>
          <a:spLocks noChangeArrowheads="1"/>
        </xdr:cNvSpPr>
      </xdr:nvSpPr>
      <xdr:spPr bwMode="auto">
        <a:xfrm>
          <a:off x="99060" y="17373600"/>
          <a:ext cx="596406" cy="598218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Disponib.</a:t>
          </a:r>
        </a:p>
      </xdr:txBody>
    </xdr:sp>
    <xdr:clientData/>
  </xdr:twoCellAnchor>
  <xdr:twoCellAnchor>
    <xdr:from>
      <xdr:col>3</xdr:col>
      <xdr:colOff>0</xdr:colOff>
      <xdr:row>72</xdr:row>
      <xdr:rowOff>24765</xdr:rowOff>
    </xdr:from>
    <xdr:to>
      <xdr:col>3</xdr:col>
      <xdr:colOff>582727</xdr:colOff>
      <xdr:row>75</xdr:row>
      <xdr:rowOff>70868</xdr:rowOff>
    </xdr:to>
    <xdr:sp macro="" textlink="">
      <xdr:nvSpPr>
        <xdr:cNvPr id="195" name="Oval 12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>
          <a:spLocks noChangeArrowheads="1"/>
        </xdr:cNvSpPr>
      </xdr:nvSpPr>
      <xdr:spPr bwMode="auto">
        <a:xfrm>
          <a:off x="2352675" y="13559790"/>
          <a:ext cx="582727" cy="617603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Prést.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al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Personal</a:t>
          </a:r>
        </a:p>
      </xdr:txBody>
    </xdr:sp>
    <xdr:clientData/>
  </xdr:twoCellAnchor>
  <xdr:twoCellAnchor>
    <xdr:from>
      <xdr:col>0</xdr:col>
      <xdr:colOff>661656</xdr:colOff>
      <xdr:row>73</xdr:row>
      <xdr:rowOff>143067</xdr:rowOff>
    </xdr:from>
    <xdr:to>
      <xdr:col>3</xdr:col>
      <xdr:colOff>0</xdr:colOff>
      <xdr:row>74</xdr:row>
      <xdr:rowOff>120039</xdr:rowOff>
    </xdr:to>
    <xdr:cxnSp macro="">
      <xdr:nvCxnSpPr>
        <xdr:cNvPr id="34150" name="AutoShape 132">
          <a:extLst>
            <a:ext uri="{FF2B5EF4-FFF2-40B4-BE49-F238E27FC236}">
              <a16:creationId xmlns:a16="http://schemas.microsoft.com/office/drawing/2014/main" id="{00000000-0008-0000-0100-000066850000}"/>
            </a:ext>
          </a:extLst>
        </xdr:cNvPr>
        <xdr:cNvCxnSpPr>
          <a:cxnSpLocks noChangeShapeType="1"/>
          <a:stCxn id="194" idx="6"/>
          <a:endCxn id="195" idx="2"/>
        </xdr:cNvCxnSpPr>
      </xdr:nvCxnSpPr>
      <xdr:spPr bwMode="auto">
        <a:xfrm flipV="1">
          <a:off x="661656" y="13868592"/>
          <a:ext cx="1691019" cy="16747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74295</xdr:colOff>
      <xdr:row>80</xdr:row>
      <xdr:rowOff>121920</xdr:rowOff>
    </xdr:from>
    <xdr:to>
      <xdr:col>0</xdr:col>
      <xdr:colOff>552520</xdr:colOff>
      <xdr:row>85</xdr:row>
      <xdr:rowOff>141</xdr:rowOff>
    </xdr:to>
    <xdr:sp macro="" textlink="">
      <xdr:nvSpPr>
        <xdr:cNvPr id="204" name="Rectangle 11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>
          <a:spLocks noChangeArrowheads="1"/>
        </xdr:cNvSpPr>
      </xdr:nvSpPr>
      <xdr:spPr bwMode="auto">
        <a:xfrm>
          <a:off x="83820" y="18783300"/>
          <a:ext cx="500955" cy="781087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Amort.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Acvum.</a:t>
          </a:r>
        </a:p>
      </xdr:txBody>
    </xdr:sp>
    <xdr:clientData/>
  </xdr:twoCellAnchor>
  <xdr:twoCellAnchor>
    <xdr:from>
      <xdr:col>2</xdr:col>
      <xdr:colOff>525780</xdr:colOff>
      <xdr:row>80</xdr:row>
      <xdr:rowOff>72390</xdr:rowOff>
    </xdr:from>
    <xdr:to>
      <xdr:col>3</xdr:col>
      <xdr:colOff>310706</xdr:colOff>
      <xdr:row>83</xdr:row>
      <xdr:rowOff>120157</xdr:rowOff>
    </xdr:to>
    <xdr:sp macro="" textlink="">
      <xdr:nvSpPr>
        <xdr:cNvPr id="205" name="Oval 12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>
          <a:spLocks noChangeArrowheads="1"/>
        </xdr:cNvSpPr>
      </xdr:nvSpPr>
      <xdr:spPr bwMode="auto">
        <a:xfrm>
          <a:off x="2133600" y="18714720"/>
          <a:ext cx="596406" cy="598218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Disponib.</a:t>
          </a:r>
        </a:p>
      </xdr:txBody>
    </xdr:sp>
    <xdr:clientData/>
  </xdr:twoCellAnchor>
  <xdr:twoCellAnchor>
    <xdr:from>
      <xdr:col>0</xdr:col>
      <xdr:colOff>398145</xdr:colOff>
      <xdr:row>89</xdr:row>
      <xdr:rowOff>118110</xdr:rowOff>
    </xdr:from>
    <xdr:to>
      <xdr:col>1</xdr:col>
      <xdr:colOff>223340</xdr:colOff>
      <xdr:row>92</xdr:row>
      <xdr:rowOff>167688</xdr:rowOff>
    </xdr:to>
    <xdr:sp macro="" textlink="">
      <xdr:nvSpPr>
        <xdr:cNvPr id="206" name="Oval 12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>
          <a:spLocks noChangeArrowheads="1"/>
        </xdr:cNvSpPr>
      </xdr:nvSpPr>
      <xdr:spPr bwMode="auto">
        <a:xfrm>
          <a:off x="411480" y="20406360"/>
          <a:ext cx="596406" cy="598218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B.Uso</a:t>
          </a:r>
        </a:p>
      </xdr:txBody>
    </xdr:sp>
    <xdr:clientData/>
  </xdr:twoCellAnchor>
  <xdr:twoCellAnchor>
    <xdr:from>
      <xdr:col>1</xdr:col>
      <xdr:colOff>628650</xdr:colOff>
      <xdr:row>86</xdr:row>
      <xdr:rowOff>38100</xdr:rowOff>
    </xdr:from>
    <xdr:to>
      <xdr:col>1</xdr:col>
      <xdr:colOff>704850</xdr:colOff>
      <xdr:row>86</xdr:row>
      <xdr:rowOff>114300</xdr:rowOff>
    </xdr:to>
    <xdr:sp macro="" textlink="">
      <xdr:nvSpPr>
        <xdr:cNvPr id="34154" name="Oval 130">
          <a:extLst>
            <a:ext uri="{FF2B5EF4-FFF2-40B4-BE49-F238E27FC236}">
              <a16:creationId xmlns:a16="http://schemas.microsoft.com/office/drawing/2014/main" id="{00000000-0008-0000-0100-00006A850000}"/>
            </a:ext>
          </a:extLst>
        </xdr:cNvPr>
        <xdr:cNvSpPr>
          <a:spLocks noChangeArrowheads="1"/>
        </xdr:cNvSpPr>
      </xdr:nvSpPr>
      <xdr:spPr bwMode="auto">
        <a:xfrm>
          <a:off x="1390650" y="20621625"/>
          <a:ext cx="76200" cy="76200"/>
        </a:xfrm>
        <a:prstGeom prst="ellipse">
          <a:avLst/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89</xdr:row>
      <xdr:rowOff>0</xdr:rowOff>
    </xdr:from>
    <xdr:to>
      <xdr:col>3</xdr:col>
      <xdr:colOff>487555</xdr:colOff>
      <xdr:row>93</xdr:row>
      <xdr:rowOff>68620</xdr:rowOff>
    </xdr:to>
    <xdr:sp macro="" textlink="">
      <xdr:nvSpPr>
        <xdr:cNvPr id="209" name="Rectangle 19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>
          <a:spLocks noChangeArrowheads="1"/>
        </xdr:cNvSpPr>
      </xdr:nvSpPr>
      <xdr:spPr bwMode="auto">
        <a:xfrm>
          <a:off x="2407920" y="20299680"/>
          <a:ext cx="500955" cy="788670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IVA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DF</a:t>
          </a:r>
        </a:p>
      </xdr:txBody>
    </xdr:sp>
    <xdr:clientData/>
  </xdr:twoCellAnchor>
  <xdr:twoCellAnchor>
    <xdr:from>
      <xdr:col>1</xdr:col>
      <xdr:colOff>695325</xdr:colOff>
      <xdr:row>83</xdr:row>
      <xdr:rowOff>28575</xdr:rowOff>
    </xdr:from>
    <xdr:to>
      <xdr:col>2</xdr:col>
      <xdr:colOff>619125</xdr:colOff>
      <xdr:row>86</xdr:row>
      <xdr:rowOff>47625</xdr:rowOff>
    </xdr:to>
    <xdr:cxnSp macro="">
      <xdr:nvCxnSpPr>
        <xdr:cNvPr id="34156" name="AutoShape 132">
          <a:extLst>
            <a:ext uri="{FF2B5EF4-FFF2-40B4-BE49-F238E27FC236}">
              <a16:creationId xmlns:a16="http://schemas.microsoft.com/office/drawing/2014/main" id="{00000000-0008-0000-0100-00006C850000}"/>
            </a:ext>
          </a:extLst>
        </xdr:cNvPr>
        <xdr:cNvCxnSpPr>
          <a:cxnSpLocks noChangeShapeType="1"/>
          <a:stCxn id="34154" idx="7"/>
          <a:endCxn id="205" idx="3"/>
        </xdr:cNvCxnSpPr>
      </xdr:nvCxnSpPr>
      <xdr:spPr bwMode="auto">
        <a:xfrm flipV="1">
          <a:off x="1457325" y="20040600"/>
          <a:ext cx="714375" cy="5905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704850</xdr:colOff>
      <xdr:row>86</xdr:row>
      <xdr:rowOff>76200</xdr:rowOff>
    </xdr:from>
    <xdr:to>
      <xdr:col>3</xdr:col>
      <xdr:colOff>0</xdr:colOff>
      <xdr:row>91</xdr:row>
      <xdr:rowOff>28575</xdr:rowOff>
    </xdr:to>
    <xdr:cxnSp macro="">
      <xdr:nvCxnSpPr>
        <xdr:cNvPr id="34157" name="AutoShape 132">
          <a:extLst>
            <a:ext uri="{FF2B5EF4-FFF2-40B4-BE49-F238E27FC236}">
              <a16:creationId xmlns:a16="http://schemas.microsoft.com/office/drawing/2014/main" id="{00000000-0008-0000-0100-00006D850000}"/>
            </a:ext>
          </a:extLst>
        </xdr:cNvPr>
        <xdr:cNvCxnSpPr>
          <a:cxnSpLocks noChangeShapeType="1"/>
          <a:stCxn id="209" idx="1"/>
          <a:endCxn id="34154" idx="6"/>
        </xdr:cNvCxnSpPr>
      </xdr:nvCxnSpPr>
      <xdr:spPr bwMode="auto">
        <a:xfrm flipH="1" flipV="1">
          <a:off x="1466850" y="20659725"/>
          <a:ext cx="885825" cy="9048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123825</xdr:colOff>
      <xdr:row>86</xdr:row>
      <xdr:rowOff>114300</xdr:rowOff>
    </xdr:from>
    <xdr:to>
      <xdr:col>1</xdr:col>
      <xdr:colOff>638175</xdr:colOff>
      <xdr:row>90</xdr:row>
      <xdr:rowOff>9525</xdr:rowOff>
    </xdr:to>
    <xdr:cxnSp macro="">
      <xdr:nvCxnSpPr>
        <xdr:cNvPr id="34158" name="AutoShape 132">
          <a:extLst>
            <a:ext uri="{FF2B5EF4-FFF2-40B4-BE49-F238E27FC236}">
              <a16:creationId xmlns:a16="http://schemas.microsoft.com/office/drawing/2014/main" id="{00000000-0008-0000-0100-00006E850000}"/>
            </a:ext>
          </a:extLst>
        </xdr:cNvPr>
        <xdr:cNvCxnSpPr>
          <a:cxnSpLocks noChangeShapeType="1"/>
          <a:stCxn id="206" idx="7"/>
          <a:endCxn id="34154" idx="3"/>
        </xdr:cNvCxnSpPr>
      </xdr:nvCxnSpPr>
      <xdr:spPr bwMode="auto">
        <a:xfrm flipV="1">
          <a:off x="885825" y="20697825"/>
          <a:ext cx="514350" cy="6572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561975</xdr:colOff>
      <xdr:row>82</xdr:row>
      <xdr:rowOff>161925</xdr:rowOff>
    </xdr:from>
    <xdr:to>
      <xdr:col>1</xdr:col>
      <xdr:colOff>638175</xdr:colOff>
      <xdr:row>86</xdr:row>
      <xdr:rowOff>47625</xdr:rowOff>
    </xdr:to>
    <xdr:cxnSp macro="">
      <xdr:nvCxnSpPr>
        <xdr:cNvPr id="34159" name="AutoShape 132">
          <a:extLst>
            <a:ext uri="{FF2B5EF4-FFF2-40B4-BE49-F238E27FC236}">
              <a16:creationId xmlns:a16="http://schemas.microsoft.com/office/drawing/2014/main" id="{00000000-0008-0000-0100-00006F850000}"/>
            </a:ext>
          </a:extLst>
        </xdr:cNvPr>
        <xdr:cNvCxnSpPr>
          <a:cxnSpLocks noChangeShapeType="1"/>
          <a:stCxn id="34154" idx="1"/>
          <a:endCxn id="204" idx="3"/>
        </xdr:cNvCxnSpPr>
      </xdr:nvCxnSpPr>
      <xdr:spPr bwMode="auto">
        <a:xfrm flipH="1" flipV="1">
          <a:off x="561975" y="19983450"/>
          <a:ext cx="838200" cy="6477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704850</xdr:colOff>
      <xdr:row>85</xdr:row>
      <xdr:rowOff>142875</xdr:rowOff>
    </xdr:from>
    <xdr:to>
      <xdr:col>3</xdr:col>
      <xdr:colOff>104775</xdr:colOff>
      <xdr:row>86</xdr:row>
      <xdr:rowOff>76200</xdr:rowOff>
    </xdr:to>
    <xdr:cxnSp macro="">
      <xdr:nvCxnSpPr>
        <xdr:cNvPr id="34160" name="AutoShape 132">
          <a:extLst>
            <a:ext uri="{FF2B5EF4-FFF2-40B4-BE49-F238E27FC236}">
              <a16:creationId xmlns:a16="http://schemas.microsoft.com/office/drawing/2014/main" id="{00000000-0008-0000-0100-000070850000}"/>
            </a:ext>
          </a:extLst>
        </xdr:cNvPr>
        <xdr:cNvCxnSpPr>
          <a:cxnSpLocks noChangeShapeType="1"/>
          <a:stCxn id="34161" idx="1"/>
          <a:endCxn id="34154" idx="6"/>
        </xdr:cNvCxnSpPr>
      </xdr:nvCxnSpPr>
      <xdr:spPr bwMode="auto">
        <a:xfrm flipH="1">
          <a:off x="1466850" y="20535900"/>
          <a:ext cx="990600" cy="1238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104775</xdr:colOff>
      <xdr:row>85</xdr:row>
      <xdr:rowOff>76200</xdr:rowOff>
    </xdr:from>
    <xdr:to>
      <xdr:col>3</xdr:col>
      <xdr:colOff>228600</xdr:colOff>
      <xdr:row>86</xdr:row>
      <xdr:rowOff>28575</xdr:rowOff>
    </xdr:to>
    <xdr:sp macro="" textlink="">
      <xdr:nvSpPr>
        <xdr:cNvPr id="34161" name="Rectangle 13">
          <a:extLst>
            <a:ext uri="{FF2B5EF4-FFF2-40B4-BE49-F238E27FC236}">
              <a16:creationId xmlns:a16="http://schemas.microsoft.com/office/drawing/2014/main" id="{00000000-0008-0000-0100-000071850000}"/>
            </a:ext>
          </a:extLst>
        </xdr:cNvPr>
        <xdr:cNvSpPr>
          <a:spLocks noChangeArrowheads="1"/>
        </xdr:cNvSpPr>
      </xdr:nvSpPr>
      <xdr:spPr bwMode="auto">
        <a:xfrm>
          <a:off x="2457450" y="20469225"/>
          <a:ext cx="123825" cy="1428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769620</xdr:colOff>
      <xdr:row>97</xdr:row>
      <xdr:rowOff>32385</xdr:rowOff>
    </xdr:from>
    <xdr:to>
      <xdr:col>3</xdr:col>
      <xdr:colOff>554738</xdr:colOff>
      <xdr:row>100</xdr:row>
      <xdr:rowOff>72553</xdr:rowOff>
    </xdr:to>
    <xdr:sp macro="" textlink="">
      <xdr:nvSpPr>
        <xdr:cNvPr id="231" name="Oval 12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>
          <a:spLocks noChangeArrowheads="1"/>
        </xdr:cNvSpPr>
      </xdr:nvSpPr>
      <xdr:spPr bwMode="auto">
        <a:xfrm>
          <a:off x="2369820" y="22699980"/>
          <a:ext cx="596406" cy="598218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Prést.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al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Personal</a:t>
          </a:r>
        </a:p>
      </xdr:txBody>
    </xdr:sp>
    <xdr:clientData/>
  </xdr:twoCellAnchor>
  <xdr:twoCellAnchor>
    <xdr:from>
      <xdr:col>2</xdr:col>
      <xdr:colOff>104775</xdr:colOff>
      <xdr:row>98</xdr:row>
      <xdr:rowOff>142875</xdr:rowOff>
    </xdr:from>
    <xdr:to>
      <xdr:col>2</xdr:col>
      <xdr:colOff>762000</xdr:colOff>
      <xdr:row>101</xdr:row>
      <xdr:rowOff>133350</xdr:rowOff>
    </xdr:to>
    <xdr:cxnSp macro="">
      <xdr:nvCxnSpPr>
        <xdr:cNvPr id="34163" name="AutoShape 117">
          <a:extLst>
            <a:ext uri="{FF2B5EF4-FFF2-40B4-BE49-F238E27FC236}">
              <a16:creationId xmlns:a16="http://schemas.microsoft.com/office/drawing/2014/main" id="{00000000-0008-0000-0100-000073850000}"/>
            </a:ext>
          </a:extLst>
        </xdr:cNvPr>
        <xdr:cNvCxnSpPr>
          <a:cxnSpLocks noChangeShapeType="1"/>
          <a:stCxn id="231" idx="2"/>
          <a:endCxn id="34050" idx="7"/>
        </xdr:cNvCxnSpPr>
      </xdr:nvCxnSpPr>
      <xdr:spPr bwMode="auto">
        <a:xfrm flipH="1">
          <a:off x="1657350" y="23964900"/>
          <a:ext cx="657225" cy="5619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142875</xdr:colOff>
      <xdr:row>110</xdr:row>
      <xdr:rowOff>45720</xdr:rowOff>
    </xdr:from>
    <xdr:to>
      <xdr:col>0</xdr:col>
      <xdr:colOff>721493</xdr:colOff>
      <xdr:row>113</xdr:row>
      <xdr:rowOff>120086</xdr:rowOff>
    </xdr:to>
    <xdr:sp macro="" textlink="">
      <xdr:nvSpPr>
        <xdr:cNvPr id="240" name="Oval 12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>
          <a:spLocks noChangeArrowheads="1"/>
        </xdr:cNvSpPr>
      </xdr:nvSpPr>
      <xdr:spPr bwMode="auto">
        <a:xfrm>
          <a:off x="144780" y="24925020"/>
          <a:ext cx="603960" cy="60579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CD</a:t>
          </a:r>
        </a:p>
      </xdr:txBody>
    </xdr:sp>
    <xdr:clientData/>
  </xdr:twoCellAnchor>
  <xdr:twoCellAnchor>
    <xdr:from>
      <xdr:col>0</xdr:col>
      <xdr:colOff>714375</xdr:colOff>
      <xdr:row>110</xdr:row>
      <xdr:rowOff>171450</xdr:rowOff>
    </xdr:from>
    <xdr:to>
      <xdr:col>3</xdr:col>
      <xdr:colOff>200025</xdr:colOff>
      <xdr:row>111</xdr:row>
      <xdr:rowOff>180975</xdr:rowOff>
    </xdr:to>
    <xdr:cxnSp macro="">
      <xdr:nvCxnSpPr>
        <xdr:cNvPr id="34165" name="AutoShape 19">
          <a:extLst>
            <a:ext uri="{FF2B5EF4-FFF2-40B4-BE49-F238E27FC236}">
              <a16:creationId xmlns:a16="http://schemas.microsoft.com/office/drawing/2014/main" id="{00000000-0008-0000-0100-000075850000}"/>
            </a:ext>
          </a:extLst>
        </xdr:cNvPr>
        <xdr:cNvCxnSpPr>
          <a:cxnSpLocks noChangeShapeType="1"/>
          <a:stCxn id="240" idx="6"/>
          <a:endCxn id="34166" idx="2"/>
        </xdr:cNvCxnSpPr>
      </xdr:nvCxnSpPr>
      <xdr:spPr bwMode="auto">
        <a:xfrm flipV="1">
          <a:off x="714375" y="26088975"/>
          <a:ext cx="1838325" cy="2000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200025</xdr:colOff>
      <xdr:row>110</xdr:row>
      <xdr:rowOff>95250</xdr:rowOff>
    </xdr:from>
    <xdr:to>
      <xdr:col>3</xdr:col>
      <xdr:colOff>333375</xdr:colOff>
      <xdr:row>111</xdr:row>
      <xdr:rowOff>47625</xdr:rowOff>
    </xdr:to>
    <xdr:sp macro="" textlink="">
      <xdr:nvSpPr>
        <xdr:cNvPr id="34166" name="Oval 18">
          <a:extLst>
            <a:ext uri="{FF2B5EF4-FFF2-40B4-BE49-F238E27FC236}">
              <a16:creationId xmlns:a16="http://schemas.microsoft.com/office/drawing/2014/main" id="{00000000-0008-0000-0100-000076850000}"/>
            </a:ext>
          </a:extLst>
        </xdr:cNvPr>
        <xdr:cNvSpPr>
          <a:spLocks noChangeArrowheads="1"/>
        </xdr:cNvSpPr>
      </xdr:nvSpPr>
      <xdr:spPr bwMode="auto">
        <a:xfrm>
          <a:off x="2552700" y="26012775"/>
          <a:ext cx="133350" cy="142875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285750</xdr:colOff>
      <xdr:row>141</xdr:row>
      <xdr:rowOff>0</xdr:rowOff>
    </xdr:from>
    <xdr:to>
      <xdr:col>0</xdr:col>
      <xdr:colOff>409575</xdr:colOff>
      <xdr:row>141</xdr:row>
      <xdr:rowOff>142875</xdr:rowOff>
    </xdr:to>
    <xdr:sp macro="" textlink="">
      <xdr:nvSpPr>
        <xdr:cNvPr id="34167" name="Rectangle 13">
          <a:extLst>
            <a:ext uri="{FF2B5EF4-FFF2-40B4-BE49-F238E27FC236}">
              <a16:creationId xmlns:a16="http://schemas.microsoft.com/office/drawing/2014/main" id="{00000000-0008-0000-0100-000077850000}"/>
            </a:ext>
          </a:extLst>
        </xdr:cNvPr>
        <xdr:cNvSpPr>
          <a:spLocks noChangeArrowheads="1"/>
        </xdr:cNvSpPr>
      </xdr:nvSpPr>
      <xdr:spPr bwMode="auto">
        <a:xfrm>
          <a:off x="285750" y="30699075"/>
          <a:ext cx="123825" cy="1428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409575</xdr:colOff>
      <xdr:row>141</xdr:row>
      <xdr:rowOff>76200</xdr:rowOff>
    </xdr:from>
    <xdr:to>
      <xdr:col>3</xdr:col>
      <xdr:colOff>0</xdr:colOff>
      <xdr:row>142</xdr:row>
      <xdr:rowOff>28575</xdr:rowOff>
    </xdr:to>
    <xdr:cxnSp macro="">
      <xdr:nvCxnSpPr>
        <xdr:cNvPr id="34168" name="AutoShape 19">
          <a:extLst>
            <a:ext uri="{FF2B5EF4-FFF2-40B4-BE49-F238E27FC236}">
              <a16:creationId xmlns:a16="http://schemas.microsoft.com/office/drawing/2014/main" id="{00000000-0008-0000-0100-000078850000}"/>
            </a:ext>
          </a:extLst>
        </xdr:cNvPr>
        <xdr:cNvCxnSpPr>
          <a:cxnSpLocks noChangeShapeType="1"/>
          <a:stCxn id="34167" idx="3"/>
          <a:endCxn id="247" idx="1"/>
        </xdr:cNvCxnSpPr>
      </xdr:nvCxnSpPr>
      <xdr:spPr bwMode="auto">
        <a:xfrm>
          <a:off x="409575" y="30775275"/>
          <a:ext cx="1943100" cy="1428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140</xdr:row>
      <xdr:rowOff>0</xdr:rowOff>
    </xdr:from>
    <xdr:to>
      <xdr:col>3</xdr:col>
      <xdr:colOff>487555</xdr:colOff>
      <xdr:row>144</xdr:row>
      <xdr:rowOff>68620</xdr:rowOff>
    </xdr:to>
    <xdr:sp macro="" textlink="">
      <xdr:nvSpPr>
        <xdr:cNvPr id="247" name="Rectangle 19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>
          <a:spLocks noChangeArrowheads="1"/>
        </xdr:cNvSpPr>
      </xdr:nvSpPr>
      <xdr:spPr bwMode="auto">
        <a:xfrm>
          <a:off x="2407920" y="29260800"/>
          <a:ext cx="500955" cy="788670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Int</a:t>
          </a:r>
          <a:endParaRPr lang="x-none" sz="800" b="1" i="0" u="none" strike="noStrike" baseline="0">
            <a:solidFill>
              <a:srgbClr val="000000"/>
            </a:solidFill>
            <a:latin typeface="Trebuchet MS"/>
          </a:endParaRPr>
        </a:p>
        <a:p>
          <a:pPr algn="ctr" rtl="0">
            <a:defRPr sz="1000"/>
          </a:pPr>
          <a:r>
            <a:rPr lang="x-none" sz="800" b="1" i="0" u="none" strike="noStrike" baseline="0">
              <a:solidFill>
                <a:srgbClr val="000000"/>
              </a:solidFill>
              <a:latin typeface="Trebuchet MS"/>
            </a:rPr>
            <a:t>a</a:t>
          </a:r>
        </a:p>
        <a:p>
          <a:pPr algn="ctr" rtl="0">
            <a:defRPr sz="1000"/>
          </a:pPr>
          <a:r>
            <a:rPr lang="x-none" sz="800" b="1" i="0" u="none" strike="noStrike" baseline="0">
              <a:solidFill>
                <a:srgbClr val="000000"/>
              </a:solidFill>
              <a:latin typeface="Trebuchet MS"/>
            </a:rPr>
            <a:t>Dev</a:t>
          </a:r>
          <a:endParaRPr lang="es-AR" sz="800" b="1" i="0" u="none" strike="noStrike" baseline="0">
            <a:solidFill>
              <a:srgbClr val="000000"/>
            </a:solidFill>
            <a:latin typeface="Trebuchet MS"/>
          </a:endParaRPr>
        </a:p>
      </xdr:txBody>
    </xdr:sp>
    <xdr:clientData/>
  </xdr:twoCellAnchor>
  <xdr:twoCellAnchor>
    <xdr:from>
      <xdr:col>1</xdr:col>
      <xdr:colOff>175260</xdr:colOff>
      <xdr:row>154</xdr:row>
      <xdr:rowOff>171450</xdr:rowOff>
    </xdr:from>
    <xdr:to>
      <xdr:col>1</xdr:col>
      <xdr:colOff>362149</xdr:colOff>
      <xdr:row>155</xdr:row>
      <xdr:rowOff>164214</xdr:rowOff>
    </xdr:to>
    <xdr:sp macro="" textlink="">
      <xdr:nvSpPr>
        <xdr:cNvPr id="137" name="136 Elipse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>
          <a:off x="967740" y="31638240"/>
          <a:ext cx="198120" cy="163996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3</xdr:col>
      <xdr:colOff>647700</xdr:colOff>
      <xdr:row>152</xdr:row>
      <xdr:rowOff>102870</xdr:rowOff>
    </xdr:from>
    <xdr:to>
      <xdr:col>4</xdr:col>
      <xdr:colOff>304800</xdr:colOff>
      <xdr:row>156</xdr:row>
      <xdr:rowOff>129540</xdr:rowOff>
    </xdr:to>
    <xdr:sp macro="" textlink="">
      <xdr:nvSpPr>
        <xdr:cNvPr id="145" name="Rectangle 19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Arrowheads="1"/>
        </xdr:cNvSpPr>
      </xdr:nvSpPr>
      <xdr:spPr bwMode="auto">
        <a:xfrm>
          <a:off x="3124200" y="29096970"/>
          <a:ext cx="523875" cy="883920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Provision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IIGG</a:t>
          </a:r>
        </a:p>
      </xdr:txBody>
    </xdr:sp>
    <xdr:clientData/>
  </xdr:twoCellAnchor>
  <xdr:twoCellAnchor>
    <xdr:from>
      <xdr:col>0</xdr:col>
      <xdr:colOff>541020</xdr:colOff>
      <xdr:row>173</xdr:row>
      <xdr:rowOff>7620</xdr:rowOff>
    </xdr:from>
    <xdr:to>
      <xdr:col>0</xdr:col>
      <xdr:colOff>727441</xdr:colOff>
      <xdr:row>174</xdr:row>
      <xdr:rowOff>712</xdr:rowOff>
    </xdr:to>
    <xdr:sp macro="" textlink="">
      <xdr:nvSpPr>
        <xdr:cNvPr id="149" name="148 Elipse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556260" y="35006280"/>
          <a:ext cx="198120" cy="163996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0</xdr:col>
      <xdr:colOff>727710</xdr:colOff>
      <xdr:row>165</xdr:row>
      <xdr:rowOff>81915</xdr:rowOff>
    </xdr:from>
    <xdr:to>
      <xdr:col>4</xdr:col>
      <xdr:colOff>320087</xdr:colOff>
      <xdr:row>173</xdr:row>
      <xdr:rowOff>108742</xdr:rowOff>
    </xdr:to>
    <xdr:cxnSp macro="">
      <xdr:nvCxnSpPr>
        <xdr:cNvPr id="162" name="161 Conector recto de flecha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CxnSpPr>
          <a:stCxn id="149" idx="6"/>
          <a:endCxn id="282" idx="1"/>
        </xdr:cNvCxnSpPr>
      </xdr:nvCxnSpPr>
      <xdr:spPr>
        <a:xfrm flipV="1">
          <a:off x="754380" y="33602295"/>
          <a:ext cx="2899410" cy="1485983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3</xdr:row>
          <xdr:rowOff>9525</xdr:rowOff>
        </xdr:from>
        <xdr:to>
          <xdr:col>8</xdr:col>
          <xdr:colOff>523875</xdr:colOff>
          <xdr:row>4</xdr:row>
          <xdr:rowOff>0</xdr:rowOff>
        </xdr:to>
        <xdr:sp macro="" textlink="">
          <xdr:nvSpPr>
            <xdr:cNvPr id="31064" name="Object 8536" hidden="1">
              <a:extLst>
                <a:ext uri="{63B3BB69-23CF-44E3-9099-C40C66FF867C}">
                  <a14:compatExt spid="_x0000_s31064"/>
                </a:ext>
                <a:ext uri="{FF2B5EF4-FFF2-40B4-BE49-F238E27FC236}">
                  <a16:creationId xmlns:a16="http://schemas.microsoft.com/office/drawing/2014/main" id="{00000000-0008-0000-0100-0000587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14</xdr:row>
          <xdr:rowOff>114300</xdr:rowOff>
        </xdr:from>
        <xdr:to>
          <xdr:col>8</xdr:col>
          <xdr:colOff>533400</xdr:colOff>
          <xdr:row>17</xdr:row>
          <xdr:rowOff>76200</xdr:rowOff>
        </xdr:to>
        <xdr:sp macro="" textlink="">
          <xdr:nvSpPr>
            <xdr:cNvPr id="31065" name="Object 8537" hidden="1">
              <a:extLst>
                <a:ext uri="{63B3BB69-23CF-44E3-9099-C40C66FF867C}">
                  <a14:compatExt spid="_x0000_s31065"/>
                </a:ext>
                <a:ext uri="{FF2B5EF4-FFF2-40B4-BE49-F238E27FC236}">
                  <a16:creationId xmlns:a16="http://schemas.microsoft.com/office/drawing/2014/main" id="{00000000-0008-0000-0100-0000597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31</xdr:row>
          <xdr:rowOff>19050</xdr:rowOff>
        </xdr:from>
        <xdr:to>
          <xdr:col>8</xdr:col>
          <xdr:colOff>514350</xdr:colOff>
          <xdr:row>32</xdr:row>
          <xdr:rowOff>180975</xdr:rowOff>
        </xdr:to>
        <xdr:sp macro="" textlink="">
          <xdr:nvSpPr>
            <xdr:cNvPr id="31066" name="Object 8538" hidden="1">
              <a:extLst>
                <a:ext uri="{63B3BB69-23CF-44E3-9099-C40C66FF867C}">
                  <a14:compatExt spid="_x0000_s31066"/>
                </a:ext>
                <a:ext uri="{FF2B5EF4-FFF2-40B4-BE49-F238E27FC236}">
                  <a16:creationId xmlns:a16="http://schemas.microsoft.com/office/drawing/2014/main" id="{00000000-0008-0000-0100-00005A7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42</xdr:row>
          <xdr:rowOff>19050</xdr:rowOff>
        </xdr:from>
        <xdr:to>
          <xdr:col>8</xdr:col>
          <xdr:colOff>514350</xdr:colOff>
          <xdr:row>43</xdr:row>
          <xdr:rowOff>180975</xdr:rowOff>
        </xdr:to>
        <xdr:sp macro="" textlink="">
          <xdr:nvSpPr>
            <xdr:cNvPr id="31067" name="Object 8539" hidden="1">
              <a:extLst>
                <a:ext uri="{63B3BB69-23CF-44E3-9099-C40C66FF867C}">
                  <a14:compatExt spid="_x0000_s31067"/>
                </a:ext>
                <a:ext uri="{FF2B5EF4-FFF2-40B4-BE49-F238E27FC236}">
                  <a16:creationId xmlns:a16="http://schemas.microsoft.com/office/drawing/2014/main" id="{00000000-0008-0000-0100-00005B7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55</xdr:row>
          <xdr:rowOff>28575</xdr:rowOff>
        </xdr:from>
        <xdr:to>
          <xdr:col>8</xdr:col>
          <xdr:colOff>514350</xdr:colOff>
          <xdr:row>57</xdr:row>
          <xdr:rowOff>180975</xdr:rowOff>
        </xdr:to>
        <xdr:sp macro="" textlink="">
          <xdr:nvSpPr>
            <xdr:cNvPr id="31068" name="Object 8540" hidden="1">
              <a:extLst>
                <a:ext uri="{63B3BB69-23CF-44E3-9099-C40C66FF867C}">
                  <a14:compatExt spid="_x0000_s31068"/>
                </a:ext>
                <a:ext uri="{FF2B5EF4-FFF2-40B4-BE49-F238E27FC236}">
                  <a16:creationId xmlns:a16="http://schemas.microsoft.com/office/drawing/2014/main" id="{00000000-0008-0000-0100-00005C7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70</xdr:row>
          <xdr:rowOff>9525</xdr:rowOff>
        </xdr:from>
        <xdr:to>
          <xdr:col>8</xdr:col>
          <xdr:colOff>514350</xdr:colOff>
          <xdr:row>71</xdr:row>
          <xdr:rowOff>171450</xdr:rowOff>
        </xdr:to>
        <xdr:sp macro="" textlink="">
          <xdr:nvSpPr>
            <xdr:cNvPr id="31069" name="Object 8541" hidden="1">
              <a:extLst>
                <a:ext uri="{63B3BB69-23CF-44E3-9099-C40C66FF867C}">
                  <a14:compatExt spid="_x0000_s31069"/>
                </a:ext>
                <a:ext uri="{FF2B5EF4-FFF2-40B4-BE49-F238E27FC236}">
                  <a16:creationId xmlns:a16="http://schemas.microsoft.com/office/drawing/2014/main" id="{00000000-0008-0000-0100-00005D7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77</xdr:row>
          <xdr:rowOff>19050</xdr:rowOff>
        </xdr:from>
        <xdr:to>
          <xdr:col>8</xdr:col>
          <xdr:colOff>514350</xdr:colOff>
          <xdr:row>79</xdr:row>
          <xdr:rowOff>171450</xdr:rowOff>
        </xdr:to>
        <xdr:sp macro="" textlink="">
          <xdr:nvSpPr>
            <xdr:cNvPr id="31070" name="Object 8542" hidden="1">
              <a:extLst>
                <a:ext uri="{63B3BB69-23CF-44E3-9099-C40C66FF867C}">
                  <a14:compatExt spid="_x0000_s31070"/>
                </a:ext>
                <a:ext uri="{FF2B5EF4-FFF2-40B4-BE49-F238E27FC236}">
                  <a16:creationId xmlns:a16="http://schemas.microsoft.com/office/drawing/2014/main" id="{00000000-0008-0000-0100-00005E7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94</xdr:row>
          <xdr:rowOff>19050</xdr:rowOff>
        </xdr:from>
        <xdr:to>
          <xdr:col>8</xdr:col>
          <xdr:colOff>514350</xdr:colOff>
          <xdr:row>96</xdr:row>
          <xdr:rowOff>171450</xdr:rowOff>
        </xdr:to>
        <xdr:sp macro="" textlink="">
          <xdr:nvSpPr>
            <xdr:cNvPr id="31071" name="Object 8543" hidden="1">
              <a:extLst>
                <a:ext uri="{63B3BB69-23CF-44E3-9099-C40C66FF867C}">
                  <a14:compatExt spid="_x0000_s31071"/>
                </a:ext>
                <a:ext uri="{FF2B5EF4-FFF2-40B4-BE49-F238E27FC236}">
                  <a16:creationId xmlns:a16="http://schemas.microsoft.com/office/drawing/2014/main" id="{00000000-0008-0000-0100-00005F7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108</xdr:row>
          <xdr:rowOff>161925</xdr:rowOff>
        </xdr:from>
        <xdr:to>
          <xdr:col>8</xdr:col>
          <xdr:colOff>523875</xdr:colOff>
          <xdr:row>109</xdr:row>
          <xdr:rowOff>152400</xdr:rowOff>
        </xdr:to>
        <xdr:sp macro="" textlink="">
          <xdr:nvSpPr>
            <xdr:cNvPr id="31072" name="Object 8544" hidden="1">
              <a:extLst>
                <a:ext uri="{63B3BB69-23CF-44E3-9099-C40C66FF867C}">
                  <a14:compatExt spid="_x0000_s31072"/>
                </a:ext>
                <a:ext uri="{FF2B5EF4-FFF2-40B4-BE49-F238E27FC236}">
                  <a16:creationId xmlns:a16="http://schemas.microsoft.com/office/drawing/2014/main" id="{00000000-0008-0000-0100-0000607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8</xdr:col>
          <xdr:colOff>495300</xdr:colOff>
          <xdr:row>114</xdr:row>
          <xdr:rowOff>180975</xdr:rowOff>
        </xdr:to>
        <xdr:sp macro="" textlink="">
          <xdr:nvSpPr>
            <xdr:cNvPr id="31073" name="Object 8545" hidden="1">
              <a:extLst>
                <a:ext uri="{63B3BB69-23CF-44E3-9099-C40C66FF867C}">
                  <a14:compatExt spid="_x0000_s31073"/>
                </a:ext>
                <a:ext uri="{FF2B5EF4-FFF2-40B4-BE49-F238E27FC236}">
                  <a16:creationId xmlns:a16="http://schemas.microsoft.com/office/drawing/2014/main" id="{00000000-0008-0000-0100-0000617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676275</xdr:colOff>
      <xdr:row>133</xdr:row>
      <xdr:rowOff>95250</xdr:rowOff>
    </xdr:from>
    <xdr:to>
      <xdr:col>1</xdr:col>
      <xdr:colOff>762000</xdr:colOff>
      <xdr:row>133</xdr:row>
      <xdr:rowOff>171450</xdr:rowOff>
    </xdr:to>
    <xdr:sp macro="" textlink="">
      <xdr:nvSpPr>
        <xdr:cNvPr id="161" name="Oval 108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>
          <a:spLocks noChangeArrowheads="1"/>
        </xdr:cNvSpPr>
      </xdr:nvSpPr>
      <xdr:spPr bwMode="auto">
        <a:xfrm>
          <a:off x="1438275" y="25460325"/>
          <a:ext cx="85725" cy="76200"/>
        </a:xfrm>
        <a:prstGeom prst="ellipse">
          <a:avLst/>
        </a:prstGeom>
        <a:solidFill>
          <a:srgbClr val="00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342900</xdr:colOff>
      <xdr:row>134</xdr:row>
      <xdr:rowOff>38100</xdr:rowOff>
    </xdr:from>
    <xdr:to>
      <xdr:col>1</xdr:col>
      <xdr:colOff>68455</xdr:colOff>
      <xdr:row>138</xdr:row>
      <xdr:rowOff>106720</xdr:rowOff>
    </xdr:to>
    <xdr:sp macro="" textlink="">
      <xdr:nvSpPr>
        <xdr:cNvPr id="164" name="Rectangle 19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>
          <a:spLocks noChangeArrowheads="1"/>
        </xdr:cNvSpPr>
      </xdr:nvSpPr>
      <xdr:spPr bwMode="auto">
        <a:xfrm>
          <a:off x="342900" y="25593675"/>
          <a:ext cx="487555" cy="830620"/>
        </a:xfrm>
        <a:prstGeom prst="rect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32004" rIns="27432" bIns="32004" anchor="ctr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IVA</a:t>
          </a:r>
        </a:p>
        <a:p>
          <a:pPr algn="ctr" rtl="0">
            <a:defRPr sz="1000"/>
          </a:pPr>
          <a:r>
            <a:rPr lang="es-AR" sz="800" b="1" i="0" u="none" strike="noStrike" baseline="0">
              <a:solidFill>
                <a:srgbClr val="000000"/>
              </a:solidFill>
              <a:latin typeface="Trebuchet MS"/>
            </a:rPr>
            <a:t>DF</a:t>
          </a:r>
        </a:p>
      </xdr:txBody>
    </xdr:sp>
    <xdr:clientData/>
  </xdr:twoCellAnchor>
  <xdr:twoCellAnchor>
    <xdr:from>
      <xdr:col>1</xdr:col>
      <xdr:colOff>68455</xdr:colOff>
      <xdr:row>133</xdr:row>
      <xdr:rowOff>160291</xdr:rowOff>
    </xdr:from>
    <xdr:to>
      <xdr:col>1</xdr:col>
      <xdr:colOff>688829</xdr:colOff>
      <xdr:row>136</xdr:row>
      <xdr:rowOff>72410</xdr:rowOff>
    </xdr:to>
    <xdr:cxnSp macro="">
      <xdr:nvCxnSpPr>
        <xdr:cNvPr id="165" name="AutoShape 19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CxnSpPr>
          <a:cxnSpLocks noChangeShapeType="1"/>
          <a:stCxn id="164" idx="3"/>
          <a:endCxn id="161" idx="3"/>
        </xdr:cNvCxnSpPr>
      </xdr:nvCxnSpPr>
      <xdr:spPr bwMode="auto">
        <a:xfrm flipV="1">
          <a:off x="830455" y="25525366"/>
          <a:ext cx="620374" cy="48361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749446</xdr:colOff>
      <xdr:row>132</xdr:row>
      <xdr:rowOff>149123</xdr:rowOff>
    </xdr:from>
    <xdr:to>
      <xdr:col>3</xdr:col>
      <xdr:colOff>85103</xdr:colOff>
      <xdr:row>133</xdr:row>
      <xdr:rowOff>160291</xdr:rowOff>
    </xdr:to>
    <xdr:cxnSp macro="">
      <xdr:nvCxnSpPr>
        <xdr:cNvPr id="168" name="AutoShape 19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CxnSpPr>
          <a:cxnSpLocks noChangeShapeType="1"/>
          <a:stCxn id="161" idx="5"/>
          <a:endCxn id="183" idx="3"/>
        </xdr:cNvCxnSpPr>
      </xdr:nvCxnSpPr>
      <xdr:spPr bwMode="auto">
        <a:xfrm flipV="1">
          <a:off x="1511446" y="25323698"/>
          <a:ext cx="926332" cy="20166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129</xdr:row>
          <xdr:rowOff>9525</xdr:rowOff>
        </xdr:from>
        <xdr:to>
          <xdr:col>8</xdr:col>
          <xdr:colOff>514350</xdr:colOff>
          <xdr:row>129</xdr:row>
          <xdr:rowOff>190500</xdr:rowOff>
        </xdr:to>
        <xdr:sp macro="" textlink="">
          <xdr:nvSpPr>
            <xdr:cNvPr id="31075" name="Object 8547" hidden="1">
              <a:extLst>
                <a:ext uri="{63B3BB69-23CF-44E3-9099-C40C66FF867C}">
                  <a14:compatExt spid="_x0000_s31075"/>
                </a:ext>
                <a:ext uri="{FF2B5EF4-FFF2-40B4-BE49-F238E27FC236}">
                  <a16:creationId xmlns:a16="http://schemas.microsoft.com/office/drawing/2014/main" id="{00000000-0008-0000-0100-0000637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145</xdr:row>
          <xdr:rowOff>9525</xdr:rowOff>
        </xdr:from>
        <xdr:to>
          <xdr:col>8</xdr:col>
          <xdr:colOff>523875</xdr:colOff>
          <xdr:row>146</xdr:row>
          <xdr:rowOff>0</xdr:rowOff>
        </xdr:to>
        <xdr:sp macro="" textlink="">
          <xdr:nvSpPr>
            <xdr:cNvPr id="31076" name="Object 8548" hidden="1">
              <a:extLst>
                <a:ext uri="{63B3BB69-23CF-44E3-9099-C40C66FF867C}">
                  <a14:compatExt spid="_x0000_s31076"/>
                </a:ext>
                <a:ext uri="{FF2B5EF4-FFF2-40B4-BE49-F238E27FC236}">
                  <a16:creationId xmlns:a16="http://schemas.microsoft.com/office/drawing/2014/main" id="{00000000-0008-0000-0100-0000647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151</xdr:row>
          <xdr:rowOff>9525</xdr:rowOff>
        </xdr:from>
        <xdr:to>
          <xdr:col>8</xdr:col>
          <xdr:colOff>542925</xdr:colOff>
          <xdr:row>152</xdr:row>
          <xdr:rowOff>0</xdr:rowOff>
        </xdr:to>
        <xdr:sp macro="" textlink="">
          <xdr:nvSpPr>
            <xdr:cNvPr id="31077" name="Object 8549" hidden="1">
              <a:extLst>
                <a:ext uri="{63B3BB69-23CF-44E3-9099-C40C66FF867C}">
                  <a14:compatExt spid="_x0000_s31077"/>
                </a:ext>
                <a:ext uri="{FF2B5EF4-FFF2-40B4-BE49-F238E27FC236}">
                  <a16:creationId xmlns:a16="http://schemas.microsoft.com/office/drawing/2014/main" id="{00000000-0008-0000-0100-0000657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Word_Document2.docx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package" Target="../embeddings/Microsoft_Word_Document4.docx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Word_Document1.docx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package" Target="../embeddings/Microsoft_Word_Document3.docx"/><Relationship Id="rId4" Type="http://schemas.openxmlformats.org/officeDocument/2006/relationships/package" Target="../embeddings/Microsoft_Word_Document.docx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Word_Document7.docx"/><Relationship Id="rId13" Type="http://schemas.openxmlformats.org/officeDocument/2006/relationships/image" Target="../media/image10.emf"/><Relationship Id="rId18" Type="http://schemas.openxmlformats.org/officeDocument/2006/relationships/package" Target="../embeddings/Microsoft_Word_Document12.docx"/><Relationship Id="rId26" Type="http://schemas.openxmlformats.org/officeDocument/2006/relationships/package" Target="../embeddings/Microsoft_Word_Document16.docx"/><Relationship Id="rId3" Type="http://schemas.openxmlformats.org/officeDocument/2006/relationships/vmlDrawing" Target="../drawings/vmlDrawing2.vml"/><Relationship Id="rId21" Type="http://schemas.openxmlformats.org/officeDocument/2006/relationships/image" Target="../media/image14.emf"/><Relationship Id="rId7" Type="http://schemas.openxmlformats.org/officeDocument/2006/relationships/image" Target="../media/image7.emf"/><Relationship Id="rId12" Type="http://schemas.openxmlformats.org/officeDocument/2006/relationships/package" Target="../embeddings/Microsoft_Word_Document9.docx"/><Relationship Id="rId17" Type="http://schemas.openxmlformats.org/officeDocument/2006/relationships/image" Target="../media/image12.emf"/><Relationship Id="rId25" Type="http://schemas.openxmlformats.org/officeDocument/2006/relationships/image" Target="../media/image16.emf"/><Relationship Id="rId2" Type="http://schemas.openxmlformats.org/officeDocument/2006/relationships/drawing" Target="../drawings/drawing2.xml"/><Relationship Id="rId16" Type="http://schemas.openxmlformats.org/officeDocument/2006/relationships/package" Target="../embeddings/Microsoft_Word_Document11.docx"/><Relationship Id="rId20" Type="http://schemas.openxmlformats.org/officeDocument/2006/relationships/package" Target="../embeddings/Microsoft_Word_Document13.docx"/><Relationship Id="rId29" Type="http://schemas.openxmlformats.org/officeDocument/2006/relationships/image" Target="../media/image18.emf"/><Relationship Id="rId1" Type="http://schemas.openxmlformats.org/officeDocument/2006/relationships/printerSettings" Target="../printerSettings/printerSettings2.bin"/><Relationship Id="rId6" Type="http://schemas.openxmlformats.org/officeDocument/2006/relationships/package" Target="../embeddings/Microsoft_Word_Document6.docx"/><Relationship Id="rId11" Type="http://schemas.openxmlformats.org/officeDocument/2006/relationships/image" Target="../media/image9.emf"/><Relationship Id="rId24" Type="http://schemas.openxmlformats.org/officeDocument/2006/relationships/package" Target="../embeddings/Microsoft_Word_Document15.docx"/><Relationship Id="rId5" Type="http://schemas.openxmlformats.org/officeDocument/2006/relationships/image" Target="../media/image6.emf"/><Relationship Id="rId15" Type="http://schemas.openxmlformats.org/officeDocument/2006/relationships/image" Target="../media/image11.emf"/><Relationship Id="rId23" Type="http://schemas.openxmlformats.org/officeDocument/2006/relationships/image" Target="../media/image15.emf"/><Relationship Id="rId28" Type="http://schemas.openxmlformats.org/officeDocument/2006/relationships/package" Target="../embeddings/Microsoft_Word_Document17.docx"/><Relationship Id="rId10" Type="http://schemas.openxmlformats.org/officeDocument/2006/relationships/package" Target="../embeddings/Microsoft_Word_Document8.docx"/><Relationship Id="rId19" Type="http://schemas.openxmlformats.org/officeDocument/2006/relationships/image" Target="../media/image13.emf"/><Relationship Id="rId4" Type="http://schemas.openxmlformats.org/officeDocument/2006/relationships/package" Target="../embeddings/Microsoft_Word_Document5.docx"/><Relationship Id="rId9" Type="http://schemas.openxmlformats.org/officeDocument/2006/relationships/image" Target="../media/image8.emf"/><Relationship Id="rId14" Type="http://schemas.openxmlformats.org/officeDocument/2006/relationships/package" Target="../embeddings/Microsoft_Word_Document10.docx"/><Relationship Id="rId22" Type="http://schemas.openxmlformats.org/officeDocument/2006/relationships/package" Target="../embeddings/Microsoft_Word_Document14.docx"/><Relationship Id="rId27" Type="http://schemas.openxmlformats.org/officeDocument/2006/relationships/image" Target="../media/image17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8"/>
  <sheetViews>
    <sheetView showGridLines="0" topLeftCell="A10" workbookViewId="0">
      <selection activeCell="B27" sqref="B27"/>
    </sheetView>
  </sheetViews>
  <sheetFormatPr baseColWidth="10" defaultRowHeight="15" x14ac:dyDescent="0.3"/>
  <cols>
    <col min="1" max="1" width="40.7109375" style="1" bestFit="1" customWidth="1"/>
    <col min="2" max="2" width="13.42578125" style="1" bestFit="1" customWidth="1"/>
    <col min="3" max="7" width="11.42578125" style="1"/>
    <col min="8" max="8" width="12" style="1" bestFit="1" customWidth="1"/>
    <col min="9" max="16384" width="11.42578125" style="1"/>
  </cols>
  <sheetData>
    <row r="1" spans="1:3" x14ac:dyDescent="0.3">
      <c r="A1" s="164" t="s">
        <v>122</v>
      </c>
      <c r="B1" s="164"/>
    </row>
    <row r="2" spans="1:3" x14ac:dyDescent="0.3">
      <c r="B2" s="8" t="s">
        <v>0</v>
      </c>
    </row>
    <row r="3" spans="1:3" x14ac:dyDescent="0.3">
      <c r="A3" s="46" t="s">
        <v>57</v>
      </c>
      <c r="B3" s="53">
        <v>1200000</v>
      </c>
    </row>
    <row r="4" spans="1:3" x14ac:dyDescent="0.3">
      <c r="A4" s="46" t="s">
        <v>83</v>
      </c>
      <c r="B4" s="153">
        <f>+B40</f>
        <v>133000</v>
      </c>
      <c r="C4" s="6" t="s">
        <v>123</v>
      </c>
    </row>
    <row r="5" spans="1:3" x14ac:dyDescent="0.3">
      <c r="A5" s="46" t="s">
        <v>41</v>
      </c>
      <c r="B5" s="53">
        <v>350000</v>
      </c>
    </row>
    <row r="6" spans="1:3" x14ac:dyDescent="0.3">
      <c r="A6" s="1" t="s">
        <v>128</v>
      </c>
      <c r="B6" s="48">
        <f>+B103</f>
        <v>78000</v>
      </c>
      <c r="C6" s="6" t="s">
        <v>127</v>
      </c>
    </row>
    <row r="7" spans="1:3" x14ac:dyDescent="0.3">
      <c r="A7" s="59" t="s">
        <v>75</v>
      </c>
      <c r="B7" s="48">
        <f>+D55</f>
        <v>575000</v>
      </c>
      <c r="C7" s="6" t="s">
        <v>124</v>
      </c>
    </row>
    <row r="8" spans="1:3" x14ac:dyDescent="0.3">
      <c r="A8" s="46" t="s">
        <v>76</v>
      </c>
      <c r="B8" s="53">
        <v>800000</v>
      </c>
    </row>
    <row r="9" spans="1:3" x14ac:dyDescent="0.3">
      <c r="A9" s="46" t="s">
        <v>77</v>
      </c>
      <c r="B9" s="53">
        <v>1400000</v>
      </c>
    </row>
    <row r="10" spans="1:3" x14ac:dyDescent="0.3">
      <c r="A10" s="46" t="s">
        <v>78</v>
      </c>
      <c r="B10" s="53">
        <v>1000000</v>
      </c>
    </row>
    <row r="11" spans="1:3" x14ac:dyDescent="0.3">
      <c r="A11" s="59" t="s">
        <v>79</v>
      </c>
      <c r="B11" s="53">
        <v>950000</v>
      </c>
    </row>
    <row r="12" spans="1:3" x14ac:dyDescent="0.3">
      <c r="A12" s="3" t="s">
        <v>80</v>
      </c>
      <c r="B12" s="153">
        <f>-H118</f>
        <v>-481175</v>
      </c>
      <c r="C12" s="6" t="s">
        <v>125</v>
      </c>
    </row>
    <row r="13" spans="1:3" x14ac:dyDescent="0.3">
      <c r="A13" s="6" t="s">
        <v>1</v>
      </c>
      <c r="B13" s="53">
        <v>180000</v>
      </c>
      <c r="C13" s="6"/>
    </row>
    <row r="14" spans="1:3" s="4" customFormat="1" x14ac:dyDescent="0.3">
      <c r="A14" s="4" t="s">
        <v>2</v>
      </c>
      <c r="B14" s="61">
        <f>+SUM(B3:B13)</f>
        <v>6184825</v>
      </c>
      <c r="C14" s="4">
        <f>SUM(B3:B13)</f>
        <v>6184825</v>
      </c>
    </row>
    <row r="15" spans="1:3" x14ac:dyDescent="0.3">
      <c r="A15" s="1" t="s">
        <v>3</v>
      </c>
      <c r="B15" s="53">
        <v>670000</v>
      </c>
    </row>
    <row r="16" spans="1:3" x14ac:dyDescent="0.3">
      <c r="A16" s="1" t="s">
        <v>81</v>
      </c>
      <c r="B16" s="48">
        <f>+C65</f>
        <v>190000</v>
      </c>
      <c r="C16" s="6" t="s">
        <v>126</v>
      </c>
    </row>
    <row r="17" spans="1:4" x14ac:dyDescent="0.3">
      <c r="A17" s="46" t="s">
        <v>58</v>
      </c>
      <c r="B17" s="48">
        <f>+B101</f>
        <v>360000</v>
      </c>
      <c r="C17" s="6" t="s">
        <v>127</v>
      </c>
    </row>
    <row r="18" spans="1:4" x14ac:dyDescent="0.3">
      <c r="A18" s="46" t="s">
        <v>6</v>
      </c>
      <c r="B18" s="48">
        <f>+B102</f>
        <v>94380</v>
      </c>
      <c r="C18" s="6" t="s">
        <v>127</v>
      </c>
    </row>
    <row r="19" spans="1:4" x14ac:dyDescent="0.3">
      <c r="A19" s="46" t="s">
        <v>59</v>
      </c>
      <c r="B19" s="53">
        <v>210000</v>
      </c>
      <c r="C19" s="6"/>
    </row>
    <row r="20" spans="1:4" x14ac:dyDescent="0.3">
      <c r="A20" s="46" t="s">
        <v>42</v>
      </c>
      <c r="B20" s="53">
        <v>700000</v>
      </c>
    </row>
    <row r="21" spans="1:4" x14ac:dyDescent="0.3">
      <c r="A21" s="1" t="s">
        <v>5</v>
      </c>
      <c r="B21" s="53">
        <v>390000</v>
      </c>
      <c r="C21" s="6"/>
    </row>
    <row r="22" spans="1:4" x14ac:dyDescent="0.3">
      <c r="A22" s="46" t="s">
        <v>82</v>
      </c>
      <c r="B22" s="53">
        <v>70000</v>
      </c>
    </row>
    <row r="23" spans="1:4" x14ac:dyDescent="0.3">
      <c r="A23" s="1" t="s">
        <v>4</v>
      </c>
      <c r="B23" s="53">
        <v>400445</v>
      </c>
      <c r="C23" s="6"/>
    </row>
    <row r="24" spans="1:4" s="4" customFormat="1" x14ac:dyDescent="0.3">
      <c r="A24" s="4" t="s">
        <v>7</v>
      </c>
      <c r="B24" s="61">
        <f>+SUM(B15:B23)</f>
        <v>3084825</v>
      </c>
    </row>
    <row r="25" spans="1:4" x14ac:dyDescent="0.3">
      <c r="A25" s="3" t="s">
        <v>8</v>
      </c>
      <c r="B25" s="53">
        <v>2500000</v>
      </c>
    </row>
    <row r="26" spans="1:4" x14ac:dyDescent="0.3">
      <c r="A26" s="59" t="s">
        <v>43</v>
      </c>
      <c r="B26" s="53">
        <v>250000</v>
      </c>
    </row>
    <row r="27" spans="1:4" x14ac:dyDescent="0.3">
      <c r="A27" s="1" t="s">
        <v>9</v>
      </c>
      <c r="B27" s="48">
        <f>+B14-B24-B25-B26</f>
        <v>350000</v>
      </c>
      <c r="C27" s="6" t="s">
        <v>129</v>
      </c>
    </row>
    <row r="28" spans="1:4" s="4" customFormat="1" x14ac:dyDescent="0.3">
      <c r="A28" s="4" t="s">
        <v>10</v>
      </c>
      <c r="B28" s="61">
        <f>+SUM(B25:B27)</f>
        <v>3100000</v>
      </c>
    </row>
    <row r="29" spans="1:4" s="4" customFormat="1" x14ac:dyDescent="0.3">
      <c r="A29" s="5" t="s">
        <v>11</v>
      </c>
      <c r="B29" s="61">
        <f>+B28+B24</f>
        <v>6184825</v>
      </c>
    </row>
    <row r="32" spans="1:4" ht="18" x14ac:dyDescent="0.35">
      <c r="A32" s="47"/>
      <c r="B32" s="21"/>
      <c r="C32" s="96"/>
      <c r="D32" s="96"/>
    </row>
    <row r="33" spans="1:4" ht="18" x14ac:dyDescent="0.35">
      <c r="A33" s="98" t="s">
        <v>130</v>
      </c>
      <c r="B33" s="21"/>
      <c r="C33" s="96"/>
      <c r="D33" s="96"/>
    </row>
    <row r="34" spans="1:4" ht="18" x14ac:dyDescent="0.35">
      <c r="A34" s="97">
        <f>1000*140</f>
        <v>140000</v>
      </c>
      <c r="B34" s="21"/>
      <c r="C34" s="96"/>
      <c r="D34" s="96"/>
    </row>
    <row r="35" spans="1:4" ht="18" x14ac:dyDescent="0.35">
      <c r="A35" s="47"/>
      <c r="B35" s="21"/>
      <c r="C35" s="96"/>
      <c r="D35" s="96"/>
    </row>
    <row r="36" spans="1:4" ht="18" x14ac:dyDescent="0.35">
      <c r="A36" s="47"/>
      <c r="B36" s="21"/>
      <c r="C36" s="96"/>
      <c r="D36" s="96"/>
    </row>
    <row r="37" spans="1:4" ht="18" x14ac:dyDescent="0.35">
      <c r="A37" s="99">
        <f>1000*(140-133)</f>
        <v>7000</v>
      </c>
      <c r="B37" s="21"/>
      <c r="C37" s="96"/>
      <c r="D37" s="96"/>
    </row>
    <row r="38" spans="1:4" ht="18" x14ac:dyDescent="0.35">
      <c r="A38" s="98" t="s">
        <v>131</v>
      </c>
      <c r="B38" s="26" t="s">
        <v>60</v>
      </c>
      <c r="C38" s="96"/>
      <c r="D38" s="96"/>
    </row>
    <row r="39" spans="1:4" ht="18" x14ac:dyDescent="0.35">
      <c r="A39" s="47"/>
      <c r="B39" s="21" t="s">
        <v>132</v>
      </c>
      <c r="C39" s="96"/>
      <c r="D39" s="96"/>
    </row>
    <row r="40" spans="1:4" ht="18" x14ac:dyDescent="0.35">
      <c r="A40" s="47"/>
      <c r="B40" s="100">
        <f>+A34-A37</f>
        <v>133000</v>
      </c>
      <c r="C40" s="96" t="s">
        <v>133</v>
      </c>
      <c r="D40" s="96"/>
    </row>
    <row r="41" spans="1:4" ht="18" x14ac:dyDescent="0.35">
      <c r="A41" s="47"/>
      <c r="B41" s="21"/>
      <c r="C41" s="96"/>
      <c r="D41" s="96"/>
    </row>
    <row r="42" spans="1:4" ht="18" x14ac:dyDescent="0.35">
      <c r="A42" s="47"/>
      <c r="B42" s="21"/>
      <c r="C42" s="96"/>
      <c r="D42" s="96"/>
    </row>
    <row r="43" spans="1:4" ht="18" x14ac:dyDescent="0.35">
      <c r="A43" s="47"/>
      <c r="B43" s="21"/>
      <c r="C43" s="96"/>
      <c r="D43" s="96"/>
    </row>
    <row r="44" spans="1:4" ht="18" x14ac:dyDescent="0.35">
      <c r="A44" s="97">
        <f>+A45*1.21</f>
        <v>1669800</v>
      </c>
      <c r="B44" s="21"/>
      <c r="C44" s="96"/>
      <c r="D44" s="96"/>
    </row>
    <row r="45" spans="1:4" ht="18" x14ac:dyDescent="0.35">
      <c r="A45" s="99">
        <v>1380000</v>
      </c>
      <c r="B45" s="21"/>
      <c r="C45" s="96"/>
      <c r="D45" s="96"/>
    </row>
    <row r="46" spans="1:4" ht="18" x14ac:dyDescent="0.35">
      <c r="A46" s="47"/>
      <c r="B46" s="21"/>
      <c r="C46" s="96"/>
      <c r="D46" s="96"/>
    </row>
    <row r="47" spans="1:4" ht="18" x14ac:dyDescent="0.35">
      <c r="A47" s="97">
        <f>+A45*0.21</f>
        <v>289800</v>
      </c>
      <c r="B47" s="21"/>
      <c r="C47" s="96"/>
      <c r="D47" s="96"/>
    </row>
    <row r="48" spans="1:4" ht="18" x14ac:dyDescent="0.35">
      <c r="A48" s="47"/>
      <c r="B48" s="21"/>
      <c r="C48" s="96"/>
      <c r="D48" s="96"/>
    </row>
    <row r="49" spans="1:4" ht="18" x14ac:dyDescent="0.35">
      <c r="A49" s="47"/>
      <c r="B49" s="21"/>
      <c r="C49" s="96"/>
      <c r="D49" s="96"/>
    </row>
    <row r="50" spans="1:4" ht="18" x14ac:dyDescent="0.35">
      <c r="A50" s="47"/>
      <c r="B50" s="21"/>
      <c r="C50" s="96"/>
      <c r="D50" s="96"/>
    </row>
    <row r="51" spans="1:4" ht="18" x14ac:dyDescent="0.35">
      <c r="A51" s="47"/>
      <c r="B51" s="21"/>
      <c r="C51" s="96"/>
      <c r="D51" s="96"/>
    </row>
    <row r="52" spans="1:4" ht="16.5" x14ac:dyDescent="0.3">
      <c r="A52" s="124" t="s">
        <v>84</v>
      </c>
      <c r="B52" s="21"/>
      <c r="C52" s="96"/>
      <c r="D52" s="96"/>
    </row>
    <row r="53" spans="1:4" ht="18" x14ac:dyDescent="0.35">
      <c r="A53" s="97">
        <f>+A45/12</f>
        <v>115000</v>
      </c>
      <c r="B53" s="26" t="s">
        <v>85</v>
      </c>
      <c r="C53" s="96"/>
      <c r="D53" s="96"/>
    </row>
    <row r="54" spans="1:4" ht="18" x14ac:dyDescent="0.35">
      <c r="A54" s="47"/>
      <c r="B54" s="21"/>
      <c r="C54" s="96"/>
      <c r="D54" s="96"/>
    </row>
    <row r="55" spans="1:4" ht="17.25" x14ac:dyDescent="0.35">
      <c r="A55" s="125" t="s">
        <v>134</v>
      </c>
      <c r="B55" s="126" t="s">
        <v>135</v>
      </c>
      <c r="C55" s="96"/>
      <c r="D55" s="100">
        <f>+A45-A53*7</f>
        <v>575000</v>
      </c>
    </row>
    <row r="56" spans="1:4" ht="18" x14ac:dyDescent="0.35">
      <c r="A56" s="47"/>
      <c r="B56" s="21"/>
      <c r="C56" s="96"/>
      <c r="D56" s="96"/>
    </row>
    <row r="57" spans="1:4" ht="18" x14ac:dyDescent="0.35">
      <c r="A57" s="47"/>
    </row>
    <row r="58" spans="1:4" ht="18" x14ac:dyDescent="0.35">
      <c r="A58" s="47"/>
    </row>
    <row r="59" spans="1:4" x14ac:dyDescent="0.3">
      <c r="A59" s="46" t="s">
        <v>136</v>
      </c>
    </row>
    <row r="60" spans="1:4" x14ac:dyDescent="0.3">
      <c r="B60" s="59" t="s">
        <v>137</v>
      </c>
    </row>
    <row r="61" spans="1:4" x14ac:dyDescent="0.3">
      <c r="A61" s="2">
        <f>190000/2</f>
        <v>95000</v>
      </c>
    </row>
    <row r="65" spans="1:3" ht="15.75" x14ac:dyDescent="0.35">
      <c r="A65" s="165" t="s">
        <v>138</v>
      </c>
      <c r="B65" s="165"/>
      <c r="C65" s="45">
        <f>+A61*2</f>
        <v>190000</v>
      </c>
    </row>
    <row r="67" spans="1:3" ht="18" x14ac:dyDescent="0.35">
      <c r="A67" s="47"/>
    </row>
    <row r="71" spans="1:3" x14ac:dyDescent="0.3">
      <c r="A71" s="46" t="s">
        <v>139</v>
      </c>
    </row>
    <row r="74" spans="1:3" x14ac:dyDescent="0.3">
      <c r="A74" s="2">
        <v>900000</v>
      </c>
    </row>
    <row r="77" spans="1:3" x14ac:dyDescent="0.3">
      <c r="A77" s="60" t="s">
        <v>140</v>
      </c>
    </row>
    <row r="78" spans="1:3" x14ac:dyDescent="0.3">
      <c r="A78" s="152">
        <f>+A74*0.26/12*10</f>
        <v>195000</v>
      </c>
    </row>
    <row r="80" spans="1:3" x14ac:dyDescent="0.3">
      <c r="A80" s="72">
        <f>+A78+A81</f>
        <v>235950</v>
      </c>
    </row>
    <row r="81" spans="1:2" x14ac:dyDescent="0.3">
      <c r="A81" s="53">
        <f>+A78*0.21</f>
        <v>40950</v>
      </c>
    </row>
    <row r="86" spans="1:2" x14ac:dyDescent="0.3">
      <c r="A86" s="46" t="s">
        <v>141</v>
      </c>
    </row>
    <row r="88" spans="1:2" x14ac:dyDescent="0.3">
      <c r="A88" s="72">
        <f>+A78/10</f>
        <v>19500</v>
      </c>
      <c r="B88" s="7" t="s">
        <v>39</v>
      </c>
    </row>
    <row r="91" spans="1:2" x14ac:dyDescent="0.3">
      <c r="A91" s="72">
        <f>+A74/10</f>
        <v>90000</v>
      </c>
    </row>
    <row r="96" spans="1:2" x14ac:dyDescent="0.3">
      <c r="A96" s="72">
        <f>+A80/10</f>
        <v>23595</v>
      </c>
    </row>
    <row r="100" spans="1:2" x14ac:dyDescent="0.3">
      <c r="A100" s="59" t="s">
        <v>142</v>
      </c>
    </row>
    <row r="101" spans="1:2" x14ac:dyDescent="0.3">
      <c r="A101" s="6" t="s">
        <v>33</v>
      </c>
      <c r="B101" s="48">
        <f>+A74-6*A91</f>
        <v>360000</v>
      </c>
    </row>
    <row r="102" spans="1:2" x14ac:dyDescent="0.3">
      <c r="A102" s="6" t="s">
        <v>34</v>
      </c>
      <c r="B102" s="48">
        <f>+A80-A96*6</f>
        <v>94380</v>
      </c>
    </row>
    <row r="103" spans="1:2" x14ac:dyDescent="0.3">
      <c r="A103" s="6" t="s">
        <v>143</v>
      </c>
      <c r="B103" s="48">
        <f>+A78-6*A88</f>
        <v>78000</v>
      </c>
    </row>
    <row r="113" spans="1:8" x14ac:dyDescent="0.3">
      <c r="A113" s="101" t="s">
        <v>61</v>
      </c>
      <c r="B113" s="101" t="s">
        <v>62</v>
      </c>
      <c r="C113" s="101" t="s">
        <v>63</v>
      </c>
      <c r="D113" s="101" t="s">
        <v>64</v>
      </c>
      <c r="E113" s="101" t="s">
        <v>144</v>
      </c>
      <c r="F113" s="101" t="s">
        <v>65</v>
      </c>
      <c r="G113" s="101" t="s">
        <v>146</v>
      </c>
      <c r="H113" s="101" t="s">
        <v>145</v>
      </c>
    </row>
    <row r="114" spans="1:8" x14ac:dyDescent="0.3">
      <c r="A114" s="102" t="s">
        <v>66</v>
      </c>
      <c r="B114" s="24">
        <f>+B8</f>
        <v>800000</v>
      </c>
      <c r="C114" s="101" t="s">
        <v>70</v>
      </c>
      <c r="D114" s="101" t="s">
        <v>70</v>
      </c>
      <c r="E114" s="101" t="s">
        <v>70</v>
      </c>
      <c r="F114" s="101" t="s">
        <v>70</v>
      </c>
      <c r="G114" s="101" t="s">
        <v>70</v>
      </c>
      <c r="H114" s="101" t="s">
        <v>70</v>
      </c>
    </row>
    <row r="115" spans="1:8" x14ac:dyDescent="0.3">
      <c r="A115" s="102" t="s">
        <v>67</v>
      </c>
      <c r="B115" s="24">
        <f t="shared" ref="B115:B116" si="0">+B9</f>
        <v>1400000</v>
      </c>
      <c r="C115" s="24">
        <v>25</v>
      </c>
      <c r="D115" s="24">
        <v>530000</v>
      </c>
      <c r="E115" s="24">
        <v>81000</v>
      </c>
      <c r="F115" s="154">
        <f>+(B115-D115)/(C115*12)</f>
        <v>2900</v>
      </c>
      <c r="G115" s="24">
        <f>+F115*7</f>
        <v>20300</v>
      </c>
      <c r="H115" s="154">
        <f>+E115+G115</f>
        <v>101300</v>
      </c>
    </row>
    <row r="116" spans="1:8" x14ac:dyDescent="0.3">
      <c r="A116" s="102" t="s">
        <v>68</v>
      </c>
      <c r="B116" s="24">
        <f t="shared" si="0"/>
        <v>1000000</v>
      </c>
      <c r="C116" s="24">
        <v>20</v>
      </c>
      <c r="D116" s="102">
        <v>610000</v>
      </c>
      <c r="E116" s="24">
        <v>135000</v>
      </c>
      <c r="F116" s="154">
        <f>+(B116-D116)/(C116*12)</f>
        <v>1625</v>
      </c>
      <c r="G116" s="24">
        <f t="shared" ref="G116:G117" si="1">+F116*7</f>
        <v>11375</v>
      </c>
      <c r="H116" s="154">
        <f>+E116+G116</f>
        <v>146375</v>
      </c>
    </row>
    <row r="117" spans="1:8" x14ac:dyDescent="0.3">
      <c r="A117" s="102" t="s">
        <v>69</v>
      </c>
      <c r="B117" s="24">
        <v>990000</v>
      </c>
      <c r="C117" s="24">
        <v>5</v>
      </c>
      <c r="D117" s="101"/>
      <c r="E117" s="24">
        <v>118000</v>
      </c>
      <c r="F117" s="154">
        <f>+(B117-D117)/(C117*12)</f>
        <v>16500</v>
      </c>
      <c r="G117" s="24">
        <f t="shared" si="1"/>
        <v>115500</v>
      </c>
      <c r="H117" s="154">
        <f>+E117+G117</f>
        <v>233500</v>
      </c>
    </row>
    <row r="118" spans="1:8" ht="16.5" x14ac:dyDescent="0.3">
      <c r="B118" s="16">
        <f>SUM(B114:B117)</f>
        <v>4190000</v>
      </c>
      <c r="E118" s="24">
        <f>SUM(E115:E117)</f>
        <v>334000</v>
      </c>
      <c r="F118" s="154">
        <f>SUM(F115:F117)</f>
        <v>21025</v>
      </c>
      <c r="H118" s="155">
        <f>SUM(H115:H117)</f>
        <v>481175</v>
      </c>
    </row>
  </sheetData>
  <mergeCells count="2">
    <mergeCell ref="A1:B1"/>
    <mergeCell ref="A65:B65"/>
  </mergeCells>
  <pageMargins left="0.70866141732283472" right="0.70866141732283472" top="0.74803149606299213" bottom="0.74803149606299213" header="0.31496062992125984" footer="0.31496062992125984"/>
  <pageSetup paperSize="9" scale="43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28261" r:id="rId4">
          <objectPr defaultSize="0" autoPict="0" r:id="rId5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6</xdr:col>
                <xdr:colOff>361950</xdr:colOff>
                <xdr:row>31</xdr:row>
                <xdr:rowOff>161925</xdr:rowOff>
              </to>
            </anchor>
          </objectPr>
        </oleObject>
      </mc:Choice>
      <mc:Fallback>
        <oleObject progId="Word.Document.12" shapeId="28261" r:id="rId4"/>
      </mc:Fallback>
    </mc:AlternateContent>
    <mc:AlternateContent xmlns:mc="http://schemas.openxmlformats.org/markup-compatibility/2006">
      <mc:Choice Requires="x14">
        <oleObject progId="Word.Document.12" shapeId="28262" r:id="rId6">
          <objectPr defaultSize="0" autoPict="0" r:id="rId7">
            <anchor moveWithCells="1">
              <from>
                <xdr:col>0</xdr:col>
                <xdr:colOff>28575</xdr:colOff>
                <xdr:row>40</xdr:row>
                <xdr:rowOff>38100</xdr:rowOff>
              </from>
              <to>
                <xdr:col>6</xdr:col>
                <xdr:colOff>390525</xdr:colOff>
                <xdr:row>41</xdr:row>
                <xdr:rowOff>161925</xdr:rowOff>
              </to>
            </anchor>
          </objectPr>
        </oleObject>
      </mc:Choice>
      <mc:Fallback>
        <oleObject progId="Word.Document.12" shapeId="28262" r:id="rId6"/>
      </mc:Fallback>
    </mc:AlternateContent>
    <mc:AlternateContent xmlns:mc="http://schemas.openxmlformats.org/markup-compatibility/2006">
      <mc:Choice Requires="x14">
        <oleObject progId="Word.Document.12" shapeId="28263" r:id="rId8">
          <objectPr defaultSize="0" autoPict="0" r:id="rId9">
            <anchor moveWithCells="1">
              <from>
                <xdr:col>0</xdr:col>
                <xdr:colOff>19050</xdr:colOff>
                <xdr:row>55</xdr:row>
                <xdr:rowOff>28575</xdr:rowOff>
              </from>
              <to>
                <xdr:col>6</xdr:col>
                <xdr:colOff>381000</xdr:colOff>
                <xdr:row>57</xdr:row>
                <xdr:rowOff>104775</xdr:rowOff>
              </to>
            </anchor>
          </objectPr>
        </oleObject>
      </mc:Choice>
      <mc:Fallback>
        <oleObject progId="Word.Document.12" shapeId="28263" r:id="rId8"/>
      </mc:Fallback>
    </mc:AlternateContent>
    <mc:AlternateContent xmlns:mc="http://schemas.openxmlformats.org/markup-compatibility/2006">
      <mc:Choice Requires="x14">
        <oleObject progId="Word.Document.12" shapeId="28264" r:id="rId10">
          <objectPr defaultSize="0" autoPict="0" r:id="rId11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6</xdr:col>
                <xdr:colOff>361950</xdr:colOff>
                <xdr:row>68</xdr:row>
                <xdr:rowOff>95250</xdr:rowOff>
              </to>
            </anchor>
          </objectPr>
        </oleObject>
      </mc:Choice>
      <mc:Fallback>
        <oleObject progId="Word.Document.12" shapeId="28264" r:id="rId10"/>
      </mc:Fallback>
    </mc:AlternateContent>
    <mc:AlternateContent xmlns:mc="http://schemas.openxmlformats.org/markup-compatibility/2006">
      <mc:Choice Requires="x14">
        <oleObject progId="Word.Document.12" shapeId="28266" r:id="rId12">
          <objectPr defaultSize="0" autoPict="0" r:id="rId13">
            <anchor moveWithCells="1">
              <from>
                <xdr:col>0</xdr:col>
                <xdr:colOff>28575</xdr:colOff>
                <xdr:row>103</xdr:row>
                <xdr:rowOff>161925</xdr:rowOff>
              </from>
              <to>
                <xdr:col>6</xdr:col>
                <xdr:colOff>390525</xdr:colOff>
                <xdr:row>111</xdr:row>
                <xdr:rowOff>85725</xdr:rowOff>
              </to>
            </anchor>
          </objectPr>
        </oleObject>
      </mc:Choice>
      <mc:Fallback>
        <oleObject progId="Word.Document.12" shapeId="28266" r:id="rId1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93"/>
  <sheetViews>
    <sheetView showGridLines="0" tabSelected="1" topLeftCell="A106" zoomScaleNormal="100" workbookViewId="0">
      <selection activeCell="B149" sqref="B149"/>
    </sheetView>
  </sheetViews>
  <sheetFormatPr baseColWidth="10" defaultRowHeight="15" x14ac:dyDescent="0.3"/>
  <cols>
    <col min="2" max="2" width="13.7109375" bestFit="1" customWidth="1"/>
    <col min="3" max="3" width="12" bestFit="1" customWidth="1"/>
    <col min="4" max="4" width="13" bestFit="1" customWidth="1"/>
    <col min="6" max="6" width="13.42578125" customWidth="1"/>
    <col min="8" max="8" width="11.42578125" customWidth="1"/>
    <col min="9" max="10" width="12.140625" bestFit="1" customWidth="1"/>
    <col min="11" max="12" width="13.7109375" bestFit="1" customWidth="1"/>
  </cols>
  <sheetData>
    <row r="1" spans="1:10" s="17" customFormat="1" x14ac:dyDescent="0.3">
      <c r="A1" s="175"/>
      <c r="B1" s="175"/>
      <c r="C1" s="175"/>
      <c r="D1" s="175"/>
      <c r="E1" s="176" t="s">
        <v>13</v>
      </c>
      <c r="F1" s="176"/>
      <c r="G1" s="176"/>
      <c r="H1" s="176"/>
      <c r="I1" s="176"/>
      <c r="J1" s="176"/>
    </row>
    <row r="2" spans="1:10" s="17" customFormat="1" x14ac:dyDescent="0.3">
      <c r="A2" s="176" t="s">
        <v>12</v>
      </c>
      <c r="B2" s="176"/>
      <c r="C2" s="176"/>
      <c r="D2" s="176"/>
      <c r="E2" s="176" t="s">
        <v>14</v>
      </c>
      <c r="F2" s="176"/>
      <c r="G2" s="176"/>
      <c r="H2" s="176"/>
      <c r="I2" s="176"/>
      <c r="J2" s="176"/>
    </row>
    <row r="3" spans="1:10" s="17" customFormat="1" x14ac:dyDescent="0.3">
      <c r="A3" s="18"/>
      <c r="B3" s="19"/>
      <c r="C3" s="19"/>
      <c r="D3" s="20"/>
      <c r="E3" s="18"/>
      <c r="F3" s="19"/>
      <c r="G3" s="19"/>
      <c r="H3" s="19"/>
      <c r="I3" s="8" t="s">
        <v>15</v>
      </c>
      <c r="J3" s="8" t="s">
        <v>16</v>
      </c>
    </row>
    <row r="4" spans="1:10" x14ac:dyDescent="0.3">
      <c r="A4" s="66"/>
      <c r="B4" s="67"/>
      <c r="C4" s="67"/>
      <c r="D4" s="67"/>
      <c r="E4" s="67"/>
      <c r="F4" s="67"/>
      <c r="G4" s="67"/>
      <c r="H4" s="67"/>
      <c r="I4" s="67"/>
      <c r="J4" s="68"/>
    </row>
    <row r="5" spans="1:10" x14ac:dyDescent="0.3">
      <c r="A5" s="27"/>
      <c r="B5" s="28"/>
      <c r="C5" s="28"/>
      <c r="D5" s="29"/>
      <c r="I5" s="35"/>
      <c r="J5" s="31"/>
    </row>
    <row r="6" spans="1:10" x14ac:dyDescent="0.3">
      <c r="A6" s="30"/>
      <c r="D6" s="31"/>
      <c r="I6" s="9"/>
      <c r="J6" s="31"/>
    </row>
    <row r="7" spans="1:10" x14ac:dyDescent="0.3">
      <c r="A7" s="30"/>
      <c r="C7" s="38">
        <f>+'Balance Inicial'!B20</f>
        <v>700000</v>
      </c>
      <c r="D7" s="31"/>
      <c r="E7" t="s">
        <v>44</v>
      </c>
      <c r="I7" s="92">
        <f>+C7</f>
        <v>700000</v>
      </c>
      <c r="J7" s="93"/>
    </row>
    <row r="8" spans="1:10" x14ac:dyDescent="0.3">
      <c r="A8" s="30"/>
      <c r="D8" s="31"/>
      <c r="E8" t="s">
        <v>19</v>
      </c>
      <c r="I8" s="92">
        <f>+C11</f>
        <v>390000</v>
      </c>
      <c r="J8" s="93"/>
    </row>
    <row r="9" spans="1:10" x14ac:dyDescent="0.3">
      <c r="A9" s="30"/>
      <c r="D9" s="31"/>
      <c r="F9" t="s">
        <v>18</v>
      </c>
      <c r="I9" s="92"/>
      <c r="J9" s="93">
        <f>+I7+I8</f>
        <v>1090000</v>
      </c>
    </row>
    <row r="10" spans="1:10" x14ac:dyDescent="0.3">
      <c r="A10" s="30"/>
      <c r="D10" s="31"/>
      <c r="I10" s="9"/>
      <c r="J10" s="31"/>
    </row>
    <row r="11" spans="1:10" x14ac:dyDescent="0.3">
      <c r="A11" s="30"/>
      <c r="C11">
        <f>+'Balance Inicial'!B21</f>
        <v>390000</v>
      </c>
      <c r="D11" s="31"/>
      <c r="I11" s="9"/>
      <c r="J11" s="31"/>
    </row>
    <row r="12" spans="1:10" x14ac:dyDescent="0.3">
      <c r="A12" s="30"/>
      <c r="D12" s="31"/>
      <c r="I12" s="9"/>
      <c r="J12" s="31"/>
    </row>
    <row r="13" spans="1:10" x14ac:dyDescent="0.3">
      <c r="A13" s="30"/>
      <c r="D13" s="31"/>
      <c r="I13" s="9"/>
      <c r="J13" s="31"/>
    </row>
    <row r="14" spans="1:10" x14ac:dyDescent="0.3">
      <c r="A14" s="30"/>
      <c r="D14" s="31"/>
      <c r="I14" s="9"/>
      <c r="J14" s="31"/>
    </row>
    <row r="15" spans="1:10" x14ac:dyDescent="0.3">
      <c r="A15" s="27"/>
      <c r="B15" s="28"/>
      <c r="C15" s="28"/>
      <c r="D15" s="28"/>
      <c r="E15" s="28"/>
      <c r="F15" s="28"/>
      <c r="G15" s="28"/>
      <c r="H15" s="28"/>
      <c r="I15" s="28"/>
      <c r="J15" s="29"/>
    </row>
    <row r="16" spans="1:10" x14ac:dyDescent="0.3">
      <c r="A16" s="30"/>
      <c r="J16" s="31"/>
    </row>
    <row r="17" spans="1:10" x14ac:dyDescent="0.3">
      <c r="A17" s="32"/>
      <c r="B17" s="33"/>
      <c r="C17" s="33"/>
      <c r="D17" s="33"/>
      <c r="E17" s="33"/>
      <c r="F17" s="33"/>
      <c r="G17" s="33"/>
      <c r="H17" s="33"/>
      <c r="I17" s="33"/>
      <c r="J17" s="34"/>
    </row>
    <row r="18" spans="1:10" x14ac:dyDescent="0.3">
      <c r="A18" s="30"/>
      <c r="D18" s="31"/>
      <c r="E18" s="30"/>
      <c r="H18" s="31"/>
      <c r="I18" s="9"/>
      <c r="J18" s="9"/>
    </row>
    <row r="19" spans="1:10" x14ac:dyDescent="0.3">
      <c r="A19" s="30"/>
      <c r="D19" s="31"/>
      <c r="E19" s="30"/>
      <c r="H19" s="31"/>
      <c r="I19" s="9"/>
      <c r="J19" s="9"/>
    </row>
    <row r="20" spans="1:10" x14ac:dyDescent="0.3">
      <c r="A20" s="30"/>
      <c r="D20" s="31"/>
      <c r="E20" s="30"/>
      <c r="H20" s="31"/>
      <c r="I20" s="9"/>
      <c r="J20" s="9"/>
    </row>
    <row r="21" spans="1:10" x14ac:dyDescent="0.3">
      <c r="A21" s="30"/>
      <c r="D21" s="31"/>
      <c r="E21" s="30" t="s">
        <v>31</v>
      </c>
      <c r="H21" s="31"/>
      <c r="I21" s="92">
        <f>+C23</f>
        <v>1028500</v>
      </c>
      <c r="J21" s="92"/>
    </row>
    <row r="22" spans="1:10" x14ac:dyDescent="0.3">
      <c r="A22" s="30"/>
      <c r="B22" s="109">
        <f>+B27*0.5*0.9*1.21</f>
        <v>925650</v>
      </c>
      <c r="D22" s="31"/>
      <c r="E22" s="30" t="s">
        <v>21</v>
      </c>
      <c r="H22" s="31"/>
      <c r="I22" s="92">
        <f>+B22</f>
        <v>925650</v>
      </c>
      <c r="J22" s="92"/>
    </row>
    <row r="23" spans="1:10" x14ac:dyDescent="0.3">
      <c r="A23" s="30"/>
      <c r="C23" s="110">
        <f>+B27*0.5*1.21</f>
        <v>1028500</v>
      </c>
      <c r="D23" s="31"/>
      <c r="E23" s="36" t="s">
        <v>45</v>
      </c>
      <c r="H23" s="31"/>
      <c r="I23" s="92">
        <f>+B24</f>
        <v>85000</v>
      </c>
      <c r="J23" s="92"/>
    </row>
    <row r="24" spans="1:10" x14ac:dyDescent="0.3">
      <c r="A24" s="30"/>
      <c r="B24" s="108">
        <f>+B27*0.5*0.1</f>
        <v>85000</v>
      </c>
      <c r="D24" s="31"/>
      <c r="E24" s="106" t="s">
        <v>29</v>
      </c>
      <c r="H24" s="31"/>
      <c r="I24" s="92">
        <f>+C26</f>
        <v>17850</v>
      </c>
    </row>
    <row r="25" spans="1:10" x14ac:dyDescent="0.3">
      <c r="A25" s="30"/>
      <c r="C25" s="62">
        <f>+B27*0.21</f>
        <v>357000</v>
      </c>
      <c r="D25" s="31"/>
      <c r="E25" s="30"/>
      <c r="F25" t="s">
        <v>36</v>
      </c>
      <c r="H25" s="31"/>
      <c r="I25" s="92"/>
      <c r="J25" s="92">
        <f>+B27</f>
        <v>1700000</v>
      </c>
    </row>
    <row r="26" spans="1:10" x14ac:dyDescent="0.3">
      <c r="A26" s="42" t="s">
        <v>30</v>
      </c>
      <c r="C26" s="109">
        <f>+B24*0.21</f>
        <v>17850</v>
      </c>
      <c r="D26" s="31"/>
      <c r="E26" s="30"/>
      <c r="F26" s="39" t="s">
        <v>32</v>
      </c>
      <c r="H26" s="31"/>
      <c r="I26" s="92"/>
      <c r="J26" s="92">
        <f>+C25</f>
        <v>357000</v>
      </c>
    </row>
    <row r="27" spans="1:10" x14ac:dyDescent="0.3">
      <c r="A27" s="30"/>
      <c r="B27" s="107">
        <v>1700000</v>
      </c>
      <c r="D27" s="31"/>
      <c r="E27" s="30"/>
      <c r="H27" s="31"/>
      <c r="I27" s="111">
        <f>SUM(I21:I26)</f>
        <v>2057000</v>
      </c>
      <c r="J27" s="111">
        <f>SUM(J21:J26)</f>
        <v>2057000</v>
      </c>
    </row>
    <row r="28" spans="1:10" x14ac:dyDescent="0.3">
      <c r="A28" s="30"/>
      <c r="D28" s="31"/>
      <c r="E28" s="30"/>
      <c r="H28" s="31"/>
      <c r="I28" s="9"/>
      <c r="J28" s="9"/>
    </row>
    <row r="29" spans="1:10" x14ac:dyDescent="0.3">
      <c r="A29" s="30"/>
      <c r="D29" s="31"/>
      <c r="E29" s="30"/>
      <c r="H29" s="31"/>
      <c r="I29" s="9"/>
      <c r="J29" s="9"/>
    </row>
    <row r="30" spans="1:10" x14ac:dyDescent="0.3">
      <c r="A30" s="30"/>
      <c r="B30" s="41" t="s">
        <v>20</v>
      </c>
      <c r="D30" s="31"/>
      <c r="E30" s="30"/>
      <c r="H30" s="31"/>
      <c r="I30" s="9"/>
      <c r="J30" s="9"/>
    </row>
    <row r="31" spans="1:10" ht="15.75" x14ac:dyDescent="0.35">
      <c r="A31" s="157" t="s">
        <v>153</v>
      </c>
      <c r="B31" s="158"/>
      <c r="C31" s="159"/>
      <c r="D31" s="160"/>
      <c r="E31" s="161">
        <f>+B27/2*(0.12/12)/30*(31-10)</f>
        <v>5950</v>
      </c>
      <c r="J31" s="31"/>
    </row>
    <row r="32" spans="1:10" x14ac:dyDescent="0.3">
      <c r="A32" s="27"/>
      <c r="B32" s="127"/>
      <c r="C32" s="28"/>
      <c r="D32" s="28"/>
      <c r="E32" s="28"/>
      <c r="F32" s="28"/>
      <c r="G32" s="28"/>
      <c r="H32" s="28"/>
      <c r="I32" s="28"/>
      <c r="J32" s="29"/>
    </row>
    <row r="33" spans="1:10" x14ac:dyDescent="0.3">
      <c r="A33" s="32"/>
      <c r="B33" s="128"/>
      <c r="C33" s="33"/>
      <c r="D33" s="33"/>
      <c r="E33" s="33"/>
      <c r="F33" s="33"/>
      <c r="G33" s="33"/>
      <c r="H33" s="33"/>
      <c r="I33" s="33"/>
      <c r="J33" s="34"/>
    </row>
    <row r="34" spans="1:10" x14ac:dyDescent="0.3">
      <c r="A34" s="27"/>
      <c r="B34" s="127"/>
      <c r="C34" s="28"/>
      <c r="D34" s="28"/>
      <c r="E34" s="27"/>
      <c r="F34" s="28"/>
      <c r="G34" s="28"/>
      <c r="H34" s="28"/>
      <c r="I34" s="35"/>
      <c r="J34" s="29"/>
    </row>
    <row r="35" spans="1:10" x14ac:dyDescent="0.3">
      <c r="A35" s="30"/>
      <c r="B35" s="22">
        <v>130000</v>
      </c>
      <c r="E35" s="103" t="s">
        <v>86</v>
      </c>
      <c r="I35" s="92">
        <f>+B35</f>
        <v>130000</v>
      </c>
      <c r="J35" s="93"/>
    </row>
    <row r="36" spans="1:10" x14ac:dyDescent="0.3">
      <c r="A36" s="30"/>
      <c r="B36" s="41"/>
      <c r="E36" s="30"/>
      <c r="F36" s="22" t="s">
        <v>18</v>
      </c>
      <c r="I36" s="92"/>
      <c r="J36" s="93">
        <f>+I35</f>
        <v>130000</v>
      </c>
    </row>
    <row r="37" spans="1:10" x14ac:dyDescent="0.3">
      <c r="A37" s="30"/>
      <c r="B37" s="41"/>
      <c r="E37" s="30"/>
      <c r="I37" s="92"/>
      <c r="J37" s="93"/>
    </row>
    <row r="38" spans="1:10" x14ac:dyDescent="0.3">
      <c r="A38" s="30"/>
      <c r="B38" s="41"/>
      <c r="E38" s="103" t="s">
        <v>147</v>
      </c>
      <c r="I38" s="92">
        <f>+B39</f>
        <v>1950</v>
      </c>
      <c r="J38" s="93"/>
    </row>
    <row r="39" spans="1:10" x14ac:dyDescent="0.3">
      <c r="A39" s="30"/>
      <c r="B39" s="156">
        <f>+B35*0.18/12</f>
        <v>1950</v>
      </c>
      <c r="E39" s="30"/>
      <c r="F39" s="22" t="s">
        <v>148</v>
      </c>
      <c r="I39" s="92"/>
      <c r="J39" s="93">
        <f>+I38</f>
        <v>1950</v>
      </c>
    </row>
    <row r="40" spans="1:10" x14ac:dyDescent="0.3">
      <c r="A40" s="30"/>
      <c r="B40" s="41"/>
      <c r="E40" s="30"/>
      <c r="I40" s="9"/>
      <c r="J40" s="31"/>
    </row>
    <row r="41" spans="1:10" x14ac:dyDescent="0.3">
      <c r="A41" s="30"/>
      <c r="B41" s="41"/>
      <c r="E41" s="30"/>
      <c r="I41" s="9"/>
      <c r="J41" s="31"/>
    </row>
    <row r="42" spans="1:10" x14ac:dyDescent="0.3">
      <c r="A42" s="32"/>
      <c r="B42" s="128"/>
      <c r="C42" s="33"/>
      <c r="D42" s="33"/>
      <c r="E42" s="32"/>
      <c r="F42" s="33"/>
      <c r="G42" s="33"/>
      <c r="H42" s="33"/>
      <c r="I42" s="10"/>
      <c r="J42" s="34"/>
    </row>
    <row r="43" spans="1:10" x14ac:dyDescent="0.3">
      <c r="A43" s="27"/>
      <c r="B43" s="28"/>
      <c r="C43" s="28"/>
      <c r="D43" s="28"/>
      <c r="E43" s="28"/>
      <c r="F43" s="28"/>
      <c r="G43" s="28"/>
      <c r="H43" s="28"/>
      <c r="I43" s="28"/>
      <c r="J43" s="29"/>
    </row>
    <row r="44" spans="1:10" x14ac:dyDescent="0.3">
      <c r="A44" s="32"/>
      <c r="B44" s="33"/>
      <c r="C44" s="33"/>
      <c r="D44" s="33"/>
      <c r="E44" s="33"/>
      <c r="F44" s="33"/>
      <c r="G44" s="33"/>
      <c r="H44" s="33"/>
      <c r="I44" s="33"/>
      <c r="J44" s="34"/>
    </row>
    <row r="45" spans="1:10" ht="15.75" x14ac:dyDescent="0.35">
      <c r="A45" s="105" t="s">
        <v>149</v>
      </c>
      <c r="E45" s="30"/>
      <c r="I45" s="9"/>
      <c r="J45" s="31"/>
    </row>
    <row r="46" spans="1:10" x14ac:dyDescent="0.3">
      <c r="A46" s="11"/>
      <c r="B46" s="1"/>
      <c r="C46" s="1"/>
      <c r="D46" s="12"/>
      <c r="E46" s="11"/>
      <c r="F46" s="1"/>
      <c r="G46" s="1"/>
      <c r="H46" s="1"/>
      <c r="I46" s="13"/>
      <c r="J46" s="12"/>
    </row>
    <row r="47" spans="1:10" x14ac:dyDescent="0.3">
      <c r="A47" s="11"/>
      <c r="B47" s="1"/>
      <c r="C47" s="1"/>
      <c r="D47" s="12"/>
      <c r="E47" s="70" t="s">
        <v>72</v>
      </c>
      <c r="F47" s="1"/>
      <c r="G47" s="1"/>
      <c r="H47" s="1"/>
      <c r="I47" s="57">
        <f>+C51</f>
        <v>147000</v>
      </c>
      <c r="J47" s="12"/>
    </row>
    <row r="48" spans="1:10" x14ac:dyDescent="0.3">
      <c r="A48" s="11"/>
      <c r="B48" s="72">
        <f>+'Balance Inicial'!B40</f>
        <v>133000</v>
      </c>
      <c r="C48" s="6"/>
      <c r="D48" s="14"/>
      <c r="E48" s="11"/>
      <c r="F48" s="46" t="s">
        <v>87</v>
      </c>
      <c r="G48" s="1"/>
      <c r="H48" s="1"/>
      <c r="I48" s="13"/>
      <c r="J48" s="56">
        <f>+B48</f>
        <v>133000</v>
      </c>
    </row>
    <row r="49" spans="1:10" x14ac:dyDescent="0.3">
      <c r="A49" s="11"/>
      <c r="B49" s="1"/>
      <c r="C49" s="6"/>
      <c r="D49" s="12"/>
      <c r="E49" s="11"/>
      <c r="F49" s="46" t="s">
        <v>89</v>
      </c>
      <c r="G49" s="1"/>
      <c r="H49" s="1"/>
      <c r="I49" s="57"/>
      <c r="J49" s="12">
        <f>+C53</f>
        <v>14000</v>
      </c>
    </row>
    <row r="50" spans="1:10" x14ac:dyDescent="0.3">
      <c r="A50" s="11"/>
      <c r="B50" s="1"/>
      <c r="C50" s="1"/>
      <c r="D50" s="12"/>
      <c r="E50" s="11"/>
      <c r="F50" s="1"/>
      <c r="G50" s="1"/>
      <c r="H50" s="1"/>
      <c r="I50" s="58">
        <f>+SUM(I47:I49)</f>
        <v>147000</v>
      </c>
      <c r="J50" s="58">
        <f>+SUM(J47:J49)</f>
        <v>147000</v>
      </c>
    </row>
    <row r="51" spans="1:10" x14ac:dyDescent="0.3">
      <c r="A51" s="11"/>
      <c r="B51" s="69"/>
      <c r="C51" s="53">
        <f>+B48+C53</f>
        <v>147000</v>
      </c>
      <c r="D51" s="12"/>
      <c r="E51" s="11"/>
      <c r="F51" s="1"/>
      <c r="G51" s="1"/>
      <c r="H51" s="1"/>
      <c r="I51" s="13"/>
      <c r="J51" s="12"/>
    </row>
    <row r="52" spans="1:10" x14ac:dyDescent="0.3">
      <c r="A52" s="11"/>
      <c r="B52" s="1"/>
      <c r="C52" s="1"/>
      <c r="D52" s="12"/>
      <c r="E52" s="11"/>
      <c r="F52" s="1"/>
      <c r="G52" s="1"/>
      <c r="H52" s="1"/>
      <c r="I52" s="13"/>
      <c r="J52" s="12"/>
    </row>
    <row r="53" spans="1:10" x14ac:dyDescent="0.3">
      <c r="A53" s="11"/>
      <c r="B53" s="1"/>
      <c r="C53" s="117">
        <f>+(147-133)*1000</f>
        <v>14000</v>
      </c>
      <c r="D53" s="12"/>
      <c r="E53" s="11"/>
      <c r="F53" s="1"/>
      <c r="G53" s="1"/>
      <c r="H53" s="1"/>
      <c r="I53" s="13"/>
      <c r="J53" s="12"/>
    </row>
    <row r="54" spans="1:10" x14ac:dyDescent="0.3">
      <c r="A54" s="11"/>
      <c r="B54" s="1"/>
      <c r="C54" s="1"/>
      <c r="D54" s="12"/>
      <c r="E54" s="11"/>
      <c r="F54" s="1"/>
      <c r="G54" s="1"/>
      <c r="H54" s="1"/>
      <c r="I54" s="13"/>
      <c r="J54" s="12"/>
    </row>
    <row r="55" spans="1:10" x14ac:dyDescent="0.3">
      <c r="A55" s="11"/>
      <c r="B55" s="1"/>
      <c r="C55" s="46" t="s">
        <v>88</v>
      </c>
      <c r="D55" s="12"/>
      <c r="E55" s="11"/>
      <c r="F55" s="1"/>
      <c r="G55" s="1"/>
      <c r="H55" s="1"/>
      <c r="I55" s="13"/>
      <c r="J55" s="12"/>
    </row>
    <row r="56" spans="1:10" x14ac:dyDescent="0.3">
      <c r="A56" s="27"/>
      <c r="B56" s="28"/>
      <c r="C56" s="28"/>
      <c r="D56" s="28"/>
      <c r="E56" s="28"/>
      <c r="F56" s="28"/>
      <c r="G56" s="28"/>
      <c r="H56" s="28"/>
      <c r="I56" s="28"/>
      <c r="J56" s="29"/>
    </row>
    <row r="57" spans="1:10" x14ac:dyDescent="0.3">
      <c r="A57" s="30"/>
      <c r="J57" s="31"/>
    </row>
    <row r="58" spans="1:10" x14ac:dyDescent="0.3">
      <c r="A58" s="32"/>
      <c r="B58" s="33"/>
      <c r="C58" s="33"/>
      <c r="D58" s="33"/>
      <c r="E58" s="33"/>
      <c r="F58" s="33"/>
      <c r="G58" s="33"/>
      <c r="H58" s="33"/>
      <c r="I58" s="33"/>
      <c r="J58" s="34"/>
    </row>
    <row r="59" spans="1:10" x14ac:dyDescent="0.3">
      <c r="A59" s="112"/>
      <c r="B59" s="113"/>
      <c r="C59" s="113"/>
      <c r="D59" s="114"/>
      <c r="E59" s="129"/>
      <c r="F59" s="113"/>
      <c r="G59" s="113"/>
      <c r="H59" s="113"/>
      <c r="I59" s="65"/>
      <c r="J59" s="114"/>
    </row>
    <row r="60" spans="1:10" x14ac:dyDescent="0.3">
      <c r="A60" s="73" t="s">
        <v>90</v>
      </c>
      <c r="B60" s="72"/>
      <c r="C60" s="23"/>
      <c r="D60" s="14"/>
      <c r="E60" s="11"/>
      <c r="F60" s="1"/>
      <c r="G60" s="1"/>
      <c r="H60" s="1"/>
      <c r="I60" s="57"/>
      <c r="J60" s="12"/>
    </row>
    <row r="61" spans="1:10" x14ac:dyDescent="0.3">
      <c r="A61" s="11"/>
      <c r="B61" s="143">
        <f>+B65-184000</f>
        <v>6000</v>
      </c>
      <c r="C61" s="6"/>
      <c r="D61" s="12"/>
      <c r="E61" s="73" t="s">
        <v>91</v>
      </c>
      <c r="F61" s="1"/>
      <c r="G61" s="1"/>
      <c r="H61" s="1"/>
      <c r="I61" s="57">
        <f>+B65</f>
        <v>190000</v>
      </c>
      <c r="J61" s="12"/>
    </row>
    <row r="62" spans="1:10" x14ac:dyDescent="0.3">
      <c r="A62" s="11"/>
      <c r="B62" s="1"/>
      <c r="C62" s="1"/>
      <c r="D62" s="12"/>
      <c r="E62" s="73" t="s">
        <v>17</v>
      </c>
      <c r="F62" s="1"/>
      <c r="G62" s="1"/>
      <c r="H62" s="1"/>
      <c r="I62" s="13">
        <f>+C63</f>
        <v>38640</v>
      </c>
      <c r="J62" s="56"/>
    </row>
    <row r="63" spans="1:10" x14ac:dyDescent="0.3">
      <c r="A63" s="11"/>
      <c r="B63" s="69"/>
      <c r="C63" s="1">
        <f>184000*0.21</f>
        <v>38640</v>
      </c>
      <c r="D63" s="12"/>
      <c r="E63" s="11"/>
      <c r="F63" s="46" t="s">
        <v>18</v>
      </c>
      <c r="G63" s="1"/>
      <c r="H63" s="1"/>
      <c r="I63" s="57"/>
      <c r="J63" s="56">
        <f>+C66</f>
        <v>222640</v>
      </c>
    </row>
    <row r="64" spans="1:10" x14ac:dyDescent="0.3">
      <c r="A64" s="11"/>
      <c r="B64" s="1"/>
      <c r="C64" s="1"/>
      <c r="D64" s="12"/>
      <c r="E64" s="11"/>
      <c r="F64" s="130" t="s">
        <v>92</v>
      </c>
      <c r="G64" s="1"/>
      <c r="H64" s="1"/>
      <c r="I64" s="13"/>
      <c r="J64" s="12">
        <f>+B61</f>
        <v>6000</v>
      </c>
    </row>
    <row r="65" spans="1:10" x14ac:dyDescent="0.3">
      <c r="A65" s="11"/>
      <c r="B65" s="23">
        <f>+'Balance Inicial'!B16</f>
        <v>190000</v>
      </c>
      <c r="C65" s="69"/>
      <c r="D65" s="12"/>
      <c r="E65" s="11"/>
      <c r="F65" s="1"/>
      <c r="G65" s="1"/>
      <c r="H65" s="1"/>
      <c r="I65" s="24">
        <f>SUM(I61:I64)</f>
        <v>228640</v>
      </c>
      <c r="J65" s="131">
        <f>SUM(J61:J64)</f>
        <v>228640</v>
      </c>
    </row>
    <row r="66" spans="1:10" x14ac:dyDescent="0.3">
      <c r="A66" s="11"/>
      <c r="B66" s="1"/>
      <c r="C66" s="6">
        <f>184000*1.21</f>
        <v>222640</v>
      </c>
      <c r="D66" s="12"/>
      <c r="E66" s="11"/>
      <c r="F66" s="1"/>
      <c r="G66" s="1"/>
      <c r="H66" s="1"/>
      <c r="I66" s="13"/>
      <c r="J66" s="12"/>
    </row>
    <row r="67" spans="1:10" x14ac:dyDescent="0.3">
      <c r="A67" s="11"/>
      <c r="B67" s="1"/>
      <c r="C67" s="1"/>
      <c r="D67" s="12"/>
      <c r="E67" s="11"/>
      <c r="F67" s="1"/>
      <c r="G67" s="1"/>
      <c r="H67" s="1"/>
      <c r="I67" s="13"/>
      <c r="J67" s="12"/>
    </row>
    <row r="68" spans="1:10" x14ac:dyDescent="0.3">
      <c r="A68" s="30"/>
      <c r="D68" s="31"/>
      <c r="I68" s="9"/>
      <c r="J68" s="31"/>
    </row>
    <row r="69" spans="1:10" x14ac:dyDescent="0.3">
      <c r="A69" s="30"/>
      <c r="D69" s="31"/>
      <c r="I69" s="9"/>
      <c r="J69" s="31"/>
    </row>
    <row r="70" spans="1:10" x14ac:dyDescent="0.3">
      <c r="A70" s="32"/>
      <c r="B70" s="33"/>
      <c r="C70" s="33"/>
      <c r="D70" s="34"/>
      <c r="E70" s="33"/>
      <c r="F70" s="33"/>
      <c r="G70" s="33"/>
      <c r="H70" s="33"/>
      <c r="I70" s="10"/>
      <c r="J70" s="34"/>
    </row>
    <row r="71" spans="1:10" x14ac:dyDescent="0.3">
      <c r="A71" s="27"/>
      <c r="B71" s="28"/>
      <c r="C71" s="28"/>
      <c r="D71" s="28"/>
      <c r="E71" s="28"/>
      <c r="F71" s="28"/>
      <c r="G71" s="28"/>
      <c r="H71" s="28"/>
      <c r="I71" s="28"/>
      <c r="J71" s="29"/>
    </row>
    <row r="72" spans="1:10" x14ac:dyDescent="0.3">
      <c r="A72" s="32"/>
      <c r="B72" s="33"/>
      <c r="C72" s="33"/>
      <c r="D72" s="33"/>
      <c r="E72" s="33"/>
      <c r="F72" s="33"/>
      <c r="G72" s="33"/>
      <c r="H72" s="33"/>
      <c r="I72" s="33"/>
      <c r="J72" s="34"/>
    </row>
    <row r="73" spans="1:10" x14ac:dyDescent="0.3">
      <c r="A73" s="27"/>
      <c r="B73" s="28"/>
      <c r="C73" s="28"/>
      <c r="D73" s="29"/>
      <c r="E73" s="27"/>
      <c r="F73" s="28"/>
      <c r="G73" s="28"/>
      <c r="H73" s="29"/>
      <c r="I73" s="35"/>
      <c r="J73" s="29"/>
    </row>
    <row r="74" spans="1:10" x14ac:dyDescent="0.3">
      <c r="A74" s="30"/>
      <c r="B74">
        <v>70000</v>
      </c>
      <c r="D74" s="31"/>
      <c r="E74" s="103" t="s">
        <v>93</v>
      </c>
      <c r="H74" s="31"/>
      <c r="I74" s="9">
        <f>+B74</f>
        <v>70000</v>
      </c>
      <c r="J74" s="31"/>
    </row>
    <row r="75" spans="1:10" x14ac:dyDescent="0.3">
      <c r="A75" s="30"/>
      <c r="D75" s="31"/>
      <c r="E75" s="30"/>
      <c r="F75" s="22" t="s">
        <v>18</v>
      </c>
      <c r="H75" s="31"/>
      <c r="I75" s="9"/>
      <c r="J75" s="31">
        <f>+B74</f>
        <v>70000</v>
      </c>
    </row>
    <row r="76" spans="1:10" x14ac:dyDescent="0.3">
      <c r="A76" s="30"/>
      <c r="D76" s="31"/>
      <c r="E76" s="30"/>
      <c r="H76" s="31"/>
      <c r="I76" s="9"/>
      <c r="J76" s="31"/>
    </row>
    <row r="77" spans="1:10" x14ac:dyDescent="0.3">
      <c r="A77" s="32"/>
      <c r="B77" s="33"/>
      <c r="C77" s="33"/>
      <c r="D77" s="34"/>
      <c r="E77" s="32"/>
      <c r="F77" s="33"/>
      <c r="G77" s="33"/>
      <c r="H77" s="34"/>
      <c r="I77" s="10"/>
      <c r="J77" s="34"/>
    </row>
    <row r="78" spans="1:10" s="22" customFormat="1" x14ac:dyDescent="0.3">
      <c r="A78" s="170"/>
      <c r="B78" s="171"/>
      <c r="C78" s="171"/>
      <c r="D78" s="171"/>
      <c r="E78" s="171"/>
      <c r="F78" s="171"/>
      <c r="G78" s="171"/>
      <c r="H78" s="171"/>
      <c r="I78" s="171"/>
      <c r="J78" s="172"/>
    </row>
    <row r="79" spans="1:10" s="22" customFormat="1" x14ac:dyDescent="0.3">
      <c r="A79" s="49"/>
      <c r="B79" s="63"/>
      <c r="C79" s="63"/>
      <c r="D79" s="63"/>
      <c r="E79" s="63"/>
      <c r="F79" s="63"/>
      <c r="G79" s="63"/>
      <c r="H79" s="63"/>
      <c r="I79" s="63"/>
      <c r="J79" s="64"/>
    </row>
    <row r="80" spans="1:10" s="22" customFormat="1" x14ac:dyDescent="0.3">
      <c r="A80" s="50"/>
      <c r="B80" s="51"/>
      <c r="C80" s="51"/>
      <c r="D80" s="51"/>
      <c r="E80" s="51"/>
      <c r="F80" s="51"/>
      <c r="G80" s="51"/>
      <c r="H80" s="51"/>
      <c r="I80" s="51"/>
      <c r="J80" s="52"/>
    </row>
    <row r="81" spans="1:10" s="22" customFormat="1" x14ac:dyDescent="0.3">
      <c r="A81" s="49"/>
      <c r="B81" s="63"/>
      <c r="C81" s="63"/>
      <c r="D81" s="64"/>
      <c r="E81" s="49"/>
      <c r="F81" s="63"/>
      <c r="G81" s="63"/>
      <c r="H81" s="64"/>
      <c r="I81" s="74"/>
      <c r="J81" s="74"/>
    </row>
    <row r="82" spans="1:10" s="22" customFormat="1" x14ac:dyDescent="0.3">
      <c r="A82" s="49"/>
      <c r="B82" s="63"/>
      <c r="C82" s="63"/>
      <c r="D82" s="64"/>
      <c r="E82" s="70"/>
      <c r="F82" s="63"/>
      <c r="G82" s="63"/>
      <c r="H82" s="64"/>
      <c r="I82" s="94"/>
      <c r="J82" s="94"/>
    </row>
    <row r="83" spans="1:10" s="22" customFormat="1" x14ac:dyDescent="0.3">
      <c r="A83" s="49"/>
      <c r="B83" s="63"/>
      <c r="C83" s="173"/>
      <c r="D83" s="174"/>
      <c r="E83" s="70" t="s">
        <v>21</v>
      </c>
      <c r="F83" s="63"/>
      <c r="G83" s="63"/>
      <c r="H83" s="64"/>
      <c r="I83" s="133">
        <f>+C84</f>
        <v>72600</v>
      </c>
      <c r="J83" s="94"/>
    </row>
    <row r="84" spans="1:10" x14ac:dyDescent="0.3">
      <c r="A84" s="30"/>
      <c r="B84" s="38">
        <f>240000/5*4</f>
        <v>192000</v>
      </c>
      <c r="C84" s="38">
        <f>60000*1.21</f>
        <v>72600</v>
      </c>
      <c r="D84" s="31"/>
      <c r="E84" s="103" t="s">
        <v>150</v>
      </c>
      <c r="H84" s="31"/>
      <c r="I84" s="134">
        <f>+B84</f>
        <v>192000</v>
      </c>
      <c r="J84" s="95"/>
    </row>
    <row r="85" spans="1:10" x14ac:dyDescent="0.3">
      <c r="A85" s="30"/>
      <c r="D85" s="31"/>
      <c r="E85" s="103"/>
      <c r="F85" s="22" t="s">
        <v>94</v>
      </c>
      <c r="H85" s="31"/>
      <c r="I85" s="95"/>
      <c r="J85" s="134">
        <f>+B89</f>
        <v>240000</v>
      </c>
    </row>
    <row r="86" spans="1:10" x14ac:dyDescent="0.3">
      <c r="A86" s="30"/>
      <c r="C86" s="144">
        <f>60000-(240000-192000)</f>
        <v>12000</v>
      </c>
      <c r="D86" s="132" t="s">
        <v>96</v>
      </c>
      <c r="E86" s="30"/>
      <c r="F86" s="104" t="s">
        <v>95</v>
      </c>
      <c r="H86" s="31"/>
      <c r="I86" s="95"/>
      <c r="J86" s="134">
        <f>+C91</f>
        <v>12600</v>
      </c>
    </row>
    <row r="87" spans="1:10" x14ac:dyDescent="0.3">
      <c r="A87" s="30"/>
      <c r="D87" s="132" t="s">
        <v>97</v>
      </c>
      <c r="E87" s="30"/>
      <c r="F87" s="104" t="s">
        <v>98</v>
      </c>
      <c r="H87" s="31"/>
      <c r="I87" s="95"/>
      <c r="J87" s="134">
        <f>+C86</f>
        <v>12000</v>
      </c>
    </row>
    <row r="88" spans="1:10" x14ac:dyDescent="0.3">
      <c r="A88" s="30"/>
      <c r="D88" s="31"/>
      <c r="E88" s="30"/>
      <c r="H88" s="31"/>
      <c r="I88" s="135">
        <f>SUM(I83:I87)</f>
        <v>264600</v>
      </c>
      <c r="J88" s="135">
        <f>SUM(J83:J87)</f>
        <v>264600</v>
      </c>
    </row>
    <row r="89" spans="1:10" x14ac:dyDescent="0.3">
      <c r="A89" s="30"/>
      <c r="B89">
        <v>240000</v>
      </c>
      <c r="D89" s="31"/>
      <c r="E89" s="30"/>
      <c r="H89" s="31"/>
      <c r="I89" s="95"/>
      <c r="J89" s="95"/>
    </row>
    <row r="90" spans="1:10" x14ac:dyDescent="0.3">
      <c r="A90" s="30"/>
      <c r="D90" s="31"/>
      <c r="E90" s="30"/>
      <c r="H90" s="31"/>
      <c r="I90" s="95"/>
      <c r="J90" s="95"/>
    </row>
    <row r="91" spans="1:10" x14ac:dyDescent="0.3">
      <c r="A91" s="30"/>
      <c r="C91" s="37">
        <f>60000*0.21</f>
        <v>12600</v>
      </c>
      <c r="D91" s="31"/>
      <c r="E91" s="30"/>
      <c r="H91" s="31"/>
      <c r="I91" s="95"/>
      <c r="J91" s="95"/>
    </row>
    <row r="92" spans="1:10" x14ac:dyDescent="0.3">
      <c r="A92" s="30"/>
      <c r="D92" s="31"/>
      <c r="E92" s="30"/>
      <c r="H92" s="31"/>
      <c r="I92" s="95"/>
      <c r="J92" s="95"/>
    </row>
    <row r="93" spans="1:10" x14ac:dyDescent="0.3">
      <c r="A93" s="36"/>
      <c r="D93" s="31"/>
      <c r="E93" s="30"/>
      <c r="H93" s="31"/>
      <c r="I93" s="9"/>
      <c r="J93" s="9"/>
    </row>
    <row r="94" spans="1:10" x14ac:dyDescent="0.3">
      <c r="A94" s="30"/>
      <c r="D94" s="31"/>
      <c r="E94" s="30"/>
      <c r="H94" s="31"/>
      <c r="I94" s="9"/>
      <c r="J94" s="9"/>
    </row>
    <row r="95" spans="1:10" s="22" customFormat="1" x14ac:dyDescent="0.3">
      <c r="A95" s="169"/>
      <c r="B95" s="169"/>
      <c r="C95" s="169"/>
      <c r="D95" s="169"/>
      <c r="E95" s="169"/>
      <c r="F95" s="169"/>
      <c r="G95" s="169"/>
      <c r="H95" s="169"/>
      <c r="I95" s="169"/>
      <c r="J95" s="169"/>
    </row>
    <row r="96" spans="1:10" s="22" customFormat="1" x14ac:dyDescent="0.3">
      <c r="A96" s="49"/>
      <c r="B96" s="63"/>
      <c r="C96" s="63"/>
      <c r="D96" s="63"/>
      <c r="E96" s="63"/>
      <c r="F96" s="63"/>
      <c r="G96" s="63"/>
      <c r="H96" s="63"/>
      <c r="I96" s="63"/>
      <c r="J96" s="64"/>
    </row>
    <row r="97" spans="1:10" s="22" customFormat="1" x14ac:dyDescent="0.3">
      <c r="A97" s="49"/>
      <c r="B97" s="63"/>
      <c r="C97" s="63"/>
      <c r="D97" s="63"/>
      <c r="E97" s="63"/>
      <c r="F97" s="63"/>
      <c r="G97" s="63"/>
      <c r="H97" s="63"/>
      <c r="I97" s="63"/>
      <c r="J97" s="64"/>
    </row>
    <row r="98" spans="1:10" x14ac:dyDescent="0.3">
      <c r="A98" s="112"/>
      <c r="B98" s="113"/>
      <c r="C98" s="113"/>
      <c r="D98" s="114"/>
      <c r="E98" s="112"/>
      <c r="F98" s="113"/>
      <c r="G98" s="113"/>
      <c r="H98" s="113"/>
      <c r="I98" s="40"/>
      <c r="J98" s="114"/>
    </row>
    <row r="99" spans="1:10" x14ac:dyDescent="0.3">
      <c r="A99" s="11"/>
      <c r="B99" s="1"/>
      <c r="C99" s="1"/>
      <c r="D99" s="75"/>
      <c r="E99" s="11"/>
      <c r="F99" s="1"/>
      <c r="G99" s="1"/>
      <c r="H99" s="1"/>
      <c r="I99" s="13"/>
      <c r="J99" s="12"/>
    </row>
    <row r="100" spans="1:10" x14ac:dyDescent="0.3">
      <c r="A100" s="11"/>
      <c r="B100" s="1"/>
      <c r="C100" s="2">
        <f>+B74/5</f>
        <v>14000</v>
      </c>
      <c r="D100" s="12"/>
      <c r="I100" s="13"/>
      <c r="J100" s="12"/>
    </row>
    <row r="101" spans="1:10" x14ac:dyDescent="0.3">
      <c r="A101" s="11"/>
      <c r="B101" s="1">
        <f>-C100+C102-B104</f>
        <v>680200</v>
      </c>
      <c r="C101" s="1"/>
      <c r="D101" s="75"/>
      <c r="E101" s="49" t="s">
        <v>37</v>
      </c>
      <c r="F101" s="1"/>
      <c r="G101" s="1"/>
      <c r="H101" s="1"/>
      <c r="I101" s="57">
        <f>+C102</f>
        <v>780000</v>
      </c>
      <c r="J101" s="56"/>
    </row>
    <row r="102" spans="1:10" x14ac:dyDescent="0.3">
      <c r="A102" s="11"/>
      <c r="B102" s="1"/>
      <c r="C102" s="136">
        <v>780000</v>
      </c>
      <c r="D102" s="14" t="s">
        <v>22</v>
      </c>
      <c r="E102" s="49" t="s">
        <v>38</v>
      </c>
      <c r="F102" s="1"/>
      <c r="G102" s="1"/>
      <c r="H102" s="1"/>
      <c r="I102" s="57">
        <f>+C106</f>
        <v>468000</v>
      </c>
      <c r="J102" s="56"/>
    </row>
    <row r="103" spans="1:10" x14ac:dyDescent="0.3">
      <c r="A103" s="11"/>
      <c r="B103" s="1"/>
      <c r="C103" s="1"/>
      <c r="D103" s="12"/>
      <c r="F103" t="s">
        <v>121</v>
      </c>
      <c r="I103" s="9"/>
      <c r="J103" s="56">
        <f>+C100</f>
        <v>14000</v>
      </c>
    </row>
    <row r="104" spans="1:10" x14ac:dyDescent="0.3">
      <c r="A104" s="11"/>
      <c r="B104" s="23">
        <f>+(C102)*0.11</f>
        <v>85800</v>
      </c>
      <c r="C104" s="1"/>
      <c r="D104" s="75"/>
      <c r="E104" s="11"/>
      <c r="F104" s="59" t="s">
        <v>151</v>
      </c>
      <c r="G104" s="1"/>
      <c r="H104" s="1"/>
      <c r="I104" s="57"/>
      <c r="J104" s="56">
        <f>+B101</f>
        <v>680200</v>
      </c>
    </row>
    <row r="105" spans="1:10" x14ac:dyDescent="0.3">
      <c r="A105" s="11"/>
      <c r="B105" s="1"/>
      <c r="C105" s="1"/>
      <c r="D105" s="12"/>
      <c r="E105" s="11"/>
      <c r="F105" s="3" t="s">
        <v>24</v>
      </c>
      <c r="G105" s="1"/>
      <c r="H105" s="1"/>
      <c r="I105" s="57"/>
      <c r="J105" s="56">
        <f>+B106</f>
        <v>553800</v>
      </c>
    </row>
    <row r="106" spans="1:10" x14ac:dyDescent="0.3">
      <c r="A106" s="11"/>
      <c r="B106" s="2">
        <f>+B104+C106</f>
        <v>553800</v>
      </c>
      <c r="C106" s="54">
        <f>+C102*0.6</f>
        <v>468000</v>
      </c>
      <c r="D106" s="25" t="s">
        <v>23</v>
      </c>
      <c r="E106" s="11"/>
      <c r="H106" s="1"/>
      <c r="I106" s="58">
        <f>SUM(I101:I105)</f>
        <v>1248000</v>
      </c>
      <c r="J106" s="71">
        <f>SUM(J100:J105)</f>
        <v>1248000</v>
      </c>
    </row>
    <row r="107" spans="1:10" x14ac:dyDescent="0.3">
      <c r="A107" s="11"/>
      <c r="B107" s="1"/>
      <c r="C107" s="1"/>
      <c r="D107" s="12"/>
      <c r="E107" s="11"/>
      <c r="F107" s="1"/>
      <c r="G107" s="1"/>
      <c r="H107" s="1"/>
      <c r="I107" s="13"/>
      <c r="J107" s="12"/>
    </row>
    <row r="108" spans="1:10" x14ac:dyDescent="0.3">
      <c r="A108" s="11"/>
      <c r="B108" s="1"/>
      <c r="C108" s="1"/>
      <c r="D108" s="12"/>
      <c r="E108" s="11"/>
      <c r="F108" s="1"/>
      <c r="G108" s="1"/>
      <c r="H108" s="1"/>
      <c r="I108" s="13"/>
      <c r="J108" s="12"/>
    </row>
    <row r="109" spans="1:10" x14ac:dyDescent="0.3">
      <c r="A109" s="11"/>
      <c r="B109" s="1"/>
      <c r="C109" s="1"/>
      <c r="D109" s="12"/>
      <c r="E109" s="11"/>
      <c r="F109" s="1"/>
      <c r="G109" s="1"/>
      <c r="H109" s="1"/>
      <c r="I109" s="13"/>
      <c r="J109" s="12"/>
    </row>
    <row r="110" spans="1:10" x14ac:dyDescent="0.3">
      <c r="A110" s="11"/>
      <c r="B110" s="1"/>
      <c r="C110" s="1"/>
      <c r="D110" s="12"/>
      <c r="E110" s="11"/>
      <c r="F110" s="1"/>
      <c r="G110" s="1"/>
      <c r="H110" s="1"/>
      <c r="I110" s="13"/>
      <c r="J110" s="12"/>
    </row>
    <row r="111" spans="1:10" x14ac:dyDescent="0.3">
      <c r="A111" s="11"/>
      <c r="B111" s="1"/>
      <c r="C111" s="145">
        <f>+'Balance Inicial'!$A$53</f>
        <v>115000</v>
      </c>
      <c r="D111" s="12"/>
      <c r="E111" s="73" t="s">
        <v>99</v>
      </c>
      <c r="F111" s="1"/>
      <c r="G111" s="1"/>
      <c r="H111" s="1"/>
      <c r="I111" s="13">
        <f>+C111</f>
        <v>115000</v>
      </c>
      <c r="J111" s="12"/>
    </row>
    <row r="112" spans="1:10" x14ac:dyDescent="0.3">
      <c r="A112" s="11"/>
      <c r="B112" s="1"/>
      <c r="C112" s="1"/>
      <c r="D112" s="75" t="s">
        <v>85</v>
      </c>
      <c r="E112" s="11"/>
      <c r="F112" s="46" t="s">
        <v>100</v>
      </c>
      <c r="G112" s="1"/>
      <c r="H112" s="1"/>
      <c r="I112" s="13"/>
      <c r="J112" s="12">
        <f>+I111</f>
        <v>115000</v>
      </c>
    </row>
    <row r="113" spans="1:10" x14ac:dyDescent="0.3">
      <c r="A113" s="11"/>
      <c r="B113" s="1"/>
      <c r="C113" s="1"/>
      <c r="D113" s="12"/>
      <c r="E113" s="11"/>
      <c r="F113" s="1"/>
      <c r="G113" s="1"/>
      <c r="H113" s="1"/>
      <c r="I113" s="13"/>
      <c r="J113" s="12"/>
    </row>
    <row r="114" spans="1:10" x14ac:dyDescent="0.3">
      <c r="A114" s="11"/>
      <c r="B114" s="1"/>
      <c r="C114" s="1"/>
      <c r="D114" s="12"/>
      <c r="E114" s="11"/>
      <c r="F114" s="1"/>
      <c r="G114" s="1"/>
      <c r="H114" s="1"/>
      <c r="I114" s="13"/>
      <c r="J114" s="12"/>
    </row>
    <row r="115" spans="1:10" x14ac:dyDescent="0.3">
      <c r="A115" s="11"/>
      <c r="B115" s="1"/>
      <c r="C115" s="1"/>
      <c r="D115" s="12"/>
      <c r="E115" s="11"/>
      <c r="F115" s="1"/>
      <c r="G115" s="1"/>
      <c r="H115" s="1"/>
      <c r="I115" s="13"/>
      <c r="J115" s="12"/>
    </row>
    <row r="116" spans="1:10" x14ac:dyDescent="0.3">
      <c r="A116" s="30"/>
      <c r="D116" s="31"/>
      <c r="E116" s="30"/>
      <c r="H116" s="31"/>
      <c r="I116" s="9"/>
      <c r="J116" s="9"/>
    </row>
    <row r="117" spans="1:10" x14ac:dyDescent="0.3">
      <c r="A117" s="30"/>
      <c r="D117" s="43"/>
      <c r="E117" s="44" t="s">
        <v>47</v>
      </c>
      <c r="H117" s="31"/>
      <c r="I117" s="92">
        <f>+B118</f>
        <v>90000</v>
      </c>
      <c r="J117" s="92"/>
    </row>
    <row r="118" spans="1:10" x14ac:dyDescent="0.3">
      <c r="A118" s="30"/>
      <c r="B118" s="37">
        <f>+'Balance Inicial'!$A$91</f>
        <v>90000</v>
      </c>
      <c r="D118" s="43"/>
      <c r="E118" s="30" t="s">
        <v>48</v>
      </c>
      <c r="H118" s="31"/>
      <c r="I118" s="92">
        <f>+B121</f>
        <v>23595</v>
      </c>
      <c r="J118" s="92"/>
    </row>
    <row r="119" spans="1:10" x14ac:dyDescent="0.3">
      <c r="A119" s="30"/>
      <c r="D119" s="31"/>
      <c r="E119" s="30"/>
      <c r="F119" t="s">
        <v>49</v>
      </c>
      <c r="H119" s="31"/>
      <c r="I119" s="92"/>
      <c r="J119" s="92">
        <f>+I118+I117</f>
        <v>113595</v>
      </c>
    </row>
    <row r="120" spans="1:10" x14ac:dyDescent="0.3">
      <c r="A120" s="30"/>
      <c r="D120" s="31"/>
      <c r="E120" s="30"/>
      <c r="H120" s="31"/>
      <c r="I120" s="92"/>
      <c r="J120" s="92"/>
    </row>
    <row r="121" spans="1:10" x14ac:dyDescent="0.3">
      <c r="A121" s="30"/>
      <c r="B121" s="62">
        <f>+'Balance Inicial'!$A$96</f>
        <v>23595</v>
      </c>
      <c r="D121" s="31"/>
      <c r="E121" s="30"/>
      <c r="H121" s="31"/>
      <c r="I121" s="92"/>
      <c r="J121" s="92"/>
    </row>
    <row r="122" spans="1:10" x14ac:dyDescent="0.3">
      <c r="A122" s="30"/>
      <c r="D122" s="31"/>
      <c r="E122" s="30"/>
      <c r="H122" s="31"/>
      <c r="I122" s="92"/>
      <c r="J122" s="92"/>
    </row>
    <row r="123" spans="1:10" x14ac:dyDescent="0.3">
      <c r="A123" s="30"/>
      <c r="D123" s="31"/>
      <c r="E123" s="30"/>
      <c r="H123" s="31"/>
      <c r="I123" s="92"/>
      <c r="J123" s="92"/>
    </row>
    <row r="124" spans="1:10" x14ac:dyDescent="0.3">
      <c r="A124" s="30"/>
      <c r="D124" s="31"/>
      <c r="E124" s="30"/>
      <c r="H124" s="31"/>
      <c r="I124" s="92"/>
      <c r="J124" s="92"/>
    </row>
    <row r="125" spans="1:10" x14ac:dyDescent="0.3">
      <c r="A125" s="30"/>
      <c r="D125" s="31"/>
      <c r="E125" s="30"/>
      <c r="H125" s="31"/>
      <c r="I125" s="92"/>
      <c r="J125" s="92"/>
    </row>
    <row r="126" spans="1:10" x14ac:dyDescent="0.3">
      <c r="A126" s="30"/>
      <c r="B126" s="138">
        <f>+'Balance Inicial'!$A$88</f>
        <v>19500</v>
      </c>
      <c r="D126" s="31"/>
      <c r="E126" s="30" t="s">
        <v>50</v>
      </c>
      <c r="H126" s="31"/>
      <c r="I126" s="92">
        <f>+B126</f>
        <v>19500</v>
      </c>
      <c r="J126" s="92"/>
    </row>
    <row r="127" spans="1:10" x14ac:dyDescent="0.3">
      <c r="A127" s="30"/>
      <c r="D127" s="31" t="s">
        <v>46</v>
      </c>
      <c r="E127" s="30"/>
      <c r="F127" t="s">
        <v>152</v>
      </c>
      <c r="H127" s="31"/>
      <c r="I127" s="92"/>
      <c r="J127" s="92">
        <f>+I126</f>
        <v>19500</v>
      </c>
    </row>
    <row r="128" spans="1:10" x14ac:dyDescent="0.3">
      <c r="A128" s="30"/>
      <c r="D128" s="31"/>
      <c r="E128" s="30"/>
      <c r="H128" s="31"/>
      <c r="I128" s="9"/>
      <c r="J128" s="9"/>
    </row>
    <row r="129" spans="1:10" x14ac:dyDescent="0.3">
      <c r="A129" s="30"/>
      <c r="D129" s="31"/>
      <c r="E129" s="30"/>
      <c r="H129" s="31"/>
      <c r="I129" s="9"/>
      <c r="J129" s="9"/>
    </row>
    <row r="130" spans="1:10" ht="15.75" x14ac:dyDescent="0.35">
      <c r="A130" s="115"/>
      <c r="D130" s="31"/>
      <c r="E130" s="30"/>
      <c r="H130" s="31"/>
      <c r="I130" s="9"/>
      <c r="J130" s="9"/>
    </row>
    <row r="131" spans="1:10" x14ac:dyDescent="0.3">
      <c r="A131" s="30"/>
      <c r="D131" s="31"/>
      <c r="E131" s="103" t="s">
        <v>154</v>
      </c>
      <c r="H131" s="31"/>
      <c r="I131" s="92">
        <f>+C133</f>
        <v>7199.5</v>
      </c>
      <c r="J131" s="9"/>
    </row>
    <row r="132" spans="1:10" x14ac:dyDescent="0.3">
      <c r="A132" s="30"/>
      <c r="D132" s="31"/>
      <c r="E132" s="30"/>
      <c r="F132" s="22" t="s">
        <v>71</v>
      </c>
      <c r="H132" s="31"/>
      <c r="I132" s="9"/>
      <c r="J132" s="92">
        <f>+B133</f>
        <v>5950</v>
      </c>
    </row>
    <row r="133" spans="1:10" x14ac:dyDescent="0.3">
      <c r="A133" s="116" t="s">
        <v>35</v>
      </c>
      <c r="B133" s="137">
        <f>+E31</f>
        <v>5950</v>
      </c>
      <c r="C133" s="62">
        <f>+E31*1.21</f>
        <v>7199.5</v>
      </c>
      <c r="D133" s="31"/>
      <c r="E133" s="30"/>
      <c r="F133" s="22" t="s">
        <v>95</v>
      </c>
      <c r="H133" s="31"/>
      <c r="I133" s="9"/>
      <c r="J133" s="57">
        <f>+B136</f>
        <v>1249.5</v>
      </c>
    </row>
    <row r="134" spans="1:10" x14ac:dyDescent="0.3">
      <c r="A134" s="11"/>
      <c r="B134" s="1"/>
      <c r="C134" s="1"/>
      <c r="D134" s="12"/>
      <c r="E134" s="15"/>
      <c r="F134" s="1"/>
      <c r="G134" s="1"/>
      <c r="H134" s="1"/>
      <c r="I134" s="58">
        <f t="shared" ref="I134:J134" si="0">SUM(I131:I133)</f>
        <v>7199.5</v>
      </c>
      <c r="J134" s="71">
        <f t="shared" si="0"/>
        <v>7199.5</v>
      </c>
    </row>
    <row r="135" spans="1:10" x14ac:dyDescent="0.3">
      <c r="A135" s="11"/>
      <c r="B135" s="1"/>
      <c r="C135" s="1"/>
      <c r="D135" s="12"/>
      <c r="E135" s="15"/>
      <c r="F135" s="1"/>
      <c r="G135" s="1"/>
      <c r="H135" s="1"/>
      <c r="I135" s="57"/>
      <c r="J135" s="56"/>
    </row>
    <row r="136" spans="1:10" x14ac:dyDescent="0.3">
      <c r="A136" s="11"/>
      <c r="B136" s="53">
        <f>+B133*0.21</f>
        <v>1249.5</v>
      </c>
      <c r="C136" s="1"/>
      <c r="D136" s="12"/>
      <c r="E136" s="15"/>
      <c r="F136" s="1"/>
      <c r="G136" s="1"/>
      <c r="H136" s="1"/>
      <c r="I136" s="57"/>
      <c r="J136" s="56"/>
    </row>
    <row r="137" spans="1:10" x14ac:dyDescent="0.3">
      <c r="A137" s="11"/>
      <c r="B137" s="1"/>
      <c r="C137" s="1"/>
      <c r="D137" s="12"/>
      <c r="E137" s="15"/>
      <c r="F137" s="1"/>
      <c r="G137" s="1"/>
      <c r="H137" s="1"/>
      <c r="I137" s="57"/>
      <c r="J137" s="56"/>
    </row>
    <row r="138" spans="1:10" x14ac:dyDescent="0.3">
      <c r="A138" s="11"/>
      <c r="B138" s="1"/>
      <c r="C138" s="1"/>
      <c r="D138" s="12"/>
      <c r="E138" s="15"/>
      <c r="F138" s="1"/>
      <c r="G138" s="1"/>
      <c r="H138" s="1"/>
      <c r="I138" s="57"/>
      <c r="J138" s="56"/>
    </row>
    <row r="139" spans="1:10" x14ac:dyDescent="0.3">
      <c r="A139" s="11"/>
      <c r="B139" s="1"/>
      <c r="C139" s="1"/>
      <c r="D139" s="12"/>
      <c r="E139" s="15"/>
      <c r="F139" s="1"/>
      <c r="G139" s="1"/>
      <c r="H139" s="1"/>
      <c r="I139" s="57"/>
      <c r="J139" s="56"/>
    </row>
    <row r="140" spans="1:10" ht="15.75" x14ac:dyDescent="0.35">
      <c r="A140" s="115"/>
      <c r="D140" s="31"/>
      <c r="E140" s="30"/>
      <c r="H140" s="31"/>
      <c r="I140" s="9"/>
      <c r="J140" s="9"/>
    </row>
    <row r="141" spans="1:10" x14ac:dyDescent="0.3">
      <c r="A141" s="30"/>
      <c r="D141" s="31"/>
      <c r="E141" s="103" t="s">
        <v>155</v>
      </c>
      <c r="H141" s="31"/>
      <c r="I141" s="92">
        <f>+B143</f>
        <v>910</v>
      </c>
      <c r="J141" s="92"/>
    </row>
    <row r="142" spans="1:10" x14ac:dyDescent="0.3">
      <c r="A142" s="30"/>
      <c r="D142" s="31"/>
      <c r="E142" s="30"/>
      <c r="F142" s="22" t="s">
        <v>71</v>
      </c>
      <c r="H142" s="31"/>
      <c r="I142" s="92"/>
      <c r="J142" s="92">
        <f>+I141</f>
        <v>910</v>
      </c>
    </row>
    <row r="143" spans="1:10" x14ac:dyDescent="0.3">
      <c r="A143" s="116" t="s">
        <v>35</v>
      </c>
      <c r="B143" s="137">
        <f>+B39/30*(31-17)</f>
        <v>910</v>
      </c>
      <c r="D143" s="31"/>
      <c r="E143" s="30"/>
      <c r="H143" s="31"/>
      <c r="I143" s="92"/>
      <c r="J143" s="92"/>
    </row>
    <row r="144" spans="1:10" x14ac:dyDescent="0.3">
      <c r="A144" s="11"/>
      <c r="B144" s="1"/>
      <c r="C144" s="1"/>
      <c r="D144" s="12"/>
      <c r="E144" s="15"/>
      <c r="F144" s="1"/>
      <c r="G144" s="1"/>
      <c r="H144" s="1"/>
      <c r="I144" s="57"/>
      <c r="J144" s="56"/>
    </row>
    <row r="145" spans="1:12" x14ac:dyDescent="0.3">
      <c r="A145" s="11"/>
      <c r="B145" s="1"/>
      <c r="C145" s="1"/>
      <c r="D145" s="12"/>
      <c r="E145" s="15"/>
      <c r="F145" s="1"/>
      <c r="G145" s="1"/>
      <c r="H145" s="1"/>
      <c r="I145" s="57"/>
      <c r="J145" s="56"/>
    </row>
    <row r="146" spans="1:12" x14ac:dyDescent="0.3">
      <c r="A146" s="11"/>
      <c r="B146" s="1"/>
      <c r="C146" s="1"/>
      <c r="D146" s="12"/>
      <c r="E146" s="15"/>
      <c r="F146" s="1"/>
      <c r="G146" s="1"/>
      <c r="H146" s="1"/>
      <c r="I146" s="57"/>
      <c r="J146" s="56"/>
    </row>
    <row r="147" spans="1:12" x14ac:dyDescent="0.3">
      <c r="A147" s="11"/>
      <c r="B147" s="1"/>
      <c r="C147" s="1"/>
      <c r="D147" s="12"/>
      <c r="E147" s="15"/>
      <c r="F147" s="1"/>
      <c r="G147" s="1"/>
      <c r="H147" s="1"/>
      <c r="I147" s="57"/>
      <c r="J147" s="56"/>
    </row>
    <row r="148" spans="1:12" x14ac:dyDescent="0.3">
      <c r="A148" s="11"/>
      <c r="B148" s="1"/>
      <c r="C148" s="1"/>
      <c r="D148" s="12"/>
      <c r="E148" s="15" t="s">
        <v>40</v>
      </c>
      <c r="F148" s="1"/>
      <c r="G148" s="1"/>
      <c r="H148" s="1"/>
      <c r="I148" s="57">
        <f>+B149</f>
        <v>17025</v>
      </c>
      <c r="J148" s="56"/>
    </row>
    <row r="149" spans="1:12" x14ac:dyDescent="0.3">
      <c r="A149" s="11"/>
      <c r="B149" s="55">
        <f>+'Balance Inicial'!F118-'Libro Diario'!B89/(5*12)</f>
        <v>17025</v>
      </c>
      <c r="C149" s="21" t="s">
        <v>73</v>
      </c>
      <c r="D149" s="12"/>
      <c r="E149" s="15"/>
      <c r="F149" s="1" t="s">
        <v>25</v>
      </c>
      <c r="G149" s="1"/>
      <c r="H149" s="1"/>
      <c r="I149" s="57"/>
      <c r="J149" s="56">
        <f>+B149</f>
        <v>17025</v>
      </c>
    </row>
    <row r="150" spans="1:12" x14ac:dyDescent="0.3">
      <c r="A150" s="11"/>
      <c r="B150" s="1"/>
      <c r="C150" s="7"/>
      <c r="D150" s="12"/>
      <c r="E150" s="11"/>
      <c r="F150" s="3"/>
      <c r="G150" s="1"/>
      <c r="H150" s="1"/>
      <c r="I150" s="13"/>
      <c r="J150" s="12"/>
    </row>
    <row r="151" spans="1:12" x14ac:dyDescent="0.3">
      <c r="A151" s="11"/>
      <c r="B151" s="1"/>
      <c r="C151" s="1"/>
      <c r="D151" s="12"/>
      <c r="E151" s="11"/>
      <c r="H151" s="31"/>
      <c r="I151" s="9"/>
      <c r="J151" s="9"/>
    </row>
    <row r="152" spans="1:12" x14ac:dyDescent="0.3">
      <c r="A152" s="11"/>
      <c r="B152" s="1"/>
      <c r="C152" s="1"/>
      <c r="D152" s="1"/>
      <c r="E152" s="1"/>
      <c r="J152" s="31"/>
    </row>
    <row r="153" spans="1:12" ht="17.25" x14ac:dyDescent="0.35">
      <c r="A153" s="122" t="s">
        <v>101</v>
      </c>
      <c r="B153" s="162">
        <f>+B143+B133+C86+B61+C53+B27</f>
        <v>1738860</v>
      </c>
      <c r="C153" s="78"/>
      <c r="D153" s="78"/>
      <c r="E153" s="78"/>
      <c r="F153" s="78"/>
      <c r="G153" s="119"/>
      <c r="H153" s="118"/>
      <c r="I153" s="118"/>
      <c r="J153" s="120"/>
      <c r="K153" s="35"/>
      <c r="L153" s="29"/>
    </row>
    <row r="154" spans="1:12" ht="17.25" x14ac:dyDescent="0.35">
      <c r="A154" s="91" t="s">
        <v>102</v>
      </c>
      <c r="B154" s="163">
        <f>+B149+B126+C111+C106+C102+B24</f>
        <v>1484525</v>
      </c>
      <c r="C154" s="80"/>
      <c r="D154" s="80"/>
      <c r="E154" s="80"/>
      <c r="F154" s="80"/>
      <c r="G154" s="121"/>
      <c r="H154" s="76"/>
      <c r="I154" s="76"/>
      <c r="J154" s="77"/>
      <c r="K154" s="9"/>
      <c r="L154" s="31"/>
    </row>
    <row r="155" spans="1:12" ht="16.5" x14ac:dyDescent="0.3">
      <c r="A155" s="82"/>
      <c r="B155" s="80"/>
      <c r="C155" s="146">
        <f>+(B153-B154)*0.3</f>
        <v>76300.5</v>
      </c>
      <c r="D155" s="80"/>
      <c r="E155" s="80"/>
      <c r="F155" s="80"/>
      <c r="G155" s="121"/>
      <c r="H155" s="76"/>
      <c r="I155" s="76"/>
      <c r="J155" s="77"/>
      <c r="K155" s="9"/>
      <c r="L155" s="31"/>
    </row>
    <row r="156" spans="1:12" ht="16.5" x14ac:dyDescent="0.3">
      <c r="A156" s="82"/>
      <c r="B156" s="80"/>
      <c r="C156" s="80"/>
      <c r="D156" s="80"/>
      <c r="E156" s="80"/>
      <c r="F156" s="80"/>
      <c r="G156" s="121"/>
      <c r="H156" s="76"/>
      <c r="I156" s="76"/>
      <c r="J156" s="77"/>
      <c r="K156" s="9"/>
      <c r="L156" s="31"/>
    </row>
    <row r="157" spans="1:12" ht="16.5" x14ac:dyDescent="0.3">
      <c r="A157" s="87"/>
      <c r="B157" s="139" t="s">
        <v>74</v>
      </c>
      <c r="C157" s="88"/>
      <c r="D157" s="88"/>
      <c r="E157" s="88"/>
      <c r="F157" s="88"/>
      <c r="G157" s="140"/>
      <c r="H157" s="141"/>
      <c r="I157" s="141"/>
      <c r="J157" s="142"/>
      <c r="K157" s="10"/>
      <c r="L157" s="34"/>
    </row>
    <row r="158" spans="1:12" ht="16.5" x14ac:dyDescent="0.3">
      <c r="A158" s="166" t="s">
        <v>51</v>
      </c>
      <c r="B158" s="167"/>
      <c r="C158" s="167"/>
      <c r="D158" s="167"/>
      <c r="E158" s="167"/>
      <c r="F158" s="167"/>
      <c r="G158" s="167"/>
      <c r="H158" s="167"/>
      <c r="I158" s="167"/>
      <c r="J158" s="167"/>
      <c r="K158" s="167"/>
      <c r="L158" s="168"/>
    </row>
    <row r="159" spans="1:12" ht="15.75" x14ac:dyDescent="0.3">
      <c r="A159" s="84" t="s">
        <v>52</v>
      </c>
      <c r="B159" s="78"/>
      <c r="C159" s="78"/>
      <c r="D159" s="78"/>
      <c r="E159" s="78"/>
      <c r="F159" s="79"/>
      <c r="K159" s="9"/>
      <c r="L159" s="9"/>
    </row>
    <row r="160" spans="1:12" x14ac:dyDescent="0.3">
      <c r="A160" s="82" t="s">
        <v>53</v>
      </c>
      <c r="B160" s="80"/>
      <c r="C160" s="80"/>
      <c r="D160" s="80"/>
      <c r="E160" s="80"/>
      <c r="F160" s="81">
        <f>+B24</f>
        <v>85000</v>
      </c>
      <c r="G160" s="82" t="s">
        <v>27</v>
      </c>
      <c r="H160" s="80"/>
      <c r="K160" s="83">
        <f>+SUM(L161:L167)</f>
        <v>1560825.5</v>
      </c>
      <c r="L160" s="9"/>
    </row>
    <row r="161" spans="1:12" x14ac:dyDescent="0.3">
      <c r="A161" s="82"/>
      <c r="B161" s="80"/>
      <c r="C161" s="80"/>
      <c r="D161" s="80"/>
      <c r="E161" s="80"/>
      <c r="F161" s="81"/>
      <c r="G161" s="82"/>
      <c r="H161" s="149" t="s">
        <v>106</v>
      </c>
      <c r="K161" s="9"/>
      <c r="L161" s="83">
        <f>+F160</f>
        <v>85000</v>
      </c>
    </row>
    <row r="162" spans="1:12" x14ac:dyDescent="0.3">
      <c r="A162" s="148"/>
      <c r="B162" s="80"/>
      <c r="C162" s="80"/>
      <c r="D162" s="80"/>
      <c r="E162" s="80"/>
      <c r="F162" s="81"/>
      <c r="G162" s="82"/>
      <c r="H162" s="150" t="s">
        <v>107</v>
      </c>
      <c r="K162" s="9"/>
      <c r="L162" s="83">
        <f>+F164</f>
        <v>780000</v>
      </c>
    </row>
    <row r="163" spans="1:12" x14ac:dyDescent="0.3">
      <c r="A163" s="82"/>
      <c r="B163" s="80"/>
      <c r="C163" s="80"/>
      <c r="D163" s="80"/>
      <c r="E163" s="80"/>
      <c r="F163" s="81"/>
      <c r="G163" s="82"/>
      <c r="H163" s="150" t="s">
        <v>108</v>
      </c>
      <c r="K163" s="9"/>
      <c r="L163" s="83">
        <f>+F166</f>
        <v>468000</v>
      </c>
    </row>
    <row r="164" spans="1:12" x14ac:dyDescent="0.3">
      <c r="A164" s="91" t="s">
        <v>22</v>
      </c>
      <c r="B164" s="80"/>
      <c r="C164" s="80"/>
      <c r="D164" s="80"/>
      <c r="E164" s="80"/>
      <c r="F164" s="81">
        <f>+C102</f>
        <v>780000</v>
      </c>
      <c r="G164" s="82"/>
      <c r="H164" s="150" t="s">
        <v>109</v>
      </c>
      <c r="K164" s="9"/>
      <c r="L164" s="83">
        <f>+F168</f>
        <v>115000</v>
      </c>
    </row>
    <row r="165" spans="1:12" x14ac:dyDescent="0.3">
      <c r="A165" s="82"/>
      <c r="B165" s="80"/>
      <c r="C165" s="80"/>
      <c r="D165" s="80"/>
      <c r="E165" s="80"/>
      <c r="F165" s="81"/>
      <c r="G165" s="82"/>
      <c r="H165" s="150" t="s">
        <v>110</v>
      </c>
      <c r="K165" s="9"/>
      <c r="L165" s="83">
        <f>+F170</f>
        <v>19500</v>
      </c>
    </row>
    <row r="166" spans="1:12" x14ac:dyDescent="0.3">
      <c r="A166" s="91" t="s">
        <v>103</v>
      </c>
      <c r="B166" s="80"/>
      <c r="C166" s="80"/>
      <c r="D166" s="80"/>
      <c r="E166" s="80"/>
      <c r="F166" s="81">
        <f>+C106</f>
        <v>468000</v>
      </c>
      <c r="G166" s="82"/>
      <c r="H166" s="149" t="s">
        <v>111</v>
      </c>
      <c r="K166" s="9"/>
      <c r="L166" s="83">
        <f>+F172</f>
        <v>17025</v>
      </c>
    </row>
    <row r="167" spans="1:12" ht="15.75" x14ac:dyDescent="0.3">
      <c r="A167" s="82"/>
      <c r="B167" s="80"/>
      <c r="C167" s="80"/>
      <c r="D167" s="80"/>
      <c r="E167" s="85" t="s">
        <v>26</v>
      </c>
      <c r="F167" s="81"/>
      <c r="G167" s="82"/>
      <c r="H167" s="151" t="s">
        <v>112</v>
      </c>
      <c r="K167" s="9"/>
      <c r="L167" s="83">
        <f>+F174</f>
        <v>76300.5</v>
      </c>
    </row>
    <row r="168" spans="1:12" x14ac:dyDescent="0.3">
      <c r="A168" s="91" t="s">
        <v>85</v>
      </c>
      <c r="B168" s="80"/>
      <c r="C168" s="80"/>
      <c r="D168" s="80"/>
      <c r="E168" s="80"/>
      <c r="F168" s="81">
        <f>+C111</f>
        <v>115000</v>
      </c>
      <c r="G168" s="82"/>
      <c r="K168" s="9"/>
      <c r="L168" s="9"/>
    </row>
    <row r="169" spans="1:12" x14ac:dyDescent="0.3">
      <c r="A169" s="82"/>
      <c r="B169" s="80"/>
      <c r="C169" s="80"/>
      <c r="D169" s="80"/>
      <c r="E169" s="80"/>
      <c r="F169" s="81"/>
      <c r="G169" s="82"/>
      <c r="H169" s="80"/>
      <c r="K169" s="9"/>
      <c r="L169" s="9"/>
    </row>
    <row r="170" spans="1:12" x14ac:dyDescent="0.3">
      <c r="A170" s="91" t="s">
        <v>104</v>
      </c>
      <c r="B170" s="80"/>
      <c r="C170" s="80"/>
      <c r="D170" s="80"/>
      <c r="E170" s="80"/>
      <c r="F170" s="81">
        <f>+B126</f>
        <v>19500</v>
      </c>
      <c r="G170" s="82"/>
      <c r="H170" s="80"/>
      <c r="K170" s="9"/>
      <c r="L170" s="9"/>
    </row>
    <row r="171" spans="1:12" x14ac:dyDescent="0.3">
      <c r="A171" s="82"/>
      <c r="B171" s="80"/>
      <c r="C171" s="80"/>
      <c r="D171" s="80"/>
      <c r="E171" s="80"/>
      <c r="F171" s="81"/>
      <c r="G171" s="82"/>
      <c r="H171" s="80"/>
      <c r="K171" s="9"/>
      <c r="L171" s="9"/>
    </row>
    <row r="172" spans="1:12" x14ac:dyDescent="0.3">
      <c r="A172" s="91" t="s">
        <v>105</v>
      </c>
      <c r="B172" s="80"/>
      <c r="C172" s="80"/>
      <c r="D172" s="80"/>
      <c r="E172" s="80"/>
      <c r="F172" s="81">
        <f>+B149</f>
        <v>17025</v>
      </c>
      <c r="G172" s="82"/>
      <c r="H172" s="80"/>
      <c r="K172" s="9"/>
      <c r="L172" s="9"/>
    </row>
    <row r="173" spans="1:12" x14ac:dyDescent="0.3">
      <c r="A173" s="82"/>
      <c r="B173" s="80"/>
      <c r="C173" s="80"/>
      <c r="D173" s="80"/>
      <c r="E173" s="80"/>
      <c r="F173" s="81"/>
      <c r="G173" s="82"/>
      <c r="H173" s="80"/>
      <c r="K173" s="9"/>
      <c r="L173" s="9"/>
    </row>
    <row r="174" spans="1:12" x14ac:dyDescent="0.3">
      <c r="A174" s="91" t="s">
        <v>74</v>
      </c>
      <c r="B174" s="80"/>
      <c r="C174" s="80"/>
      <c r="D174" s="80"/>
      <c r="E174" s="80"/>
      <c r="F174" s="81">
        <f>+C155</f>
        <v>76300.5</v>
      </c>
      <c r="G174" s="82"/>
      <c r="H174" s="80"/>
      <c r="K174" s="9"/>
      <c r="L174" s="9"/>
    </row>
    <row r="175" spans="1:12" ht="15.75" x14ac:dyDescent="0.3">
      <c r="A175" s="86" t="s">
        <v>54</v>
      </c>
      <c r="B175" s="80"/>
      <c r="C175" s="80"/>
      <c r="D175" s="80"/>
      <c r="E175" s="80"/>
      <c r="F175" s="81"/>
      <c r="G175" s="82"/>
      <c r="H175" s="80"/>
      <c r="K175" s="9"/>
      <c r="L175" s="9"/>
    </row>
    <row r="176" spans="1:12" x14ac:dyDescent="0.3">
      <c r="A176" s="91" t="s">
        <v>20</v>
      </c>
      <c r="B176" s="80"/>
      <c r="C176" s="80"/>
      <c r="D176" s="80"/>
      <c r="E176" s="80"/>
      <c r="F176" s="90">
        <f>+B27</f>
        <v>1700000</v>
      </c>
      <c r="G176" s="91" t="s">
        <v>55</v>
      </c>
      <c r="H176" s="80"/>
      <c r="K176" s="83">
        <f>+F176</f>
        <v>1700000</v>
      </c>
      <c r="L176" s="9"/>
    </row>
    <row r="177" spans="1:12" x14ac:dyDescent="0.3">
      <c r="A177" s="82"/>
      <c r="B177" s="80"/>
      <c r="C177" s="80"/>
      <c r="D177" s="80"/>
      <c r="E177" s="80"/>
      <c r="F177" s="81"/>
      <c r="G177" s="91" t="s">
        <v>117</v>
      </c>
      <c r="H177" s="80"/>
      <c r="K177" s="83">
        <f>+F178</f>
        <v>14000</v>
      </c>
      <c r="L177" s="9"/>
    </row>
    <row r="178" spans="1:12" ht="15.75" x14ac:dyDescent="0.35">
      <c r="A178" s="147" t="s">
        <v>113</v>
      </c>
      <c r="B178" s="80"/>
      <c r="C178" s="80"/>
      <c r="D178" s="80"/>
      <c r="E178" s="80"/>
      <c r="F178" s="81">
        <f>+C53</f>
        <v>14000</v>
      </c>
      <c r="G178" s="91" t="s">
        <v>118</v>
      </c>
      <c r="H178" s="80"/>
      <c r="K178" s="83">
        <f>+F180</f>
        <v>6000</v>
      </c>
      <c r="L178" s="9"/>
    </row>
    <row r="179" spans="1:12" x14ac:dyDescent="0.3">
      <c r="A179" s="82"/>
      <c r="B179" s="80"/>
      <c r="C179" s="80"/>
      <c r="D179" s="80"/>
      <c r="E179" s="80"/>
      <c r="F179" s="81"/>
      <c r="G179" s="91" t="s">
        <v>119</v>
      </c>
      <c r="H179" s="80"/>
      <c r="K179" s="83">
        <f>+F182</f>
        <v>12000</v>
      </c>
      <c r="L179" s="9"/>
    </row>
    <row r="180" spans="1:12" ht="15.75" x14ac:dyDescent="0.3">
      <c r="A180" s="148" t="s">
        <v>114</v>
      </c>
      <c r="B180" s="80"/>
      <c r="C180" s="80"/>
      <c r="D180" s="80"/>
      <c r="E180" s="85" t="s">
        <v>26</v>
      </c>
      <c r="F180" s="81">
        <f>+B61</f>
        <v>6000</v>
      </c>
      <c r="G180" s="91" t="s">
        <v>56</v>
      </c>
      <c r="H180" s="80"/>
      <c r="K180" s="83">
        <f>+F184</f>
        <v>6860</v>
      </c>
      <c r="L180" s="9"/>
    </row>
    <row r="181" spans="1:12" x14ac:dyDescent="0.3">
      <c r="A181" s="82"/>
      <c r="B181" s="80"/>
      <c r="C181" s="80"/>
      <c r="D181" s="80"/>
      <c r="E181" s="80"/>
      <c r="F181" s="81"/>
      <c r="G181" s="82"/>
      <c r="H181" s="80" t="s">
        <v>28</v>
      </c>
      <c r="K181" s="9"/>
      <c r="L181" s="83">
        <f>+SUM(K176:K180)</f>
        <v>1738860</v>
      </c>
    </row>
    <row r="182" spans="1:12" x14ac:dyDescent="0.3">
      <c r="A182" s="82"/>
      <c r="B182" s="80"/>
      <c r="C182" s="80"/>
      <c r="D182" s="80"/>
      <c r="E182" s="80"/>
      <c r="F182" s="81">
        <f>+C86</f>
        <v>12000</v>
      </c>
      <c r="G182" s="82"/>
      <c r="H182" s="80"/>
      <c r="K182" s="9"/>
      <c r="L182" s="9"/>
    </row>
    <row r="183" spans="1:12" x14ac:dyDescent="0.3">
      <c r="A183" s="148" t="s">
        <v>115</v>
      </c>
      <c r="B183" s="80"/>
      <c r="C183" s="80"/>
      <c r="D183" s="80"/>
      <c r="E183" s="80"/>
      <c r="F183" s="81"/>
      <c r="G183" s="82"/>
      <c r="H183" s="80"/>
      <c r="K183" s="9"/>
      <c r="L183" s="9"/>
    </row>
    <row r="184" spans="1:12" x14ac:dyDescent="0.3">
      <c r="A184" s="82"/>
      <c r="B184" s="80"/>
      <c r="C184" s="123"/>
      <c r="D184" s="80"/>
      <c r="E184" s="80"/>
      <c r="F184" s="81">
        <f>+B133+B143</f>
        <v>6860</v>
      </c>
      <c r="G184" s="82"/>
      <c r="H184" s="80"/>
      <c r="K184" s="9"/>
      <c r="L184" s="9"/>
    </row>
    <row r="185" spans="1:12" x14ac:dyDescent="0.3">
      <c r="A185" s="82"/>
      <c r="B185" s="80"/>
      <c r="C185" s="123" t="s">
        <v>116</v>
      </c>
      <c r="D185" s="80"/>
      <c r="E185" s="80"/>
      <c r="F185" s="81"/>
      <c r="G185" s="82"/>
      <c r="H185" s="80"/>
      <c r="K185" s="9"/>
      <c r="L185" s="9"/>
    </row>
    <row r="186" spans="1:12" x14ac:dyDescent="0.3">
      <c r="A186" s="82"/>
      <c r="B186" s="80"/>
      <c r="C186" s="80"/>
      <c r="D186" s="80"/>
      <c r="E186" s="80"/>
      <c r="F186" s="81"/>
      <c r="G186" s="82"/>
      <c r="H186" s="80"/>
      <c r="K186" s="9"/>
      <c r="L186" s="9"/>
    </row>
    <row r="187" spans="1:12" x14ac:dyDescent="0.3">
      <c r="A187" s="82"/>
      <c r="B187" s="80"/>
      <c r="C187" s="80"/>
      <c r="D187" s="80"/>
      <c r="E187" s="80"/>
      <c r="F187" s="81"/>
      <c r="G187" s="91" t="s">
        <v>27</v>
      </c>
      <c r="H187" s="80"/>
      <c r="K187" s="83">
        <f>+C188</f>
        <v>178034.5</v>
      </c>
      <c r="L187" s="9"/>
    </row>
    <row r="188" spans="1:12" x14ac:dyDescent="0.3">
      <c r="A188" s="82"/>
      <c r="B188" s="80"/>
      <c r="C188" s="80">
        <f>+L181-K160</f>
        <v>178034.5</v>
      </c>
      <c r="D188" s="80"/>
      <c r="E188" s="80"/>
      <c r="F188" s="81"/>
      <c r="G188" s="82"/>
      <c r="H188" s="123" t="s">
        <v>120</v>
      </c>
      <c r="K188" s="9"/>
      <c r="L188" s="83">
        <f>+C188</f>
        <v>178034.5</v>
      </c>
    </row>
    <row r="189" spans="1:12" ht="15.75" x14ac:dyDescent="0.3">
      <c r="A189" s="82"/>
      <c r="B189" s="85" t="s">
        <v>26</v>
      </c>
      <c r="C189" s="80"/>
      <c r="D189" s="80"/>
      <c r="E189" s="80"/>
      <c r="F189" s="81"/>
      <c r="G189" s="82"/>
      <c r="H189" s="80"/>
      <c r="K189" s="9"/>
      <c r="L189" s="9"/>
    </row>
    <row r="190" spans="1:12" x14ac:dyDescent="0.3">
      <c r="A190" s="82"/>
      <c r="B190" s="80"/>
      <c r="C190" s="80"/>
      <c r="D190" s="80"/>
      <c r="E190" s="80"/>
      <c r="F190" s="81"/>
      <c r="G190" s="82"/>
      <c r="H190" s="80"/>
      <c r="K190" s="9"/>
      <c r="L190" s="9"/>
    </row>
    <row r="191" spans="1:12" x14ac:dyDescent="0.3">
      <c r="A191" s="82"/>
      <c r="B191" s="80"/>
      <c r="C191" s="80"/>
      <c r="D191" s="80"/>
      <c r="E191" s="80"/>
      <c r="F191" s="81"/>
      <c r="G191" s="82"/>
      <c r="H191" s="80"/>
      <c r="K191" s="9"/>
      <c r="L191" s="9"/>
    </row>
    <row r="192" spans="1:12" x14ac:dyDescent="0.3">
      <c r="A192" s="82"/>
      <c r="B192" s="80"/>
      <c r="C192" s="80"/>
      <c r="D192" s="80"/>
      <c r="E192" s="80"/>
      <c r="F192" s="81"/>
      <c r="G192" s="82"/>
      <c r="H192" s="80"/>
      <c r="K192" s="9"/>
      <c r="L192" s="9"/>
    </row>
    <row r="193" spans="1:12" x14ac:dyDescent="0.3">
      <c r="A193" s="87"/>
      <c r="B193" s="88"/>
      <c r="C193" s="88"/>
      <c r="D193" s="88"/>
      <c r="E193" s="88"/>
      <c r="F193" s="89"/>
      <c r="G193" s="87"/>
      <c r="H193" s="88"/>
      <c r="I193" s="33"/>
      <c r="J193" s="34"/>
      <c r="K193" s="10"/>
      <c r="L193" s="10"/>
    </row>
  </sheetData>
  <mergeCells count="8">
    <mergeCell ref="A158:L158"/>
    <mergeCell ref="A95:J95"/>
    <mergeCell ref="A78:J78"/>
    <mergeCell ref="C83:D83"/>
    <mergeCell ref="A1:D1"/>
    <mergeCell ref="E1:J1"/>
    <mergeCell ref="A2:D2"/>
    <mergeCell ref="E2:J2"/>
  </mergeCells>
  <phoneticPr fontId="4" type="noConversion"/>
  <printOptions horizontalCentered="1"/>
  <pageMargins left="0" right="0" top="0.39370078740157483" bottom="0.39370078740157483" header="0" footer="0"/>
  <pageSetup paperSize="9" scale="29" orientation="portrait" r:id="rId1"/>
  <headerFooter alignWithMargins="0">
    <oddFooter>&amp;RPág. &amp;P</oddFooter>
  </headerFooter>
  <rowBreaks count="1" manualBreakCount="1">
    <brk id="77" max="16383" man="1"/>
  </rowBreaks>
  <drawing r:id="rId2"/>
  <legacyDrawing r:id="rId3"/>
  <oleObjects>
    <mc:AlternateContent xmlns:mc="http://schemas.openxmlformats.org/markup-compatibility/2006">
      <mc:Choice Requires="x14">
        <oleObject progId="Word.Document.12" shapeId="31065" r:id="rId4">
          <objectPr defaultSize="0" autoPict="0" r:id="rId5">
            <anchor moveWithCells="1">
              <from>
                <xdr:col>0</xdr:col>
                <xdr:colOff>38100</xdr:colOff>
                <xdr:row>14</xdr:row>
                <xdr:rowOff>114300</xdr:rowOff>
              </from>
              <to>
                <xdr:col>8</xdr:col>
                <xdr:colOff>533400</xdr:colOff>
                <xdr:row>17</xdr:row>
                <xdr:rowOff>76200</xdr:rowOff>
              </to>
            </anchor>
          </objectPr>
        </oleObject>
      </mc:Choice>
      <mc:Fallback>
        <oleObject progId="Word.Document.12" shapeId="31065" r:id="rId4"/>
      </mc:Fallback>
    </mc:AlternateContent>
    <mc:AlternateContent xmlns:mc="http://schemas.openxmlformats.org/markup-compatibility/2006">
      <mc:Choice Requires="x14">
        <oleObject progId="Word.Document.12" shapeId="31066" r:id="rId6">
          <objectPr defaultSize="0" autoPict="0" r:id="rId7">
            <anchor moveWithCells="1">
              <from>
                <xdr:col>0</xdr:col>
                <xdr:colOff>19050</xdr:colOff>
                <xdr:row>31</xdr:row>
                <xdr:rowOff>19050</xdr:rowOff>
              </from>
              <to>
                <xdr:col>8</xdr:col>
                <xdr:colOff>514350</xdr:colOff>
                <xdr:row>32</xdr:row>
                <xdr:rowOff>180975</xdr:rowOff>
              </to>
            </anchor>
          </objectPr>
        </oleObject>
      </mc:Choice>
      <mc:Fallback>
        <oleObject progId="Word.Document.12" shapeId="31066" r:id="rId6"/>
      </mc:Fallback>
    </mc:AlternateContent>
    <mc:AlternateContent xmlns:mc="http://schemas.openxmlformats.org/markup-compatibility/2006">
      <mc:Choice Requires="x14">
        <oleObject progId="Word.Document.12" shapeId="31067" r:id="rId8">
          <objectPr defaultSize="0" autoPict="0" r:id="rId9">
            <anchor moveWithCells="1">
              <from>
                <xdr:col>0</xdr:col>
                <xdr:colOff>19050</xdr:colOff>
                <xdr:row>42</xdr:row>
                <xdr:rowOff>19050</xdr:rowOff>
              </from>
              <to>
                <xdr:col>8</xdr:col>
                <xdr:colOff>514350</xdr:colOff>
                <xdr:row>43</xdr:row>
                <xdr:rowOff>180975</xdr:rowOff>
              </to>
            </anchor>
          </objectPr>
        </oleObject>
      </mc:Choice>
      <mc:Fallback>
        <oleObject progId="Word.Document.12" shapeId="31067" r:id="rId8"/>
      </mc:Fallback>
    </mc:AlternateContent>
    <mc:AlternateContent xmlns:mc="http://schemas.openxmlformats.org/markup-compatibility/2006">
      <mc:Choice Requires="x14">
        <oleObject progId="Word.Document.12" shapeId="31068" r:id="rId10">
          <objectPr defaultSize="0" autoPict="0" r:id="rId11">
            <anchor moveWithCells="1">
              <from>
                <xdr:col>0</xdr:col>
                <xdr:colOff>19050</xdr:colOff>
                <xdr:row>55</xdr:row>
                <xdr:rowOff>28575</xdr:rowOff>
              </from>
              <to>
                <xdr:col>8</xdr:col>
                <xdr:colOff>514350</xdr:colOff>
                <xdr:row>57</xdr:row>
                <xdr:rowOff>180975</xdr:rowOff>
              </to>
            </anchor>
          </objectPr>
        </oleObject>
      </mc:Choice>
      <mc:Fallback>
        <oleObject progId="Word.Document.12" shapeId="31068" r:id="rId10"/>
      </mc:Fallback>
    </mc:AlternateContent>
    <mc:AlternateContent xmlns:mc="http://schemas.openxmlformats.org/markup-compatibility/2006">
      <mc:Choice Requires="x14">
        <oleObject progId="Word.Document.12" shapeId="31069" r:id="rId12">
          <objectPr defaultSize="0" autoPict="0" r:id="rId13">
            <anchor moveWithCells="1">
              <from>
                <xdr:col>0</xdr:col>
                <xdr:colOff>19050</xdr:colOff>
                <xdr:row>70</xdr:row>
                <xdr:rowOff>9525</xdr:rowOff>
              </from>
              <to>
                <xdr:col>8</xdr:col>
                <xdr:colOff>514350</xdr:colOff>
                <xdr:row>71</xdr:row>
                <xdr:rowOff>171450</xdr:rowOff>
              </to>
            </anchor>
          </objectPr>
        </oleObject>
      </mc:Choice>
      <mc:Fallback>
        <oleObject progId="Word.Document.12" shapeId="31069" r:id="rId12"/>
      </mc:Fallback>
    </mc:AlternateContent>
    <mc:AlternateContent xmlns:mc="http://schemas.openxmlformats.org/markup-compatibility/2006">
      <mc:Choice Requires="x14">
        <oleObject progId="Word.Document.12" shapeId="31070" r:id="rId14">
          <objectPr defaultSize="0" autoPict="0" r:id="rId15">
            <anchor moveWithCells="1">
              <from>
                <xdr:col>0</xdr:col>
                <xdr:colOff>19050</xdr:colOff>
                <xdr:row>77</xdr:row>
                <xdr:rowOff>19050</xdr:rowOff>
              </from>
              <to>
                <xdr:col>8</xdr:col>
                <xdr:colOff>514350</xdr:colOff>
                <xdr:row>79</xdr:row>
                <xdr:rowOff>171450</xdr:rowOff>
              </to>
            </anchor>
          </objectPr>
        </oleObject>
      </mc:Choice>
      <mc:Fallback>
        <oleObject progId="Word.Document.12" shapeId="31070" r:id="rId14"/>
      </mc:Fallback>
    </mc:AlternateContent>
    <mc:AlternateContent xmlns:mc="http://schemas.openxmlformats.org/markup-compatibility/2006">
      <mc:Choice Requires="x14">
        <oleObject progId="Word.Document.12" shapeId="31071" r:id="rId16">
          <objectPr defaultSize="0" autoPict="0" r:id="rId17">
            <anchor moveWithCells="1">
              <from>
                <xdr:col>0</xdr:col>
                <xdr:colOff>19050</xdr:colOff>
                <xdr:row>94</xdr:row>
                <xdr:rowOff>19050</xdr:rowOff>
              </from>
              <to>
                <xdr:col>8</xdr:col>
                <xdr:colOff>514350</xdr:colOff>
                <xdr:row>96</xdr:row>
                <xdr:rowOff>171450</xdr:rowOff>
              </to>
            </anchor>
          </objectPr>
        </oleObject>
      </mc:Choice>
      <mc:Fallback>
        <oleObject progId="Word.Document.12" shapeId="31071" r:id="rId16"/>
      </mc:Fallback>
    </mc:AlternateContent>
    <mc:AlternateContent xmlns:mc="http://schemas.openxmlformats.org/markup-compatibility/2006">
      <mc:Choice Requires="x14">
        <oleObject progId="Word.Document.12" shapeId="31072" r:id="rId18">
          <objectPr defaultSize="0" autoPict="0" r:id="rId19">
            <anchor moveWithCells="1">
              <from>
                <xdr:col>0</xdr:col>
                <xdr:colOff>28575</xdr:colOff>
                <xdr:row>108</xdr:row>
                <xdr:rowOff>161925</xdr:rowOff>
              </from>
              <to>
                <xdr:col>8</xdr:col>
                <xdr:colOff>523875</xdr:colOff>
                <xdr:row>109</xdr:row>
                <xdr:rowOff>152400</xdr:rowOff>
              </to>
            </anchor>
          </objectPr>
        </oleObject>
      </mc:Choice>
      <mc:Fallback>
        <oleObject progId="Word.Document.12" shapeId="31072" r:id="rId18"/>
      </mc:Fallback>
    </mc:AlternateContent>
    <mc:AlternateContent xmlns:mc="http://schemas.openxmlformats.org/markup-compatibility/2006">
      <mc:Choice Requires="x14">
        <oleObject progId="Word.Document.12" shapeId="31073" r:id="rId20">
          <objectPr defaultSize="0" autoPict="0" r:id="rId21">
            <anchor moveWithCells="1">
              <from>
                <xdr:col>0</xdr:col>
                <xdr:colOff>0</xdr:colOff>
                <xdr:row>114</xdr:row>
                <xdr:rowOff>0</xdr:rowOff>
              </from>
              <to>
                <xdr:col>8</xdr:col>
                <xdr:colOff>495300</xdr:colOff>
                <xdr:row>114</xdr:row>
                <xdr:rowOff>180975</xdr:rowOff>
              </to>
            </anchor>
          </objectPr>
        </oleObject>
      </mc:Choice>
      <mc:Fallback>
        <oleObject progId="Word.Document.12" shapeId="31073" r:id="rId20"/>
      </mc:Fallback>
    </mc:AlternateContent>
    <mc:AlternateContent xmlns:mc="http://schemas.openxmlformats.org/markup-compatibility/2006">
      <mc:Choice Requires="x14">
        <oleObject progId="Word.Document.12" shapeId="31075" r:id="rId22">
          <objectPr defaultSize="0" autoPict="0" r:id="rId23">
            <anchor moveWithCells="1">
              <from>
                <xdr:col>0</xdr:col>
                <xdr:colOff>19050</xdr:colOff>
                <xdr:row>129</xdr:row>
                <xdr:rowOff>9525</xdr:rowOff>
              </from>
              <to>
                <xdr:col>8</xdr:col>
                <xdr:colOff>514350</xdr:colOff>
                <xdr:row>129</xdr:row>
                <xdr:rowOff>190500</xdr:rowOff>
              </to>
            </anchor>
          </objectPr>
        </oleObject>
      </mc:Choice>
      <mc:Fallback>
        <oleObject progId="Word.Document.12" shapeId="31075" r:id="rId22"/>
      </mc:Fallback>
    </mc:AlternateContent>
    <mc:AlternateContent xmlns:mc="http://schemas.openxmlformats.org/markup-compatibility/2006">
      <mc:Choice Requires="x14">
        <oleObject progId="Word.Document.12" shapeId="31076" r:id="rId24">
          <objectPr defaultSize="0" autoPict="0" r:id="rId25">
            <anchor moveWithCells="1">
              <from>
                <xdr:col>0</xdr:col>
                <xdr:colOff>28575</xdr:colOff>
                <xdr:row>145</xdr:row>
                <xdr:rowOff>9525</xdr:rowOff>
              </from>
              <to>
                <xdr:col>8</xdr:col>
                <xdr:colOff>523875</xdr:colOff>
                <xdr:row>146</xdr:row>
                <xdr:rowOff>0</xdr:rowOff>
              </to>
            </anchor>
          </objectPr>
        </oleObject>
      </mc:Choice>
      <mc:Fallback>
        <oleObject progId="Word.Document.12" shapeId="31076" r:id="rId24"/>
      </mc:Fallback>
    </mc:AlternateContent>
    <mc:AlternateContent xmlns:mc="http://schemas.openxmlformats.org/markup-compatibility/2006">
      <mc:Choice Requires="x14">
        <oleObject progId="Word.Document.12" shapeId="31077" r:id="rId26">
          <objectPr defaultSize="0" autoPict="0" r:id="rId27">
            <anchor moveWithCells="1">
              <from>
                <xdr:col>0</xdr:col>
                <xdr:colOff>47625</xdr:colOff>
                <xdr:row>151</xdr:row>
                <xdr:rowOff>9525</xdr:rowOff>
              </from>
              <to>
                <xdr:col>8</xdr:col>
                <xdr:colOff>542925</xdr:colOff>
                <xdr:row>152</xdr:row>
                <xdr:rowOff>0</xdr:rowOff>
              </to>
            </anchor>
          </objectPr>
        </oleObject>
      </mc:Choice>
      <mc:Fallback>
        <oleObject progId="Word.Document.12" shapeId="31077" r:id="rId26"/>
      </mc:Fallback>
    </mc:AlternateContent>
    <mc:AlternateContent xmlns:mc="http://schemas.openxmlformats.org/markup-compatibility/2006">
      <mc:Choice Requires="x14">
        <oleObject progId="Word.Document.12" shapeId="31064" r:id="rId28">
          <objectPr defaultSize="0" autoPict="0" r:id="rId29">
            <anchor moveWithCells="1">
              <from>
                <xdr:col>0</xdr:col>
                <xdr:colOff>28575</xdr:colOff>
                <xdr:row>3</xdr:row>
                <xdr:rowOff>9525</xdr:rowOff>
              </from>
              <to>
                <xdr:col>8</xdr:col>
                <xdr:colOff>523875</xdr:colOff>
                <xdr:row>4</xdr:row>
                <xdr:rowOff>0</xdr:rowOff>
              </to>
            </anchor>
          </objectPr>
        </oleObject>
      </mc:Choice>
      <mc:Fallback>
        <oleObject progId="Word.Document.12" shapeId="31064" r:id="rId2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7"/>
  <sheetViews>
    <sheetView topLeftCell="A89" workbookViewId="0">
      <selection activeCell="B117" sqref="B117"/>
    </sheetView>
  </sheetViews>
  <sheetFormatPr baseColWidth="10" defaultRowHeight="15" x14ac:dyDescent="0.3"/>
  <cols>
    <col min="1" max="1" width="31" bestFit="1" customWidth="1"/>
    <col min="2" max="2" width="13.42578125" bestFit="1" customWidth="1"/>
  </cols>
  <sheetData>
    <row r="1" spans="1:11" x14ac:dyDescent="0.3">
      <c r="A1" s="164" t="s">
        <v>122</v>
      </c>
      <c r="B1" s="164"/>
    </row>
    <row r="2" spans="1:11" x14ac:dyDescent="0.3">
      <c r="A2" s="1"/>
      <c r="B2" s="8" t="s">
        <v>0</v>
      </c>
    </row>
    <row r="3" spans="1:11" x14ac:dyDescent="0.3">
      <c r="A3" s="46" t="s">
        <v>57</v>
      </c>
      <c r="B3" s="53">
        <v>1200000</v>
      </c>
    </row>
    <row r="4" spans="1:11" x14ac:dyDescent="0.3">
      <c r="A4" s="46" t="s">
        <v>83</v>
      </c>
      <c r="B4" s="153">
        <f>1000*133</f>
        <v>133000</v>
      </c>
      <c r="E4" t="s">
        <v>61</v>
      </c>
      <c r="F4" t="s">
        <v>62</v>
      </c>
      <c r="G4" t="s">
        <v>63</v>
      </c>
      <c r="H4" t="s">
        <v>64</v>
      </c>
      <c r="I4" t="s">
        <v>144</v>
      </c>
      <c r="J4" t="s">
        <v>156</v>
      </c>
      <c r="K4" t="s">
        <v>145</v>
      </c>
    </row>
    <row r="5" spans="1:11" x14ac:dyDescent="0.3">
      <c r="A5" s="46" t="s">
        <v>41</v>
      </c>
      <c r="B5" s="53">
        <v>350000</v>
      </c>
      <c r="E5" t="s">
        <v>66</v>
      </c>
      <c r="F5">
        <v>800000</v>
      </c>
      <c r="G5" t="s">
        <v>70</v>
      </c>
      <c r="H5" t="s">
        <v>70</v>
      </c>
      <c r="I5" t="s">
        <v>70</v>
      </c>
    </row>
    <row r="6" spans="1:11" x14ac:dyDescent="0.3">
      <c r="A6" s="1" t="s">
        <v>128</v>
      </c>
      <c r="B6" s="48">
        <f>900000*0.26/12*4</f>
        <v>78000</v>
      </c>
      <c r="E6" t="s">
        <v>67</v>
      </c>
      <c r="F6">
        <v>1400000</v>
      </c>
      <c r="G6">
        <v>25</v>
      </c>
      <c r="H6">
        <v>530000</v>
      </c>
      <c r="I6">
        <v>81000</v>
      </c>
      <c r="J6">
        <f>(F6-H6)/(G6*12)</f>
        <v>2900</v>
      </c>
      <c r="K6">
        <f>I6+J6*7</f>
        <v>101300</v>
      </c>
    </row>
    <row r="7" spans="1:11" x14ac:dyDescent="0.3">
      <c r="A7" s="59" t="s">
        <v>75</v>
      </c>
      <c r="B7" s="48">
        <f>1380000/12*5</f>
        <v>575000</v>
      </c>
      <c r="E7" t="s">
        <v>68</v>
      </c>
      <c r="F7">
        <v>1000000</v>
      </c>
      <c r="G7">
        <v>20</v>
      </c>
      <c r="H7">
        <v>610000</v>
      </c>
      <c r="I7">
        <v>135000</v>
      </c>
      <c r="J7">
        <f t="shared" ref="J7:J8" si="0">(F7-H7)/(G7*12)</f>
        <v>1625</v>
      </c>
      <c r="K7">
        <f t="shared" ref="K7:K8" si="1">I7+J7*7</f>
        <v>146375</v>
      </c>
    </row>
    <row r="8" spans="1:11" x14ac:dyDescent="0.3">
      <c r="A8" s="46" t="s">
        <v>76</v>
      </c>
      <c r="B8" s="53">
        <v>800000</v>
      </c>
      <c r="E8" t="s">
        <v>69</v>
      </c>
      <c r="F8">
        <v>990000</v>
      </c>
      <c r="G8">
        <v>5</v>
      </c>
      <c r="I8">
        <v>118000</v>
      </c>
      <c r="J8">
        <f t="shared" si="0"/>
        <v>16500</v>
      </c>
      <c r="K8">
        <f t="shared" si="1"/>
        <v>233500</v>
      </c>
    </row>
    <row r="9" spans="1:11" x14ac:dyDescent="0.3">
      <c r="A9" s="46" t="s">
        <v>77</v>
      </c>
      <c r="B9" s="53">
        <v>1400000</v>
      </c>
      <c r="F9">
        <v>4190000</v>
      </c>
      <c r="I9">
        <v>334000</v>
      </c>
      <c r="J9">
        <f>SUM(J6:J8)</f>
        <v>21025</v>
      </c>
      <c r="K9">
        <f>SUM(K6:K8)</f>
        <v>481175</v>
      </c>
    </row>
    <row r="10" spans="1:11" x14ac:dyDescent="0.3">
      <c r="A10" s="46" t="s">
        <v>78</v>
      </c>
      <c r="B10" s="53">
        <v>1000000</v>
      </c>
    </row>
    <row r="11" spans="1:11" x14ac:dyDescent="0.3">
      <c r="A11" s="59" t="s">
        <v>79</v>
      </c>
      <c r="B11" s="53">
        <v>950000</v>
      </c>
    </row>
    <row r="12" spans="1:11" x14ac:dyDescent="0.3">
      <c r="A12" s="3" t="s">
        <v>80</v>
      </c>
      <c r="B12" s="153">
        <f>-K9</f>
        <v>-481175</v>
      </c>
    </row>
    <row r="13" spans="1:11" x14ac:dyDescent="0.3">
      <c r="A13" s="6" t="s">
        <v>1</v>
      </c>
      <c r="B13" s="53">
        <v>180000</v>
      </c>
    </row>
    <row r="14" spans="1:11" x14ac:dyDescent="0.3">
      <c r="A14" s="4" t="s">
        <v>2</v>
      </c>
      <c r="B14" s="61">
        <f>+SUM(B3:B13)</f>
        <v>6184825</v>
      </c>
    </row>
    <row r="15" spans="1:11" x14ac:dyDescent="0.3">
      <c r="A15" s="1" t="s">
        <v>3</v>
      </c>
      <c r="B15" s="53">
        <v>670000</v>
      </c>
    </row>
    <row r="16" spans="1:11" x14ac:dyDescent="0.3">
      <c r="A16" s="1" t="s">
        <v>81</v>
      </c>
      <c r="B16" s="48">
        <f>190000</f>
        <v>190000</v>
      </c>
    </row>
    <row r="17" spans="1:2" x14ac:dyDescent="0.3">
      <c r="A17" s="46" t="s">
        <v>58</v>
      </c>
      <c r="B17" s="48">
        <f>900000/10*4</f>
        <v>360000</v>
      </c>
    </row>
    <row r="18" spans="1:2" x14ac:dyDescent="0.3">
      <c r="A18" s="46" t="s">
        <v>6</v>
      </c>
      <c r="B18" s="48">
        <f>900000*0.26/12*4*1.21</f>
        <v>94380</v>
      </c>
    </row>
    <row r="19" spans="1:2" x14ac:dyDescent="0.3">
      <c r="A19" s="46" t="s">
        <v>59</v>
      </c>
      <c r="B19" s="53">
        <v>210000</v>
      </c>
    </row>
    <row r="20" spans="1:2" x14ac:dyDescent="0.3">
      <c r="A20" s="46" t="s">
        <v>42</v>
      </c>
      <c r="B20" s="53">
        <v>700000</v>
      </c>
    </row>
    <row r="21" spans="1:2" x14ac:dyDescent="0.3">
      <c r="A21" s="1" t="s">
        <v>5</v>
      </c>
      <c r="B21" s="53">
        <v>390000</v>
      </c>
    </row>
    <row r="22" spans="1:2" x14ac:dyDescent="0.3">
      <c r="A22" s="46" t="s">
        <v>82</v>
      </c>
      <c r="B22" s="53">
        <v>70000</v>
      </c>
    </row>
    <row r="23" spans="1:2" x14ac:dyDescent="0.3">
      <c r="A23" s="1" t="s">
        <v>4</v>
      </c>
      <c r="B23" s="53">
        <v>400445</v>
      </c>
    </row>
    <row r="24" spans="1:2" x14ac:dyDescent="0.3">
      <c r="A24" s="4" t="s">
        <v>7</v>
      </c>
      <c r="B24" s="61">
        <f>+SUM(B15:B23)</f>
        <v>3084825</v>
      </c>
    </row>
    <row r="25" spans="1:2" x14ac:dyDescent="0.3">
      <c r="A25" s="3" t="s">
        <v>8</v>
      </c>
      <c r="B25" s="53">
        <v>2500000</v>
      </c>
    </row>
    <row r="26" spans="1:2" x14ac:dyDescent="0.3">
      <c r="A26" s="59" t="s">
        <v>43</v>
      </c>
      <c r="B26" s="53">
        <v>250000</v>
      </c>
    </row>
    <row r="27" spans="1:2" x14ac:dyDescent="0.3">
      <c r="A27" s="1" t="s">
        <v>9</v>
      </c>
      <c r="B27" s="48">
        <f>+B14-B24-B25-B26</f>
        <v>350000</v>
      </c>
    </row>
    <row r="28" spans="1:2" x14ac:dyDescent="0.3">
      <c r="A28" s="4" t="s">
        <v>10</v>
      </c>
      <c r="B28" s="61">
        <f>+SUM(B25:B27)</f>
        <v>3100000</v>
      </c>
    </row>
    <row r="29" spans="1:2" x14ac:dyDescent="0.3">
      <c r="A29" s="5" t="s">
        <v>11</v>
      </c>
      <c r="B29" s="61">
        <f>+B28+B24</f>
        <v>6184825</v>
      </c>
    </row>
    <row r="32" spans="1:2" x14ac:dyDescent="0.3">
      <c r="A32" s="1" t="str">
        <f>+A20</f>
        <v>Remuneraciones a Pagar</v>
      </c>
      <c r="B32" s="1">
        <f>+B20</f>
        <v>700000</v>
      </c>
    </row>
    <row r="33" spans="1:3" x14ac:dyDescent="0.3">
      <c r="A33" s="1" t="str">
        <f>+A21</f>
        <v>Cargas Sociales a Pagar</v>
      </c>
      <c r="B33" s="1">
        <f>+B21</f>
        <v>390000</v>
      </c>
    </row>
    <row r="34" spans="1:3" x14ac:dyDescent="0.3">
      <c r="A34" t="s">
        <v>157</v>
      </c>
      <c r="C34" s="1">
        <f>+B32+B33</f>
        <v>1090000</v>
      </c>
    </row>
    <row r="37" spans="1:3" x14ac:dyDescent="0.3">
      <c r="A37" t="s">
        <v>162</v>
      </c>
      <c r="B37">
        <f>C41*0.5*1.21</f>
        <v>1028500</v>
      </c>
    </row>
    <row r="38" spans="1:3" x14ac:dyDescent="0.3">
      <c r="A38" t="s">
        <v>157</v>
      </c>
      <c r="B38">
        <f>C41*0.5*0.9*1.21</f>
        <v>925650</v>
      </c>
    </row>
    <row r="39" spans="1:3" x14ac:dyDescent="0.3">
      <c r="A39" t="s">
        <v>161</v>
      </c>
      <c r="B39">
        <f>C41*0.5*0.1</f>
        <v>85000</v>
      </c>
    </row>
    <row r="40" spans="1:3" x14ac:dyDescent="0.3">
      <c r="A40" t="s">
        <v>160</v>
      </c>
      <c r="B40">
        <f>+B39*0.21</f>
        <v>17850</v>
      </c>
    </row>
    <row r="41" spans="1:3" x14ac:dyDescent="0.3">
      <c r="A41" t="s">
        <v>158</v>
      </c>
      <c r="C41" s="1">
        <v>1700000</v>
      </c>
    </row>
    <row r="42" spans="1:3" x14ac:dyDescent="0.3">
      <c r="A42" t="s">
        <v>159</v>
      </c>
      <c r="C42">
        <f>C41*0.21</f>
        <v>357000</v>
      </c>
    </row>
    <row r="44" spans="1:3" x14ac:dyDescent="0.3">
      <c r="A44" t="s">
        <v>163</v>
      </c>
      <c r="B44">
        <v>130000</v>
      </c>
    </row>
    <row r="45" spans="1:3" x14ac:dyDescent="0.3">
      <c r="A45" t="s">
        <v>157</v>
      </c>
      <c r="C45">
        <f>+B44</f>
        <v>130000</v>
      </c>
    </row>
    <row r="47" spans="1:3" x14ac:dyDescent="0.3">
      <c r="A47" t="s">
        <v>164</v>
      </c>
      <c r="B47">
        <f>+B44*0.18/12</f>
        <v>1950</v>
      </c>
    </row>
    <row r="48" spans="1:3" x14ac:dyDescent="0.3">
      <c r="A48" t="s">
        <v>165</v>
      </c>
      <c r="C48">
        <f>+B47</f>
        <v>1950</v>
      </c>
    </row>
    <row r="50" spans="1:7" x14ac:dyDescent="0.3">
      <c r="A50" t="s">
        <v>157</v>
      </c>
      <c r="B50">
        <f>147*1000</f>
        <v>147000</v>
      </c>
    </row>
    <row r="51" spans="1:7" x14ac:dyDescent="0.3">
      <c r="A51" s="1" t="str">
        <f>+A4</f>
        <v>Inversiones Transitorias</v>
      </c>
      <c r="C51" s="1">
        <f>+B4</f>
        <v>133000</v>
      </c>
    </row>
    <row r="52" spans="1:7" x14ac:dyDescent="0.3">
      <c r="A52" t="s">
        <v>166</v>
      </c>
      <c r="C52" s="1">
        <f>+B50-C51</f>
        <v>14000</v>
      </c>
    </row>
    <row r="54" spans="1:7" x14ac:dyDescent="0.3">
      <c r="A54" t="s">
        <v>81</v>
      </c>
      <c r="B54">
        <v>190000</v>
      </c>
    </row>
    <row r="55" spans="1:7" x14ac:dyDescent="0.3">
      <c r="A55" t="s">
        <v>168</v>
      </c>
      <c r="B55">
        <f>184000*0.21</f>
        <v>38640</v>
      </c>
    </row>
    <row r="56" spans="1:7" x14ac:dyDescent="0.3">
      <c r="A56" t="s">
        <v>167</v>
      </c>
      <c r="C56">
        <v>6000</v>
      </c>
    </row>
    <row r="57" spans="1:7" x14ac:dyDescent="0.3">
      <c r="A57" t="s">
        <v>157</v>
      </c>
      <c r="C57">
        <f>184000*1.21</f>
        <v>222640</v>
      </c>
    </row>
    <row r="59" spans="1:7" x14ac:dyDescent="0.3">
      <c r="A59" t="s">
        <v>169</v>
      </c>
      <c r="B59">
        <v>70000</v>
      </c>
    </row>
    <row r="60" spans="1:7" x14ac:dyDescent="0.3">
      <c r="A60" t="s">
        <v>157</v>
      </c>
      <c r="C60">
        <f>+B59</f>
        <v>70000</v>
      </c>
    </row>
    <row r="62" spans="1:7" x14ac:dyDescent="0.3">
      <c r="A62" t="s">
        <v>157</v>
      </c>
      <c r="B62">
        <f>F64*1.21</f>
        <v>72600</v>
      </c>
      <c r="E62" t="s">
        <v>62</v>
      </c>
      <c r="F62">
        <v>240000</v>
      </c>
    </row>
    <row r="63" spans="1:7" x14ac:dyDescent="0.3">
      <c r="A63" t="s">
        <v>170</v>
      </c>
      <c r="B63">
        <f>F62/5*4</f>
        <v>192000</v>
      </c>
      <c r="E63" t="s">
        <v>170</v>
      </c>
      <c r="F63">
        <f>+B63</f>
        <v>192000</v>
      </c>
      <c r="G63">
        <f>+F62-F63</f>
        <v>48000</v>
      </c>
    </row>
    <row r="64" spans="1:7" x14ac:dyDescent="0.3">
      <c r="A64" t="s">
        <v>173</v>
      </c>
      <c r="C64">
        <f>-(C65-B63-F64)</f>
        <v>12000</v>
      </c>
      <c r="E64" t="s">
        <v>171</v>
      </c>
      <c r="F64">
        <v>60000</v>
      </c>
    </row>
    <row r="65" spans="1:3" x14ac:dyDescent="0.3">
      <c r="A65" t="s">
        <v>172</v>
      </c>
      <c r="C65">
        <f>+F62</f>
        <v>240000</v>
      </c>
    </row>
    <row r="66" spans="1:3" x14ac:dyDescent="0.3">
      <c r="A66" t="s">
        <v>159</v>
      </c>
      <c r="C66">
        <f>+F64*0.21</f>
        <v>12600</v>
      </c>
    </row>
    <row r="68" spans="1:3" x14ac:dyDescent="0.3">
      <c r="A68" t="s">
        <v>174</v>
      </c>
      <c r="B68">
        <v>780000</v>
      </c>
    </row>
    <row r="69" spans="1:3" x14ac:dyDescent="0.3">
      <c r="A69" t="s">
        <v>175</v>
      </c>
      <c r="B69">
        <f>+B68*0.6</f>
        <v>468000</v>
      </c>
    </row>
    <row r="70" spans="1:3" x14ac:dyDescent="0.3">
      <c r="A70" t="s">
        <v>176</v>
      </c>
      <c r="C70">
        <f>+B68*0.71</f>
        <v>553800</v>
      </c>
    </row>
    <row r="71" spans="1:3" x14ac:dyDescent="0.3">
      <c r="A71" t="str">
        <f>+A59</f>
        <v>Prest Pers</v>
      </c>
      <c r="C71">
        <f>+B59/5</f>
        <v>14000</v>
      </c>
    </row>
    <row r="72" spans="1:3" x14ac:dyDescent="0.3">
      <c r="A72" t="s">
        <v>177</v>
      </c>
      <c r="C72">
        <f>+B68*0.89-C71</f>
        <v>680200</v>
      </c>
    </row>
    <row r="74" spans="1:3" x14ac:dyDescent="0.3">
      <c r="A74" t="s">
        <v>178</v>
      </c>
      <c r="B74">
        <f>+B7/5</f>
        <v>115000</v>
      </c>
    </row>
    <row r="75" spans="1:3" x14ac:dyDescent="0.3">
      <c r="A75" t="s">
        <v>179</v>
      </c>
      <c r="C75">
        <f>+B74</f>
        <v>115000</v>
      </c>
    </row>
    <row r="77" spans="1:3" x14ac:dyDescent="0.3">
      <c r="A77" s="1" t="str">
        <f>+A17</f>
        <v>Préstamos</v>
      </c>
      <c r="B77">
        <f>+B17/4</f>
        <v>90000</v>
      </c>
    </row>
    <row r="78" spans="1:3" x14ac:dyDescent="0.3">
      <c r="A78" s="1" t="str">
        <f>+A18</f>
        <v>Intereses Documentados</v>
      </c>
      <c r="B78">
        <f>+B18/4</f>
        <v>23595</v>
      </c>
    </row>
    <row r="79" spans="1:3" x14ac:dyDescent="0.3">
      <c r="A79" t="s">
        <v>157</v>
      </c>
      <c r="C79">
        <f>+B77+B78</f>
        <v>113595</v>
      </c>
    </row>
    <row r="81" spans="1:6" x14ac:dyDescent="0.3">
      <c r="A81" t="s">
        <v>180</v>
      </c>
      <c r="B81" s="1">
        <f>+C82</f>
        <v>19500</v>
      </c>
    </row>
    <row r="82" spans="1:6" x14ac:dyDescent="0.3">
      <c r="A82" s="1" t="str">
        <f>+A6</f>
        <v>Intereses a Devengar</v>
      </c>
      <c r="C82" s="1">
        <f>+B6/4</f>
        <v>19500</v>
      </c>
    </row>
    <row r="84" spans="1:6" x14ac:dyDescent="0.3">
      <c r="A84" t="s">
        <v>164</v>
      </c>
      <c r="B84">
        <f>+C85*1.21</f>
        <v>7199.5</v>
      </c>
    </row>
    <row r="85" spans="1:6" x14ac:dyDescent="0.3">
      <c r="A85" t="s">
        <v>181</v>
      </c>
      <c r="C85">
        <f>1700000*0.5*0.01/30*21</f>
        <v>5950</v>
      </c>
    </row>
    <row r="86" spans="1:6" x14ac:dyDescent="0.3">
      <c r="A86" t="s">
        <v>159</v>
      </c>
      <c r="C86">
        <f>+C85*0.21</f>
        <v>1249.5</v>
      </c>
    </row>
    <row r="88" spans="1:6" x14ac:dyDescent="0.3">
      <c r="A88" t="str">
        <f>+A48</f>
        <v>Int a Dev</v>
      </c>
      <c r="B88">
        <f>+B47/30*14</f>
        <v>910</v>
      </c>
    </row>
    <row r="89" spans="1:6" x14ac:dyDescent="0.3">
      <c r="A89" t="s">
        <v>181</v>
      </c>
      <c r="C89">
        <f>+B88</f>
        <v>910</v>
      </c>
    </row>
    <row r="91" spans="1:6" x14ac:dyDescent="0.3">
      <c r="A91" t="s">
        <v>182</v>
      </c>
      <c r="B91">
        <f>+J9-240000/60</f>
        <v>17025</v>
      </c>
    </row>
    <row r="92" spans="1:6" x14ac:dyDescent="0.3">
      <c r="A92" t="s">
        <v>170</v>
      </c>
      <c r="C92">
        <f>+B91</f>
        <v>17025</v>
      </c>
    </row>
    <row r="94" spans="1:6" x14ac:dyDescent="0.3">
      <c r="A94" t="s">
        <v>183</v>
      </c>
      <c r="B94">
        <f>+F97</f>
        <v>76300.5</v>
      </c>
      <c r="E94" t="s">
        <v>101</v>
      </c>
      <c r="F94" s="1">
        <f>+C41+C52+C56+C64+C85+C89</f>
        <v>1738860</v>
      </c>
    </row>
    <row r="95" spans="1:6" x14ac:dyDescent="0.3">
      <c r="A95" t="s">
        <v>184</v>
      </c>
      <c r="C95">
        <f>+B94</f>
        <v>76300.5</v>
      </c>
      <c r="E95" t="s">
        <v>102</v>
      </c>
      <c r="F95" s="1">
        <f>+B39+B68+B69+B74+B81+B91</f>
        <v>1484525</v>
      </c>
    </row>
    <row r="96" spans="1:6" x14ac:dyDescent="0.3">
      <c r="F96" s="1">
        <f>+F94-F95</f>
        <v>254335</v>
      </c>
    </row>
    <row r="97" spans="1:6" x14ac:dyDescent="0.3">
      <c r="E97" t="s">
        <v>74</v>
      </c>
      <c r="F97">
        <f>+F96*0.3</f>
        <v>76300.5</v>
      </c>
    </row>
    <row r="98" spans="1:6" x14ac:dyDescent="0.3">
      <c r="A98" t="s">
        <v>185</v>
      </c>
    </row>
    <row r="99" spans="1:6" x14ac:dyDescent="0.3">
      <c r="A99" t="s">
        <v>186</v>
      </c>
      <c r="B99">
        <f>SUM(C100:C106)</f>
        <v>1560825.5</v>
      </c>
    </row>
    <row r="100" spans="1:6" x14ac:dyDescent="0.3">
      <c r="A100" t="str">
        <f>+A39</f>
        <v>Dto PP R-</v>
      </c>
      <c r="C100">
        <f>+B39</f>
        <v>85000</v>
      </c>
    </row>
    <row r="101" spans="1:6" x14ac:dyDescent="0.3">
      <c r="A101" t="str">
        <f>+A68</f>
        <v>S R-</v>
      </c>
      <c r="C101">
        <f>+B68</f>
        <v>780000</v>
      </c>
    </row>
    <row r="102" spans="1:6" x14ac:dyDescent="0.3">
      <c r="A102" t="str">
        <f>+A69</f>
        <v>CS R-</v>
      </c>
      <c r="C102">
        <f>+B69</f>
        <v>468000</v>
      </c>
    </row>
    <row r="103" spans="1:6" x14ac:dyDescent="0.3">
      <c r="A103" t="str">
        <f>+A74</f>
        <v>Seguro Inc R-</v>
      </c>
      <c r="C103">
        <f>+B74</f>
        <v>115000</v>
      </c>
    </row>
    <row r="104" spans="1:6" x14ac:dyDescent="0.3">
      <c r="A104" t="str">
        <f>+A81</f>
        <v>Int Perd R-</v>
      </c>
      <c r="C104">
        <f>+B81</f>
        <v>19500</v>
      </c>
    </row>
    <row r="105" spans="1:6" x14ac:dyDescent="0.3">
      <c r="A105" t="str">
        <f>+A91</f>
        <v>Amort R-</v>
      </c>
      <c r="C105">
        <f>+B91</f>
        <v>17025</v>
      </c>
    </row>
    <row r="106" spans="1:6" x14ac:dyDescent="0.3">
      <c r="A106" t="str">
        <f>+A94</f>
        <v>IIGG R-</v>
      </c>
      <c r="C106">
        <f>+B94</f>
        <v>76300.5</v>
      </c>
    </row>
    <row r="108" spans="1:6" x14ac:dyDescent="0.3">
      <c r="A108" t="str">
        <f>+A41</f>
        <v>Ventas R+</v>
      </c>
      <c r="B108">
        <f>+C41</f>
        <v>1700000</v>
      </c>
    </row>
    <row r="109" spans="1:6" x14ac:dyDescent="0.3">
      <c r="A109" t="str">
        <f>+A52</f>
        <v>Ganancia Acciones R+</v>
      </c>
      <c r="B109">
        <f>+C52</f>
        <v>14000</v>
      </c>
    </row>
    <row r="110" spans="1:6" x14ac:dyDescent="0.3">
      <c r="A110" t="str">
        <f>+A56</f>
        <v>Aj Ej Ant R+</v>
      </c>
      <c r="B110">
        <f>+C56</f>
        <v>6000</v>
      </c>
    </row>
    <row r="111" spans="1:6" x14ac:dyDescent="0.3">
      <c r="A111" t="str">
        <f>+A64</f>
        <v>Ut x Vta BU R+</v>
      </c>
      <c r="B111">
        <f>+C64</f>
        <v>12000</v>
      </c>
    </row>
    <row r="112" spans="1:6" x14ac:dyDescent="0.3">
      <c r="A112" t="str">
        <f>+A85</f>
        <v>Int Gan R+</v>
      </c>
      <c r="B112">
        <f>+C85</f>
        <v>5950</v>
      </c>
    </row>
    <row r="113" spans="1:3" x14ac:dyDescent="0.3">
      <c r="A113" t="str">
        <f>+A89</f>
        <v>Int Gan R+</v>
      </c>
      <c r="B113">
        <f>+C89</f>
        <v>910</v>
      </c>
    </row>
    <row r="114" spans="1:3" x14ac:dyDescent="0.3">
      <c r="A114" t="s">
        <v>26</v>
      </c>
      <c r="C114">
        <f>SUM(B108:B113)</f>
        <v>1738860</v>
      </c>
    </row>
    <row r="116" spans="1:3" x14ac:dyDescent="0.3">
      <c r="A116" t="s">
        <v>186</v>
      </c>
      <c r="B116">
        <f>+C117</f>
        <v>178034.5</v>
      </c>
    </row>
    <row r="117" spans="1:3" x14ac:dyDescent="0.3">
      <c r="A117" t="s">
        <v>187</v>
      </c>
      <c r="C117">
        <f>+C114-B99</f>
        <v>178034.5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Balance Inicial</vt:lpstr>
      <vt:lpstr>Libro Diario</vt:lpstr>
      <vt:lpstr>Hoja1</vt:lpstr>
      <vt:lpstr>'Libro Diario'!Títulos_a_imprimir</vt:lpstr>
    </vt:vector>
  </TitlesOfParts>
  <Company>Bonafide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Valvano</dc:creator>
  <cp:lastModifiedBy>Santiiago Greco</cp:lastModifiedBy>
  <cp:lastPrinted>2017-08-29T20:36:31Z</cp:lastPrinted>
  <dcterms:created xsi:type="dcterms:W3CDTF">2004-07-05T16:20:06Z</dcterms:created>
  <dcterms:modified xsi:type="dcterms:W3CDTF">2023-07-06T21:04:33Z</dcterms:modified>
</cp:coreProperties>
</file>