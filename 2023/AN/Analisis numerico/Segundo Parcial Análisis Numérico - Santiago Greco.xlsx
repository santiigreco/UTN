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Descargas\Descargas\"/>
    </mc:Choice>
  </mc:AlternateContent>
  <xr:revisionPtr revIDLastSave="0" documentId="13_ncr:1_{DC0B7C99-5CBF-4C78-9FB5-E81B99A2BFA8}" xr6:coauthVersionLast="47" xr6:coauthVersionMax="47" xr10:uidLastSave="{00000000-0000-0000-0000-000000000000}"/>
  <bookViews>
    <workbookView xWindow="-11640" yWindow="-1605" windowWidth="11760" windowHeight="20130" tabRatio="500" xr2:uid="{00000000-000D-0000-FFFF-FFFF00000000}"/>
  </bookViews>
  <sheets>
    <sheet name="CARATULA" sheetId="1" r:id="rId1"/>
    <sheet name="Memoria descriptiva" sheetId="2" r:id="rId2"/>
    <sheet name="Consideraciones" sheetId="3" r:id="rId3"/>
    <sheet name="EJ.1" sheetId="4" r:id="rId4"/>
    <sheet name="EJ.2" sheetId="5" r:id="rId5"/>
  </sheets>
  <calcPr calcId="191029"/>
</workbook>
</file>

<file path=xl/calcChain.xml><?xml version="1.0" encoding="utf-8"?>
<calcChain xmlns="http://schemas.openxmlformats.org/spreadsheetml/2006/main">
  <c r="O66" i="5" l="1"/>
  <c r="P62" i="4"/>
  <c r="P65" i="4"/>
  <c r="AA51" i="4"/>
  <c r="W89" i="4"/>
  <c r="C66" i="2"/>
  <c r="N34" i="2"/>
  <c r="L41" i="4"/>
  <c r="L25" i="4"/>
  <c r="Q32" i="4" s="1"/>
  <c r="L26" i="4"/>
  <c r="L23" i="4"/>
  <c r="L32" i="4" s="1"/>
  <c r="L24" i="4"/>
  <c r="U4" i="4"/>
  <c r="T4" i="4"/>
  <c r="Q93" i="4"/>
  <c r="L93" i="4"/>
  <c r="L92" i="4"/>
  <c r="L91" i="4"/>
  <c r="L90" i="4"/>
  <c r="Q89" i="4"/>
  <c r="L89" i="4"/>
  <c r="AB77" i="4"/>
  <c r="AB75" i="4"/>
  <c r="X75" i="4"/>
  <c r="T75" i="4"/>
  <c r="L75" i="4"/>
  <c r="L77" i="4"/>
  <c r="P75" i="4"/>
  <c r="S51" i="4"/>
  <c r="Y51" i="4" s="1"/>
  <c r="O51" i="4"/>
  <c r="U51" i="4" s="1"/>
  <c r="R51" i="4"/>
  <c r="X51" i="4" s="1"/>
  <c r="Q51" i="4"/>
  <c r="W51" i="4" s="1"/>
  <c r="P51" i="4"/>
  <c r="V51" i="4" s="1"/>
  <c r="O4" i="4"/>
  <c r="X23" i="4"/>
  <c r="L35" i="4" s="1"/>
  <c r="T23" i="4"/>
  <c r="L34" i="4" s="1"/>
  <c r="P23" i="4"/>
  <c r="L33" i="4" s="1"/>
  <c r="Q4" i="4"/>
  <c r="V4" i="4" s="1"/>
  <c r="R4" i="4"/>
  <c r="W4" i="4" s="1"/>
  <c r="P4" i="4"/>
  <c r="O64" i="5"/>
  <c r="N49" i="5"/>
  <c r="O49" i="5" s="1"/>
  <c r="N53" i="5" s="1"/>
  <c r="N50" i="5"/>
  <c r="O50" i="5" s="1"/>
  <c r="P50" i="5" s="1"/>
  <c r="O53" i="5" s="1"/>
  <c r="N48" i="5"/>
  <c r="M53" i="5" s="1"/>
  <c r="N17" i="5"/>
  <c r="L53" i="5"/>
  <c r="K22" i="5"/>
  <c r="N19" i="5"/>
  <c r="N18" i="5"/>
  <c r="O18" i="5" s="1"/>
  <c r="M22" i="5" s="1"/>
  <c r="L22" i="5"/>
  <c r="P77" i="4" l="1"/>
  <c r="Q90" i="4" s="1"/>
  <c r="AB51" i="4"/>
  <c r="AD51" i="4"/>
  <c r="AC51" i="4"/>
  <c r="Y4" i="4"/>
  <c r="P12" i="4" s="1"/>
  <c r="AA4" i="4"/>
  <c r="Z4" i="4"/>
  <c r="P13" i="4" s="1"/>
  <c r="T25" i="4" s="1"/>
  <c r="L59" i="5"/>
  <c r="O19" i="5"/>
  <c r="P19" i="5" s="1"/>
  <c r="N22" i="5" s="1"/>
  <c r="L31" i="5" s="1"/>
  <c r="P26" i="4" l="1"/>
  <c r="T33" i="4" s="1"/>
  <c r="P63" i="4"/>
  <c r="P24" i="4"/>
  <c r="N33" i="4" s="1"/>
  <c r="T32" i="4"/>
  <c r="P25" i="4"/>
  <c r="Q33" i="4" s="1"/>
  <c r="P14" i="4"/>
  <c r="N32" i="4"/>
  <c r="Q34" i="4"/>
  <c r="X26" i="4" l="1"/>
  <c r="T35" i="4" s="1"/>
  <c r="X25" i="4"/>
  <c r="Q35" i="4" s="1"/>
  <c r="P64" i="4"/>
  <c r="T76" i="4" s="1"/>
  <c r="N91" i="4" s="1"/>
  <c r="T77" i="4"/>
  <c r="Q91" i="4" s="1"/>
  <c r="P76" i="4"/>
  <c r="N90" i="4" s="1"/>
  <c r="L76" i="4"/>
  <c r="N89" i="4" s="1"/>
  <c r="T26" i="4"/>
  <c r="T34" i="4" s="1"/>
  <c r="X24" i="4"/>
  <c r="N35" i="4" s="1"/>
  <c r="T24" i="4"/>
  <c r="N34" i="4" s="1"/>
  <c r="T78" i="4" l="1"/>
  <c r="T91" i="4" s="1"/>
  <c r="X77" i="4"/>
  <c r="Q92" i="4" s="1"/>
  <c r="X76" i="4"/>
  <c r="N92" i="4" s="1"/>
  <c r="AB76" i="4" l="1"/>
  <c r="N93" i="4" s="1"/>
  <c r="P78" i="4"/>
  <c r="T90" i="4" s="1"/>
  <c r="K100" i="4" s="1"/>
  <c r="AB78" i="4"/>
  <c r="T93" i="4" s="1"/>
  <c r="X78" i="4"/>
  <c r="T92" i="4" s="1"/>
  <c r="L78" i="4"/>
  <c r="T89" i="4" s="1"/>
</calcChain>
</file>

<file path=xl/sharedStrings.xml><?xml version="1.0" encoding="utf-8"?>
<sst xmlns="http://schemas.openxmlformats.org/spreadsheetml/2006/main" count="422" uniqueCount="148">
  <si>
    <t>UTN FRBA</t>
  </si>
  <si>
    <t>ANALICIS NUMERICO Y CALCULO AVANZADO</t>
  </si>
  <si>
    <t>Profesores:</t>
  </si>
  <si>
    <t>Ing. Ana Liza Perez</t>
  </si>
  <si>
    <t>Profesor Ing. Julian Barbieri</t>
  </si>
  <si>
    <t xml:space="preserve">REFERENCIA: </t>
  </si>
  <si>
    <t xml:space="preserve">2º PARCIAL. </t>
  </si>
  <si>
    <t>Alumnos:</t>
  </si>
  <si>
    <t>Apellidos, Nombres:</t>
  </si>
  <si>
    <t>Numero de Legajo:</t>
  </si>
  <si>
    <t>Año: 2023</t>
  </si>
  <si>
    <t xml:space="preserve">El examen consta de un conjunto de actividades, a resolver, cada una referenciada en una hoja del presente libro como EJ.1 y EJ.2.                                                                                           En estos espacio deben mostrarse la memoria de calculo, que concluya en la/las soluciones que se requieran para cada situación.                                                                                           La hoja rotulada como "Memoria descriptiva" debe contener la redacción que de respuesta a las consignas de cada actividad. La memoria descriptiva debe seguir el orden propuesto para cada actividad. Considere a esta parte del examen como las propuestas que efectúa un profesional de la ingeniería, respecto de una problemática por la que fue consultado. Sean claros en la redacción y contundente en los argumentos.                                                                                                                                                                                                    La evaluación esta compuesta por dos instancias que son: la entrega de un documento impreso con la resolución de las consignas y una presentación oral, de 10 minutos, que tenga por objetivo explicar los criterios y procedimientos usados en la construcción del trabajo. Luego de la cual los docentes le harán algunas preguntas.                                                                                      </t>
  </si>
  <si>
    <t xml:space="preserve">a- Dados los puntos (x;y): (1; 6), (3;3), (4;1,5), (6;1,5) y (7;3) construir el polinomio cubico interpolador por tramos natural.                                                                                                                     b- Determinar la imagen esperada para un x=2.                                                                                                                                                                                                                                                                                   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d- Con el polinomio del punto "c" determinar la imagen de x=2, es distinta de la calculada en el punto b, justificar la respuesta.                                                                                                 e- graficar los polinomios obtenidos en los apartados "a" y "c".                                                                                                                                   </t>
  </si>
  <si>
    <t xml:space="preserve"> Dado los puntos (x;y) : (0;0),(1,571;1,000), (0,785;0,707), (2,618;0,500), (3,142;0).
a) Determinar, por alguno de los métodos de interpolación vistos, la imagen de x = 0,524, según un polinomio cubico. 
b) Determinar, por alguno de los métodos de interpolación vistos, la imagen de x = 3,000, según un polinomio cubico. 
c) Considerando que la función generadora de los (x;y) datos es f(x) = seno(x), determinar los errores cometidos en la determinación de la imagen para las preguntas a) y b).
</t>
  </si>
  <si>
    <t>Greco, Santiago</t>
  </si>
  <si>
    <t>177980-1</t>
  </si>
  <si>
    <t>X</t>
  </si>
  <si>
    <t>Y</t>
  </si>
  <si>
    <t>Lo descarto, para encontrar la imágen de 0.524, necesito 4 puntos  para la formación de un polinomio cúbico.</t>
  </si>
  <si>
    <t>a0</t>
  </si>
  <si>
    <t>a1</t>
  </si>
  <si>
    <t>a2</t>
  </si>
  <si>
    <t>a3</t>
  </si>
  <si>
    <t>.</t>
  </si>
  <si>
    <t>Polinomio cúbico</t>
  </si>
  <si>
    <t>P3 (x)=</t>
  </si>
  <si>
    <t>P (x)=</t>
  </si>
  <si>
    <t>P(3)=</t>
  </si>
  <si>
    <t xml:space="preserve">P (0.524)= </t>
  </si>
  <si>
    <t>e(0.524)=</t>
  </si>
  <si>
    <t>0.51089186 - sen(0.524)</t>
  </si>
  <si>
    <t>e(3)=</t>
  </si>
  <si>
    <t>→</t>
  </si>
  <si>
    <t>1era Dif. Div</t>
  </si>
  <si>
    <t>2da Dif. Div</t>
  </si>
  <si>
    <t>3era Dif. Div</t>
  </si>
  <si>
    <t>m</t>
  </si>
  <si>
    <t xml:space="preserve">Método de interpolación elegido: Newton </t>
  </si>
  <si>
    <t>P(x) =</t>
  </si>
  <si>
    <t>a0 + a1 (x-x0) + a2 (x-x0)(x-x1) + a3 (x-x0)(x-x1)(x-x2)</t>
  </si>
  <si>
    <t>0 + 0.901(x) - 0.336 (x) ( x-0.785) - 0.049 (x)(x-0.785)(x-1.571)</t>
  </si>
  <si>
    <t>0.707 + 0.373(x-0.785) - 0.464*(x-0.785)(x-1.571)+0.068(x-0.785)(x-1.571)(x-2.618)</t>
  </si>
  <si>
    <t xml:space="preserve">a) Determinar, por alguno de los métodos de interpolación vistos, la imagen de x = 0,524, según un polinomio cubico.  </t>
  </si>
  <si>
    <t>b)</t>
  </si>
  <si>
    <t xml:space="preserve">Determinar, por alguno de los métodos de interpolación vistos, la imagen de x = 3,000, según un polinomio cubico. </t>
  </si>
  <si>
    <t>Considerando que la función generadora de los (x;y) datos es f(x) = seno(x), determinar los errores cometidos en la determinación de la imagen para las preguntas a) y b).</t>
  </si>
  <si>
    <t>c)</t>
  </si>
  <si>
    <t>=</t>
  </si>
  <si>
    <t>0.14667557 -sen(3)</t>
  </si>
  <si>
    <t>h0</t>
  </si>
  <si>
    <t>h1</t>
  </si>
  <si>
    <t>h2</t>
  </si>
  <si>
    <t>d0</t>
  </si>
  <si>
    <t>d1</t>
  </si>
  <si>
    <t>d2</t>
  </si>
  <si>
    <t>U1</t>
  </si>
  <si>
    <t>U2</t>
  </si>
  <si>
    <t>Por polinomio cúbico natural</t>
  </si>
  <si>
    <t>m0</t>
  </si>
  <si>
    <t>+</t>
  </si>
  <si>
    <t>S0,0</t>
  </si>
  <si>
    <t>S1,0</t>
  </si>
  <si>
    <t>S2,0</t>
  </si>
  <si>
    <t>S0,1</t>
  </si>
  <si>
    <t>S1,1</t>
  </si>
  <si>
    <t>S2,1</t>
  </si>
  <si>
    <t>S0,2</t>
  </si>
  <si>
    <t>S1,2</t>
  </si>
  <si>
    <t>S2,2</t>
  </si>
  <si>
    <t>S0,3</t>
  </si>
  <si>
    <t>S1,3</t>
  </si>
  <si>
    <t>S2,3</t>
  </si>
  <si>
    <t>S0(x)</t>
  </si>
  <si>
    <t>S1(x)</t>
  </si>
  <si>
    <t>S2(x)</t>
  </si>
  <si>
    <t>S0(2)</t>
  </si>
  <si>
    <t>S1(2)</t>
  </si>
  <si>
    <t>h3</t>
  </si>
  <si>
    <t>d3</t>
  </si>
  <si>
    <t>m4</t>
  </si>
  <si>
    <t>U3</t>
  </si>
  <si>
    <t>^</t>
  </si>
  <si>
    <t>Sistema de ecuaciones</t>
  </si>
  <si>
    <r>
      <t>U2=h1*</t>
    </r>
    <r>
      <rPr>
        <sz val="10"/>
        <color rgb="FFFF0000"/>
        <rFont val="Arial"/>
        <family val="2"/>
      </rPr>
      <t>m1</t>
    </r>
    <r>
      <rPr>
        <sz val="10"/>
        <rFont val="Arial"/>
        <family val="2"/>
      </rPr>
      <t xml:space="preserve"> + 2 (h1+h2)*</t>
    </r>
    <r>
      <rPr>
        <sz val="10"/>
        <color rgb="FFFF0000"/>
        <rFont val="Arial"/>
        <family val="2"/>
      </rPr>
      <t>m2</t>
    </r>
    <r>
      <rPr>
        <sz val="10"/>
        <rFont val="Arial"/>
        <family val="2"/>
      </rPr>
      <t xml:space="preserve"> + h2*</t>
    </r>
    <r>
      <rPr>
        <sz val="10"/>
        <color rgb="FFFF0000"/>
        <rFont val="Arial"/>
        <family val="2"/>
      </rPr>
      <t>m2</t>
    </r>
  </si>
  <si>
    <r>
      <t>U3=h2*</t>
    </r>
    <r>
      <rPr>
        <sz val="10"/>
        <color rgb="FFFF0000"/>
        <rFont val="Arial"/>
        <family val="2"/>
      </rPr>
      <t>m2</t>
    </r>
    <r>
      <rPr>
        <sz val="10"/>
        <rFont val="Arial"/>
        <family val="2"/>
      </rPr>
      <t xml:space="preserve"> + 2 (h2+h3)*</t>
    </r>
    <r>
      <rPr>
        <sz val="10"/>
        <color rgb="FFFF0000"/>
        <rFont val="Arial"/>
        <family val="2"/>
      </rPr>
      <t>m3</t>
    </r>
    <r>
      <rPr>
        <sz val="10"/>
        <rFont val="Arial"/>
        <family val="2"/>
      </rPr>
      <t xml:space="preserve"> + h3*</t>
    </r>
    <r>
      <rPr>
        <sz val="10"/>
        <color rgb="FFFF0000"/>
        <rFont val="Arial"/>
        <family val="2"/>
      </rPr>
      <t>m3</t>
    </r>
  </si>
  <si>
    <r>
      <t>U1= h0*m0 + 2 (h0+h1)*</t>
    </r>
    <r>
      <rPr>
        <sz val="10"/>
        <color rgb="FFFF0000"/>
        <rFont val="Arial"/>
        <family val="2"/>
      </rPr>
      <t>m1</t>
    </r>
    <r>
      <rPr>
        <sz val="10"/>
        <rFont val="Arial"/>
        <family val="2"/>
      </rPr>
      <t xml:space="preserve"> + h1*</t>
    </r>
    <r>
      <rPr>
        <sz val="10"/>
        <color rgb="FFFF0000"/>
        <rFont val="Arial"/>
        <family val="2"/>
      </rPr>
      <t>m1</t>
    </r>
  </si>
  <si>
    <t>m1=</t>
  </si>
  <si>
    <t>→m2=</t>
  </si>
  <si>
    <t>→m3=</t>
  </si>
  <si>
    <t>S3,0</t>
  </si>
  <si>
    <t>S3,1</t>
  </si>
  <si>
    <t>S3,2</t>
  </si>
  <si>
    <t>S3,3</t>
  </si>
  <si>
    <t>S(k;0) =  Yk</t>
  </si>
  <si>
    <t>S(k;1) =  dk - (hk*(2mk+mk+1))/6</t>
  </si>
  <si>
    <t>S(k;2) =  mk/2</t>
  </si>
  <si>
    <t>S(k;3) =  (mk+1 - mk) / 6 hk</t>
  </si>
  <si>
    <t>Luego, el polinomio que vincula (X0;X1) ES S0(x) = S(0;0) + S(0;1) (x-x0) + S(0;2) (x-x0)^2 + S(0;3) (x-x0)^3</t>
  </si>
  <si>
    <t>S3(x)</t>
  </si>
  <si>
    <t xml:space="preserve">b) Determinar la imagen esperada para un x=2.               </t>
  </si>
  <si>
    <t xml:space="preserve">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t>
  </si>
  <si>
    <t>Padrón = 177980-1</t>
  </si>
  <si>
    <t>h4</t>
  </si>
  <si>
    <t>d4</t>
  </si>
  <si>
    <t>U4</t>
  </si>
  <si>
    <t>U4=h3*m3 ++ 2 (h3+h4)*m4 + h4*m4</t>
  </si>
  <si>
    <t>m5</t>
  </si>
  <si>
    <t>→m4</t>
  </si>
  <si>
    <t>S4,0</t>
  </si>
  <si>
    <t>S4,1</t>
  </si>
  <si>
    <t>S4,2</t>
  </si>
  <si>
    <t>S4,3</t>
  </si>
  <si>
    <t>Luego, el polinomio que vincula a los puntos es</t>
  </si>
  <si>
    <t>S4(x)</t>
  </si>
  <si>
    <t xml:space="preserve">d) Con el polinomio del punto "c" determinar la imagen de x=2, es distinta de la calculada en el punto b, justificar la respuesta.   </t>
  </si>
  <si>
    <t>e)</t>
  </si>
  <si>
    <t>Descarto este punto, ya que  para encontrar la imágen de 3, necesito 4 puntos para la formación de un polinomio cúbico.</t>
  </si>
  <si>
    <t>La razón por la que la imagen en x=2 es diferente cuando agregamos un punto extra es porque ese nuevo punto cambia cómo se dibujan los polinomios entre los datos conocidos. El nuevo punto afecta cómo se ajustan los polinomios cerca de x=2, causando una variación en la respuesta en ese punto específico.</t>
  </si>
  <si>
    <t>El polinomio por tramos natural para los siguientes puntos</t>
  </si>
  <si>
    <t>Está dado por</t>
  </si>
  <si>
    <t>(X-1)</t>
  </si>
  <si>
    <t>(X-3)</t>
  </si>
  <si>
    <t>(X-4)</t>
  </si>
  <si>
    <t>(X-6)</t>
  </si>
  <si>
    <t>(X-6)^2</t>
  </si>
  <si>
    <t>(X-4)^2</t>
  </si>
  <si>
    <t>(X-3)^2</t>
  </si>
  <si>
    <t>(X-1)^2</t>
  </si>
  <si>
    <t>(X-1)^3</t>
  </si>
  <si>
    <t>(X-3)^3</t>
  </si>
  <si>
    <t>(X-4)^3</t>
  </si>
  <si>
    <t>(X-6)^3</t>
  </si>
  <si>
    <t>1&lt;x&lt;3</t>
  </si>
  <si>
    <t>4&lt;x&lt;6</t>
  </si>
  <si>
    <t>6&lt;x&lt;7</t>
  </si>
  <si>
    <t>3&lt;x&lt;4</t>
  </si>
  <si>
    <t xml:space="preserve">Y la imagen de S(x=2) = </t>
  </si>
  <si>
    <t>Al agregar el punto</t>
  </si>
  <si>
    <t>El polinomio queda dado por:</t>
  </si>
  <si>
    <t>(X+0.5)</t>
  </si>
  <si>
    <t>(X+0.5)^2</t>
  </si>
  <si>
    <t>(X+0.5)^3</t>
  </si>
  <si>
    <t>La razón por la que la imagen en x=2 es diferente cuando agregamos un punto extra es porque ese nuevo punto cambia cómo se dibujan los polinomios entre los datos conocidos.</t>
  </si>
  <si>
    <t xml:space="preserve"> El nuevo punto afecta cómo se ajustan los polinomios cerca de x=2, causando una variación en la respuesta en ese punto específico.</t>
  </si>
  <si>
    <t>Dados los puntos</t>
  </si>
  <si>
    <t>Se eligió el Método de interpolación Newton para caclular la imagen de x=0,524</t>
  </si>
  <si>
    <t>P(0,524)</t>
  </si>
  <si>
    <t>Para calcular la imagen de x=3, el polinomio interpolador según Newton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</si>
</sst>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9" x14ac:knownFonts="1">
    <font>
      <sz val="10"/>
      <name val="Arial"/>
    </font>
    <font>
      <b/>
      <sz val="14"/>
      <name val="Arial"/>
      <family val="2"/>
    </font>
    <font>
      <sz val="14"/>
      <name val="Arial"/>
    </font>
    <font>
      <sz val="14"/>
      <name val="Arial"/>
      <family val="2"/>
    </font>
    <font>
      <sz val="10"/>
      <name val="Arial"/>
      <family val="2"/>
    </font>
    <font>
      <b/>
      <sz val="10"/>
      <name val="Arial"/>
      <family val="2"/>
    </font>
    <font>
      <b/>
      <sz val="11"/>
      <name val="Arial"/>
      <family val="2"/>
    </font>
    <font>
      <sz val="8"/>
      <name val="Arial"/>
      <family val="2"/>
    </font>
    <font>
      <sz val="10"/>
      <color rgb="FFFF0000"/>
      <name val="Arial"/>
      <family val="2"/>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5">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4" fillId="0" borderId="0" xfId="1"/>
    <xf numFmtId="0" fontId="4" fillId="0" borderId="0" xfId="1" applyAlignment="1">
      <alignment horizontal="center"/>
    </xf>
    <xf numFmtId="165" fontId="4" fillId="0" borderId="0" xfId="1" applyNumberFormat="1" applyAlignment="1">
      <alignment horizontal="center"/>
    </xf>
    <xf numFmtId="1" fontId="4" fillId="0" borderId="0" xfId="1" applyNumberFormat="1" applyAlignment="1">
      <alignment horizontal="center"/>
    </xf>
    <xf numFmtId="165" fontId="4" fillId="2" borderId="0" xfId="1" applyNumberFormat="1" applyFill="1" applyAlignment="1">
      <alignment horizontal="center"/>
    </xf>
    <xf numFmtId="0" fontId="0" fillId="0" borderId="0" xfId="0" applyAlignment="1">
      <alignment horizontal="center"/>
    </xf>
    <xf numFmtId="0" fontId="5" fillId="0" borderId="0" xfId="1" applyFont="1" applyAlignment="1">
      <alignment horizontal="center"/>
    </xf>
    <xf numFmtId="0" fontId="5" fillId="0" borderId="2" xfId="1" applyFont="1" applyBorder="1" applyAlignment="1">
      <alignment horizontal="center"/>
    </xf>
    <xf numFmtId="165" fontId="4" fillId="0" borderId="2" xfId="1" applyNumberFormat="1" applyBorder="1" applyAlignment="1">
      <alignment horizontal="center"/>
    </xf>
    <xf numFmtId="0" fontId="4" fillId="0" borderId="4" xfId="1" applyBorder="1"/>
    <xf numFmtId="0" fontId="4" fillId="0" borderId="5" xfId="1" applyBorder="1"/>
    <xf numFmtId="0" fontId="4" fillId="0" borderId="0" xfId="1" applyAlignment="1">
      <alignment horizontal="center" vertical="center"/>
    </xf>
    <xf numFmtId="0" fontId="4" fillId="0" borderId="0" xfId="1" applyAlignment="1">
      <alignment horizontal="left"/>
    </xf>
    <xf numFmtId="0" fontId="4" fillId="0" borderId="0" xfId="1" applyAlignment="1">
      <alignment horizontal="left" vertical="center"/>
    </xf>
    <xf numFmtId="0" fontId="4" fillId="0" borderId="0" xfId="0" applyFont="1"/>
    <xf numFmtId="0" fontId="4" fillId="0" borderId="0" xfId="0" applyFont="1" applyAlignment="1">
      <alignment horizontal="center"/>
    </xf>
    <xf numFmtId="0" fontId="4" fillId="0" borderId="4" xfId="1" applyBorder="1" applyAlignment="1">
      <alignment horizontal="center"/>
    </xf>
    <xf numFmtId="0" fontId="4" fillId="0" borderId="5" xfId="1" applyBorder="1" applyAlignment="1">
      <alignment horizontal="center"/>
    </xf>
    <xf numFmtId="0" fontId="0" fillId="0" borderId="3" xfId="0" applyBorder="1"/>
    <xf numFmtId="0" fontId="6" fillId="0" borderId="0" xfId="0" applyFont="1" applyAlignment="1">
      <alignment horizontal="center"/>
    </xf>
    <xf numFmtId="0" fontId="5" fillId="0" borderId="0" xfId="0" applyFont="1"/>
    <xf numFmtId="0" fontId="4" fillId="0" borderId="2" xfId="0" applyFont="1" applyBorder="1" applyAlignment="1">
      <alignment horizontal="center"/>
    </xf>
    <xf numFmtId="0" fontId="0" fillId="0" borderId="2" xfId="0" applyBorder="1" applyAlignment="1">
      <alignment horizontal="center"/>
    </xf>
    <xf numFmtId="0" fontId="5" fillId="0" borderId="2" xfId="0" applyFont="1" applyBorder="1" applyAlignment="1">
      <alignment horizontal="center"/>
    </xf>
    <xf numFmtId="166" fontId="0" fillId="0" borderId="2" xfId="0" applyNumberFormat="1" applyBorder="1" applyAlignment="1">
      <alignment horizontal="center"/>
    </xf>
    <xf numFmtId="2" fontId="0" fillId="0" borderId="2" xfId="0" applyNumberFormat="1" applyBorder="1" applyAlignment="1">
      <alignment horizontal="center"/>
    </xf>
    <xf numFmtId="1" fontId="0" fillId="0" borderId="2" xfId="0" applyNumberFormat="1" applyBorder="1" applyAlignment="1">
      <alignment horizontal="center"/>
    </xf>
    <xf numFmtId="0" fontId="4" fillId="0" borderId="0" xfId="0" applyFont="1" applyAlignment="1">
      <alignment horizontal="left"/>
    </xf>
    <xf numFmtId="0" fontId="0" fillId="2" borderId="2" xfId="0" applyFill="1" applyBorder="1" applyAlignment="1">
      <alignment horizontal="center"/>
    </xf>
    <xf numFmtId="0" fontId="0" fillId="2" borderId="0" xfId="0" applyFill="1" applyAlignment="1">
      <alignment horizontal="center"/>
    </xf>
    <xf numFmtId="0" fontId="4" fillId="2" borderId="2" xfId="0" applyFont="1" applyFill="1" applyBorder="1" applyAlignment="1">
      <alignment horizontal="center"/>
    </xf>
    <xf numFmtId="0" fontId="4" fillId="0" borderId="0" xfId="0" applyFont="1" applyAlignment="1">
      <alignment horizontal="right"/>
    </xf>
    <xf numFmtId="164" fontId="0" fillId="0" borderId="2" xfId="0" applyNumberFormat="1" applyBorder="1" applyAlignment="1">
      <alignment horizontal="center"/>
    </xf>
    <xf numFmtId="0" fontId="4" fillId="0" borderId="4" xfId="0" applyFont="1"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4" fillId="0" borderId="7" xfId="0" applyFont="1" applyBorder="1" applyAlignment="1">
      <alignment horizontal="center"/>
    </xf>
    <xf numFmtId="0" fontId="0" fillId="0" borderId="8"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0" fillId="0" borderId="13" xfId="0" applyBorder="1" applyAlignment="1">
      <alignment horizontal="center"/>
    </xf>
    <xf numFmtId="164" fontId="0" fillId="0" borderId="13" xfId="0" applyNumberFormat="1" applyBorder="1" applyAlignment="1">
      <alignment horizontal="center"/>
    </xf>
    <xf numFmtId="0" fontId="0" fillId="0" borderId="13" xfId="0" applyBorder="1"/>
    <xf numFmtId="0" fontId="0" fillId="0" borderId="14" xfId="0" applyBorder="1" applyAlignment="1">
      <alignment horizontal="center"/>
    </xf>
    <xf numFmtId="0" fontId="8" fillId="0" borderId="0" xfId="0" applyFont="1" applyAlignment="1">
      <alignment horizontal="center"/>
    </xf>
    <xf numFmtId="1" fontId="8" fillId="0" borderId="0" xfId="0" applyNumberFormat="1" applyFont="1" applyAlignment="1">
      <alignment horizontal="center"/>
    </xf>
    <xf numFmtId="165" fontId="0" fillId="0" borderId="0" xfId="0" applyNumberFormat="1" applyAlignment="1">
      <alignment horizontal="center"/>
    </xf>
    <xf numFmtId="0" fontId="0" fillId="3" borderId="2" xfId="0" applyFill="1" applyBorder="1" applyAlignment="1">
      <alignment horizontal="center"/>
    </xf>
    <xf numFmtId="0" fontId="5" fillId="0" borderId="0" xfId="0" applyFont="1" applyAlignment="1">
      <alignment horizontal="center"/>
    </xf>
    <xf numFmtId="0" fontId="4" fillId="0" borderId="10" xfId="0" applyFont="1" applyBorder="1" applyAlignment="1">
      <alignment horizontal="center"/>
    </xf>
    <xf numFmtId="164" fontId="0" fillId="0" borderId="8" xfId="0" applyNumberFormat="1" applyBorder="1" applyAlignment="1">
      <alignment horizontal="center"/>
    </xf>
    <xf numFmtId="0" fontId="0" fillId="0" borderId="0" xfId="0" applyAlignment="1">
      <alignment horizontal="left"/>
    </xf>
    <xf numFmtId="0" fontId="0" fillId="0" borderId="4" xfId="0" applyBorder="1"/>
    <xf numFmtId="0" fontId="0" fillId="0" borderId="6" xfId="0" applyBorder="1"/>
    <xf numFmtId="164" fontId="0" fillId="0" borderId="0" xfId="0" applyNumberFormat="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3" fillId="0" borderId="0" xfId="0" applyFont="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1</c:v>
                </c:pt>
                <c:pt idx="1">
                  <c:v>3</c:v>
                </c:pt>
                <c:pt idx="2">
                  <c:v>4</c:v>
                </c:pt>
                <c:pt idx="3">
                  <c:v>6</c:v>
                </c:pt>
                <c:pt idx="4">
                  <c:v>7</c:v>
                </c:pt>
              </c:numCache>
            </c:numRef>
          </c:xVal>
          <c:yVal>
            <c:numRef>
              <c:f>EJ.1!$L$4:$L$8</c:f>
              <c:numCache>
                <c:formatCode>General</c:formatCode>
                <c:ptCount val="5"/>
                <c:pt idx="0">
                  <c:v>6</c:v>
                </c:pt>
                <c:pt idx="1">
                  <c:v>3</c:v>
                </c:pt>
                <c:pt idx="2">
                  <c:v>1.5</c:v>
                </c:pt>
                <c:pt idx="3">
                  <c:v>1.5</c:v>
                </c:pt>
                <c:pt idx="4">
                  <c:v>3</c:v>
                </c:pt>
              </c:numCache>
            </c:numRef>
          </c:yVal>
          <c:smooth val="1"/>
          <c:extLst>
            <c:ext xmlns:c16="http://schemas.microsoft.com/office/drawing/2014/chart" uri="{C3380CC4-5D6E-409C-BE32-E72D297353CC}">
              <c16:uniqueId val="{00000000-FCE1-4E78-9121-562D1B21E9FD}"/>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1D70-4F7D-B1EB-C7629B118E99}"/>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1</c:v>
                </c:pt>
                <c:pt idx="1">
                  <c:v>3</c:v>
                </c:pt>
                <c:pt idx="2">
                  <c:v>4</c:v>
                </c:pt>
                <c:pt idx="3">
                  <c:v>6</c:v>
                </c:pt>
                <c:pt idx="4">
                  <c:v>7</c:v>
                </c:pt>
              </c:numCache>
            </c:numRef>
          </c:xVal>
          <c:yVal>
            <c:numRef>
              <c:f>EJ.1!$L$4:$L$8</c:f>
              <c:numCache>
                <c:formatCode>General</c:formatCode>
                <c:ptCount val="5"/>
                <c:pt idx="0">
                  <c:v>6</c:v>
                </c:pt>
                <c:pt idx="1">
                  <c:v>3</c:v>
                </c:pt>
                <c:pt idx="2">
                  <c:v>1.5</c:v>
                </c:pt>
                <c:pt idx="3">
                  <c:v>1.5</c:v>
                </c:pt>
                <c:pt idx="4">
                  <c:v>3</c:v>
                </c:pt>
              </c:numCache>
            </c:numRef>
          </c:yVal>
          <c:smooth val="1"/>
          <c:extLst>
            <c:ext xmlns:c16="http://schemas.microsoft.com/office/drawing/2014/chart" uri="{C3380CC4-5D6E-409C-BE32-E72D297353CC}">
              <c16:uniqueId val="{00000000-DBBB-46D3-90E3-C38A8D75DC3E}"/>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54A5-415A-B7D1-5387F5609ACB}"/>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9525</xdr:rowOff>
    </xdr:from>
    <xdr:to>
      <xdr:col>3</xdr:col>
      <xdr:colOff>609600</xdr:colOff>
      <xdr:row>12</xdr:row>
      <xdr:rowOff>133350</xdr:rowOff>
    </xdr:to>
    <xdr:pic>
      <xdr:nvPicPr>
        <xdr:cNvPr id="1026" name="Picture 1">
          <a:extLst>
            <a:ext uri="{FF2B5EF4-FFF2-40B4-BE49-F238E27FC236}">
              <a16:creationId xmlns:a16="http://schemas.microsoft.com/office/drawing/2014/main" id="{B9147D70-DD54-134F-AE29-AC250B002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71450"/>
          <a:ext cx="2057400" cy="1905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304800</xdr:colOff>
      <xdr:row>5</xdr:row>
      <xdr:rowOff>123825</xdr:rowOff>
    </xdr:from>
    <xdr:to>
      <xdr:col>20</xdr:col>
      <xdr:colOff>695325</xdr:colOff>
      <xdr:row>23</xdr:row>
      <xdr:rowOff>66675</xdr:rowOff>
    </xdr:to>
    <xdr:graphicFrame macro="">
      <xdr:nvGraphicFramePr>
        <xdr:cNvPr id="2" name="Gráfico 1">
          <a:extLst>
            <a:ext uri="{FF2B5EF4-FFF2-40B4-BE49-F238E27FC236}">
              <a16:creationId xmlns:a16="http://schemas.microsoft.com/office/drawing/2014/main" id="{A8BCFC3A-D67B-411E-9B68-535A6C23D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247650</xdr:colOff>
      <xdr:row>26</xdr:row>
      <xdr:rowOff>38100</xdr:rowOff>
    </xdr:from>
    <xdr:to>
      <xdr:col>20</xdr:col>
      <xdr:colOff>595314</xdr:colOff>
      <xdr:row>44</xdr:row>
      <xdr:rowOff>28575</xdr:rowOff>
    </xdr:to>
    <xdr:graphicFrame macro="">
      <xdr:nvGraphicFramePr>
        <xdr:cNvPr id="3" name="Gráfico 2">
          <a:extLst>
            <a:ext uri="{FF2B5EF4-FFF2-40B4-BE49-F238E27FC236}">
              <a16:creationId xmlns:a16="http://schemas.microsoft.com/office/drawing/2014/main" id="{3F372C5E-595A-4F4F-8765-4783C7393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685800</xdr:colOff>
      <xdr:row>104</xdr:row>
      <xdr:rowOff>76200</xdr:rowOff>
    </xdr:from>
    <xdr:to>
      <xdr:col>14</xdr:col>
      <xdr:colOff>209550</xdr:colOff>
      <xdr:row>122</xdr:row>
      <xdr:rowOff>19050</xdr:rowOff>
    </xdr:to>
    <xdr:graphicFrame macro="">
      <xdr:nvGraphicFramePr>
        <xdr:cNvPr id="3" name="Gráfico 2">
          <a:extLst>
            <a:ext uri="{FF2B5EF4-FFF2-40B4-BE49-F238E27FC236}">
              <a16:creationId xmlns:a16="http://schemas.microsoft.com/office/drawing/2014/main" id="{34C52FF1-5F66-B2D3-0A6F-72298DA64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242886</xdr:colOff>
      <xdr:row>104</xdr:row>
      <xdr:rowOff>114299</xdr:rowOff>
    </xdr:from>
    <xdr:to>
      <xdr:col>21</xdr:col>
      <xdr:colOff>485775</xdr:colOff>
      <xdr:row>122</xdr:row>
      <xdr:rowOff>104774</xdr:rowOff>
    </xdr:to>
    <xdr:graphicFrame macro="">
      <xdr:nvGraphicFramePr>
        <xdr:cNvPr id="5" name="Gráfico 4">
          <a:extLst>
            <a:ext uri="{FF2B5EF4-FFF2-40B4-BE49-F238E27FC236}">
              <a16:creationId xmlns:a16="http://schemas.microsoft.com/office/drawing/2014/main" id="{2A408E3F-76A4-D2D9-BCE0-78E1C07DB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6:I45"/>
  <sheetViews>
    <sheetView tabSelected="1" workbookViewId="0">
      <selection activeCell="N32" sqref="N32"/>
    </sheetView>
  </sheetViews>
  <sheetFormatPr baseColWidth="10" defaultColWidth="11" defaultRowHeight="12.75" x14ac:dyDescent="0.2"/>
  <cols>
    <col min="1" max="1" width="4.85546875" customWidth="1"/>
    <col min="2" max="3" width="11" customWidth="1"/>
    <col min="4" max="4" width="14.42578125" customWidth="1"/>
  </cols>
  <sheetData>
    <row r="16" spans="2:2" ht="18" x14ac:dyDescent="0.25">
      <c r="B16" s="1" t="s">
        <v>0</v>
      </c>
    </row>
    <row r="18" spans="2:8" ht="18" x14ac:dyDescent="0.25">
      <c r="B18" s="1" t="s">
        <v>1</v>
      </c>
    </row>
    <row r="20" spans="2:8" ht="18" x14ac:dyDescent="0.25">
      <c r="B20" s="1" t="s">
        <v>2</v>
      </c>
      <c r="C20" s="2"/>
      <c r="D20" s="2"/>
      <c r="E20" s="2"/>
      <c r="F20" s="2"/>
      <c r="G20" s="2"/>
      <c r="H20" s="2"/>
    </row>
    <row r="21" spans="2:8" ht="18" x14ac:dyDescent="0.25">
      <c r="B21" s="2"/>
      <c r="C21" s="2"/>
      <c r="D21" s="2"/>
      <c r="E21" s="2"/>
      <c r="F21" s="2"/>
      <c r="G21" s="2"/>
      <c r="H21" s="2"/>
    </row>
    <row r="22" spans="2:8" ht="18" x14ac:dyDescent="0.25">
      <c r="B22" s="2"/>
      <c r="C22" s="2"/>
      <c r="D22" s="2" t="s">
        <v>3</v>
      </c>
      <c r="E22" s="2"/>
      <c r="F22" s="2"/>
      <c r="G22" s="2"/>
      <c r="H22" s="2"/>
    </row>
    <row r="23" spans="2:8" ht="18" x14ac:dyDescent="0.25">
      <c r="B23" s="2"/>
      <c r="C23" s="2"/>
      <c r="D23" s="2" t="s">
        <v>4</v>
      </c>
      <c r="E23" s="2"/>
      <c r="F23" s="2"/>
      <c r="G23" s="2"/>
      <c r="H23" s="2"/>
    </row>
    <row r="24" spans="2:8" ht="18" x14ac:dyDescent="0.25">
      <c r="B24" s="2"/>
      <c r="C24" s="2"/>
      <c r="D24" s="2"/>
      <c r="E24" s="2"/>
      <c r="F24" s="2"/>
      <c r="G24" s="2"/>
      <c r="H24" s="2"/>
    </row>
    <row r="25" spans="2:8" ht="18" x14ac:dyDescent="0.25">
      <c r="B25" s="2"/>
      <c r="C25" s="2"/>
      <c r="D25" s="2"/>
      <c r="E25" s="2"/>
      <c r="F25" s="2"/>
      <c r="G25" s="2"/>
      <c r="H25" s="2"/>
    </row>
    <row r="26" spans="2:8" ht="18" x14ac:dyDescent="0.25">
      <c r="B26" s="2" t="s">
        <v>5</v>
      </c>
      <c r="C26" s="2"/>
      <c r="D26" s="2"/>
      <c r="E26" s="2"/>
      <c r="F26" s="2"/>
      <c r="G26" s="2"/>
      <c r="H26" s="2"/>
    </row>
    <row r="27" spans="2:8" ht="18" x14ac:dyDescent="0.25">
      <c r="B27" s="2"/>
      <c r="C27" s="2"/>
      <c r="D27" s="2" t="s">
        <v>6</v>
      </c>
      <c r="E27" s="2"/>
      <c r="F27" s="2"/>
      <c r="G27" s="2"/>
      <c r="H27" s="2"/>
    </row>
    <row r="31" spans="2:8" ht="18" x14ac:dyDescent="0.25">
      <c r="B31" s="1" t="s">
        <v>7</v>
      </c>
      <c r="C31" s="2"/>
      <c r="D31" s="2"/>
      <c r="E31" s="2"/>
      <c r="F31" s="2"/>
      <c r="G31" s="2"/>
      <c r="H31" s="2"/>
    </row>
    <row r="32" spans="2:8" ht="18" x14ac:dyDescent="0.25">
      <c r="B32" s="2"/>
      <c r="C32" s="2"/>
      <c r="D32" s="2"/>
      <c r="E32" s="2"/>
      <c r="F32" s="2"/>
      <c r="G32" s="2"/>
      <c r="H32" s="2"/>
    </row>
    <row r="33" spans="2:9" ht="18" x14ac:dyDescent="0.25">
      <c r="B33" s="2"/>
      <c r="C33" s="3" t="s">
        <v>8</v>
      </c>
      <c r="E33" s="63" t="s">
        <v>14</v>
      </c>
      <c r="F33" s="63"/>
      <c r="G33" s="63"/>
      <c r="H33" s="63"/>
      <c r="I33" s="63"/>
    </row>
    <row r="35" spans="2:9" ht="18" x14ac:dyDescent="0.25">
      <c r="C35" s="3" t="s">
        <v>9</v>
      </c>
      <c r="E35" s="64" t="s">
        <v>15</v>
      </c>
      <c r="F35" s="64"/>
      <c r="G35" s="64"/>
      <c r="H35" s="64"/>
      <c r="I35" s="64"/>
    </row>
    <row r="37" spans="2:9" ht="18" x14ac:dyDescent="0.25">
      <c r="C37" s="3"/>
    </row>
    <row r="39" spans="2:9" ht="18" x14ac:dyDescent="0.25">
      <c r="C39" s="3"/>
    </row>
    <row r="45" spans="2:9" ht="18" x14ac:dyDescent="0.25">
      <c r="C45" s="3" t="s">
        <v>10</v>
      </c>
    </row>
  </sheetData>
  <sheetProtection selectLockedCells="1" selectUnlockedCells="1"/>
  <mergeCells count="2">
    <mergeCell ref="E33:I33"/>
    <mergeCell ref="E35:I35"/>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76"/>
  <sheetViews>
    <sheetView topLeftCell="A7" workbookViewId="0">
      <selection activeCell="L34" sqref="L34:L38"/>
    </sheetView>
  </sheetViews>
  <sheetFormatPr baseColWidth="10" defaultColWidth="11" defaultRowHeight="12.75" x14ac:dyDescent="0.2"/>
  <cols>
    <col min="14" max="14" width="12.28515625" bestFit="1" customWidth="1"/>
  </cols>
  <sheetData>
    <row r="3" spans="1:14" x14ac:dyDescent="0.2">
      <c r="A3" t="s">
        <v>118</v>
      </c>
    </row>
    <row r="5" spans="1:14" x14ac:dyDescent="0.2">
      <c r="B5" s="27" t="s">
        <v>16</v>
      </c>
      <c r="C5" s="27" t="s">
        <v>17</v>
      </c>
    </row>
    <row r="6" spans="1:14" x14ac:dyDescent="0.2">
      <c r="B6" s="26">
        <v>1</v>
      </c>
      <c r="C6" s="26">
        <v>6</v>
      </c>
    </row>
    <row r="7" spans="1:14" x14ac:dyDescent="0.2">
      <c r="B7" s="26">
        <v>3</v>
      </c>
      <c r="C7" s="26">
        <v>3</v>
      </c>
    </row>
    <row r="8" spans="1:14" x14ac:dyDescent="0.2">
      <c r="B8" s="26">
        <v>4</v>
      </c>
      <c r="C8" s="26">
        <v>1.5</v>
      </c>
    </row>
    <row r="9" spans="1:14" x14ac:dyDescent="0.2">
      <c r="B9" s="26">
        <v>6</v>
      </c>
      <c r="C9" s="26">
        <v>1.5</v>
      </c>
    </row>
    <row r="10" spans="1:14" x14ac:dyDescent="0.2">
      <c r="B10" s="26">
        <v>7</v>
      </c>
      <c r="C10" s="26">
        <v>3</v>
      </c>
    </row>
    <row r="13" spans="1:14" x14ac:dyDescent="0.2">
      <c r="A13" t="s">
        <v>119</v>
      </c>
    </row>
    <row r="15" spans="1:14" x14ac:dyDescent="0.2">
      <c r="A15" s="9" t="s">
        <v>72</v>
      </c>
      <c r="B15" s="9" t="s">
        <v>47</v>
      </c>
      <c r="C15" s="9">
        <v>6</v>
      </c>
      <c r="D15" s="9" t="s">
        <v>59</v>
      </c>
      <c r="E15" s="9">
        <v>-1.5</v>
      </c>
      <c r="F15" s="9" t="s">
        <v>120</v>
      </c>
      <c r="G15" s="9" t="s">
        <v>59</v>
      </c>
      <c r="H15" s="9">
        <v>0</v>
      </c>
      <c r="I15" s="9" t="s">
        <v>127</v>
      </c>
      <c r="J15" s="9" t="s">
        <v>59</v>
      </c>
      <c r="K15" s="9">
        <v>0</v>
      </c>
      <c r="L15" s="9" t="s">
        <v>128</v>
      </c>
      <c r="M15" s="9"/>
      <c r="N15" s="9" t="s">
        <v>132</v>
      </c>
    </row>
    <row r="16" spans="1:14" x14ac:dyDescent="0.2">
      <c r="A16" s="9" t="s">
        <v>73</v>
      </c>
      <c r="B16" s="9" t="s">
        <v>47</v>
      </c>
      <c r="C16" s="9">
        <v>3</v>
      </c>
      <c r="D16" s="9" t="s">
        <v>59</v>
      </c>
      <c r="E16" s="9">
        <v>-1.6875</v>
      </c>
      <c r="F16" s="9" t="s">
        <v>121</v>
      </c>
      <c r="G16" s="9" t="s">
        <v>59</v>
      </c>
      <c r="H16" s="9">
        <v>0</v>
      </c>
      <c r="I16" s="9" t="s">
        <v>126</v>
      </c>
      <c r="J16" s="9" t="s">
        <v>59</v>
      </c>
      <c r="K16" s="9">
        <v>0.1875</v>
      </c>
      <c r="L16" s="9" t="s">
        <v>129</v>
      </c>
      <c r="M16" s="9"/>
      <c r="N16" s="9" t="s">
        <v>135</v>
      </c>
    </row>
    <row r="17" spans="1:14" x14ac:dyDescent="0.2">
      <c r="A17" s="9" t="s">
        <v>74</v>
      </c>
      <c r="B17" s="9" t="s">
        <v>47</v>
      </c>
      <c r="C17" s="9">
        <v>1.5</v>
      </c>
      <c r="D17" s="9" t="s">
        <v>59</v>
      </c>
      <c r="E17" s="9">
        <v>-1.0714285714285714</v>
      </c>
      <c r="F17" s="9" t="s">
        <v>122</v>
      </c>
      <c r="G17" s="9" t="s">
        <v>59</v>
      </c>
      <c r="H17" s="9">
        <v>0.5625</v>
      </c>
      <c r="I17" s="9" t="s">
        <v>125</v>
      </c>
      <c r="J17" s="9" t="s">
        <v>59</v>
      </c>
      <c r="K17" s="9">
        <v>-1.3392857142857142E-2</v>
      </c>
      <c r="L17" s="9" t="s">
        <v>130</v>
      </c>
      <c r="M17" s="9"/>
      <c r="N17" s="9" t="s">
        <v>133</v>
      </c>
    </row>
    <row r="18" spans="1:14" x14ac:dyDescent="0.2">
      <c r="A18" s="9" t="s">
        <v>98</v>
      </c>
      <c r="B18" s="9" t="s">
        <v>47</v>
      </c>
      <c r="C18" s="9">
        <v>1.5</v>
      </c>
      <c r="D18" s="9" t="s">
        <v>59</v>
      </c>
      <c r="E18" s="9">
        <v>1.1785714285714286</v>
      </c>
      <c r="F18" s="9" t="s">
        <v>123</v>
      </c>
      <c r="G18" s="9" t="s">
        <v>59</v>
      </c>
      <c r="H18" s="9">
        <v>0.48214285714285715</v>
      </c>
      <c r="I18" s="9" t="s">
        <v>124</v>
      </c>
      <c r="J18" s="9" t="s">
        <v>59</v>
      </c>
      <c r="K18" s="9">
        <v>-0.16071428571428573</v>
      </c>
      <c r="L18" s="9" t="s">
        <v>131</v>
      </c>
      <c r="M18" s="9"/>
      <c r="N18" s="9" t="s">
        <v>134</v>
      </c>
    </row>
    <row r="21" spans="1:14" x14ac:dyDescent="0.2">
      <c r="A21" s="59" t="s">
        <v>136</v>
      </c>
      <c r="C21" s="9">
        <v>4.5</v>
      </c>
    </row>
    <row r="25" spans="1:14" x14ac:dyDescent="0.2">
      <c r="A25" t="s">
        <v>137</v>
      </c>
    </row>
    <row r="27" spans="1:14" x14ac:dyDescent="0.2">
      <c r="B27" s="27" t="s">
        <v>16</v>
      </c>
      <c r="C27" s="27" t="s">
        <v>17</v>
      </c>
    </row>
    <row r="28" spans="1:14" x14ac:dyDescent="0.2">
      <c r="B28" s="55">
        <v>-0.5</v>
      </c>
      <c r="C28" s="55">
        <v>0</v>
      </c>
    </row>
    <row r="31" spans="1:14" x14ac:dyDescent="0.2">
      <c r="A31" t="s">
        <v>138</v>
      </c>
    </row>
    <row r="34" spans="1:14" x14ac:dyDescent="0.2">
      <c r="A34" s="9" t="s">
        <v>72</v>
      </c>
      <c r="B34" s="9" t="s">
        <v>47</v>
      </c>
      <c r="C34" s="9">
        <v>0</v>
      </c>
      <c r="D34" s="9" t="s">
        <v>59</v>
      </c>
      <c r="E34" s="9">
        <v>1.1938775510204085</v>
      </c>
      <c r="F34" s="9" t="s">
        <v>139</v>
      </c>
      <c r="G34" s="9" t="s">
        <v>59</v>
      </c>
      <c r="H34" s="9">
        <v>0</v>
      </c>
      <c r="I34" s="9" t="s">
        <v>140</v>
      </c>
      <c r="J34" s="9" t="s">
        <v>59</v>
      </c>
      <c r="K34" s="9">
        <v>4.6465014577259474E-3</v>
      </c>
      <c r="L34" s="9" t="s">
        <v>141</v>
      </c>
      <c r="M34" s="9"/>
      <c r="N34" s="9" t="str">
        <f>"-0.5&lt;x&lt;1"</f>
        <v>-0.5&lt;x&lt;1</v>
      </c>
    </row>
    <row r="35" spans="1:14" x14ac:dyDescent="0.2">
      <c r="A35" s="9" t="s">
        <v>73</v>
      </c>
      <c r="B35" s="9" t="s">
        <v>47</v>
      </c>
      <c r="C35" s="9">
        <v>6</v>
      </c>
      <c r="D35" s="9" t="s">
        <v>59</v>
      </c>
      <c r="E35" s="9">
        <v>1.1938775510204085</v>
      </c>
      <c r="F35" s="9" t="s">
        <v>120</v>
      </c>
      <c r="G35" s="9" t="s">
        <v>59</v>
      </c>
      <c r="H35" s="9">
        <v>-2.3571428571428572</v>
      </c>
      <c r="I35" s="9" t="s">
        <v>127</v>
      </c>
      <c r="J35" s="9" t="s">
        <v>59</v>
      </c>
      <c r="K35" s="9">
        <v>9.2930029154518947E-3</v>
      </c>
      <c r="L35" s="9" t="s">
        <v>128</v>
      </c>
      <c r="M35" s="9"/>
      <c r="N35" s="9" t="s">
        <v>132</v>
      </c>
    </row>
    <row r="36" spans="1:14" x14ac:dyDescent="0.2">
      <c r="A36" s="9" t="s">
        <v>74</v>
      </c>
      <c r="B36" s="9" t="s">
        <v>47</v>
      </c>
      <c r="C36" s="9">
        <v>3</v>
      </c>
      <c r="D36" s="9" t="s">
        <v>59</v>
      </c>
      <c r="E36" s="9">
        <v>-2.108418367346939</v>
      </c>
      <c r="F36" s="9" t="s">
        <v>121</v>
      </c>
      <c r="G36" s="9" t="s">
        <v>59</v>
      </c>
      <c r="H36" s="9">
        <v>0.67346938775510201</v>
      </c>
      <c r="I36" s="9" t="s">
        <v>126</v>
      </c>
      <c r="J36" s="9" t="s">
        <v>59</v>
      </c>
      <c r="K36" s="9">
        <v>-6.5051020408163254E-2</v>
      </c>
      <c r="L36" s="9" t="s">
        <v>129</v>
      </c>
      <c r="M36" s="9"/>
      <c r="N36" s="9" t="s">
        <v>135</v>
      </c>
    </row>
    <row r="37" spans="1:14" x14ac:dyDescent="0.2">
      <c r="A37" s="9" t="s">
        <v>98</v>
      </c>
      <c r="B37" s="9" t="s">
        <v>47</v>
      </c>
      <c r="C37" s="9">
        <v>1.5</v>
      </c>
      <c r="D37" s="9" t="s">
        <v>59</v>
      </c>
      <c r="E37" s="9">
        <v>-0.97521865889212833</v>
      </c>
      <c r="F37" s="9" t="s">
        <v>122</v>
      </c>
      <c r="G37" s="9" t="s">
        <v>59</v>
      </c>
      <c r="H37" s="9">
        <v>0.47831632653061223</v>
      </c>
      <c r="I37" s="9" t="s">
        <v>125</v>
      </c>
      <c r="J37" s="9" t="s">
        <v>59</v>
      </c>
      <c r="K37" s="9">
        <v>4.6465014577259474E-3</v>
      </c>
      <c r="L37" s="9" t="s">
        <v>130</v>
      </c>
      <c r="M37" s="9"/>
      <c r="N37" s="9" t="s">
        <v>133</v>
      </c>
    </row>
    <row r="38" spans="1:14" x14ac:dyDescent="0.2">
      <c r="A38" s="9" t="s">
        <v>113</v>
      </c>
      <c r="B38" s="9" t="s">
        <v>47</v>
      </c>
      <c r="C38" s="9">
        <v>1.5</v>
      </c>
      <c r="D38" s="9" t="s">
        <v>59</v>
      </c>
      <c r="E38" s="9">
        <v>1.162536443148688</v>
      </c>
      <c r="F38" s="9" t="s">
        <v>123</v>
      </c>
      <c r="G38" s="9" t="s">
        <v>59</v>
      </c>
      <c r="H38" s="9">
        <v>0</v>
      </c>
      <c r="I38" s="9" t="s">
        <v>124</v>
      </c>
      <c r="J38" s="9" t="s">
        <v>59</v>
      </c>
      <c r="K38" s="9">
        <v>-0.16873177842565601</v>
      </c>
      <c r="L38" s="9" t="s">
        <v>131</v>
      </c>
      <c r="M38" s="9"/>
      <c r="N38" s="9" t="s">
        <v>134</v>
      </c>
    </row>
    <row r="42" spans="1:14" x14ac:dyDescent="0.2">
      <c r="A42" t="s">
        <v>142</v>
      </c>
    </row>
    <row r="43" spans="1:14" x14ac:dyDescent="0.2">
      <c r="A43" t="s">
        <v>143</v>
      </c>
    </row>
    <row r="52" spans="1:5" x14ac:dyDescent="0.2">
      <c r="A52" t="s">
        <v>144</v>
      </c>
    </row>
    <row r="54" spans="1:5" x14ac:dyDescent="0.2">
      <c r="B54" s="11" t="s">
        <v>16</v>
      </c>
      <c r="C54" s="11" t="s">
        <v>17</v>
      </c>
    </row>
    <row r="55" spans="1:5" x14ac:dyDescent="0.2">
      <c r="B55" s="12">
        <v>0</v>
      </c>
      <c r="C55" s="12">
        <v>0</v>
      </c>
    </row>
    <row r="56" spans="1:5" x14ac:dyDescent="0.2">
      <c r="B56" s="12">
        <v>0.78500000000000003</v>
      </c>
      <c r="C56" s="12">
        <v>0.70699999999999996</v>
      </c>
    </row>
    <row r="57" spans="1:5" x14ac:dyDescent="0.2">
      <c r="B57" s="12">
        <v>1.571</v>
      </c>
      <c r="C57" s="12">
        <v>1</v>
      </c>
    </row>
    <row r="58" spans="1:5" x14ac:dyDescent="0.2">
      <c r="B58" s="12">
        <v>2.6179999999999999</v>
      </c>
      <c r="C58" s="12">
        <v>0.5</v>
      </c>
    </row>
    <row r="59" spans="1:5" x14ac:dyDescent="0.2">
      <c r="B59" s="12">
        <v>3.1419999999999999</v>
      </c>
      <c r="C59" s="12">
        <v>0</v>
      </c>
    </row>
    <row r="62" spans="1:5" x14ac:dyDescent="0.2">
      <c r="A62" t="s">
        <v>145</v>
      </c>
    </row>
    <row r="64" spans="1:5" x14ac:dyDescent="0.2">
      <c r="A64" s="5" t="s">
        <v>26</v>
      </c>
      <c r="B64" s="16" t="s">
        <v>40</v>
      </c>
      <c r="C64" s="5"/>
      <c r="D64" s="5"/>
      <c r="E64" s="5"/>
    </row>
    <row r="65" spans="1:7" ht="13.5" thickBot="1" x14ac:dyDescent="0.25"/>
    <row r="66" spans="1:7" ht="13.5" thickBot="1" x14ac:dyDescent="0.25">
      <c r="A66" s="60" t="s">
        <v>146</v>
      </c>
      <c r="B66" s="61" t="s">
        <v>47</v>
      </c>
      <c r="C66" s="14">
        <f>B57+(C57*D59)+(D57*D59*(D59-C52))+(E57*D59*(D59-C52)*(D59-C53))</f>
        <v>1.571</v>
      </c>
    </row>
    <row r="71" spans="1:7" x14ac:dyDescent="0.2">
      <c r="A71" t="s">
        <v>147</v>
      </c>
    </row>
    <row r="73" spans="1:7" x14ac:dyDescent="0.2">
      <c r="A73" s="15" t="s">
        <v>25</v>
      </c>
      <c r="B73" s="17" t="s">
        <v>41</v>
      </c>
      <c r="C73" s="15"/>
      <c r="D73" s="15"/>
      <c r="E73" s="15"/>
      <c r="F73" s="9"/>
      <c r="G73" s="9"/>
    </row>
    <row r="74" spans="1:7" x14ac:dyDescent="0.2">
      <c r="A74" s="5"/>
      <c r="B74" s="5"/>
      <c r="C74" s="5"/>
      <c r="D74" s="5"/>
      <c r="E74" s="5"/>
      <c r="F74" s="9"/>
      <c r="G74" s="9"/>
    </row>
    <row r="75" spans="1:7" ht="13.5" thickBot="1" x14ac:dyDescent="0.25">
      <c r="A75" s="5"/>
      <c r="B75" s="5"/>
      <c r="C75" s="5"/>
      <c r="D75" s="5"/>
      <c r="E75" s="5"/>
      <c r="F75" s="9"/>
      <c r="G75" s="9"/>
    </row>
    <row r="76" spans="1:7" ht="13.5" thickBot="1" x14ac:dyDescent="0.25">
      <c r="A76" s="20" t="s">
        <v>27</v>
      </c>
      <c r="B76" s="21">
        <v>0.14667557202274556</v>
      </c>
      <c r="C76" s="5"/>
      <c r="D76" s="5"/>
      <c r="E76" s="5"/>
      <c r="F76" s="9"/>
      <c r="G76" s="9"/>
    </row>
  </sheetData>
  <sheetProtection selectLockedCells="1" selectUnlockedCells="1"/>
  <pageMargins left="0.7" right="0.7" top="0.75" bottom="0.75" header="0.51180555555555551" footer="0.51180555555555551"/>
  <pageSetup paperSize="9" firstPageNumber="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54"/>
  <sheetViews>
    <sheetView workbookViewId="0">
      <selection activeCell="M11" sqref="M11"/>
    </sheetView>
  </sheetViews>
  <sheetFormatPr baseColWidth="10" defaultColWidth="11" defaultRowHeight="12.75" x14ac:dyDescent="0.2"/>
  <sheetData>
    <row r="2" spans="1:8" ht="12.75" customHeight="1" x14ac:dyDescent="0.2">
      <c r="A2" s="65" t="s">
        <v>11</v>
      </c>
      <c r="B2" s="65"/>
      <c r="C2" s="65"/>
      <c r="D2" s="65"/>
      <c r="E2" s="65"/>
      <c r="F2" s="65"/>
      <c r="G2" s="65"/>
      <c r="H2" s="65"/>
    </row>
    <row r="3" spans="1:8" x14ac:dyDescent="0.2">
      <c r="A3" s="65"/>
      <c r="B3" s="65"/>
      <c r="C3" s="65"/>
      <c r="D3" s="65"/>
      <c r="E3" s="65"/>
      <c r="F3" s="65"/>
      <c r="G3" s="65"/>
      <c r="H3" s="65"/>
    </row>
    <row r="4" spans="1:8" x14ac:dyDescent="0.2">
      <c r="A4" s="65"/>
      <c r="B4" s="65"/>
      <c r="C4" s="65"/>
      <c r="D4" s="65"/>
      <c r="E4" s="65"/>
      <c r="F4" s="65"/>
      <c r="G4" s="65"/>
      <c r="H4" s="65"/>
    </row>
    <row r="5" spans="1:8" x14ac:dyDescent="0.2">
      <c r="A5" s="65"/>
      <c r="B5" s="65"/>
      <c r="C5" s="65"/>
      <c r="D5" s="65"/>
      <c r="E5" s="65"/>
      <c r="F5" s="65"/>
      <c r="G5" s="65"/>
      <c r="H5" s="65"/>
    </row>
    <row r="6" spans="1:8" x14ac:dyDescent="0.2">
      <c r="A6" s="65"/>
      <c r="B6" s="65"/>
      <c r="C6" s="65"/>
      <c r="D6" s="65"/>
      <c r="E6" s="65"/>
      <c r="F6" s="65"/>
      <c r="G6" s="65"/>
      <c r="H6" s="65"/>
    </row>
    <row r="7" spans="1:8" x14ac:dyDescent="0.2">
      <c r="A7" s="65"/>
      <c r="B7" s="65"/>
      <c r="C7" s="65"/>
      <c r="D7" s="65"/>
      <c r="E7" s="65"/>
      <c r="F7" s="65"/>
      <c r="G7" s="65"/>
      <c r="H7" s="65"/>
    </row>
    <row r="8" spans="1:8" x14ac:dyDescent="0.2">
      <c r="A8" s="65"/>
      <c r="B8" s="65"/>
      <c r="C8" s="65"/>
      <c r="D8" s="65"/>
      <c r="E8" s="65"/>
      <c r="F8" s="65"/>
      <c r="G8" s="65"/>
      <c r="H8" s="65"/>
    </row>
    <row r="9" spans="1:8" x14ac:dyDescent="0.2">
      <c r="A9" s="65"/>
      <c r="B9" s="65"/>
      <c r="C9" s="65"/>
      <c r="D9" s="65"/>
      <c r="E9" s="65"/>
      <c r="F9" s="65"/>
      <c r="G9" s="65"/>
      <c r="H9" s="65"/>
    </row>
    <row r="10" spans="1:8" x14ac:dyDescent="0.2">
      <c r="A10" s="65"/>
      <c r="B10" s="65"/>
      <c r="C10" s="65"/>
      <c r="D10" s="65"/>
      <c r="E10" s="65"/>
      <c r="F10" s="65"/>
      <c r="G10" s="65"/>
      <c r="H10" s="65"/>
    </row>
    <row r="11" spans="1:8" x14ac:dyDescent="0.2">
      <c r="A11" s="65"/>
      <c r="B11" s="65"/>
      <c r="C11" s="65"/>
      <c r="D11" s="65"/>
      <c r="E11" s="65"/>
      <c r="F11" s="65"/>
      <c r="G11" s="65"/>
      <c r="H11" s="65"/>
    </row>
    <row r="12" spans="1:8" x14ac:dyDescent="0.2">
      <c r="A12" s="65"/>
      <c r="B12" s="65"/>
      <c r="C12" s="65"/>
      <c r="D12" s="65"/>
      <c r="E12" s="65"/>
      <c r="F12" s="65"/>
      <c r="G12" s="65"/>
      <c r="H12" s="65"/>
    </row>
    <row r="13" spans="1:8" x14ac:dyDescent="0.2">
      <c r="A13" s="65"/>
      <c r="B13" s="65"/>
      <c r="C13" s="65"/>
      <c r="D13" s="65"/>
      <c r="E13" s="65"/>
      <c r="F13" s="65"/>
      <c r="G13" s="65"/>
      <c r="H13" s="65"/>
    </row>
    <row r="14" spans="1:8" x14ac:dyDescent="0.2">
      <c r="A14" s="65"/>
      <c r="B14" s="65"/>
      <c r="C14" s="65"/>
      <c r="D14" s="65"/>
      <c r="E14" s="65"/>
      <c r="F14" s="65"/>
      <c r="G14" s="65"/>
      <c r="H14" s="65"/>
    </row>
    <row r="15" spans="1:8" x14ac:dyDescent="0.2">
      <c r="A15" s="65"/>
      <c r="B15" s="65"/>
      <c r="C15" s="65"/>
      <c r="D15" s="65"/>
      <c r="E15" s="65"/>
      <c r="F15" s="65"/>
      <c r="G15" s="65"/>
      <c r="H15" s="65"/>
    </row>
    <row r="16" spans="1:8" x14ac:dyDescent="0.2">
      <c r="A16" s="65"/>
      <c r="B16" s="65"/>
      <c r="C16" s="65"/>
      <c r="D16" s="65"/>
      <c r="E16" s="65"/>
      <c r="F16" s="65"/>
      <c r="G16" s="65"/>
      <c r="H16" s="65"/>
    </row>
    <row r="17" spans="1:8" x14ac:dyDescent="0.2">
      <c r="A17" s="65"/>
      <c r="B17" s="65"/>
      <c r="C17" s="65"/>
      <c r="D17" s="65"/>
      <c r="E17" s="65"/>
      <c r="F17" s="65"/>
      <c r="G17" s="65"/>
      <c r="H17" s="65"/>
    </row>
    <row r="18" spans="1:8" x14ac:dyDescent="0.2">
      <c r="A18" s="65"/>
      <c r="B18" s="65"/>
      <c r="C18" s="65"/>
      <c r="D18" s="65"/>
      <c r="E18" s="65"/>
      <c r="F18" s="65"/>
      <c r="G18" s="65"/>
      <c r="H18" s="65"/>
    </row>
    <row r="19" spans="1:8" x14ac:dyDescent="0.2">
      <c r="A19" s="65"/>
      <c r="B19" s="65"/>
      <c r="C19" s="65"/>
      <c r="D19" s="65"/>
      <c r="E19" s="65"/>
      <c r="F19" s="65"/>
      <c r="G19" s="65"/>
      <c r="H19" s="65"/>
    </row>
    <row r="20" spans="1:8" x14ac:dyDescent="0.2">
      <c r="A20" s="65"/>
      <c r="B20" s="65"/>
      <c r="C20" s="65"/>
      <c r="D20" s="65"/>
      <c r="E20" s="65"/>
      <c r="F20" s="65"/>
      <c r="G20" s="65"/>
      <c r="H20" s="65"/>
    </row>
    <row r="21" spans="1:8" x14ac:dyDescent="0.2">
      <c r="A21" s="65"/>
      <c r="B21" s="65"/>
      <c r="C21" s="65"/>
      <c r="D21" s="65"/>
      <c r="E21" s="65"/>
      <c r="F21" s="65"/>
      <c r="G21" s="65"/>
      <c r="H21" s="65"/>
    </row>
    <row r="22" spans="1:8" x14ac:dyDescent="0.2">
      <c r="A22" s="65"/>
      <c r="B22" s="65"/>
      <c r="C22" s="65"/>
      <c r="D22" s="65"/>
      <c r="E22" s="65"/>
      <c r="F22" s="65"/>
      <c r="G22" s="65"/>
      <c r="H22" s="65"/>
    </row>
    <row r="23" spans="1:8" x14ac:dyDescent="0.2">
      <c r="A23" s="65"/>
      <c r="B23" s="65"/>
      <c r="C23" s="65"/>
      <c r="D23" s="65"/>
      <c r="E23" s="65"/>
      <c r="F23" s="65"/>
      <c r="G23" s="65"/>
      <c r="H23" s="65"/>
    </row>
    <row r="24" spans="1:8" x14ac:dyDescent="0.2">
      <c r="A24" s="65"/>
      <c r="B24" s="65"/>
      <c r="C24" s="65"/>
      <c r="D24" s="65"/>
      <c r="E24" s="65"/>
      <c r="F24" s="65"/>
      <c r="G24" s="65"/>
      <c r="H24" s="65"/>
    </row>
    <row r="25" spans="1:8" x14ac:dyDescent="0.2">
      <c r="A25" s="65"/>
      <c r="B25" s="65"/>
      <c r="C25" s="65"/>
      <c r="D25" s="65"/>
      <c r="E25" s="65"/>
      <c r="F25" s="65"/>
      <c r="G25" s="65"/>
      <c r="H25" s="65"/>
    </row>
    <row r="26" spans="1:8" x14ac:dyDescent="0.2">
      <c r="A26" s="65"/>
      <c r="B26" s="65"/>
      <c r="C26" s="65"/>
      <c r="D26" s="65"/>
      <c r="E26" s="65"/>
      <c r="F26" s="65"/>
      <c r="G26" s="65"/>
      <c r="H26" s="65"/>
    </row>
    <row r="27" spans="1:8" x14ac:dyDescent="0.2">
      <c r="A27" s="65"/>
      <c r="B27" s="65"/>
      <c r="C27" s="65"/>
      <c r="D27" s="65"/>
      <c r="E27" s="65"/>
      <c r="F27" s="65"/>
      <c r="G27" s="65"/>
      <c r="H27" s="65"/>
    </row>
    <row r="28" spans="1:8" x14ac:dyDescent="0.2">
      <c r="A28" s="65"/>
      <c r="B28" s="65"/>
      <c r="C28" s="65"/>
      <c r="D28" s="65"/>
      <c r="E28" s="65"/>
      <c r="F28" s="65"/>
      <c r="G28" s="65"/>
      <c r="H28" s="65"/>
    </row>
    <row r="29" spans="1:8" x14ac:dyDescent="0.2">
      <c r="A29" s="65"/>
      <c r="B29" s="65"/>
      <c r="C29" s="65"/>
      <c r="D29" s="65"/>
      <c r="E29" s="65"/>
      <c r="F29" s="65"/>
      <c r="G29" s="65"/>
      <c r="H29" s="65"/>
    </row>
    <row r="30" spans="1:8" x14ac:dyDescent="0.2">
      <c r="A30" s="65"/>
      <c r="B30" s="65"/>
      <c r="C30" s="65"/>
      <c r="D30" s="65"/>
      <c r="E30" s="65"/>
      <c r="F30" s="65"/>
      <c r="G30" s="65"/>
      <c r="H30" s="65"/>
    </row>
    <row r="31" spans="1:8" x14ac:dyDescent="0.2">
      <c r="A31" s="65"/>
      <c r="B31" s="65"/>
      <c r="C31" s="65"/>
      <c r="D31" s="65"/>
      <c r="E31" s="65"/>
      <c r="F31" s="65"/>
      <c r="G31" s="65"/>
      <c r="H31" s="65"/>
    </row>
    <row r="32" spans="1:8" x14ac:dyDescent="0.2">
      <c r="A32" s="65"/>
      <c r="B32" s="65"/>
      <c r="C32" s="65"/>
      <c r="D32" s="65"/>
      <c r="E32" s="65"/>
      <c r="F32" s="65"/>
      <c r="G32" s="65"/>
      <c r="H32" s="65"/>
    </row>
    <row r="33" spans="1:8" x14ac:dyDescent="0.2">
      <c r="A33" s="65"/>
      <c r="B33" s="65"/>
      <c r="C33" s="65"/>
      <c r="D33" s="65"/>
      <c r="E33" s="65"/>
      <c r="F33" s="65"/>
      <c r="G33" s="65"/>
      <c r="H33" s="65"/>
    </row>
    <row r="34" spans="1:8" x14ac:dyDescent="0.2">
      <c r="A34" s="65"/>
      <c r="B34" s="65"/>
      <c r="C34" s="65"/>
      <c r="D34" s="65"/>
      <c r="E34" s="65"/>
      <c r="F34" s="65"/>
      <c r="G34" s="65"/>
      <c r="H34" s="65"/>
    </row>
    <row r="35" spans="1:8" x14ac:dyDescent="0.2">
      <c r="A35" s="65"/>
      <c r="B35" s="65"/>
      <c r="C35" s="65"/>
      <c r="D35" s="65"/>
      <c r="E35" s="65"/>
      <c r="F35" s="65"/>
      <c r="G35" s="65"/>
      <c r="H35" s="65"/>
    </row>
    <row r="36" spans="1:8" x14ac:dyDescent="0.2">
      <c r="A36" s="65"/>
      <c r="B36" s="65"/>
      <c r="C36" s="65"/>
      <c r="D36" s="65"/>
      <c r="E36" s="65"/>
      <c r="F36" s="65"/>
      <c r="G36" s="65"/>
      <c r="H36" s="65"/>
    </row>
    <row r="37" spans="1:8" x14ac:dyDescent="0.2">
      <c r="A37" s="65"/>
      <c r="B37" s="65"/>
      <c r="C37" s="65"/>
      <c r="D37" s="65"/>
      <c r="E37" s="65"/>
      <c r="F37" s="65"/>
      <c r="G37" s="65"/>
      <c r="H37" s="65"/>
    </row>
    <row r="38" spans="1:8" x14ac:dyDescent="0.2">
      <c r="A38" s="65"/>
      <c r="B38" s="65"/>
      <c r="C38" s="65"/>
      <c r="D38" s="65"/>
      <c r="E38" s="65"/>
      <c r="F38" s="65"/>
      <c r="G38" s="65"/>
      <c r="H38" s="65"/>
    </row>
    <row r="39" spans="1:8" x14ac:dyDescent="0.2">
      <c r="A39" s="65"/>
      <c r="B39" s="65"/>
      <c r="C39" s="65"/>
      <c r="D39" s="65"/>
      <c r="E39" s="65"/>
      <c r="F39" s="65"/>
      <c r="G39" s="65"/>
      <c r="H39" s="65"/>
    </row>
    <row r="40" spans="1:8" x14ac:dyDescent="0.2">
      <c r="A40" s="65"/>
      <c r="B40" s="65"/>
      <c r="C40" s="65"/>
      <c r="D40" s="65"/>
      <c r="E40" s="65"/>
      <c r="F40" s="65"/>
      <c r="G40" s="65"/>
      <c r="H40" s="65"/>
    </row>
    <row r="41" spans="1:8" x14ac:dyDescent="0.2">
      <c r="A41" s="65"/>
      <c r="B41" s="65"/>
      <c r="C41" s="65"/>
      <c r="D41" s="65"/>
      <c r="E41" s="65"/>
      <c r="F41" s="65"/>
      <c r="G41" s="65"/>
      <c r="H41" s="65"/>
    </row>
    <row r="42" spans="1:8" x14ac:dyDescent="0.2">
      <c r="A42" s="65"/>
      <c r="B42" s="65"/>
      <c r="C42" s="65"/>
      <c r="D42" s="65"/>
      <c r="E42" s="65"/>
      <c r="F42" s="65"/>
      <c r="G42" s="65"/>
      <c r="H42" s="65"/>
    </row>
    <row r="43" spans="1:8" x14ac:dyDescent="0.2">
      <c r="A43" s="65"/>
      <c r="B43" s="65"/>
      <c r="C43" s="65"/>
      <c r="D43" s="65"/>
      <c r="E43" s="65"/>
      <c r="F43" s="65"/>
      <c r="G43" s="65"/>
      <c r="H43" s="65"/>
    </row>
    <row r="44" spans="1:8" x14ac:dyDescent="0.2">
      <c r="A44" s="65"/>
      <c r="B44" s="65"/>
      <c r="C44" s="65"/>
      <c r="D44" s="65"/>
      <c r="E44" s="65"/>
      <c r="F44" s="65"/>
      <c r="G44" s="65"/>
      <c r="H44" s="65"/>
    </row>
    <row r="45" spans="1:8" x14ac:dyDescent="0.2">
      <c r="A45" s="65"/>
      <c r="B45" s="65"/>
      <c r="C45" s="65"/>
      <c r="D45" s="65"/>
      <c r="E45" s="65"/>
      <c r="F45" s="65"/>
      <c r="G45" s="65"/>
      <c r="H45" s="65"/>
    </row>
    <row r="46" spans="1:8" x14ac:dyDescent="0.2">
      <c r="A46" s="65"/>
      <c r="B46" s="65"/>
      <c r="C46" s="65"/>
      <c r="D46" s="65"/>
      <c r="E46" s="65"/>
      <c r="F46" s="65"/>
      <c r="G46" s="65"/>
      <c r="H46" s="65"/>
    </row>
    <row r="47" spans="1:8" x14ac:dyDescent="0.2">
      <c r="A47" s="65"/>
      <c r="B47" s="65"/>
      <c r="C47" s="65"/>
      <c r="D47" s="65"/>
      <c r="E47" s="65"/>
      <c r="F47" s="65"/>
      <c r="G47" s="65"/>
      <c r="H47" s="65"/>
    </row>
    <row r="48" spans="1:8" x14ac:dyDescent="0.2">
      <c r="A48" s="65"/>
      <c r="B48" s="65"/>
      <c r="C48" s="65"/>
      <c r="D48" s="65"/>
      <c r="E48" s="65"/>
      <c r="F48" s="65"/>
      <c r="G48" s="65"/>
      <c r="H48" s="65"/>
    </row>
    <row r="49" spans="1:8" x14ac:dyDescent="0.2">
      <c r="A49" s="65"/>
      <c r="B49" s="65"/>
      <c r="C49" s="65"/>
      <c r="D49" s="65"/>
      <c r="E49" s="65"/>
      <c r="F49" s="65"/>
      <c r="G49" s="65"/>
      <c r="H49" s="65"/>
    </row>
    <row r="50" spans="1:8" x14ac:dyDescent="0.2">
      <c r="A50" s="65"/>
      <c r="B50" s="65"/>
      <c r="C50" s="65"/>
      <c r="D50" s="65"/>
      <c r="E50" s="65"/>
      <c r="F50" s="65"/>
      <c r="G50" s="65"/>
      <c r="H50" s="65"/>
    </row>
    <row r="51" spans="1:8" x14ac:dyDescent="0.2">
      <c r="A51" s="65"/>
      <c r="B51" s="65"/>
      <c r="C51" s="65"/>
      <c r="D51" s="65"/>
      <c r="E51" s="65"/>
      <c r="F51" s="65"/>
      <c r="G51" s="65"/>
      <c r="H51" s="65"/>
    </row>
    <row r="52" spans="1:8" x14ac:dyDescent="0.2">
      <c r="A52" s="65"/>
      <c r="B52" s="65"/>
      <c r="C52" s="65"/>
      <c r="D52" s="65"/>
      <c r="E52" s="65"/>
      <c r="F52" s="65"/>
      <c r="G52" s="65"/>
      <c r="H52" s="65"/>
    </row>
    <row r="53" spans="1:8" x14ac:dyDescent="0.2">
      <c r="A53" s="65"/>
      <c r="B53" s="65"/>
      <c r="C53" s="65"/>
      <c r="D53" s="65"/>
      <c r="E53" s="65"/>
      <c r="F53" s="65"/>
      <c r="G53" s="65"/>
      <c r="H53" s="65"/>
    </row>
    <row r="54" spans="1:8" x14ac:dyDescent="0.2">
      <c r="A54" s="65"/>
      <c r="B54" s="65"/>
      <c r="C54" s="65"/>
      <c r="D54" s="65"/>
      <c r="E54" s="65"/>
      <c r="F54" s="65"/>
      <c r="G54" s="65"/>
      <c r="H54" s="65"/>
    </row>
  </sheetData>
  <sheetProtection selectLockedCells="1" selectUnlockedCells="1"/>
  <mergeCells count="1">
    <mergeCell ref="A2:H54"/>
  </mergeCells>
  <pageMargins left="0.70833333333333337" right="0.70833333333333337" top="0.74791666666666667" bottom="0.74791666666666667"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14"/>
  <sheetViews>
    <sheetView topLeftCell="M55" zoomScaleNormal="100" workbookViewId="0">
      <selection activeCell="M60" sqref="M60"/>
    </sheetView>
  </sheetViews>
  <sheetFormatPr baseColWidth="10" defaultColWidth="11" defaultRowHeight="12.75" x14ac:dyDescent="0.2"/>
  <cols>
    <col min="1" max="1" width="4.140625" customWidth="1"/>
    <col min="2" max="7" width="11" customWidth="1"/>
    <col min="8" max="8" width="12.42578125" customWidth="1"/>
    <col min="12" max="12" width="11.5703125" bestFit="1" customWidth="1"/>
    <col min="16" max="16" width="12.5703125" bestFit="1" customWidth="1"/>
    <col min="25" max="26" width="9.140625" customWidth="1"/>
    <col min="27" max="27" width="9.28515625" customWidth="1"/>
  </cols>
  <sheetData>
    <row r="1" spans="1:27" ht="12.75" customHeight="1" x14ac:dyDescent="0.2">
      <c r="A1" s="65" t="s">
        <v>12</v>
      </c>
      <c r="B1" s="65"/>
      <c r="C1" s="65"/>
      <c r="D1" s="65"/>
      <c r="E1" s="65"/>
      <c r="F1" s="65"/>
      <c r="G1" s="65"/>
      <c r="H1" s="65"/>
    </row>
    <row r="2" spans="1:27" ht="12.75" customHeight="1" x14ac:dyDescent="0.2">
      <c r="A2" s="65"/>
      <c r="B2" s="65"/>
      <c r="C2" s="65"/>
      <c r="D2" s="65"/>
      <c r="E2" s="65"/>
      <c r="F2" s="65"/>
      <c r="G2" s="65"/>
      <c r="H2" s="65"/>
    </row>
    <row r="3" spans="1:27" ht="23.25" customHeight="1" x14ac:dyDescent="0.2">
      <c r="A3" s="65"/>
      <c r="B3" s="65"/>
      <c r="C3" s="65"/>
      <c r="D3" s="65"/>
      <c r="E3" s="65"/>
      <c r="F3" s="65"/>
      <c r="G3" s="65"/>
      <c r="H3" s="65"/>
      <c r="J3" s="27" t="s">
        <v>36</v>
      </c>
      <c r="K3" s="27" t="s">
        <v>16</v>
      </c>
      <c r="L3" s="27" t="s">
        <v>17</v>
      </c>
      <c r="O3" s="26" t="s">
        <v>49</v>
      </c>
      <c r="P3" s="26" t="s">
        <v>50</v>
      </c>
      <c r="Q3" s="26" t="s">
        <v>51</v>
      </c>
      <c r="R3" s="26" t="s">
        <v>77</v>
      </c>
      <c r="S3" s="9"/>
      <c r="T3" s="26" t="s">
        <v>52</v>
      </c>
      <c r="U3" s="26" t="s">
        <v>53</v>
      </c>
      <c r="V3" s="26" t="s">
        <v>54</v>
      </c>
      <c r="W3" s="26" t="s">
        <v>78</v>
      </c>
      <c r="X3" s="9"/>
      <c r="Y3" s="26" t="s">
        <v>55</v>
      </c>
      <c r="Z3" s="26" t="s">
        <v>56</v>
      </c>
      <c r="AA3" s="26" t="s">
        <v>80</v>
      </c>
    </row>
    <row r="4" spans="1:27" ht="26.25" customHeight="1" x14ac:dyDescent="0.2">
      <c r="A4" s="65"/>
      <c r="B4" s="65"/>
      <c r="C4" s="65"/>
      <c r="D4" s="65"/>
      <c r="E4" s="65"/>
      <c r="F4" s="65"/>
      <c r="G4" s="65"/>
      <c r="H4" s="65"/>
      <c r="J4" s="26">
        <v>0</v>
      </c>
      <c r="K4" s="26">
        <v>1</v>
      </c>
      <c r="L4" s="26">
        <v>6</v>
      </c>
      <c r="O4" s="26">
        <f>+K5-K4</f>
        <v>2</v>
      </c>
      <c r="P4" s="26">
        <f>+K6-K5</f>
        <v>1</v>
      </c>
      <c r="Q4" s="26">
        <f>+K7-K6</f>
        <v>2</v>
      </c>
      <c r="R4" s="26">
        <f>K8-K7</f>
        <v>1</v>
      </c>
      <c r="S4" s="9"/>
      <c r="T4" s="26">
        <f>+(L5-L4)/O4</f>
        <v>-1.5</v>
      </c>
      <c r="U4" s="28">
        <f>+(L6-L5)/P4</f>
        <v>-1.5</v>
      </c>
      <c r="V4" s="26">
        <f>+(L7-L6)/Q4</f>
        <v>0</v>
      </c>
      <c r="W4" s="29">
        <f>+(L8-L7)/R4</f>
        <v>1.5</v>
      </c>
      <c r="X4" s="9"/>
      <c r="Y4" s="26">
        <f>6*(U4-T4)</f>
        <v>0</v>
      </c>
      <c r="Z4" s="30">
        <f>6*(V4-U4)</f>
        <v>9</v>
      </c>
      <c r="AA4" s="30">
        <f>6*(W4-V4)</f>
        <v>9</v>
      </c>
    </row>
    <row r="5" spans="1:27" ht="12.75" customHeight="1" x14ac:dyDescent="0.2">
      <c r="A5" s="65"/>
      <c r="B5" s="65"/>
      <c r="C5" s="65"/>
      <c r="D5" s="65"/>
      <c r="E5" s="65"/>
      <c r="F5" s="65"/>
      <c r="G5" s="65"/>
      <c r="H5" s="65"/>
      <c r="J5" s="26">
        <v>1</v>
      </c>
      <c r="K5" s="26">
        <v>3</v>
      </c>
      <c r="L5" s="26">
        <v>3</v>
      </c>
    </row>
    <row r="6" spans="1:27" ht="12.75" customHeight="1" x14ac:dyDescent="0.2">
      <c r="A6" s="65"/>
      <c r="B6" s="65"/>
      <c r="C6" s="65"/>
      <c r="D6" s="65"/>
      <c r="E6" s="65"/>
      <c r="F6" s="65"/>
      <c r="G6" s="65"/>
      <c r="H6" s="65"/>
      <c r="J6" s="26">
        <v>2</v>
      </c>
      <c r="K6" s="26">
        <v>4</v>
      </c>
      <c r="L6" s="26">
        <v>1.5</v>
      </c>
    </row>
    <row r="7" spans="1:27" ht="12.75" customHeight="1" x14ac:dyDescent="0.2">
      <c r="A7" s="65"/>
      <c r="B7" s="65"/>
      <c r="C7" s="65"/>
      <c r="D7" s="65"/>
      <c r="E7" s="65"/>
      <c r="F7" s="65"/>
      <c r="G7" s="65"/>
      <c r="H7" s="65"/>
      <c r="J7" s="26">
        <v>3</v>
      </c>
      <c r="K7" s="26">
        <v>6</v>
      </c>
      <c r="L7" s="26">
        <v>1.5</v>
      </c>
    </row>
    <row r="8" spans="1:27" ht="12.75" customHeight="1" x14ac:dyDescent="0.2">
      <c r="A8" s="65"/>
      <c r="B8" s="65"/>
      <c r="C8" s="65"/>
      <c r="D8" s="65"/>
      <c r="E8" s="65"/>
      <c r="F8" s="65"/>
      <c r="G8" s="65"/>
      <c r="H8" s="65"/>
      <c r="J8" s="26">
        <v>4</v>
      </c>
      <c r="K8" s="26">
        <v>7</v>
      </c>
      <c r="L8" s="26">
        <v>3</v>
      </c>
      <c r="O8" t="s">
        <v>57</v>
      </c>
      <c r="R8" s="18" t="s">
        <v>32</v>
      </c>
      <c r="S8" s="32" t="s">
        <v>58</v>
      </c>
      <c r="T8" s="32" t="s">
        <v>47</v>
      </c>
      <c r="U8" s="32">
        <v>0</v>
      </c>
      <c r="V8" s="33" t="s">
        <v>81</v>
      </c>
      <c r="W8" s="34" t="s">
        <v>79</v>
      </c>
      <c r="X8" s="32" t="s">
        <v>47</v>
      </c>
      <c r="Y8" s="32">
        <v>0</v>
      </c>
    </row>
    <row r="9" spans="1:27" ht="30" customHeight="1" x14ac:dyDescent="0.2">
      <c r="A9" s="65"/>
      <c r="B9" s="65"/>
      <c r="C9" s="65"/>
      <c r="D9" s="65"/>
      <c r="E9" s="65"/>
      <c r="F9" s="65"/>
      <c r="G9" s="65"/>
      <c r="H9" s="65"/>
    </row>
    <row r="10" spans="1:27" ht="12.75" customHeight="1" x14ac:dyDescent="0.2">
      <c r="A10" s="65"/>
      <c r="B10" s="65"/>
      <c r="C10" s="65"/>
      <c r="D10" s="65"/>
      <c r="E10" s="65"/>
      <c r="F10" s="65"/>
      <c r="G10" s="65"/>
      <c r="H10" s="65"/>
    </row>
    <row r="11" spans="1:27" ht="12.75" customHeight="1" x14ac:dyDescent="0.2">
      <c r="A11" s="65"/>
      <c r="B11" s="65"/>
      <c r="C11" s="65"/>
      <c r="D11" s="65"/>
      <c r="E11" s="65"/>
      <c r="F11" s="65"/>
      <c r="G11" s="65"/>
      <c r="H11" s="65"/>
      <c r="J11" s="18" t="s">
        <v>82</v>
      </c>
      <c r="O11" s="19" t="s">
        <v>58</v>
      </c>
      <c r="P11" s="9">
        <v>0</v>
      </c>
    </row>
    <row r="12" spans="1:27" ht="12.75" customHeight="1" x14ac:dyDescent="0.2">
      <c r="A12" s="65"/>
      <c r="B12" s="65"/>
      <c r="C12" s="65"/>
      <c r="D12" s="65"/>
      <c r="E12" s="65"/>
      <c r="F12" s="65"/>
      <c r="G12" s="65"/>
      <c r="H12" s="65"/>
      <c r="J12" s="31" t="s">
        <v>85</v>
      </c>
      <c r="N12" s="35" t="s">
        <v>32</v>
      </c>
      <c r="O12" s="52" t="s">
        <v>86</v>
      </c>
      <c r="P12" s="9">
        <f>(Y4-(O4*U8))/((2*(O4+P4))+P4)</f>
        <v>0</v>
      </c>
    </row>
    <row r="13" spans="1:27" ht="12.75" customHeight="1" x14ac:dyDescent="0.2">
      <c r="A13" s="65"/>
      <c r="B13" s="65"/>
      <c r="C13" s="65"/>
      <c r="D13" s="65"/>
      <c r="E13" s="65"/>
      <c r="F13" s="65"/>
      <c r="G13" s="65"/>
      <c r="H13" s="65"/>
      <c r="J13" s="18" t="s">
        <v>83</v>
      </c>
      <c r="O13" s="53" t="s">
        <v>87</v>
      </c>
      <c r="P13" s="54">
        <f>(Z4-(P4*Y8))/((2*(P4+Q4))+Q4)</f>
        <v>1.125</v>
      </c>
    </row>
    <row r="14" spans="1:27" ht="12.75" customHeight="1" x14ac:dyDescent="0.2">
      <c r="A14" s="65"/>
      <c r="B14" s="65"/>
      <c r="C14" s="65"/>
      <c r="D14" s="65"/>
      <c r="E14" s="65"/>
      <c r="F14" s="65"/>
      <c r="G14" s="65"/>
      <c r="H14" s="65"/>
      <c r="J14" s="18" t="s">
        <v>84</v>
      </c>
      <c r="O14" s="53" t="s">
        <v>88</v>
      </c>
      <c r="P14" s="54">
        <f>(AA4-(Q4*P13))/((2*(Q4+R4))+R4)</f>
        <v>0.9642857142857143</v>
      </c>
    </row>
    <row r="15" spans="1:27" ht="12.75" customHeight="1" x14ac:dyDescent="0.2">
      <c r="A15" s="65"/>
      <c r="B15" s="65"/>
      <c r="C15" s="65"/>
      <c r="D15" s="65"/>
      <c r="E15" s="65"/>
      <c r="F15" s="65"/>
      <c r="G15" s="65"/>
      <c r="H15" s="65"/>
      <c r="O15" s="19" t="s">
        <v>79</v>
      </c>
      <c r="P15" s="9">
        <v>0</v>
      </c>
    </row>
    <row r="16" spans="1:27" ht="12.75" customHeight="1" x14ac:dyDescent="0.2">
      <c r="A16" s="65"/>
      <c r="B16" s="65"/>
      <c r="C16" s="65"/>
      <c r="D16" s="65"/>
      <c r="E16" s="65"/>
      <c r="F16" s="65"/>
      <c r="G16" s="65"/>
      <c r="H16" s="65"/>
      <c r="O16" s="9"/>
      <c r="P16" s="9"/>
    </row>
    <row r="17" spans="1:24" ht="12.75" customHeight="1" x14ac:dyDescent="0.2">
      <c r="A17" s="65"/>
      <c r="B17" s="65"/>
      <c r="C17" s="65"/>
      <c r="D17" s="65"/>
      <c r="E17" s="65"/>
      <c r="F17" s="65"/>
      <c r="G17" s="65"/>
      <c r="H17" s="65"/>
      <c r="I17" s="9"/>
    </row>
    <row r="18" spans="1:24" ht="12.75" customHeight="1" x14ac:dyDescent="0.2">
      <c r="A18" s="65"/>
      <c r="B18" s="65"/>
      <c r="C18" s="65"/>
      <c r="D18" s="65"/>
      <c r="E18" s="65"/>
      <c r="F18" s="65"/>
      <c r="G18" s="65"/>
      <c r="H18" s="65"/>
      <c r="I18" s="19" t="s">
        <v>32</v>
      </c>
      <c r="J18" s="18" t="s">
        <v>93</v>
      </c>
    </row>
    <row r="19" spans="1:24" ht="12.75" customHeight="1" x14ac:dyDescent="0.2">
      <c r="A19" s="65"/>
      <c r="B19" s="65"/>
      <c r="C19" s="65"/>
      <c r="D19" s="65"/>
      <c r="E19" s="65"/>
      <c r="F19" s="65"/>
      <c r="G19" s="65"/>
      <c r="H19" s="65"/>
      <c r="I19" s="19" t="s">
        <v>32</v>
      </c>
      <c r="J19" s="18" t="s">
        <v>94</v>
      </c>
    </row>
    <row r="20" spans="1:24" ht="12.75" customHeight="1" x14ac:dyDescent="0.2">
      <c r="A20" s="65"/>
      <c r="B20" s="65"/>
      <c r="C20" s="65"/>
      <c r="D20" s="65"/>
      <c r="E20" s="65"/>
      <c r="F20" s="65"/>
      <c r="G20" s="65"/>
      <c r="H20" s="65"/>
      <c r="I20" s="19" t="s">
        <v>32</v>
      </c>
      <c r="J20" s="18" t="s">
        <v>95</v>
      </c>
    </row>
    <row r="21" spans="1:24" ht="12.75" customHeight="1" x14ac:dyDescent="0.2">
      <c r="A21" s="65"/>
      <c r="B21" s="65"/>
      <c r="C21" s="65"/>
      <c r="D21" s="65"/>
      <c r="E21" s="65"/>
      <c r="F21" s="65"/>
      <c r="G21" s="65"/>
      <c r="H21" s="65"/>
      <c r="I21" s="19" t="s">
        <v>32</v>
      </c>
      <c r="J21" s="18" t="s">
        <v>96</v>
      </c>
    </row>
    <row r="22" spans="1:24" ht="12.75" customHeight="1" x14ac:dyDescent="0.2">
      <c r="A22" s="65"/>
      <c r="B22" s="65"/>
      <c r="C22" s="65"/>
      <c r="D22" s="65"/>
      <c r="E22" s="65"/>
      <c r="F22" s="65"/>
      <c r="G22" s="65"/>
      <c r="H22" s="65"/>
    </row>
    <row r="23" spans="1:24" ht="12.75" customHeight="1" x14ac:dyDescent="0.2">
      <c r="A23" s="65"/>
      <c r="B23" s="65"/>
      <c r="C23" s="65"/>
      <c r="D23" s="65"/>
      <c r="E23" s="65"/>
      <c r="F23" s="65"/>
      <c r="G23" s="65"/>
      <c r="H23" s="65"/>
      <c r="J23" s="26" t="s">
        <v>60</v>
      </c>
      <c r="K23" s="26" t="s">
        <v>47</v>
      </c>
      <c r="L23" s="26">
        <f>L4</f>
        <v>6</v>
      </c>
      <c r="M23" s="9"/>
      <c r="N23" s="26" t="s">
        <v>61</v>
      </c>
      <c r="O23" s="26" t="s">
        <v>47</v>
      </c>
      <c r="P23" s="26">
        <f>+L5</f>
        <v>3</v>
      </c>
      <c r="Q23" s="9"/>
      <c r="R23" s="26" t="s">
        <v>62</v>
      </c>
      <c r="S23" s="26" t="s">
        <v>47</v>
      </c>
      <c r="T23" s="26">
        <f>+L6</f>
        <v>1.5</v>
      </c>
      <c r="U23" s="9"/>
      <c r="V23" s="25" t="s">
        <v>89</v>
      </c>
      <c r="W23" s="26" t="s">
        <v>47</v>
      </c>
      <c r="X23" s="26">
        <f>L7</f>
        <v>1.5</v>
      </c>
    </row>
    <row r="24" spans="1:24" ht="12.75" customHeight="1" x14ac:dyDescent="0.2">
      <c r="A24" s="65"/>
      <c r="B24" s="65"/>
      <c r="C24" s="65"/>
      <c r="D24" s="65"/>
      <c r="E24" s="65"/>
      <c r="F24" s="65"/>
      <c r="G24" s="65"/>
      <c r="H24" s="65"/>
      <c r="J24" s="26" t="s">
        <v>63</v>
      </c>
      <c r="K24" s="26" t="s">
        <v>47</v>
      </c>
      <c r="L24" s="26">
        <f>+T4-(O4*((2*U8)+P12)/6)</f>
        <v>-1.5</v>
      </c>
      <c r="M24" s="9"/>
      <c r="N24" s="26" t="s">
        <v>64</v>
      </c>
      <c r="O24" s="26" t="s">
        <v>47</v>
      </c>
      <c r="P24" s="26">
        <f>+U4-(P4*((2*P12)+P13)/6)</f>
        <v>-1.6875</v>
      </c>
      <c r="Q24" s="9"/>
      <c r="R24" s="26" t="s">
        <v>65</v>
      </c>
      <c r="S24" s="26" t="s">
        <v>47</v>
      </c>
      <c r="T24" s="36">
        <f>+V4-(Q4*((2*P13)+P14)/6)</f>
        <v>-1.0714285714285714</v>
      </c>
      <c r="U24" s="9"/>
      <c r="V24" s="25" t="s">
        <v>90</v>
      </c>
      <c r="W24" s="26" t="s">
        <v>47</v>
      </c>
      <c r="X24" s="36">
        <f>+W4-(R4*((2*P14)+Y8)/6)</f>
        <v>1.1785714285714286</v>
      </c>
    </row>
    <row r="25" spans="1:24" ht="12.75" customHeight="1" x14ac:dyDescent="0.2">
      <c r="A25" s="65"/>
      <c r="B25" s="65"/>
      <c r="C25" s="65"/>
      <c r="D25" s="65"/>
      <c r="E25" s="65"/>
      <c r="F25" s="65"/>
      <c r="G25" s="65"/>
      <c r="H25" s="65"/>
      <c r="J25" s="26" t="s">
        <v>66</v>
      </c>
      <c r="K25" s="26" t="s">
        <v>47</v>
      </c>
      <c r="L25" s="26">
        <f>+U8/2</f>
        <v>0</v>
      </c>
      <c r="M25" s="9"/>
      <c r="N25" s="26" t="s">
        <v>67</v>
      </c>
      <c r="O25" s="26" t="s">
        <v>47</v>
      </c>
      <c r="P25" s="26">
        <f>P12/2</f>
        <v>0</v>
      </c>
      <c r="Q25" s="9"/>
      <c r="R25" s="26" t="s">
        <v>68</v>
      </c>
      <c r="S25" s="26" t="s">
        <v>47</v>
      </c>
      <c r="T25" s="26">
        <f>P13/2</f>
        <v>0.5625</v>
      </c>
      <c r="U25" s="9"/>
      <c r="V25" s="25" t="s">
        <v>91</v>
      </c>
      <c r="W25" s="26" t="s">
        <v>47</v>
      </c>
      <c r="X25" s="36">
        <f>+P14/2</f>
        <v>0.48214285714285715</v>
      </c>
    </row>
    <row r="26" spans="1:24" ht="12.75" customHeight="1" x14ac:dyDescent="0.2">
      <c r="A26" s="65"/>
      <c r="B26" s="65"/>
      <c r="C26" s="65"/>
      <c r="D26" s="65"/>
      <c r="E26" s="65"/>
      <c r="F26" s="65"/>
      <c r="G26" s="65"/>
      <c r="H26" s="65"/>
      <c r="J26" s="26" t="s">
        <v>69</v>
      </c>
      <c r="K26" s="26" t="s">
        <v>47</v>
      </c>
      <c r="L26" s="26">
        <f>(P12-U8)/(6*O4)</f>
        <v>0</v>
      </c>
      <c r="M26" s="9"/>
      <c r="N26" s="26" t="s">
        <v>70</v>
      </c>
      <c r="O26" s="26" t="s">
        <v>47</v>
      </c>
      <c r="P26" s="26">
        <f>(P13-P12)/(6*P4)</f>
        <v>0.1875</v>
      </c>
      <c r="Q26" s="9"/>
      <c r="R26" s="26" t="s">
        <v>71</v>
      </c>
      <c r="S26" s="26" t="s">
        <v>47</v>
      </c>
      <c r="T26" s="36">
        <f>(P14-P13)/(6*Q4)</f>
        <v>-1.3392857142857142E-2</v>
      </c>
      <c r="U26" s="9"/>
      <c r="V26" s="25" t="s">
        <v>92</v>
      </c>
      <c r="W26" s="26" t="s">
        <v>47</v>
      </c>
      <c r="X26" s="36">
        <f>(Y8-P14)/(6*R4)</f>
        <v>-0.16071428571428573</v>
      </c>
    </row>
    <row r="27" spans="1:24" ht="12.75" customHeight="1" x14ac:dyDescent="0.2">
      <c r="A27" s="65"/>
      <c r="B27" s="65"/>
      <c r="C27" s="65"/>
      <c r="D27" s="65"/>
      <c r="E27" s="65"/>
      <c r="F27" s="65"/>
      <c r="G27" s="65"/>
      <c r="H27" s="65"/>
    </row>
    <row r="28" spans="1:24" ht="12.75" customHeight="1" x14ac:dyDescent="0.2">
      <c r="A28" s="65"/>
      <c r="B28" s="65"/>
      <c r="C28" s="65"/>
      <c r="D28" s="65"/>
      <c r="E28" s="65"/>
      <c r="F28" s="65"/>
      <c r="G28" s="65"/>
      <c r="H28" s="65"/>
      <c r="J28" s="18" t="s">
        <v>97</v>
      </c>
    </row>
    <row r="29" spans="1:24" ht="12.75" customHeight="1" x14ac:dyDescent="0.2">
      <c r="A29" s="65"/>
      <c r="B29" s="65"/>
      <c r="C29" s="65"/>
      <c r="D29" s="65"/>
      <c r="E29" s="65"/>
      <c r="F29" s="65"/>
      <c r="G29" s="65"/>
      <c r="H29" s="65"/>
    </row>
    <row r="30" spans="1:24" ht="12.75" customHeight="1" x14ac:dyDescent="0.2">
      <c r="A30" s="65"/>
      <c r="B30" s="65"/>
      <c r="C30" s="65"/>
      <c r="D30" s="65"/>
      <c r="E30" s="65"/>
      <c r="F30" s="65"/>
      <c r="G30" s="65"/>
      <c r="H30" s="65"/>
    </row>
    <row r="31" spans="1:24" ht="13.5" customHeight="1" thickBot="1" x14ac:dyDescent="0.25">
      <c r="A31" s="65"/>
      <c r="B31" s="65"/>
      <c r="C31" s="65"/>
      <c r="D31" s="65"/>
      <c r="E31" s="65"/>
      <c r="F31" s="65"/>
      <c r="G31" s="65"/>
      <c r="H31" s="65"/>
      <c r="W31" s="19" t="s">
        <v>16</v>
      </c>
    </row>
    <row r="32" spans="1:24" ht="12.75" customHeight="1" x14ac:dyDescent="0.2">
      <c r="A32" s="65"/>
      <c r="B32" s="65"/>
      <c r="C32" s="65"/>
      <c r="D32" s="65"/>
      <c r="E32" s="65"/>
      <c r="F32" s="65"/>
      <c r="G32" s="65"/>
      <c r="H32" s="65"/>
      <c r="J32" s="40" t="s">
        <v>72</v>
      </c>
      <c r="K32" s="41" t="s">
        <v>47</v>
      </c>
      <c r="L32" s="41">
        <f>+L23</f>
        <v>6</v>
      </c>
      <c r="M32" s="41" t="s">
        <v>59</v>
      </c>
      <c r="N32" s="41">
        <f>+L24</f>
        <v>-1.5</v>
      </c>
      <c r="O32" s="41" t="s">
        <v>120</v>
      </c>
      <c r="P32" s="41" t="s">
        <v>59</v>
      </c>
      <c r="Q32" s="41">
        <f>+L25</f>
        <v>0</v>
      </c>
      <c r="R32" s="41" t="s">
        <v>127</v>
      </c>
      <c r="S32" s="41" t="s">
        <v>59</v>
      </c>
      <c r="T32" s="41">
        <f>+L26</f>
        <v>0</v>
      </c>
      <c r="U32" s="41" t="s">
        <v>128</v>
      </c>
      <c r="V32" s="42"/>
      <c r="W32" s="43" t="s">
        <v>132</v>
      </c>
    </row>
    <row r="33" spans="1:23" ht="12.75" customHeight="1" x14ac:dyDescent="0.2">
      <c r="A33" s="65"/>
      <c r="B33" s="65"/>
      <c r="C33" s="65"/>
      <c r="D33" s="65"/>
      <c r="E33" s="65"/>
      <c r="F33" s="65"/>
      <c r="G33" s="65"/>
      <c r="H33" s="65"/>
      <c r="J33" s="44" t="s">
        <v>73</v>
      </c>
      <c r="K33" s="9" t="s">
        <v>47</v>
      </c>
      <c r="L33" s="9">
        <f>+P23</f>
        <v>3</v>
      </c>
      <c r="M33" s="9" t="s">
        <v>59</v>
      </c>
      <c r="N33" s="9">
        <f>+P24</f>
        <v>-1.6875</v>
      </c>
      <c r="O33" s="9" t="s">
        <v>121</v>
      </c>
      <c r="P33" s="9" t="s">
        <v>59</v>
      </c>
      <c r="Q33" s="9">
        <f>+P25</f>
        <v>0</v>
      </c>
      <c r="R33" s="9" t="s">
        <v>126</v>
      </c>
      <c r="S33" s="9" t="s">
        <v>59</v>
      </c>
      <c r="T33" s="9">
        <f>+P26</f>
        <v>0.1875</v>
      </c>
      <c r="U33" s="9" t="s">
        <v>129</v>
      </c>
      <c r="W33" s="45" t="s">
        <v>135</v>
      </c>
    </row>
    <row r="34" spans="1:23" ht="12.75" customHeight="1" x14ac:dyDescent="0.2">
      <c r="A34" s="65"/>
      <c r="B34" s="65"/>
      <c r="C34" s="65"/>
      <c r="D34" s="65"/>
      <c r="E34" s="65"/>
      <c r="F34" s="65"/>
      <c r="G34" s="65"/>
      <c r="H34" s="65"/>
      <c r="J34" s="44" t="s">
        <v>74</v>
      </c>
      <c r="K34" s="9" t="s">
        <v>47</v>
      </c>
      <c r="L34" s="9">
        <f>+T23</f>
        <v>1.5</v>
      </c>
      <c r="M34" s="9" t="s">
        <v>59</v>
      </c>
      <c r="N34" s="9">
        <f>+T24</f>
        <v>-1.0714285714285714</v>
      </c>
      <c r="O34" s="9" t="s">
        <v>122</v>
      </c>
      <c r="P34" s="9" t="s">
        <v>59</v>
      </c>
      <c r="Q34" s="9">
        <f>+T25</f>
        <v>0.5625</v>
      </c>
      <c r="R34" s="9" t="s">
        <v>125</v>
      </c>
      <c r="S34" s="9" t="s">
        <v>59</v>
      </c>
      <c r="T34" s="62">
        <f>+T26</f>
        <v>-1.3392857142857142E-2</v>
      </c>
      <c r="U34" s="9" t="s">
        <v>130</v>
      </c>
      <c r="W34" s="45" t="s">
        <v>133</v>
      </c>
    </row>
    <row r="35" spans="1:23" ht="13.5" customHeight="1" thickBot="1" x14ac:dyDescent="0.25">
      <c r="A35" s="65"/>
      <c r="B35" s="65"/>
      <c r="C35" s="65"/>
      <c r="D35" s="65"/>
      <c r="E35" s="65"/>
      <c r="F35" s="65"/>
      <c r="G35" s="65"/>
      <c r="H35" s="65"/>
      <c r="J35" s="46" t="s">
        <v>98</v>
      </c>
      <c r="K35" s="47" t="s">
        <v>47</v>
      </c>
      <c r="L35" s="48">
        <f>X23</f>
        <v>1.5</v>
      </c>
      <c r="M35" s="48" t="s">
        <v>59</v>
      </c>
      <c r="N35" s="49">
        <f>+X24</f>
        <v>1.1785714285714286</v>
      </c>
      <c r="O35" s="48" t="s">
        <v>123</v>
      </c>
      <c r="P35" s="48" t="s">
        <v>59</v>
      </c>
      <c r="Q35" s="49">
        <f>+X25</f>
        <v>0.48214285714285715</v>
      </c>
      <c r="R35" s="48" t="s">
        <v>124</v>
      </c>
      <c r="S35" s="48" t="s">
        <v>59</v>
      </c>
      <c r="T35" s="49">
        <f>+X26</f>
        <v>-0.16071428571428573</v>
      </c>
      <c r="U35" s="48" t="s">
        <v>131</v>
      </c>
      <c r="V35" s="50"/>
      <c r="W35" s="51" t="s">
        <v>134</v>
      </c>
    </row>
    <row r="36" spans="1:23" ht="12.75" customHeight="1" x14ac:dyDescent="0.2">
      <c r="A36" s="65"/>
      <c r="B36" s="65"/>
      <c r="C36" s="65"/>
      <c r="D36" s="65"/>
      <c r="E36" s="65"/>
      <c r="F36" s="65"/>
      <c r="G36" s="65"/>
      <c r="H36" s="65"/>
    </row>
    <row r="37" spans="1:23" ht="12.75" customHeight="1" x14ac:dyDescent="0.2">
      <c r="A37" s="65"/>
      <c r="B37" s="65"/>
      <c r="C37" s="65"/>
      <c r="D37" s="65"/>
      <c r="E37" s="65"/>
      <c r="F37" s="65"/>
      <c r="G37" s="65"/>
      <c r="H37" s="65"/>
    </row>
    <row r="38" spans="1:23" ht="12.75" customHeight="1" x14ac:dyDescent="0.2">
      <c r="A38" s="65"/>
      <c r="B38" s="65"/>
      <c r="C38" s="65"/>
      <c r="D38" s="65"/>
      <c r="E38" s="65"/>
      <c r="F38" s="65"/>
      <c r="G38" s="65"/>
      <c r="H38" s="65"/>
    </row>
    <row r="39" spans="1:23" ht="12.75" customHeight="1" x14ac:dyDescent="0.2">
      <c r="A39" s="65"/>
      <c r="B39" s="65"/>
      <c r="C39" s="65"/>
      <c r="D39" s="65"/>
      <c r="E39" s="65"/>
      <c r="F39" s="65"/>
      <c r="G39" s="65"/>
      <c r="H39" s="65"/>
      <c r="I39" s="18" t="s">
        <v>99</v>
      </c>
    </row>
    <row r="40" spans="1:23" ht="13.5" customHeight="1" thickBot="1" x14ac:dyDescent="0.25">
      <c r="A40" s="65"/>
      <c r="B40" s="65"/>
      <c r="C40" s="65"/>
      <c r="D40" s="65"/>
      <c r="E40" s="65"/>
      <c r="F40" s="65"/>
      <c r="G40" s="65"/>
      <c r="H40" s="65"/>
    </row>
    <row r="41" spans="1:23" ht="13.5" customHeight="1" thickBot="1" x14ac:dyDescent="0.25">
      <c r="A41" s="65"/>
      <c r="B41" s="65"/>
      <c r="C41" s="65"/>
      <c r="D41" s="65"/>
      <c r="E41" s="65"/>
      <c r="F41" s="65"/>
      <c r="G41" s="65"/>
      <c r="H41" s="65"/>
      <c r="J41" s="37" t="s">
        <v>75</v>
      </c>
      <c r="K41" s="38" t="s">
        <v>47</v>
      </c>
      <c r="L41" s="39">
        <f>+L32+N32*(2-K4)+T32*(2-K4)^3</f>
        <v>4.5</v>
      </c>
    </row>
    <row r="42" spans="1:23" ht="12.75" customHeight="1" x14ac:dyDescent="0.2">
      <c r="A42" s="65"/>
      <c r="B42" s="65"/>
      <c r="C42" s="65"/>
      <c r="D42" s="65"/>
      <c r="E42" s="65"/>
      <c r="F42" s="65"/>
      <c r="G42" s="65"/>
      <c r="H42" s="65"/>
    </row>
    <row r="43" spans="1:23" ht="12.75" customHeight="1" x14ac:dyDescent="0.2">
      <c r="A43" s="65"/>
      <c r="B43" s="65"/>
      <c r="C43" s="65"/>
      <c r="D43" s="65"/>
      <c r="E43" s="65"/>
      <c r="F43" s="65"/>
      <c r="G43" s="65"/>
      <c r="H43" s="65"/>
      <c r="I43" t="s">
        <v>117</v>
      </c>
    </row>
    <row r="44" spans="1:23" ht="12.75" customHeight="1" x14ac:dyDescent="0.2">
      <c r="A44" s="65"/>
      <c r="B44" s="65"/>
      <c r="C44" s="65"/>
      <c r="D44" s="65"/>
      <c r="E44" s="65"/>
      <c r="F44" s="65"/>
      <c r="G44" s="65"/>
      <c r="H44" s="65"/>
    </row>
    <row r="45" spans="1:23" ht="12.75" customHeight="1" x14ac:dyDescent="0.2">
      <c r="A45" s="65"/>
      <c r="B45" s="65"/>
      <c r="C45" s="65"/>
      <c r="D45" s="65"/>
      <c r="E45" s="65"/>
      <c r="F45" s="65"/>
      <c r="G45" s="65"/>
      <c r="H45" s="65"/>
      <c r="I45" s="18" t="s">
        <v>100</v>
      </c>
    </row>
    <row r="46" spans="1:23" ht="12.75" customHeight="1" x14ac:dyDescent="0.2">
      <c r="A46" s="65"/>
      <c r="B46" s="65"/>
      <c r="C46" s="65"/>
      <c r="D46" s="65"/>
      <c r="E46" s="65"/>
      <c r="F46" s="65"/>
      <c r="G46" s="65"/>
      <c r="H46" s="65"/>
    </row>
    <row r="47" spans="1:23" ht="12.75" customHeight="1" x14ac:dyDescent="0.2">
      <c r="A47" s="65"/>
      <c r="B47" s="65"/>
      <c r="C47" s="65"/>
      <c r="D47" s="65"/>
      <c r="E47" s="65"/>
      <c r="F47" s="65"/>
      <c r="G47" s="65"/>
      <c r="H47" s="65"/>
      <c r="I47" s="18" t="s">
        <v>101</v>
      </c>
    </row>
    <row r="48" spans="1:23" ht="12.75" customHeight="1" x14ac:dyDescent="0.2">
      <c r="A48" s="65"/>
      <c r="B48" s="65"/>
      <c r="C48" s="65"/>
      <c r="D48" s="65"/>
      <c r="E48" s="65"/>
      <c r="F48" s="65"/>
      <c r="G48" s="65"/>
      <c r="H48" s="65"/>
    </row>
    <row r="49" spans="1:30" ht="12.75" customHeight="1" x14ac:dyDescent="0.2">
      <c r="A49" s="65"/>
      <c r="B49" s="65"/>
      <c r="C49" s="65"/>
      <c r="D49" s="65"/>
      <c r="E49" s="65"/>
      <c r="F49" s="65"/>
      <c r="G49" s="65"/>
      <c r="H49" s="65"/>
    </row>
    <row r="50" spans="1:30" ht="12.75" customHeight="1" x14ac:dyDescent="0.2">
      <c r="A50" s="65"/>
      <c r="B50" s="65"/>
      <c r="C50" s="65"/>
      <c r="D50" s="65"/>
      <c r="E50" s="65"/>
      <c r="F50" s="65"/>
      <c r="G50" s="65"/>
      <c r="H50" s="65"/>
      <c r="J50" s="27" t="s">
        <v>36</v>
      </c>
      <c r="K50" s="27" t="s">
        <v>16</v>
      </c>
      <c r="L50" s="27" t="s">
        <v>17</v>
      </c>
      <c r="N50" s="56"/>
      <c r="O50" s="26" t="s">
        <v>49</v>
      </c>
      <c r="P50" s="26" t="s">
        <v>50</v>
      </c>
      <c r="Q50" s="26" t="s">
        <v>51</v>
      </c>
      <c r="R50" s="26" t="s">
        <v>77</v>
      </c>
      <c r="S50" s="25" t="s">
        <v>102</v>
      </c>
      <c r="U50" s="26" t="s">
        <v>52</v>
      </c>
      <c r="V50" s="26" t="s">
        <v>53</v>
      </c>
      <c r="W50" s="26" t="s">
        <v>54</v>
      </c>
      <c r="X50" s="26" t="s">
        <v>78</v>
      </c>
      <c r="Y50" s="26" t="s">
        <v>103</v>
      </c>
      <c r="AA50" s="26" t="s">
        <v>55</v>
      </c>
      <c r="AB50" s="26" t="s">
        <v>56</v>
      </c>
      <c r="AC50" s="26" t="s">
        <v>80</v>
      </c>
      <c r="AD50" s="26" t="s">
        <v>104</v>
      </c>
    </row>
    <row r="51" spans="1:30" ht="12.75" customHeight="1" x14ac:dyDescent="0.2">
      <c r="A51" s="65"/>
      <c r="B51" s="65"/>
      <c r="C51" s="65"/>
      <c r="D51" s="65"/>
      <c r="E51" s="65"/>
      <c r="F51" s="65"/>
      <c r="G51" s="65"/>
      <c r="H51" s="65"/>
      <c r="J51" s="55">
        <v>0</v>
      </c>
      <c r="K51" s="55">
        <v>-0.5</v>
      </c>
      <c r="L51" s="55">
        <v>0</v>
      </c>
      <c r="O51" s="26">
        <f>+K52-K51</f>
        <v>1.5</v>
      </c>
      <c r="P51" s="26">
        <f>K53-K52</f>
        <v>2</v>
      </c>
      <c r="Q51" s="26">
        <f>K54-K53</f>
        <v>1</v>
      </c>
      <c r="R51" s="26">
        <f>K55-K54</f>
        <v>2</v>
      </c>
      <c r="S51" s="26">
        <f>K56-K55</f>
        <v>1</v>
      </c>
      <c r="U51" s="26">
        <f>+(L52-L51)/O51</f>
        <v>4</v>
      </c>
      <c r="V51" s="28">
        <f>+(L53-L52)/P51</f>
        <v>-1.5</v>
      </c>
      <c r="W51" s="26">
        <f>+(L54-L53)/Q51</f>
        <v>-1.5</v>
      </c>
      <c r="X51" s="29">
        <f>+(L55-L54)/R51</f>
        <v>0</v>
      </c>
      <c r="Y51" s="29">
        <f>+(L56-L55)/S51</f>
        <v>1.5</v>
      </c>
      <c r="AA51" s="26">
        <f>6*(V51-U51)</f>
        <v>-33</v>
      </c>
      <c r="AB51" s="30">
        <f>6*(W51-V51)</f>
        <v>0</v>
      </c>
      <c r="AC51" s="30">
        <f>6*(X51-W51)</f>
        <v>9</v>
      </c>
      <c r="AD51" s="30">
        <f>6*(Y51-X51)</f>
        <v>9</v>
      </c>
    </row>
    <row r="52" spans="1:30" ht="15" x14ac:dyDescent="0.25">
      <c r="J52" s="26">
        <v>1</v>
      </c>
      <c r="K52" s="26">
        <v>1</v>
      </c>
      <c r="L52" s="26">
        <v>6</v>
      </c>
      <c r="M52" s="23"/>
      <c r="N52" s="23"/>
      <c r="O52" s="23"/>
      <c r="P52" s="23"/>
      <c r="Q52" s="23"/>
      <c r="R52" s="23"/>
      <c r="S52" s="23"/>
    </row>
    <row r="53" spans="1:30" x14ac:dyDescent="0.2">
      <c r="J53" s="26">
        <v>2</v>
      </c>
      <c r="K53" s="26">
        <v>3</v>
      </c>
      <c r="L53" s="26">
        <v>3</v>
      </c>
      <c r="Q53" s="9"/>
      <c r="R53" s="9"/>
    </row>
    <row r="54" spans="1:30" x14ac:dyDescent="0.2">
      <c r="J54" s="26">
        <v>3</v>
      </c>
      <c r="K54" s="26">
        <v>4</v>
      </c>
      <c r="L54" s="26">
        <v>1.5</v>
      </c>
      <c r="Q54" s="9"/>
      <c r="R54" s="9"/>
    </row>
    <row r="55" spans="1:30" x14ac:dyDescent="0.2">
      <c r="J55" s="26">
        <v>4</v>
      </c>
      <c r="K55" s="26">
        <v>6</v>
      </c>
      <c r="L55" s="26">
        <v>1.5</v>
      </c>
      <c r="Q55" s="9"/>
      <c r="R55" s="9"/>
    </row>
    <row r="56" spans="1:30" x14ac:dyDescent="0.2">
      <c r="J56" s="26">
        <v>5</v>
      </c>
      <c r="K56" s="26">
        <v>7</v>
      </c>
      <c r="L56" s="26">
        <v>3</v>
      </c>
      <c r="N56" t="s">
        <v>57</v>
      </c>
      <c r="Q56" s="18" t="s">
        <v>32</v>
      </c>
      <c r="R56" s="32" t="s">
        <v>58</v>
      </c>
      <c r="S56" s="32" t="s">
        <v>47</v>
      </c>
      <c r="T56" s="32">
        <v>0</v>
      </c>
      <c r="U56" s="33" t="s">
        <v>81</v>
      </c>
      <c r="V56" s="34" t="s">
        <v>106</v>
      </c>
      <c r="W56" s="32" t="s">
        <v>47</v>
      </c>
      <c r="X56" s="32">
        <v>0</v>
      </c>
    </row>
    <row r="58" spans="1:30" x14ac:dyDescent="0.2">
      <c r="L58" s="24"/>
    </row>
    <row r="61" spans="1:30" x14ac:dyDescent="0.2">
      <c r="J61" s="18" t="s">
        <v>82</v>
      </c>
      <c r="O61" s="19" t="s">
        <v>58</v>
      </c>
      <c r="P61" s="9">
        <v>0</v>
      </c>
    </row>
    <row r="62" spans="1:30" x14ac:dyDescent="0.2">
      <c r="J62" s="31" t="s">
        <v>85</v>
      </c>
      <c r="N62" s="35" t="s">
        <v>32</v>
      </c>
      <c r="O62" s="52" t="s">
        <v>86</v>
      </c>
      <c r="P62" s="54">
        <f>(AA51-(O51*P61))/((2*(O51+P51))+P5)</f>
        <v>-4.7142857142857144</v>
      </c>
    </row>
    <row r="63" spans="1:30" x14ac:dyDescent="0.2">
      <c r="J63" s="18" t="s">
        <v>83</v>
      </c>
      <c r="O63" s="53" t="s">
        <v>87</v>
      </c>
      <c r="P63" s="54">
        <f>(AB51-(P51*P62))/((2*(P51+Q51))+Q51)</f>
        <v>1.346938775510204</v>
      </c>
    </row>
    <row r="64" spans="1:30" x14ac:dyDescent="0.2">
      <c r="J64" s="18" t="s">
        <v>84</v>
      </c>
      <c r="O64" s="53" t="s">
        <v>88</v>
      </c>
      <c r="P64" s="54">
        <f>(AC51-(Q51*P63))/((2*(Q51+R51))+R51)</f>
        <v>0.95663265306122447</v>
      </c>
    </row>
    <row r="65" spans="10:28" x14ac:dyDescent="0.2">
      <c r="J65" s="18" t="s">
        <v>105</v>
      </c>
      <c r="O65" s="19" t="s">
        <v>107</v>
      </c>
      <c r="P65" s="54">
        <f>(AD51-(R51*P64))/((2*(R51+S51))+S51)</f>
        <v>1.0123906705539358</v>
      </c>
    </row>
    <row r="66" spans="10:28" x14ac:dyDescent="0.2">
      <c r="O66" s="19" t="s">
        <v>106</v>
      </c>
      <c r="P66" s="9">
        <v>0</v>
      </c>
    </row>
    <row r="69" spans="10:28" x14ac:dyDescent="0.2">
      <c r="J69" s="19" t="s">
        <v>32</v>
      </c>
      <c r="K69" s="18" t="s">
        <v>93</v>
      </c>
    </row>
    <row r="70" spans="10:28" x14ac:dyDescent="0.2">
      <c r="J70" s="19" t="s">
        <v>32</v>
      </c>
      <c r="K70" s="18" t="s">
        <v>94</v>
      </c>
    </row>
    <row r="71" spans="10:28" x14ac:dyDescent="0.2">
      <c r="J71" s="19" t="s">
        <v>32</v>
      </c>
      <c r="K71" s="18" t="s">
        <v>95</v>
      </c>
    </row>
    <row r="72" spans="10:28" x14ac:dyDescent="0.2">
      <c r="J72" s="19" t="s">
        <v>32</v>
      </c>
      <c r="K72" s="18" t="s">
        <v>96</v>
      </c>
    </row>
    <row r="73" spans="10:28" x14ac:dyDescent="0.2">
      <c r="J73" s="19"/>
      <c r="K73" s="18"/>
    </row>
    <row r="75" spans="10:28" x14ac:dyDescent="0.2">
      <c r="J75" s="26" t="s">
        <v>60</v>
      </c>
      <c r="K75" s="26" t="s">
        <v>47</v>
      </c>
      <c r="L75" s="36">
        <f>L51</f>
        <v>0</v>
      </c>
      <c r="M75" s="9"/>
      <c r="N75" s="26" t="s">
        <v>61</v>
      </c>
      <c r="O75" s="26" t="s">
        <v>47</v>
      </c>
      <c r="P75" s="26">
        <f>+L52</f>
        <v>6</v>
      </c>
      <c r="Q75" s="9"/>
      <c r="R75" s="26" t="s">
        <v>62</v>
      </c>
      <c r="S75" s="26" t="s">
        <v>47</v>
      </c>
      <c r="T75" s="26">
        <f>L53</f>
        <v>3</v>
      </c>
      <c r="U75" s="9"/>
      <c r="V75" s="25" t="s">
        <v>89</v>
      </c>
      <c r="W75" s="26" t="s">
        <v>47</v>
      </c>
      <c r="X75" s="26">
        <f>L54</f>
        <v>1.5</v>
      </c>
      <c r="Z75" s="25" t="s">
        <v>108</v>
      </c>
      <c r="AA75" s="26" t="s">
        <v>47</v>
      </c>
      <c r="AB75" s="26">
        <f>L55</f>
        <v>1.5</v>
      </c>
    </row>
    <row r="76" spans="10:28" x14ac:dyDescent="0.2">
      <c r="J76" s="26" t="s">
        <v>63</v>
      </c>
      <c r="K76" s="26" t="s">
        <v>47</v>
      </c>
      <c r="L76" s="36">
        <f>V51-(P51*((2*P62)+P63)/6)</f>
        <v>1.1938775510204085</v>
      </c>
      <c r="M76" s="9"/>
      <c r="N76" s="26" t="s">
        <v>64</v>
      </c>
      <c r="O76" s="26" t="s">
        <v>47</v>
      </c>
      <c r="P76" s="26">
        <f>V51-(P51*((2*P62)+P63)/6)</f>
        <v>1.1938775510204085</v>
      </c>
      <c r="Q76" s="9"/>
      <c r="R76" s="26" t="s">
        <v>65</v>
      </c>
      <c r="S76" s="26" t="s">
        <v>47</v>
      </c>
      <c r="T76" s="26">
        <f>W51-(Q51*((2*P63)+P64)/6)</f>
        <v>-2.108418367346939</v>
      </c>
      <c r="U76" s="9"/>
      <c r="V76" s="25" t="s">
        <v>90</v>
      </c>
      <c r="W76" s="26" t="s">
        <v>47</v>
      </c>
      <c r="X76" s="26">
        <f>X51-(R51*((2*P64)+P65)/6)</f>
        <v>-0.97521865889212833</v>
      </c>
      <c r="Z76" s="25" t="s">
        <v>109</v>
      </c>
      <c r="AA76" s="26" t="s">
        <v>47</v>
      </c>
      <c r="AB76" s="26">
        <f>Y51-(S51*((2*P65)+P66)/6)</f>
        <v>1.162536443148688</v>
      </c>
    </row>
    <row r="77" spans="10:28" x14ac:dyDescent="0.2">
      <c r="J77" s="26" t="s">
        <v>66</v>
      </c>
      <c r="K77" s="26" t="s">
        <v>47</v>
      </c>
      <c r="L77" s="36">
        <f>P61/2</f>
        <v>0</v>
      </c>
      <c r="M77" s="9"/>
      <c r="N77" s="26" t="s">
        <v>67</v>
      </c>
      <c r="O77" s="26" t="s">
        <v>47</v>
      </c>
      <c r="P77" s="26">
        <f>P62/2</f>
        <v>-2.3571428571428572</v>
      </c>
      <c r="Q77" s="9"/>
      <c r="R77" s="26" t="s">
        <v>68</v>
      </c>
      <c r="S77" s="26" t="s">
        <v>47</v>
      </c>
      <c r="T77" s="26">
        <f>P63/2</f>
        <v>0.67346938775510201</v>
      </c>
      <c r="U77" s="9"/>
      <c r="V77" s="25" t="s">
        <v>91</v>
      </c>
      <c r="W77" s="26" t="s">
        <v>47</v>
      </c>
      <c r="X77" s="36">
        <f>P64/2</f>
        <v>0.47831632653061223</v>
      </c>
      <c r="Z77" s="25" t="s">
        <v>110</v>
      </c>
      <c r="AA77" s="26" t="s">
        <v>47</v>
      </c>
      <c r="AB77" s="36">
        <f>P66/2</f>
        <v>0</v>
      </c>
    </row>
    <row r="78" spans="10:28" x14ac:dyDescent="0.2">
      <c r="J78" s="26" t="s">
        <v>69</v>
      </c>
      <c r="K78" s="26" t="s">
        <v>47</v>
      </c>
      <c r="L78" s="36">
        <f>(P65-P64)/(6*R51)</f>
        <v>4.6465014577259474E-3</v>
      </c>
      <c r="M78" s="9"/>
      <c r="N78" s="26" t="s">
        <v>70</v>
      </c>
      <c r="O78" s="26" t="s">
        <v>47</v>
      </c>
      <c r="P78" s="26">
        <f>(P65-P64)/(6*S51)</f>
        <v>9.2930029154518947E-3</v>
      </c>
      <c r="Q78" s="9"/>
      <c r="R78" s="26" t="s">
        <v>71</v>
      </c>
      <c r="S78" s="26" t="s">
        <v>47</v>
      </c>
      <c r="T78" s="36">
        <f>(P64-P63)/(6*Q51)</f>
        <v>-6.5051020408163254E-2</v>
      </c>
      <c r="U78" s="9"/>
      <c r="V78" s="25" t="s">
        <v>92</v>
      </c>
      <c r="W78" s="26" t="s">
        <v>47</v>
      </c>
      <c r="X78" s="36">
        <f>(P65-P64)/(6*R51)</f>
        <v>4.6465014577259474E-3</v>
      </c>
      <c r="Z78" s="25" t="s">
        <v>111</v>
      </c>
      <c r="AA78" s="26" t="s">
        <v>47</v>
      </c>
      <c r="AB78" s="36">
        <f>(P66-P65)/(6*S51)</f>
        <v>-0.16873177842565598</v>
      </c>
    </row>
    <row r="82" spans="10:23" x14ac:dyDescent="0.2">
      <c r="J82" s="18" t="s">
        <v>112</v>
      </c>
    </row>
    <row r="88" spans="10:23" ht="13.5" thickBot="1" x14ac:dyDescent="0.25">
      <c r="W88" s="19" t="s">
        <v>16</v>
      </c>
    </row>
    <row r="89" spans="10:23" x14ac:dyDescent="0.2">
      <c r="J89" s="40" t="s">
        <v>72</v>
      </c>
      <c r="K89" s="41" t="s">
        <v>47</v>
      </c>
      <c r="L89" s="58">
        <f>+L75</f>
        <v>0</v>
      </c>
      <c r="M89" s="41" t="s">
        <v>59</v>
      </c>
      <c r="N89" s="58">
        <f>+L76</f>
        <v>1.1938775510204085</v>
      </c>
      <c r="O89" s="41" t="s">
        <v>139</v>
      </c>
      <c r="P89" s="41" t="s">
        <v>59</v>
      </c>
      <c r="Q89" s="58">
        <f>+L77</f>
        <v>0</v>
      </c>
      <c r="R89" s="41" t="s">
        <v>140</v>
      </c>
      <c r="S89" s="41" t="s">
        <v>59</v>
      </c>
      <c r="T89" s="58">
        <f>+L78</f>
        <v>4.6465014577259474E-3</v>
      </c>
      <c r="U89" s="41" t="s">
        <v>141</v>
      </c>
      <c r="V89" s="42"/>
      <c r="W89" s="43" t="str">
        <f>"-0.5&lt;x&lt;1"</f>
        <v>-0.5&lt;x&lt;1</v>
      </c>
    </row>
    <row r="90" spans="10:23" x14ac:dyDescent="0.2">
      <c r="J90" s="44" t="s">
        <v>73</v>
      </c>
      <c r="K90" s="9" t="s">
        <v>47</v>
      </c>
      <c r="L90" s="9">
        <f>+P75</f>
        <v>6</v>
      </c>
      <c r="M90" s="9" t="s">
        <v>59</v>
      </c>
      <c r="N90" s="9">
        <f>P76</f>
        <v>1.1938775510204085</v>
      </c>
      <c r="O90" s="9" t="s">
        <v>120</v>
      </c>
      <c r="P90" s="9" t="s">
        <v>59</v>
      </c>
      <c r="Q90" s="9">
        <f>P77</f>
        <v>-2.3571428571428572</v>
      </c>
      <c r="R90" s="9" t="s">
        <v>127</v>
      </c>
      <c r="S90" s="9" t="s">
        <v>59</v>
      </c>
      <c r="T90" s="9">
        <f>+P78</f>
        <v>9.2930029154518947E-3</v>
      </c>
      <c r="U90" s="9" t="s">
        <v>128</v>
      </c>
      <c r="W90" s="45" t="s">
        <v>132</v>
      </c>
    </row>
    <row r="91" spans="10:23" x14ac:dyDescent="0.2">
      <c r="J91" s="44" t="s">
        <v>74</v>
      </c>
      <c r="K91" s="9" t="s">
        <v>47</v>
      </c>
      <c r="L91" s="9">
        <f>T75</f>
        <v>3</v>
      </c>
      <c r="M91" s="9" t="s">
        <v>59</v>
      </c>
      <c r="N91" s="9">
        <f>T76</f>
        <v>-2.108418367346939</v>
      </c>
      <c r="O91" s="9" t="s">
        <v>121</v>
      </c>
      <c r="P91" s="9" t="s">
        <v>59</v>
      </c>
      <c r="Q91" s="9">
        <f>T77</f>
        <v>0.67346938775510201</v>
      </c>
      <c r="R91" s="9" t="s">
        <v>126</v>
      </c>
      <c r="S91" s="9" t="s">
        <v>59</v>
      </c>
      <c r="T91" s="62">
        <f>T78</f>
        <v>-6.5051020408163254E-2</v>
      </c>
      <c r="U91" s="9" t="s">
        <v>129</v>
      </c>
      <c r="W91" s="45" t="s">
        <v>135</v>
      </c>
    </row>
    <row r="92" spans="10:23" x14ac:dyDescent="0.2">
      <c r="J92" s="57" t="s">
        <v>98</v>
      </c>
      <c r="K92" s="19" t="s">
        <v>47</v>
      </c>
      <c r="L92" s="9">
        <f>X75</f>
        <v>1.5</v>
      </c>
      <c r="M92" s="9" t="s">
        <v>59</v>
      </c>
      <c r="N92" s="62">
        <f>X76</f>
        <v>-0.97521865889212833</v>
      </c>
      <c r="O92" s="9" t="s">
        <v>122</v>
      </c>
      <c r="P92" s="9" t="s">
        <v>59</v>
      </c>
      <c r="Q92" s="62">
        <f>X77</f>
        <v>0.47831632653061223</v>
      </c>
      <c r="R92" s="9" t="s">
        <v>125</v>
      </c>
      <c r="S92" s="9" t="s">
        <v>59</v>
      </c>
      <c r="T92" s="62">
        <f>X78</f>
        <v>4.6465014577259474E-3</v>
      </c>
      <c r="U92" s="9" t="s">
        <v>130</v>
      </c>
      <c r="W92" s="45" t="s">
        <v>133</v>
      </c>
    </row>
    <row r="93" spans="10:23" ht="13.5" thickBot="1" x14ac:dyDescent="0.25">
      <c r="J93" s="46" t="s">
        <v>113</v>
      </c>
      <c r="K93" s="47" t="s">
        <v>47</v>
      </c>
      <c r="L93" s="48">
        <f>AB75</f>
        <v>1.5</v>
      </c>
      <c r="M93" s="48" t="s">
        <v>59</v>
      </c>
      <c r="N93" s="49">
        <f>AB76</f>
        <v>1.162536443148688</v>
      </c>
      <c r="O93" s="48" t="s">
        <v>123</v>
      </c>
      <c r="P93" s="48" t="s">
        <v>59</v>
      </c>
      <c r="Q93" s="49">
        <f>AB77</f>
        <v>0</v>
      </c>
      <c r="R93" s="48" t="s">
        <v>124</v>
      </c>
      <c r="S93" s="48" t="s">
        <v>59</v>
      </c>
      <c r="T93" s="49">
        <f>AB78</f>
        <v>-0.16873177842565598</v>
      </c>
      <c r="U93" s="48" t="s">
        <v>131</v>
      </c>
      <c r="V93" s="50"/>
      <c r="W93" s="51" t="s">
        <v>134</v>
      </c>
    </row>
    <row r="98" spans="6:11" x14ac:dyDescent="0.2">
      <c r="I98" s="18" t="s">
        <v>114</v>
      </c>
    </row>
    <row r="99" spans="6:11" ht="13.5" thickBot="1" x14ac:dyDescent="0.25"/>
    <row r="100" spans="6:11" ht="13.5" thickBot="1" x14ac:dyDescent="0.25">
      <c r="I100" s="37" t="s">
        <v>76</v>
      </c>
      <c r="J100" s="38" t="s">
        <v>47</v>
      </c>
      <c r="K100" s="39">
        <f>L90+(N90)+(Q90)+(T90)</f>
        <v>4.8460276967930032</v>
      </c>
    </row>
    <row r="105" spans="6:11" x14ac:dyDescent="0.2">
      <c r="I105" t="s">
        <v>115</v>
      </c>
    </row>
    <row r="109" spans="6:11" x14ac:dyDescent="0.2">
      <c r="F109" s="27" t="s">
        <v>16</v>
      </c>
      <c r="G109" s="27" t="s">
        <v>17</v>
      </c>
    </row>
    <row r="110" spans="6:11" x14ac:dyDescent="0.2">
      <c r="F110" s="26">
        <v>1</v>
      </c>
      <c r="G110" s="26">
        <v>6</v>
      </c>
    </row>
    <row r="111" spans="6:11" x14ac:dyDescent="0.2">
      <c r="F111" s="26">
        <v>3</v>
      </c>
      <c r="G111" s="26">
        <v>3</v>
      </c>
    </row>
    <row r="112" spans="6:11" x14ac:dyDescent="0.2">
      <c r="F112" s="26">
        <v>4</v>
      </c>
      <c r="G112" s="26">
        <v>1.5</v>
      </c>
    </row>
    <row r="113" spans="6:7" x14ac:dyDescent="0.2">
      <c r="F113" s="26">
        <v>6</v>
      </c>
      <c r="G113" s="26">
        <v>1.5</v>
      </c>
    </row>
    <row r="114" spans="6:7" x14ac:dyDescent="0.2">
      <c r="F114" s="26">
        <v>7</v>
      </c>
      <c r="G114" s="26">
        <v>3</v>
      </c>
    </row>
  </sheetData>
  <sheetProtection selectLockedCells="1" selectUnlockedCells="1"/>
  <mergeCells count="1">
    <mergeCell ref="A1:H51"/>
  </mergeCells>
  <phoneticPr fontId="7" type="noConversion"/>
  <pageMargins left="0.78749999999999998" right="0.78749999999999998" top="0.98402777777777772" bottom="0.98402777777777772" header="0.51180555555555551" footer="0.51180555555555551"/>
  <pageSetup paperSize="9" firstPageNumber="0"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71"/>
  <sheetViews>
    <sheetView topLeftCell="J34" workbookViewId="0">
      <selection activeCell="O71" sqref="O71"/>
    </sheetView>
  </sheetViews>
  <sheetFormatPr baseColWidth="10" defaultColWidth="11" defaultRowHeight="12.75" x14ac:dyDescent="0.2"/>
  <cols>
    <col min="1" max="1" width="4" customWidth="1"/>
    <col min="14" max="14" width="13.85546875" customWidth="1"/>
    <col min="15" max="15" width="13.28515625" customWidth="1"/>
    <col min="16" max="16" width="14.28515625" customWidth="1"/>
    <col min="26" max="26" width="12.5703125" bestFit="1" customWidth="1"/>
  </cols>
  <sheetData>
    <row r="1" spans="1:30" ht="12.75" customHeight="1" x14ac:dyDescent="0.2">
      <c r="A1" s="65" t="s">
        <v>13</v>
      </c>
      <c r="B1" s="65"/>
      <c r="C1" s="65"/>
      <c r="D1" s="65"/>
      <c r="E1" s="65"/>
      <c r="F1" s="65"/>
      <c r="G1" s="65"/>
      <c r="H1" s="65"/>
    </row>
    <row r="2" spans="1:30" ht="12" customHeight="1" x14ac:dyDescent="0.2">
      <c r="A2" s="65"/>
      <c r="B2" s="65"/>
      <c r="C2" s="65"/>
      <c r="D2" s="65"/>
      <c r="E2" s="65"/>
      <c r="F2" s="65"/>
      <c r="G2" s="65"/>
      <c r="H2" s="65"/>
    </row>
    <row r="3" spans="1:30" ht="12.75" customHeight="1" x14ac:dyDescent="0.2">
      <c r="A3" s="65"/>
      <c r="B3" s="65"/>
      <c r="C3" s="65"/>
      <c r="D3" s="65"/>
      <c r="E3" s="65"/>
      <c r="F3" s="65"/>
      <c r="G3" s="65"/>
      <c r="H3" s="65"/>
      <c r="J3" s="4" t="s">
        <v>42</v>
      </c>
    </row>
    <row r="4" spans="1:30" ht="12.75" customHeight="1" x14ac:dyDescent="0.2">
      <c r="A4" s="65"/>
      <c r="B4" s="65"/>
      <c r="C4" s="65"/>
      <c r="D4" s="65"/>
      <c r="E4" s="65"/>
      <c r="F4" s="65"/>
      <c r="G4" s="65"/>
      <c r="H4" s="65"/>
      <c r="J4" s="4"/>
      <c r="K4" s="4"/>
      <c r="L4" s="4"/>
      <c r="M4" s="4"/>
      <c r="N4" s="4"/>
      <c r="O4" s="4"/>
      <c r="P4" s="4"/>
      <c r="Q4" s="4"/>
      <c r="R4" s="4"/>
      <c r="S4" s="4"/>
      <c r="T4" s="4"/>
      <c r="U4" s="4"/>
      <c r="V4" s="4"/>
      <c r="W4" s="4"/>
      <c r="X4" s="4"/>
      <c r="Y4" s="4"/>
      <c r="Z4" s="4"/>
      <c r="AA4" s="4"/>
      <c r="AB4" s="4"/>
    </row>
    <row r="5" spans="1:30" ht="12.75" customHeight="1" x14ac:dyDescent="0.2">
      <c r="A5" s="65"/>
      <c r="B5" s="65"/>
      <c r="C5" s="65"/>
      <c r="D5" s="65"/>
      <c r="E5" s="65"/>
      <c r="F5" s="65"/>
      <c r="G5" s="65"/>
      <c r="H5" s="65"/>
      <c r="J5" s="4"/>
      <c r="K5" s="11" t="s">
        <v>16</v>
      </c>
      <c r="L5" s="11" t="s">
        <v>17</v>
      </c>
      <c r="M5" s="4"/>
      <c r="N5" s="4"/>
      <c r="O5" s="4"/>
      <c r="P5" s="4"/>
      <c r="Q5" s="4"/>
      <c r="R5" s="4"/>
      <c r="S5" s="4"/>
      <c r="T5" s="4"/>
      <c r="U5" s="4"/>
      <c r="V5" s="4"/>
      <c r="W5" s="4"/>
      <c r="X5" s="4"/>
      <c r="Y5" s="4"/>
      <c r="Z5" s="4"/>
      <c r="AA5" s="4"/>
      <c r="AB5" s="4"/>
    </row>
    <row r="6" spans="1:30" ht="12.75" customHeight="1" x14ac:dyDescent="0.2">
      <c r="A6" s="65"/>
      <c r="B6" s="65"/>
      <c r="C6" s="65"/>
      <c r="D6" s="65"/>
      <c r="E6" s="65"/>
      <c r="F6" s="65"/>
      <c r="G6" s="65"/>
      <c r="H6" s="65"/>
      <c r="J6" s="4"/>
      <c r="K6" s="12">
        <v>0</v>
      </c>
      <c r="L6" s="12">
        <v>0</v>
      </c>
      <c r="M6" s="4"/>
      <c r="N6" s="4"/>
      <c r="O6" s="4"/>
      <c r="P6" s="4"/>
      <c r="Q6" s="4"/>
      <c r="R6" s="4"/>
      <c r="S6" s="4"/>
      <c r="T6" s="4"/>
      <c r="U6" s="4"/>
      <c r="V6" s="4"/>
      <c r="W6" s="4"/>
      <c r="X6" s="4"/>
      <c r="Y6" s="4"/>
      <c r="Z6" s="4"/>
      <c r="AA6" s="4"/>
      <c r="AB6" s="4"/>
    </row>
    <row r="7" spans="1:30" ht="12.75" customHeight="1" x14ac:dyDescent="0.2">
      <c r="A7" s="65"/>
      <c r="B7" s="65"/>
      <c r="C7" s="65"/>
      <c r="D7" s="65"/>
      <c r="E7" s="65"/>
      <c r="F7" s="65"/>
      <c r="G7" s="65"/>
      <c r="H7" s="65"/>
      <c r="J7" s="4"/>
      <c r="K7" s="12">
        <v>0.78500000000000003</v>
      </c>
      <c r="L7" s="12">
        <v>0.70699999999999996</v>
      </c>
      <c r="M7" s="4"/>
      <c r="N7" s="4"/>
      <c r="O7" s="4"/>
      <c r="P7" s="4"/>
      <c r="Q7" s="4"/>
      <c r="R7" s="4"/>
      <c r="S7" s="4"/>
      <c r="T7" s="4"/>
      <c r="U7" s="4"/>
      <c r="V7" s="4"/>
      <c r="W7" s="4"/>
      <c r="X7" s="4"/>
      <c r="Y7" s="4"/>
      <c r="Z7" s="4"/>
      <c r="AA7" s="4"/>
      <c r="AB7" s="4"/>
    </row>
    <row r="8" spans="1:30" ht="12.75" customHeight="1" x14ac:dyDescent="0.2">
      <c r="A8" s="65"/>
      <c r="B8" s="65"/>
      <c r="C8" s="65"/>
      <c r="D8" s="65"/>
      <c r="E8" s="65"/>
      <c r="F8" s="65"/>
      <c r="G8" s="65"/>
      <c r="H8" s="65"/>
      <c r="J8" s="4"/>
      <c r="K8" s="12">
        <v>1.571</v>
      </c>
      <c r="L8" s="12">
        <v>1</v>
      </c>
      <c r="M8" s="4"/>
      <c r="N8" s="4"/>
      <c r="O8" s="4"/>
      <c r="P8" s="4"/>
      <c r="Q8" s="4"/>
      <c r="R8" s="4"/>
      <c r="S8" s="4"/>
      <c r="T8" s="4"/>
      <c r="U8" s="4"/>
      <c r="V8" s="4"/>
      <c r="W8" s="4"/>
      <c r="X8" s="4"/>
      <c r="Y8" s="4"/>
      <c r="Z8" s="4"/>
      <c r="AA8" s="4"/>
      <c r="AB8" s="4"/>
    </row>
    <row r="9" spans="1:30" ht="12.75" customHeight="1" x14ac:dyDescent="0.2">
      <c r="A9" s="65"/>
      <c r="B9" s="65"/>
      <c r="C9" s="65"/>
      <c r="D9" s="65"/>
      <c r="E9" s="65"/>
      <c r="F9" s="65"/>
      <c r="G9" s="65"/>
      <c r="H9" s="65"/>
      <c r="J9" s="4"/>
      <c r="K9" s="12">
        <v>2.6179999999999999</v>
      </c>
      <c r="L9" s="12">
        <v>0.5</v>
      </c>
      <c r="M9" s="4"/>
      <c r="N9" s="4"/>
      <c r="O9" s="4"/>
      <c r="P9" s="4"/>
      <c r="Q9" s="4"/>
      <c r="R9" s="4"/>
      <c r="S9" s="4"/>
      <c r="T9" s="4"/>
      <c r="U9" s="4"/>
      <c r="V9" s="4"/>
      <c r="W9" s="4"/>
      <c r="X9" s="4"/>
      <c r="Y9" s="4"/>
      <c r="Z9" s="4"/>
      <c r="AA9" s="4"/>
      <c r="AB9" s="4"/>
    </row>
    <row r="10" spans="1:30" ht="12.75" customHeight="1" x14ac:dyDescent="0.2">
      <c r="A10" s="65"/>
      <c r="B10" s="65"/>
      <c r="C10" s="65"/>
      <c r="D10" s="65"/>
      <c r="E10" s="65"/>
      <c r="F10" s="65"/>
      <c r="G10" s="65"/>
      <c r="H10" s="65"/>
      <c r="J10" s="4"/>
      <c r="K10" s="12">
        <v>3.1419999999999999</v>
      </c>
      <c r="L10" s="12">
        <v>0</v>
      </c>
      <c r="M10" s="4" t="s">
        <v>32</v>
      </c>
      <c r="N10" s="4" t="s">
        <v>18</v>
      </c>
      <c r="O10" s="4"/>
      <c r="P10" s="4"/>
      <c r="Q10" s="4"/>
      <c r="R10" s="4"/>
      <c r="S10" s="4"/>
      <c r="T10" s="4"/>
      <c r="U10" s="4"/>
      <c r="V10" s="4"/>
      <c r="W10" s="4"/>
      <c r="X10" s="4"/>
      <c r="Y10" s="4"/>
      <c r="Z10" s="4"/>
      <c r="AA10" s="4"/>
      <c r="AB10" s="4"/>
    </row>
    <row r="11" spans="1:30" ht="12.75" customHeight="1" x14ac:dyDescent="0.2">
      <c r="A11" s="65"/>
      <c r="B11" s="65"/>
      <c r="C11" s="65"/>
      <c r="D11" s="65"/>
      <c r="E11" s="65"/>
      <c r="F11" s="65"/>
      <c r="G11" s="65"/>
      <c r="H11" s="65"/>
      <c r="J11" s="4"/>
      <c r="K11" s="5"/>
      <c r="L11" s="5"/>
      <c r="M11" s="4"/>
      <c r="N11" s="4"/>
      <c r="O11" s="4"/>
      <c r="P11" s="4"/>
      <c r="Q11" s="4"/>
      <c r="R11" s="4"/>
      <c r="S11" s="4"/>
      <c r="T11" s="4"/>
      <c r="U11" s="4"/>
      <c r="V11" s="4"/>
      <c r="W11" s="4"/>
      <c r="X11" s="4"/>
      <c r="Y11" s="4"/>
      <c r="Z11" s="4"/>
      <c r="AA11" s="4"/>
      <c r="AB11" s="4"/>
    </row>
    <row r="12" spans="1:30" ht="12.75" customHeight="1" x14ac:dyDescent="0.2">
      <c r="A12" s="65"/>
      <c r="B12" s="65"/>
      <c r="C12" s="65"/>
      <c r="D12" s="65"/>
      <c r="E12" s="65"/>
      <c r="F12" s="65"/>
      <c r="G12" s="65"/>
      <c r="H12" s="65"/>
      <c r="J12" s="4"/>
      <c r="K12" s="4"/>
      <c r="L12" s="4"/>
      <c r="M12" s="4"/>
      <c r="N12" s="4"/>
      <c r="O12" s="4"/>
      <c r="P12" s="4"/>
      <c r="Q12" s="4"/>
      <c r="R12" s="4"/>
      <c r="S12" s="4"/>
      <c r="T12" s="4"/>
      <c r="U12" s="4"/>
      <c r="V12" s="4"/>
      <c r="W12" s="4"/>
      <c r="X12" s="4"/>
      <c r="Y12" s="4"/>
      <c r="Z12" s="4"/>
      <c r="AA12" s="4"/>
      <c r="AB12" s="4"/>
    </row>
    <row r="13" spans="1:30" ht="12.75" customHeight="1" x14ac:dyDescent="0.2">
      <c r="A13" s="65"/>
      <c r="B13" s="65"/>
      <c r="C13" s="65"/>
      <c r="D13" s="65"/>
      <c r="E13" s="65"/>
      <c r="F13" s="65"/>
      <c r="G13" s="65"/>
      <c r="H13" s="65"/>
      <c r="J13" s="4"/>
      <c r="K13" s="4" t="s">
        <v>37</v>
      </c>
      <c r="L13" s="4"/>
      <c r="M13" s="4"/>
      <c r="N13" s="4"/>
      <c r="O13" s="4"/>
      <c r="P13" s="4"/>
      <c r="Q13" s="4"/>
      <c r="R13" s="4"/>
      <c r="S13" s="4"/>
      <c r="T13" s="4"/>
      <c r="U13" s="4"/>
      <c r="V13" s="4"/>
      <c r="W13" s="4"/>
      <c r="X13" s="4"/>
      <c r="Y13" s="4"/>
      <c r="Z13" s="4"/>
      <c r="AA13" s="4"/>
      <c r="AB13" s="4"/>
    </row>
    <row r="14" spans="1:30" ht="12.75" customHeight="1" x14ac:dyDescent="0.2">
      <c r="A14" s="65"/>
      <c r="B14" s="65"/>
      <c r="C14" s="65"/>
      <c r="D14" s="65"/>
      <c r="E14" s="65"/>
      <c r="F14" s="65"/>
      <c r="G14" s="65"/>
      <c r="H14" s="65"/>
      <c r="J14" s="4"/>
      <c r="K14" s="4"/>
      <c r="L14" s="4"/>
      <c r="M14" s="4"/>
      <c r="N14" s="4"/>
      <c r="O14" s="4"/>
      <c r="P14" s="4"/>
      <c r="Q14" s="4"/>
      <c r="R14" s="4"/>
      <c r="S14" s="4"/>
      <c r="T14" s="4"/>
      <c r="U14" s="4"/>
      <c r="AD14" s="9"/>
    </row>
    <row r="15" spans="1:30" ht="12.75" customHeight="1" x14ac:dyDescent="0.2">
      <c r="A15" s="65"/>
      <c r="B15" s="65"/>
      <c r="C15" s="65"/>
      <c r="D15" s="65"/>
      <c r="E15" s="65"/>
      <c r="F15" s="65"/>
      <c r="G15" s="65"/>
      <c r="H15" s="65"/>
      <c r="K15" s="10" t="s">
        <v>36</v>
      </c>
      <c r="L15" s="10" t="s">
        <v>16</v>
      </c>
      <c r="M15" s="10" t="s">
        <v>17</v>
      </c>
      <c r="N15" s="10" t="s">
        <v>33</v>
      </c>
      <c r="O15" s="10" t="s">
        <v>34</v>
      </c>
      <c r="P15" s="10" t="s">
        <v>35</v>
      </c>
      <c r="Q15" s="4"/>
      <c r="R15" s="4"/>
      <c r="S15" s="4"/>
      <c r="T15" s="4"/>
      <c r="U15" s="4"/>
      <c r="AD15" s="9"/>
    </row>
    <row r="16" spans="1:30" ht="12.75" customHeight="1" x14ac:dyDescent="0.2">
      <c r="A16" s="65"/>
      <c r="B16" s="65"/>
      <c r="C16" s="65"/>
      <c r="D16" s="65"/>
      <c r="E16" s="65"/>
      <c r="F16" s="65"/>
      <c r="G16" s="65"/>
      <c r="H16" s="65"/>
      <c r="J16" s="4"/>
      <c r="K16" s="7">
        <v>0</v>
      </c>
      <c r="L16" s="6">
        <v>0</v>
      </c>
      <c r="M16" s="8">
        <v>0</v>
      </c>
      <c r="N16" s="4"/>
      <c r="O16" s="6"/>
      <c r="P16" s="6"/>
      <c r="Q16" s="4"/>
      <c r="R16" s="4"/>
      <c r="S16" s="4"/>
      <c r="T16" s="4"/>
      <c r="U16" s="4"/>
      <c r="AD16" s="9"/>
    </row>
    <row r="17" spans="1:32" ht="12.75" customHeight="1" x14ac:dyDescent="0.2">
      <c r="A17" s="65"/>
      <c r="B17" s="65"/>
      <c r="C17" s="65"/>
      <c r="D17" s="65"/>
      <c r="E17" s="65"/>
      <c r="F17" s="65"/>
      <c r="G17" s="65"/>
      <c r="H17" s="65"/>
      <c r="J17" s="4"/>
      <c r="K17" s="7">
        <v>1</v>
      </c>
      <c r="L17" s="6">
        <v>0.78500000000000003</v>
      </c>
      <c r="M17" s="6">
        <v>0.70699999999999996</v>
      </c>
      <c r="N17" s="8">
        <f>(M17-M16)/(L17-L16)</f>
        <v>0.90063694267515915</v>
      </c>
      <c r="O17" s="6"/>
      <c r="P17" s="6"/>
      <c r="Q17" s="4"/>
      <c r="R17" s="4"/>
      <c r="S17" s="4"/>
      <c r="T17" s="4"/>
      <c r="U17" s="4"/>
      <c r="AD17" s="9"/>
    </row>
    <row r="18" spans="1:32" ht="12.75" customHeight="1" x14ac:dyDescent="0.2">
      <c r="A18" s="65"/>
      <c r="B18" s="65"/>
      <c r="C18" s="65"/>
      <c r="D18" s="65"/>
      <c r="E18" s="65"/>
      <c r="F18" s="65"/>
      <c r="G18" s="65"/>
      <c r="H18" s="65"/>
      <c r="J18" s="4"/>
      <c r="K18" s="7">
        <v>2</v>
      </c>
      <c r="L18" s="6">
        <v>1.571</v>
      </c>
      <c r="M18" s="6">
        <v>1</v>
      </c>
      <c r="N18" s="6">
        <f>(M18-M17)/(L18-L17)</f>
        <v>0.37277353689567438</v>
      </c>
      <c r="O18" s="8">
        <f>(N18-N17)/(L18-L16)</f>
        <v>-0.33600471405441423</v>
      </c>
      <c r="P18" s="6"/>
      <c r="Q18" s="4"/>
      <c r="R18" s="4"/>
      <c r="S18" s="4"/>
      <c r="T18" s="4"/>
      <c r="U18" s="4"/>
      <c r="AD18" s="9"/>
    </row>
    <row r="19" spans="1:32" ht="12.75" customHeight="1" x14ac:dyDescent="0.2">
      <c r="A19" s="65"/>
      <c r="B19" s="65"/>
      <c r="C19" s="65"/>
      <c r="D19" s="65"/>
      <c r="E19" s="65"/>
      <c r="F19" s="65"/>
      <c r="G19" s="65"/>
      <c r="H19" s="65"/>
      <c r="J19" s="4"/>
      <c r="K19" s="7">
        <v>3</v>
      </c>
      <c r="L19" s="6">
        <v>2.6179999999999999</v>
      </c>
      <c r="M19" s="6">
        <v>0.5</v>
      </c>
      <c r="N19" s="6">
        <f>(M19-M18)/(L19-L18)</f>
        <v>-0.47755491881566381</v>
      </c>
      <c r="O19" s="6">
        <f>(N19-N18)/(L19-L17)</f>
        <v>-0.46389986672740768</v>
      </c>
      <c r="P19" s="8">
        <f>(O19-O18)/(L19-L16)</f>
        <v>-4.8852235551181608E-2</v>
      </c>
      <c r="Q19" s="4"/>
      <c r="R19" s="4"/>
      <c r="S19" s="4"/>
      <c r="T19" s="4"/>
      <c r="U19" s="4"/>
      <c r="AD19" s="9"/>
    </row>
    <row r="20" spans="1:32" ht="12.75" customHeight="1" x14ac:dyDescent="0.2">
      <c r="A20" s="65"/>
      <c r="B20" s="65"/>
      <c r="C20" s="65"/>
      <c r="D20" s="65"/>
      <c r="E20" s="65"/>
      <c r="F20" s="65"/>
      <c r="G20" s="65"/>
      <c r="H20" s="65"/>
      <c r="J20" s="4"/>
      <c r="K20" s="4"/>
      <c r="L20" s="4"/>
      <c r="M20" s="4"/>
      <c r="N20" s="4"/>
      <c r="O20" s="4"/>
      <c r="P20" s="4"/>
      <c r="Q20" s="4"/>
      <c r="R20" s="4"/>
      <c r="S20" s="4"/>
      <c r="T20" s="4"/>
      <c r="U20" s="4"/>
      <c r="AD20" s="9"/>
    </row>
    <row r="21" spans="1:32" x14ac:dyDescent="0.2">
      <c r="A21" s="65"/>
      <c r="B21" s="65"/>
      <c r="C21" s="65"/>
      <c r="D21" s="65"/>
      <c r="E21" s="65"/>
      <c r="F21" s="65"/>
      <c r="G21" s="65"/>
      <c r="H21" s="65"/>
      <c r="J21" s="4"/>
      <c r="K21" s="5" t="s">
        <v>19</v>
      </c>
      <c r="L21" s="5" t="s">
        <v>20</v>
      </c>
      <c r="M21" s="5" t="s">
        <v>21</v>
      </c>
      <c r="N21" s="5" t="s">
        <v>22</v>
      </c>
      <c r="O21" s="4"/>
      <c r="P21" s="4"/>
      <c r="Q21" s="4"/>
      <c r="R21" s="4"/>
      <c r="S21" s="4"/>
      <c r="T21" s="4"/>
      <c r="U21" s="4"/>
    </row>
    <row r="22" spans="1:32" x14ac:dyDescent="0.2">
      <c r="A22" s="65"/>
      <c r="B22" s="65"/>
      <c r="C22" s="65"/>
      <c r="D22" s="65"/>
      <c r="E22" s="65"/>
      <c r="F22" s="65"/>
      <c r="G22" s="65"/>
      <c r="H22" s="65"/>
      <c r="J22" s="4"/>
      <c r="K22" s="6">
        <f>M16</f>
        <v>0</v>
      </c>
      <c r="L22" s="6">
        <f>N17</f>
        <v>0.90063694267515915</v>
      </c>
      <c r="M22" s="6">
        <f>O18</f>
        <v>-0.33600471405441423</v>
      </c>
      <c r="N22" s="6">
        <f>P19</f>
        <v>-4.8852235551181608E-2</v>
      </c>
      <c r="O22" s="4"/>
      <c r="P22" s="4"/>
      <c r="Q22" s="4"/>
      <c r="R22" s="4"/>
      <c r="S22" s="4"/>
      <c r="T22" s="4"/>
      <c r="U22" s="4"/>
    </row>
    <row r="23" spans="1:32" x14ac:dyDescent="0.2">
      <c r="A23" s="65"/>
      <c r="B23" s="65"/>
      <c r="C23" s="65"/>
      <c r="D23" s="65"/>
      <c r="E23" s="65"/>
      <c r="F23" s="65"/>
      <c r="G23" s="65"/>
      <c r="H23" s="65"/>
      <c r="J23" s="4"/>
      <c r="K23" s="5"/>
      <c r="L23" s="5"/>
      <c r="M23" s="5"/>
      <c r="N23" s="5"/>
      <c r="O23" s="4"/>
      <c r="P23" s="4"/>
      <c r="Q23" s="4"/>
      <c r="R23" s="4"/>
      <c r="S23" s="4"/>
      <c r="T23" s="4"/>
      <c r="U23" s="4"/>
    </row>
    <row r="24" spans="1:32" x14ac:dyDescent="0.2">
      <c r="A24" s="65"/>
      <c r="B24" s="65"/>
      <c r="C24" s="65"/>
      <c r="D24" s="65"/>
      <c r="E24" s="65"/>
      <c r="F24" s="65"/>
      <c r="G24" s="65"/>
      <c r="H24" s="65"/>
      <c r="J24" s="4"/>
      <c r="K24" s="5" t="s">
        <v>24</v>
      </c>
      <c r="L24" s="5"/>
      <c r="M24" s="5">
        <v>0.52400000000000002</v>
      </c>
      <c r="N24" s="5">
        <v>3</v>
      </c>
      <c r="O24" s="4"/>
      <c r="P24" s="4"/>
      <c r="Q24" s="4"/>
      <c r="R24" s="4"/>
      <c r="S24" s="4"/>
      <c r="T24" s="4"/>
      <c r="U24" s="4"/>
    </row>
    <row r="25" spans="1:32" x14ac:dyDescent="0.2">
      <c r="A25" s="65"/>
      <c r="B25" s="65"/>
      <c r="C25" s="65"/>
      <c r="D25" s="65"/>
      <c r="E25" s="65"/>
      <c r="F25" s="65"/>
      <c r="G25" s="65"/>
      <c r="H25" s="65"/>
      <c r="J25" s="4"/>
      <c r="K25" s="4"/>
      <c r="L25" s="4"/>
      <c r="M25" s="4"/>
      <c r="N25" s="4"/>
      <c r="O25" s="4"/>
      <c r="P25" s="4"/>
      <c r="Q25" s="4"/>
      <c r="R25" s="4"/>
      <c r="S25" s="4"/>
      <c r="T25" s="4"/>
      <c r="U25" s="4"/>
    </row>
    <row r="26" spans="1:32" x14ac:dyDescent="0.2">
      <c r="A26" s="65"/>
      <c r="B26" s="65"/>
      <c r="C26" s="65"/>
      <c r="D26" s="65"/>
      <c r="E26" s="65"/>
      <c r="F26" s="65"/>
      <c r="G26" s="65"/>
      <c r="H26" s="65"/>
      <c r="J26" s="4"/>
      <c r="K26" s="5" t="s">
        <v>38</v>
      </c>
      <c r="L26" s="16" t="s">
        <v>39</v>
      </c>
      <c r="M26" s="5"/>
      <c r="N26" s="5"/>
      <c r="O26" s="5"/>
      <c r="P26" s="4"/>
      <c r="Q26" s="4"/>
      <c r="R26" s="4"/>
      <c r="S26" s="4"/>
      <c r="T26" s="4"/>
      <c r="U26" s="4"/>
    </row>
    <row r="27" spans="1:32" x14ac:dyDescent="0.2">
      <c r="A27" s="65"/>
      <c r="B27" s="65"/>
      <c r="C27" s="65"/>
      <c r="D27" s="65"/>
      <c r="E27" s="65"/>
      <c r="F27" s="65"/>
      <c r="G27" s="65"/>
      <c r="H27" s="65"/>
      <c r="J27" s="4"/>
      <c r="K27" s="5" t="s">
        <v>26</v>
      </c>
      <c r="L27" s="16" t="s">
        <v>40</v>
      </c>
      <c r="M27" s="5"/>
      <c r="N27" s="5"/>
      <c r="O27" s="5"/>
      <c r="P27" s="4"/>
      <c r="Q27" s="4"/>
      <c r="R27" s="4"/>
      <c r="S27" s="4"/>
      <c r="T27" s="4"/>
      <c r="U27" s="4"/>
      <c r="V27" s="5"/>
      <c r="W27" s="5"/>
      <c r="X27" s="4"/>
      <c r="Y27" s="4"/>
      <c r="Z27" s="4"/>
      <c r="AA27" s="4"/>
      <c r="AB27" s="4"/>
      <c r="AC27" s="4"/>
      <c r="AD27" s="4"/>
      <c r="AE27" s="4"/>
      <c r="AF27" s="4"/>
    </row>
    <row r="28" spans="1:32" x14ac:dyDescent="0.2">
      <c r="A28" s="65"/>
      <c r="B28" s="65"/>
      <c r="C28" s="65"/>
      <c r="D28" s="65"/>
      <c r="E28" s="65"/>
      <c r="F28" s="65"/>
      <c r="G28" s="65"/>
      <c r="H28" s="65"/>
      <c r="J28" s="4"/>
      <c r="K28" s="4"/>
      <c r="L28" s="4"/>
      <c r="M28" s="4"/>
      <c r="N28" s="4"/>
      <c r="O28" s="4"/>
      <c r="P28" s="4"/>
      <c r="Q28" s="4"/>
      <c r="R28" s="4"/>
      <c r="S28" s="4"/>
      <c r="T28" s="4"/>
      <c r="U28" s="4"/>
      <c r="V28" s="5"/>
      <c r="W28" s="5"/>
      <c r="X28" s="5"/>
      <c r="Y28" s="5"/>
      <c r="Z28" s="5"/>
      <c r="AA28" s="5"/>
      <c r="AB28" s="9"/>
      <c r="AC28" s="9"/>
      <c r="AD28" s="9"/>
    </row>
    <row r="29" spans="1:32" x14ac:dyDescent="0.2">
      <c r="A29" s="65"/>
      <c r="B29" s="65"/>
      <c r="C29" s="65"/>
      <c r="D29" s="65"/>
      <c r="E29" s="65"/>
      <c r="F29" s="65"/>
      <c r="G29" s="65"/>
      <c r="H29" s="65"/>
      <c r="J29" s="4"/>
      <c r="K29" s="4"/>
      <c r="L29" s="4"/>
      <c r="M29" s="4"/>
      <c r="N29" s="4"/>
      <c r="O29" s="4"/>
      <c r="P29" s="4"/>
      <c r="Q29" s="4"/>
      <c r="R29" s="4"/>
      <c r="S29" s="4"/>
      <c r="T29" s="4"/>
      <c r="U29" s="4"/>
      <c r="V29" s="5"/>
      <c r="W29" s="5"/>
      <c r="X29" s="5"/>
      <c r="Y29" s="5"/>
      <c r="Z29" s="5"/>
      <c r="AA29" s="5"/>
      <c r="AB29" s="9"/>
      <c r="AC29" s="9"/>
      <c r="AD29" s="9"/>
    </row>
    <row r="30" spans="1:32" ht="13.5" thickBot="1" x14ac:dyDescent="0.25">
      <c r="A30" s="65"/>
      <c r="B30" s="65"/>
      <c r="C30" s="65"/>
      <c r="D30" s="65"/>
      <c r="E30" s="65"/>
      <c r="F30" s="65"/>
      <c r="G30" s="65"/>
      <c r="H30" s="65"/>
      <c r="J30" s="4"/>
      <c r="K30" s="4"/>
      <c r="L30" s="4"/>
      <c r="M30" s="4"/>
      <c r="N30" s="4"/>
      <c r="O30" s="4"/>
      <c r="P30" s="4"/>
      <c r="Q30" s="4"/>
      <c r="R30" s="4"/>
      <c r="S30" s="4"/>
      <c r="T30" s="4"/>
      <c r="U30" s="4"/>
      <c r="V30" s="5"/>
      <c r="W30" s="5"/>
      <c r="X30" s="5"/>
      <c r="Y30" s="5"/>
      <c r="Z30" s="5"/>
      <c r="AA30" s="5"/>
      <c r="AB30" s="9"/>
      <c r="AC30" s="9"/>
      <c r="AD30" s="9"/>
    </row>
    <row r="31" spans="1:32" ht="13.5" thickBot="1" x14ac:dyDescent="0.25">
      <c r="A31" s="65"/>
      <c r="B31" s="65"/>
      <c r="C31" s="65"/>
      <c r="D31" s="65"/>
      <c r="E31" s="65"/>
      <c r="F31" s="65"/>
      <c r="G31" s="65"/>
      <c r="H31" s="65"/>
      <c r="J31" s="4"/>
      <c r="K31" s="13" t="s">
        <v>28</v>
      </c>
      <c r="L31" s="14">
        <f>K22+(L22*M24)+(M22*M24*(M24-L17))+(N22*M24*(M24-L17)*(M24-L18))</f>
        <v>0.51089186185608215</v>
      </c>
      <c r="M31" s="4"/>
      <c r="N31" s="4"/>
      <c r="O31" s="4"/>
      <c r="P31" s="4"/>
      <c r="Q31" s="4"/>
      <c r="R31" s="4"/>
      <c r="S31" s="4"/>
      <c r="T31" s="4"/>
      <c r="U31" s="4"/>
      <c r="V31" s="4"/>
      <c r="W31" s="4"/>
      <c r="X31" s="4"/>
      <c r="Y31" s="4"/>
      <c r="Z31" s="4"/>
      <c r="AA31" s="4"/>
    </row>
    <row r="32" spans="1:32" x14ac:dyDescent="0.2">
      <c r="A32" s="65"/>
      <c r="B32" s="65"/>
      <c r="C32" s="65"/>
      <c r="D32" s="65"/>
      <c r="E32" s="65"/>
      <c r="F32" s="65"/>
      <c r="G32" s="65"/>
      <c r="H32" s="65"/>
      <c r="J32" s="4"/>
      <c r="K32" s="4"/>
      <c r="L32" s="4"/>
      <c r="M32" s="4"/>
      <c r="N32" s="4"/>
      <c r="O32" s="4"/>
      <c r="P32" s="4"/>
      <c r="Q32" s="4"/>
      <c r="R32" s="4"/>
      <c r="S32" s="4"/>
      <c r="T32" s="4"/>
      <c r="U32" s="4"/>
      <c r="V32" s="4"/>
      <c r="W32" s="4"/>
      <c r="X32" s="4"/>
      <c r="Y32" s="4"/>
      <c r="Z32" s="4"/>
      <c r="AA32" s="4"/>
    </row>
    <row r="33" spans="1:27" x14ac:dyDescent="0.2">
      <c r="A33" s="65"/>
      <c r="B33" s="65"/>
      <c r="C33" s="65"/>
      <c r="D33" s="65"/>
      <c r="E33" s="65"/>
      <c r="F33" s="65"/>
      <c r="G33" s="65"/>
      <c r="H33" s="65"/>
      <c r="J33" s="4"/>
      <c r="K33" s="4"/>
      <c r="L33" s="4"/>
      <c r="M33" s="4"/>
      <c r="N33" s="4"/>
      <c r="O33" s="4"/>
      <c r="P33" s="4"/>
      <c r="Q33" s="4"/>
      <c r="R33" s="4"/>
      <c r="S33" s="4"/>
      <c r="T33" s="4"/>
      <c r="U33" s="4"/>
      <c r="V33" s="4"/>
      <c r="W33" s="4"/>
      <c r="X33" s="4"/>
      <c r="Y33" s="4"/>
      <c r="Z33" s="4"/>
      <c r="AA33" s="4"/>
    </row>
    <row r="34" spans="1:27" x14ac:dyDescent="0.2">
      <c r="A34" s="65"/>
      <c r="B34" s="65"/>
      <c r="C34" s="65"/>
      <c r="D34" s="65"/>
      <c r="E34" s="65"/>
      <c r="F34" s="65"/>
      <c r="G34" s="65"/>
      <c r="H34" s="65"/>
      <c r="J34" s="5" t="s">
        <v>43</v>
      </c>
      <c r="K34" s="4" t="s">
        <v>44</v>
      </c>
      <c r="L34" s="4"/>
      <c r="M34" s="4"/>
      <c r="N34" s="4"/>
      <c r="O34" s="4"/>
      <c r="P34" s="4"/>
      <c r="Q34" s="4"/>
      <c r="R34" s="4"/>
      <c r="S34" s="4"/>
      <c r="T34" s="4"/>
      <c r="U34" s="4"/>
      <c r="V34" s="4"/>
      <c r="W34" s="4"/>
      <c r="X34" s="4"/>
      <c r="Y34" s="4"/>
      <c r="Z34" s="4"/>
      <c r="AA34" s="4"/>
    </row>
    <row r="35" spans="1:27" x14ac:dyDescent="0.2">
      <c r="A35" s="65"/>
      <c r="B35" s="65"/>
      <c r="C35" s="65"/>
      <c r="D35" s="65"/>
      <c r="E35" s="65"/>
      <c r="F35" s="65"/>
      <c r="G35" s="65"/>
      <c r="H35" s="65"/>
      <c r="J35" s="4"/>
      <c r="W35" s="4"/>
      <c r="X35" s="4"/>
      <c r="Y35" s="4"/>
      <c r="Z35" s="4"/>
      <c r="AA35" s="4"/>
    </row>
    <row r="36" spans="1:27" x14ac:dyDescent="0.2">
      <c r="A36" s="65"/>
      <c r="B36" s="65"/>
      <c r="C36" s="65"/>
      <c r="D36" s="65"/>
      <c r="E36" s="65"/>
      <c r="F36" s="65"/>
      <c r="G36" s="65"/>
      <c r="H36" s="65"/>
      <c r="J36" s="4"/>
      <c r="K36" s="11" t="s">
        <v>16</v>
      </c>
      <c r="L36" s="11" t="s">
        <v>17</v>
      </c>
      <c r="M36" s="4"/>
      <c r="N36" s="4"/>
      <c r="O36" s="4"/>
      <c r="P36" s="4"/>
      <c r="Q36" s="4"/>
      <c r="R36" s="4"/>
      <c r="S36" s="4"/>
      <c r="T36" s="4"/>
      <c r="U36" s="4"/>
      <c r="W36" s="4"/>
      <c r="X36" s="4"/>
      <c r="Y36" s="4"/>
      <c r="Z36" s="4"/>
      <c r="AA36" s="4"/>
    </row>
    <row r="37" spans="1:27" x14ac:dyDescent="0.2">
      <c r="A37" s="65"/>
      <c r="B37" s="65"/>
      <c r="C37" s="65"/>
      <c r="D37" s="65"/>
      <c r="E37" s="65"/>
      <c r="F37" s="65"/>
      <c r="G37" s="65"/>
      <c r="H37" s="65"/>
      <c r="J37" s="4"/>
      <c r="K37" s="12">
        <v>0</v>
      </c>
      <c r="L37" s="12">
        <v>0</v>
      </c>
      <c r="M37" s="5" t="s">
        <v>32</v>
      </c>
      <c r="N37" s="4" t="s">
        <v>116</v>
      </c>
      <c r="O37" s="4"/>
      <c r="P37" s="4"/>
      <c r="Q37" s="4"/>
      <c r="R37" s="4"/>
      <c r="S37" s="4"/>
      <c r="T37" s="4"/>
      <c r="U37" s="4"/>
      <c r="W37" s="4"/>
      <c r="X37" s="4"/>
      <c r="Y37" s="4"/>
      <c r="Z37" s="4"/>
      <c r="AA37" s="4"/>
    </row>
    <row r="38" spans="1:27" x14ac:dyDescent="0.2">
      <c r="A38" s="65"/>
      <c r="B38" s="65"/>
      <c r="C38" s="65"/>
      <c r="D38" s="65"/>
      <c r="E38" s="65"/>
      <c r="F38" s="65"/>
      <c r="G38" s="65"/>
      <c r="H38" s="65"/>
      <c r="J38" s="4"/>
      <c r="K38" s="12">
        <v>0.78500000000000003</v>
      </c>
      <c r="L38" s="12">
        <v>0.70699999999999996</v>
      </c>
      <c r="M38" s="4"/>
      <c r="N38" s="4"/>
      <c r="O38" s="4"/>
      <c r="P38" s="4"/>
      <c r="Q38" s="4"/>
      <c r="R38" s="4"/>
      <c r="S38" s="4"/>
      <c r="T38" s="4"/>
      <c r="U38" s="4"/>
      <c r="W38" s="4"/>
      <c r="X38" s="4"/>
      <c r="Y38" s="4"/>
      <c r="Z38" s="4"/>
      <c r="AA38" s="4"/>
    </row>
    <row r="39" spans="1:27" x14ac:dyDescent="0.2">
      <c r="A39" s="65"/>
      <c r="B39" s="65"/>
      <c r="C39" s="65"/>
      <c r="D39" s="65"/>
      <c r="E39" s="65"/>
      <c r="F39" s="65"/>
      <c r="G39" s="65"/>
      <c r="H39" s="65"/>
      <c r="J39" s="4"/>
      <c r="K39" s="12">
        <v>1.571</v>
      </c>
      <c r="L39" s="12">
        <v>1</v>
      </c>
      <c r="M39" s="4"/>
      <c r="N39" s="4"/>
      <c r="O39" s="4"/>
      <c r="P39" s="4"/>
      <c r="Q39" s="4"/>
      <c r="R39" s="4"/>
      <c r="S39" s="4"/>
      <c r="T39" s="4"/>
      <c r="U39" s="4"/>
      <c r="W39" s="4"/>
      <c r="X39" s="4"/>
      <c r="Y39" s="4"/>
      <c r="Z39" s="4"/>
      <c r="AA39" s="4"/>
    </row>
    <row r="40" spans="1:27" x14ac:dyDescent="0.2">
      <c r="A40" s="65"/>
      <c r="B40" s="65"/>
      <c r="C40" s="65"/>
      <c r="D40" s="65"/>
      <c r="E40" s="65"/>
      <c r="F40" s="65"/>
      <c r="G40" s="65"/>
      <c r="H40" s="65"/>
      <c r="J40" s="4"/>
      <c r="K40" s="12">
        <v>2.6179999999999999</v>
      </c>
      <c r="L40" s="12">
        <v>0.5</v>
      </c>
      <c r="M40" s="4"/>
      <c r="N40" s="4"/>
      <c r="O40" s="4"/>
      <c r="P40" s="4"/>
      <c r="Q40" s="4"/>
      <c r="R40" s="4"/>
      <c r="S40" s="4"/>
      <c r="T40" s="4"/>
      <c r="U40" s="4"/>
      <c r="W40" s="4"/>
      <c r="X40" s="4"/>
      <c r="Y40" s="4"/>
      <c r="Z40" s="4"/>
      <c r="AA40" s="4"/>
    </row>
    <row r="41" spans="1:27" x14ac:dyDescent="0.2">
      <c r="A41" s="65"/>
      <c r="B41" s="65"/>
      <c r="C41" s="65"/>
      <c r="D41" s="65"/>
      <c r="E41" s="65"/>
      <c r="F41" s="65"/>
      <c r="G41" s="65"/>
      <c r="H41" s="65"/>
      <c r="J41" s="4"/>
      <c r="K41" s="12">
        <v>3.1419999999999999</v>
      </c>
      <c r="L41" s="12">
        <v>0</v>
      </c>
      <c r="M41" s="4"/>
      <c r="N41" s="4"/>
      <c r="O41" s="4"/>
      <c r="P41" s="4"/>
      <c r="Q41" s="4"/>
      <c r="R41" s="4"/>
      <c r="S41" s="4"/>
      <c r="T41" s="4"/>
      <c r="U41" s="4"/>
      <c r="V41" s="4"/>
      <c r="W41" s="4"/>
      <c r="X41" s="4"/>
      <c r="Y41" s="4"/>
      <c r="Z41" s="4"/>
      <c r="AA41" s="4"/>
    </row>
    <row r="42" spans="1:27" x14ac:dyDescent="0.2">
      <c r="A42" s="65"/>
      <c r="B42" s="65"/>
      <c r="C42" s="65"/>
      <c r="D42" s="65"/>
      <c r="E42" s="65"/>
      <c r="F42" s="65"/>
      <c r="G42" s="65"/>
      <c r="H42" s="65"/>
      <c r="J42" s="4"/>
      <c r="K42" s="4"/>
      <c r="M42" s="4"/>
      <c r="N42" s="4"/>
      <c r="O42" s="4"/>
      <c r="P42" s="4"/>
      <c r="R42" s="4"/>
      <c r="S42" s="4"/>
      <c r="T42" s="4"/>
      <c r="U42" s="4"/>
      <c r="V42" s="4"/>
      <c r="W42" s="4"/>
      <c r="X42" s="4"/>
      <c r="Y42" s="4"/>
      <c r="Z42" s="4"/>
      <c r="AA42" s="4"/>
    </row>
    <row r="43" spans="1:27" x14ac:dyDescent="0.2">
      <c r="A43" s="65"/>
      <c r="B43" s="65"/>
      <c r="C43" s="65"/>
      <c r="D43" s="65"/>
      <c r="E43" s="65"/>
      <c r="F43" s="65"/>
      <c r="G43" s="65"/>
      <c r="H43" s="65"/>
    </row>
    <row r="44" spans="1:27" x14ac:dyDescent="0.2">
      <c r="A44" s="65"/>
      <c r="B44" s="65"/>
      <c r="C44" s="65"/>
      <c r="D44" s="65"/>
      <c r="E44" s="65"/>
      <c r="F44" s="65"/>
      <c r="G44" s="65"/>
      <c r="H44" s="65"/>
      <c r="J44" s="5"/>
    </row>
    <row r="45" spans="1:27" x14ac:dyDescent="0.2">
      <c r="A45" s="65"/>
      <c r="B45" s="65"/>
      <c r="C45" s="65"/>
      <c r="D45" s="65"/>
      <c r="E45" s="65"/>
      <c r="F45" s="65"/>
      <c r="G45" s="65"/>
      <c r="H45" s="65"/>
      <c r="J45" s="5"/>
    </row>
    <row r="46" spans="1:27" x14ac:dyDescent="0.2">
      <c r="A46" s="65"/>
      <c r="B46" s="65"/>
      <c r="C46" s="65"/>
      <c r="D46" s="65"/>
      <c r="E46" s="65"/>
      <c r="F46" s="65"/>
      <c r="G46" s="65"/>
      <c r="H46" s="65"/>
      <c r="J46" s="5"/>
      <c r="K46" s="10" t="s">
        <v>36</v>
      </c>
      <c r="L46" s="10" t="s">
        <v>16</v>
      </c>
      <c r="M46" s="10" t="s">
        <v>17</v>
      </c>
      <c r="N46" s="10" t="s">
        <v>33</v>
      </c>
      <c r="O46" s="10" t="s">
        <v>34</v>
      </c>
      <c r="P46" s="10" t="s">
        <v>35</v>
      </c>
      <c r="Q46" s="9"/>
    </row>
    <row r="47" spans="1:27" x14ac:dyDescent="0.2">
      <c r="A47" s="65"/>
      <c r="B47" s="65"/>
      <c r="C47" s="65"/>
      <c r="D47" s="65"/>
      <c r="E47" s="65"/>
      <c r="F47" s="65"/>
      <c r="G47" s="65"/>
      <c r="H47" s="65"/>
      <c r="J47" s="5"/>
      <c r="K47" s="5">
        <v>0</v>
      </c>
      <c r="L47" s="6">
        <v>0.78500000000000003</v>
      </c>
      <c r="M47" s="8">
        <v>0.70699999999999996</v>
      </c>
      <c r="N47" s="6"/>
      <c r="O47" s="6"/>
      <c r="P47" s="6"/>
      <c r="Q47" s="9"/>
    </row>
    <row r="48" spans="1:27" x14ac:dyDescent="0.2">
      <c r="A48" s="65"/>
      <c r="B48" s="65"/>
      <c r="C48" s="65"/>
      <c r="D48" s="65"/>
      <c r="E48" s="65"/>
      <c r="F48" s="65"/>
      <c r="G48" s="65"/>
      <c r="H48" s="65"/>
      <c r="J48" s="5"/>
      <c r="K48" s="5">
        <v>1</v>
      </c>
      <c r="L48" s="6">
        <v>1.571</v>
      </c>
      <c r="M48" s="6">
        <v>1</v>
      </c>
      <c r="N48" s="8">
        <f>(M48-M47)/(L48-L47)</f>
        <v>0.37277353689567438</v>
      </c>
      <c r="O48" s="6"/>
      <c r="P48" s="6"/>
      <c r="Q48" s="9"/>
    </row>
    <row r="49" spans="1:17" x14ac:dyDescent="0.2">
      <c r="A49" s="65"/>
      <c r="B49" s="65"/>
      <c r="C49" s="65"/>
      <c r="D49" s="65"/>
      <c r="E49" s="65"/>
      <c r="F49" s="65"/>
      <c r="G49" s="65"/>
      <c r="H49" s="65"/>
      <c r="J49" s="5"/>
      <c r="K49" s="5">
        <v>2</v>
      </c>
      <c r="L49" s="6">
        <v>2.6179999999999999</v>
      </c>
      <c r="M49" s="6">
        <v>0.5</v>
      </c>
      <c r="N49" s="6">
        <f t="shared" ref="N49:N50" si="0">(M49-M48)/(L49-L48)</f>
        <v>-0.47755491881566381</v>
      </c>
      <c r="O49" s="8">
        <f>(N49-N48)/(L49-L47)</f>
        <v>-0.46389986672740768</v>
      </c>
      <c r="P49" s="6"/>
      <c r="Q49" s="9"/>
    </row>
    <row r="50" spans="1:17" x14ac:dyDescent="0.2">
      <c r="A50" s="65"/>
      <c r="B50" s="65"/>
      <c r="C50" s="65"/>
      <c r="D50" s="65"/>
      <c r="E50" s="65"/>
      <c r="F50" s="65"/>
      <c r="G50" s="65"/>
      <c r="H50" s="65"/>
      <c r="J50" s="5"/>
      <c r="K50" s="5">
        <v>3</v>
      </c>
      <c r="L50" s="6">
        <v>3.1419999999999999</v>
      </c>
      <c r="M50" s="6">
        <v>0</v>
      </c>
      <c r="N50" s="6">
        <f t="shared" si="0"/>
        <v>-0.95419847328244267</v>
      </c>
      <c r="O50" s="6">
        <f>(N50-N49)/(L50-L48)</f>
        <v>-0.30340137139833157</v>
      </c>
      <c r="P50" s="8">
        <f>(O50-O49)/(L50-L47)</f>
        <v>6.8094397678861315E-2</v>
      </c>
      <c r="Q50" s="9"/>
    </row>
    <row r="51" spans="1:17" x14ac:dyDescent="0.2">
      <c r="A51" s="65"/>
      <c r="B51" s="65"/>
      <c r="C51" s="65"/>
      <c r="D51" s="65"/>
      <c r="E51" s="65"/>
      <c r="F51" s="65"/>
      <c r="G51" s="65"/>
      <c r="H51" s="65"/>
      <c r="J51" s="5"/>
      <c r="K51" s="5"/>
      <c r="L51" s="5"/>
      <c r="M51" s="5"/>
      <c r="N51" s="5"/>
      <c r="O51" s="5"/>
      <c r="P51" s="5"/>
      <c r="Q51" s="9"/>
    </row>
    <row r="52" spans="1:17" x14ac:dyDescent="0.2">
      <c r="A52" s="65"/>
      <c r="B52" s="65"/>
      <c r="C52" s="65"/>
      <c r="D52" s="65"/>
      <c r="E52" s="65"/>
      <c r="F52" s="65"/>
      <c r="G52" s="65"/>
      <c r="H52" s="65"/>
      <c r="J52" s="5"/>
      <c r="K52" s="5"/>
      <c r="L52" s="5" t="s">
        <v>19</v>
      </c>
      <c r="M52" s="5" t="s">
        <v>20</v>
      </c>
      <c r="N52" s="5" t="s">
        <v>21</v>
      </c>
      <c r="O52" s="5" t="s">
        <v>22</v>
      </c>
      <c r="P52" s="9"/>
      <c r="Q52" s="9"/>
    </row>
    <row r="53" spans="1:17" x14ac:dyDescent="0.2">
      <c r="A53" s="65"/>
      <c r="B53" s="65"/>
      <c r="C53" s="65"/>
      <c r="D53" s="65"/>
      <c r="E53" s="65"/>
      <c r="F53" s="65"/>
      <c r="G53" s="65"/>
      <c r="H53" s="65"/>
      <c r="J53" s="5"/>
      <c r="K53" s="5"/>
      <c r="L53" s="6">
        <f>M47</f>
        <v>0.70699999999999996</v>
      </c>
      <c r="M53" s="6">
        <f>N48</f>
        <v>0.37277353689567438</v>
      </c>
      <c r="N53" s="6">
        <f>O49</f>
        <v>-0.46389986672740768</v>
      </c>
      <c r="O53" s="6">
        <f>P50</f>
        <v>6.8094397678861315E-2</v>
      </c>
      <c r="P53" s="9"/>
      <c r="Q53" s="9"/>
    </row>
    <row r="54" spans="1:17" x14ac:dyDescent="0.2">
      <c r="A54" s="65"/>
      <c r="B54" s="65"/>
      <c r="C54" s="65"/>
      <c r="D54" s="65"/>
      <c r="E54" s="65"/>
      <c r="F54" s="65"/>
      <c r="G54" s="65"/>
      <c r="H54" s="65"/>
      <c r="J54" s="5"/>
      <c r="K54" s="5"/>
      <c r="L54" s="5" t="s">
        <v>23</v>
      </c>
      <c r="M54" s="5"/>
      <c r="N54" s="5"/>
      <c r="O54" s="5"/>
      <c r="P54" s="9"/>
      <c r="Q54" s="9"/>
    </row>
    <row r="55" spans="1:17" x14ac:dyDescent="0.2">
      <c r="A55" s="65"/>
      <c r="B55" s="65"/>
      <c r="C55" s="65"/>
      <c r="D55" s="65"/>
      <c r="E55" s="65"/>
      <c r="F55" s="65"/>
      <c r="G55" s="65"/>
      <c r="H55" s="65"/>
      <c r="J55" s="5"/>
      <c r="K55" s="15" t="s">
        <v>38</v>
      </c>
      <c r="L55" s="17" t="s">
        <v>39</v>
      </c>
      <c r="M55" s="15"/>
      <c r="N55" s="15"/>
      <c r="O55" s="15"/>
      <c r="P55" s="9"/>
      <c r="Q55" s="9"/>
    </row>
    <row r="56" spans="1:17" x14ac:dyDescent="0.2">
      <c r="A56" s="65"/>
      <c r="B56" s="65"/>
      <c r="C56" s="65"/>
      <c r="D56" s="65"/>
      <c r="E56" s="65"/>
      <c r="F56" s="65"/>
      <c r="G56" s="65"/>
      <c r="H56" s="65"/>
      <c r="J56" s="5"/>
      <c r="K56" s="15" t="s">
        <v>25</v>
      </c>
      <c r="L56" s="17" t="s">
        <v>41</v>
      </c>
      <c r="M56" s="15"/>
      <c r="N56" s="15"/>
      <c r="O56" s="15"/>
      <c r="P56" s="9"/>
      <c r="Q56" s="9"/>
    </row>
    <row r="57" spans="1:17" x14ac:dyDescent="0.2">
      <c r="A57" s="65"/>
      <c r="B57" s="65"/>
      <c r="C57" s="65"/>
      <c r="D57" s="65"/>
      <c r="E57" s="65"/>
      <c r="F57" s="65"/>
      <c r="G57" s="65"/>
      <c r="H57" s="65"/>
      <c r="K57" s="5"/>
      <c r="L57" s="5"/>
      <c r="M57" s="5"/>
      <c r="N57" s="5"/>
      <c r="O57" s="5"/>
      <c r="P57" s="9"/>
      <c r="Q57" s="9"/>
    </row>
    <row r="58" spans="1:17" ht="13.5" thickBot="1" x14ac:dyDescent="0.25">
      <c r="A58" s="65"/>
      <c r="B58" s="65"/>
      <c r="C58" s="65"/>
      <c r="D58" s="65"/>
      <c r="E58" s="65"/>
      <c r="F58" s="65"/>
      <c r="G58" s="65"/>
      <c r="H58" s="65"/>
      <c r="K58" s="5"/>
      <c r="L58" s="5"/>
      <c r="M58" s="5"/>
      <c r="N58" s="5"/>
      <c r="O58" s="5"/>
      <c r="P58" s="9"/>
      <c r="Q58" s="9"/>
    </row>
    <row r="59" spans="1:17" ht="13.5" thickBot="1" x14ac:dyDescent="0.25">
      <c r="A59" s="65"/>
      <c r="B59" s="65"/>
      <c r="C59" s="65"/>
      <c r="D59" s="65"/>
      <c r="E59" s="65"/>
      <c r="F59" s="65"/>
      <c r="G59" s="65"/>
      <c r="H59" s="65"/>
      <c r="K59" s="20" t="s">
        <v>27</v>
      </c>
      <c r="L59" s="21">
        <f>L53+(M53*(N24-L47))+(N53*(N24-L47)*(N24-L48))+(O53*(N24-L47)*(N24-L48)*(N24-L49))</f>
        <v>0.14667557202274556</v>
      </c>
      <c r="M59" s="5"/>
      <c r="N59" s="5"/>
      <c r="O59" s="5"/>
      <c r="P59" s="9"/>
      <c r="Q59" s="9"/>
    </row>
    <row r="60" spans="1:17" x14ac:dyDescent="0.2">
      <c r="A60" s="65"/>
      <c r="B60" s="65"/>
      <c r="C60" s="65"/>
      <c r="D60" s="65"/>
      <c r="E60" s="65"/>
      <c r="F60" s="65"/>
      <c r="G60" s="65"/>
      <c r="H60" s="65"/>
    </row>
    <row r="61" spans="1:17" x14ac:dyDescent="0.2">
      <c r="A61" s="65"/>
      <c r="B61" s="65"/>
      <c r="C61" s="65"/>
      <c r="D61" s="65"/>
      <c r="E61" s="65"/>
      <c r="F61" s="65"/>
      <c r="G61" s="65"/>
      <c r="H61" s="65"/>
    </row>
    <row r="62" spans="1:17" x14ac:dyDescent="0.2">
      <c r="A62" s="65"/>
      <c r="B62" s="65"/>
      <c r="C62" s="65"/>
      <c r="D62" s="65"/>
      <c r="E62" s="65"/>
      <c r="F62" s="65"/>
      <c r="G62" s="65"/>
      <c r="H62" s="65"/>
      <c r="J62" s="4" t="s">
        <v>46</v>
      </c>
      <c r="K62" s="4" t="s">
        <v>45</v>
      </c>
      <c r="M62" s="4"/>
      <c r="N62" s="4"/>
    </row>
    <row r="63" spans="1:17" ht="13.5" thickBot="1" x14ac:dyDescent="0.25">
      <c r="A63" s="65"/>
      <c r="B63" s="65"/>
      <c r="C63" s="65"/>
      <c r="D63" s="65"/>
      <c r="E63" s="65"/>
      <c r="F63" s="65"/>
      <c r="G63" s="65"/>
      <c r="H63" s="65"/>
      <c r="J63" s="4"/>
      <c r="K63" s="4"/>
      <c r="M63" s="4"/>
      <c r="N63" s="4"/>
    </row>
    <row r="64" spans="1:17" ht="13.5" thickBot="1" x14ac:dyDescent="0.25">
      <c r="K64" s="4" t="s">
        <v>29</v>
      </c>
      <c r="L64" s="4" t="s">
        <v>30</v>
      </c>
      <c r="N64" s="19" t="s">
        <v>47</v>
      </c>
      <c r="O64" s="22">
        <f>L31-SIN(M24)</f>
        <v>1.0544431586168024E-2</v>
      </c>
    </row>
    <row r="65" spans="11:17" ht="13.5" thickBot="1" x14ac:dyDescent="0.25">
      <c r="K65" s="4"/>
      <c r="L65" s="4"/>
      <c r="N65" s="5"/>
    </row>
    <row r="66" spans="11:17" ht="13.5" thickBot="1" x14ac:dyDescent="0.25">
      <c r="K66" s="4" t="s">
        <v>31</v>
      </c>
      <c r="L66" s="4" t="s">
        <v>48</v>
      </c>
      <c r="N66" s="19" t="s">
        <v>47</v>
      </c>
      <c r="O66" s="22">
        <f>L59-SIN(N24)</f>
        <v>5.555563962878346E-3</v>
      </c>
    </row>
    <row r="68" spans="11:17" x14ac:dyDescent="0.2">
      <c r="Q68" s="4"/>
    </row>
    <row r="70" spans="11:17" x14ac:dyDescent="0.2">
      <c r="Q70" s="4"/>
    </row>
    <row r="71" spans="11:17" x14ac:dyDescent="0.2">
      <c r="O71">
        <v>5.5555639628783503E-3</v>
      </c>
    </row>
  </sheetData>
  <sheetProtection selectLockedCells="1" selectUnlockedCells="1"/>
  <mergeCells count="1">
    <mergeCell ref="A1:H63"/>
  </mergeCells>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Memoria descriptiva</vt:lpstr>
      <vt:lpstr>Consideraciones</vt:lpstr>
      <vt:lpstr>EJ.1</vt:lpstr>
      <vt:lpstr>EJ.2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Santiiago Greco</dc:creator>
  <cp:lastModifiedBy>Santiiago Greco</cp:lastModifiedBy>
  <dcterms:created xsi:type="dcterms:W3CDTF">2023-11-11T05:07:56Z</dcterms:created>
  <dcterms:modified xsi:type="dcterms:W3CDTF">2023-11-17T18:07:46Z</dcterms:modified>
</cp:coreProperties>
</file>