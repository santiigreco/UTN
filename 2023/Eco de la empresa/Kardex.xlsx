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istemas Inventarios" sheetId="3" r:id="rId1"/>
    <sheet name="4.4.2" sheetId="4" r:id="rId2"/>
  </sheets>
  <calcPr calcId="145621" iterateDelta="1E-4"/>
</workbook>
</file>

<file path=xl/calcChain.xml><?xml version="1.0" encoding="utf-8"?>
<calcChain xmlns="http://schemas.openxmlformats.org/spreadsheetml/2006/main">
  <c r="I7" i="4" l="1"/>
  <c r="H7" i="4"/>
  <c r="E11" i="4"/>
  <c r="J6" i="4"/>
  <c r="J5" i="4"/>
  <c r="J4" i="4"/>
  <c r="H12" i="3"/>
  <c r="H13" i="3" s="1"/>
  <c r="D12" i="3"/>
  <c r="H31" i="3"/>
  <c r="E32" i="3"/>
  <c r="I30" i="3"/>
  <c r="F31" i="3" s="1"/>
  <c r="H30" i="3"/>
  <c r="E31" i="3" s="1"/>
  <c r="I29" i="3"/>
  <c r="I31" i="3" s="1"/>
  <c r="H29" i="3"/>
  <c r="D29" i="3"/>
  <c r="J30" i="3" s="1"/>
  <c r="I21" i="3"/>
  <c r="I22" i="3" s="1"/>
  <c r="H21" i="3"/>
  <c r="H22" i="3" s="1"/>
  <c r="I20" i="3"/>
  <c r="F22" i="3" s="1"/>
  <c r="H20" i="3"/>
  <c r="E22" i="3" s="1"/>
  <c r="D20" i="3"/>
  <c r="J21" i="3" s="1"/>
  <c r="J22" i="3" l="1"/>
  <c r="N23" i="3" s="1"/>
  <c r="J7" i="4"/>
  <c r="F23" i="3"/>
  <c r="G23" i="3" s="1"/>
  <c r="G31" i="3"/>
  <c r="J31" i="3"/>
  <c r="N32" i="3" s="1"/>
  <c r="F32" i="3"/>
  <c r="G32" i="3" s="1"/>
  <c r="G9" i="4"/>
  <c r="G8" i="4"/>
  <c r="G7" i="4"/>
  <c r="D6" i="4"/>
  <c r="D5" i="4"/>
  <c r="D4" i="4"/>
  <c r="N31" i="3" l="1"/>
  <c r="G11" i="4"/>
  <c r="J28" i="3"/>
  <c r="J29" i="3" s="1"/>
  <c r="J19" i="3"/>
  <c r="J20" i="3" s="1"/>
  <c r="G22" i="3" s="1"/>
  <c r="N22" i="3" s="1"/>
  <c r="J11" i="3"/>
  <c r="J12" i="3" s="1"/>
  <c r="I12" i="3" s="1"/>
  <c r="F13" i="3" s="1"/>
  <c r="G13" i="3" l="1"/>
  <c r="N12" i="3" s="1"/>
  <c r="I13" i="3"/>
  <c r="J13" i="3" s="1"/>
  <c r="N13" i="3" s="1"/>
</calcChain>
</file>

<file path=xl/sharedStrings.xml><?xml version="1.0" encoding="utf-8"?>
<sst xmlns="http://schemas.openxmlformats.org/spreadsheetml/2006/main" count="72" uniqueCount="21">
  <si>
    <t>FECHA</t>
  </si>
  <si>
    <t>ENTRADAS</t>
  </si>
  <si>
    <t>SALIDAS</t>
  </si>
  <si>
    <t>SALDO</t>
  </si>
  <si>
    <t>Un.</t>
  </si>
  <si>
    <t>$/un.</t>
  </si>
  <si>
    <t>TOTAL $</t>
  </si>
  <si>
    <t>Stock</t>
  </si>
  <si>
    <t>100un.</t>
  </si>
  <si>
    <t>Compra</t>
  </si>
  <si>
    <t>200 un.</t>
  </si>
  <si>
    <t>Venta</t>
  </si>
  <si>
    <t>250 un.</t>
  </si>
  <si>
    <t>Precio Promedio Ponderado (PPP)</t>
  </si>
  <si>
    <t>Primer Entrado - Primero Salido (FIFO)</t>
  </si>
  <si>
    <t>EJEMPLO</t>
  </si>
  <si>
    <t>Ultimo Entrado - Primero Salido (LIFO)</t>
  </si>
  <si>
    <t>Sist. FIFO</t>
  </si>
  <si>
    <t>Costo</t>
  </si>
  <si>
    <t>Sist. LIFO</t>
  </si>
  <si>
    <t>Sist. 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</si>
</sst>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\ #,##0;[Red]\-&quot;$&quot;\ #,##0"/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0" borderId="1" xfId="0" applyNumberFormat="1" applyBorder="1"/>
    <xf numFmtId="0" fontId="0" fillId="0" borderId="0" xfId="0" applyBorder="1" applyAlignment="1">
      <alignment horizontal="center"/>
    </xf>
    <xf numFmtId="164" fontId="0" fillId="0" borderId="0" xfId="0" applyNumberFormat="1" applyBorder="1"/>
    <xf numFmtId="16" fontId="1" fillId="0" borderId="0" xfId="0" applyNumberFormat="1" applyFont="1"/>
    <xf numFmtId="0" fontId="1" fillId="0" borderId="0" xfId="0" applyFont="1"/>
    <xf numFmtId="6" fontId="1" fillId="0" borderId="0" xfId="0" applyNumberFormat="1" applyFont="1"/>
    <xf numFmtId="164" fontId="0" fillId="0" borderId="2" xfId="0" applyNumberFormat="1" applyBorder="1"/>
    <xf numFmtId="164" fontId="0" fillId="0" borderId="3" xfId="0" applyNumberFormat="1" applyBorder="1"/>
    <xf numFmtId="1" fontId="0" fillId="0" borderId="7" xfId="0" applyNumberFormat="1" applyBorder="1"/>
    <xf numFmtId="164" fontId="0" fillId="0" borderId="8" xfId="0" applyNumberFormat="1" applyBorder="1"/>
    <xf numFmtId="1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" fontId="0" fillId="0" borderId="13" xfId="0" applyNumberFormat="1" applyBorder="1"/>
    <xf numFmtId="16" fontId="0" fillId="0" borderId="14" xfId="0" applyNumberFormat="1" applyBorder="1"/>
    <xf numFmtId="16" fontId="0" fillId="0" borderId="15" xfId="0" applyNumberFormat="1" applyBorder="1"/>
    <xf numFmtId="0" fontId="0" fillId="0" borderId="16" xfId="0" applyBorder="1"/>
    <xf numFmtId="0" fontId="0" fillId="0" borderId="17" xfId="0" applyBorder="1"/>
    <xf numFmtId="1" fontId="0" fillId="0" borderId="18" xfId="0" applyNumberFormat="1" applyBorder="1"/>
    <xf numFmtId="164" fontId="0" fillId="0" borderId="19" xfId="0" applyNumberFormat="1" applyBorder="1"/>
    <xf numFmtId="1" fontId="0" fillId="0" borderId="20" xfId="0" applyNumberFormat="1" applyBorder="1"/>
    <xf numFmtId="164" fontId="0" fillId="0" borderId="21" xfId="0" applyNumberFormat="1" applyBorder="1"/>
    <xf numFmtId="1" fontId="0" fillId="0" borderId="22" xfId="0" applyNumberFormat="1" applyBorder="1"/>
    <xf numFmtId="164" fontId="0" fillId="0" borderId="23" xfId="0" applyNumberFormat="1" applyBorder="1"/>
    <xf numFmtId="164" fontId="0" fillId="0" borderId="24" xfId="0" applyNumberFormat="1" applyBorder="1"/>
    <xf numFmtId="0" fontId="0" fillId="0" borderId="0" xfId="0" applyBorder="1"/>
    <xf numFmtId="16" fontId="0" fillId="0" borderId="25" xfId="0" applyNumberFormat="1" applyBorder="1"/>
    <xf numFmtId="1" fontId="0" fillId="0" borderId="26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16" fontId="0" fillId="0" borderId="16" xfId="0" applyNumberFormat="1" applyBorder="1"/>
    <xf numFmtId="164" fontId="0" fillId="0" borderId="0" xfId="0" applyNumberFormat="1" applyFill="1" applyBorder="1"/>
    <xf numFmtId="3" fontId="0" fillId="0" borderId="0" xfId="0" applyNumberFormat="1"/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2"/>
  <sheetViews>
    <sheetView tabSelected="1" workbookViewId="0">
      <selection activeCell="A2" sqref="A2"/>
    </sheetView>
  </sheetViews>
  <sheetFormatPr baseColWidth="10" defaultRowHeight="15" x14ac:dyDescent="0.25"/>
  <cols>
    <col min="2" max="2" width="11.42578125" style="2"/>
    <col min="3" max="4" width="11.42578125" style="1"/>
    <col min="5" max="5" width="11.42578125" style="2"/>
    <col min="6" max="7" width="11.42578125" style="1"/>
    <col min="8" max="8" width="11.42578125" style="2"/>
    <col min="9" max="11" width="11.42578125" style="1"/>
  </cols>
  <sheetData>
    <row r="2" spans="1:14" x14ac:dyDescent="0.25">
      <c r="A2" s="7" t="s">
        <v>15</v>
      </c>
      <c r="B2"/>
      <c r="C2"/>
      <c r="D2"/>
    </row>
    <row r="3" spans="1:14" x14ac:dyDescent="0.25">
      <c r="B3"/>
      <c r="C3"/>
      <c r="D3"/>
    </row>
    <row r="4" spans="1:14" x14ac:dyDescent="0.25">
      <c r="A4" s="6">
        <v>43831</v>
      </c>
      <c r="B4" s="7" t="s">
        <v>7</v>
      </c>
      <c r="C4" s="7" t="s">
        <v>8</v>
      </c>
      <c r="D4" s="8">
        <v>20</v>
      </c>
    </row>
    <row r="5" spans="1:14" x14ac:dyDescent="0.25">
      <c r="A5" s="6">
        <v>43835</v>
      </c>
      <c r="B5" s="7" t="s">
        <v>9</v>
      </c>
      <c r="C5" s="7" t="s">
        <v>10</v>
      </c>
      <c r="D5" s="8">
        <v>23</v>
      </c>
    </row>
    <row r="6" spans="1:14" x14ac:dyDescent="0.25">
      <c r="A6" s="6">
        <v>43840</v>
      </c>
      <c r="B6" s="7" t="s">
        <v>11</v>
      </c>
      <c r="C6" s="7" t="s">
        <v>12</v>
      </c>
      <c r="D6" s="8">
        <v>50</v>
      </c>
    </row>
    <row r="8" spans="1:14" ht="15.75" thickBot="1" x14ac:dyDescent="0.3">
      <c r="A8" s="7" t="s">
        <v>13</v>
      </c>
    </row>
    <row r="9" spans="1:14" x14ac:dyDescent="0.25">
      <c r="A9" s="36" t="s">
        <v>0</v>
      </c>
      <c r="B9" s="38" t="s">
        <v>1</v>
      </c>
      <c r="C9" s="39"/>
      <c r="D9" s="40"/>
      <c r="E9" s="38" t="s">
        <v>2</v>
      </c>
      <c r="F9" s="39"/>
      <c r="G9" s="40"/>
      <c r="H9" s="38" t="s">
        <v>3</v>
      </c>
      <c r="I9" s="39"/>
      <c r="J9" s="40"/>
      <c r="K9" s="4"/>
    </row>
    <row r="10" spans="1:14" x14ac:dyDescent="0.25">
      <c r="A10" s="37"/>
      <c r="B10" s="11" t="s">
        <v>4</v>
      </c>
      <c r="C10" s="3" t="s">
        <v>5</v>
      </c>
      <c r="D10" s="12" t="s">
        <v>6</v>
      </c>
      <c r="E10" s="11" t="s">
        <v>4</v>
      </c>
      <c r="F10" s="3" t="s">
        <v>5</v>
      </c>
      <c r="G10" s="12" t="s">
        <v>6</v>
      </c>
      <c r="H10" s="11" t="s">
        <v>4</v>
      </c>
      <c r="I10" s="3" t="s">
        <v>5</v>
      </c>
      <c r="J10" s="12" t="s">
        <v>6</v>
      </c>
      <c r="K10" s="5"/>
    </row>
    <row r="11" spans="1:14" x14ac:dyDescent="0.25">
      <c r="A11" s="16">
        <v>43831</v>
      </c>
      <c r="B11" s="11"/>
      <c r="C11" s="3"/>
      <c r="D11" s="12"/>
      <c r="E11" s="11"/>
      <c r="F11" s="3"/>
      <c r="G11" s="12"/>
      <c r="H11" s="11">
        <v>100</v>
      </c>
      <c r="I11" s="3">
        <v>20</v>
      </c>
      <c r="J11" s="12">
        <f>H11*I11</f>
        <v>2000</v>
      </c>
    </row>
    <row r="12" spans="1:14" x14ac:dyDescent="0.25">
      <c r="A12" s="16">
        <v>43835</v>
      </c>
      <c r="B12" s="11">
        <v>200</v>
      </c>
      <c r="C12" s="3">
        <v>23</v>
      </c>
      <c r="D12" s="12">
        <f>+B12*C12</f>
        <v>4600</v>
      </c>
      <c r="E12" s="11"/>
      <c r="F12" s="3"/>
      <c r="G12" s="12"/>
      <c r="H12" s="11">
        <f>H11+B12</f>
        <v>300</v>
      </c>
      <c r="I12" s="3">
        <f>J12/H12</f>
        <v>22</v>
      </c>
      <c r="J12" s="12">
        <f>J11+D12</f>
        <v>6600</v>
      </c>
      <c r="L12" s="34" t="s">
        <v>20</v>
      </c>
      <c r="M12" s="34" t="s">
        <v>18</v>
      </c>
      <c r="N12" s="1">
        <f>G13</f>
        <v>5500</v>
      </c>
    </row>
    <row r="13" spans="1:14" ht="15.75" thickBot="1" x14ac:dyDescent="0.3">
      <c r="A13" s="17">
        <v>43840</v>
      </c>
      <c r="B13" s="13"/>
      <c r="C13" s="14"/>
      <c r="D13" s="15"/>
      <c r="E13" s="13">
        <v>250</v>
      </c>
      <c r="F13" s="14">
        <f>I12</f>
        <v>22</v>
      </c>
      <c r="G13" s="15">
        <f>E13*F13</f>
        <v>5500</v>
      </c>
      <c r="H13" s="13">
        <f>H12-E13</f>
        <v>50</v>
      </c>
      <c r="I13" s="14">
        <f>+F13</f>
        <v>22</v>
      </c>
      <c r="J13" s="15">
        <f>H13*I13</f>
        <v>1100</v>
      </c>
      <c r="M13" t="s">
        <v>7</v>
      </c>
      <c r="N13" s="1">
        <f>J13</f>
        <v>1100</v>
      </c>
    </row>
    <row r="16" spans="1:14" ht="15.75" thickBot="1" x14ac:dyDescent="0.3">
      <c r="A16" s="7" t="s">
        <v>14</v>
      </c>
    </row>
    <row r="17" spans="1:14" x14ac:dyDescent="0.25">
      <c r="A17" s="36" t="s">
        <v>0</v>
      </c>
      <c r="B17" s="38" t="s">
        <v>1</v>
      </c>
      <c r="C17" s="39"/>
      <c r="D17" s="40"/>
      <c r="E17" s="38" t="s">
        <v>2</v>
      </c>
      <c r="F17" s="39"/>
      <c r="G17" s="40"/>
      <c r="H17" s="38" t="s">
        <v>3</v>
      </c>
      <c r="I17" s="39"/>
      <c r="J17" s="40"/>
    </row>
    <row r="18" spans="1:14" x14ac:dyDescent="0.25">
      <c r="A18" s="37"/>
      <c r="B18" s="11" t="s">
        <v>4</v>
      </c>
      <c r="C18" s="3" t="s">
        <v>5</v>
      </c>
      <c r="D18" s="12" t="s">
        <v>6</v>
      </c>
      <c r="E18" s="11" t="s">
        <v>4</v>
      </c>
      <c r="F18" s="3" t="s">
        <v>5</v>
      </c>
      <c r="G18" s="12" t="s">
        <v>6</v>
      </c>
      <c r="H18" s="11" t="s">
        <v>4</v>
      </c>
      <c r="I18" s="3" t="s">
        <v>5</v>
      </c>
      <c r="J18" s="12" t="s">
        <v>6</v>
      </c>
    </row>
    <row r="19" spans="1:14" x14ac:dyDescent="0.25">
      <c r="A19" s="16">
        <v>43831</v>
      </c>
      <c r="B19" s="11"/>
      <c r="C19" s="3"/>
      <c r="D19" s="12"/>
      <c r="E19" s="11"/>
      <c r="F19" s="3"/>
      <c r="G19" s="12"/>
      <c r="H19" s="11">
        <v>100</v>
      </c>
      <c r="I19" s="3">
        <v>20</v>
      </c>
      <c r="J19" s="12">
        <f>H19*I19</f>
        <v>2000</v>
      </c>
    </row>
    <row r="20" spans="1:14" x14ac:dyDescent="0.25">
      <c r="A20" s="18">
        <v>43835</v>
      </c>
      <c r="B20" s="21">
        <v>200</v>
      </c>
      <c r="C20" s="9">
        <v>23</v>
      </c>
      <c r="D20" s="22">
        <f>B20*C20</f>
        <v>4600</v>
      </c>
      <c r="E20" s="21"/>
      <c r="F20" s="9"/>
      <c r="G20" s="22"/>
      <c r="H20" s="21">
        <f>H19</f>
        <v>100</v>
      </c>
      <c r="I20" s="9">
        <f>+I19</f>
        <v>20</v>
      </c>
      <c r="J20" s="22">
        <f>+J19</f>
        <v>2000</v>
      </c>
    </row>
    <row r="21" spans="1:14" x14ac:dyDescent="0.25">
      <c r="A21" s="19"/>
      <c r="B21" s="23"/>
      <c r="C21" s="10"/>
      <c r="D21" s="24"/>
      <c r="E21" s="23"/>
      <c r="F21" s="10"/>
      <c r="G21" s="24"/>
      <c r="H21" s="23">
        <f>+B20</f>
        <v>200</v>
      </c>
      <c r="I21" s="10">
        <f>+C20</f>
        <v>23</v>
      </c>
      <c r="J21" s="24">
        <f>+D20</f>
        <v>4600</v>
      </c>
    </row>
    <row r="22" spans="1:14" x14ac:dyDescent="0.25">
      <c r="A22" s="18">
        <v>43840</v>
      </c>
      <c r="B22" s="21"/>
      <c r="C22" s="9"/>
      <c r="D22" s="22"/>
      <c r="E22" s="21">
        <f>+H20</f>
        <v>100</v>
      </c>
      <c r="F22" s="9">
        <f>+I20</f>
        <v>20</v>
      </c>
      <c r="G22" s="22">
        <f>+J20</f>
        <v>2000</v>
      </c>
      <c r="H22" s="21">
        <f>H21-E23</f>
        <v>50</v>
      </c>
      <c r="I22" s="9">
        <f>+I21</f>
        <v>23</v>
      </c>
      <c r="J22" s="22">
        <f>H22*I22</f>
        <v>1150</v>
      </c>
      <c r="L22" t="s">
        <v>17</v>
      </c>
      <c r="M22" t="s">
        <v>18</v>
      </c>
      <c r="N22" s="1">
        <f>G22+G23</f>
        <v>5450</v>
      </c>
    </row>
    <row r="23" spans="1:14" ht="15.75" thickBot="1" x14ac:dyDescent="0.3">
      <c r="A23" s="20"/>
      <c r="B23" s="25"/>
      <c r="C23" s="26"/>
      <c r="D23" s="27"/>
      <c r="E23" s="25">
        <v>150</v>
      </c>
      <c r="F23" s="26">
        <f>+I21</f>
        <v>23</v>
      </c>
      <c r="G23" s="27">
        <f>E23*F23</f>
        <v>3450</v>
      </c>
      <c r="H23" s="25"/>
      <c r="I23" s="26"/>
      <c r="J23" s="27"/>
      <c r="M23" t="s">
        <v>7</v>
      </c>
      <c r="N23" s="1">
        <f>J22</f>
        <v>1150</v>
      </c>
    </row>
    <row r="25" spans="1:14" ht="15.75" thickBot="1" x14ac:dyDescent="0.3">
      <c r="A25" s="7" t="s">
        <v>16</v>
      </c>
    </row>
    <row r="26" spans="1:14" x14ac:dyDescent="0.25">
      <c r="A26" s="36" t="s">
        <v>0</v>
      </c>
      <c r="B26" s="38" t="s">
        <v>1</v>
      </c>
      <c r="C26" s="39"/>
      <c r="D26" s="40"/>
      <c r="E26" s="38" t="s">
        <v>2</v>
      </c>
      <c r="F26" s="39"/>
      <c r="G26" s="40"/>
      <c r="H26" s="38" t="s">
        <v>3</v>
      </c>
      <c r="I26" s="39"/>
      <c r="J26" s="40"/>
    </row>
    <row r="27" spans="1:14" x14ac:dyDescent="0.25">
      <c r="A27" s="37"/>
      <c r="B27" s="11" t="s">
        <v>4</v>
      </c>
      <c r="C27" s="3" t="s">
        <v>5</v>
      </c>
      <c r="D27" s="12" t="s">
        <v>6</v>
      </c>
      <c r="E27" s="11" t="s">
        <v>4</v>
      </c>
      <c r="F27" s="3" t="s">
        <v>5</v>
      </c>
      <c r="G27" s="12" t="s">
        <v>6</v>
      </c>
      <c r="H27" s="11" t="s">
        <v>4</v>
      </c>
      <c r="I27" s="3" t="s">
        <v>5</v>
      </c>
      <c r="J27" s="12" t="s">
        <v>6</v>
      </c>
    </row>
    <row r="28" spans="1:14" x14ac:dyDescent="0.25">
      <c r="A28" s="16">
        <v>43831</v>
      </c>
      <c r="B28" s="11"/>
      <c r="C28" s="3"/>
      <c r="D28" s="12"/>
      <c r="E28" s="11"/>
      <c r="F28" s="3"/>
      <c r="G28" s="12"/>
      <c r="H28" s="11">
        <v>100</v>
      </c>
      <c r="I28" s="3">
        <v>20</v>
      </c>
      <c r="J28" s="12">
        <f>H28*I28</f>
        <v>2000</v>
      </c>
    </row>
    <row r="29" spans="1:14" x14ac:dyDescent="0.25">
      <c r="A29" s="18">
        <v>43835</v>
      </c>
      <c r="B29" s="21">
        <v>200</v>
      </c>
      <c r="C29" s="9">
        <v>23</v>
      </c>
      <c r="D29" s="22">
        <f>B29*C29</f>
        <v>4600</v>
      </c>
      <c r="E29" s="21"/>
      <c r="F29" s="9"/>
      <c r="G29" s="22"/>
      <c r="H29" s="21">
        <f>H28</f>
        <v>100</v>
      </c>
      <c r="I29" s="9">
        <f>+I28</f>
        <v>20</v>
      </c>
      <c r="J29" s="22">
        <f>+J28</f>
        <v>2000</v>
      </c>
    </row>
    <row r="30" spans="1:14" x14ac:dyDescent="0.25">
      <c r="A30" s="19"/>
      <c r="B30" s="23"/>
      <c r="C30" s="10"/>
      <c r="D30" s="24"/>
      <c r="E30" s="23"/>
      <c r="F30" s="10"/>
      <c r="G30" s="24"/>
      <c r="H30" s="23">
        <f>+B29</f>
        <v>200</v>
      </c>
      <c r="I30" s="10">
        <f>+C29</f>
        <v>23</v>
      </c>
      <c r="J30" s="24">
        <f>+D29</f>
        <v>4600</v>
      </c>
    </row>
    <row r="31" spans="1:14" x14ac:dyDescent="0.25">
      <c r="A31" s="18">
        <v>43840</v>
      </c>
      <c r="B31" s="21"/>
      <c r="C31" s="9"/>
      <c r="D31" s="22"/>
      <c r="E31" s="21">
        <f>H30</f>
        <v>200</v>
      </c>
      <c r="F31" s="9">
        <f>+I30</f>
        <v>23</v>
      </c>
      <c r="G31" s="22">
        <f>+E31*F31</f>
        <v>4600</v>
      </c>
      <c r="H31" s="21">
        <f>50</f>
        <v>50</v>
      </c>
      <c r="I31" s="9">
        <f>+I29</f>
        <v>20</v>
      </c>
      <c r="J31" s="22">
        <f>+H31*I31</f>
        <v>1000</v>
      </c>
      <c r="L31" t="s">
        <v>19</v>
      </c>
      <c r="M31" t="s">
        <v>18</v>
      </c>
      <c r="N31" s="1">
        <f>G31+G32</f>
        <v>5600</v>
      </c>
    </row>
    <row r="32" spans="1:14" ht="15.75" thickBot="1" x14ac:dyDescent="0.3">
      <c r="A32" s="20"/>
      <c r="B32" s="25"/>
      <c r="C32" s="26"/>
      <c r="D32" s="27"/>
      <c r="E32" s="25">
        <f>50</f>
        <v>50</v>
      </c>
      <c r="F32" s="26">
        <f>I29</f>
        <v>20</v>
      </c>
      <c r="G32" s="27">
        <f>E32*F32</f>
        <v>1000</v>
      </c>
      <c r="H32" s="25"/>
      <c r="I32" s="26"/>
      <c r="J32" s="27"/>
      <c r="M32" t="s">
        <v>7</v>
      </c>
      <c r="N32" s="1">
        <f>J31</f>
        <v>1000</v>
      </c>
    </row>
  </sheetData>
  <mergeCells count="12">
    <mergeCell ref="A26:A27"/>
    <mergeCell ref="B26:D26"/>
    <mergeCell ref="E26:G26"/>
    <mergeCell ref="H26:J26"/>
    <mergeCell ref="B9:D9"/>
    <mergeCell ref="E9:G9"/>
    <mergeCell ref="H9:J9"/>
    <mergeCell ref="A9:A10"/>
    <mergeCell ref="A17:A18"/>
    <mergeCell ref="B17:D17"/>
    <mergeCell ref="E17:G17"/>
    <mergeCell ref="H17:J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G11" sqref="G11"/>
    </sheetView>
  </sheetViews>
  <sheetFormatPr baseColWidth="10" defaultRowHeight="15" x14ac:dyDescent="0.25"/>
  <sheetData>
    <row r="1" spans="1:11" ht="15.75" thickBot="1" x14ac:dyDescent="0.3">
      <c r="A1" s="7" t="s">
        <v>16</v>
      </c>
      <c r="B1" s="2"/>
      <c r="C1" s="1"/>
      <c r="D1" s="1"/>
      <c r="E1" s="2"/>
      <c r="F1" s="1"/>
      <c r="G1" s="1"/>
      <c r="H1" s="2"/>
      <c r="I1" s="1"/>
      <c r="J1" s="1"/>
      <c r="K1" s="1"/>
    </row>
    <row r="2" spans="1:11" x14ac:dyDescent="0.25">
      <c r="A2" s="36" t="s">
        <v>0</v>
      </c>
      <c r="B2" s="38" t="s">
        <v>1</v>
      </c>
      <c r="C2" s="39"/>
      <c r="D2" s="40"/>
      <c r="E2" s="38" t="s">
        <v>2</v>
      </c>
      <c r="F2" s="39"/>
      <c r="G2" s="40"/>
      <c r="H2" s="38" t="s">
        <v>3</v>
      </c>
      <c r="I2" s="39"/>
      <c r="J2" s="40"/>
      <c r="K2" s="1"/>
    </row>
    <row r="3" spans="1:11" x14ac:dyDescent="0.25">
      <c r="A3" s="37"/>
      <c r="B3" s="11" t="s">
        <v>4</v>
      </c>
      <c r="C3" s="3" t="s">
        <v>5</v>
      </c>
      <c r="D3" s="12" t="s">
        <v>6</v>
      </c>
      <c r="E3" s="11" t="s">
        <v>4</v>
      </c>
      <c r="F3" s="3" t="s">
        <v>5</v>
      </c>
      <c r="G3" s="12" t="s">
        <v>6</v>
      </c>
      <c r="H3" s="11" t="s">
        <v>4</v>
      </c>
      <c r="I3" s="3" t="s">
        <v>5</v>
      </c>
      <c r="J3" s="12" t="s">
        <v>6</v>
      </c>
      <c r="K3" s="1"/>
    </row>
    <row r="4" spans="1:11" s="28" customFormat="1" x14ac:dyDescent="0.25">
      <c r="A4" s="18">
        <v>44232</v>
      </c>
      <c r="B4" s="21">
        <v>25</v>
      </c>
      <c r="C4" s="9">
        <v>12</v>
      </c>
      <c r="D4" s="22">
        <f>B4*C4</f>
        <v>300</v>
      </c>
      <c r="E4" s="21"/>
      <c r="F4" s="9"/>
      <c r="G4" s="22"/>
      <c r="H4" s="21">
        <v>25</v>
      </c>
      <c r="I4" s="9">
        <v>12</v>
      </c>
      <c r="J4" s="22">
        <f>H4*I4</f>
        <v>300</v>
      </c>
      <c r="K4" s="5"/>
    </row>
    <row r="5" spans="1:11" s="28" customFormat="1" x14ac:dyDescent="0.25">
      <c r="A5" s="29">
        <v>44247</v>
      </c>
      <c r="B5" s="30">
        <v>80</v>
      </c>
      <c r="C5" s="31">
        <v>15</v>
      </c>
      <c r="D5" s="32">
        <f>B5*C5</f>
        <v>1200</v>
      </c>
      <c r="E5" s="30"/>
      <c r="F5" s="31"/>
      <c r="G5" s="32"/>
      <c r="H5" s="30">
        <v>80</v>
      </c>
      <c r="I5" s="31">
        <v>15</v>
      </c>
      <c r="J5" s="32">
        <f>H5*I5</f>
        <v>1200</v>
      </c>
      <c r="K5" s="5"/>
    </row>
    <row r="6" spans="1:11" s="28" customFormat="1" x14ac:dyDescent="0.25">
      <c r="A6" s="33">
        <v>44256</v>
      </c>
      <c r="B6" s="23">
        <v>10</v>
      </c>
      <c r="C6" s="10">
        <v>14</v>
      </c>
      <c r="D6" s="24">
        <f>B6*C6</f>
        <v>140</v>
      </c>
      <c r="E6" s="23"/>
      <c r="F6" s="10"/>
      <c r="G6" s="24"/>
      <c r="H6" s="23">
        <v>10</v>
      </c>
      <c r="I6" s="10">
        <v>14</v>
      </c>
      <c r="J6" s="24">
        <f>H6*I6</f>
        <v>140</v>
      </c>
      <c r="K6" s="5"/>
    </row>
    <row r="7" spans="1:11" x14ac:dyDescent="0.25">
      <c r="A7" s="18">
        <v>44261</v>
      </c>
      <c r="B7" s="21"/>
      <c r="C7" s="9"/>
      <c r="D7" s="22"/>
      <c r="E7" s="21">
        <v>10</v>
      </c>
      <c r="F7" s="9">
        <v>14</v>
      </c>
      <c r="G7" s="22">
        <f>E7*F7</f>
        <v>140</v>
      </c>
      <c r="H7" s="21">
        <f>H4-E9</f>
        <v>15</v>
      </c>
      <c r="I7" s="9">
        <f>+I4</f>
        <v>12</v>
      </c>
      <c r="J7" s="22">
        <f>H7*I7</f>
        <v>180</v>
      </c>
      <c r="K7" s="1"/>
    </row>
    <row r="8" spans="1:11" x14ac:dyDescent="0.25">
      <c r="A8" s="29"/>
      <c r="B8" s="30"/>
      <c r="C8" s="31"/>
      <c r="D8" s="32"/>
      <c r="E8" s="30">
        <v>80</v>
      </c>
      <c r="F8" s="31">
        <v>15</v>
      </c>
      <c r="G8" s="32">
        <f>E8*F8</f>
        <v>1200</v>
      </c>
      <c r="H8" s="30"/>
      <c r="I8" s="31"/>
      <c r="J8" s="32"/>
      <c r="K8" s="1"/>
    </row>
    <row r="9" spans="1:11" ht="15.75" thickBot="1" x14ac:dyDescent="0.3">
      <c r="A9" s="20"/>
      <c r="B9" s="25"/>
      <c r="C9" s="26"/>
      <c r="D9" s="27"/>
      <c r="E9" s="25">
        <v>10</v>
      </c>
      <c r="F9" s="26">
        <v>12</v>
      </c>
      <c r="G9" s="27">
        <f>E9*F9</f>
        <v>120</v>
      </c>
      <c r="H9" s="25"/>
      <c r="I9" s="26"/>
      <c r="J9" s="27"/>
      <c r="K9" s="1"/>
    </row>
    <row r="11" spans="1:11" x14ac:dyDescent="0.25">
      <c r="E11" s="35">
        <f>SUM(E7:E9)</f>
        <v>100</v>
      </c>
      <c r="G11" s="1">
        <f>SUM(G7:G9)</f>
        <v>1460</v>
      </c>
    </row>
  </sheetData>
  <mergeCells count="4">
    <mergeCell ref="A2:A3"/>
    <mergeCell ref="B2:D2"/>
    <mergeCell ref="E2:G2"/>
    <mergeCell ref="H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Sistemas Inventarios</vt:lpstr>
      <vt:lpstr>4.4.2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Solarz</dc:creator>
  <cp:lastModifiedBy>Leandro Solarz</cp:lastModifiedBy>
  <dcterms:created xsi:type="dcterms:W3CDTF">2020-04-21T20:14:30Z</dcterms:created>
  <dcterms:modified xsi:type="dcterms:W3CDTF">2022-04-29T18:52:59Z</dcterms:modified>
</cp:coreProperties>
</file>