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pctac100b3\Desktop\"/>
    </mc:Choice>
  </mc:AlternateContent>
  <bookViews>
    <workbookView xWindow="0" yWindow="0" windowWidth="20490" windowHeight="7650" activeTab="2"/>
  </bookViews>
  <sheets>
    <sheet name="Costo Estimado" sheetId="2" r:id="rId1"/>
    <sheet name="Estandar" sheetId="1" r:id="rId2"/>
    <sheet name="Estandar recicla el 50% recorte" sheetId="3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2" i="3" l="1"/>
  <c r="D63" i="2"/>
  <c r="D67" i="2" s="1"/>
  <c r="C116" i="2"/>
  <c r="C115" i="2"/>
  <c r="C76" i="2"/>
  <c r="C77" i="2" s="1"/>
  <c r="C72" i="2"/>
  <c r="C73" i="2" s="1"/>
  <c r="C56" i="2"/>
  <c r="D62" i="2" s="1"/>
  <c r="F62" i="2" s="1"/>
  <c r="D59" i="2"/>
  <c r="F59" i="2" s="1"/>
  <c r="D60" i="2"/>
  <c r="F60" i="2" s="1"/>
  <c r="D61" i="2"/>
  <c r="F61" i="2" s="1"/>
  <c r="E106" i="2"/>
  <c r="C104" i="2"/>
  <c r="C102" i="2"/>
  <c r="C98" i="2"/>
  <c r="C96" i="2"/>
  <c r="C40" i="3"/>
  <c r="G37" i="3"/>
  <c r="G36" i="3"/>
  <c r="G35" i="3"/>
  <c r="C16" i="3"/>
  <c r="C17" i="3" s="1"/>
  <c r="D13" i="3"/>
  <c r="E13" i="3" s="1"/>
  <c r="F13" i="3" s="1"/>
  <c r="C13" i="3"/>
  <c r="C14" i="3" s="1"/>
  <c r="D14" i="3" s="1"/>
  <c r="D106" i="2" l="1"/>
  <c r="D79" i="2"/>
  <c r="F64" i="2"/>
  <c r="D66" i="2" s="1"/>
  <c r="D68" i="2" s="1"/>
  <c r="C114" i="2" s="1"/>
  <c r="C119" i="2" s="1"/>
  <c r="G38" i="3"/>
  <c r="C19" i="3"/>
  <c r="D17" i="3"/>
  <c r="D16" i="3"/>
  <c r="E16" i="3" s="1"/>
  <c r="F16" i="3" l="1"/>
  <c r="D111" i="2"/>
  <c r="D19" i="3"/>
  <c r="C23" i="3" s="1"/>
  <c r="C20" i="3"/>
  <c r="D20" i="3" s="1"/>
  <c r="C24" i="3" s="1"/>
  <c r="E19" i="3" l="1"/>
  <c r="F19" i="3" s="1"/>
  <c r="F21" i="3" s="1"/>
  <c r="E29" i="3" s="1"/>
  <c r="E23" i="3"/>
  <c r="G26" i="3" l="1"/>
  <c r="E28" i="3" s="1"/>
  <c r="E30" i="3" s="1"/>
</calcChain>
</file>

<file path=xl/sharedStrings.xml><?xml version="1.0" encoding="utf-8"?>
<sst xmlns="http://schemas.openxmlformats.org/spreadsheetml/2006/main" count="238" uniqueCount="163">
  <si>
    <t>Sección</t>
  </si>
  <si>
    <t>Costo STD de conversión</t>
  </si>
  <si>
    <t>Mermas</t>
  </si>
  <si>
    <t>Desperdicios</t>
  </si>
  <si>
    <t>(MOD+GG) $ / HH</t>
  </si>
  <si>
    <t>Fundición</t>
  </si>
  <si>
    <t>Prensa</t>
  </si>
  <si>
    <t>Trefilación</t>
  </si>
  <si>
    <t>2) COSTEO STANDARD (20 puntos)</t>
  </si>
  <si>
    <t>1)      COSTO STD</t>
  </si>
  <si>
    <t>FUNDICIÓN</t>
  </si>
  <si>
    <t>PRENSA</t>
  </si>
  <si>
    <t>TREFILACIÓN</t>
  </si>
  <si>
    <t>kg</t>
  </si>
  <si>
    <t>Merma</t>
  </si>
  <si>
    <t>Recortes</t>
  </si>
  <si>
    <t>Total Mermas =</t>
  </si>
  <si>
    <t>Rotal Recortes =</t>
  </si>
  <si>
    <t>Total =</t>
  </si>
  <si>
    <t>Ingresan en el horno</t>
  </si>
  <si>
    <t>kg. de aleación (ya sean lingotes o recortes recuperados)</t>
  </si>
  <si>
    <t>Kg. De PT</t>
  </si>
  <si>
    <t>+</t>
  </si>
  <si>
    <t>Kg. de Merma.</t>
  </si>
  <si>
    <t>Kg.</t>
  </si>
  <si>
    <t>Cálculo del Costo de la Materia Prima:</t>
  </si>
  <si>
    <t>Cobre</t>
  </si>
  <si>
    <t>Zinc</t>
  </si>
  <si>
    <t>Plomo</t>
  </si>
  <si>
    <t>Kg.   x</t>
  </si>
  <si>
    <t>x</t>
  </si>
  <si>
    <t>=</t>
  </si>
  <si>
    <t>/</t>
  </si>
  <si>
    <t>Kg. de MP</t>
  </si>
  <si>
    <t>el Kg. de Materia Prima.</t>
  </si>
  <si>
    <t>Cálculo del Costo de Mano de Obra:</t>
  </si>
  <si>
    <t>,   /</t>
  </si>
  <si>
    <t>$/HH          =</t>
  </si>
  <si>
    <t>100 Kg</t>
  </si>
  <si>
    <t>el Kg. de Mano de Obra y GG.</t>
  </si>
  <si>
    <t>Costo Total de</t>
  </si>
  <si>
    <t>kg terminados de barra de latón</t>
  </si>
  <si>
    <t>Kg. de barra trefilada</t>
  </si>
  <si>
    <t>el kg de barra de latón</t>
  </si>
  <si>
    <t>HH/100kg     x</t>
  </si>
  <si>
    <t>Calcular el costo STD de 100 kg terminados de barra de latón de aleación (Cu 58%, Zn 40%, Pb 2%) de 2'' de diámetro, con los siguientes datos estandarizados para cada una de las 3 secciones productivas, en el cual los recortes se reciclan totalmente en el proceso productivo, y el costo STD de la materia prima utilizada es: Cu 2,10 $/kg., Zn 1,50 $/kg., Pb 0,60 $/kg.</t>
  </si>
  <si>
    <t>HH utilizadas cada 100 kg (salientes)</t>
  </si>
  <si>
    <t>La planta elaboradora de Productos Lácteos “El Trébol” produce el yogurt “Gamma” en envases sin retorno de 0,250 litros.</t>
  </si>
  <si>
    <t>a) El laboratorio de la firma proporcionó la fórmula para elaborar 1 litro de yogurt “Gamma” que es la siguiente:</t>
  </si>
  <si>
    <t>Leche pasteurizada</t>
  </si>
  <si>
    <t>Lactobacilos</t>
  </si>
  <si>
    <t>Vainilla líquida</t>
  </si>
  <si>
    <t>Extracto búlgaro</t>
  </si>
  <si>
    <t xml:space="preserve">Leche pasteurizada </t>
  </si>
  <si>
    <t>Envase de 0,250 lts.</t>
  </si>
  <si>
    <t>Gastos calculados enero/junio [$]</t>
  </si>
  <si>
    <t>Valor de la M.O.D. enero/junio [$]</t>
  </si>
  <si>
    <t>Homogeneización</t>
  </si>
  <si>
    <t>Envasado</t>
  </si>
  <si>
    <t>Laboratorio</t>
  </si>
  <si>
    <t>3.000.000 (*)</t>
  </si>
  <si>
    <t>------------</t>
  </si>
  <si>
    <t>Compras y Almacenes</t>
  </si>
  <si>
    <t>6.000.000 (*)</t>
  </si>
  <si>
    <t>Se pide:</t>
  </si>
  <si>
    <t>Material</t>
  </si>
  <si>
    <t>Mano de obra</t>
  </si>
  <si>
    <t>Gastos de fabricación</t>
  </si>
  <si>
    <t>COSTOS ESTIMADOS</t>
  </si>
  <si>
    <t>$/litro</t>
  </si>
  <si>
    <t>$/unidad</t>
  </si>
  <si>
    <t>y su costo promedio es de $600 el litro. La empresa sigue el sistema PPP</t>
  </si>
  <si>
    <t>Envasado:</t>
  </si>
  <si>
    <t>minutos/frasco</t>
  </si>
  <si>
    <t>minuto/frasco de 0,250 litros</t>
  </si>
  <si>
    <t xml:space="preserve">Homogeneización: </t>
  </si>
  <si>
    <t xml:space="preserve">d) En la elaboración del producto intervienen dos departamentos: Homogeneización y el Envasado. Se han estimado los siguientes tiempos: </t>
  </si>
  <si>
    <t>A efectos de determinar el costo estimado del mismo para el período enero/junio 2022 se han recopilado los siguientes datos:</t>
  </si>
  <si>
    <t>b) El departamento de Compras informó que los precios a regir a partir del 1° de enero de 2022 para las materias primas serán:</t>
  </si>
  <si>
    <t xml:space="preserve">c) Según las fichas de stock permanente que lleva Almacenes hay existencias de extracto búlgaro para abastecer el consumo hasta mayo 2022 inclusive </t>
  </si>
  <si>
    <t xml:space="preserve">f) Para el período enero/junio 2022 se calcularon los gastos de ambos departamentos de producción y la base de aplicación de los mismos. </t>
  </si>
  <si>
    <t>Previamente, es necesario considerar los gastos de los departamentos de servicio, de todo lo cual se informa a continuación:</t>
  </si>
  <si>
    <t>Homogeneización:</t>
  </si>
  <si>
    <t xml:space="preserve"> Un detalle de los cálculos del costo estimado de cada uno de los siguientes elementos, para un frasco de 0,250 litros.</t>
  </si>
  <si>
    <t xml:space="preserve"> (*) Los gastos de laboratorio se cargan 100% a Homogeneización y </t>
  </si>
  <si>
    <t>los gastos de Compras y Almacenes se cargan de la siguiente manera:</t>
  </si>
  <si>
    <t>Cu 58%, Zn 40%, Pb 2%</t>
  </si>
  <si>
    <t xml:space="preserve">Cu </t>
  </si>
  <si>
    <t>Zn</t>
  </si>
  <si>
    <t>Pb</t>
  </si>
  <si>
    <t>FUNDICION</t>
  </si>
  <si>
    <t>TREFILACION</t>
  </si>
  <si>
    <t>M 9%</t>
  </si>
  <si>
    <t>M 3%</t>
  </si>
  <si>
    <t>M 4%</t>
  </si>
  <si>
    <t>R 14%</t>
  </si>
  <si>
    <t>R 20%</t>
  </si>
  <si>
    <t>R 35%</t>
  </si>
  <si>
    <t>Ingresos x venta de recortes</t>
  </si>
  <si>
    <t>total</t>
  </si>
  <si>
    <t>RT =</t>
  </si>
  <si>
    <t>50% del recorte:</t>
  </si>
  <si>
    <t>MT =</t>
  </si>
  <si>
    <t>Debe ingresar a fundicion para el calculo del costo:</t>
  </si>
  <si>
    <t>Calculo de la MP:</t>
  </si>
  <si>
    <t>ingreso x recortes</t>
  </si>
  <si>
    <t>TOTAL MP</t>
  </si>
  <si>
    <t>Calculo de la MOD + GG</t>
  </si>
  <si>
    <t>HH cada 100 kg</t>
  </si>
  <si>
    <t>(MOD + GG) $/HH</t>
  </si>
  <si>
    <t>Fundicion</t>
  </si>
  <si>
    <t>Trefilacion</t>
  </si>
  <si>
    <t xml:space="preserve">MOD = </t>
  </si>
  <si>
    <t>COSTO TOTAL</t>
  </si>
  <si>
    <t>CALCULO DE LA MP</t>
  </si>
  <si>
    <t>TOTAL</t>
  </si>
  <si>
    <t>el litro, la empresa sigue el criterio PPP de inventario</t>
  </si>
  <si>
    <t xml:space="preserve">Extracto búlgaro PPP = </t>
  </si>
  <si>
    <t>PORCENTAJE</t>
  </si>
  <si>
    <t>PRECIO</t>
  </si>
  <si>
    <t>MP 0,250 lts</t>
  </si>
  <si>
    <t>envase 0,250 lts</t>
  </si>
  <si>
    <t>COSTO MP</t>
  </si>
  <si>
    <t>CALCULO DE LA MOD</t>
  </si>
  <si>
    <t>Homogeneizacion</t>
  </si>
  <si>
    <t>60 minutos =&gt;</t>
  </si>
  <si>
    <t>1 minuto  =&gt;</t>
  </si>
  <si>
    <t>COSTO MOD</t>
  </si>
  <si>
    <t>CALCULO DE LOS GASTOS GENERALES</t>
  </si>
  <si>
    <t>a homogeneización</t>
  </si>
  <si>
    <t>a homogeneización:</t>
  </si>
  <si>
    <t>a envasasado:</t>
  </si>
  <si>
    <t xml:space="preserve"> Compras y Almacenes:</t>
  </si>
  <si>
    <t>Laboratorio:</t>
  </si>
  <si>
    <t>Se utilizará a la MOD como base de distribución</t>
  </si>
  <si>
    <t xml:space="preserve">Homogeneización = </t>
  </si>
  <si>
    <t>18.000.000 + 3.000.000 + 0,9 * 6.000.000</t>
  </si>
  <si>
    <t xml:space="preserve">Envasado = </t>
  </si>
  <si>
    <t>4.200.000 + 0,10 * 6.000.000</t>
  </si>
  <si>
    <t>$ GG/$MOD</t>
  </si>
  <si>
    <t xml:space="preserve">TOTAL DE GG = </t>
  </si>
  <si>
    <t>$MOD</t>
  </si>
  <si>
    <t>COSTOL DE GG =</t>
  </si>
  <si>
    <t>COSTO TOTAL =</t>
  </si>
  <si>
    <t>$GG</t>
  </si>
  <si>
    <t>Rt =</t>
  </si>
  <si>
    <t>Mt =</t>
  </si>
  <si>
    <t>Rp =</t>
  </si>
  <si>
    <t>Mp =</t>
  </si>
  <si>
    <t>Rf =</t>
  </si>
  <si>
    <t>Mf =</t>
  </si>
  <si>
    <t>Se recicla el 50% del recorte y el resto se vende a :</t>
  </si>
  <si>
    <t>La cantidad de materia prima necesaria es:</t>
  </si>
  <si>
    <t xml:space="preserve">e) Actualmente se abonan las siguientes  tarifas por hora : </t>
  </si>
  <si>
    <t>las cuales son empleadas a los efectos de la estimación</t>
  </si>
  <si>
    <t>Calculo del extracto búlgaro ( 5 meses a $500 + 1 mes de $600)</t>
  </si>
  <si>
    <t>5 x $500 + 1 x $600</t>
  </si>
  <si>
    <t>TOTAL DE GG QUE ABSORBE =  2,88 $GG * 23,33 $ MOD</t>
  </si>
  <si>
    <t>CALCULO DEL COSTO:</t>
  </si>
  <si>
    <t>MATERIA PRIMA:</t>
  </si>
  <si>
    <t>MANO DE OBRA DIRECTA:</t>
  </si>
  <si>
    <t>GASTOS GENERALES:</t>
  </si>
  <si>
    <t>0,5 minutos  =&gt;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</si>
</sst>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&quot;$&quot;\ #,##0"/>
    <numFmt numFmtId="165" formatCode="0.000"/>
    <numFmt numFmtId="166" formatCode="&quot;$&quot;\ #,##0.00"/>
    <numFmt numFmtId="167" formatCode="_-&quot;$&quot;\ * #,##0_-;\-&quot;$&quot;\ * #,##0_-;_-&quot;$&quot;\ 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9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82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8" xfId="0" applyBorder="1"/>
    <xf numFmtId="9" fontId="0" fillId="0" borderId="1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9" fontId="0" fillId="0" borderId="2" xfId="0" applyNumberFormat="1" applyBorder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2" fillId="0" borderId="0" xfId="0" applyFont="1" applyAlignment="1">
      <alignment horizontal="right" vertical="center"/>
    </xf>
    <xf numFmtId="8" fontId="2" fillId="0" borderId="0" xfId="0" applyNumberFormat="1" applyFont="1" applyAlignment="1">
      <alignment horizontal="center" vertical="center"/>
    </xf>
    <xf numFmtId="8" fontId="2" fillId="0" borderId="4" xfId="0" applyNumberFormat="1" applyFont="1" applyBorder="1" applyAlignment="1">
      <alignment horizontal="center" vertical="center"/>
    </xf>
    <xf numFmtId="8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1" fillId="0" borderId="0" xfId="0" applyFont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 wrapText="1"/>
    </xf>
    <xf numFmtId="0" fontId="0" fillId="0" borderId="18" xfId="0" applyBorder="1"/>
    <xf numFmtId="0" fontId="0" fillId="0" borderId="9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0" xfId="0" applyAlignment="1">
      <alignment horizontal="right"/>
    </xf>
    <xf numFmtId="0" fontId="0" fillId="0" borderId="19" xfId="0" applyBorder="1" applyAlignment="1">
      <alignment horizontal="center"/>
    </xf>
    <xf numFmtId="0" fontId="0" fillId="0" borderId="3" xfId="0" applyBorder="1" applyAlignment="1">
      <alignment horizontal="center"/>
    </xf>
    <xf numFmtId="9" fontId="0" fillId="0" borderId="3" xfId="0" applyNumberFormat="1" applyBorder="1" applyAlignment="1">
      <alignment horizontal="center"/>
    </xf>
    <xf numFmtId="9" fontId="0" fillId="0" borderId="10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9" fontId="0" fillId="0" borderId="12" xfId="0" applyNumberFormat="1" applyBorder="1" applyAlignment="1">
      <alignment horizontal="center"/>
    </xf>
    <xf numFmtId="0" fontId="0" fillId="0" borderId="24" xfId="0" applyBorder="1"/>
    <xf numFmtId="9" fontId="0" fillId="0" borderId="0" xfId="0" applyNumberFormat="1"/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3" xfId="0" applyBorder="1"/>
    <xf numFmtId="0" fontId="0" fillId="0" borderId="3" xfId="0" applyBorder="1" applyAlignment="1">
      <alignment wrapText="1"/>
    </xf>
    <xf numFmtId="3" fontId="0" fillId="0" borderId="3" xfId="0" applyNumberFormat="1" applyBorder="1" applyAlignment="1">
      <alignment horizontal="center"/>
    </xf>
    <xf numFmtId="44" fontId="0" fillId="0" borderId="0" xfId="1" applyFont="1"/>
    <xf numFmtId="0" fontId="0" fillId="0" borderId="26" xfId="0" applyBorder="1"/>
    <xf numFmtId="0" fontId="0" fillId="0" borderId="25" xfId="0" applyBorder="1"/>
    <xf numFmtId="2" fontId="0" fillId="0" borderId="0" xfId="0" applyNumberFormat="1"/>
    <xf numFmtId="44" fontId="0" fillId="0" borderId="0" xfId="0" applyNumberFormat="1"/>
    <xf numFmtId="0" fontId="1" fillId="0" borderId="0" xfId="0" applyFont="1" applyAlignment="1">
      <alignment horizontal="right" indent="1"/>
    </xf>
    <xf numFmtId="44" fontId="1" fillId="0" borderId="0" xfId="0" applyNumberFormat="1" applyFont="1"/>
    <xf numFmtId="2" fontId="1" fillId="0" borderId="0" xfId="0" applyNumberFormat="1" applyFont="1"/>
    <xf numFmtId="44" fontId="1" fillId="0" borderId="0" xfId="1" applyFont="1"/>
    <xf numFmtId="166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3" xfId="0" applyNumberFormat="1" applyBorder="1" applyAlignment="1">
      <alignment horizontal="center"/>
    </xf>
    <xf numFmtId="166" fontId="1" fillId="0" borderId="0" xfId="0" applyNumberFormat="1" applyFont="1" applyAlignment="1">
      <alignment horizontal="center"/>
    </xf>
    <xf numFmtId="164" fontId="0" fillId="0" borderId="0" xfId="0" applyNumberFormat="1"/>
    <xf numFmtId="0" fontId="1" fillId="0" borderId="3" xfId="0" applyFont="1" applyBorder="1" applyAlignment="1">
      <alignment horizontal="center"/>
    </xf>
    <xf numFmtId="0" fontId="1" fillId="0" borderId="3" xfId="0" applyFont="1" applyBorder="1"/>
    <xf numFmtId="0" fontId="1" fillId="0" borderId="27" xfId="0" applyFont="1" applyBorder="1" applyAlignment="1">
      <alignment horizontal="right"/>
    </xf>
    <xf numFmtId="166" fontId="1" fillId="0" borderId="28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67" fontId="0" fillId="0" borderId="0" xfId="1" applyNumberFormat="1" applyFont="1"/>
    <xf numFmtId="166" fontId="1" fillId="0" borderId="0" xfId="0" applyNumberFormat="1" applyFont="1"/>
    <xf numFmtId="2" fontId="1" fillId="0" borderId="0" xfId="0" applyNumberFormat="1" applyFont="1" applyAlignment="1">
      <alignment horizontal="center"/>
    </xf>
    <xf numFmtId="43" fontId="0" fillId="0" borderId="0" xfId="2" applyFon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wrapText="1"/>
    </xf>
    <xf numFmtId="0" fontId="2" fillId="0" borderId="0" xfId="0" applyFont="1" applyAlignment="1">
      <alignment vertical="center"/>
    </xf>
    <xf numFmtId="8" fontId="2" fillId="0" borderId="0" xfId="0" applyNumberFormat="1" applyFont="1" applyAlignment="1">
      <alignment horizontal="right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3" fontId="0" fillId="2" borderId="3" xfId="0" applyNumberFormat="1" applyFill="1" applyBorder="1" applyAlignment="1">
      <alignment horizontal="center"/>
    </xf>
    <xf numFmtId="3" fontId="0" fillId="3" borderId="3" xfId="0" applyNumberFormat="1" applyFill="1" applyBorder="1" applyAlignment="1">
      <alignment horizontal="center"/>
    </xf>
  </cellXfs>
  <cellStyles count="3">
    <cellStyle name="Millares" xfId="2" builtinId="3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53</xdr:row>
      <xdr:rowOff>0</xdr:rowOff>
    </xdr:from>
    <xdr:to>
      <xdr:col>2</xdr:col>
      <xdr:colOff>1285875</xdr:colOff>
      <xdr:row>53</xdr:row>
      <xdr:rowOff>7937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363302FA-27BB-A1AD-446E-07C5D5A57E80}"/>
            </a:ext>
          </a:extLst>
        </xdr:cNvPr>
        <xdr:cNvCxnSpPr/>
      </xdr:nvCxnSpPr>
      <xdr:spPr>
        <a:xfrm>
          <a:off x="2817178" y="11326813"/>
          <a:ext cx="1270635" cy="793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254000</xdr:colOff>
      <xdr:row>67</xdr:row>
      <xdr:rowOff>0</xdr:rowOff>
    </xdr:from>
    <xdr:to>
      <xdr:col>3</xdr:col>
      <xdr:colOff>1071563</xdr:colOff>
      <xdr:row>67</xdr:row>
      <xdr:rowOff>0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91B7E5EB-D0E9-45DF-826F-C14B527E47AF}"/>
            </a:ext>
          </a:extLst>
        </xdr:cNvPr>
        <xdr:cNvCxnSpPr/>
      </xdr:nvCxnSpPr>
      <xdr:spPr>
        <a:xfrm>
          <a:off x="4365625" y="12422188"/>
          <a:ext cx="817563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79375</xdr:colOff>
      <xdr:row>94</xdr:row>
      <xdr:rowOff>174625</xdr:rowOff>
    </xdr:from>
    <xdr:to>
      <xdr:col>3</xdr:col>
      <xdr:colOff>1262063</xdr:colOff>
      <xdr:row>95</xdr:row>
      <xdr:rowOff>0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09574F14-32FF-46C8-AADA-DE4C80170C9C}"/>
            </a:ext>
          </a:extLst>
        </xdr:cNvPr>
        <xdr:cNvCxnSpPr/>
      </xdr:nvCxnSpPr>
      <xdr:spPr>
        <a:xfrm>
          <a:off x="2881313" y="17708563"/>
          <a:ext cx="2492375" cy="793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1389063</xdr:colOff>
      <xdr:row>101</xdr:row>
      <xdr:rowOff>7938</xdr:rowOff>
    </xdr:from>
    <xdr:to>
      <xdr:col>3</xdr:col>
      <xdr:colOff>1150938</xdr:colOff>
      <xdr:row>101</xdr:row>
      <xdr:rowOff>15875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8966DBB1-10F3-4A9E-A2CC-334C333AAFC9}"/>
            </a:ext>
          </a:extLst>
        </xdr:cNvPr>
        <xdr:cNvCxnSpPr/>
      </xdr:nvCxnSpPr>
      <xdr:spPr>
        <a:xfrm>
          <a:off x="2770188" y="18819813"/>
          <a:ext cx="2492375" cy="7937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1054320</xdr:colOff>
      <xdr:row>108</xdr:row>
      <xdr:rowOff>0</xdr:rowOff>
    </xdr:from>
    <xdr:to>
      <xdr:col>2</xdr:col>
      <xdr:colOff>1284234</xdr:colOff>
      <xdr:row>108</xdr:row>
      <xdr:rowOff>0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E8A8FD11-9F8E-4DC0-9097-D128F1111728}"/>
            </a:ext>
          </a:extLst>
        </xdr:cNvPr>
        <xdr:cNvCxnSpPr/>
      </xdr:nvCxnSpPr>
      <xdr:spPr>
        <a:xfrm>
          <a:off x="3852699" y="20232414"/>
          <a:ext cx="229914" cy="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942647</xdr:colOff>
      <xdr:row>108</xdr:row>
      <xdr:rowOff>36129</xdr:rowOff>
    </xdr:from>
    <xdr:to>
      <xdr:col>2</xdr:col>
      <xdr:colOff>1264526</xdr:colOff>
      <xdr:row>109</xdr:row>
      <xdr:rowOff>32845</xdr:rowOff>
    </xdr:to>
    <xdr:cxnSp macro="">
      <xdr:nvCxnSpPr>
        <xdr:cNvPr id="17" name="Conector recto 16">
          <a:extLst>
            <a:ext uri="{FF2B5EF4-FFF2-40B4-BE49-F238E27FC236}">
              <a16:creationId xmlns:a16="http://schemas.microsoft.com/office/drawing/2014/main" id="{F3A417CD-1809-A322-3248-A27CF99CF5A0}"/>
            </a:ext>
          </a:extLst>
        </xdr:cNvPr>
        <xdr:cNvCxnSpPr/>
      </xdr:nvCxnSpPr>
      <xdr:spPr>
        <a:xfrm flipV="1">
          <a:off x="3741026" y="20268543"/>
          <a:ext cx="321879" cy="1806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403991</xdr:colOff>
      <xdr:row>107</xdr:row>
      <xdr:rowOff>16423</xdr:rowOff>
    </xdr:from>
    <xdr:to>
      <xdr:col>3</xdr:col>
      <xdr:colOff>725870</xdr:colOff>
      <xdr:row>108</xdr:row>
      <xdr:rowOff>13139</xdr:rowOff>
    </xdr:to>
    <xdr:cxnSp macro="">
      <xdr:nvCxnSpPr>
        <xdr:cNvPr id="18" name="Conector recto 17">
          <a:extLst>
            <a:ext uri="{FF2B5EF4-FFF2-40B4-BE49-F238E27FC236}">
              <a16:creationId xmlns:a16="http://schemas.microsoft.com/office/drawing/2014/main" id="{FF6736BF-04B8-4643-B4D8-A42C5BB178F2}"/>
            </a:ext>
          </a:extLst>
        </xdr:cNvPr>
        <xdr:cNvCxnSpPr/>
      </xdr:nvCxnSpPr>
      <xdr:spPr>
        <a:xfrm flipV="1">
          <a:off x="4512879" y="20064906"/>
          <a:ext cx="321879" cy="18064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216123</xdr:colOff>
      <xdr:row>101</xdr:row>
      <xdr:rowOff>6684</xdr:rowOff>
    </xdr:from>
    <xdr:to>
      <xdr:col>4</xdr:col>
      <xdr:colOff>564338</xdr:colOff>
      <xdr:row>101</xdr:row>
      <xdr:rowOff>8594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837E4CAA-3C4A-423E-98C7-7BCEFF9E5F11}"/>
            </a:ext>
          </a:extLst>
        </xdr:cNvPr>
        <xdr:cNvCxnSpPr/>
      </xdr:nvCxnSpPr>
      <xdr:spPr>
        <a:xfrm>
          <a:off x="5594684" y="18833877"/>
          <a:ext cx="348215" cy="191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216123</xdr:colOff>
      <xdr:row>95</xdr:row>
      <xdr:rowOff>6684</xdr:rowOff>
    </xdr:from>
    <xdr:to>
      <xdr:col>4</xdr:col>
      <xdr:colOff>564338</xdr:colOff>
      <xdr:row>95</xdr:row>
      <xdr:rowOff>8594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BFA05A2D-817D-4473-B209-629689B788B6}"/>
            </a:ext>
          </a:extLst>
        </xdr:cNvPr>
        <xdr:cNvCxnSpPr/>
      </xdr:nvCxnSpPr>
      <xdr:spPr>
        <a:xfrm>
          <a:off x="5597748" y="18934220"/>
          <a:ext cx="348215" cy="1910"/>
        </a:xfrm>
        <a:prstGeom prst="line">
          <a:avLst/>
        </a:prstGeom>
        <a:ln w="1270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95416</xdr:colOff>
      <xdr:row>18</xdr:row>
      <xdr:rowOff>63610</xdr:rowOff>
    </xdr:from>
    <xdr:to>
      <xdr:col>4</xdr:col>
      <xdr:colOff>596348</xdr:colOff>
      <xdr:row>20</xdr:row>
      <xdr:rowOff>31805</xdr:rowOff>
    </xdr:to>
    <xdr:sp macro="" textlink="">
      <xdr:nvSpPr>
        <xdr:cNvPr id="1031" name="AutoShape 7">
          <a:extLst>
            <a:ext uri="{FF2B5EF4-FFF2-40B4-BE49-F238E27FC236}">
              <a16:creationId xmlns:a16="http://schemas.microsoft.com/office/drawing/2014/main" id="{3C08FE79-D7F0-4E6F-940A-5677860670D3}"/>
            </a:ext>
          </a:extLst>
        </xdr:cNvPr>
        <xdr:cNvSpPr>
          <a:spLocks noChangeArrowheads="1"/>
        </xdr:cNvSpPr>
      </xdr:nvSpPr>
      <xdr:spPr bwMode="auto">
        <a:xfrm>
          <a:off x="5915770" y="3983603"/>
          <a:ext cx="500933" cy="349858"/>
        </a:xfrm>
        <a:prstGeom prst="rightArrow">
          <a:avLst>
            <a:gd name="adj1" fmla="val 50000"/>
            <a:gd name="adj2" fmla="val 3579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95416</xdr:colOff>
      <xdr:row>18</xdr:row>
      <xdr:rowOff>55659</xdr:rowOff>
    </xdr:from>
    <xdr:to>
      <xdr:col>7</xdr:col>
      <xdr:colOff>580445</xdr:colOff>
      <xdr:row>20</xdr:row>
      <xdr:rowOff>23854</xdr:rowOff>
    </xdr:to>
    <xdr:sp macro="" textlink="">
      <xdr:nvSpPr>
        <xdr:cNvPr id="1030" name="AutoShape 6">
          <a:extLst>
            <a:ext uri="{FF2B5EF4-FFF2-40B4-BE49-F238E27FC236}">
              <a16:creationId xmlns:a16="http://schemas.microsoft.com/office/drawing/2014/main" id="{B7ADA56C-27B7-45B4-9350-7CA56B1AF845}"/>
            </a:ext>
          </a:extLst>
        </xdr:cNvPr>
        <xdr:cNvSpPr>
          <a:spLocks noChangeArrowheads="1"/>
        </xdr:cNvSpPr>
      </xdr:nvSpPr>
      <xdr:spPr bwMode="auto">
        <a:xfrm>
          <a:off x="8396577" y="3975652"/>
          <a:ext cx="485030" cy="349858"/>
        </a:xfrm>
        <a:prstGeom prst="rightArrow">
          <a:avLst>
            <a:gd name="adj1" fmla="val 50000"/>
            <a:gd name="adj2" fmla="val 34659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87464</xdr:colOff>
      <xdr:row>18</xdr:row>
      <xdr:rowOff>55659</xdr:rowOff>
    </xdr:from>
    <xdr:to>
      <xdr:col>10</xdr:col>
      <xdr:colOff>588397</xdr:colOff>
      <xdr:row>20</xdr:row>
      <xdr:rowOff>23854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2CE5E80C-ADA6-42D3-B9E1-31951483FEBF}"/>
            </a:ext>
          </a:extLst>
        </xdr:cNvPr>
        <xdr:cNvSpPr>
          <a:spLocks noChangeArrowheads="1"/>
        </xdr:cNvSpPr>
      </xdr:nvSpPr>
      <xdr:spPr bwMode="auto">
        <a:xfrm>
          <a:off x="12523304" y="3975652"/>
          <a:ext cx="500933" cy="349858"/>
        </a:xfrm>
        <a:prstGeom prst="rightArrow">
          <a:avLst>
            <a:gd name="adj1" fmla="val 50000"/>
            <a:gd name="adj2" fmla="val 35795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151075</xdr:colOff>
      <xdr:row>18</xdr:row>
      <xdr:rowOff>95416</xdr:rowOff>
    </xdr:from>
    <xdr:to>
      <xdr:col>1</xdr:col>
      <xdr:colOff>691763</xdr:colOff>
      <xdr:row>20</xdr:row>
      <xdr:rowOff>63611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1332DDF-3FCD-4790-929D-331ED67446D6}"/>
            </a:ext>
          </a:extLst>
        </xdr:cNvPr>
        <xdr:cNvSpPr>
          <a:spLocks noChangeArrowheads="1"/>
        </xdr:cNvSpPr>
      </xdr:nvSpPr>
      <xdr:spPr bwMode="auto">
        <a:xfrm>
          <a:off x="2631882" y="4023360"/>
          <a:ext cx="540688" cy="349858"/>
        </a:xfrm>
        <a:prstGeom prst="rightArrow">
          <a:avLst>
            <a:gd name="adj1" fmla="val 50000"/>
            <a:gd name="adj2" fmla="val 3863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213360</xdr:colOff>
      <xdr:row>7</xdr:row>
      <xdr:rowOff>160020</xdr:rowOff>
    </xdr:from>
    <xdr:to>
      <xdr:col>0</xdr:col>
      <xdr:colOff>754048</xdr:colOff>
      <xdr:row>9</xdr:row>
      <xdr:rowOff>139827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8B4351F1-BA16-4B0D-BA7E-43623A8F1585}"/>
            </a:ext>
          </a:extLst>
        </xdr:cNvPr>
        <xdr:cNvSpPr>
          <a:spLocks noChangeArrowheads="1"/>
        </xdr:cNvSpPr>
      </xdr:nvSpPr>
      <xdr:spPr bwMode="auto">
        <a:xfrm>
          <a:off x="213360" y="1440180"/>
          <a:ext cx="540688" cy="353187"/>
        </a:xfrm>
        <a:prstGeom prst="rightArrow">
          <a:avLst>
            <a:gd name="adj1" fmla="val 50000"/>
            <a:gd name="adj2" fmla="val 3863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152400</xdr:colOff>
      <xdr:row>7</xdr:row>
      <xdr:rowOff>175260</xdr:rowOff>
    </xdr:from>
    <xdr:to>
      <xdr:col>2</xdr:col>
      <xdr:colOff>693088</xdr:colOff>
      <xdr:row>9</xdr:row>
      <xdr:rowOff>155067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7B322B19-2F01-4A82-B31C-C67CA77E0AC4}"/>
            </a:ext>
          </a:extLst>
        </xdr:cNvPr>
        <xdr:cNvSpPr>
          <a:spLocks noChangeArrowheads="1"/>
        </xdr:cNvSpPr>
      </xdr:nvSpPr>
      <xdr:spPr bwMode="auto">
        <a:xfrm>
          <a:off x="1790700" y="1455420"/>
          <a:ext cx="540688" cy="353187"/>
        </a:xfrm>
        <a:prstGeom prst="rightArrow">
          <a:avLst>
            <a:gd name="adj1" fmla="val 50000"/>
            <a:gd name="adj2" fmla="val 3863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</xdr:col>
      <xdr:colOff>121920</xdr:colOff>
      <xdr:row>8</xdr:row>
      <xdr:rowOff>0</xdr:rowOff>
    </xdr:from>
    <xdr:to>
      <xdr:col>4</xdr:col>
      <xdr:colOff>662608</xdr:colOff>
      <xdr:row>9</xdr:row>
      <xdr:rowOff>170307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D87B27A3-1046-4B08-BADA-54CB8D08ADA0}"/>
            </a:ext>
          </a:extLst>
        </xdr:cNvPr>
        <xdr:cNvSpPr>
          <a:spLocks noChangeArrowheads="1"/>
        </xdr:cNvSpPr>
      </xdr:nvSpPr>
      <xdr:spPr bwMode="auto">
        <a:xfrm>
          <a:off x="3634740" y="1470660"/>
          <a:ext cx="540688" cy="353187"/>
        </a:xfrm>
        <a:prstGeom prst="rightArrow">
          <a:avLst>
            <a:gd name="adj1" fmla="val 50000"/>
            <a:gd name="adj2" fmla="val 3863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99060</xdr:colOff>
      <xdr:row>8</xdr:row>
      <xdr:rowOff>0</xdr:rowOff>
    </xdr:from>
    <xdr:to>
      <xdr:col>6</xdr:col>
      <xdr:colOff>639748</xdr:colOff>
      <xdr:row>9</xdr:row>
      <xdr:rowOff>162687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9664E18A-EAA2-4518-9642-E1152AACFBA0}"/>
            </a:ext>
          </a:extLst>
        </xdr:cNvPr>
        <xdr:cNvSpPr>
          <a:spLocks noChangeArrowheads="1"/>
        </xdr:cNvSpPr>
      </xdr:nvSpPr>
      <xdr:spPr bwMode="auto">
        <a:xfrm>
          <a:off x="5196840" y="1470660"/>
          <a:ext cx="540688" cy="345567"/>
        </a:xfrm>
        <a:prstGeom prst="rightArrow">
          <a:avLst>
            <a:gd name="adj1" fmla="val 50000"/>
            <a:gd name="adj2" fmla="val 38636"/>
          </a:avLst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9"/>
  <sheetViews>
    <sheetView topLeftCell="A107" zoomScale="112" zoomScaleNormal="112" workbookViewId="0">
      <selection activeCell="C116" sqref="C116"/>
    </sheetView>
  </sheetViews>
  <sheetFormatPr baseColWidth="10" defaultRowHeight="15" x14ac:dyDescent="0.25"/>
  <cols>
    <col min="1" max="2" width="23.5703125" customWidth="1"/>
    <col min="3" max="3" width="19.140625" customWidth="1"/>
    <col min="4" max="4" width="18.5703125" customWidth="1"/>
  </cols>
  <sheetData>
    <row r="1" spans="1:3" x14ac:dyDescent="0.25">
      <c r="A1" s="17" t="s">
        <v>68</v>
      </c>
    </row>
    <row r="2" spans="1:3" x14ac:dyDescent="0.25">
      <c r="A2" t="s">
        <v>47</v>
      </c>
    </row>
    <row r="3" spans="1:3" x14ac:dyDescent="0.25">
      <c r="A3" t="s">
        <v>77</v>
      </c>
    </row>
    <row r="4" spans="1:3" x14ac:dyDescent="0.25">
      <c r="A4" s="17" t="s">
        <v>48</v>
      </c>
    </row>
    <row r="5" spans="1:3" x14ac:dyDescent="0.25">
      <c r="A5" t="s">
        <v>49</v>
      </c>
      <c r="B5" s="42">
        <v>0.9</v>
      </c>
    </row>
    <row r="6" spans="1:3" x14ac:dyDescent="0.25">
      <c r="A6" t="s">
        <v>50</v>
      </c>
      <c r="B6" s="42">
        <v>0.02</v>
      </c>
    </row>
    <row r="7" spans="1:3" x14ac:dyDescent="0.25">
      <c r="A7" t="s">
        <v>51</v>
      </c>
      <c r="B7" s="43">
        <v>3.5000000000000003E-2</v>
      </c>
    </row>
    <row r="8" spans="1:3" x14ac:dyDescent="0.25">
      <c r="A8" t="s">
        <v>52</v>
      </c>
      <c r="B8" s="43">
        <v>4.4999999999999998E-2</v>
      </c>
    </row>
    <row r="9" spans="1:3" x14ac:dyDescent="0.25">
      <c r="B9" s="43"/>
    </row>
    <row r="10" spans="1:3" x14ac:dyDescent="0.25">
      <c r="A10" s="17" t="s">
        <v>78</v>
      </c>
    </row>
    <row r="11" spans="1:3" x14ac:dyDescent="0.25">
      <c r="A11" t="s">
        <v>53</v>
      </c>
      <c r="B11" s="41">
        <v>60</v>
      </c>
      <c r="C11" t="s">
        <v>69</v>
      </c>
    </row>
    <row r="12" spans="1:3" x14ac:dyDescent="0.25">
      <c r="A12" t="s">
        <v>50</v>
      </c>
      <c r="B12" s="41">
        <v>700</v>
      </c>
      <c r="C12" t="s">
        <v>69</v>
      </c>
    </row>
    <row r="13" spans="1:3" x14ac:dyDescent="0.25">
      <c r="A13" t="s">
        <v>51</v>
      </c>
      <c r="B13" s="41">
        <v>450</v>
      </c>
      <c r="C13" t="s">
        <v>69</v>
      </c>
    </row>
    <row r="14" spans="1:3" ht="15" customHeight="1" x14ac:dyDescent="0.25">
      <c r="A14" t="s">
        <v>52</v>
      </c>
      <c r="B14" s="41">
        <v>600</v>
      </c>
      <c r="C14" t="s">
        <v>69</v>
      </c>
    </row>
    <row r="15" spans="1:3" x14ac:dyDescent="0.25">
      <c r="A15" t="s">
        <v>54</v>
      </c>
      <c r="B15" s="41">
        <v>2</v>
      </c>
      <c r="C15" t="s">
        <v>70</v>
      </c>
    </row>
    <row r="16" spans="1:3" x14ac:dyDescent="0.25">
      <c r="B16" s="41"/>
    </row>
    <row r="17" spans="1:5" x14ac:dyDescent="0.25">
      <c r="A17" s="17" t="s">
        <v>79</v>
      </c>
    </row>
    <row r="18" spans="1:5" x14ac:dyDescent="0.25">
      <c r="A18" s="17" t="s">
        <v>71</v>
      </c>
      <c r="B18" s="58">
        <v>500</v>
      </c>
      <c r="C18" s="17" t="s">
        <v>116</v>
      </c>
      <c r="D18" s="17"/>
      <c r="E18" s="17"/>
    </row>
    <row r="19" spans="1:5" x14ac:dyDescent="0.25">
      <c r="A19" s="17"/>
    </row>
    <row r="20" spans="1:5" x14ac:dyDescent="0.25">
      <c r="A20" s="17" t="s">
        <v>76</v>
      </c>
    </row>
    <row r="21" spans="1:5" x14ac:dyDescent="0.25">
      <c r="B21" t="s">
        <v>75</v>
      </c>
      <c r="C21" s="41">
        <v>1</v>
      </c>
      <c r="D21" t="s">
        <v>74</v>
      </c>
    </row>
    <row r="22" spans="1:5" x14ac:dyDescent="0.25">
      <c r="B22" t="s">
        <v>72</v>
      </c>
      <c r="C22" s="41">
        <v>0.5</v>
      </c>
      <c r="D22" t="s">
        <v>73</v>
      </c>
    </row>
    <row r="23" spans="1:5" x14ac:dyDescent="0.25">
      <c r="C23" s="41"/>
    </row>
    <row r="24" spans="1:5" x14ac:dyDescent="0.25">
      <c r="A24" s="17" t="s">
        <v>153</v>
      </c>
    </row>
    <row r="25" spans="1:5" x14ac:dyDescent="0.25">
      <c r="B25" t="s">
        <v>75</v>
      </c>
      <c r="C25" s="44">
        <v>950</v>
      </c>
    </row>
    <row r="26" spans="1:5" x14ac:dyDescent="0.25">
      <c r="B26" t="s">
        <v>72</v>
      </c>
      <c r="C26" s="44">
        <v>900</v>
      </c>
    </row>
    <row r="27" spans="1:5" x14ac:dyDescent="0.25">
      <c r="A27" t="s">
        <v>154</v>
      </c>
      <c r="C27" s="44"/>
    </row>
    <row r="29" spans="1:5" x14ac:dyDescent="0.25">
      <c r="A29" s="17" t="s">
        <v>80</v>
      </c>
    </row>
    <row r="30" spans="1:5" x14ac:dyDescent="0.25">
      <c r="A30" s="17" t="s">
        <v>81</v>
      </c>
    </row>
    <row r="32" spans="1:5" ht="30" x14ac:dyDescent="0.25">
      <c r="B32" s="45"/>
      <c r="C32" s="46" t="s">
        <v>55</v>
      </c>
      <c r="D32" s="46" t="s">
        <v>56</v>
      </c>
    </row>
    <row r="33" spans="1:4" x14ac:dyDescent="0.25">
      <c r="B33" s="45" t="s">
        <v>57</v>
      </c>
      <c r="C33" s="47">
        <v>18000000</v>
      </c>
      <c r="D33" s="47">
        <v>16000000</v>
      </c>
    </row>
    <row r="34" spans="1:4" x14ac:dyDescent="0.25">
      <c r="B34" s="45" t="s">
        <v>58</v>
      </c>
      <c r="C34" s="47">
        <v>4200000</v>
      </c>
      <c r="D34" s="47">
        <v>3900000</v>
      </c>
    </row>
    <row r="35" spans="1:4" x14ac:dyDescent="0.25">
      <c r="B35" s="45" t="s">
        <v>59</v>
      </c>
      <c r="C35" s="32" t="s">
        <v>60</v>
      </c>
      <c r="D35" s="32" t="s">
        <v>61</v>
      </c>
    </row>
    <row r="36" spans="1:4" x14ac:dyDescent="0.25">
      <c r="B36" s="45" t="s">
        <v>62</v>
      </c>
      <c r="C36" s="32" t="s">
        <v>63</v>
      </c>
      <c r="D36" s="32" t="s">
        <v>61</v>
      </c>
    </row>
    <row r="37" spans="1:4" x14ac:dyDescent="0.25">
      <c r="A37" t="s">
        <v>84</v>
      </c>
    </row>
    <row r="38" spans="1:4" x14ac:dyDescent="0.25">
      <c r="A38" t="s">
        <v>85</v>
      </c>
    </row>
    <row r="39" spans="1:4" x14ac:dyDescent="0.25">
      <c r="B39" t="s">
        <v>82</v>
      </c>
      <c r="C39" s="40">
        <v>0.9</v>
      </c>
    </row>
    <row r="40" spans="1:4" x14ac:dyDescent="0.25">
      <c r="B40" t="s">
        <v>72</v>
      </c>
      <c r="C40" s="40">
        <v>0.1</v>
      </c>
    </row>
    <row r="43" spans="1:4" x14ac:dyDescent="0.25">
      <c r="A43" t="s">
        <v>64</v>
      </c>
    </row>
    <row r="44" spans="1:4" x14ac:dyDescent="0.25">
      <c r="A44" t="s">
        <v>83</v>
      </c>
    </row>
    <row r="45" spans="1:4" x14ac:dyDescent="0.25">
      <c r="A45" t="s">
        <v>65</v>
      </c>
    </row>
    <row r="46" spans="1:4" x14ac:dyDescent="0.25">
      <c r="A46" t="s">
        <v>66</v>
      </c>
    </row>
    <row r="47" spans="1:4" x14ac:dyDescent="0.25">
      <c r="A47" t="s">
        <v>67</v>
      </c>
    </row>
    <row r="49" spans="1:6" x14ac:dyDescent="0.25">
      <c r="A49" s="17" t="s">
        <v>114</v>
      </c>
    </row>
    <row r="51" spans="1:6" x14ac:dyDescent="0.25">
      <c r="A51" t="s">
        <v>155</v>
      </c>
    </row>
    <row r="53" spans="1:6" x14ac:dyDescent="0.25">
      <c r="B53" t="s">
        <v>117</v>
      </c>
      <c r="C53" t="s">
        <v>156</v>
      </c>
    </row>
    <row r="54" spans="1:6" x14ac:dyDescent="0.25">
      <c r="C54" s="41">
        <v>6</v>
      </c>
    </row>
    <row r="56" spans="1:6" x14ac:dyDescent="0.25">
      <c r="B56" t="s">
        <v>117</v>
      </c>
      <c r="C56" s="69">
        <f xml:space="preserve"> +(5*B18+1*B14)/6</f>
        <v>516.66666666666663</v>
      </c>
    </row>
    <row r="58" spans="1:6" x14ac:dyDescent="0.25">
      <c r="B58" s="45"/>
      <c r="C58" s="63" t="s">
        <v>118</v>
      </c>
      <c r="D58" s="63" t="s">
        <v>119</v>
      </c>
      <c r="E58" s="63"/>
      <c r="F58" s="63" t="s">
        <v>115</v>
      </c>
    </row>
    <row r="59" spans="1:6" x14ac:dyDescent="0.25">
      <c r="B59" s="64" t="s">
        <v>49</v>
      </c>
      <c r="C59" s="33">
        <v>0.9</v>
      </c>
      <c r="D59" s="32">
        <f>+B11</f>
        <v>60</v>
      </c>
      <c r="E59" s="45" t="s">
        <v>69</v>
      </c>
      <c r="F59" s="32">
        <f>+D59*C59</f>
        <v>54</v>
      </c>
    </row>
    <row r="60" spans="1:6" x14ac:dyDescent="0.25">
      <c r="B60" s="64" t="s">
        <v>50</v>
      </c>
      <c r="C60" s="33">
        <v>0.02</v>
      </c>
      <c r="D60" s="32">
        <f>+B12</f>
        <v>700</v>
      </c>
      <c r="E60" s="45" t="s">
        <v>69</v>
      </c>
      <c r="F60" s="32">
        <f t="shared" ref="F60:F61" si="0">+D60*C60</f>
        <v>14</v>
      </c>
    </row>
    <row r="61" spans="1:6" x14ac:dyDescent="0.25">
      <c r="B61" s="64" t="s">
        <v>51</v>
      </c>
      <c r="C61" s="60">
        <v>3.5000000000000003E-2</v>
      </c>
      <c r="D61" s="32">
        <f>+B13</f>
        <v>450</v>
      </c>
      <c r="E61" s="45" t="s">
        <v>69</v>
      </c>
      <c r="F61" s="32">
        <f t="shared" si="0"/>
        <v>15.750000000000002</v>
      </c>
    </row>
    <row r="62" spans="1:6" x14ac:dyDescent="0.25">
      <c r="B62" s="64" t="s">
        <v>52</v>
      </c>
      <c r="C62" s="60">
        <v>4.4999999999999998E-2</v>
      </c>
      <c r="D62" s="68">
        <f>+C56</f>
        <v>516.66666666666663</v>
      </c>
      <c r="E62" s="45" t="s">
        <v>69</v>
      </c>
      <c r="F62" s="32">
        <f>+D62*C62</f>
        <v>23.249999999999996</v>
      </c>
    </row>
    <row r="63" spans="1:6" x14ac:dyDescent="0.25">
      <c r="B63" s="64" t="s">
        <v>54</v>
      </c>
      <c r="C63" s="45"/>
      <c r="D63" s="32">
        <f>+B15</f>
        <v>2</v>
      </c>
      <c r="E63" s="45"/>
      <c r="F63" s="32"/>
    </row>
    <row r="64" spans="1:6" x14ac:dyDescent="0.25">
      <c r="E64" s="64" t="s">
        <v>69</v>
      </c>
      <c r="F64" s="63">
        <f>SUM(F59:F63)</f>
        <v>107</v>
      </c>
    </row>
    <row r="66" spans="1:4" x14ac:dyDescent="0.25">
      <c r="C66" t="s">
        <v>120</v>
      </c>
      <c r="D66" s="57">
        <f>+F64/4</f>
        <v>26.75</v>
      </c>
    </row>
    <row r="67" spans="1:4" x14ac:dyDescent="0.25">
      <c r="C67" t="s">
        <v>121</v>
      </c>
      <c r="D67" s="57">
        <f>+D63</f>
        <v>2</v>
      </c>
    </row>
    <row r="68" spans="1:4" x14ac:dyDescent="0.25">
      <c r="C68" s="17" t="s">
        <v>122</v>
      </c>
      <c r="D68" s="61">
        <f>SUM(D66:D67)</f>
        <v>28.75</v>
      </c>
    </row>
    <row r="70" spans="1:4" x14ac:dyDescent="0.25">
      <c r="A70" s="17" t="s">
        <v>123</v>
      </c>
    </row>
    <row r="71" spans="1:4" x14ac:dyDescent="0.25">
      <c r="B71" s="17" t="s">
        <v>124</v>
      </c>
    </row>
    <row r="72" spans="1:4" x14ac:dyDescent="0.25">
      <c r="B72" t="s">
        <v>125</v>
      </c>
      <c r="C72" s="62">
        <f>+C25</f>
        <v>950</v>
      </c>
    </row>
    <row r="73" spans="1:4" x14ac:dyDescent="0.25">
      <c r="B73" t="s">
        <v>126</v>
      </c>
      <c r="C73" s="70">
        <f>+C72/60</f>
        <v>15.833333333333334</v>
      </c>
    </row>
    <row r="75" spans="1:4" x14ac:dyDescent="0.25">
      <c r="B75" s="17" t="s">
        <v>58</v>
      </c>
    </row>
    <row r="76" spans="1:4" x14ac:dyDescent="0.25">
      <c r="B76" t="s">
        <v>125</v>
      </c>
      <c r="C76" s="62">
        <f>+C26</f>
        <v>900</v>
      </c>
    </row>
    <row r="77" spans="1:4" x14ac:dyDescent="0.25">
      <c r="B77" t="s">
        <v>162</v>
      </c>
      <c r="C77" s="70">
        <f>0.5*C76/60</f>
        <v>7.5</v>
      </c>
    </row>
    <row r="79" spans="1:4" x14ac:dyDescent="0.25">
      <c r="C79" s="17" t="s">
        <v>127</v>
      </c>
      <c r="D79" s="61">
        <f>+C73+C77</f>
        <v>23.333333333333336</v>
      </c>
    </row>
    <row r="82" spans="1:5" x14ac:dyDescent="0.25">
      <c r="A82" s="17" t="s">
        <v>128</v>
      </c>
    </row>
    <row r="84" spans="1:5" ht="30" x14ac:dyDescent="0.25">
      <c r="B84" s="45"/>
      <c r="C84" s="46" t="s">
        <v>55</v>
      </c>
      <c r="D84" s="46" t="s">
        <v>56</v>
      </c>
    </row>
    <row r="85" spans="1:5" x14ac:dyDescent="0.25">
      <c r="B85" s="45" t="s">
        <v>57</v>
      </c>
      <c r="C85" s="80">
        <v>18000000</v>
      </c>
      <c r="D85" s="47">
        <v>16000000</v>
      </c>
    </row>
    <row r="86" spans="1:5" x14ac:dyDescent="0.25">
      <c r="B86" s="45" t="s">
        <v>58</v>
      </c>
      <c r="C86" s="81">
        <v>4200000</v>
      </c>
      <c r="D86" s="47">
        <v>3900000</v>
      </c>
    </row>
    <row r="87" spans="1:5" x14ac:dyDescent="0.25">
      <c r="B87" s="45" t="s">
        <v>59</v>
      </c>
      <c r="C87" s="80">
        <v>3000000</v>
      </c>
      <c r="D87" s="32" t="s">
        <v>61</v>
      </c>
    </row>
    <row r="88" spans="1:5" x14ac:dyDescent="0.25">
      <c r="B88" s="45" t="s">
        <v>62</v>
      </c>
      <c r="C88" s="81">
        <v>6000000</v>
      </c>
      <c r="D88" s="32" t="s">
        <v>61</v>
      </c>
    </row>
    <row r="90" spans="1:5" x14ac:dyDescent="0.25">
      <c r="B90" s="41" t="s">
        <v>133</v>
      </c>
      <c r="C90" s="42">
        <v>1</v>
      </c>
      <c r="D90" t="s">
        <v>129</v>
      </c>
    </row>
    <row r="91" spans="1:5" x14ac:dyDescent="0.25">
      <c r="B91" t="s">
        <v>132</v>
      </c>
      <c r="C91" s="42">
        <v>0.9</v>
      </c>
      <c r="D91" t="s">
        <v>130</v>
      </c>
    </row>
    <row r="92" spans="1:5" x14ac:dyDescent="0.25">
      <c r="C92" s="42">
        <v>0.1</v>
      </c>
      <c r="D92" t="s">
        <v>131</v>
      </c>
    </row>
    <row r="93" spans="1:5" x14ac:dyDescent="0.25">
      <c r="A93" t="s">
        <v>134</v>
      </c>
    </row>
    <row r="95" spans="1:5" x14ac:dyDescent="0.25">
      <c r="B95" t="s">
        <v>135</v>
      </c>
      <c r="C95" s="72" t="s">
        <v>136</v>
      </c>
      <c r="D95" s="72"/>
      <c r="E95" s="41" t="s">
        <v>144</v>
      </c>
    </row>
    <row r="96" spans="1:5" x14ac:dyDescent="0.25">
      <c r="C96" s="73">
        <f>+D85</f>
        <v>16000000</v>
      </c>
      <c r="D96" s="74"/>
      <c r="E96" s="41" t="s">
        <v>141</v>
      </c>
    </row>
    <row r="98" spans="2:5" x14ac:dyDescent="0.25">
      <c r="B98" s="17" t="s">
        <v>135</v>
      </c>
      <c r="C98" s="17">
        <f>+(C85+C87+C91*C88)/D85</f>
        <v>1.65</v>
      </c>
      <c r="D98" s="17" t="s">
        <v>139</v>
      </c>
    </row>
    <row r="101" spans="2:5" x14ac:dyDescent="0.25">
      <c r="B101" t="s">
        <v>137</v>
      </c>
      <c r="C101" s="74" t="s">
        <v>138</v>
      </c>
      <c r="D101" s="74"/>
      <c r="E101" s="41" t="s">
        <v>144</v>
      </c>
    </row>
    <row r="102" spans="2:5" x14ac:dyDescent="0.25">
      <c r="C102" s="73">
        <f>+D86</f>
        <v>3900000</v>
      </c>
      <c r="D102" s="74"/>
      <c r="E102" s="41" t="s">
        <v>141</v>
      </c>
    </row>
    <row r="104" spans="2:5" x14ac:dyDescent="0.25">
      <c r="B104" s="17" t="s">
        <v>137</v>
      </c>
      <c r="C104" s="55">
        <f>+(C86+C92*C88)/D86</f>
        <v>1.2307692307692308</v>
      </c>
      <c r="D104" s="17" t="s">
        <v>139</v>
      </c>
    </row>
    <row r="106" spans="2:5" x14ac:dyDescent="0.25">
      <c r="C106" s="17" t="s">
        <v>140</v>
      </c>
      <c r="D106" s="71">
        <f>+C98+C104</f>
        <v>2.8807692307692307</v>
      </c>
      <c r="E106" s="17" t="str">
        <f>+D104</f>
        <v>$ GG/$MOD</v>
      </c>
    </row>
    <row r="108" spans="2:5" x14ac:dyDescent="0.25">
      <c r="B108" s="74" t="s">
        <v>157</v>
      </c>
      <c r="C108" s="74"/>
      <c r="D108" s="74"/>
    </row>
    <row r="109" spans="2:5" x14ac:dyDescent="0.25">
      <c r="C109" s="30" t="s">
        <v>141</v>
      </c>
    </row>
    <row r="111" spans="2:5" x14ac:dyDescent="0.25">
      <c r="C111" s="17" t="s">
        <v>142</v>
      </c>
      <c r="D111" s="61">
        <f>+D106*D79</f>
        <v>67.21794871794873</v>
      </c>
    </row>
    <row r="113" spans="2:3" x14ac:dyDescent="0.25">
      <c r="B113" s="17" t="s">
        <v>158</v>
      </c>
    </row>
    <row r="114" spans="2:3" x14ac:dyDescent="0.25">
      <c r="B114" s="17" t="s">
        <v>159</v>
      </c>
      <c r="C114" s="70">
        <f>+D68</f>
        <v>28.75</v>
      </c>
    </row>
    <row r="115" spans="2:3" x14ac:dyDescent="0.25">
      <c r="B115" s="17" t="s">
        <v>160</v>
      </c>
      <c r="C115" s="70">
        <f>+D79</f>
        <v>23.333333333333336</v>
      </c>
    </row>
    <row r="116" spans="2:3" x14ac:dyDescent="0.25">
      <c r="B116" s="17" t="s">
        <v>161</v>
      </c>
      <c r="C116" s="70">
        <f>+D111</f>
        <v>67.21794871794873</v>
      </c>
    </row>
    <row r="118" spans="2:3" ht="15.75" thickBot="1" x14ac:dyDescent="0.3"/>
    <row r="119" spans="2:3" ht="15.75" thickBot="1" x14ac:dyDescent="0.3">
      <c r="B119" s="65" t="s">
        <v>143</v>
      </c>
      <c r="C119" s="66">
        <f>+C114+C115+C116</f>
        <v>119.30128205128207</v>
      </c>
    </row>
  </sheetData>
  <mergeCells count="5">
    <mergeCell ref="C95:D95"/>
    <mergeCell ref="C96:D96"/>
    <mergeCell ref="C101:D101"/>
    <mergeCell ref="C102:D102"/>
    <mergeCell ref="B108:D108"/>
  </mergeCells>
  <pageMargins left="0.7" right="0.7" top="0.75" bottom="0.75" header="0.3" footer="0.3"/>
  <pageSetup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M56"/>
  <sheetViews>
    <sheetView topLeftCell="A41" zoomScale="105" zoomScaleNormal="105" workbookViewId="0">
      <selection activeCell="D58" sqref="D58"/>
    </sheetView>
  </sheetViews>
  <sheetFormatPr baseColWidth="10" defaultRowHeight="15" x14ac:dyDescent="0.25"/>
  <cols>
    <col min="1" max="1" width="13.140625" customWidth="1"/>
    <col min="3" max="3" width="18.28515625" customWidth="1"/>
  </cols>
  <sheetData>
    <row r="4" spans="1:10" x14ac:dyDescent="0.25">
      <c r="A4" s="17" t="s">
        <v>8</v>
      </c>
    </row>
    <row r="5" spans="1:10" ht="53.25" customHeight="1" x14ac:dyDescent="0.25">
      <c r="A5" s="75" t="s">
        <v>45</v>
      </c>
      <c r="B5" s="75"/>
      <c r="C5" s="75"/>
      <c r="D5" s="75"/>
      <c r="E5" s="75"/>
      <c r="F5" s="75"/>
      <c r="G5" s="75"/>
      <c r="H5" s="75"/>
      <c r="I5" s="75"/>
    </row>
    <row r="6" spans="1:10" ht="15.75" thickBot="1" x14ac:dyDescent="0.3"/>
    <row r="7" spans="1:10" ht="60.75" thickBot="1" x14ac:dyDescent="0.3">
      <c r="A7" s="26" t="s">
        <v>0</v>
      </c>
      <c r="B7" s="24" t="s">
        <v>46</v>
      </c>
      <c r="C7" s="21" t="s">
        <v>1</v>
      </c>
      <c r="D7" s="22" t="s">
        <v>2</v>
      </c>
      <c r="E7" s="23" t="s">
        <v>3</v>
      </c>
    </row>
    <row r="8" spans="1:10" x14ac:dyDescent="0.25">
      <c r="A8" s="27"/>
      <c r="B8" s="25"/>
      <c r="C8" s="19" t="s">
        <v>4</v>
      </c>
      <c r="D8" s="18"/>
      <c r="E8" s="20"/>
    </row>
    <row r="9" spans="1:10" x14ac:dyDescent="0.25">
      <c r="A9" s="28" t="s">
        <v>5</v>
      </c>
      <c r="B9" s="31">
        <v>0.7</v>
      </c>
      <c r="C9" s="32">
        <v>30</v>
      </c>
      <c r="D9" s="33">
        <v>0.06</v>
      </c>
      <c r="E9" s="34">
        <v>0.2</v>
      </c>
    </row>
    <row r="10" spans="1:10" x14ac:dyDescent="0.25">
      <c r="A10" s="28" t="s">
        <v>6</v>
      </c>
      <c r="B10" s="31">
        <v>0.45</v>
      </c>
      <c r="C10" s="32">
        <v>45</v>
      </c>
      <c r="D10" s="33">
        <v>0.01</v>
      </c>
      <c r="E10" s="34">
        <v>0.16</v>
      </c>
    </row>
    <row r="11" spans="1:10" ht="15.75" thickBot="1" x14ac:dyDescent="0.3">
      <c r="A11" s="29" t="s">
        <v>7</v>
      </c>
      <c r="B11" s="35">
        <v>0.7</v>
      </c>
      <c r="C11" s="36">
        <v>20</v>
      </c>
      <c r="D11" s="37">
        <v>0.02</v>
      </c>
      <c r="E11" s="38">
        <v>0.35</v>
      </c>
    </row>
    <row r="15" spans="1:10" x14ac:dyDescent="0.25">
      <c r="A15" t="s">
        <v>9</v>
      </c>
    </row>
    <row r="16" spans="1:10" x14ac:dyDescent="0.25">
      <c r="D16" t="s">
        <v>10</v>
      </c>
      <c r="G16" t="s">
        <v>11</v>
      </c>
      <c r="J16" t="s">
        <v>12</v>
      </c>
    </row>
    <row r="18" spans="1:13" ht="15.75" thickBot="1" x14ac:dyDescent="0.3">
      <c r="C18">
        <v>15.061999999999999</v>
      </c>
      <c r="D18" t="s">
        <v>13</v>
      </c>
      <c r="F18">
        <v>1.8879999999999999</v>
      </c>
      <c r="G18" t="s">
        <v>13</v>
      </c>
      <c r="I18">
        <v>3.14</v>
      </c>
      <c r="J18" t="s">
        <v>13</v>
      </c>
    </row>
    <row r="19" spans="1:13" x14ac:dyDescent="0.25">
      <c r="C19" s="1" t="s">
        <v>14</v>
      </c>
      <c r="D19" s="4">
        <v>0.06</v>
      </c>
      <c r="F19" s="1" t="s">
        <v>14</v>
      </c>
      <c r="G19" s="4">
        <v>0.01</v>
      </c>
      <c r="I19" s="1" t="s">
        <v>14</v>
      </c>
      <c r="J19" s="4">
        <v>0.02</v>
      </c>
    </row>
    <row r="20" spans="1:13" x14ac:dyDescent="0.25">
      <c r="C20" s="2"/>
      <c r="D20" s="5"/>
      <c r="F20" s="2"/>
      <c r="G20" s="5"/>
      <c r="I20" s="2"/>
      <c r="J20" s="5"/>
    </row>
    <row r="21" spans="1:13" ht="15.75" thickBot="1" x14ac:dyDescent="0.3">
      <c r="C21" s="3" t="s">
        <v>15</v>
      </c>
      <c r="D21" s="6">
        <v>0.2</v>
      </c>
      <c r="F21" s="3" t="s">
        <v>15</v>
      </c>
      <c r="G21" s="6">
        <v>0.16</v>
      </c>
      <c r="I21" s="3" t="s">
        <v>15</v>
      </c>
      <c r="J21" s="6">
        <v>0.35</v>
      </c>
    </row>
    <row r="22" spans="1:13" x14ac:dyDescent="0.25">
      <c r="C22">
        <v>47.194000000000003</v>
      </c>
      <c r="D22" t="s">
        <v>13</v>
      </c>
      <c r="F22">
        <v>29.902000000000001</v>
      </c>
      <c r="G22" t="s">
        <v>13</v>
      </c>
      <c r="I22">
        <v>53.845999999999997</v>
      </c>
      <c r="J22" t="s">
        <v>13</v>
      </c>
    </row>
    <row r="23" spans="1:13" x14ac:dyDescent="0.25">
      <c r="A23">
        <v>251.03</v>
      </c>
      <c r="B23" t="s">
        <v>13</v>
      </c>
      <c r="E23">
        <v>188.78</v>
      </c>
      <c r="F23" t="s">
        <v>13</v>
      </c>
      <c r="H23">
        <v>156.99</v>
      </c>
      <c r="I23" t="s">
        <v>13</v>
      </c>
      <c r="K23">
        <v>100</v>
      </c>
      <c r="L23" t="s">
        <v>13</v>
      </c>
    </row>
    <row r="25" spans="1:13" x14ac:dyDescent="0.25">
      <c r="D25" t="s">
        <v>16</v>
      </c>
      <c r="F25">
        <v>20.088999999999999</v>
      </c>
      <c r="G25" t="s">
        <v>13</v>
      </c>
    </row>
    <row r="26" spans="1:13" x14ac:dyDescent="0.25">
      <c r="D26" t="s">
        <v>17</v>
      </c>
      <c r="F26" s="39">
        <v>130.94200000000001</v>
      </c>
      <c r="G26" t="s">
        <v>13</v>
      </c>
    </row>
    <row r="27" spans="1:13" x14ac:dyDescent="0.25">
      <c r="D27" t="s">
        <v>18</v>
      </c>
      <c r="F27">
        <v>151.03200000000001</v>
      </c>
      <c r="G27" t="s">
        <v>13</v>
      </c>
    </row>
    <row r="30" spans="1:13" x14ac:dyDescent="0.25">
      <c r="C30" s="7" t="s">
        <v>19</v>
      </c>
      <c r="D30" s="8">
        <v>251.03</v>
      </c>
      <c r="E30" s="76" t="s">
        <v>20</v>
      </c>
      <c r="F30" s="76"/>
      <c r="G30" s="76"/>
      <c r="H30" s="76"/>
      <c r="I30" s="76"/>
      <c r="J30" s="76"/>
      <c r="K30" s="76"/>
      <c r="L30" s="76"/>
      <c r="M30" s="7"/>
    </row>
    <row r="31" spans="1:13" x14ac:dyDescent="0.25">
      <c r="C31" s="76" t="s">
        <v>152</v>
      </c>
      <c r="D31" s="76"/>
      <c r="E31" s="76"/>
      <c r="F31" s="8">
        <v>100</v>
      </c>
      <c r="G31" s="76" t="s">
        <v>21</v>
      </c>
      <c r="H31" s="76"/>
      <c r="I31" s="8" t="s">
        <v>22</v>
      </c>
      <c r="J31" s="8">
        <v>20.100000000000001</v>
      </c>
      <c r="K31" s="76" t="s">
        <v>23</v>
      </c>
      <c r="L31" s="76"/>
      <c r="M31" s="76"/>
    </row>
    <row r="32" spans="1:13" x14ac:dyDescent="0.25">
      <c r="C32" s="78" t="s">
        <v>152</v>
      </c>
      <c r="D32" s="78"/>
      <c r="E32" s="78"/>
      <c r="F32" s="10">
        <v>120.089</v>
      </c>
      <c r="G32" s="9" t="s">
        <v>24</v>
      </c>
      <c r="H32" s="9"/>
      <c r="I32" s="9"/>
      <c r="J32" s="7"/>
      <c r="K32" s="7"/>
      <c r="L32" s="7"/>
      <c r="M32" s="7"/>
    </row>
    <row r="34" spans="1:13" x14ac:dyDescent="0.25">
      <c r="A34" s="11" t="s">
        <v>25</v>
      </c>
    </row>
    <row r="36" spans="1:13" x14ac:dyDescent="0.25">
      <c r="A36" s="10" t="s">
        <v>26</v>
      </c>
      <c r="B36" s="12">
        <v>120.089</v>
      </c>
      <c r="C36" s="7" t="s">
        <v>29</v>
      </c>
      <c r="D36" s="8">
        <v>0.57999999999999996</v>
      </c>
      <c r="E36" s="8" t="s">
        <v>30</v>
      </c>
      <c r="F36" s="13">
        <v>2.1</v>
      </c>
      <c r="G36" s="8" t="s">
        <v>31</v>
      </c>
      <c r="H36" s="13">
        <v>146.27000000000001</v>
      </c>
      <c r="I36" s="7"/>
      <c r="J36" s="7"/>
      <c r="K36" s="7"/>
      <c r="L36" s="7"/>
    </row>
    <row r="37" spans="1:13" x14ac:dyDescent="0.25">
      <c r="A37" s="10" t="s">
        <v>27</v>
      </c>
      <c r="B37" s="12">
        <v>120.089</v>
      </c>
      <c r="C37" s="7" t="s">
        <v>29</v>
      </c>
      <c r="D37" s="8">
        <v>0.4</v>
      </c>
      <c r="E37" s="8" t="s">
        <v>30</v>
      </c>
      <c r="F37" s="13">
        <v>1.5</v>
      </c>
      <c r="G37" s="8" t="s">
        <v>31</v>
      </c>
      <c r="H37" s="13">
        <v>72.05</v>
      </c>
      <c r="I37" s="7"/>
      <c r="J37" s="7"/>
      <c r="K37" s="7"/>
      <c r="L37" s="7"/>
    </row>
    <row r="38" spans="1:13" ht="15.75" thickBot="1" x14ac:dyDescent="0.3">
      <c r="A38" s="10" t="s">
        <v>28</v>
      </c>
      <c r="B38" s="12">
        <v>120.089</v>
      </c>
      <c r="C38" s="7" t="s">
        <v>29</v>
      </c>
      <c r="D38" s="8">
        <v>0.02</v>
      </c>
      <c r="E38" s="8" t="s">
        <v>30</v>
      </c>
      <c r="F38" s="13">
        <v>0.6</v>
      </c>
      <c r="G38" s="8" t="s">
        <v>31</v>
      </c>
      <c r="H38" s="14">
        <v>1.44</v>
      </c>
      <c r="I38" s="7"/>
      <c r="J38" s="7"/>
      <c r="K38" s="7"/>
      <c r="L38" s="7"/>
    </row>
    <row r="39" spans="1:13" x14ac:dyDescent="0.25">
      <c r="G39" s="7"/>
      <c r="H39" s="15">
        <v>219.76</v>
      </c>
      <c r="I39" s="8" t="s">
        <v>32</v>
      </c>
      <c r="J39" s="12">
        <v>100</v>
      </c>
      <c r="K39" s="76" t="s">
        <v>33</v>
      </c>
      <c r="L39" s="76"/>
    </row>
    <row r="41" spans="1:13" x14ac:dyDescent="0.25">
      <c r="B41" s="15">
        <v>2.2000000000000002</v>
      </c>
      <c r="C41" s="9" t="s">
        <v>34</v>
      </c>
    </row>
    <row r="44" spans="1:13" x14ac:dyDescent="0.25">
      <c r="A44" s="11" t="s">
        <v>35</v>
      </c>
    </row>
    <row r="46" spans="1:13" x14ac:dyDescent="0.25">
      <c r="A46" s="16" t="s">
        <v>12</v>
      </c>
      <c r="B46" s="12">
        <v>100</v>
      </c>
      <c r="C46" s="7" t="s">
        <v>29</v>
      </c>
      <c r="D46" s="8">
        <v>0.7</v>
      </c>
      <c r="E46" s="7" t="s">
        <v>44</v>
      </c>
      <c r="F46" s="8">
        <v>20</v>
      </c>
      <c r="G46" s="7" t="s">
        <v>37</v>
      </c>
      <c r="H46" s="13">
        <v>14</v>
      </c>
      <c r="I46" s="7"/>
      <c r="J46" s="7"/>
      <c r="K46" s="7"/>
    </row>
    <row r="47" spans="1:13" x14ac:dyDescent="0.25">
      <c r="A47" s="16" t="s">
        <v>11</v>
      </c>
      <c r="B47" s="12">
        <v>156.99</v>
      </c>
      <c r="C47" s="7" t="s">
        <v>29</v>
      </c>
      <c r="D47" s="8">
        <v>0.45</v>
      </c>
      <c r="E47" s="7" t="s">
        <v>44</v>
      </c>
      <c r="F47" s="8">
        <v>45</v>
      </c>
      <c r="G47" s="7" t="s">
        <v>37</v>
      </c>
      <c r="H47" s="13">
        <v>31.79</v>
      </c>
      <c r="I47" s="7"/>
      <c r="J47" s="7"/>
      <c r="K47" s="7"/>
    </row>
    <row r="48" spans="1:13" ht="15.75" thickBot="1" x14ac:dyDescent="0.3">
      <c r="A48" s="16" t="s">
        <v>10</v>
      </c>
      <c r="B48" s="12">
        <v>188.78</v>
      </c>
      <c r="C48" s="7" t="s">
        <v>29</v>
      </c>
      <c r="D48" s="8">
        <v>0.7</v>
      </c>
      <c r="E48" s="7" t="s">
        <v>44</v>
      </c>
      <c r="F48" s="8">
        <v>30</v>
      </c>
      <c r="G48" s="7" t="s">
        <v>37</v>
      </c>
      <c r="H48" s="14">
        <v>39.64</v>
      </c>
      <c r="I48" s="7"/>
      <c r="J48" s="7"/>
      <c r="K48" s="7"/>
      <c r="M48" s="30"/>
    </row>
    <row r="49" spans="1:12" x14ac:dyDescent="0.25">
      <c r="H49" s="15">
        <v>85.43</v>
      </c>
      <c r="I49" s="16" t="s">
        <v>36</v>
      </c>
      <c r="J49" s="16" t="s">
        <v>38</v>
      </c>
      <c r="L49" s="9"/>
    </row>
    <row r="50" spans="1:12" x14ac:dyDescent="0.25">
      <c r="B50" s="15">
        <v>0.85</v>
      </c>
      <c r="C50" s="9" t="s">
        <v>39</v>
      </c>
    </row>
    <row r="52" spans="1:12" x14ac:dyDescent="0.25">
      <c r="A52" s="7" t="s">
        <v>40</v>
      </c>
      <c r="B52" s="8">
        <v>100</v>
      </c>
      <c r="C52" s="76" t="s">
        <v>41</v>
      </c>
      <c r="D52" s="76"/>
      <c r="E52" s="76"/>
      <c r="F52" s="7"/>
      <c r="G52" s="7"/>
      <c r="H52" s="7"/>
      <c r="I52" s="7"/>
      <c r="J52" s="7"/>
      <c r="K52" s="7"/>
    </row>
    <row r="53" spans="1:12" x14ac:dyDescent="0.2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</row>
    <row r="54" spans="1:12" x14ac:dyDescent="0.25">
      <c r="A54" s="13">
        <v>219.76</v>
      </c>
      <c r="B54" s="8" t="s">
        <v>22</v>
      </c>
      <c r="C54" s="13">
        <v>85.43</v>
      </c>
      <c r="D54" s="8" t="s">
        <v>31</v>
      </c>
      <c r="E54" s="77">
        <v>305.2</v>
      </c>
      <c r="F54" s="77"/>
      <c r="G54" s="8" t="s">
        <v>32</v>
      </c>
      <c r="H54" s="12">
        <v>100</v>
      </c>
      <c r="I54" s="76" t="s">
        <v>42</v>
      </c>
      <c r="J54" s="76"/>
      <c r="K54" s="76"/>
      <c r="L54" s="76"/>
    </row>
    <row r="55" spans="1:12" x14ac:dyDescent="0.2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spans="1:12" x14ac:dyDescent="0.25">
      <c r="A56" s="15">
        <v>3.05</v>
      </c>
      <c r="B56" s="78" t="s">
        <v>43</v>
      </c>
      <c r="C56" s="78"/>
      <c r="D56" s="78"/>
      <c r="E56" s="7"/>
      <c r="F56" s="7"/>
      <c r="G56" s="7"/>
      <c r="H56" s="7"/>
      <c r="I56" s="7"/>
      <c r="J56" s="7"/>
      <c r="K56" s="7"/>
    </row>
  </sheetData>
  <mergeCells count="11">
    <mergeCell ref="A5:I5"/>
    <mergeCell ref="E30:L30"/>
    <mergeCell ref="E54:F54"/>
    <mergeCell ref="I54:L54"/>
    <mergeCell ref="B56:D56"/>
    <mergeCell ref="C31:E31"/>
    <mergeCell ref="G31:H31"/>
    <mergeCell ref="K31:M31"/>
    <mergeCell ref="C32:E32"/>
    <mergeCell ref="K39:L39"/>
    <mergeCell ref="C52:E52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2"/>
  <sheetViews>
    <sheetView tabSelected="1" topLeftCell="A6" workbookViewId="0">
      <selection activeCell="C42" sqref="C42"/>
    </sheetView>
  </sheetViews>
  <sheetFormatPr baseColWidth="10" defaultRowHeight="15" x14ac:dyDescent="0.25"/>
  <cols>
    <col min="2" max="2" width="12.28515625" customWidth="1"/>
    <col min="3" max="3" width="14.5703125" customWidth="1"/>
    <col min="4" max="4" width="17" customWidth="1"/>
    <col min="5" max="5" width="11.28515625" customWidth="1"/>
  </cols>
  <sheetData>
    <row r="2" spans="1:8" x14ac:dyDescent="0.25">
      <c r="A2" t="s">
        <v>86</v>
      </c>
      <c r="D2" s="79" t="s">
        <v>151</v>
      </c>
      <c r="E2" s="79"/>
    </row>
    <row r="3" spans="1:8" ht="15" customHeight="1" x14ac:dyDescent="0.25">
      <c r="A3" s="41" t="s">
        <v>87</v>
      </c>
      <c r="B3" s="48">
        <v>12.5</v>
      </c>
      <c r="D3" s="79"/>
      <c r="E3" s="79"/>
      <c r="F3" s="48">
        <v>5.5</v>
      </c>
    </row>
    <row r="4" spans="1:8" x14ac:dyDescent="0.25">
      <c r="A4" s="41" t="s">
        <v>88</v>
      </c>
      <c r="B4" s="48">
        <v>11.5</v>
      </c>
      <c r="D4" s="79"/>
      <c r="E4" s="79"/>
    </row>
    <row r="5" spans="1:8" x14ac:dyDescent="0.25">
      <c r="A5" s="41" t="s">
        <v>89</v>
      </c>
      <c r="B5" s="48">
        <v>9</v>
      </c>
    </row>
    <row r="7" spans="1:8" x14ac:dyDescent="0.25">
      <c r="H7" s="48"/>
    </row>
    <row r="8" spans="1:8" ht="15.75" thickBot="1" x14ac:dyDescent="0.3">
      <c r="A8" s="41">
        <v>263.89</v>
      </c>
      <c r="B8" t="s">
        <v>90</v>
      </c>
      <c r="C8" s="41">
        <v>206.52</v>
      </c>
      <c r="D8" t="s">
        <v>11</v>
      </c>
      <c r="E8" s="41">
        <v>160.26</v>
      </c>
      <c r="F8" t="s">
        <v>91</v>
      </c>
      <c r="G8">
        <v>100</v>
      </c>
    </row>
    <row r="9" spans="1:8" x14ac:dyDescent="0.25">
      <c r="B9" s="49" t="s">
        <v>92</v>
      </c>
      <c r="D9" s="49" t="s">
        <v>93</v>
      </c>
      <c r="F9" s="49" t="s">
        <v>94</v>
      </c>
    </row>
    <row r="10" spans="1:8" ht="15.75" thickBot="1" x14ac:dyDescent="0.3">
      <c r="B10" s="50" t="s">
        <v>95</v>
      </c>
      <c r="D10" s="50" t="s">
        <v>96</v>
      </c>
      <c r="F10" s="50" t="s">
        <v>97</v>
      </c>
    </row>
    <row r="12" spans="1:8" x14ac:dyDescent="0.25">
      <c r="E12" s="42">
        <v>0.5</v>
      </c>
      <c r="F12" t="s">
        <v>98</v>
      </c>
    </row>
    <row r="13" spans="1:8" x14ac:dyDescent="0.25">
      <c r="B13" s="41" t="s">
        <v>145</v>
      </c>
      <c r="C13" s="59">
        <f>100/0.65</f>
        <v>153.84615384615384</v>
      </c>
      <c r="D13" s="51">
        <f>+C13-G8</f>
        <v>53.84615384615384</v>
      </c>
      <c r="E13" s="67">
        <f>+D13/2</f>
        <v>26.92307692307692</v>
      </c>
      <c r="F13" s="52">
        <f>+E13*F3</f>
        <v>148.07692307692307</v>
      </c>
    </row>
    <row r="14" spans="1:8" x14ac:dyDescent="0.25">
      <c r="B14" s="41" t="s">
        <v>146</v>
      </c>
      <c r="C14" s="59">
        <f>+C13/0.96</f>
        <v>160.25641025641025</v>
      </c>
      <c r="D14" s="51">
        <f>+C14-C13</f>
        <v>6.4102564102564088</v>
      </c>
      <c r="E14" s="67"/>
    </row>
    <row r="15" spans="1:8" x14ac:dyDescent="0.25">
      <c r="B15" s="41"/>
      <c r="C15" s="41"/>
      <c r="E15" s="67"/>
    </row>
    <row r="16" spans="1:8" x14ac:dyDescent="0.25">
      <c r="B16" s="41" t="s">
        <v>147</v>
      </c>
      <c r="C16" s="59">
        <f>+E8/0.8</f>
        <v>200.32499999999999</v>
      </c>
      <c r="D16" s="51">
        <f>+C16-C14</f>
        <v>40.06858974358974</v>
      </c>
      <c r="E16" s="67">
        <f>+D16/2</f>
        <v>20.03429487179487</v>
      </c>
      <c r="F16" s="52">
        <f>+E16*F3</f>
        <v>110.18862179487178</v>
      </c>
    </row>
    <row r="17" spans="2:7" x14ac:dyDescent="0.25">
      <c r="B17" s="41" t="s">
        <v>148</v>
      </c>
      <c r="C17" s="59">
        <f>+C16/0.97</f>
        <v>206.52061855670104</v>
      </c>
      <c r="D17" s="51">
        <f>+C17-C16</f>
        <v>6.1956185567010493</v>
      </c>
      <c r="E17" s="67"/>
    </row>
    <row r="18" spans="2:7" x14ac:dyDescent="0.25">
      <c r="B18" s="41"/>
      <c r="C18" s="41"/>
      <c r="E18" s="67"/>
    </row>
    <row r="19" spans="2:7" x14ac:dyDescent="0.25">
      <c r="B19" s="41" t="s">
        <v>149</v>
      </c>
      <c r="C19" s="59">
        <f>+C17/0.86</f>
        <v>240.14025413569888</v>
      </c>
      <c r="D19" s="51">
        <f>+C19-C17</f>
        <v>33.619635578997844</v>
      </c>
      <c r="E19" s="67">
        <f>+D19/2</f>
        <v>16.809817789498922</v>
      </c>
      <c r="F19" s="52">
        <f>+E19*F3</f>
        <v>92.453997842244064</v>
      </c>
    </row>
    <row r="20" spans="2:7" x14ac:dyDescent="0.25">
      <c r="B20" s="41" t="s">
        <v>150</v>
      </c>
      <c r="C20" s="59">
        <f>+C19/0.91</f>
        <v>263.89038916010867</v>
      </c>
      <c r="D20" s="51">
        <f>+C20-C19</f>
        <v>23.750135024409786</v>
      </c>
    </row>
    <row r="21" spans="2:7" x14ac:dyDescent="0.25">
      <c r="B21" s="41"/>
      <c r="C21" s="41"/>
      <c r="E21" s="53" t="s">
        <v>99</v>
      </c>
      <c r="F21" s="54">
        <f>SUM(F13:F20)</f>
        <v>350.71954271403894</v>
      </c>
    </row>
    <row r="22" spans="2:7" x14ac:dyDescent="0.25">
      <c r="B22" s="41"/>
      <c r="C22" s="41"/>
    </row>
    <row r="23" spans="2:7" x14ac:dyDescent="0.25">
      <c r="B23" s="41" t="s">
        <v>100</v>
      </c>
      <c r="C23" s="59">
        <f>+D13+D16+D19</f>
        <v>127.53437916874142</v>
      </c>
      <c r="D23" t="s">
        <v>101</v>
      </c>
      <c r="E23" s="51">
        <f>+C23/2</f>
        <v>63.767189584370712</v>
      </c>
    </row>
    <row r="24" spans="2:7" x14ac:dyDescent="0.25">
      <c r="B24" s="41" t="s">
        <v>102</v>
      </c>
      <c r="C24" s="59">
        <f>+D14+D17+D20</f>
        <v>36.356009991367245</v>
      </c>
    </row>
    <row r="26" spans="2:7" x14ac:dyDescent="0.25">
      <c r="C26" s="17" t="s">
        <v>103</v>
      </c>
      <c r="G26" s="51">
        <f>+A8-E23</f>
        <v>200.12281041562926</v>
      </c>
    </row>
    <row r="28" spans="2:7" x14ac:dyDescent="0.25">
      <c r="C28" t="s">
        <v>104</v>
      </c>
      <c r="E28" s="52">
        <f>+G26*0.58*B3+G26*0.4*B4+G26*0.02*B5</f>
        <v>2407.4774093000201</v>
      </c>
    </row>
    <row r="29" spans="2:7" x14ac:dyDescent="0.25">
      <c r="D29" t="s">
        <v>105</v>
      </c>
      <c r="E29" s="52">
        <f>+F21</f>
        <v>350.71954271403894</v>
      </c>
    </row>
    <row r="30" spans="2:7" x14ac:dyDescent="0.25">
      <c r="D30" s="17" t="s">
        <v>106</v>
      </c>
      <c r="E30" s="54">
        <f>+E28-E29</f>
        <v>2056.757866585981</v>
      </c>
    </row>
    <row r="32" spans="2:7" x14ac:dyDescent="0.25">
      <c r="B32" t="s">
        <v>107</v>
      </c>
    </row>
    <row r="34" spans="2:7" x14ac:dyDescent="0.25">
      <c r="B34" s="45"/>
      <c r="C34" s="45" t="s">
        <v>108</v>
      </c>
      <c r="D34" s="45" t="s">
        <v>109</v>
      </c>
    </row>
    <row r="35" spans="2:7" x14ac:dyDescent="0.25">
      <c r="B35" s="45" t="s">
        <v>110</v>
      </c>
      <c r="C35" s="32">
        <v>0.9</v>
      </c>
      <c r="D35" s="32">
        <v>120</v>
      </c>
      <c r="G35">
        <f>+C8*C35*D35/100</f>
        <v>223.04160000000005</v>
      </c>
    </row>
    <row r="36" spans="2:7" x14ac:dyDescent="0.25">
      <c r="B36" s="45" t="s">
        <v>6</v>
      </c>
      <c r="C36" s="32">
        <v>0.5</v>
      </c>
      <c r="D36" s="32">
        <v>160</v>
      </c>
      <c r="G36">
        <f>+E8*C36*D36/100</f>
        <v>128.208</v>
      </c>
    </row>
    <row r="37" spans="2:7" x14ac:dyDescent="0.25">
      <c r="B37" s="45" t="s">
        <v>111</v>
      </c>
      <c r="C37" s="32">
        <v>0.8</v>
      </c>
      <c r="D37" s="32">
        <v>110</v>
      </c>
      <c r="G37" s="39">
        <f>+G8*C37*D37/100</f>
        <v>88</v>
      </c>
    </row>
    <row r="38" spans="2:7" x14ac:dyDescent="0.25">
      <c r="B38" s="45"/>
      <c r="C38" s="45"/>
      <c r="D38" s="45"/>
      <c r="G38" s="55">
        <f>SUM(G35:G37)</f>
        <v>439.24960000000004</v>
      </c>
    </row>
    <row r="40" spans="2:7" x14ac:dyDescent="0.25">
      <c r="B40" s="17" t="s">
        <v>112</v>
      </c>
      <c r="C40" s="56">
        <f>+(C8*C35/100)*D35+(E8*C36/100)*D36+(G8*C37/100)*D37</f>
        <v>439.24959999999999</v>
      </c>
    </row>
    <row r="42" spans="2:7" x14ac:dyDescent="0.25">
      <c r="B42" s="17" t="s">
        <v>113</v>
      </c>
      <c r="C42" s="54">
        <f>+E30+C40</f>
        <v>2496.0074665859811</v>
      </c>
    </row>
  </sheetData>
  <mergeCells count="1">
    <mergeCell ref="D2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Costo Estimado</vt:lpstr>
      <vt:lpstr>Estandar</vt:lpstr>
      <vt:lpstr>Estandar recicla el 50% recorte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</dc:creator>
  <cp:lastModifiedBy>Invitado</cp:lastModifiedBy>
  <dcterms:created xsi:type="dcterms:W3CDTF">2020-08-30T23:22:31Z</dcterms:created>
  <dcterms:modified xsi:type="dcterms:W3CDTF">2022-10-03T14:43:02Z</dcterms:modified>
</cp:coreProperties>
</file>