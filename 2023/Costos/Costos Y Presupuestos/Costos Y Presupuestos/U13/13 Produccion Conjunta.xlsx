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ostos\Costos 2020\I3031\"/>
    </mc:Choice>
  </mc:AlternateContent>
  <xr:revisionPtr revIDLastSave="0" documentId="13_ncr:1_{025577A8-C85B-432A-88AE-AF10BFBF3609}" xr6:coauthVersionLast="45" xr6:coauthVersionMax="45" xr10:uidLastSave="{00000000-0000-0000-0000-000000000000}"/>
  <bookViews>
    <workbookView xWindow="-113" yWindow="-113" windowWidth="24267" windowHeight="13148" activeTab="2" xr2:uid="{A9C803DE-51F9-488D-B75F-4109EE8160A0}"/>
  </bookViews>
  <sheets>
    <sheet name="Produccion Conjunta" sheetId="1" r:id="rId1"/>
    <sheet name="Contabilidad de subproductos" sheetId="2" r:id="rId2"/>
    <sheet name="Ejercic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1" i="3" l="1"/>
  <c r="G61" i="3"/>
  <c r="G59" i="3"/>
  <c r="G58" i="3"/>
  <c r="F61" i="3"/>
  <c r="F62" i="3" s="1"/>
  <c r="F59" i="3"/>
  <c r="F58" i="3"/>
  <c r="C51" i="3"/>
  <c r="C48" i="3"/>
  <c r="C50" i="3" s="1"/>
  <c r="G43" i="3"/>
  <c r="C43" i="3"/>
  <c r="I40" i="3" s="1"/>
  <c r="F42" i="3"/>
  <c r="F41" i="3"/>
  <c r="F40" i="3"/>
  <c r="F32" i="3"/>
  <c r="H32" i="3" s="1"/>
  <c r="F33" i="3"/>
  <c r="H33" i="3" s="1"/>
  <c r="F31" i="3"/>
  <c r="G34" i="3"/>
  <c r="C34" i="3"/>
  <c r="D11" i="3"/>
  <c r="E25" i="3" s="1"/>
  <c r="E54" i="3" s="1"/>
  <c r="F34" i="3" l="1"/>
  <c r="H58" i="3"/>
  <c r="C52" i="3"/>
  <c r="G54" i="3" s="1"/>
  <c r="I54" i="3" s="1"/>
  <c r="G60" i="3"/>
  <c r="G62" i="3" s="1"/>
  <c r="H59" i="3"/>
  <c r="L61" i="3"/>
  <c r="N61" i="3" s="1"/>
  <c r="J40" i="3"/>
  <c r="L40" i="3" s="1"/>
  <c r="I41" i="3"/>
  <c r="J41" i="3" s="1"/>
  <c r="H31" i="3"/>
  <c r="H34" i="3" s="1"/>
  <c r="I33" i="3" s="1"/>
  <c r="J33" i="3" s="1"/>
  <c r="L33" i="3" s="1"/>
  <c r="F43" i="3"/>
  <c r="I42" i="3"/>
  <c r="J42" i="3" s="1"/>
  <c r="D115" i="2"/>
  <c r="D114" i="2"/>
  <c r="D109" i="2"/>
  <c r="D108" i="2"/>
  <c r="D107" i="2"/>
  <c r="D102" i="2"/>
  <c r="D101" i="2"/>
  <c r="D100" i="2"/>
  <c r="D97" i="2"/>
  <c r="D96" i="2"/>
  <c r="E76" i="2"/>
  <c r="D95" i="2"/>
  <c r="K87" i="2"/>
  <c r="J89" i="2"/>
  <c r="K89" i="2" s="1"/>
  <c r="J88" i="2"/>
  <c r="J90" i="2" s="1"/>
  <c r="J87" i="2"/>
  <c r="I88" i="2"/>
  <c r="I89" i="2"/>
  <c r="I90" i="2"/>
  <c r="I87" i="2"/>
  <c r="H88" i="2"/>
  <c r="H89" i="2"/>
  <c r="H90" i="2"/>
  <c r="H87" i="2"/>
  <c r="G88" i="2"/>
  <c r="G89" i="2"/>
  <c r="G87" i="2"/>
  <c r="E89" i="2"/>
  <c r="E88" i="2"/>
  <c r="E87" i="2"/>
  <c r="E90" i="2" s="1"/>
  <c r="E75" i="2"/>
  <c r="D81" i="2" s="1"/>
  <c r="E74" i="2"/>
  <c r="D80" i="2" s="1"/>
  <c r="E67" i="2"/>
  <c r="E68" i="2"/>
  <c r="E66" i="2"/>
  <c r="E58" i="2"/>
  <c r="E57" i="2"/>
  <c r="E56" i="2"/>
  <c r="E55" i="2"/>
  <c r="L41" i="3" l="1"/>
  <c r="N41" i="3" s="1"/>
  <c r="L42" i="3"/>
  <c r="N42" i="3" s="1"/>
  <c r="J61" i="3"/>
  <c r="H60" i="3"/>
  <c r="I58" i="3" s="1"/>
  <c r="M40" i="3"/>
  <c r="N40" i="3"/>
  <c r="I43" i="3"/>
  <c r="J43" i="3"/>
  <c r="I32" i="3"/>
  <c r="J32" i="3" s="1"/>
  <c r="L32" i="3" s="1"/>
  <c r="M33" i="3"/>
  <c r="N33" i="3"/>
  <c r="I31" i="3"/>
  <c r="J31" i="3" s="1"/>
  <c r="K88" i="2"/>
  <c r="K90" i="2" s="1"/>
  <c r="E59" i="2"/>
  <c r="D79" i="2" s="1"/>
  <c r="D82" i="2" s="1"/>
  <c r="E69" i="2"/>
  <c r="G90" i="2"/>
  <c r="I69" i="1"/>
  <c r="I70" i="1"/>
  <c r="H69" i="1"/>
  <c r="H70" i="1"/>
  <c r="H68" i="1"/>
  <c r="I68" i="1" s="1"/>
  <c r="C71" i="1"/>
  <c r="G70" i="1"/>
  <c r="J70" i="1" s="1"/>
  <c r="K70" i="1" s="1"/>
  <c r="F70" i="1"/>
  <c r="G69" i="1"/>
  <c r="J69" i="1" s="1"/>
  <c r="K69" i="1" s="1"/>
  <c r="F69" i="1"/>
  <c r="G68" i="1"/>
  <c r="J68" i="1" s="1"/>
  <c r="K68" i="1" s="1"/>
  <c r="F68" i="1"/>
  <c r="E48" i="1"/>
  <c r="G58" i="1"/>
  <c r="F58" i="1"/>
  <c r="G57" i="1"/>
  <c r="F57" i="1"/>
  <c r="G56" i="1"/>
  <c r="F56" i="1"/>
  <c r="F44" i="1"/>
  <c r="E41" i="1"/>
  <c r="E42" i="1" s="1"/>
  <c r="G31" i="1"/>
  <c r="F31" i="1"/>
  <c r="F41" i="1" s="1"/>
  <c r="G30" i="1"/>
  <c r="E44" i="1" s="1"/>
  <c r="F30" i="1"/>
  <c r="G29" i="1"/>
  <c r="F29" i="1"/>
  <c r="H29" i="1" s="1"/>
  <c r="G18" i="1"/>
  <c r="G19" i="1"/>
  <c r="G17" i="1"/>
  <c r="F18" i="1"/>
  <c r="F19" i="1"/>
  <c r="F17" i="1"/>
  <c r="M42" i="3" l="1"/>
  <c r="L43" i="3"/>
  <c r="M41" i="3"/>
  <c r="M43" i="3" s="1"/>
  <c r="J58" i="3"/>
  <c r="I59" i="3"/>
  <c r="J59" i="3" s="1"/>
  <c r="L59" i="3" s="1"/>
  <c r="N32" i="3"/>
  <c r="M32" i="3"/>
  <c r="L31" i="3"/>
  <c r="J34" i="3"/>
  <c r="H31" i="1"/>
  <c r="H71" i="1"/>
  <c r="I71" i="1"/>
  <c r="F42" i="1"/>
  <c r="F43" i="1" s="1"/>
  <c r="F45" i="1" s="1"/>
  <c r="H30" i="1"/>
  <c r="H32" i="1" s="1"/>
  <c r="E43" i="1"/>
  <c r="E45" i="1" s="1"/>
  <c r="F20" i="1"/>
  <c r="N59" i="3" l="1"/>
  <c r="M59" i="3"/>
  <c r="I60" i="3"/>
  <c r="J60" i="3"/>
  <c r="L58" i="3"/>
  <c r="N31" i="3"/>
  <c r="M31" i="3"/>
  <c r="M34" i="3" s="1"/>
  <c r="L34" i="3"/>
  <c r="E49" i="1"/>
  <c r="H57" i="1"/>
  <c r="I57" i="1" s="1"/>
  <c r="J57" i="1" s="1"/>
  <c r="E50" i="1"/>
  <c r="H58" i="1"/>
  <c r="I58" i="1" s="1"/>
  <c r="J58" i="1" s="1"/>
  <c r="I29" i="1"/>
  <c r="I31" i="1"/>
  <c r="J31" i="1" s="1"/>
  <c r="K31" i="1" s="1"/>
  <c r="L31" i="1" s="1"/>
  <c r="H18" i="1"/>
  <c r="I18" i="1" s="1"/>
  <c r="J18" i="1" s="1"/>
  <c r="K18" i="1" s="1"/>
  <c r="H19" i="1"/>
  <c r="I19" i="1" s="1"/>
  <c r="J19" i="1" s="1"/>
  <c r="K19" i="1" s="1"/>
  <c r="H17" i="1"/>
  <c r="I30" i="1"/>
  <c r="J30" i="1" s="1"/>
  <c r="K30" i="1" s="1"/>
  <c r="L30" i="1" s="1"/>
  <c r="N58" i="3" l="1"/>
  <c r="M58" i="3"/>
  <c r="M60" i="3" s="1"/>
  <c r="M62" i="3" s="1"/>
  <c r="E51" i="1"/>
  <c r="H56" i="1" s="1"/>
  <c r="I56" i="1" s="1"/>
  <c r="J56" i="1" s="1"/>
  <c r="H20" i="1"/>
  <c r="I17" i="1"/>
  <c r="J29" i="1"/>
  <c r="I32" i="1"/>
  <c r="H59" i="1"/>
  <c r="J32" i="1" l="1"/>
  <c r="K29" i="1"/>
  <c r="L29" i="1" s="1"/>
  <c r="I20" i="1"/>
  <c r="J17" i="1"/>
  <c r="K17" i="1" s="1"/>
</calcChain>
</file>

<file path=xl/sharedStrings.xml><?xml version="1.0" encoding="utf-8"?>
<sst xmlns="http://schemas.openxmlformats.org/spreadsheetml/2006/main" count="347" uniqueCount="179">
  <si>
    <t>Una fabrica produce 3 productos A, B y C, que utilizan el mismo insumo.</t>
  </si>
  <si>
    <t>El costo conjunto a distribuir, de este insumo,  es de $156.000 y presenta los siguientes datos</t>
  </si>
  <si>
    <t>Producto</t>
  </si>
  <si>
    <t>A</t>
  </si>
  <si>
    <t>B</t>
  </si>
  <si>
    <t>C</t>
  </si>
  <si>
    <t>Cantidad  (u)</t>
  </si>
  <si>
    <t>Precio de venta unitario      ($)</t>
  </si>
  <si>
    <t>Costo despues del punto de separacion ($)</t>
  </si>
  <si>
    <t>Determinar el costo total y el unitario por los siguientes metodos:</t>
  </si>
  <si>
    <t>Monto de ventas</t>
  </si>
  <si>
    <t>% de incidencia por producto</t>
  </si>
  <si>
    <t>Distribución Costo Conjunto por producto</t>
  </si>
  <si>
    <t>Costo Total</t>
  </si>
  <si>
    <t>Costo Unitario</t>
  </si>
  <si>
    <t>(1)</t>
  </si>
  <si>
    <t>(2)</t>
  </si>
  <si>
    <t>(3)</t>
  </si>
  <si>
    <t>(4)= (1) x (2)</t>
  </si>
  <si>
    <t>(5)=(1) x (3)</t>
  </si>
  <si>
    <t>(8)= (5) + (7)</t>
  </si>
  <si>
    <t>(9)= (8) / (1)</t>
  </si>
  <si>
    <r>
      <t xml:space="preserve">(6)=(4) / </t>
    </r>
    <r>
      <rPr>
        <b/>
        <sz val="10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 xml:space="preserve"> (4)</t>
    </r>
  </si>
  <si>
    <t>(7)= (6) x CC</t>
  </si>
  <si>
    <t>∑ =</t>
  </si>
  <si>
    <t>CC =</t>
  </si>
  <si>
    <t>b) VALOR RELATIVO DE LAS VENTAS</t>
  </si>
  <si>
    <t>a) VALOR DE LAS VENTAS TOTALES</t>
  </si>
  <si>
    <t>Monto del Costo despues del Punto de Separación</t>
  </si>
  <si>
    <t>Valor Relativo de las Ventas</t>
  </si>
  <si>
    <t>(6)= (4) - (5)</t>
  </si>
  <si>
    <r>
      <t xml:space="preserve">(7)=(6) / </t>
    </r>
    <r>
      <rPr>
        <b/>
        <sz val="10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 xml:space="preserve"> (6)</t>
    </r>
  </si>
  <si>
    <t>(8)= (7) x CC</t>
  </si>
  <si>
    <t>(9)= (5) + (8)</t>
  </si>
  <si>
    <t>(10)= (9) / (1)</t>
  </si>
  <si>
    <t>c) COSTO INVERSO</t>
  </si>
  <si>
    <t xml:space="preserve">Cuanto sera el costo de A si se considera a B y C como subproductos, </t>
  </si>
  <si>
    <t>basado en el valor relativo de las ventas , con una utilidad del 30%</t>
  </si>
  <si>
    <t>Utilidad 30%</t>
  </si>
  <si>
    <t>Costo subproducto</t>
  </si>
  <si>
    <t>Costo despues del punto de separación</t>
  </si>
  <si>
    <t>COSTO CONJUNTO DE B y C</t>
  </si>
  <si>
    <t>Por lo tanto el costo conjunto de A será:</t>
  </si>
  <si>
    <t>Costo Conjunto</t>
  </si>
  <si>
    <t>Costo conjunto de B</t>
  </si>
  <si>
    <t>Costo conjunto de C</t>
  </si>
  <si>
    <t>COSTO CONJUNTO DE A</t>
  </si>
  <si>
    <t>(6)</t>
  </si>
  <si>
    <t>(7)= (5) + (6)</t>
  </si>
  <si>
    <t>(8)= (7) / (1)</t>
  </si>
  <si>
    <t>d) UNIDADES FISICAS</t>
  </si>
  <si>
    <r>
      <t xml:space="preserve">(6)=(1) / </t>
    </r>
    <r>
      <rPr>
        <b/>
        <sz val="10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 xml:space="preserve"> (1)</t>
    </r>
  </si>
  <si>
    <t>PRODUCTO</t>
  </si>
  <si>
    <t>FORMA DE ENTREGA</t>
  </si>
  <si>
    <t>5,5 $/kg</t>
  </si>
  <si>
    <t>Bolsas de 20 kg</t>
  </si>
  <si>
    <t>6 $/kg</t>
  </si>
  <si>
    <t>A granel</t>
  </si>
  <si>
    <t>4 $/kg</t>
  </si>
  <si>
    <t>0,50 $/kg</t>
  </si>
  <si>
    <t>0,20 $/kg</t>
  </si>
  <si>
    <t xml:space="preserve">VOLUMEN DE PRODUCCION </t>
  </si>
  <si>
    <t>PRECIO DE VENTAUNITARIO</t>
  </si>
  <si>
    <t>Subprod XXX</t>
  </si>
  <si>
    <t>Subprod YYY</t>
  </si>
  <si>
    <t>6000 kg</t>
  </si>
  <si>
    <t>3000 kg</t>
  </si>
  <si>
    <t>5000 kg</t>
  </si>
  <si>
    <t>2000 kg</t>
  </si>
  <si>
    <t>1000 kg</t>
  </si>
  <si>
    <t>DENOMINACION</t>
  </si>
  <si>
    <t>CANTIDAD</t>
  </si>
  <si>
    <t>COSTO</t>
  </si>
  <si>
    <t>MP 1</t>
  </si>
  <si>
    <t>MP 2</t>
  </si>
  <si>
    <t>MOD</t>
  </si>
  <si>
    <t>GIF</t>
  </si>
  <si>
    <t>15000 kg</t>
  </si>
  <si>
    <t>2200 kg</t>
  </si>
  <si>
    <t>2 $/kg</t>
  </si>
  <si>
    <t>4,2 $/kg</t>
  </si>
  <si>
    <t>MP (bolsas)</t>
  </si>
  <si>
    <t>GIF (embolsado)</t>
  </si>
  <si>
    <t>300 hs</t>
  </si>
  <si>
    <t>1 $/bolsa</t>
  </si>
  <si>
    <t>6 $/hs</t>
  </si>
  <si>
    <t>PROCESO PRINCIPAL</t>
  </si>
  <si>
    <t>PROCESO "A" DESPUES DEL PUNTO DE SEPARACION</t>
  </si>
  <si>
    <t>Se desea saber, aplicando contabilidad de subproductos, mediangte el sistema del valor relativo de las ventas</t>
  </si>
  <si>
    <t>a)- El costo de cada producto y de cada subproducto</t>
  </si>
  <si>
    <t>b)- La utilidad</t>
  </si>
  <si>
    <t>NOTA: para invisibilizar a  los subroductos se le asigna un costo igual al ingreso que generan sus ventas</t>
  </si>
  <si>
    <t>Encuentro el costo de Proceso Principal</t>
  </si>
  <si>
    <t>COSTO PROCESO PRINCIPAL</t>
  </si>
  <si>
    <t>COSTO UNITARIO</t>
  </si>
  <si>
    <t>TOTAL</t>
  </si>
  <si>
    <t>TOTAL PROCESO:</t>
  </si>
  <si>
    <t>Encuentro el costo del Proceso "A"</t>
  </si>
  <si>
    <t>COSTO PROCESO "A" DESPUES DEL PUNTO DE SEPARACION</t>
  </si>
  <si>
    <t>TOTAL PROCESO "A":</t>
  </si>
  <si>
    <t>Para el calculo del Costo Conjunto a distribuir tengo que descontarl el ingreso generado por los subroductos</t>
  </si>
  <si>
    <t>CANTIDAD          kg</t>
  </si>
  <si>
    <t>PRECIO UNITARIO         $</t>
  </si>
  <si>
    <t>COSTO CONJUNTO A DISTRIBUIR</t>
  </si>
  <si>
    <t>Costo proceso principal</t>
  </si>
  <si>
    <t>Costo subroducto XXX</t>
  </si>
  <si>
    <t>Costo subroducto YYY</t>
  </si>
  <si>
    <t>(3)= (1) x (2)</t>
  </si>
  <si>
    <t>(4)</t>
  </si>
  <si>
    <t>(5)= (3) - (4)</t>
  </si>
  <si>
    <r>
      <t>(6)= (5)/</t>
    </r>
    <r>
      <rPr>
        <b/>
        <sz val="10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 xml:space="preserve"> (5)</t>
    </r>
  </si>
  <si>
    <t>(8)= (4) + (7)</t>
  </si>
  <si>
    <t>Utilidad</t>
  </si>
  <si>
    <t>(9)= (3) - (8)</t>
  </si>
  <si>
    <t>RESUMIEDO</t>
  </si>
  <si>
    <t>Ingreso por ventas</t>
  </si>
  <si>
    <t>Ingreso por venta de subproductos</t>
  </si>
  <si>
    <t>Ingreso Total</t>
  </si>
  <si>
    <t>Costo de subproductos</t>
  </si>
  <si>
    <t>UTILIDAD</t>
  </si>
  <si>
    <t>NOTA:</t>
  </si>
  <si>
    <t>El costo de cada subroducto sera igual al valor de venta del mismo:</t>
  </si>
  <si>
    <t xml:space="preserve">Costo subproducto XXX      = </t>
  </si>
  <si>
    <t xml:space="preserve">Costo subproducto YYY       = </t>
  </si>
  <si>
    <t>UNIDADES</t>
  </si>
  <si>
    <t>MONTO TOTAL</t>
  </si>
  <si>
    <t>CONT. NETA</t>
  </si>
  <si>
    <t>%</t>
  </si>
  <si>
    <t xml:space="preserve">COSTO </t>
  </si>
  <si>
    <t>PRODUCIDAS</t>
  </si>
  <si>
    <t>DE VENTAS</t>
  </si>
  <si>
    <t>UNITARIA</t>
  </si>
  <si>
    <t>UNITARIO</t>
  </si>
  <si>
    <t>Madera</t>
  </si>
  <si>
    <t>Celulosa</t>
  </si>
  <si>
    <t>Abono</t>
  </si>
  <si>
    <t xml:space="preserve">   2) METODO BASADO EN UNIDADES FISICAS</t>
  </si>
  <si>
    <t xml:space="preserve">   3) METODO DEL COSTO INVERSO, TOMANDO AL ABONO COMO SUBPRODUCTO, SIENDO EL PORCENTAJE</t>
  </si>
  <si>
    <t xml:space="preserve">    DE UTILIDAD SOBRE EL PRECIO DE VENTA UN</t>
  </si>
  <si>
    <t>VENTA</t>
  </si>
  <si>
    <t>C.TOTAL</t>
  </si>
  <si>
    <t>C.D.P.S.</t>
  </si>
  <si>
    <t>C.CONJ.</t>
  </si>
  <si>
    <t xml:space="preserve">COSTO CONJ. MADERA Y CELULOSA </t>
  </si>
  <si>
    <t>=</t>
  </si>
  <si>
    <t>SUBTOT</t>
  </si>
  <si>
    <t>La empresa “La Papelera SA”  produce madera, celulosa y abono. El proceso productivo consiste en explotar un monte de eucaliptos para luego elaborar los distintos productos que fabrica.</t>
  </si>
  <si>
    <t>Las tareas que se realizan son cortar los árboles con motosierras, desramarlos, clasificar los cortes, transportar los cortes al aserradero y a la planta de celulosa y finalmente limpiar el monte para volver a forestar.</t>
  </si>
  <si>
    <t>Para este conjunto de tareas se gastan durante el mes de abril de 2010:</t>
  </si>
  <si>
    <t xml:space="preserve">Material proveniente del monte </t>
  </si>
  <si>
    <t xml:space="preserve">Transportes </t>
  </si>
  <si>
    <t xml:space="preserve">      </t>
  </si>
  <si>
    <t xml:space="preserve">Mano de obra y cargas sociales  </t>
  </si>
  <si>
    <t xml:space="preserve">Amortización de equipos y otros insumos </t>
  </si>
  <si>
    <t>Precio unitario de venta</t>
  </si>
  <si>
    <t>9,50 $/kg</t>
  </si>
  <si>
    <t>1,50 $/kg</t>
  </si>
  <si>
    <t>Unidades producidas</t>
  </si>
  <si>
    <t>200.000 kg</t>
  </si>
  <si>
    <t>600.000 kg</t>
  </si>
  <si>
    <t>Costo unitario posterior a la separación</t>
  </si>
  <si>
    <t>3,50 $/kg</t>
  </si>
  <si>
    <t>15,50 $/pie2</t>
  </si>
  <si>
    <t>180.000 pies2</t>
  </si>
  <si>
    <t>2,50 $/pie2</t>
  </si>
  <si>
    <t>PRODUCCION CONJUNTA</t>
  </si>
  <si>
    <t xml:space="preserve">b)      Determinar el costo conjunto que le corresponde a la Madera y a la Celulosa si consideramos el Abono como subproducto y se utiliza el método del costo inverso </t>
  </si>
  <si>
    <t xml:space="preserve">a)      Determinar el costo de producción unitario y la utilidad global de la Madera, la Celulosa y el Abono, utilizando el método basado en unidades físicas. </t>
  </si>
  <si>
    <t xml:space="preserve">          considerando que la utilidad del Abono es del 45% sobre el precio de venta.</t>
  </si>
  <si>
    <t>COSTO CONJUNTO</t>
  </si>
  <si>
    <t xml:space="preserve">   1) METODO DELVALOR RELATIVO DE LAS VENTAS</t>
  </si>
  <si>
    <t>PRECIO DE VENTA UNITARIO</t>
  </si>
  <si>
    <t>COSTO DESPUES DEL PUNTO DE SEPARACION UNITARIO</t>
  </si>
  <si>
    <t>COSTO TOTAL DESPUES DEL PUNTO DE SEPARACION</t>
  </si>
  <si>
    <t>CONT. NETA UNITARIA</t>
  </si>
  <si>
    <t>ASIGNACION COSTO CONJUNTO</t>
  </si>
  <si>
    <t>-</t>
  </si>
  <si>
    <t>COSTO TOTAL</t>
  </si>
  <si>
    <t>UTILIDAD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</si>
</sst>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&quot;$&quot;\ * #,##0.00_-;\-&quot;$&quot;\ * #,##0.00_-;_-&quot;$&quot;\ * &quot;-&quot;???_-;_-@_-"/>
    <numFmt numFmtId="166" formatCode="_-&quot;$&quot;\ * #,##0_-;\-&quot;$&quot;\ * #,##0_-;_-&quot;$&quot;\ * &quot;-&quot;???_-;_-@_-"/>
    <numFmt numFmtId="167" formatCode="&quot;$&quot;\ #,##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3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49" fontId="2" fillId="0" borderId="0" xfId="0" applyNumberFormat="1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164" fontId="0" fillId="0" borderId="1" xfId="1" applyNumberFormat="1" applyFont="1" applyBorder="1"/>
    <xf numFmtId="164" fontId="0" fillId="0" borderId="0" xfId="1" applyNumberFormat="1" applyFont="1"/>
    <xf numFmtId="164" fontId="0" fillId="0" borderId="1" xfId="0" applyNumberFormat="1" applyBorder="1"/>
    <xf numFmtId="44" fontId="0" fillId="0" borderId="1" xfId="0" applyNumberFormat="1" applyBorder="1"/>
    <xf numFmtId="0" fontId="0" fillId="0" borderId="0" xfId="0" applyAlignment="1">
      <alignment horizontal="right"/>
    </xf>
    <xf numFmtId="165" fontId="0" fillId="0" borderId="1" xfId="0" applyNumberFormat="1" applyBorder="1"/>
    <xf numFmtId="166" fontId="0" fillId="0" borderId="0" xfId="0" applyNumberFormat="1"/>
    <xf numFmtId="0" fontId="4" fillId="0" borderId="2" xfId="0" applyFont="1" applyFill="1" applyBorder="1" applyAlignment="1">
      <alignment horizontal="center" vertical="center" wrapText="1"/>
    </xf>
    <xf numFmtId="164" fontId="0" fillId="0" borderId="2" xfId="1" applyNumberFormat="1" applyFont="1" applyBorder="1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3" fontId="0" fillId="0" borderId="9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2" xfId="0" applyNumberFormat="1" applyBorder="1"/>
    <xf numFmtId="164" fontId="0" fillId="0" borderId="15" xfId="0" applyNumberFormat="1" applyBorder="1"/>
    <xf numFmtId="164" fontId="0" fillId="0" borderId="13" xfId="0" applyNumberFormat="1" applyBorder="1"/>
    <xf numFmtId="164" fontId="0" fillId="0" borderId="11" xfId="0" applyNumberFormat="1" applyBorder="1"/>
    <xf numFmtId="164" fontId="2" fillId="0" borderId="0" xfId="0" applyNumberFormat="1" applyFont="1"/>
    <xf numFmtId="164" fontId="0" fillId="0" borderId="17" xfId="0" applyNumberFormat="1" applyBorder="1"/>
    <xf numFmtId="164" fontId="2" fillId="0" borderId="12" xfId="0" applyNumberFormat="1" applyFont="1" applyBorder="1"/>
    <xf numFmtId="164" fontId="2" fillId="0" borderId="14" xfId="0" applyNumberFormat="1" applyFont="1" applyBorder="1"/>
    <xf numFmtId="2" fontId="0" fillId="0" borderId="1" xfId="1" applyNumberFormat="1" applyFont="1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4" fontId="0" fillId="2" borderId="1" xfId="1" applyFont="1" applyFill="1" applyBorder="1"/>
    <xf numFmtId="0" fontId="0" fillId="0" borderId="1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6" fontId="0" fillId="0" borderId="9" xfId="0" applyNumberFormat="1" applyBorder="1" applyAlignment="1">
      <alignment horizontal="center" vertical="center"/>
    </xf>
    <xf numFmtId="6" fontId="0" fillId="0" borderId="1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3" fontId="0" fillId="0" borderId="11" xfId="2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0" xfId="0" applyFont="1" applyBorder="1" applyAlignment="1"/>
    <xf numFmtId="1" fontId="0" fillId="0" borderId="11" xfId="2" applyNumberFormat="1" applyFont="1" applyFill="1" applyBorder="1" applyAlignment="1">
      <alignment horizontal="center" vertical="center"/>
    </xf>
    <xf numFmtId="1" fontId="0" fillId="0" borderId="11" xfId="2" applyNumberFormat="1" applyFont="1" applyFill="1" applyBorder="1" applyAlignment="1">
      <alignment horizontal="center"/>
    </xf>
    <xf numFmtId="6" fontId="0" fillId="0" borderId="0" xfId="0" applyNumberFormat="1"/>
    <xf numFmtId="0" fontId="2" fillId="0" borderId="28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6" fontId="0" fillId="0" borderId="16" xfId="0" applyNumberFormat="1" applyBorder="1" applyAlignment="1">
      <alignment horizontal="center" vertical="center"/>
    </xf>
    <xf numFmtId="6" fontId="0" fillId="0" borderId="29" xfId="0" applyNumberFormat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167" fontId="0" fillId="0" borderId="0" xfId="0" applyNumberFormat="1"/>
    <xf numFmtId="167" fontId="0" fillId="0" borderId="33" xfId="0" applyNumberFormat="1" applyBorder="1" applyAlignment="1">
      <alignment horizontal="center"/>
    </xf>
    <xf numFmtId="167" fontId="0" fillId="0" borderId="31" xfId="0" applyNumberFormat="1" applyBorder="1" applyAlignment="1">
      <alignment horizontal="center"/>
    </xf>
    <xf numFmtId="167" fontId="0" fillId="0" borderId="32" xfId="0" applyNumberFormat="1" applyBorder="1" applyAlignment="1">
      <alignment horizontal="center"/>
    </xf>
    <xf numFmtId="167" fontId="2" fillId="0" borderId="0" xfId="0" applyNumberFormat="1" applyFont="1"/>
    <xf numFmtId="167" fontId="2" fillId="0" borderId="0" xfId="0" applyNumberFormat="1" applyFont="1" applyAlignment="1">
      <alignment horizontal="center"/>
    </xf>
    <xf numFmtId="6" fontId="0" fillId="0" borderId="13" xfId="0" applyNumberFormat="1" applyFill="1" applyBorder="1" applyAlignment="1">
      <alignment horizontal="center" vertical="center"/>
    </xf>
    <xf numFmtId="6" fontId="0" fillId="0" borderId="16" xfId="0" applyNumberFormat="1" applyFill="1" applyBorder="1" applyAlignment="1">
      <alignment horizontal="center" vertical="center"/>
    </xf>
    <xf numFmtId="6" fontId="2" fillId="0" borderId="0" xfId="0" applyNumberFormat="1" applyFont="1"/>
    <xf numFmtId="6" fontId="0" fillId="0" borderId="30" xfId="0" applyNumberFormat="1" applyBorder="1" applyAlignment="1">
      <alignment horizontal="center"/>
    </xf>
    <xf numFmtId="6" fontId="0" fillId="0" borderId="27" xfId="0" applyNumberFormat="1" applyBorder="1" applyAlignment="1">
      <alignment horizontal="center"/>
    </xf>
    <xf numFmtId="6" fontId="0" fillId="0" borderId="33" xfId="0" applyNumberFormat="1" applyBorder="1" applyAlignment="1">
      <alignment horizontal="center"/>
    </xf>
    <xf numFmtId="6" fontId="0" fillId="0" borderId="31" xfId="0" applyNumberFormat="1" applyBorder="1" applyAlignment="1">
      <alignment horizontal="center"/>
    </xf>
    <xf numFmtId="6" fontId="0" fillId="0" borderId="32" xfId="0" applyNumberFormat="1" applyBorder="1" applyAlignment="1">
      <alignment horizontal="center"/>
    </xf>
    <xf numFmtId="6" fontId="2" fillId="0" borderId="0" xfId="0" applyNumberFormat="1" applyFont="1" applyAlignment="1">
      <alignment horizontal="center"/>
    </xf>
    <xf numFmtId="13" fontId="0" fillId="0" borderId="11" xfId="2" applyNumberFormat="1" applyFont="1" applyFill="1" applyBorder="1" applyAlignment="1">
      <alignment vertical="center"/>
    </xf>
    <xf numFmtId="6" fontId="0" fillId="0" borderId="17" xfId="0" applyNumberFormat="1" applyBorder="1"/>
    <xf numFmtId="0" fontId="4" fillId="0" borderId="3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4" fontId="0" fillId="2" borderId="7" xfId="1" applyNumberFormat="1" applyFont="1" applyFill="1" applyBorder="1"/>
    <xf numFmtId="164" fontId="0" fillId="0" borderId="35" xfId="1" applyNumberFormat="1" applyFont="1" applyBorder="1"/>
    <xf numFmtId="164" fontId="0" fillId="0" borderId="9" xfId="0" applyNumberFormat="1" applyBorder="1"/>
    <xf numFmtId="2" fontId="0" fillId="0" borderId="9" xfId="0" applyNumberFormat="1" applyBorder="1" applyAlignment="1">
      <alignment horizontal="center"/>
    </xf>
    <xf numFmtId="164" fontId="0" fillId="2" borderId="10" xfId="1" applyNumberFormat="1" applyFont="1" applyFill="1" applyBorder="1"/>
    <xf numFmtId="164" fontId="2" fillId="0" borderId="0" xfId="1" applyNumberFormat="1" applyFont="1"/>
    <xf numFmtId="0" fontId="8" fillId="0" borderId="0" xfId="0" applyFont="1" applyAlignment="1">
      <alignment horizontal="right"/>
    </xf>
    <xf numFmtId="2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/>
    <xf numFmtId="6" fontId="0" fillId="0" borderId="0" xfId="0" applyNumberFormat="1" applyAlignment="1">
      <alignment horizontal="center"/>
    </xf>
    <xf numFmtId="6" fontId="0" fillId="0" borderId="17" xfId="0" applyNumberFormat="1" applyBorder="1" applyAlignment="1">
      <alignment horizontal="center"/>
    </xf>
    <xf numFmtId="6" fontId="0" fillId="0" borderId="0" xfId="0" applyNumberFormat="1" applyBorder="1" applyAlignment="1">
      <alignment horizont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6" fontId="12" fillId="0" borderId="0" xfId="0" applyNumberFormat="1" applyFont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3" fontId="13" fillId="0" borderId="27" xfId="0" applyNumberFormat="1" applyFont="1" applyBorder="1" applyAlignment="1">
      <alignment horizontal="right" vertical="center"/>
    </xf>
    <xf numFmtId="6" fontId="13" fillId="0" borderId="43" xfId="0" applyNumberFormat="1" applyFont="1" applyBorder="1" applyAlignment="1">
      <alignment horizontal="right" vertical="center"/>
    </xf>
    <xf numFmtId="6" fontId="13" fillId="0" borderId="44" xfId="0" applyNumberFormat="1" applyFont="1" applyBorder="1" applyAlignment="1">
      <alignment horizontal="right" vertical="center"/>
    </xf>
    <xf numFmtId="6" fontId="13" fillId="0" borderId="42" xfId="0" applyNumberFormat="1" applyFont="1" applyBorder="1" applyAlignment="1">
      <alignment horizontal="right" vertical="center"/>
    </xf>
    <xf numFmtId="6" fontId="13" fillId="0" borderId="0" xfId="0" applyNumberFormat="1" applyFont="1" applyAlignment="1">
      <alignment horizontal="right" vertical="center"/>
    </xf>
    <xf numFmtId="8" fontId="13" fillId="0" borderId="45" xfId="0" applyNumberFormat="1" applyFont="1" applyBorder="1" applyAlignment="1">
      <alignment horizontal="right" vertical="center"/>
    </xf>
    <xf numFmtId="0" fontId="13" fillId="0" borderId="46" xfId="0" applyFont="1" applyBorder="1" applyAlignment="1">
      <alignment horizontal="center" vertical="center"/>
    </xf>
    <xf numFmtId="3" fontId="13" fillId="0" borderId="47" xfId="0" applyNumberFormat="1" applyFont="1" applyBorder="1" applyAlignment="1">
      <alignment horizontal="right" vertical="center"/>
    </xf>
    <xf numFmtId="6" fontId="13" fillId="0" borderId="46" xfId="0" applyNumberFormat="1" applyFont="1" applyBorder="1" applyAlignment="1">
      <alignment horizontal="right" vertical="center"/>
    </xf>
    <xf numFmtId="0" fontId="13" fillId="0" borderId="47" xfId="0" applyFont="1" applyBorder="1" applyAlignment="1">
      <alignment horizontal="right" vertical="center"/>
    </xf>
    <xf numFmtId="8" fontId="13" fillId="0" borderId="49" xfId="0" applyNumberFormat="1" applyFont="1" applyBorder="1" applyAlignment="1">
      <alignment horizontal="right" vertical="center"/>
    </xf>
    <xf numFmtId="0" fontId="12" fillId="0" borderId="50" xfId="0" applyFont="1" applyBorder="1" applyAlignment="1">
      <alignment horizontal="center" vertical="center"/>
    </xf>
    <xf numFmtId="3" fontId="12" fillId="0" borderId="51" xfId="0" applyNumberFormat="1" applyFont="1" applyBorder="1" applyAlignment="1">
      <alignment horizontal="right" vertical="center"/>
    </xf>
    <xf numFmtId="6" fontId="12" fillId="0" borderId="52" xfId="0" applyNumberFormat="1" applyFont="1" applyBorder="1" applyAlignment="1">
      <alignment horizontal="right" vertical="center"/>
    </xf>
    <xf numFmtId="6" fontId="12" fillId="0" borderId="53" xfId="0" applyNumberFormat="1" applyFont="1" applyBorder="1" applyAlignment="1">
      <alignment horizontal="right" vertical="center"/>
    </xf>
    <xf numFmtId="6" fontId="12" fillId="0" borderId="50" xfId="0" applyNumberFormat="1" applyFont="1" applyBorder="1" applyAlignment="1">
      <alignment horizontal="right" vertical="center"/>
    </xf>
    <xf numFmtId="0" fontId="12" fillId="0" borderId="51" xfId="0" applyFont="1" applyBorder="1" applyAlignment="1">
      <alignment horizontal="right" vertical="center"/>
    </xf>
    <xf numFmtId="0" fontId="12" fillId="0" borderId="54" xfId="0" applyFont="1" applyBorder="1" applyAlignment="1">
      <alignment horizontal="right" vertical="center"/>
    </xf>
    <xf numFmtId="0" fontId="13" fillId="0" borderId="42" xfId="0" applyFont="1" applyBorder="1" applyAlignment="1">
      <alignment horizontal="right" vertical="center"/>
    </xf>
    <xf numFmtId="0" fontId="13" fillId="0" borderId="46" xfId="0" applyFont="1" applyBorder="1" applyAlignment="1">
      <alignment horizontal="right" vertical="center"/>
    </xf>
    <xf numFmtId="0" fontId="12" fillId="0" borderId="50" xfId="0" applyFont="1" applyBorder="1" applyAlignment="1">
      <alignment horizontal="right" vertical="center"/>
    </xf>
    <xf numFmtId="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6" fontId="13" fillId="0" borderId="36" xfId="0" applyNumberFormat="1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6" fontId="12" fillId="0" borderId="36" xfId="0" applyNumberFormat="1" applyFont="1" applyBorder="1" applyAlignment="1">
      <alignment horizontal="right" vertical="center"/>
    </xf>
    <xf numFmtId="6" fontId="13" fillId="0" borderId="0" xfId="0" applyNumberFormat="1" applyFont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3" fontId="12" fillId="0" borderId="47" xfId="0" applyNumberFormat="1" applyFont="1" applyBorder="1" applyAlignment="1">
      <alignment horizontal="right" vertical="center"/>
    </xf>
    <xf numFmtId="6" fontId="12" fillId="0" borderId="48" xfId="0" applyNumberFormat="1" applyFont="1" applyBorder="1" applyAlignment="1">
      <alignment horizontal="right" vertical="center"/>
    </xf>
    <xf numFmtId="6" fontId="12" fillId="0" borderId="44" xfId="0" applyNumberFormat="1" applyFont="1" applyBorder="1" applyAlignment="1">
      <alignment horizontal="right" vertical="center"/>
    </xf>
    <xf numFmtId="6" fontId="12" fillId="0" borderId="42" xfId="0" applyNumberFormat="1" applyFont="1" applyBorder="1" applyAlignment="1">
      <alignment horizontal="right" vertical="center"/>
    </xf>
    <xf numFmtId="0" fontId="12" fillId="0" borderId="45" xfId="0" applyFont="1" applyBorder="1" applyAlignment="1">
      <alignment horizontal="right" vertical="center"/>
    </xf>
    <xf numFmtId="0" fontId="13" fillId="0" borderId="55" xfId="0" applyFont="1" applyBorder="1" applyAlignment="1">
      <alignment horizontal="center" vertical="center"/>
    </xf>
    <xf numFmtId="3" fontId="13" fillId="0" borderId="56" xfId="0" applyNumberFormat="1" applyFont="1" applyBorder="1" applyAlignment="1">
      <alignment horizontal="right" vertical="center"/>
    </xf>
    <xf numFmtId="6" fontId="13" fillId="0" borderId="57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/>
    </xf>
    <xf numFmtId="6" fontId="0" fillId="0" borderId="7" xfId="0" applyNumberFormat="1" applyBorder="1"/>
    <xf numFmtId="6" fontId="0" fillId="0" borderId="10" xfId="0" applyNumberFormat="1" applyBorder="1"/>
    <xf numFmtId="6" fontId="0" fillId="0" borderId="71" xfId="0" applyNumberFormat="1" applyBorder="1"/>
    <xf numFmtId="6" fontId="13" fillId="0" borderId="74" xfId="0" applyNumberFormat="1" applyFont="1" applyBorder="1" applyAlignment="1">
      <alignment horizontal="right" vertical="center"/>
    </xf>
    <xf numFmtId="6" fontId="13" fillId="0" borderId="73" xfId="0" applyNumberFormat="1" applyFont="1" applyBorder="1" applyAlignment="1">
      <alignment horizontal="right" vertical="center"/>
    </xf>
    <xf numFmtId="168" fontId="13" fillId="0" borderId="27" xfId="0" applyNumberFormat="1" applyFont="1" applyBorder="1" applyAlignment="1">
      <alignment horizontal="right" vertical="center"/>
    </xf>
    <xf numFmtId="0" fontId="0" fillId="0" borderId="0" xfId="0" applyBorder="1"/>
    <xf numFmtId="168" fontId="12" fillId="0" borderId="51" xfId="0" applyNumberFormat="1" applyFont="1" applyBorder="1" applyAlignment="1">
      <alignment horizontal="right" vertical="center"/>
    </xf>
    <xf numFmtId="3" fontId="12" fillId="0" borderId="52" xfId="0" applyNumberFormat="1" applyFont="1" applyBorder="1" applyAlignment="1">
      <alignment horizontal="right" vertical="center"/>
    </xf>
    <xf numFmtId="4" fontId="13" fillId="0" borderId="43" xfId="0" applyNumberFormat="1" applyFont="1" applyBorder="1" applyAlignment="1">
      <alignment horizontal="right" vertical="center"/>
    </xf>
    <xf numFmtId="4" fontId="13" fillId="0" borderId="48" xfId="0" applyNumberFormat="1" applyFont="1" applyBorder="1" applyAlignment="1">
      <alignment horizontal="right" vertical="center"/>
    </xf>
    <xf numFmtId="44" fontId="13" fillId="0" borderId="43" xfId="1" applyFont="1" applyBorder="1" applyAlignment="1">
      <alignment horizontal="right" vertical="center"/>
    </xf>
    <xf numFmtId="44" fontId="13" fillId="0" borderId="48" xfId="1" applyFont="1" applyBorder="1" applyAlignment="1">
      <alignment horizontal="right" vertical="center"/>
    </xf>
    <xf numFmtId="6" fontId="13" fillId="0" borderId="24" xfId="0" applyNumberFormat="1" applyFont="1" applyBorder="1" applyAlignment="1">
      <alignment vertical="center"/>
    </xf>
    <xf numFmtId="6" fontId="12" fillId="0" borderId="24" xfId="0" applyNumberFormat="1" applyFont="1" applyBorder="1" applyAlignment="1">
      <alignment vertical="center"/>
    </xf>
    <xf numFmtId="6" fontId="12" fillId="0" borderId="61" xfId="0" applyNumberFormat="1" applyFont="1" applyBorder="1" applyAlignment="1">
      <alignment vertical="center"/>
    </xf>
    <xf numFmtId="6" fontId="13" fillId="0" borderId="23" xfId="0" applyNumberFormat="1" applyFont="1" applyBorder="1" applyAlignment="1">
      <alignment vertical="center"/>
    </xf>
    <xf numFmtId="6" fontId="12" fillId="0" borderId="23" xfId="0" applyNumberFormat="1" applyFont="1" applyBorder="1" applyAlignment="1">
      <alignment vertical="center"/>
    </xf>
    <xf numFmtId="6" fontId="12" fillId="0" borderId="51" xfId="0" applyNumberFormat="1" applyFont="1" applyBorder="1" applyAlignment="1">
      <alignment vertical="center"/>
    </xf>
    <xf numFmtId="2" fontId="13" fillId="0" borderId="27" xfId="1" applyNumberFormat="1" applyFont="1" applyBorder="1" applyAlignment="1">
      <alignment horizontal="right" vertical="center"/>
    </xf>
    <xf numFmtId="2" fontId="12" fillId="0" borderId="2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36" xfId="0" applyFont="1" applyBorder="1" applyAlignment="1">
      <alignment horizont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6" fontId="13" fillId="0" borderId="24" xfId="0" applyNumberFormat="1" applyFont="1" applyBorder="1" applyAlignment="1">
      <alignment horizontal="center" vertical="center"/>
    </xf>
    <xf numFmtId="6" fontId="13" fillId="0" borderId="26" xfId="0" applyNumberFormat="1" applyFont="1" applyBorder="1" applyAlignment="1">
      <alignment horizontal="center" vertical="center"/>
    </xf>
    <xf numFmtId="6" fontId="12" fillId="0" borderId="24" xfId="0" applyNumberFormat="1" applyFont="1" applyBorder="1" applyAlignment="1">
      <alignment horizontal="center" vertical="center"/>
    </xf>
    <xf numFmtId="6" fontId="12" fillId="0" borderId="26" xfId="0" applyNumberFormat="1" applyFont="1" applyBorder="1" applyAlignment="1">
      <alignment horizontal="center" vertical="center"/>
    </xf>
    <xf numFmtId="6" fontId="12" fillId="0" borderId="61" xfId="0" applyNumberFormat="1" applyFont="1" applyBorder="1" applyAlignment="1">
      <alignment horizontal="center" vertical="center"/>
    </xf>
    <xf numFmtId="6" fontId="12" fillId="0" borderId="52" xfId="0" applyNumberFormat="1" applyFont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72" xfId="0" applyFont="1" applyFill="1" applyBorder="1" applyAlignment="1">
      <alignment horizontal="center" vertical="center" wrapText="1"/>
    </xf>
    <xf numFmtId="0" fontId="14" fillId="3" borderId="73" xfId="0" applyFont="1" applyFill="1" applyBorder="1" applyAlignment="1">
      <alignment horizontal="center" vertical="center" wrapText="1"/>
    </xf>
    <xf numFmtId="0" fontId="14" fillId="3" borderId="59" xfId="0" applyFont="1" applyFill="1" applyBorder="1" applyAlignment="1">
      <alignment horizontal="center" vertical="center" wrapText="1"/>
    </xf>
    <xf numFmtId="0" fontId="14" fillId="3" borderId="60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35" xfId="0" applyBorder="1" applyAlignment="1">
      <alignment horizontal="center"/>
    </xf>
    <xf numFmtId="0" fontId="11" fillId="0" borderId="0" xfId="0" applyFont="1" applyAlignment="1">
      <alignment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3" xfId="0" applyBorder="1" applyAlignment="1">
      <alignment horizontal="center"/>
    </xf>
    <xf numFmtId="0" fontId="13" fillId="0" borderId="0" xfId="0" applyFont="1" applyAlignment="1">
      <alignment vertical="center"/>
    </xf>
    <xf numFmtId="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58" xfId="0" applyFont="1" applyBorder="1" applyAlignment="1">
      <alignment vertical="center"/>
    </xf>
    <xf numFmtId="0" fontId="13" fillId="0" borderId="40" xfId="0" applyFont="1" applyBorder="1" applyAlignment="1">
      <alignment vertical="center"/>
    </xf>
    <xf numFmtId="6" fontId="13" fillId="0" borderId="24" xfId="0" applyNumberFormat="1" applyFont="1" applyBorder="1" applyAlignment="1">
      <alignment horizontal="right" vertical="center"/>
    </xf>
    <xf numFmtId="6" fontId="13" fillId="0" borderId="26" xfId="0" applyNumberFormat="1" applyFont="1" applyBorder="1" applyAlignment="1">
      <alignment horizontal="right" vertical="center"/>
    </xf>
    <xf numFmtId="6" fontId="12" fillId="0" borderId="61" xfId="0" applyNumberFormat="1" applyFont="1" applyBorder="1" applyAlignment="1">
      <alignment horizontal="right" vertical="center"/>
    </xf>
    <xf numFmtId="6" fontId="12" fillId="0" borderId="52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4" fillId="3" borderId="75" xfId="0" applyFont="1" applyFill="1" applyBorder="1" applyAlignment="1">
      <alignment horizontal="center" vertical="center" wrapText="1"/>
    </xf>
    <xf numFmtId="0" fontId="14" fillId="3" borderId="76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1" fontId="0" fillId="0" borderId="9" xfId="1" applyNumberFormat="1" applyFont="1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440454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7B0503-F05D-4AEE-BE8E-EA43091F2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63625" cy="4198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4646-0AB6-4004-82A1-60D7B2F39276}">
  <dimension ref="A2:L71"/>
  <sheetViews>
    <sheetView topLeftCell="A13" zoomScale="97" zoomScaleNormal="97" workbookViewId="0">
      <selection activeCell="N28" sqref="N28"/>
    </sheetView>
  </sheetViews>
  <sheetFormatPr baseColWidth="10" defaultRowHeight="15.05" x14ac:dyDescent="0.3"/>
  <cols>
    <col min="2" max="2" width="12.77734375" bestFit="1" customWidth="1"/>
    <col min="4" max="4" width="13.33203125" customWidth="1"/>
    <col min="5" max="5" width="15.21875" customWidth="1"/>
    <col min="6" max="6" width="12.77734375" bestFit="1" customWidth="1"/>
    <col min="7" max="7" width="17.33203125" bestFit="1" customWidth="1"/>
    <col min="8" max="8" width="14.109375" customWidth="1"/>
    <col min="9" max="9" width="15.44140625" customWidth="1"/>
    <col min="10" max="10" width="12.77734375" bestFit="1" customWidth="1"/>
  </cols>
  <sheetData>
    <row r="2" spans="1:11" ht="15.65" x14ac:dyDescent="0.3">
      <c r="A2" s="2" t="s">
        <v>0</v>
      </c>
      <c r="B2" s="3"/>
      <c r="C2" s="3"/>
      <c r="D2" s="3"/>
      <c r="E2" s="3"/>
      <c r="F2" s="3"/>
      <c r="G2" s="3"/>
      <c r="H2" s="3"/>
    </row>
    <row r="3" spans="1:11" ht="15.65" x14ac:dyDescent="0.3">
      <c r="A3" s="2" t="s">
        <v>1</v>
      </c>
      <c r="B3" s="3"/>
      <c r="C3" s="3"/>
      <c r="D3" s="3"/>
      <c r="E3" s="3"/>
      <c r="F3" s="3"/>
      <c r="G3" s="3"/>
      <c r="H3" s="3"/>
    </row>
    <row r="4" spans="1:11" ht="15.65" x14ac:dyDescent="0.3">
      <c r="A4" s="2"/>
      <c r="B4" s="3"/>
      <c r="C4" s="3"/>
      <c r="D4" s="3"/>
      <c r="E4" s="3"/>
      <c r="F4" s="3"/>
      <c r="G4" s="3"/>
      <c r="H4" s="3"/>
    </row>
    <row r="5" spans="1:11" x14ac:dyDescent="0.3">
      <c r="A5" s="3"/>
      <c r="B5" s="3"/>
      <c r="C5" s="3"/>
      <c r="D5" s="3"/>
      <c r="E5" s="3"/>
      <c r="F5" s="3"/>
      <c r="G5" s="3"/>
      <c r="H5" s="3"/>
    </row>
    <row r="6" spans="1:11" ht="47" x14ac:dyDescent="0.3">
      <c r="A6" s="3"/>
      <c r="B6" s="7" t="s">
        <v>2</v>
      </c>
      <c r="C6" s="8" t="s">
        <v>6</v>
      </c>
      <c r="D6" s="8" t="s">
        <v>7</v>
      </c>
      <c r="E6" s="8" t="s">
        <v>8</v>
      </c>
      <c r="F6" s="3"/>
      <c r="G6" s="3"/>
      <c r="H6" s="3"/>
    </row>
    <row r="7" spans="1:11" ht="15.65" x14ac:dyDescent="0.3">
      <c r="A7" s="2"/>
      <c r="B7" s="4" t="s">
        <v>3</v>
      </c>
      <c r="C7" s="5">
        <v>90000</v>
      </c>
      <c r="D7" s="4">
        <v>2.5</v>
      </c>
      <c r="E7" s="4">
        <v>1</v>
      </c>
      <c r="F7" s="3"/>
      <c r="G7" s="3"/>
      <c r="H7" s="3"/>
    </row>
    <row r="8" spans="1:11" x14ac:dyDescent="0.3">
      <c r="A8" s="3"/>
      <c r="B8" s="4" t="s">
        <v>4</v>
      </c>
      <c r="C8" s="5">
        <v>55000</v>
      </c>
      <c r="D8" s="4">
        <v>1.55</v>
      </c>
      <c r="E8" s="4">
        <v>0.8</v>
      </c>
      <c r="F8" s="3"/>
      <c r="G8" s="3"/>
      <c r="H8" s="3"/>
    </row>
    <row r="9" spans="1:11" x14ac:dyDescent="0.3">
      <c r="A9" s="3"/>
      <c r="B9" s="4" t="s">
        <v>5</v>
      </c>
      <c r="C9" s="5">
        <v>10000</v>
      </c>
      <c r="D9" s="4">
        <v>0.95</v>
      </c>
      <c r="E9" s="4">
        <v>0</v>
      </c>
      <c r="F9" s="3"/>
      <c r="G9" s="3"/>
      <c r="H9" s="3"/>
    </row>
    <row r="10" spans="1:11" x14ac:dyDescent="0.3">
      <c r="I10" s="9"/>
    </row>
    <row r="11" spans="1:11" ht="15.65" x14ac:dyDescent="0.3">
      <c r="A11" s="2" t="s">
        <v>9</v>
      </c>
    </row>
    <row r="13" spans="1:11" x14ac:dyDescent="0.3">
      <c r="A13" s="6" t="s">
        <v>27</v>
      </c>
    </row>
    <row r="14" spans="1:11" x14ac:dyDescent="0.3">
      <c r="A14" s="17" t="s">
        <v>25</v>
      </c>
      <c r="B14" s="14">
        <v>156000</v>
      </c>
    </row>
    <row r="15" spans="1:11" s="10" customFormat="1" ht="15.65" thickBot="1" x14ac:dyDescent="0.35">
      <c r="C15" s="10" t="s">
        <v>15</v>
      </c>
      <c r="D15" s="10" t="s">
        <v>16</v>
      </c>
      <c r="E15" s="10" t="s">
        <v>17</v>
      </c>
      <c r="F15" s="10" t="s">
        <v>18</v>
      </c>
      <c r="G15" s="10" t="s">
        <v>19</v>
      </c>
      <c r="H15" s="10" t="s">
        <v>22</v>
      </c>
      <c r="I15" s="10" t="s">
        <v>23</v>
      </c>
      <c r="J15" s="10" t="s">
        <v>20</v>
      </c>
      <c r="K15" s="10" t="s">
        <v>21</v>
      </c>
    </row>
    <row r="16" spans="1:11" ht="68.25" customHeight="1" x14ac:dyDescent="0.3">
      <c r="B16" s="22" t="s">
        <v>2</v>
      </c>
      <c r="C16" s="23" t="s">
        <v>6</v>
      </c>
      <c r="D16" s="23" t="s">
        <v>7</v>
      </c>
      <c r="E16" s="24" t="s">
        <v>8</v>
      </c>
      <c r="F16" s="20" t="s">
        <v>10</v>
      </c>
      <c r="G16" s="11" t="s">
        <v>28</v>
      </c>
      <c r="H16" s="11" t="s">
        <v>11</v>
      </c>
      <c r="I16" s="11" t="s">
        <v>12</v>
      </c>
      <c r="J16" s="11" t="s">
        <v>13</v>
      </c>
      <c r="K16" s="11" t="s">
        <v>14</v>
      </c>
    </row>
    <row r="17" spans="1:12" x14ac:dyDescent="0.3">
      <c r="B17" s="25" t="s">
        <v>3</v>
      </c>
      <c r="C17" s="5">
        <v>90000</v>
      </c>
      <c r="D17" s="4">
        <v>2.5</v>
      </c>
      <c r="E17" s="26">
        <v>1</v>
      </c>
      <c r="F17" s="21">
        <f>+C17*D17</f>
        <v>225000</v>
      </c>
      <c r="G17" s="13">
        <f>+C17*E17</f>
        <v>90000</v>
      </c>
      <c r="H17" s="43">
        <f>+F17/$F$20</f>
        <v>0.7036747458952306</v>
      </c>
      <c r="I17" s="18">
        <f>+$B$14*H17</f>
        <v>109773.26035965598</v>
      </c>
      <c r="J17" s="16">
        <f>+G17+I17</f>
        <v>199773.26035965598</v>
      </c>
      <c r="K17" s="47">
        <f>+J17/C17</f>
        <v>2.2197028928850666</v>
      </c>
    </row>
    <row r="18" spans="1:12" x14ac:dyDescent="0.3">
      <c r="B18" s="25" t="s">
        <v>4</v>
      </c>
      <c r="C18" s="5">
        <v>55000</v>
      </c>
      <c r="D18" s="4">
        <v>1.55</v>
      </c>
      <c r="E18" s="26">
        <v>0.8</v>
      </c>
      <c r="F18" s="21">
        <f t="shared" ref="F18:F19" si="0">+C18*D18</f>
        <v>85250</v>
      </c>
      <c r="G18" s="13">
        <f t="shared" ref="G18:G19" si="1">+C18*E18</f>
        <v>44000</v>
      </c>
      <c r="H18" s="43">
        <f t="shared" ref="H18:H19" si="2">+F18/$F$20</f>
        <v>0.26661454261141515</v>
      </c>
      <c r="I18" s="18">
        <f t="shared" ref="I18:I19" si="3">+$B$14*H18</f>
        <v>41591.868647380761</v>
      </c>
      <c r="J18" s="16">
        <f t="shared" ref="J18:J19" si="4">+G18+I18</f>
        <v>85591.868647380761</v>
      </c>
      <c r="K18" s="47">
        <f t="shared" ref="K18:K19" si="5">+J18/C18</f>
        <v>1.5562157935887411</v>
      </c>
    </row>
    <row r="19" spans="1:12" ht="15.65" thickBot="1" x14ac:dyDescent="0.35">
      <c r="B19" s="27" t="s">
        <v>5</v>
      </c>
      <c r="C19" s="28">
        <v>10000</v>
      </c>
      <c r="D19" s="29">
        <v>0.95</v>
      </c>
      <c r="E19" s="30">
        <v>0</v>
      </c>
      <c r="F19" s="21">
        <f t="shared" si="0"/>
        <v>9500</v>
      </c>
      <c r="G19" s="13">
        <f t="shared" si="1"/>
        <v>0</v>
      </c>
      <c r="H19" s="43">
        <f t="shared" si="2"/>
        <v>2.9710711493354185E-2</v>
      </c>
      <c r="I19" s="18">
        <f t="shared" si="3"/>
        <v>4634.8709929632532</v>
      </c>
      <c r="J19" s="16">
        <f t="shared" si="4"/>
        <v>4634.8709929632532</v>
      </c>
      <c r="K19" s="47">
        <f t="shared" si="5"/>
        <v>0.46348709929632531</v>
      </c>
    </row>
    <row r="20" spans="1:12" x14ac:dyDescent="0.3">
      <c r="E20" s="12" t="s">
        <v>24</v>
      </c>
      <c r="F20" s="14">
        <f>SUM(F17:F19)</f>
        <v>319750</v>
      </c>
      <c r="H20" s="44">
        <f>SUM(H17:H19)</f>
        <v>0.99999999999999989</v>
      </c>
      <c r="I20" s="19">
        <f>SUM(I17:I19)</f>
        <v>156000</v>
      </c>
    </row>
    <row r="24" spans="1:12" x14ac:dyDescent="0.3">
      <c r="A24" s="6" t="s">
        <v>26</v>
      </c>
    </row>
    <row r="26" spans="1:12" x14ac:dyDescent="0.3">
      <c r="A26" s="17" t="s">
        <v>25</v>
      </c>
      <c r="B26" s="14">
        <v>156000</v>
      </c>
    </row>
    <row r="27" spans="1:12" ht="15.65" thickBot="1" x14ac:dyDescent="0.35">
      <c r="A27" s="10"/>
      <c r="B27" s="10"/>
      <c r="C27" s="10" t="s">
        <v>15</v>
      </c>
      <c r="D27" s="10" t="s">
        <v>16</v>
      </c>
      <c r="E27" s="10" t="s">
        <v>17</v>
      </c>
      <c r="F27" s="10" t="s">
        <v>18</v>
      </c>
      <c r="G27" s="10" t="s">
        <v>19</v>
      </c>
      <c r="H27" s="10" t="s">
        <v>30</v>
      </c>
      <c r="I27" s="10" t="s">
        <v>31</v>
      </c>
      <c r="J27" s="10" t="s">
        <v>32</v>
      </c>
      <c r="K27" s="10" t="s">
        <v>33</v>
      </c>
      <c r="L27" s="10" t="s">
        <v>34</v>
      </c>
    </row>
    <row r="28" spans="1:12" ht="62.65" x14ac:dyDescent="0.3">
      <c r="B28" s="22" t="s">
        <v>2</v>
      </c>
      <c r="C28" s="23" t="s">
        <v>6</v>
      </c>
      <c r="D28" s="23" t="s">
        <v>7</v>
      </c>
      <c r="E28" s="24" t="s">
        <v>8</v>
      </c>
      <c r="F28" s="20" t="s">
        <v>10</v>
      </c>
      <c r="G28" s="11" t="s">
        <v>28</v>
      </c>
      <c r="H28" s="11" t="s">
        <v>29</v>
      </c>
      <c r="I28" s="11" t="s">
        <v>11</v>
      </c>
      <c r="J28" s="11" t="s">
        <v>12</v>
      </c>
      <c r="K28" s="11" t="s">
        <v>13</v>
      </c>
      <c r="L28" s="11" t="s">
        <v>14</v>
      </c>
    </row>
    <row r="29" spans="1:12" x14ac:dyDescent="0.3">
      <c r="B29" s="25" t="s">
        <v>3</v>
      </c>
      <c r="C29" s="5">
        <v>90000</v>
      </c>
      <c r="D29" s="4">
        <v>2.5</v>
      </c>
      <c r="E29" s="26">
        <v>1</v>
      </c>
      <c r="F29" s="21">
        <f>+C29*D29</f>
        <v>225000</v>
      </c>
      <c r="G29" s="13">
        <f>+C29*E29</f>
        <v>90000</v>
      </c>
      <c r="H29" s="15">
        <f>+F29-G29</f>
        <v>135000</v>
      </c>
      <c r="I29" s="45">
        <f>+H29/$H$32</f>
        <v>0.72678331090174964</v>
      </c>
      <c r="J29" s="15">
        <f>+I29*$B$26</f>
        <v>113378.19650067294</v>
      </c>
      <c r="K29" s="15">
        <f>+G29+J29</f>
        <v>203378.19650067296</v>
      </c>
      <c r="L29" s="47">
        <f>+K29/C29</f>
        <v>2.2597577388963663</v>
      </c>
    </row>
    <row r="30" spans="1:12" x14ac:dyDescent="0.3">
      <c r="B30" s="25" t="s">
        <v>4</v>
      </c>
      <c r="C30" s="5">
        <v>55000</v>
      </c>
      <c r="D30" s="4">
        <v>1.55</v>
      </c>
      <c r="E30" s="26">
        <v>0.8</v>
      </c>
      <c r="F30" s="21">
        <f t="shared" ref="F30:F31" si="6">+C30*D30</f>
        <v>85250</v>
      </c>
      <c r="G30" s="13">
        <f t="shared" ref="G30:G31" si="7">+C30*E30</f>
        <v>44000</v>
      </c>
      <c r="H30" s="15">
        <f t="shared" ref="H30:H31" si="8">+F30-G30</f>
        <v>41250</v>
      </c>
      <c r="I30" s="45">
        <f t="shared" ref="I30:I31" si="9">+H30/$H$32</f>
        <v>0.22207267833109018</v>
      </c>
      <c r="J30" s="15">
        <f t="shared" ref="J30:J31" si="10">+I30*$B$26</f>
        <v>34643.337819650071</v>
      </c>
      <c r="K30" s="15">
        <f t="shared" ref="K30:K31" si="11">+G30+J30</f>
        <v>78643.337819650071</v>
      </c>
      <c r="L30" s="47">
        <f t="shared" ref="L30:L31" si="12">+K30/C30</f>
        <v>1.4298788694481832</v>
      </c>
    </row>
    <row r="31" spans="1:12" ht="15.65" thickBot="1" x14ac:dyDescent="0.35">
      <c r="B31" s="27" t="s">
        <v>5</v>
      </c>
      <c r="C31" s="28">
        <v>10000</v>
      </c>
      <c r="D31" s="29">
        <v>0.95</v>
      </c>
      <c r="E31" s="30">
        <v>0</v>
      </c>
      <c r="F31" s="21">
        <f t="shared" si="6"/>
        <v>9500</v>
      </c>
      <c r="G31" s="13">
        <f t="shared" si="7"/>
        <v>0</v>
      </c>
      <c r="H31" s="15">
        <f t="shared" si="8"/>
        <v>9500</v>
      </c>
      <c r="I31" s="45">
        <f t="shared" si="9"/>
        <v>5.1144010767160158E-2</v>
      </c>
      <c r="J31" s="15">
        <f t="shared" si="10"/>
        <v>7978.465679676985</v>
      </c>
      <c r="K31" s="15">
        <f t="shared" si="11"/>
        <v>7978.465679676985</v>
      </c>
      <c r="L31" s="47">
        <f t="shared" si="12"/>
        <v>0.79784656796769848</v>
      </c>
    </row>
    <row r="32" spans="1:12" x14ac:dyDescent="0.3">
      <c r="E32" s="12"/>
      <c r="F32" s="14"/>
      <c r="G32" s="12" t="s">
        <v>24</v>
      </c>
      <c r="H32" s="31">
        <f>SUM(H29:H31)</f>
        <v>185750</v>
      </c>
      <c r="I32" s="46">
        <f>SUM(I29:I31)</f>
        <v>1</v>
      </c>
      <c r="J32" s="31">
        <f>SUM(J29:J31)</f>
        <v>156000</v>
      </c>
    </row>
    <row r="36" spans="1:6" x14ac:dyDescent="0.3">
      <c r="A36" s="6" t="s">
        <v>35</v>
      </c>
    </row>
    <row r="37" spans="1:6" x14ac:dyDescent="0.3">
      <c r="A37" t="s">
        <v>36</v>
      </c>
    </row>
    <row r="38" spans="1:6" x14ac:dyDescent="0.3">
      <c r="A38" t="s">
        <v>37</v>
      </c>
    </row>
    <row r="40" spans="1:6" x14ac:dyDescent="0.3">
      <c r="E40" s="33" t="s">
        <v>4</v>
      </c>
      <c r="F40" s="34" t="s">
        <v>5</v>
      </c>
    </row>
    <row r="41" spans="1:6" x14ac:dyDescent="0.3">
      <c r="B41" s="32" t="s">
        <v>10</v>
      </c>
      <c r="C41" s="32"/>
      <c r="D41" s="32"/>
      <c r="E41" s="35">
        <f>+F30</f>
        <v>85250</v>
      </c>
      <c r="F41" s="36">
        <f>+F31</f>
        <v>9500</v>
      </c>
    </row>
    <row r="42" spans="1:6" x14ac:dyDescent="0.3">
      <c r="B42" s="32" t="s">
        <v>38</v>
      </c>
      <c r="C42" s="32"/>
      <c r="D42" s="32"/>
      <c r="E42" s="37">
        <f>-0.3*E41</f>
        <v>-25575</v>
      </c>
      <c r="F42" s="38">
        <f>-0.3*F41</f>
        <v>-2850</v>
      </c>
    </row>
    <row r="43" spans="1:6" x14ac:dyDescent="0.3">
      <c r="B43" s="32" t="s">
        <v>39</v>
      </c>
      <c r="C43" s="32"/>
      <c r="D43" s="32"/>
      <c r="E43" s="41">
        <f>+E41+E42</f>
        <v>59675</v>
      </c>
      <c r="F43" s="42">
        <f>+F41+F42</f>
        <v>6650</v>
      </c>
    </row>
    <row r="44" spans="1:6" x14ac:dyDescent="0.3">
      <c r="B44" s="32" t="s">
        <v>40</v>
      </c>
      <c r="C44" s="32"/>
      <c r="D44" s="32"/>
      <c r="E44" s="37">
        <f>-G30</f>
        <v>-44000</v>
      </c>
      <c r="F44" s="38">
        <f>-G31</f>
        <v>0</v>
      </c>
    </row>
    <row r="45" spans="1:6" x14ac:dyDescent="0.3">
      <c r="C45" s="190" t="s">
        <v>41</v>
      </c>
      <c r="D45" s="190"/>
      <c r="E45" s="39">
        <f>+E43+E44</f>
        <v>15675</v>
      </c>
      <c r="F45" s="39">
        <f>+F43+F44</f>
        <v>6650</v>
      </c>
    </row>
    <row r="47" spans="1:6" x14ac:dyDescent="0.3">
      <c r="B47" s="32" t="s">
        <v>42</v>
      </c>
    </row>
    <row r="48" spans="1:6" x14ac:dyDescent="0.3">
      <c r="D48" t="s">
        <v>43</v>
      </c>
      <c r="E48" s="31">
        <f>+B53</f>
        <v>156000</v>
      </c>
    </row>
    <row r="49" spans="1:10" x14ac:dyDescent="0.3">
      <c r="C49" s="191" t="s">
        <v>44</v>
      </c>
      <c r="D49" s="191"/>
      <c r="E49" s="31">
        <f>-E45</f>
        <v>-15675</v>
      </c>
    </row>
    <row r="50" spans="1:10" x14ac:dyDescent="0.3">
      <c r="C50" s="191" t="s">
        <v>45</v>
      </c>
      <c r="D50" s="191"/>
      <c r="E50" s="40">
        <f>-F45</f>
        <v>-6650</v>
      </c>
    </row>
    <row r="51" spans="1:10" x14ac:dyDescent="0.3">
      <c r="C51" s="191" t="s">
        <v>46</v>
      </c>
      <c r="D51" s="191"/>
      <c r="E51" s="31">
        <f>+E48+E49+E50</f>
        <v>133675</v>
      </c>
    </row>
    <row r="53" spans="1:10" x14ac:dyDescent="0.3">
      <c r="A53" s="17" t="s">
        <v>25</v>
      </c>
      <c r="B53" s="14">
        <v>156000</v>
      </c>
    </row>
    <row r="54" spans="1:10" ht="15.65" thickBot="1" x14ac:dyDescent="0.35">
      <c r="A54" s="10"/>
      <c r="B54" s="10"/>
      <c r="C54" s="10" t="s">
        <v>15</v>
      </c>
      <c r="D54" s="10" t="s">
        <v>16</v>
      </c>
      <c r="E54" s="10" t="s">
        <v>17</v>
      </c>
      <c r="F54" s="10" t="s">
        <v>18</v>
      </c>
      <c r="G54" s="10" t="s">
        <v>19</v>
      </c>
      <c r="H54" s="10" t="s">
        <v>47</v>
      </c>
      <c r="I54" s="10" t="s">
        <v>48</v>
      </c>
      <c r="J54" s="10" t="s">
        <v>49</v>
      </c>
    </row>
    <row r="55" spans="1:10" ht="62.65" x14ac:dyDescent="0.3">
      <c r="B55" s="22" t="s">
        <v>2</v>
      </c>
      <c r="C55" s="23" t="s">
        <v>6</v>
      </c>
      <c r="D55" s="23" t="s">
        <v>7</v>
      </c>
      <c r="E55" s="24" t="s">
        <v>8</v>
      </c>
      <c r="F55" s="20" t="s">
        <v>10</v>
      </c>
      <c r="G55" s="11" t="s">
        <v>28</v>
      </c>
      <c r="H55" s="11" t="s">
        <v>12</v>
      </c>
      <c r="I55" s="11" t="s">
        <v>13</v>
      </c>
      <c r="J55" s="11" t="s">
        <v>14</v>
      </c>
    </row>
    <row r="56" spans="1:10" x14ac:dyDescent="0.3">
      <c r="B56" s="25" t="s">
        <v>3</v>
      </c>
      <c r="C56" s="5">
        <v>90000</v>
      </c>
      <c r="D56" s="4">
        <v>2.5</v>
      </c>
      <c r="E56" s="26">
        <v>1</v>
      </c>
      <c r="F56" s="21">
        <f>+C56*D56</f>
        <v>225000</v>
      </c>
      <c r="G56" s="13">
        <f>+C56*E56</f>
        <v>90000</v>
      </c>
      <c r="H56" s="15">
        <f>+E51</f>
        <v>133675</v>
      </c>
      <c r="I56" s="15">
        <f>+G56+H56</f>
        <v>223675</v>
      </c>
      <c r="J56" s="47">
        <f>+I56/C56</f>
        <v>2.4852777777777777</v>
      </c>
    </row>
    <row r="57" spans="1:10" x14ac:dyDescent="0.3">
      <c r="B57" s="25" t="s">
        <v>4</v>
      </c>
      <c r="C57" s="5">
        <v>55000</v>
      </c>
      <c r="D57" s="4">
        <v>1.55</v>
      </c>
      <c r="E57" s="26">
        <v>0.8</v>
      </c>
      <c r="F57" s="21">
        <f t="shared" ref="F57:F58" si="13">+C57*D57</f>
        <v>85250</v>
      </c>
      <c r="G57" s="13">
        <f t="shared" ref="G57:G58" si="14">+C57*E57</f>
        <v>44000</v>
      </c>
      <c r="H57" s="15">
        <f>+E45</f>
        <v>15675</v>
      </c>
      <c r="I57" s="15">
        <f t="shared" ref="I57:I58" si="15">+G57+H57</f>
        <v>59675</v>
      </c>
      <c r="J57" s="47">
        <f t="shared" ref="J57:J58" si="16">+I57/C57</f>
        <v>1.085</v>
      </c>
    </row>
    <row r="58" spans="1:10" ht="15.65" thickBot="1" x14ac:dyDescent="0.35">
      <c r="B58" s="27" t="s">
        <v>5</v>
      </c>
      <c r="C58" s="28">
        <v>10000</v>
      </c>
      <c r="D58" s="29">
        <v>0.95</v>
      </c>
      <c r="E58" s="30">
        <v>0</v>
      </c>
      <c r="F58" s="21">
        <f t="shared" si="13"/>
        <v>9500</v>
      </c>
      <c r="G58" s="13">
        <f t="shared" si="14"/>
        <v>0</v>
      </c>
      <c r="H58" s="15">
        <f>+F45</f>
        <v>6650</v>
      </c>
      <c r="I58" s="15">
        <f t="shared" si="15"/>
        <v>6650</v>
      </c>
      <c r="J58" s="47">
        <f t="shared" si="16"/>
        <v>0.66500000000000004</v>
      </c>
    </row>
    <row r="59" spans="1:10" x14ac:dyDescent="0.3">
      <c r="E59" s="12"/>
      <c r="F59" s="14"/>
      <c r="G59" s="12" t="s">
        <v>24</v>
      </c>
      <c r="H59" s="31">
        <f>SUM(H56:H58)</f>
        <v>156000</v>
      </c>
    </row>
    <row r="63" spans="1:10" x14ac:dyDescent="0.3">
      <c r="A63" s="6" t="s">
        <v>50</v>
      </c>
    </row>
    <row r="65" spans="1:11" x14ac:dyDescent="0.3">
      <c r="A65" s="17" t="s">
        <v>25</v>
      </c>
      <c r="B65" s="14">
        <v>156000</v>
      </c>
    </row>
    <row r="66" spans="1:11" ht="15.65" thickBot="1" x14ac:dyDescent="0.35">
      <c r="A66" s="10"/>
      <c r="B66" s="10"/>
      <c r="C66" s="10" t="s">
        <v>15</v>
      </c>
      <c r="D66" s="10" t="s">
        <v>16</v>
      </c>
      <c r="E66" s="10" t="s">
        <v>17</v>
      </c>
      <c r="F66" s="10" t="s">
        <v>18</v>
      </c>
      <c r="G66" s="10" t="s">
        <v>19</v>
      </c>
      <c r="H66" s="10" t="s">
        <v>51</v>
      </c>
      <c r="I66" s="10" t="s">
        <v>23</v>
      </c>
      <c r="J66" s="10" t="s">
        <v>20</v>
      </c>
      <c r="K66" s="10" t="s">
        <v>21</v>
      </c>
    </row>
    <row r="67" spans="1:11" ht="47" x14ac:dyDescent="0.3">
      <c r="B67" s="22" t="s">
        <v>2</v>
      </c>
      <c r="C67" s="23" t="s">
        <v>6</v>
      </c>
      <c r="D67" s="23" t="s">
        <v>7</v>
      </c>
      <c r="E67" s="24" t="s">
        <v>8</v>
      </c>
      <c r="F67" s="20" t="s">
        <v>10</v>
      </c>
      <c r="G67" s="11" t="s">
        <v>28</v>
      </c>
      <c r="H67" s="11" t="s">
        <v>11</v>
      </c>
      <c r="I67" s="11" t="s">
        <v>12</v>
      </c>
      <c r="J67" s="11" t="s">
        <v>13</v>
      </c>
      <c r="K67" s="11" t="s">
        <v>14</v>
      </c>
    </row>
    <row r="68" spans="1:11" x14ac:dyDescent="0.3">
      <c r="B68" s="25" t="s">
        <v>3</v>
      </c>
      <c r="C68" s="5">
        <v>90000</v>
      </c>
      <c r="D68" s="4">
        <v>2.5</v>
      </c>
      <c r="E68" s="26">
        <v>1</v>
      </c>
      <c r="F68" s="21">
        <f>+C68*D68</f>
        <v>225000</v>
      </c>
      <c r="G68" s="13">
        <f>+C68*E68</f>
        <v>90000</v>
      </c>
      <c r="H68" s="45">
        <f>+C68/$C$71</f>
        <v>0.58064516129032262</v>
      </c>
      <c r="I68" s="18">
        <f>+H68*$B$65</f>
        <v>90580.645161290333</v>
      </c>
      <c r="J68" s="16">
        <f>+G68+I68</f>
        <v>180580.64516129033</v>
      </c>
      <c r="K68" s="47">
        <f>+J68/C68</f>
        <v>2.0064516129032257</v>
      </c>
    </row>
    <row r="69" spans="1:11" x14ac:dyDescent="0.3">
      <c r="B69" s="25" t="s">
        <v>4</v>
      </c>
      <c r="C69" s="5">
        <v>55000</v>
      </c>
      <c r="D69" s="4">
        <v>1.55</v>
      </c>
      <c r="E69" s="26">
        <v>0.8</v>
      </c>
      <c r="F69" s="21">
        <f t="shared" ref="F69:F70" si="17">+C69*D69</f>
        <v>85250</v>
      </c>
      <c r="G69" s="13">
        <f t="shared" ref="G69:G70" si="18">+C69*E69</f>
        <v>44000</v>
      </c>
      <c r="H69" s="45">
        <f t="shared" ref="H69:H70" si="19">+C69/$C$71</f>
        <v>0.35483870967741937</v>
      </c>
      <c r="I69" s="18">
        <f t="shared" ref="I69:I70" si="20">+H69*$B$65</f>
        <v>55354.838709677424</v>
      </c>
      <c r="J69" s="16">
        <f t="shared" ref="J69:J70" si="21">+G69+I69</f>
        <v>99354.838709677424</v>
      </c>
      <c r="K69" s="47">
        <f t="shared" ref="K69:K70" si="22">+J69/C69</f>
        <v>1.806451612903226</v>
      </c>
    </row>
    <row r="70" spans="1:11" ht="15.65" thickBot="1" x14ac:dyDescent="0.35">
      <c r="B70" s="27" t="s">
        <v>5</v>
      </c>
      <c r="C70" s="28">
        <v>10000</v>
      </c>
      <c r="D70" s="29">
        <v>0.95</v>
      </c>
      <c r="E70" s="30">
        <v>0</v>
      </c>
      <c r="F70" s="21">
        <f t="shared" si="17"/>
        <v>9500</v>
      </c>
      <c r="G70" s="13">
        <f t="shared" si="18"/>
        <v>0</v>
      </c>
      <c r="H70" s="45">
        <f t="shared" si="19"/>
        <v>6.4516129032258063E-2</v>
      </c>
      <c r="I70" s="18">
        <f t="shared" si="20"/>
        <v>10064.516129032258</v>
      </c>
      <c r="J70" s="16">
        <f t="shared" si="21"/>
        <v>10064.516129032258</v>
      </c>
      <c r="K70" s="47">
        <f t="shared" si="22"/>
        <v>1.0064516129032257</v>
      </c>
    </row>
    <row r="71" spans="1:11" x14ac:dyDescent="0.3">
      <c r="B71" s="12" t="s">
        <v>24</v>
      </c>
      <c r="C71" s="1">
        <f>SUM(C68:C70)</f>
        <v>155000</v>
      </c>
      <c r="F71" s="14"/>
      <c r="H71" s="46">
        <f>SUM(H68:H70)</f>
        <v>1</v>
      </c>
      <c r="I71" s="19">
        <f>SUM(I68:I70)</f>
        <v>156000</v>
      </c>
    </row>
  </sheetData>
  <mergeCells count="4">
    <mergeCell ref="C45:D45"/>
    <mergeCell ref="C49:D49"/>
    <mergeCell ref="C50:D50"/>
    <mergeCell ref="C51:D5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F211-B447-412B-898D-08E9080E6C9B}">
  <dimension ref="A24:K115"/>
  <sheetViews>
    <sheetView topLeftCell="A99" zoomScale="145" zoomScaleNormal="145" workbookViewId="0">
      <selection activeCell="C68" sqref="C68"/>
    </sheetView>
  </sheetViews>
  <sheetFormatPr baseColWidth="10" defaultRowHeight="15.05" x14ac:dyDescent="0.3"/>
  <cols>
    <col min="2" max="2" width="14.88671875" bestFit="1" customWidth="1"/>
    <col min="3" max="3" width="14.33203125" customWidth="1"/>
    <col min="4" max="4" width="18.77734375" customWidth="1"/>
    <col min="5" max="5" width="13.33203125" bestFit="1" customWidth="1"/>
    <col min="7" max="7" width="13.44140625" bestFit="1" customWidth="1"/>
  </cols>
  <sheetData>
    <row r="24" spans="2:5" ht="15.65" thickBot="1" x14ac:dyDescent="0.35">
      <c r="B24" s="73"/>
      <c r="C24" s="73"/>
      <c r="D24" s="73"/>
      <c r="E24" s="73"/>
    </row>
    <row r="25" spans="2:5" ht="30.7" thickBot="1" x14ac:dyDescent="0.35">
      <c r="B25" s="49" t="s">
        <v>52</v>
      </c>
      <c r="C25" s="50" t="s">
        <v>61</v>
      </c>
      <c r="D25" s="50" t="s">
        <v>62</v>
      </c>
      <c r="E25" s="51" t="s">
        <v>53</v>
      </c>
    </row>
    <row r="26" spans="2:5" x14ac:dyDescent="0.3">
      <c r="B26" s="54">
        <v>1</v>
      </c>
      <c r="C26" s="55" t="s">
        <v>65</v>
      </c>
      <c r="D26" s="55" t="s">
        <v>54</v>
      </c>
      <c r="E26" s="56" t="s">
        <v>55</v>
      </c>
    </row>
    <row r="27" spans="2:5" x14ac:dyDescent="0.3">
      <c r="B27" s="57">
        <v>2</v>
      </c>
      <c r="C27" s="48" t="s">
        <v>66</v>
      </c>
      <c r="D27" s="48" t="s">
        <v>56</v>
      </c>
      <c r="E27" s="58" t="s">
        <v>57</v>
      </c>
    </row>
    <row r="28" spans="2:5" x14ac:dyDescent="0.3">
      <c r="B28" s="57">
        <v>3</v>
      </c>
      <c r="C28" s="48" t="s">
        <v>67</v>
      </c>
      <c r="D28" s="48" t="s">
        <v>58</v>
      </c>
      <c r="E28" s="58" t="s">
        <v>57</v>
      </c>
    </row>
    <row r="29" spans="2:5" x14ac:dyDescent="0.3">
      <c r="B29" s="57" t="s">
        <v>63</v>
      </c>
      <c r="C29" s="48" t="s">
        <v>68</v>
      </c>
      <c r="D29" s="48" t="s">
        <v>59</v>
      </c>
      <c r="E29" s="58" t="s">
        <v>57</v>
      </c>
    </row>
    <row r="30" spans="2:5" ht="15.65" thickBot="1" x14ac:dyDescent="0.35">
      <c r="B30" s="59" t="s">
        <v>64</v>
      </c>
      <c r="C30" s="60" t="s">
        <v>69</v>
      </c>
      <c r="D30" s="60" t="s">
        <v>60</v>
      </c>
      <c r="E30" s="61" t="s">
        <v>57</v>
      </c>
    </row>
    <row r="31" spans="2:5" ht="15.65" thickBot="1" x14ac:dyDescent="0.35"/>
    <row r="32" spans="2:5" ht="15.65" thickBot="1" x14ac:dyDescent="0.35">
      <c r="B32" s="192" t="s">
        <v>86</v>
      </c>
      <c r="C32" s="193"/>
      <c r="D32" s="194"/>
    </row>
    <row r="33" spans="1:4" ht="15.65" thickBot="1" x14ac:dyDescent="0.35">
      <c r="B33" s="49" t="s">
        <v>70</v>
      </c>
      <c r="C33" s="71" t="s">
        <v>71</v>
      </c>
      <c r="D33" s="72" t="s">
        <v>72</v>
      </c>
    </row>
    <row r="34" spans="1:4" x14ac:dyDescent="0.3">
      <c r="B34" s="68" t="s">
        <v>73</v>
      </c>
      <c r="C34" s="69" t="s">
        <v>77</v>
      </c>
      <c r="D34" s="70" t="s">
        <v>79</v>
      </c>
    </row>
    <row r="35" spans="1:4" x14ac:dyDescent="0.3">
      <c r="B35" s="62" t="s">
        <v>74</v>
      </c>
      <c r="C35" s="52" t="s">
        <v>78</v>
      </c>
      <c r="D35" s="63" t="s">
        <v>80</v>
      </c>
    </row>
    <row r="36" spans="1:4" x14ac:dyDescent="0.3">
      <c r="B36" s="62" t="s">
        <v>75</v>
      </c>
      <c r="C36" s="53">
        <v>5500</v>
      </c>
      <c r="D36" s="64">
        <v>5500</v>
      </c>
    </row>
    <row r="37" spans="1:4" ht="15.65" thickBot="1" x14ac:dyDescent="0.35">
      <c r="B37" s="65" t="s">
        <v>76</v>
      </c>
      <c r="C37" s="66">
        <v>16460</v>
      </c>
      <c r="D37" s="67">
        <v>16460</v>
      </c>
    </row>
    <row r="38" spans="1:4" ht="15.65" thickBot="1" x14ac:dyDescent="0.35"/>
    <row r="39" spans="1:4" ht="15.65" thickBot="1" x14ac:dyDescent="0.35">
      <c r="B39" s="192" t="s">
        <v>87</v>
      </c>
      <c r="C39" s="193"/>
      <c r="D39" s="194"/>
    </row>
    <row r="40" spans="1:4" ht="15.65" thickBot="1" x14ac:dyDescent="0.35">
      <c r="B40" s="49" t="s">
        <v>70</v>
      </c>
      <c r="C40" s="71" t="s">
        <v>71</v>
      </c>
      <c r="D40" s="72" t="s">
        <v>72</v>
      </c>
    </row>
    <row r="41" spans="1:4" x14ac:dyDescent="0.3">
      <c r="B41" s="68" t="s">
        <v>81</v>
      </c>
      <c r="C41" s="69"/>
      <c r="D41" s="70" t="s">
        <v>84</v>
      </c>
    </row>
    <row r="42" spans="1:4" x14ac:dyDescent="0.3">
      <c r="B42" s="62" t="s">
        <v>75</v>
      </c>
      <c r="C42" s="52" t="s">
        <v>83</v>
      </c>
      <c r="D42" s="63" t="s">
        <v>85</v>
      </c>
    </row>
    <row r="43" spans="1:4" ht="15.65" thickBot="1" x14ac:dyDescent="0.35">
      <c r="B43" s="65" t="s">
        <v>82</v>
      </c>
      <c r="C43" s="66"/>
      <c r="D43" s="67">
        <v>900</v>
      </c>
    </row>
    <row r="45" spans="1:4" x14ac:dyDescent="0.3">
      <c r="A45" t="s">
        <v>88</v>
      </c>
    </row>
    <row r="46" spans="1:4" x14ac:dyDescent="0.3">
      <c r="A46" t="s">
        <v>89</v>
      </c>
    </row>
    <row r="47" spans="1:4" x14ac:dyDescent="0.3">
      <c r="A47" t="s">
        <v>90</v>
      </c>
    </row>
    <row r="49" spans="1:5" x14ac:dyDescent="0.3">
      <c r="A49" t="s">
        <v>91</v>
      </c>
    </row>
    <row r="51" spans="1:5" x14ac:dyDescent="0.3">
      <c r="A51" s="6" t="s">
        <v>92</v>
      </c>
      <c r="B51" s="6"/>
      <c r="C51" s="6"/>
    </row>
    <row r="52" spans="1:5" ht="15.65" thickBot="1" x14ac:dyDescent="0.35"/>
    <row r="53" spans="1:5" ht="15.65" thickBot="1" x14ac:dyDescent="0.35">
      <c r="B53" s="192" t="s">
        <v>93</v>
      </c>
      <c r="C53" s="193"/>
      <c r="D53" s="193"/>
      <c r="E53" s="194"/>
    </row>
    <row r="54" spans="1:5" ht="15.65" thickBot="1" x14ac:dyDescent="0.35">
      <c r="B54" s="49" t="s">
        <v>70</v>
      </c>
      <c r="C54" s="71" t="s">
        <v>71</v>
      </c>
      <c r="D54" s="77" t="s">
        <v>94</v>
      </c>
      <c r="E54" s="82" t="s">
        <v>95</v>
      </c>
    </row>
    <row r="55" spans="1:5" x14ac:dyDescent="0.3">
      <c r="B55" s="68" t="s">
        <v>73</v>
      </c>
      <c r="C55" s="74">
        <v>15000</v>
      </c>
      <c r="D55" s="78">
        <v>2</v>
      </c>
      <c r="E55" s="84">
        <f>+C55*D55</f>
        <v>30000</v>
      </c>
    </row>
    <row r="56" spans="1:5" x14ac:dyDescent="0.3">
      <c r="B56" s="62" t="s">
        <v>74</v>
      </c>
      <c r="C56" s="75">
        <v>2200</v>
      </c>
      <c r="D56" s="79">
        <v>4.2</v>
      </c>
      <c r="E56" s="85">
        <f t="shared" ref="E56" si="0">+C56*D56</f>
        <v>9240</v>
      </c>
    </row>
    <row r="57" spans="1:5" x14ac:dyDescent="0.3">
      <c r="B57" s="62" t="s">
        <v>75</v>
      </c>
      <c r="C57" s="53"/>
      <c r="D57" s="80">
        <v>5500</v>
      </c>
      <c r="E57" s="85">
        <f>+D57</f>
        <v>5500</v>
      </c>
    </row>
    <row r="58" spans="1:5" ht="15.65" thickBot="1" x14ac:dyDescent="0.35">
      <c r="B58" s="65" t="s">
        <v>76</v>
      </c>
      <c r="C58" s="66"/>
      <c r="D58" s="81">
        <v>16460</v>
      </c>
      <c r="E58" s="86">
        <f>+D58</f>
        <v>16460</v>
      </c>
    </row>
    <row r="59" spans="1:5" x14ac:dyDescent="0.3">
      <c r="D59" t="s">
        <v>96</v>
      </c>
      <c r="E59" s="88">
        <f>SUM(E55:E58)</f>
        <v>61200</v>
      </c>
    </row>
    <row r="62" spans="1:5" x14ac:dyDescent="0.3">
      <c r="A62" s="6" t="s">
        <v>97</v>
      </c>
    </row>
    <row r="63" spans="1:5" ht="15.65" thickBot="1" x14ac:dyDescent="0.35"/>
    <row r="64" spans="1:5" ht="15.65" thickBot="1" x14ac:dyDescent="0.35">
      <c r="B64" s="192" t="s">
        <v>98</v>
      </c>
      <c r="C64" s="193"/>
      <c r="D64" s="193"/>
      <c r="E64" s="194"/>
    </row>
    <row r="65" spans="1:5" ht="15.65" thickBot="1" x14ac:dyDescent="0.35">
      <c r="B65" s="49" t="s">
        <v>70</v>
      </c>
      <c r="C65" s="71" t="s">
        <v>71</v>
      </c>
      <c r="D65" s="77" t="s">
        <v>72</v>
      </c>
      <c r="E65" s="82" t="s">
        <v>95</v>
      </c>
    </row>
    <row r="66" spans="1:5" x14ac:dyDescent="0.3">
      <c r="B66" s="68" t="s">
        <v>81</v>
      </c>
      <c r="C66" s="98">
        <v>300</v>
      </c>
      <c r="D66" s="89">
        <v>1</v>
      </c>
      <c r="E66" s="94">
        <f>+C66*D66</f>
        <v>300</v>
      </c>
    </row>
    <row r="67" spans="1:5" x14ac:dyDescent="0.3">
      <c r="B67" s="62" t="s">
        <v>75</v>
      </c>
      <c r="C67" s="52">
        <v>300</v>
      </c>
      <c r="D67" s="90">
        <v>6</v>
      </c>
      <c r="E67" s="95">
        <f t="shared" ref="E67:E68" si="1">+C67*D67</f>
        <v>1800</v>
      </c>
    </row>
    <row r="68" spans="1:5" ht="15.65" thickBot="1" x14ac:dyDescent="0.35">
      <c r="B68" s="65" t="s">
        <v>82</v>
      </c>
      <c r="C68" s="242">
        <v>1</v>
      </c>
      <c r="D68" s="81">
        <v>900</v>
      </c>
      <c r="E68" s="96">
        <f t="shared" si="1"/>
        <v>900</v>
      </c>
    </row>
    <row r="69" spans="1:5" x14ac:dyDescent="0.3">
      <c r="D69" t="s">
        <v>99</v>
      </c>
      <c r="E69" s="97">
        <f>SUM(E66:E68)</f>
        <v>3000</v>
      </c>
    </row>
    <row r="71" spans="1:5" x14ac:dyDescent="0.3">
      <c r="A71" t="s">
        <v>100</v>
      </c>
    </row>
    <row r="72" spans="1:5" ht="15.65" thickBot="1" x14ac:dyDescent="0.35"/>
    <row r="73" spans="1:5" ht="30.7" thickBot="1" x14ac:dyDescent="0.35">
      <c r="B73" s="49" t="s">
        <v>52</v>
      </c>
      <c r="C73" s="50" t="s">
        <v>101</v>
      </c>
      <c r="D73" s="50" t="s">
        <v>102</v>
      </c>
      <c r="E73" s="51" t="s">
        <v>95</v>
      </c>
    </row>
    <row r="74" spans="1:5" x14ac:dyDescent="0.3">
      <c r="B74" s="54" t="s">
        <v>63</v>
      </c>
      <c r="C74" s="55">
        <v>2000</v>
      </c>
      <c r="D74" s="55">
        <v>0.5</v>
      </c>
      <c r="E74" s="92">
        <f>+C74*D74</f>
        <v>1000</v>
      </c>
    </row>
    <row r="75" spans="1:5" ht="15.65" thickBot="1" x14ac:dyDescent="0.35">
      <c r="B75" s="59" t="s">
        <v>64</v>
      </c>
      <c r="C75" s="60">
        <v>1000</v>
      </c>
      <c r="D75" s="60">
        <v>0.2</v>
      </c>
      <c r="E75" s="93">
        <f>+C75*D75</f>
        <v>200</v>
      </c>
    </row>
    <row r="76" spans="1:5" x14ac:dyDescent="0.3">
      <c r="B76" s="196" t="s">
        <v>116</v>
      </c>
      <c r="C76" s="196"/>
      <c r="D76" s="196"/>
      <c r="E76" s="97">
        <f>SUM(E74:E75)</f>
        <v>1200</v>
      </c>
    </row>
    <row r="77" spans="1:5" x14ac:dyDescent="0.3">
      <c r="E77" s="76"/>
    </row>
    <row r="79" spans="1:5" x14ac:dyDescent="0.3">
      <c r="B79" s="191" t="s">
        <v>104</v>
      </c>
      <c r="C79" s="191"/>
      <c r="D79" s="83">
        <f>+E59</f>
        <v>61200</v>
      </c>
    </row>
    <row r="80" spans="1:5" x14ac:dyDescent="0.3">
      <c r="B80" s="191" t="s">
        <v>106</v>
      </c>
      <c r="C80" s="191"/>
      <c r="D80" s="76">
        <f>-E74</f>
        <v>-1000</v>
      </c>
    </row>
    <row r="81" spans="2:11" x14ac:dyDescent="0.3">
      <c r="B81" s="191" t="s">
        <v>105</v>
      </c>
      <c r="C81" s="191"/>
      <c r="D81" s="99">
        <f>-E75</f>
        <v>-200</v>
      </c>
    </row>
    <row r="82" spans="2:11" x14ac:dyDescent="0.3">
      <c r="B82" s="190" t="s">
        <v>103</v>
      </c>
      <c r="C82" s="190"/>
      <c r="D82" s="87">
        <f>SUM(D79:D81)</f>
        <v>60000</v>
      </c>
    </row>
    <row r="85" spans="2:11" ht="15.65" thickBot="1" x14ac:dyDescent="0.35">
      <c r="B85" s="10"/>
      <c r="C85" s="10" t="s">
        <v>15</v>
      </c>
      <c r="D85" s="10" t="s">
        <v>16</v>
      </c>
      <c r="E85" s="10" t="s">
        <v>107</v>
      </c>
      <c r="F85" s="10" t="s">
        <v>108</v>
      </c>
      <c r="G85" s="10" t="s">
        <v>109</v>
      </c>
      <c r="H85" s="10" t="s">
        <v>110</v>
      </c>
      <c r="I85" s="10" t="s">
        <v>23</v>
      </c>
      <c r="J85" s="10" t="s">
        <v>111</v>
      </c>
      <c r="K85" s="10" t="s">
        <v>113</v>
      </c>
    </row>
    <row r="86" spans="2:11" ht="78.3" x14ac:dyDescent="0.3">
      <c r="B86" s="22" t="s">
        <v>2</v>
      </c>
      <c r="C86" s="23" t="s">
        <v>6</v>
      </c>
      <c r="D86" s="23" t="s">
        <v>7</v>
      </c>
      <c r="E86" s="100" t="s">
        <v>10</v>
      </c>
      <c r="F86" s="24" t="s">
        <v>8</v>
      </c>
      <c r="G86" s="101" t="s">
        <v>29</v>
      </c>
      <c r="H86" s="101" t="s">
        <v>11</v>
      </c>
      <c r="I86" s="101" t="s">
        <v>12</v>
      </c>
      <c r="J86" s="101" t="s">
        <v>13</v>
      </c>
      <c r="K86" s="102" t="s">
        <v>112</v>
      </c>
    </row>
    <row r="87" spans="2:11" x14ac:dyDescent="0.3">
      <c r="B87" s="25">
        <v>1</v>
      </c>
      <c r="C87" s="5">
        <v>6000</v>
      </c>
      <c r="D87" s="4">
        <v>5.5</v>
      </c>
      <c r="E87" s="21">
        <f>+C87*D87</f>
        <v>33000</v>
      </c>
      <c r="F87" s="26">
        <v>3000</v>
      </c>
      <c r="G87" s="15">
        <f>+E87-F87</f>
        <v>30000</v>
      </c>
      <c r="H87" s="45">
        <f>+G87/$G$90</f>
        <v>0.44117647058823528</v>
      </c>
      <c r="I87" s="15">
        <f>+H87*$D$82</f>
        <v>26470.588235294115</v>
      </c>
      <c r="J87" s="15">
        <f>+F87+I87</f>
        <v>29470.588235294115</v>
      </c>
      <c r="K87" s="103">
        <f>+E87-J87</f>
        <v>3529.4117647058847</v>
      </c>
    </row>
    <row r="88" spans="2:11" x14ac:dyDescent="0.3">
      <c r="B88" s="25">
        <v>2</v>
      </c>
      <c r="C88" s="5">
        <v>3000</v>
      </c>
      <c r="D88" s="4">
        <v>6</v>
      </c>
      <c r="E88" s="21">
        <f>+C88*D88</f>
        <v>18000</v>
      </c>
      <c r="F88" s="26">
        <v>0</v>
      </c>
      <c r="G88" s="15">
        <f t="shared" ref="G88:G89" si="2">+E88-F88</f>
        <v>18000</v>
      </c>
      <c r="H88" s="45">
        <f t="shared" ref="H88:H90" si="3">+G88/$G$90</f>
        <v>0.26470588235294118</v>
      </c>
      <c r="I88" s="15">
        <f t="shared" ref="I88:I90" si="4">+H88*$D$82</f>
        <v>15882.35294117647</v>
      </c>
      <c r="J88" s="15">
        <f t="shared" ref="J88:J89" si="5">+F88+I88</f>
        <v>15882.35294117647</v>
      </c>
      <c r="K88" s="103">
        <f t="shared" ref="K88:K89" si="6">+E88-J88</f>
        <v>2117.6470588235297</v>
      </c>
    </row>
    <row r="89" spans="2:11" ht="15.65" thickBot="1" x14ac:dyDescent="0.35">
      <c r="B89" s="27">
        <v>3</v>
      </c>
      <c r="C89" s="28">
        <v>5000</v>
      </c>
      <c r="D89" s="29">
        <v>4</v>
      </c>
      <c r="E89" s="104">
        <f>+C89*D89</f>
        <v>20000</v>
      </c>
      <c r="F89" s="30">
        <v>0</v>
      </c>
      <c r="G89" s="105">
        <f t="shared" si="2"/>
        <v>20000</v>
      </c>
      <c r="H89" s="106">
        <f t="shared" si="3"/>
        <v>0.29411764705882354</v>
      </c>
      <c r="I89" s="105">
        <f t="shared" si="4"/>
        <v>17647.058823529413</v>
      </c>
      <c r="J89" s="105">
        <f t="shared" si="5"/>
        <v>17647.058823529413</v>
      </c>
      <c r="K89" s="107">
        <f t="shared" si="6"/>
        <v>2352.9411764705874</v>
      </c>
    </row>
    <row r="90" spans="2:11" x14ac:dyDescent="0.3">
      <c r="D90" s="109" t="s">
        <v>24</v>
      </c>
      <c r="E90" s="108">
        <f>SUM(E87:E89)</f>
        <v>71000</v>
      </c>
      <c r="G90" s="39">
        <f>SUM(G87:G89)</f>
        <v>68000</v>
      </c>
      <c r="H90" s="110">
        <f t="shared" si="3"/>
        <v>1</v>
      </c>
      <c r="I90" s="111">
        <f t="shared" si="4"/>
        <v>60000</v>
      </c>
      <c r="J90" s="111">
        <f>SUM(J87:J89)</f>
        <v>63000</v>
      </c>
      <c r="K90" s="39">
        <f>SUM(K87:K89)</f>
        <v>8000.0000000000018</v>
      </c>
    </row>
    <row r="93" spans="2:11" x14ac:dyDescent="0.3">
      <c r="B93" s="6" t="s">
        <v>114</v>
      </c>
    </row>
    <row r="95" spans="2:11" x14ac:dyDescent="0.3">
      <c r="B95" s="191" t="s">
        <v>115</v>
      </c>
      <c r="C95" s="191"/>
      <c r="D95" s="112">
        <f>+E90</f>
        <v>71000</v>
      </c>
    </row>
    <row r="96" spans="2:11" x14ac:dyDescent="0.3">
      <c r="B96" s="191" t="s">
        <v>116</v>
      </c>
      <c r="C96" s="191"/>
      <c r="D96" s="113">
        <f>+E76</f>
        <v>1200</v>
      </c>
    </row>
    <row r="97" spans="1:4" x14ac:dyDescent="0.3">
      <c r="B97" s="190" t="s">
        <v>117</v>
      </c>
      <c r="C97" s="190"/>
      <c r="D97" s="97">
        <f>SUM(D95:D96)</f>
        <v>72200</v>
      </c>
    </row>
    <row r="100" spans="1:4" x14ac:dyDescent="0.3">
      <c r="B100" s="191" t="s">
        <v>13</v>
      </c>
      <c r="C100" s="191"/>
      <c r="D100" s="114">
        <f>+J90</f>
        <v>63000</v>
      </c>
    </row>
    <row r="101" spans="1:4" x14ac:dyDescent="0.3">
      <c r="B101" s="191" t="s">
        <v>118</v>
      </c>
      <c r="C101" s="191"/>
      <c r="D101" s="113">
        <f>+E76</f>
        <v>1200</v>
      </c>
    </row>
    <row r="102" spans="1:4" x14ac:dyDescent="0.3">
      <c r="B102" s="190" t="s">
        <v>13</v>
      </c>
      <c r="C102" s="190"/>
      <c r="D102" s="97">
        <f>SUM(D100:D101)</f>
        <v>64200</v>
      </c>
    </row>
    <row r="105" spans="1:4" x14ac:dyDescent="0.3">
      <c r="B105" s="190" t="s">
        <v>119</v>
      </c>
      <c r="C105" s="190"/>
    </row>
    <row r="107" spans="1:4" x14ac:dyDescent="0.3">
      <c r="B107" s="191" t="s">
        <v>115</v>
      </c>
      <c r="C107" s="191"/>
      <c r="D107" s="112">
        <f>+D97</f>
        <v>72200</v>
      </c>
    </row>
    <row r="108" spans="1:4" x14ac:dyDescent="0.3">
      <c r="B108" s="191" t="s">
        <v>13</v>
      </c>
      <c r="C108" s="191"/>
      <c r="D108" s="113">
        <f>-D102</f>
        <v>-64200</v>
      </c>
    </row>
    <row r="109" spans="1:4" x14ac:dyDescent="0.3">
      <c r="B109" s="190" t="s">
        <v>112</v>
      </c>
      <c r="C109" s="190"/>
      <c r="D109" s="97">
        <f>SUM(D107:D108)</f>
        <v>8000</v>
      </c>
    </row>
    <row r="111" spans="1:4" x14ac:dyDescent="0.3">
      <c r="A111" t="s">
        <v>120</v>
      </c>
    </row>
    <row r="112" spans="1:4" x14ac:dyDescent="0.3">
      <c r="A112" t="s">
        <v>121</v>
      </c>
    </row>
    <row r="114" spans="2:4" x14ac:dyDescent="0.3">
      <c r="B114" s="195" t="s">
        <v>122</v>
      </c>
      <c r="C114" s="195"/>
      <c r="D114" s="91">
        <f>+E74</f>
        <v>1000</v>
      </c>
    </row>
    <row r="115" spans="2:4" x14ac:dyDescent="0.3">
      <c r="B115" s="195" t="s">
        <v>123</v>
      </c>
      <c r="C115" s="195"/>
      <c r="D115" s="91">
        <f>+E75</f>
        <v>200</v>
      </c>
    </row>
  </sheetData>
  <mergeCells count="21">
    <mergeCell ref="B102:C102"/>
    <mergeCell ref="B105:C105"/>
    <mergeCell ref="B107:C107"/>
    <mergeCell ref="B108:C108"/>
    <mergeCell ref="B109:C109"/>
    <mergeCell ref="B39:D39"/>
    <mergeCell ref="B32:D32"/>
    <mergeCell ref="B53:E53"/>
    <mergeCell ref="B64:E64"/>
    <mergeCell ref="B115:C115"/>
    <mergeCell ref="B114:C114"/>
    <mergeCell ref="B95:C95"/>
    <mergeCell ref="B96:C96"/>
    <mergeCell ref="B76:D76"/>
    <mergeCell ref="B97:C97"/>
    <mergeCell ref="B101:C101"/>
    <mergeCell ref="B100:C100"/>
    <mergeCell ref="B79:C79"/>
    <mergeCell ref="B80:C80"/>
    <mergeCell ref="B81:C81"/>
    <mergeCell ref="B82:C82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F766-72BF-47CC-8337-0B202A2A344F}">
  <dimension ref="A1:P64"/>
  <sheetViews>
    <sheetView tabSelected="1" topLeftCell="D32" zoomScale="130" zoomScaleNormal="130" workbookViewId="0">
      <selection activeCell="O21" sqref="O21"/>
    </sheetView>
  </sheetViews>
  <sheetFormatPr baseColWidth="10" defaultRowHeight="15.05" x14ac:dyDescent="0.3"/>
  <cols>
    <col min="2" max="2" width="13.88671875" customWidth="1"/>
    <col min="5" max="5" width="13.109375" customWidth="1"/>
    <col min="7" max="7" width="16.44140625" customWidth="1"/>
    <col min="9" max="9" width="8.5546875" customWidth="1"/>
    <col min="10" max="10" width="14.21875" customWidth="1"/>
    <col min="11" max="11" width="2.44140625" customWidth="1"/>
  </cols>
  <sheetData>
    <row r="1" spans="1:6" x14ac:dyDescent="0.3">
      <c r="A1" s="190" t="s">
        <v>165</v>
      </c>
      <c r="B1" s="191"/>
      <c r="C1" s="191"/>
    </row>
    <row r="2" spans="1:6" x14ac:dyDescent="0.3">
      <c r="A2" t="s">
        <v>146</v>
      </c>
    </row>
    <row r="3" spans="1:6" x14ac:dyDescent="0.3">
      <c r="A3" t="s">
        <v>147</v>
      </c>
    </row>
    <row r="4" spans="1:6" x14ac:dyDescent="0.3">
      <c r="A4" t="s">
        <v>148</v>
      </c>
    </row>
    <row r="6" spans="1:6" ht="15.65" thickBot="1" x14ac:dyDescent="0.35">
      <c r="A6" s="241" t="s">
        <v>169</v>
      </c>
      <c r="B6" s="241"/>
      <c r="C6" s="241"/>
      <c r="D6" s="241"/>
    </row>
    <row r="7" spans="1:6" x14ac:dyDescent="0.3">
      <c r="A7" s="211" t="s">
        <v>149</v>
      </c>
      <c r="B7" s="212"/>
      <c r="C7" s="213"/>
      <c r="D7" s="171">
        <v>2000000</v>
      </c>
    </row>
    <row r="8" spans="1:6" x14ac:dyDescent="0.3">
      <c r="A8" s="214" t="s">
        <v>150</v>
      </c>
      <c r="B8" s="215"/>
      <c r="C8" s="215"/>
      <c r="D8" s="169">
        <v>150000</v>
      </c>
      <c r="F8" t="s">
        <v>151</v>
      </c>
    </row>
    <row r="9" spans="1:6" x14ac:dyDescent="0.3">
      <c r="A9" s="216" t="s">
        <v>152</v>
      </c>
      <c r="B9" s="217"/>
      <c r="C9" s="218" t="s">
        <v>151</v>
      </c>
      <c r="D9" s="169">
        <v>650000</v>
      </c>
    </row>
    <row r="10" spans="1:6" ht="15.65" thickBot="1" x14ac:dyDescent="0.35">
      <c r="A10" s="219" t="s">
        <v>153</v>
      </c>
      <c r="B10" s="220" t="s">
        <v>151</v>
      </c>
      <c r="C10" s="221"/>
      <c r="D10" s="170">
        <v>200000</v>
      </c>
    </row>
    <row r="11" spans="1:6" x14ac:dyDescent="0.3">
      <c r="C11" s="6" t="s">
        <v>95</v>
      </c>
      <c r="D11" s="91">
        <f>SUM(D7:D10)</f>
        <v>3000000</v>
      </c>
    </row>
    <row r="14" spans="1:6" ht="15.65" thickBot="1" x14ac:dyDescent="0.35"/>
    <row r="15" spans="1:6" ht="15.65" thickBot="1" x14ac:dyDescent="0.35">
      <c r="A15" s="223"/>
      <c r="B15" s="224"/>
      <c r="C15" s="225"/>
      <c r="D15" s="165" t="s">
        <v>133</v>
      </c>
      <c r="E15" s="165" t="s">
        <v>134</v>
      </c>
      <c r="F15" s="166" t="s">
        <v>135</v>
      </c>
    </row>
    <row r="16" spans="1:6" x14ac:dyDescent="0.3">
      <c r="A16" s="226" t="s">
        <v>154</v>
      </c>
      <c r="B16" s="227"/>
      <c r="C16" s="228"/>
      <c r="D16" s="167" t="s">
        <v>162</v>
      </c>
      <c r="E16" s="167" t="s">
        <v>155</v>
      </c>
      <c r="F16" s="168" t="s">
        <v>156</v>
      </c>
    </row>
    <row r="17" spans="1:16" x14ac:dyDescent="0.3">
      <c r="A17" s="216" t="s">
        <v>157</v>
      </c>
      <c r="B17" s="217"/>
      <c r="C17" s="218"/>
      <c r="D17" s="48" t="s">
        <v>163</v>
      </c>
      <c r="E17" s="48" t="s">
        <v>158</v>
      </c>
      <c r="F17" s="58" t="s">
        <v>159</v>
      </c>
    </row>
    <row r="18" spans="1:16" ht="15.65" thickBot="1" x14ac:dyDescent="0.35">
      <c r="A18" s="219" t="s">
        <v>160</v>
      </c>
      <c r="B18" s="220"/>
      <c r="C18" s="221"/>
      <c r="D18" s="60" t="s">
        <v>164</v>
      </c>
      <c r="E18" s="60" t="s">
        <v>161</v>
      </c>
      <c r="F18" s="61" t="s">
        <v>59</v>
      </c>
    </row>
    <row r="20" spans="1:16" x14ac:dyDescent="0.3">
      <c r="A20" t="s">
        <v>167</v>
      </c>
    </row>
    <row r="21" spans="1:16" x14ac:dyDescent="0.3">
      <c r="A21" t="s">
        <v>166</v>
      </c>
    </row>
    <row r="22" spans="1:16" x14ac:dyDescent="0.3">
      <c r="A22" t="s">
        <v>168</v>
      </c>
    </row>
    <row r="23" spans="1:16" ht="15.65" x14ac:dyDescent="0.3">
      <c r="B23" s="115"/>
    </row>
    <row r="24" spans="1:16" x14ac:dyDescent="0.3">
      <c r="B24" s="116"/>
      <c r="J24" s="175"/>
    </row>
    <row r="25" spans="1:16" x14ac:dyDescent="0.3">
      <c r="B25" s="238" t="s">
        <v>169</v>
      </c>
      <c r="C25" s="238"/>
      <c r="D25" s="238"/>
      <c r="E25" s="118">
        <f>+D11</f>
        <v>3000000</v>
      </c>
      <c r="F25" s="117"/>
      <c r="G25" s="117"/>
      <c r="H25" s="229"/>
      <c r="I25" s="229"/>
      <c r="J25" s="117"/>
      <c r="K25" s="117"/>
      <c r="L25" s="117"/>
    </row>
    <row r="26" spans="1:16" x14ac:dyDescent="0.3">
      <c r="B26" s="116"/>
      <c r="C26" s="116"/>
      <c r="D26" s="116"/>
      <c r="E26" s="118"/>
      <c r="F26" s="117"/>
      <c r="G26" s="117"/>
      <c r="H26" s="117"/>
      <c r="I26" s="117"/>
      <c r="J26" s="117"/>
      <c r="K26" s="117"/>
      <c r="L26" s="117"/>
    </row>
    <row r="27" spans="1:16" x14ac:dyDescent="0.3">
      <c r="B27" s="222" t="s">
        <v>170</v>
      </c>
      <c r="C27" s="222"/>
      <c r="D27" s="222"/>
      <c r="E27" s="222"/>
      <c r="G27" s="117"/>
      <c r="H27" s="117"/>
      <c r="I27" s="117"/>
      <c r="J27" s="117"/>
      <c r="K27" s="117"/>
      <c r="L27" s="117"/>
      <c r="P27" s="175"/>
    </row>
    <row r="28" spans="1:16" ht="15.65" thickBot="1" x14ac:dyDescent="0.35">
      <c r="B28" s="117"/>
      <c r="C28" s="117"/>
      <c r="D28" s="117"/>
      <c r="E28" s="117"/>
      <c r="F28" s="117"/>
      <c r="G28" s="117"/>
      <c r="H28" s="232"/>
      <c r="I28" s="232"/>
      <c r="J28" s="117"/>
      <c r="K28" s="117"/>
      <c r="L28" s="117"/>
    </row>
    <row r="29" spans="1:16" ht="15.65" thickTop="1" x14ac:dyDescent="0.3">
      <c r="B29" s="119" t="s">
        <v>52</v>
      </c>
      <c r="C29" s="120" t="s">
        <v>124</v>
      </c>
      <c r="D29" s="205" t="s">
        <v>171</v>
      </c>
      <c r="E29" s="205" t="s">
        <v>172</v>
      </c>
      <c r="F29" s="121" t="s">
        <v>125</v>
      </c>
      <c r="G29" s="207" t="s">
        <v>173</v>
      </c>
      <c r="H29" s="239" t="s">
        <v>174</v>
      </c>
      <c r="I29" s="120" t="s">
        <v>127</v>
      </c>
      <c r="J29" s="209" t="s">
        <v>175</v>
      </c>
      <c r="K29" s="197"/>
      <c r="L29" s="121" t="s">
        <v>72</v>
      </c>
      <c r="M29" s="121" t="s">
        <v>119</v>
      </c>
      <c r="N29" s="122" t="s">
        <v>128</v>
      </c>
    </row>
    <row r="30" spans="1:16" ht="31.3" customHeight="1" thickBot="1" x14ac:dyDescent="0.35">
      <c r="B30" s="123"/>
      <c r="C30" s="124" t="s">
        <v>129</v>
      </c>
      <c r="D30" s="206"/>
      <c r="E30" s="206"/>
      <c r="F30" s="125" t="s">
        <v>130</v>
      </c>
      <c r="G30" s="208"/>
      <c r="H30" s="240"/>
      <c r="I30" s="124"/>
      <c r="J30" s="210"/>
      <c r="K30" s="198"/>
      <c r="L30" s="125" t="s">
        <v>95</v>
      </c>
      <c r="M30" s="125" t="s">
        <v>95</v>
      </c>
      <c r="N30" s="126" t="s">
        <v>132</v>
      </c>
    </row>
    <row r="31" spans="1:16" ht="15.65" thickBot="1" x14ac:dyDescent="0.35">
      <c r="B31" s="127" t="s">
        <v>133</v>
      </c>
      <c r="C31" s="128">
        <v>180000</v>
      </c>
      <c r="D31" s="180">
        <v>15.5</v>
      </c>
      <c r="E31" s="178">
        <v>2.5</v>
      </c>
      <c r="F31" s="129">
        <f>+C31*D31</f>
        <v>2790000</v>
      </c>
      <c r="G31" s="172">
        <v>450000</v>
      </c>
      <c r="H31" s="130">
        <f>+F31-G31</f>
        <v>2340000</v>
      </c>
      <c r="I31" s="174">
        <f>+H31/$H$34</f>
        <v>0.56521739130434778</v>
      </c>
      <c r="J31" s="234">
        <f>+I31*$E$25</f>
        <v>1695652.1739130435</v>
      </c>
      <c r="K31" s="235"/>
      <c r="L31" s="129">
        <f>+G31+J31</f>
        <v>2145652.1739130435</v>
      </c>
      <c r="M31" s="129">
        <f>+F31-L31</f>
        <v>644347.82608695654</v>
      </c>
      <c r="N31" s="133">
        <f>+L31/C31</f>
        <v>11.920289855072463</v>
      </c>
    </row>
    <row r="32" spans="1:16" ht="15.65" thickBot="1" x14ac:dyDescent="0.35">
      <c r="B32" s="127" t="s">
        <v>134</v>
      </c>
      <c r="C32" s="128">
        <v>200000</v>
      </c>
      <c r="D32" s="180">
        <v>9.5</v>
      </c>
      <c r="E32" s="178">
        <v>3.5</v>
      </c>
      <c r="F32" s="129">
        <f t="shared" ref="F32:F33" si="0">+C32*D32</f>
        <v>1900000</v>
      </c>
      <c r="G32" s="173">
        <v>700000</v>
      </c>
      <c r="H32" s="130">
        <f t="shared" ref="H32:H33" si="1">+F32-G32</f>
        <v>1200000</v>
      </c>
      <c r="I32" s="174">
        <f>+H32/$H$34</f>
        <v>0.28985507246376813</v>
      </c>
      <c r="J32" s="234">
        <f t="shared" ref="J32:J33" si="2">+I32*$E$25</f>
        <v>869565.21739130432</v>
      </c>
      <c r="K32" s="235"/>
      <c r="L32" s="129">
        <f t="shared" ref="L32:L33" si="3">+G32+J32</f>
        <v>1569565.2173913042</v>
      </c>
      <c r="M32" s="129">
        <f t="shared" ref="M32:M33" si="4">+F32-L32</f>
        <v>330434.78260869579</v>
      </c>
      <c r="N32" s="133">
        <f>+L32/C32</f>
        <v>7.8478260869565206</v>
      </c>
    </row>
    <row r="33" spans="2:14" ht="15.65" thickBot="1" x14ac:dyDescent="0.35">
      <c r="B33" s="134" t="s">
        <v>135</v>
      </c>
      <c r="C33" s="135">
        <v>600000</v>
      </c>
      <c r="D33" s="181">
        <v>1.5</v>
      </c>
      <c r="E33" s="179">
        <v>0.5</v>
      </c>
      <c r="F33" s="129">
        <f t="shared" si="0"/>
        <v>900000</v>
      </c>
      <c r="G33" s="173">
        <v>300000</v>
      </c>
      <c r="H33" s="130">
        <f t="shared" si="1"/>
        <v>600000</v>
      </c>
      <c r="I33" s="174">
        <f>+H33/$H$34</f>
        <v>0.14492753623188406</v>
      </c>
      <c r="J33" s="234">
        <f t="shared" si="2"/>
        <v>434782.60869565216</v>
      </c>
      <c r="K33" s="235"/>
      <c r="L33" s="129">
        <f t="shared" si="3"/>
        <v>734782.6086956521</v>
      </c>
      <c r="M33" s="129">
        <f t="shared" si="4"/>
        <v>165217.3913043479</v>
      </c>
      <c r="N33" s="133">
        <f>+L33/C33</f>
        <v>1.2246376811594202</v>
      </c>
    </row>
    <row r="34" spans="2:14" ht="15.65" thickBot="1" x14ac:dyDescent="0.35">
      <c r="B34" s="139" t="s">
        <v>95</v>
      </c>
      <c r="C34" s="140">
        <f>SUM(C31:C33)</f>
        <v>980000</v>
      </c>
      <c r="D34" s="177"/>
      <c r="E34" s="177"/>
      <c r="F34" s="141">
        <f>SUM(F31:F33)</f>
        <v>5590000</v>
      </c>
      <c r="G34" s="142">
        <f>SUM(G31:G33)</f>
        <v>1450000</v>
      </c>
      <c r="H34" s="143">
        <f>SUM(H31:H33)</f>
        <v>4140000</v>
      </c>
      <c r="I34" s="144">
        <v>1</v>
      </c>
      <c r="J34" s="236">
        <f>SUM(J31:J33)</f>
        <v>3000000</v>
      </c>
      <c r="K34" s="237"/>
      <c r="L34" s="141">
        <f>SUM(L31:L33)</f>
        <v>4450000</v>
      </c>
      <c r="M34" s="141">
        <f>SUM(M31:M33)</f>
        <v>1140000.0000000002</v>
      </c>
      <c r="N34" s="145"/>
    </row>
    <row r="35" spans="2:14" ht="15.65" thickTop="1" x14ac:dyDescent="0.3">
      <c r="B35" s="117"/>
      <c r="C35" s="117"/>
      <c r="D35" s="117"/>
      <c r="E35" s="117"/>
      <c r="F35" s="117"/>
      <c r="G35" s="117"/>
      <c r="H35" s="233"/>
      <c r="I35" s="233"/>
      <c r="J35" s="117"/>
      <c r="K35" s="117"/>
      <c r="L35" s="117"/>
    </row>
    <row r="36" spans="2:14" x14ac:dyDescent="0.3">
      <c r="B36" s="222" t="s">
        <v>136</v>
      </c>
      <c r="C36" s="222"/>
      <c r="D36" s="222"/>
      <c r="E36" s="222"/>
      <c r="F36" s="117"/>
      <c r="G36" s="117"/>
      <c r="H36" s="229"/>
      <c r="I36" s="229"/>
      <c r="J36" s="117"/>
      <c r="K36" s="117"/>
      <c r="L36" s="117"/>
    </row>
    <row r="37" spans="2:14" ht="15.65" thickBot="1" x14ac:dyDescent="0.35">
      <c r="B37" s="117"/>
      <c r="C37" s="117"/>
      <c r="D37" s="117"/>
      <c r="E37" s="117"/>
      <c r="F37" s="117"/>
      <c r="G37" s="117"/>
      <c r="H37" s="232"/>
      <c r="I37" s="232"/>
    </row>
    <row r="38" spans="2:14" ht="15.65" customHeight="1" thickTop="1" x14ac:dyDescent="0.3">
      <c r="B38" s="119" t="s">
        <v>52</v>
      </c>
      <c r="C38" s="120" t="s">
        <v>124</v>
      </c>
      <c r="D38" s="205" t="s">
        <v>171</v>
      </c>
      <c r="E38" s="205" t="s">
        <v>172</v>
      </c>
      <c r="F38" s="121" t="s">
        <v>125</v>
      </c>
      <c r="G38" s="207" t="s">
        <v>173</v>
      </c>
      <c r="H38" s="119" t="s">
        <v>126</v>
      </c>
      <c r="I38" s="120" t="s">
        <v>127</v>
      </c>
      <c r="J38" s="209" t="s">
        <v>175</v>
      </c>
      <c r="K38" s="197"/>
      <c r="L38" s="121" t="s">
        <v>72</v>
      </c>
      <c r="M38" s="121" t="s">
        <v>119</v>
      </c>
      <c r="N38" s="122" t="s">
        <v>128</v>
      </c>
    </row>
    <row r="39" spans="2:14" ht="15.65" thickBot="1" x14ac:dyDescent="0.35">
      <c r="B39" s="123"/>
      <c r="C39" s="124" t="s">
        <v>129</v>
      </c>
      <c r="D39" s="206"/>
      <c r="E39" s="206"/>
      <c r="F39" s="125" t="s">
        <v>130</v>
      </c>
      <c r="G39" s="208"/>
      <c r="H39" s="123" t="s">
        <v>131</v>
      </c>
      <c r="I39" s="124"/>
      <c r="J39" s="210"/>
      <c r="K39" s="198"/>
      <c r="L39" s="125" t="s">
        <v>95</v>
      </c>
      <c r="M39" s="125" t="s">
        <v>95</v>
      </c>
      <c r="N39" s="126" t="s">
        <v>132</v>
      </c>
    </row>
    <row r="40" spans="2:14" ht="15.65" thickBot="1" x14ac:dyDescent="0.35">
      <c r="B40" s="127" t="s">
        <v>133</v>
      </c>
      <c r="C40" s="128">
        <v>180000</v>
      </c>
      <c r="D40" s="180">
        <v>15.5</v>
      </c>
      <c r="E40" s="178">
        <v>2.5</v>
      </c>
      <c r="F40" s="129">
        <f>+C40*D40</f>
        <v>2790000</v>
      </c>
      <c r="G40" s="172">
        <v>450000</v>
      </c>
      <c r="H40" s="146"/>
      <c r="I40" s="174">
        <f>+C40/$C$43</f>
        <v>0.18367346938775511</v>
      </c>
      <c r="J40" s="199">
        <f>+I40*$E$25</f>
        <v>551020.40816326533</v>
      </c>
      <c r="K40" s="200"/>
      <c r="L40" s="129">
        <f>+G40+J40</f>
        <v>1001020.4081632653</v>
      </c>
      <c r="M40" s="129">
        <f>+F40-L40</f>
        <v>1788979.5918367347</v>
      </c>
      <c r="N40" s="133">
        <f>+L40/C40</f>
        <v>5.5612244897959187</v>
      </c>
    </row>
    <row r="41" spans="2:14" ht="15.65" thickBot="1" x14ac:dyDescent="0.35">
      <c r="B41" s="127" t="s">
        <v>134</v>
      </c>
      <c r="C41" s="128">
        <v>200000</v>
      </c>
      <c r="D41" s="180">
        <v>9.5</v>
      </c>
      <c r="E41" s="178">
        <v>3.5</v>
      </c>
      <c r="F41" s="129">
        <f t="shared" ref="F41:F42" si="5">+C41*D41</f>
        <v>1900000</v>
      </c>
      <c r="G41" s="173">
        <v>700000</v>
      </c>
      <c r="H41" s="146"/>
      <c r="I41" s="174">
        <f>+C41/$C$43</f>
        <v>0.20408163265306123</v>
      </c>
      <c r="J41" s="199">
        <f t="shared" ref="J41:J42" si="6">+I41*$E$25</f>
        <v>612244.89795918367</v>
      </c>
      <c r="K41" s="200"/>
      <c r="L41" s="129">
        <f t="shared" ref="L41:L42" si="7">+G41+J41</f>
        <v>1312244.8979591837</v>
      </c>
      <c r="M41" s="129">
        <f t="shared" ref="M41:M42" si="8">+F41-L41</f>
        <v>587755.10204081633</v>
      </c>
      <c r="N41" s="133">
        <f>+L41/C41</f>
        <v>6.5612244897959187</v>
      </c>
    </row>
    <row r="42" spans="2:14" ht="15.65" thickBot="1" x14ac:dyDescent="0.35">
      <c r="B42" s="134" t="s">
        <v>135</v>
      </c>
      <c r="C42" s="135">
        <v>600000</v>
      </c>
      <c r="D42" s="181">
        <v>1.5</v>
      </c>
      <c r="E42" s="179">
        <v>0.5</v>
      </c>
      <c r="F42" s="129">
        <f t="shared" si="5"/>
        <v>900000</v>
      </c>
      <c r="G42" s="173">
        <v>300000</v>
      </c>
      <c r="H42" s="147"/>
      <c r="I42" s="174">
        <f>+C42/$C$43</f>
        <v>0.61224489795918369</v>
      </c>
      <c r="J42" s="199">
        <f t="shared" si="6"/>
        <v>1836734.693877551</v>
      </c>
      <c r="K42" s="200"/>
      <c r="L42" s="129">
        <f t="shared" si="7"/>
        <v>2136734.6938775508</v>
      </c>
      <c r="M42" s="129">
        <f t="shared" si="8"/>
        <v>-1236734.6938775508</v>
      </c>
      <c r="N42" s="133">
        <f>+L42/C42</f>
        <v>3.5612244897959178</v>
      </c>
    </row>
    <row r="43" spans="2:14" ht="15.65" thickBot="1" x14ac:dyDescent="0.35">
      <c r="B43" s="139" t="s">
        <v>95</v>
      </c>
      <c r="C43" s="140">
        <f>SUM(C40:C42)</f>
        <v>980000</v>
      </c>
      <c r="D43" s="177"/>
      <c r="E43" s="177"/>
      <c r="F43" s="141">
        <f>SUM(F40:F42)</f>
        <v>5590000</v>
      </c>
      <c r="G43" s="142">
        <f>SUM(G40:G42)</f>
        <v>1450000</v>
      </c>
      <c r="H43" s="148"/>
      <c r="I43" s="176">
        <f>SUM(I40:I42)</f>
        <v>1</v>
      </c>
      <c r="J43" s="203">
        <f>SUM(J40:J42)</f>
        <v>3000000</v>
      </c>
      <c r="K43" s="204"/>
      <c r="L43" s="141">
        <f>SUM(L40:L42)</f>
        <v>4450000</v>
      </c>
      <c r="M43" s="141">
        <f>SUM(M40:M42)</f>
        <v>1140000</v>
      </c>
      <c r="N43" s="145"/>
    </row>
    <row r="44" spans="2:14" ht="15.65" thickTop="1" x14ac:dyDescent="0.3">
      <c r="B44" s="117"/>
      <c r="C44" s="117"/>
      <c r="D44" s="117"/>
      <c r="E44" s="117"/>
      <c r="F44" s="117"/>
      <c r="G44" s="117"/>
      <c r="H44" s="233"/>
      <c r="I44" s="233"/>
      <c r="J44" s="117"/>
      <c r="K44" s="117"/>
      <c r="L44" s="117"/>
    </row>
    <row r="45" spans="2:14" x14ac:dyDescent="0.3">
      <c r="B45" s="222" t="s">
        <v>137</v>
      </c>
      <c r="C45" s="222"/>
      <c r="D45" s="222"/>
      <c r="E45" s="222"/>
      <c r="F45" s="222"/>
      <c r="G45" s="222"/>
      <c r="H45" s="222"/>
      <c r="I45" s="222"/>
      <c r="J45" s="222"/>
      <c r="K45" s="222"/>
      <c r="L45" s="222"/>
    </row>
    <row r="46" spans="2:14" x14ac:dyDescent="0.3">
      <c r="B46" s="222" t="s">
        <v>138</v>
      </c>
      <c r="C46" s="222"/>
      <c r="D46" s="222"/>
      <c r="E46" s="222"/>
      <c r="F46" s="149">
        <v>0.45</v>
      </c>
      <c r="G46" s="117"/>
      <c r="H46" s="117"/>
      <c r="I46" s="229"/>
      <c r="J46" s="229"/>
      <c r="K46" s="117"/>
      <c r="L46" s="117"/>
    </row>
    <row r="47" spans="2:14" x14ac:dyDescent="0.3">
      <c r="B47" s="117"/>
      <c r="C47" s="117"/>
      <c r="D47" s="117"/>
      <c r="E47" s="117"/>
      <c r="F47" s="117"/>
      <c r="G47" s="117"/>
      <c r="H47" s="117"/>
      <c r="I47" s="229"/>
      <c r="J47" s="229"/>
      <c r="K47" s="117"/>
      <c r="L47" s="117"/>
    </row>
    <row r="48" spans="2:14" x14ac:dyDescent="0.3">
      <c r="B48" s="150" t="s">
        <v>139</v>
      </c>
      <c r="C48" s="132">
        <f>+C42*D42</f>
        <v>900000</v>
      </c>
      <c r="D48" s="117"/>
      <c r="E48" s="117"/>
      <c r="F48" s="117"/>
      <c r="G48" s="117"/>
      <c r="H48" s="117"/>
      <c r="I48" s="229"/>
      <c r="J48" s="229"/>
      <c r="K48" s="117"/>
      <c r="L48" s="117"/>
    </row>
    <row r="49" spans="2:14" ht="15.65" thickBot="1" x14ac:dyDescent="0.35">
      <c r="B49" s="150" t="s">
        <v>119</v>
      </c>
      <c r="C49" s="132">
        <v>-405000</v>
      </c>
      <c r="D49" s="117"/>
      <c r="E49" s="117"/>
      <c r="F49" s="117"/>
      <c r="G49" s="117"/>
      <c r="H49" s="117"/>
      <c r="I49" s="229"/>
      <c r="J49" s="229"/>
      <c r="K49" s="117"/>
      <c r="L49" s="117"/>
    </row>
    <row r="50" spans="2:14" x14ac:dyDescent="0.3">
      <c r="B50" s="150" t="s">
        <v>140</v>
      </c>
      <c r="C50" s="151">
        <f>SUM(C48:C49)</f>
        <v>495000</v>
      </c>
      <c r="D50" s="117"/>
      <c r="E50" s="117"/>
      <c r="F50" s="117"/>
      <c r="G50" s="117"/>
      <c r="H50" s="117"/>
      <c r="I50" s="229"/>
      <c r="J50" s="229"/>
      <c r="K50" s="117"/>
      <c r="L50" s="117"/>
    </row>
    <row r="51" spans="2:14" ht="15.65" thickBot="1" x14ac:dyDescent="0.35">
      <c r="B51" s="150" t="s">
        <v>141</v>
      </c>
      <c r="C51" s="132">
        <f>-G42</f>
        <v>-300000</v>
      </c>
      <c r="D51" s="117"/>
      <c r="E51" s="117"/>
      <c r="F51" s="117"/>
      <c r="G51" s="117"/>
      <c r="H51" s="117"/>
      <c r="I51" s="229"/>
      <c r="J51" s="229"/>
      <c r="K51" s="117"/>
      <c r="L51" s="117"/>
    </row>
    <row r="52" spans="2:14" x14ac:dyDescent="0.3">
      <c r="B52" s="152" t="s">
        <v>142</v>
      </c>
      <c r="C52" s="153">
        <f>SUM(C50:C51)</f>
        <v>195000</v>
      </c>
      <c r="D52" s="117"/>
      <c r="E52" s="117"/>
      <c r="F52" s="117"/>
      <c r="G52" s="117"/>
      <c r="H52" s="117"/>
      <c r="I52" s="229"/>
      <c r="J52" s="229"/>
      <c r="K52" s="117"/>
      <c r="L52" s="117"/>
    </row>
    <row r="53" spans="2:14" x14ac:dyDescent="0.3">
      <c r="B53" s="117"/>
      <c r="C53" s="117"/>
      <c r="D53" s="117"/>
      <c r="E53" s="117"/>
      <c r="F53" s="117"/>
      <c r="G53" s="117"/>
      <c r="H53" s="117"/>
      <c r="I53" s="229"/>
      <c r="J53" s="229"/>
      <c r="K53" s="117"/>
      <c r="L53" s="117"/>
    </row>
    <row r="54" spans="2:14" x14ac:dyDescent="0.3">
      <c r="B54" s="229" t="s">
        <v>143</v>
      </c>
      <c r="C54" s="229"/>
      <c r="D54" s="229"/>
      <c r="E54" s="132">
        <f>+E25</f>
        <v>3000000</v>
      </c>
      <c r="F54" s="154" t="s">
        <v>176</v>
      </c>
      <c r="G54" s="154">
        <f>+C52</f>
        <v>195000</v>
      </c>
      <c r="H54" s="118" t="s">
        <v>144</v>
      </c>
      <c r="I54" s="230">
        <f>+E54-G54</f>
        <v>2805000</v>
      </c>
      <c r="J54" s="231"/>
      <c r="K54" s="117"/>
      <c r="L54" s="117"/>
    </row>
    <row r="55" spans="2:14" ht="15.65" thickBot="1" x14ac:dyDescent="0.35">
      <c r="B55" s="117"/>
      <c r="C55" s="117"/>
      <c r="D55" s="117"/>
      <c r="E55" s="117"/>
      <c r="F55" s="117"/>
      <c r="G55" s="117"/>
      <c r="H55" s="117"/>
      <c r="I55" s="232"/>
      <c r="J55" s="232"/>
      <c r="K55" s="117"/>
      <c r="L55" s="117"/>
    </row>
    <row r="56" spans="2:14" ht="15.65" customHeight="1" thickTop="1" x14ac:dyDescent="0.3">
      <c r="B56" s="119" t="s">
        <v>52</v>
      </c>
      <c r="C56" s="120" t="s">
        <v>124</v>
      </c>
      <c r="D56" s="205" t="s">
        <v>171</v>
      </c>
      <c r="E56" s="205" t="s">
        <v>172</v>
      </c>
      <c r="F56" s="121" t="s">
        <v>125</v>
      </c>
      <c r="G56" s="207" t="s">
        <v>173</v>
      </c>
      <c r="H56" s="119" t="s">
        <v>126</v>
      </c>
      <c r="I56" s="120" t="s">
        <v>127</v>
      </c>
      <c r="J56" s="209" t="s">
        <v>175</v>
      </c>
      <c r="K56" s="197"/>
      <c r="L56" s="205" t="s">
        <v>177</v>
      </c>
      <c r="M56" s="197" t="s">
        <v>178</v>
      </c>
      <c r="N56" s="122" t="s">
        <v>128</v>
      </c>
    </row>
    <row r="57" spans="2:14" ht="16.3" customHeight="1" thickBot="1" x14ac:dyDescent="0.35">
      <c r="B57" s="123"/>
      <c r="C57" s="124" t="s">
        <v>129</v>
      </c>
      <c r="D57" s="206"/>
      <c r="E57" s="206"/>
      <c r="F57" s="125" t="s">
        <v>130</v>
      </c>
      <c r="G57" s="208"/>
      <c r="H57" s="123" t="s">
        <v>131</v>
      </c>
      <c r="I57" s="124"/>
      <c r="J57" s="210"/>
      <c r="K57" s="198"/>
      <c r="L57" s="206"/>
      <c r="M57" s="198"/>
      <c r="N57" s="126" t="s">
        <v>132</v>
      </c>
    </row>
    <row r="58" spans="2:14" ht="15.65" thickBot="1" x14ac:dyDescent="0.35">
      <c r="B58" s="127" t="s">
        <v>133</v>
      </c>
      <c r="C58" s="128">
        <v>180000</v>
      </c>
      <c r="D58" s="180">
        <v>15.5</v>
      </c>
      <c r="E58" s="180">
        <v>2.5</v>
      </c>
      <c r="F58" s="129">
        <f>+C58*D58</f>
        <v>2790000</v>
      </c>
      <c r="G58" s="130">
        <f>+C58*E58</f>
        <v>450000</v>
      </c>
      <c r="H58" s="131">
        <f>+F58-G58</f>
        <v>2340000</v>
      </c>
      <c r="I58" s="188">
        <f>+H58/H60</f>
        <v>0.66101694915254239</v>
      </c>
      <c r="J58" s="199">
        <f>+I58*I54</f>
        <v>1854152.5423728814</v>
      </c>
      <c r="K58" s="200"/>
      <c r="L58" s="182">
        <f>+G58+J58</f>
        <v>2304152.5423728814</v>
      </c>
      <c r="M58" s="185">
        <f>+F58-L58</f>
        <v>485847.45762711857</v>
      </c>
      <c r="N58" s="133">
        <f>+L58/C58</f>
        <v>12.800847457627119</v>
      </c>
    </row>
    <row r="59" spans="2:14" ht="15.65" thickBot="1" x14ac:dyDescent="0.35">
      <c r="B59" s="127" t="s">
        <v>134</v>
      </c>
      <c r="C59" s="128">
        <v>200000</v>
      </c>
      <c r="D59" s="180">
        <v>9.5</v>
      </c>
      <c r="E59" s="180">
        <v>3.5</v>
      </c>
      <c r="F59" s="129">
        <f>+C59*D59</f>
        <v>1900000</v>
      </c>
      <c r="G59" s="130">
        <f>+C59*E59</f>
        <v>700000</v>
      </c>
      <c r="H59" s="131">
        <f>+F59-G59</f>
        <v>1200000</v>
      </c>
      <c r="I59" s="188">
        <f>+H59/H60</f>
        <v>0.33898305084745761</v>
      </c>
      <c r="J59" s="199">
        <f>+I59*I54</f>
        <v>950847.45762711857</v>
      </c>
      <c r="K59" s="200"/>
      <c r="L59" s="182">
        <f>+G59+J59</f>
        <v>1650847.4576271186</v>
      </c>
      <c r="M59" s="185">
        <f>+F59-L59</f>
        <v>249152.54237288143</v>
      </c>
      <c r="N59" s="133">
        <f>+L59/C59</f>
        <v>8.2542372881355934</v>
      </c>
    </row>
    <row r="60" spans="2:14" ht="15.65" thickBot="1" x14ac:dyDescent="0.35">
      <c r="B60" s="155" t="s">
        <v>145</v>
      </c>
      <c r="C60" s="156">
        <v>380000</v>
      </c>
      <c r="D60" s="180"/>
      <c r="E60" s="180"/>
      <c r="F60" s="157">
        <v>4690000</v>
      </c>
      <c r="G60" s="158">
        <f>SUM(G58:G59)</f>
        <v>1150000</v>
      </c>
      <c r="H60" s="159">
        <f>SUM(H58:H59)</f>
        <v>3540000</v>
      </c>
      <c r="I60" s="189">
        <f>SUM(I58:I59)</f>
        <v>1</v>
      </c>
      <c r="J60" s="201">
        <f>SUM(J58:J59)</f>
        <v>2805000</v>
      </c>
      <c r="K60" s="202"/>
      <c r="L60" s="183">
        <v>3955000</v>
      </c>
      <c r="M60" s="186">
        <f>SUM(M58:M59)</f>
        <v>735000</v>
      </c>
      <c r="N60" s="160"/>
    </row>
    <row r="61" spans="2:14" ht="15.65" thickBot="1" x14ac:dyDescent="0.35">
      <c r="B61" s="161" t="s">
        <v>135</v>
      </c>
      <c r="C61" s="162">
        <v>600000</v>
      </c>
      <c r="D61" s="181">
        <v>1.5</v>
      </c>
      <c r="E61" s="181">
        <v>0.5</v>
      </c>
      <c r="F61" s="163">
        <f>+C61*D61</f>
        <v>900000</v>
      </c>
      <c r="G61" s="132">
        <f>+C61*E61</f>
        <v>300000</v>
      </c>
      <c r="H61" s="136"/>
      <c r="I61" s="137"/>
      <c r="J61" s="199">
        <f>+C52</f>
        <v>195000</v>
      </c>
      <c r="K61" s="200"/>
      <c r="L61" s="182">
        <f>+C50</f>
        <v>495000</v>
      </c>
      <c r="M61" s="185">
        <f>+C49*(-1)</f>
        <v>405000</v>
      </c>
      <c r="N61" s="138">
        <f>+L61/C61</f>
        <v>0.82499999999999996</v>
      </c>
    </row>
    <row r="62" spans="2:14" ht="15.65" thickBot="1" x14ac:dyDescent="0.35">
      <c r="B62" s="139" t="s">
        <v>95</v>
      </c>
      <c r="C62" s="140">
        <v>980000</v>
      </c>
      <c r="D62" s="177"/>
      <c r="E62" s="177"/>
      <c r="F62" s="141">
        <f>+F60+F61</f>
        <v>5590000</v>
      </c>
      <c r="G62" s="142">
        <f>SUM(G60:G61)</f>
        <v>1450000</v>
      </c>
      <c r="H62" s="143"/>
      <c r="I62" s="144"/>
      <c r="J62" s="203">
        <v>3000000</v>
      </c>
      <c r="K62" s="204"/>
      <c r="L62" s="184">
        <v>4450000</v>
      </c>
      <c r="M62" s="187">
        <f>SUM(M60:M61)</f>
        <v>1140000</v>
      </c>
      <c r="N62" s="145"/>
    </row>
    <row r="63" spans="2:14" ht="15.65" thickTop="1" x14ac:dyDescent="0.3"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</row>
    <row r="64" spans="2:14" x14ac:dyDescent="0.3">
      <c r="B64" s="116"/>
    </row>
  </sheetData>
  <mergeCells count="60">
    <mergeCell ref="H25:I25"/>
    <mergeCell ref="H28:I28"/>
    <mergeCell ref="J31:K31"/>
    <mergeCell ref="D29:D30"/>
    <mergeCell ref="E29:E30"/>
    <mergeCell ref="G29:G30"/>
    <mergeCell ref="H29:H30"/>
    <mergeCell ref="B46:E46"/>
    <mergeCell ref="I46:J46"/>
    <mergeCell ref="I47:J47"/>
    <mergeCell ref="H37:I37"/>
    <mergeCell ref="J32:K32"/>
    <mergeCell ref="J33:K33"/>
    <mergeCell ref="J34:K34"/>
    <mergeCell ref="H35:I35"/>
    <mergeCell ref="B36:E36"/>
    <mergeCell ref="H36:I36"/>
    <mergeCell ref="B54:D54"/>
    <mergeCell ref="I54:J54"/>
    <mergeCell ref="I55:J55"/>
    <mergeCell ref="D56:D57"/>
    <mergeCell ref="E56:E57"/>
    <mergeCell ref="B27:E27"/>
    <mergeCell ref="A1:C1"/>
    <mergeCell ref="A15:C15"/>
    <mergeCell ref="A16:C16"/>
    <mergeCell ref="A17:C17"/>
    <mergeCell ref="A18:C18"/>
    <mergeCell ref="B25:D25"/>
    <mergeCell ref="A7:C7"/>
    <mergeCell ref="A8:C8"/>
    <mergeCell ref="A9:C9"/>
    <mergeCell ref="A10:C10"/>
    <mergeCell ref="A6:D6"/>
    <mergeCell ref="D38:D39"/>
    <mergeCell ref="E38:E39"/>
    <mergeCell ref="G38:G39"/>
    <mergeCell ref="J29:K30"/>
    <mergeCell ref="J38:K39"/>
    <mergeCell ref="J62:K62"/>
    <mergeCell ref="L56:L57"/>
    <mergeCell ref="G56:G57"/>
    <mergeCell ref="J40:K40"/>
    <mergeCell ref="J41:K41"/>
    <mergeCell ref="J42:K42"/>
    <mergeCell ref="J43:K43"/>
    <mergeCell ref="J56:K57"/>
    <mergeCell ref="I48:J48"/>
    <mergeCell ref="I49:J49"/>
    <mergeCell ref="I50:J50"/>
    <mergeCell ref="I51:J51"/>
    <mergeCell ref="I52:J52"/>
    <mergeCell ref="I53:J53"/>
    <mergeCell ref="H44:I44"/>
    <mergeCell ref="B45:L45"/>
    <mergeCell ref="M56:M57"/>
    <mergeCell ref="J58:K58"/>
    <mergeCell ref="J59:K59"/>
    <mergeCell ref="J60:K60"/>
    <mergeCell ref="J61:K6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Produccion Conjunta</vt:lpstr>
      <vt:lpstr>Contabilidad de subproductos</vt:lpstr>
      <vt:lpstr>Ejercicios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2020-10-04T23:34:29Z</dcterms:created>
  <dcterms:modified xsi:type="dcterms:W3CDTF">2020-10-20T20:10:56Z</dcterms:modified>
</cp:coreProperties>
</file>