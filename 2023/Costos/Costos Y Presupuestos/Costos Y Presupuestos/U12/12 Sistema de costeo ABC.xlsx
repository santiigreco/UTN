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54116\Dropbox\UTN\Costos 2022\I3001 2022 03 28\"/>
    </mc:Choice>
  </mc:AlternateContent>
  <xr:revisionPtr revIDLastSave="0" documentId="13_ncr:1_{94F03ACA-AE85-4ADC-B349-E11D628883DE}" xr6:coauthVersionLast="47" xr6:coauthVersionMax="47" xr10:uidLastSave="{00000000-0000-0000-0000-000000000000}"/>
  <bookViews>
    <workbookView xWindow="-108" yWindow="-108" windowWidth="23256" windowHeight="12576" xr2:uid="{4704A4F0-E85E-4069-90A7-A02CFDE4D24B}"/>
  </bookViews>
  <sheets>
    <sheet name="ABC 23" sheetId="3" r:id="rId1"/>
    <sheet name="ABC 25" sheetId="1" r:id="rId2"/>
    <sheet name="ABC 26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53" i="3" l="1"/>
  <c r="C51" i="3"/>
  <c r="E45" i="3"/>
  <c r="E50" i="3"/>
  <c r="C50" i="3"/>
  <c r="C45" i="3"/>
  <c r="C59" i="1"/>
  <c r="C78" i="1"/>
  <c r="C77" i="1"/>
  <c r="C76" i="1"/>
  <c r="C72" i="1"/>
  <c r="C71" i="1"/>
  <c r="C70" i="1"/>
  <c r="C66" i="1"/>
  <c r="C65" i="1"/>
  <c r="C64" i="1"/>
  <c r="C60" i="1"/>
  <c r="C58" i="1"/>
  <c r="C56" i="1"/>
  <c r="C55" i="1"/>
  <c r="C54" i="1"/>
  <c r="E51" i="1"/>
  <c r="M51" i="1"/>
  <c r="L51" i="1"/>
  <c r="K51" i="1"/>
  <c r="K41" i="1"/>
  <c r="L41" i="1"/>
  <c r="M41" i="1"/>
  <c r="K43" i="1"/>
  <c r="L43" i="1"/>
  <c r="M43" i="1"/>
  <c r="K45" i="1"/>
  <c r="L45" i="1"/>
  <c r="M45" i="1"/>
  <c r="K47" i="1"/>
  <c r="L47" i="1"/>
  <c r="M47" i="1"/>
  <c r="M39" i="1"/>
  <c r="L39" i="1"/>
  <c r="K39" i="1"/>
  <c r="J39" i="1"/>
  <c r="I39" i="1"/>
  <c r="C35" i="3"/>
  <c r="G31" i="3"/>
  <c r="I31" i="3" s="1"/>
  <c r="G29" i="3"/>
  <c r="I29" i="3" s="1"/>
  <c r="F33" i="3"/>
  <c r="G33" i="3" s="1"/>
  <c r="F32" i="3"/>
  <c r="G32" i="3" s="1"/>
  <c r="F31" i="3"/>
  <c r="F30" i="3"/>
  <c r="G30" i="3" s="1"/>
  <c r="F29" i="3"/>
  <c r="H31" i="3" l="1"/>
  <c r="I30" i="3"/>
  <c r="H30" i="3"/>
  <c r="H32" i="3"/>
  <c r="I32" i="3"/>
  <c r="H33" i="3"/>
  <c r="I33" i="3"/>
  <c r="H29" i="3"/>
  <c r="J45" i="1"/>
  <c r="J47" i="1"/>
  <c r="J43" i="1"/>
  <c r="J41" i="1"/>
  <c r="I41" i="1"/>
  <c r="I43" i="1"/>
  <c r="I45" i="1"/>
  <c r="I47" i="1"/>
  <c r="H35" i="3" l="1"/>
  <c r="G45" i="3" s="1"/>
  <c r="I35" i="3"/>
  <c r="G50" i="3" s="1"/>
  <c r="C41" i="3"/>
  <c r="C46" i="3" l="1"/>
  <c r="C48" i="3" s="1"/>
  <c r="C40" i="3"/>
</calcChain>
</file>

<file path=xl/sharedStrings.xml><?xml version="1.0" encoding="utf-8"?>
<sst xmlns="http://schemas.openxmlformats.org/spreadsheetml/2006/main" count="91" uniqueCount="77">
  <si>
    <t>Actividad</t>
  </si>
  <si>
    <t>Inductores</t>
  </si>
  <si>
    <t>Prod X      eventos</t>
  </si>
  <si>
    <t>Prod Y      eventos</t>
  </si>
  <si>
    <t>Prod Z      eventos</t>
  </si>
  <si>
    <t>Costos Incurridos $</t>
  </si>
  <si>
    <t>preparacion de maquinas</t>
  </si>
  <si>
    <t>Hs/Hombre</t>
  </si>
  <si>
    <t>Ordenes de produccion</t>
  </si>
  <si>
    <t>Horas maquina trabajadas</t>
  </si>
  <si>
    <t>Recibos de material</t>
  </si>
  <si>
    <t>Unidades Producidas</t>
  </si>
  <si>
    <t>Nro de inspecciones</t>
  </si>
  <si>
    <t>Nro de ordenes</t>
  </si>
  <si>
    <t>Hs/Maquina</t>
  </si>
  <si>
    <t>eventos totales</t>
  </si>
  <si>
    <t>Costo por inductor</t>
  </si>
  <si>
    <t>Prod X                             GIF que absorbe</t>
  </si>
  <si>
    <t>Prod Y                                  GIF que absorbe</t>
  </si>
  <si>
    <t>Prod Z                                         GIF que absorbe</t>
  </si>
  <si>
    <t>Actividades</t>
  </si>
  <si>
    <t>Costos incurridos $</t>
  </si>
  <si>
    <t>Articulo A        Cantidad de eventos</t>
  </si>
  <si>
    <t>Articulo B      Cantidad de eventos</t>
  </si>
  <si>
    <t>Preparacion de maquinas</t>
  </si>
  <si>
    <t>Inspeccion de calidad</t>
  </si>
  <si>
    <t>Horas Maquina Trabajadas</t>
  </si>
  <si>
    <t>unidades producidas</t>
  </si>
  <si>
    <t>Nº de inspecciones</t>
  </si>
  <si>
    <t>Nº de Ordenes</t>
  </si>
  <si>
    <t>Nº de recibos</t>
  </si>
  <si>
    <t>RESPUESTAS</t>
  </si>
  <si>
    <t>Eventos totales</t>
  </si>
  <si>
    <t>Costo unitario del inductor</t>
  </si>
  <si>
    <t>GIF que absorbe A</t>
  </si>
  <si>
    <t>GIF que absorbe B</t>
  </si>
  <si>
    <t>TOTAL DE GIF =</t>
  </si>
  <si>
    <t>a)</t>
  </si>
  <si>
    <t xml:space="preserve"> </t>
  </si>
  <si>
    <t>GIFu A     =</t>
  </si>
  <si>
    <t>GIFu B     =</t>
  </si>
  <si>
    <t>b)</t>
  </si>
  <si>
    <t>costo =</t>
  </si>
  <si>
    <t>MP + MOD + GIF</t>
  </si>
  <si>
    <t>+</t>
  </si>
  <si>
    <t>Costo B =</t>
  </si>
  <si>
    <t>Costo A =</t>
  </si>
  <si>
    <t>Costo Total A  =</t>
  </si>
  <si>
    <t>Costo total B =</t>
  </si>
  <si>
    <t>RESULTADOS</t>
  </si>
  <si>
    <t>Inspecciones  de calidad</t>
  </si>
  <si>
    <t>TOTAL DE GIF</t>
  </si>
  <si>
    <t>Costo Total X =</t>
  </si>
  <si>
    <t>Costo Total Y =</t>
  </si>
  <si>
    <t>Costo Total Z =</t>
  </si>
  <si>
    <t>Costo unit X =</t>
  </si>
  <si>
    <t>Costo unit Y =</t>
  </si>
  <si>
    <t>Costo unit Z =</t>
  </si>
  <si>
    <t>c)</t>
  </si>
  <si>
    <t>Costos directos totales =</t>
  </si>
  <si>
    <t>MP + MOD</t>
  </si>
  <si>
    <t>CD total X =</t>
  </si>
  <si>
    <t>CD total Y =</t>
  </si>
  <si>
    <t>CD total Z =</t>
  </si>
  <si>
    <t>d)</t>
  </si>
  <si>
    <t>Costos directos unitarios</t>
  </si>
  <si>
    <t>CD unit X =</t>
  </si>
  <si>
    <t>CD unit Y =</t>
  </si>
  <si>
    <t>CD unit Z =</t>
  </si>
  <si>
    <t>e)</t>
  </si>
  <si>
    <t>Costos totales unitarios de cada producto</t>
  </si>
  <si>
    <t>Costo unitario X =</t>
  </si>
  <si>
    <t>Costo unitario Y =</t>
  </si>
  <si>
    <t>Costo unitario Z =</t>
  </si>
  <si>
    <t>MPA =</t>
  </si>
  <si>
    <t>MPB=</t>
  </si>
  <si>
    <t>MOD (A-B)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</si>
</sst>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&quot;$&quot;\ * #,##0_-;\-&quot;$&quot;\ * #,##0_-;_-&quot;$&quot;\ * &quot;-&quot;??_-;_-@_-"/>
    <numFmt numFmtId="165" formatCode="_-* #,##0_-;\-* #,##0_-;_-* &quot;-&quot;??_-;_-@_-"/>
    <numFmt numFmtId="169" formatCode="&quot;$&quot;\ #,##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9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5" fontId="0" fillId="0" borderId="1" xfId="1" applyNumberFormat="1" applyFont="1" applyBorder="1" applyAlignment="1">
      <alignment horizontal="center" vertical="center"/>
    </xf>
    <xf numFmtId="165" fontId="0" fillId="0" borderId="9" xfId="1" applyNumberFormat="1" applyFont="1" applyBorder="1" applyAlignment="1">
      <alignment horizontal="center" vertical="center"/>
    </xf>
    <xf numFmtId="0" fontId="0" fillId="0" borderId="1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6" xfId="0" applyBorder="1" applyAlignment="1">
      <alignment wrapText="1"/>
    </xf>
    <xf numFmtId="165" fontId="0" fillId="0" borderId="7" xfId="1" applyNumberFormat="1" applyFont="1" applyBorder="1" applyAlignment="1">
      <alignment horizontal="center" vertical="center"/>
    </xf>
    <xf numFmtId="0" fontId="0" fillId="0" borderId="8" xfId="0" applyBorder="1" applyAlignment="1">
      <alignment wrapText="1"/>
    </xf>
    <xf numFmtId="165" fontId="0" fillId="0" borderId="10" xfId="1" applyNumberFormat="1" applyFont="1" applyBorder="1" applyAlignment="1">
      <alignment horizontal="center" vertical="center"/>
    </xf>
    <xf numFmtId="0" fontId="2" fillId="0" borderId="21" xfId="0" applyFont="1" applyBorder="1" applyAlignment="1">
      <alignment vertical="center"/>
    </xf>
    <xf numFmtId="0" fontId="2" fillId="0" borderId="20" xfId="0" applyFont="1" applyBorder="1" applyAlignment="1">
      <alignment vertical="center"/>
    </xf>
    <xf numFmtId="0" fontId="2" fillId="0" borderId="20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0" fillId="0" borderId="3" xfId="0" applyBorder="1" applyAlignment="1">
      <alignment wrapText="1"/>
    </xf>
    <xf numFmtId="165" fontId="0" fillId="0" borderId="4" xfId="1" applyNumberFormat="1" applyFont="1" applyBorder="1" applyAlignment="1">
      <alignment horizontal="center" vertical="center"/>
    </xf>
    <xf numFmtId="165" fontId="0" fillId="0" borderId="5" xfId="1" applyNumberFormat="1" applyFont="1" applyBorder="1" applyAlignment="1">
      <alignment horizontal="center" vertical="center"/>
    </xf>
    <xf numFmtId="165" fontId="0" fillId="0" borderId="4" xfId="1" applyNumberFormat="1" applyFont="1" applyBorder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165" fontId="0" fillId="0" borderId="14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5" fontId="0" fillId="0" borderId="0" xfId="0" applyNumberFormat="1"/>
    <xf numFmtId="44" fontId="0" fillId="0" borderId="0" xfId="2" applyFont="1"/>
    <xf numFmtId="164" fontId="0" fillId="0" borderId="0" xfId="2" applyNumberFormat="1" applyFont="1"/>
    <xf numFmtId="164" fontId="0" fillId="0" borderId="0" xfId="0" applyNumberFormat="1"/>
    <xf numFmtId="164" fontId="0" fillId="0" borderId="1" xfId="2" applyNumberFormat="1" applyFont="1" applyBorder="1"/>
    <xf numFmtId="0" fontId="0" fillId="0" borderId="26" xfId="0" applyBorder="1"/>
    <xf numFmtId="44" fontId="0" fillId="0" borderId="27" xfId="2" applyFont="1" applyBorder="1"/>
    <xf numFmtId="0" fontId="0" fillId="0" borderId="28" xfId="0" applyBorder="1"/>
    <xf numFmtId="44" fontId="0" fillId="0" borderId="29" xfId="2" applyFont="1" applyBorder="1"/>
    <xf numFmtId="0" fontId="0" fillId="0" borderId="30" xfId="0" applyBorder="1"/>
    <xf numFmtId="0" fontId="0" fillId="0" borderId="33" xfId="0" applyBorder="1" applyAlignment="1">
      <alignment vertical="center"/>
    </xf>
    <xf numFmtId="164" fontId="0" fillId="0" borderId="34" xfId="0" applyNumberFormat="1" applyBorder="1" applyAlignment="1">
      <alignment vertical="center"/>
    </xf>
    <xf numFmtId="164" fontId="0" fillId="0" borderId="31" xfId="0" applyNumberFormat="1" applyBorder="1" applyAlignment="1">
      <alignment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wrapText="1"/>
    </xf>
    <xf numFmtId="0" fontId="0" fillId="0" borderId="5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164" fontId="0" fillId="0" borderId="20" xfId="2" applyNumberFormat="1" applyFont="1" applyBorder="1" applyAlignment="1">
      <alignment horizontal="center" vertical="center"/>
    </xf>
    <xf numFmtId="164" fontId="0" fillId="0" borderId="32" xfId="2" applyNumberFormat="1" applyFont="1" applyBorder="1" applyAlignment="1">
      <alignment horizontal="center" vertical="center"/>
    </xf>
    <xf numFmtId="165" fontId="0" fillId="0" borderId="7" xfId="1" applyNumberFormat="1" applyFont="1" applyBorder="1" applyAlignment="1">
      <alignment horizontal="center" vertical="center"/>
    </xf>
    <xf numFmtId="165" fontId="0" fillId="0" borderId="12" xfId="1" applyNumberFormat="1" applyFont="1" applyBorder="1" applyAlignment="1">
      <alignment horizontal="center" vertical="center"/>
    </xf>
    <xf numFmtId="0" fontId="0" fillId="0" borderId="4" xfId="0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1" fontId="0" fillId="0" borderId="2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25" xfId="0" applyBorder="1" applyAlignment="1">
      <alignment horizontal="center" wrapText="1"/>
    </xf>
    <xf numFmtId="0" fontId="0" fillId="0" borderId="15" xfId="0" applyBorder="1" applyAlignment="1">
      <alignment horizontal="center" wrapText="1"/>
    </xf>
    <xf numFmtId="165" fontId="0" fillId="0" borderId="13" xfId="0" applyNumberFormat="1" applyBorder="1" applyAlignment="1">
      <alignment vertical="center"/>
    </xf>
    <xf numFmtId="0" fontId="0" fillId="0" borderId="14" xfId="0" applyBorder="1" applyAlignment="1">
      <alignment vertical="center"/>
    </xf>
    <xf numFmtId="165" fontId="0" fillId="0" borderId="14" xfId="0" applyNumberFormat="1" applyBorder="1" applyAlignment="1">
      <alignment vertical="center"/>
    </xf>
    <xf numFmtId="0" fontId="0" fillId="0" borderId="1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65" fontId="0" fillId="0" borderId="2" xfId="1" applyNumberFormat="1" applyFont="1" applyBorder="1" applyAlignment="1">
      <alignment horizontal="center" vertical="center"/>
    </xf>
    <xf numFmtId="165" fontId="0" fillId="0" borderId="9" xfId="1" applyNumberFormat="1" applyFont="1" applyBorder="1" applyAlignment="1">
      <alignment horizontal="center" vertical="center"/>
    </xf>
    <xf numFmtId="165" fontId="0" fillId="0" borderId="10" xfId="1" applyNumberFormat="1" applyFont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164" fontId="0" fillId="0" borderId="1" xfId="2" applyNumberFormat="1" applyFont="1" applyBorder="1" applyAlignment="1">
      <alignment horizontal="center" vertical="center"/>
    </xf>
    <xf numFmtId="165" fontId="0" fillId="0" borderId="1" xfId="1" applyNumberFormat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5" xfId="0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0" fillId="0" borderId="3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16" xfId="0" applyBorder="1" applyAlignment="1">
      <alignment horizontal="center" vertical="center" wrapText="1"/>
    </xf>
    <xf numFmtId="164" fontId="0" fillId="0" borderId="2" xfId="2" applyNumberFormat="1" applyFont="1" applyBorder="1" applyAlignment="1">
      <alignment horizontal="center" vertical="center"/>
    </xf>
    <xf numFmtId="0" fontId="3" fillId="0" borderId="30" xfId="0" applyFont="1" applyBorder="1" applyAlignment="1">
      <alignment horizontal="center"/>
    </xf>
    <xf numFmtId="0" fontId="3" fillId="0" borderId="31" xfId="0" applyFont="1" applyBorder="1" applyAlignment="1">
      <alignment horizontal="center"/>
    </xf>
    <xf numFmtId="0" fontId="0" fillId="0" borderId="3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164" fontId="0" fillId="0" borderId="0" xfId="0" applyNumberFormat="1" applyAlignment="1">
      <alignment horizontal="center"/>
    </xf>
    <xf numFmtId="0" fontId="0" fillId="0" borderId="17" xfId="0" applyBorder="1" applyAlignment="1">
      <alignment horizontal="center" vertical="center" wrapText="1"/>
    </xf>
    <xf numFmtId="164" fontId="0" fillId="0" borderId="9" xfId="2" applyNumberFormat="1" applyFont="1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7" xfId="0" applyBorder="1" applyAlignment="1">
      <alignment horizontal="center"/>
    </xf>
    <xf numFmtId="169" fontId="0" fillId="0" borderId="0" xfId="0" applyNumberFormat="1"/>
    <xf numFmtId="169" fontId="0" fillId="0" borderId="0" xfId="0" applyNumberFormat="1" applyAlignment="1">
      <alignment horizontal="center"/>
    </xf>
    <xf numFmtId="169" fontId="0" fillId="0" borderId="0" xfId="0" applyNumberFormat="1" applyAlignment="1">
      <alignment horizontal="center" vertical="center"/>
    </xf>
    <xf numFmtId="43" fontId="0" fillId="0" borderId="31" xfId="0" applyNumberFormat="1" applyBorder="1"/>
    <xf numFmtId="43" fontId="0" fillId="0" borderId="31" xfId="0" applyNumberFormat="1" applyBorder="1" applyAlignment="1">
      <alignment horizontal="left"/>
    </xf>
  </cellXfs>
  <cellStyles count="3">
    <cellStyle name="Millares" xfId="1" builtinId="3"/>
    <cellStyle name="Mon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819471</xdr:colOff>
      <xdr:row>3</xdr:row>
      <xdr:rowOff>40566</xdr:rowOff>
    </xdr:from>
    <xdr:to>
      <xdr:col>10</xdr:col>
      <xdr:colOff>627877</xdr:colOff>
      <xdr:row>5</xdr:row>
      <xdr:rowOff>162568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FB1188B-7654-4DD7-A521-D82176DBC0B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5074" t="49491" r="51230" b="41384"/>
        <a:stretch/>
      </xdr:blipFill>
      <xdr:spPr>
        <a:xfrm>
          <a:off x="7058811" y="624744"/>
          <a:ext cx="3294113" cy="511454"/>
        </a:xfrm>
        <a:prstGeom prst="rect">
          <a:avLst/>
        </a:prstGeom>
      </xdr:spPr>
    </xdr:pic>
    <xdr:clientData/>
  </xdr:twoCellAnchor>
  <xdr:twoCellAnchor editAs="oneCell">
    <xdr:from>
      <xdr:col>0</xdr:col>
      <xdr:colOff>32455</xdr:colOff>
      <xdr:row>0</xdr:row>
      <xdr:rowOff>16226</xdr:rowOff>
    </xdr:from>
    <xdr:to>
      <xdr:col>5</xdr:col>
      <xdr:colOff>535240</xdr:colOff>
      <xdr:row>20</xdr:row>
      <xdr:rowOff>105301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04B658D-3C14-43A0-977A-23DA37460E5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7988" t="13883" r="26965" b="10548"/>
        <a:stretch/>
      </xdr:blipFill>
      <xdr:spPr>
        <a:xfrm>
          <a:off x="32455" y="16226"/>
          <a:ext cx="6083826" cy="397565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33386</xdr:colOff>
      <xdr:row>1</xdr:row>
      <xdr:rowOff>181802</xdr:rowOff>
    </xdr:from>
    <xdr:to>
      <xdr:col>9</xdr:col>
      <xdr:colOff>175228</xdr:colOff>
      <xdr:row>34</xdr:row>
      <xdr:rowOff>56670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0815BCF-B1D5-4D3C-A7CA-F18F12D239D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7812" t="15133" r="30192" b="5202"/>
        <a:stretch/>
      </xdr:blipFill>
      <xdr:spPr>
        <a:xfrm>
          <a:off x="33386" y="369742"/>
          <a:ext cx="8597394" cy="6137466"/>
        </a:xfrm>
        <a:prstGeom prst="rect">
          <a:avLst/>
        </a:prstGeom>
      </xdr:spPr>
    </xdr:pic>
    <xdr:clientData/>
  </xdr:twoCellAnchor>
  <xdr:twoCellAnchor editAs="oneCell">
    <xdr:from>
      <xdr:col>10</xdr:col>
      <xdr:colOff>1003519</xdr:colOff>
      <xdr:row>9</xdr:row>
      <xdr:rowOff>12272</xdr:rowOff>
    </xdr:from>
    <xdr:to>
      <xdr:col>18</xdr:col>
      <xdr:colOff>469675</xdr:colOff>
      <xdr:row>17</xdr:row>
      <xdr:rowOff>109247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82A7F91-9917-4599-B0CE-3D7C9D8E7F5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5883" t="44286" r="37706" b="36470"/>
        <a:stretch/>
      </xdr:blipFill>
      <xdr:spPr>
        <a:xfrm>
          <a:off x="10309287" y="1794461"/>
          <a:ext cx="6888390" cy="163239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76055</xdr:colOff>
      <xdr:row>5</xdr:row>
      <xdr:rowOff>77578</xdr:rowOff>
    </xdr:from>
    <xdr:to>
      <xdr:col>12</xdr:col>
      <xdr:colOff>380410</xdr:colOff>
      <xdr:row>37</xdr:row>
      <xdr:rowOff>37050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2007D0D-BE26-4ACA-9283-5558B5FD899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7811" t="15562" r="27151" b="9771"/>
        <a:stretch/>
      </xdr:blipFill>
      <xdr:spPr>
        <a:xfrm>
          <a:off x="905757" y="1045563"/>
          <a:ext cx="9431069" cy="6154575"/>
        </a:xfrm>
        <a:prstGeom prst="rect">
          <a:avLst/>
        </a:prstGeom>
      </xdr:spPr>
    </xdr:pic>
    <xdr:clientData/>
  </xdr:twoCellAnchor>
  <xdr:twoCellAnchor editAs="oneCell">
    <xdr:from>
      <xdr:col>14</xdr:col>
      <xdr:colOff>97647</xdr:colOff>
      <xdr:row>7</xdr:row>
      <xdr:rowOff>81219</xdr:rowOff>
    </xdr:from>
    <xdr:to>
      <xdr:col>22</xdr:col>
      <xdr:colOff>51651</xdr:colOff>
      <xdr:row>15</xdr:row>
      <xdr:rowOff>13950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A53E1AB-0451-48C3-93AD-41B7A20D569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5997" t="72735" r="37785" b="8711"/>
        <a:stretch/>
      </xdr:blipFill>
      <xdr:spPr>
        <a:xfrm>
          <a:off x="11620063" y="1448286"/>
          <a:ext cx="6538242" cy="149509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A8EA5-E352-42F0-BAC8-B528B33C6AB1}">
  <dimension ref="A3:J53"/>
  <sheetViews>
    <sheetView tabSelected="1" topLeftCell="A34" zoomScale="96" zoomScaleNormal="96" zoomScaleSheetLayoutView="92" workbookViewId="0">
      <selection activeCell="D56" sqref="D56"/>
    </sheetView>
  </sheetViews>
  <sheetFormatPr baseColWidth="10" defaultRowHeight="14.4" x14ac:dyDescent="0.3"/>
  <cols>
    <col min="1" max="1" width="14.88671875" customWidth="1"/>
    <col min="2" max="2" width="13.88671875" bestFit="1" customWidth="1"/>
    <col min="3" max="3" width="14.5546875" customWidth="1"/>
    <col min="4" max="4" width="17.77734375" customWidth="1"/>
    <col min="5" max="5" width="16.88671875" customWidth="1"/>
    <col min="6" max="6" width="11.5546875" style="10"/>
    <col min="7" max="7" width="11.88671875" bestFit="1" customWidth="1"/>
    <col min="8" max="9" width="12.77734375" bestFit="1" customWidth="1"/>
  </cols>
  <sheetData>
    <row r="3" spans="8:9" ht="15" x14ac:dyDescent="0.3">
      <c r="H3" s="41" t="s">
        <v>31</v>
      </c>
      <c r="I3" s="41"/>
    </row>
    <row r="20" spans="1:10" ht="13.8" customHeight="1" x14ac:dyDescent="0.3"/>
    <row r="23" spans="1:10" x14ac:dyDescent="0.3">
      <c r="B23" t="s">
        <v>74</v>
      </c>
      <c r="C23" s="94">
        <v>300000</v>
      </c>
    </row>
    <row r="24" spans="1:10" x14ac:dyDescent="0.3">
      <c r="B24" t="s">
        <v>75</v>
      </c>
      <c r="C24" s="94">
        <v>250000</v>
      </c>
    </row>
    <row r="25" spans="1:10" x14ac:dyDescent="0.3">
      <c r="B25" t="s">
        <v>76</v>
      </c>
      <c r="C25" s="94">
        <v>80000</v>
      </c>
    </row>
    <row r="27" spans="1:10" ht="15.6" thickBot="1" x14ac:dyDescent="0.35"/>
    <row r="28" spans="1:10" ht="45.75" thickBot="1" x14ac:dyDescent="0.35">
      <c r="A28" s="16" t="s">
        <v>20</v>
      </c>
      <c r="B28" s="17" t="s">
        <v>1</v>
      </c>
      <c r="C28" s="18" t="s">
        <v>21</v>
      </c>
      <c r="D28" s="18" t="s">
        <v>22</v>
      </c>
      <c r="E28" s="19" t="s">
        <v>23</v>
      </c>
      <c r="F28" s="25" t="s">
        <v>32</v>
      </c>
      <c r="G28" s="24" t="s">
        <v>33</v>
      </c>
      <c r="H28" s="24" t="s">
        <v>34</v>
      </c>
      <c r="I28" s="24" t="s">
        <v>35</v>
      </c>
    </row>
    <row r="29" spans="1:10" ht="30" x14ac:dyDescent="0.3">
      <c r="A29" s="20" t="s">
        <v>24</v>
      </c>
      <c r="B29" s="2" t="s">
        <v>7</v>
      </c>
      <c r="C29" s="21">
        <v>230000</v>
      </c>
      <c r="D29" s="23">
        <v>3000</v>
      </c>
      <c r="E29" s="22">
        <v>2000</v>
      </c>
      <c r="F29" s="26">
        <f>+D29+E29</f>
        <v>5000</v>
      </c>
      <c r="G29" s="27">
        <f>+C29/F29</f>
        <v>46</v>
      </c>
      <c r="H29" s="27">
        <f>+D29*G29</f>
        <v>138000</v>
      </c>
      <c r="I29" s="27">
        <f>+E29*G29</f>
        <v>92000</v>
      </c>
      <c r="J29" s="28"/>
    </row>
    <row r="30" spans="1:10" ht="28.8" x14ac:dyDescent="0.3">
      <c r="A30" s="12" t="s">
        <v>25</v>
      </c>
      <c r="B30" s="11" t="s">
        <v>28</v>
      </c>
      <c r="C30" s="5">
        <v>160000</v>
      </c>
      <c r="D30" s="5">
        <v>5000</v>
      </c>
      <c r="E30" s="13">
        <v>3000</v>
      </c>
      <c r="F30" s="26">
        <f>+D30+E30</f>
        <v>8000</v>
      </c>
      <c r="G30" s="27">
        <f>+C30/F30</f>
        <v>20</v>
      </c>
      <c r="H30" s="27">
        <f>+D30*G30</f>
        <v>100000</v>
      </c>
      <c r="I30" s="27">
        <f>+E30*G30</f>
        <v>60000</v>
      </c>
    </row>
    <row r="31" spans="1:10" ht="28.8" x14ac:dyDescent="0.3">
      <c r="A31" s="12" t="s">
        <v>8</v>
      </c>
      <c r="B31" s="11" t="s">
        <v>29</v>
      </c>
      <c r="C31" s="5">
        <v>81000</v>
      </c>
      <c r="D31" s="5">
        <v>200</v>
      </c>
      <c r="E31" s="13">
        <v>400</v>
      </c>
      <c r="F31" s="26">
        <f>+D31+E31</f>
        <v>600</v>
      </c>
      <c r="G31" s="27">
        <f>+C31/F31</f>
        <v>135</v>
      </c>
      <c r="H31" s="27">
        <f>+D31*G31</f>
        <v>27000</v>
      </c>
      <c r="I31" s="27">
        <f>+E31*G31</f>
        <v>54000</v>
      </c>
    </row>
    <row r="32" spans="1:10" ht="30" x14ac:dyDescent="0.3">
      <c r="A32" s="12" t="s">
        <v>26</v>
      </c>
      <c r="B32" s="1" t="s">
        <v>14</v>
      </c>
      <c r="C32" s="5">
        <v>314000</v>
      </c>
      <c r="D32" s="5">
        <v>12000</v>
      </c>
      <c r="E32" s="13">
        <v>28000</v>
      </c>
      <c r="F32" s="26">
        <f>+D32+E32</f>
        <v>40000</v>
      </c>
      <c r="G32" s="27">
        <f>+C32/F32</f>
        <v>7.85</v>
      </c>
      <c r="H32" s="27">
        <f>+D32*G32</f>
        <v>94200</v>
      </c>
      <c r="I32" s="27">
        <f>+E32*G32</f>
        <v>219800</v>
      </c>
    </row>
    <row r="33" spans="1:9" ht="28.8" x14ac:dyDescent="0.3">
      <c r="A33" s="12" t="s">
        <v>10</v>
      </c>
      <c r="B33" s="1" t="s">
        <v>30</v>
      </c>
      <c r="C33" s="5">
        <v>90000</v>
      </c>
      <c r="D33" s="5">
        <v>150</v>
      </c>
      <c r="E33" s="13">
        <v>600</v>
      </c>
      <c r="F33" s="26">
        <f>+D33+E33</f>
        <v>750</v>
      </c>
      <c r="G33" s="27">
        <f>+C33/F33</f>
        <v>120</v>
      </c>
      <c r="H33" s="27">
        <f>+D33*G33</f>
        <v>18000</v>
      </c>
      <c r="I33" s="27">
        <f>+E33*G33</f>
        <v>72000</v>
      </c>
    </row>
    <row r="34" spans="1:9" ht="30.75" thickBot="1" x14ac:dyDescent="0.35">
      <c r="A34" s="14" t="s">
        <v>27</v>
      </c>
      <c r="B34" s="3"/>
      <c r="C34" s="6"/>
      <c r="D34" s="6">
        <v>5000</v>
      </c>
      <c r="E34" s="15">
        <v>20000</v>
      </c>
      <c r="F34" s="4"/>
      <c r="G34" s="7"/>
      <c r="H34" s="7"/>
      <c r="I34" s="7"/>
    </row>
    <row r="35" spans="1:9" ht="15" x14ac:dyDescent="0.3">
      <c r="C35" s="29">
        <f>SUM(C29:C34)</f>
        <v>875000</v>
      </c>
      <c r="F35" s="41" t="s">
        <v>36</v>
      </c>
      <c r="G35" s="41"/>
      <c r="H35" s="32">
        <f>SUM(H29:H34)</f>
        <v>377200</v>
      </c>
      <c r="I35" s="32">
        <f>SUM(I29:I34)</f>
        <v>497800</v>
      </c>
    </row>
    <row r="36" spans="1:9" ht="15" x14ac:dyDescent="0.3">
      <c r="E36" s="31"/>
    </row>
    <row r="39" spans="1:9" ht="15.6" thickBot="1" x14ac:dyDescent="0.35">
      <c r="A39" t="s">
        <v>37</v>
      </c>
    </row>
    <row r="40" spans="1:9" ht="15" x14ac:dyDescent="0.3">
      <c r="B40" s="33" t="s">
        <v>39</v>
      </c>
      <c r="C40" s="34">
        <f>+H35/D34</f>
        <v>75.44</v>
      </c>
    </row>
    <row r="41" spans="1:9" ht="15.6" thickBot="1" x14ac:dyDescent="0.35">
      <c r="A41" t="s">
        <v>38</v>
      </c>
      <c r="B41" s="35" t="s">
        <v>40</v>
      </c>
      <c r="C41" s="36">
        <f>+I35/E34</f>
        <v>24.89</v>
      </c>
    </row>
    <row r="43" spans="1:9" ht="15" x14ac:dyDescent="0.3">
      <c r="A43" t="s">
        <v>41</v>
      </c>
      <c r="B43" t="s">
        <v>42</v>
      </c>
      <c r="C43" t="s">
        <v>43</v>
      </c>
    </row>
    <row r="45" spans="1:9" x14ac:dyDescent="0.3">
      <c r="B45" t="s">
        <v>47</v>
      </c>
      <c r="C45" s="95">
        <f>+C23</f>
        <v>300000</v>
      </c>
      <c r="D45" s="9" t="s">
        <v>44</v>
      </c>
      <c r="E45" s="95">
        <f>+C25/2</f>
        <v>40000</v>
      </c>
      <c r="F45" s="10" t="s">
        <v>44</v>
      </c>
      <c r="G45" s="94">
        <f>+H35</f>
        <v>377200</v>
      </c>
    </row>
    <row r="46" spans="1:9" x14ac:dyDescent="0.3">
      <c r="B46" t="s">
        <v>47</v>
      </c>
      <c r="C46" s="31">
        <f>+C45+E45+G45</f>
        <v>717200</v>
      </c>
    </row>
    <row r="47" spans="1:9" ht="15" thickBot="1" x14ac:dyDescent="0.35"/>
    <row r="48" spans="1:9" ht="15" thickBot="1" x14ac:dyDescent="0.35">
      <c r="B48" s="37" t="s">
        <v>46</v>
      </c>
      <c r="C48" s="98">
        <f>+C46/D34</f>
        <v>143.44</v>
      </c>
    </row>
    <row r="50" spans="2:7" x14ac:dyDescent="0.3">
      <c r="B50" t="s">
        <v>48</v>
      </c>
      <c r="C50" s="31">
        <f>+C24</f>
        <v>250000</v>
      </c>
      <c r="D50" s="9" t="s">
        <v>44</v>
      </c>
      <c r="E50" s="94">
        <f>+C25/2</f>
        <v>40000</v>
      </c>
      <c r="F50" s="96" t="s">
        <v>44</v>
      </c>
      <c r="G50" s="94">
        <f>+I35</f>
        <v>497800</v>
      </c>
    </row>
    <row r="51" spans="2:7" x14ac:dyDescent="0.3">
      <c r="B51" t="s">
        <v>48</v>
      </c>
      <c r="C51" s="31">
        <f>+C50+E50+G50</f>
        <v>787800</v>
      </c>
      <c r="D51" s="9"/>
      <c r="E51" s="94"/>
      <c r="F51" s="96"/>
      <c r="G51" s="94"/>
    </row>
    <row r="52" spans="2:7" ht="15" thickBot="1" x14ac:dyDescent="0.35"/>
    <row r="53" spans="2:7" ht="15" thickBot="1" x14ac:dyDescent="0.35">
      <c r="B53" s="37" t="s">
        <v>45</v>
      </c>
      <c r="C53" s="97">
        <f>+C51/E34</f>
        <v>39.39</v>
      </c>
    </row>
  </sheetData>
  <mergeCells count="2">
    <mergeCell ref="H3:I3"/>
    <mergeCell ref="F35:G35"/>
  </mergeCells>
  <pageMargins left="0.7" right="0.7" top="0.75" bottom="0.75" header="0.3" footer="0.3"/>
  <pageSetup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163E9-D415-4E1F-A566-AED0BBE47616}">
  <dimension ref="A8:N80"/>
  <sheetViews>
    <sheetView topLeftCell="A43" zoomScaleNormal="100" workbookViewId="0">
      <selection activeCell="M37" sqref="M37:M38"/>
    </sheetView>
  </sheetViews>
  <sheetFormatPr baseColWidth="10" defaultRowHeight="14.4" x14ac:dyDescent="0.3"/>
  <cols>
    <col min="2" max="2" width="16" customWidth="1"/>
    <col min="3" max="3" width="12.77734375" bestFit="1" customWidth="1"/>
    <col min="4" max="4" width="15" customWidth="1"/>
    <col min="5" max="5" width="15.44140625" customWidth="1"/>
    <col min="8" max="8" width="12.88671875" bestFit="1" customWidth="1"/>
    <col min="11" max="11" width="14.109375" style="8" customWidth="1"/>
    <col min="12" max="12" width="15.109375" style="8" customWidth="1"/>
    <col min="13" max="13" width="16.77734375" style="8" customWidth="1"/>
  </cols>
  <sheetData>
    <row r="8" spans="12:13" ht="15.6" thickBot="1" x14ac:dyDescent="0.35"/>
    <row r="9" spans="12:13" ht="18.75" thickBot="1" x14ac:dyDescent="0.4">
      <c r="L9" s="81" t="s">
        <v>49</v>
      </c>
      <c r="M9" s="82"/>
    </row>
    <row r="36" spans="2:14" ht="15.6" thickBot="1" x14ac:dyDescent="0.35"/>
    <row r="37" spans="2:14" ht="15" customHeight="1" x14ac:dyDescent="0.3">
      <c r="B37" s="70" t="s">
        <v>0</v>
      </c>
      <c r="C37" s="71"/>
      <c r="D37" s="77" t="s">
        <v>1</v>
      </c>
      <c r="E37" s="75" t="s">
        <v>5</v>
      </c>
      <c r="F37" s="49" t="s">
        <v>2</v>
      </c>
      <c r="G37" s="49" t="s">
        <v>3</v>
      </c>
      <c r="H37" s="73" t="s">
        <v>4</v>
      </c>
      <c r="I37" s="53" t="s">
        <v>15</v>
      </c>
      <c r="J37" s="49" t="s">
        <v>16</v>
      </c>
      <c r="K37" s="85" t="s">
        <v>17</v>
      </c>
      <c r="L37" s="85" t="s">
        <v>18</v>
      </c>
      <c r="M37" s="43" t="s">
        <v>19</v>
      </c>
      <c r="N37" s="42"/>
    </row>
    <row r="38" spans="2:14" ht="24.6" customHeight="1" thickBot="1" x14ac:dyDescent="0.35">
      <c r="B38" s="59"/>
      <c r="C38" s="72"/>
      <c r="D38" s="78"/>
      <c r="E38" s="76"/>
      <c r="F38" s="50"/>
      <c r="G38" s="50"/>
      <c r="H38" s="74"/>
      <c r="I38" s="54"/>
      <c r="J38" s="50"/>
      <c r="K38" s="86"/>
      <c r="L38" s="86"/>
      <c r="M38" s="44"/>
      <c r="N38" s="42"/>
    </row>
    <row r="39" spans="2:14" x14ac:dyDescent="0.3">
      <c r="B39" s="75" t="s">
        <v>6</v>
      </c>
      <c r="C39" s="79"/>
      <c r="D39" s="58" t="s">
        <v>7</v>
      </c>
      <c r="E39" s="80">
        <v>4500000</v>
      </c>
      <c r="F39" s="62">
        <v>4500</v>
      </c>
      <c r="G39" s="62">
        <v>3000</v>
      </c>
      <c r="H39" s="48">
        <v>2500</v>
      </c>
      <c r="I39" s="55">
        <f>+F39+G39+H39</f>
        <v>10000</v>
      </c>
      <c r="J39" s="51">
        <f>+E39/I39</f>
        <v>450</v>
      </c>
      <c r="K39" s="45">
        <f>+F39*J39</f>
        <v>2025000</v>
      </c>
      <c r="L39" s="45">
        <f>+J39*G39</f>
        <v>1350000</v>
      </c>
      <c r="M39" s="45">
        <f>+H39*J39</f>
        <v>1125000</v>
      </c>
    </row>
    <row r="40" spans="2:14" x14ac:dyDescent="0.3">
      <c r="B40" s="65"/>
      <c r="C40" s="66"/>
      <c r="D40" s="67"/>
      <c r="E40" s="68"/>
      <c r="F40" s="69"/>
      <c r="G40" s="69"/>
      <c r="H40" s="47"/>
      <c r="I40" s="56"/>
      <c r="J40" s="52"/>
      <c r="K40" s="46"/>
      <c r="L40" s="46"/>
      <c r="M40" s="46"/>
    </row>
    <row r="41" spans="2:14" x14ac:dyDescent="0.3">
      <c r="B41" s="65" t="s">
        <v>50</v>
      </c>
      <c r="C41" s="66"/>
      <c r="D41" s="65" t="s">
        <v>12</v>
      </c>
      <c r="E41" s="68">
        <v>1600000</v>
      </c>
      <c r="F41" s="69">
        <v>1500</v>
      </c>
      <c r="G41" s="69">
        <v>4000</v>
      </c>
      <c r="H41" s="47">
        <v>4500</v>
      </c>
      <c r="I41" s="57">
        <f t="shared" ref="I41" si="0">+F41+G41+H41</f>
        <v>10000</v>
      </c>
      <c r="J41" s="52">
        <f>+E41/I41</f>
        <v>160</v>
      </c>
      <c r="K41" s="68">
        <f t="shared" ref="K41" si="1">+F41*J41</f>
        <v>240000</v>
      </c>
      <c r="L41" s="68">
        <f t="shared" ref="L41" si="2">+J41*G41</f>
        <v>640000</v>
      </c>
      <c r="M41" s="68">
        <f t="shared" ref="M41" si="3">+H41*J41</f>
        <v>720000</v>
      </c>
    </row>
    <row r="42" spans="2:14" x14ac:dyDescent="0.3">
      <c r="B42" s="65"/>
      <c r="C42" s="66"/>
      <c r="D42" s="65"/>
      <c r="E42" s="68"/>
      <c r="F42" s="69"/>
      <c r="G42" s="69"/>
      <c r="H42" s="47"/>
      <c r="I42" s="56"/>
      <c r="J42" s="52"/>
      <c r="K42" s="68"/>
      <c r="L42" s="68"/>
      <c r="M42" s="68"/>
    </row>
    <row r="43" spans="2:14" x14ac:dyDescent="0.3">
      <c r="B43" s="65" t="s">
        <v>8</v>
      </c>
      <c r="C43" s="66"/>
      <c r="D43" s="67" t="s">
        <v>13</v>
      </c>
      <c r="E43" s="68">
        <v>600000</v>
      </c>
      <c r="F43" s="69">
        <v>700</v>
      </c>
      <c r="G43" s="69">
        <v>115</v>
      </c>
      <c r="H43" s="47">
        <v>1885</v>
      </c>
      <c r="I43" s="57">
        <f t="shared" ref="I43" si="4">+F43+G43+H43</f>
        <v>2700</v>
      </c>
      <c r="J43" s="52">
        <f>+E43/I43</f>
        <v>222.22222222222223</v>
      </c>
      <c r="K43" s="68">
        <f t="shared" ref="K43" si="5">+F43*J43</f>
        <v>155555.55555555556</v>
      </c>
      <c r="L43" s="68">
        <f t="shared" ref="L43" si="6">+J43*G43</f>
        <v>25555.555555555555</v>
      </c>
      <c r="M43" s="68">
        <f t="shared" ref="M43" si="7">+H43*J43</f>
        <v>418888.88888888888</v>
      </c>
    </row>
    <row r="44" spans="2:14" x14ac:dyDescent="0.3">
      <c r="B44" s="65"/>
      <c r="C44" s="66"/>
      <c r="D44" s="67"/>
      <c r="E44" s="68"/>
      <c r="F44" s="69"/>
      <c r="G44" s="69"/>
      <c r="H44" s="47"/>
      <c r="I44" s="56"/>
      <c r="J44" s="52"/>
      <c r="K44" s="68"/>
      <c r="L44" s="68"/>
      <c r="M44" s="68"/>
    </row>
    <row r="45" spans="2:14" x14ac:dyDescent="0.3">
      <c r="B45" s="65" t="s">
        <v>9</v>
      </c>
      <c r="C45" s="66"/>
      <c r="D45" s="67" t="s">
        <v>14</v>
      </c>
      <c r="E45" s="68">
        <v>6390000</v>
      </c>
      <c r="F45" s="69">
        <v>7500</v>
      </c>
      <c r="G45" s="69">
        <v>2500</v>
      </c>
      <c r="H45" s="47">
        <v>30000</v>
      </c>
      <c r="I45" s="57">
        <f t="shared" ref="I45" si="8">+F45+G45+H45</f>
        <v>40000</v>
      </c>
      <c r="J45" s="52">
        <f t="shared" ref="J45" si="9">+E45/I45</f>
        <v>159.75</v>
      </c>
      <c r="K45" s="68">
        <f t="shared" ref="K45" si="10">+F45*J45</f>
        <v>1198125</v>
      </c>
      <c r="L45" s="68">
        <f t="shared" ref="L45" si="11">+J45*G45</f>
        <v>399375</v>
      </c>
      <c r="M45" s="68">
        <f t="shared" ref="M45" si="12">+H45*J45</f>
        <v>4792500</v>
      </c>
    </row>
    <row r="46" spans="2:14" x14ac:dyDescent="0.3">
      <c r="B46" s="65"/>
      <c r="C46" s="66"/>
      <c r="D46" s="67"/>
      <c r="E46" s="68"/>
      <c r="F46" s="69"/>
      <c r="G46" s="69"/>
      <c r="H46" s="47"/>
      <c r="I46" s="56"/>
      <c r="J46" s="52"/>
      <c r="K46" s="68"/>
      <c r="L46" s="68"/>
      <c r="M46" s="68"/>
    </row>
    <row r="47" spans="2:14" x14ac:dyDescent="0.3">
      <c r="B47" s="65" t="s">
        <v>10</v>
      </c>
      <c r="C47" s="66"/>
      <c r="D47" s="67" t="s">
        <v>7</v>
      </c>
      <c r="E47" s="68">
        <v>240000</v>
      </c>
      <c r="F47" s="69">
        <v>75</v>
      </c>
      <c r="G47" s="69">
        <v>125</v>
      </c>
      <c r="H47" s="47">
        <v>300</v>
      </c>
      <c r="I47" s="57">
        <f t="shared" ref="I47" si="13">+F47+G47+H47</f>
        <v>500</v>
      </c>
      <c r="J47" s="52">
        <f t="shared" ref="J47" si="14">+E47/I47</f>
        <v>480</v>
      </c>
      <c r="K47" s="68">
        <f t="shared" ref="K47" si="15">+F47*J47</f>
        <v>36000</v>
      </c>
      <c r="L47" s="68">
        <f t="shared" ref="L47" si="16">+J47*G47</f>
        <v>60000</v>
      </c>
      <c r="M47" s="68">
        <f t="shared" ref="M47" si="17">+H47*J47</f>
        <v>144000</v>
      </c>
    </row>
    <row r="48" spans="2:14" ht="15" thickBot="1" x14ac:dyDescent="0.35">
      <c r="B48" s="76"/>
      <c r="C48" s="88"/>
      <c r="D48" s="59"/>
      <c r="E48" s="89"/>
      <c r="F48" s="63"/>
      <c r="G48" s="63"/>
      <c r="H48" s="64"/>
      <c r="I48" s="56"/>
      <c r="J48" s="52"/>
      <c r="K48" s="68"/>
      <c r="L48" s="68"/>
      <c r="M48" s="68"/>
    </row>
    <row r="49" spans="1:13" x14ac:dyDescent="0.3">
      <c r="B49" s="90" t="s">
        <v>11</v>
      </c>
      <c r="C49" s="91"/>
      <c r="D49" s="58"/>
      <c r="E49" s="60"/>
      <c r="F49" s="62">
        <v>40000</v>
      </c>
      <c r="G49" s="62">
        <v>16000</v>
      </c>
      <c r="H49" s="48">
        <v>120000</v>
      </c>
      <c r="K49" s="38"/>
      <c r="L49" s="83"/>
      <c r="M49" s="83"/>
    </row>
    <row r="50" spans="1:13" ht="15" thickBot="1" x14ac:dyDescent="0.35">
      <c r="B50" s="92"/>
      <c r="C50" s="93"/>
      <c r="D50" s="59"/>
      <c r="E50" s="61"/>
      <c r="F50" s="63"/>
      <c r="G50" s="63"/>
      <c r="H50" s="64"/>
      <c r="L50" s="84"/>
      <c r="M50" s="84"/>
    </row>
    <row r="51" spans="1:13" ht="15.6" thickBot="1" x14ac:dyDescent="0.35">
      <c r="E51" s="31">
        <f>SUM(E39:E50)</f>
        <v>13330000</v>
      </c>
      <c r="J51" s="37" t="s">
        <v>51</v>
      </c>
      <c r="K51" s="39">
        <f>SUM(K39:K50)</f>
        <v>3654680.5555555555</v>
      </c>
      <c r="L51" s="39">
        <f>SUM(L39:L50)</f>
        <v>2474930.5555555555</v>
      </c>
      <c r="M51" s="40">
        <f>SUM(M39:M50)</f>
        <v>7200388.888888889</v>
      </c>
    </row>
    <row r="52" spans="1:13" ht="15" x14ac:dyDescent="0.3">
      <c r="H52" s="31"/>
    </row>
    <row r="54" spans="1:13" ht="15" x14ac:dyDescent="0.3">
      <c r="A54" t="s">
        <v>37</v>
      </c>
      <c r="B54" t="s">
        <v>52</v>
      </c>
      <c r="C54" s="87">
        <f>+K51</f>
        <v>3654680.5555555555</v>
      </c>
      <c r="D54" s="87"/>
    </row>
    <row r="55" spans="1:13" ht="15" x14ac:dyDescent="0.3">
      <c r="B55" t="s">
        <v>53</v>
      </c>
      <c r="C55" s="87">
        <f>+L51</f>
        <v>2474930.5555555555</v>
      </c>
      <c r="D55" s="87"/>
    </row>
    <row r="56" spans="1:13" ht="15" x14ac:dyDescent="0.3">
      <c r="B56" t="s">
        <v>54</v>
      </c>
      <c r="C56" s="87">
        <f>+M51</f>
        <v>7200388.888888889</v>
      </c>
      <c r="D56" s="87"/>
    </row>
    <row r="58" spans="1:13" ht="15" x14ac:dyDescent="0.3">
      <c r="A58" t="s">
        <v>41</v>
      </c>
      <c r="B58" t="s">
        <v>55</v>
      </c>
      <c r="C58" s="28">
        <f>+C54/F49</f>
        <v>91.367013888888891</v>
      </c>
    </row>
    <row r="59" spans="1:13" ht="15" x14ac:dyDescent="0.3">
      <c r="B59" t="s">
        <v>56</v>
      </c>
      <c r="C59" s="28">
        <f>+C55/G49</f>
        <v>154.68315972222223</v>
      </c>
    </row>
    <row r="60" spans="1:13" ht="15" x14ac:dyDescent="0.3">
      <c r="B60" t="s">
        <v>57</v>
      </c>
      <c r="C60" s="28">
        <f>+C56/H49</f>
        <v>60.003240740740743</v>
      </c>
    </row>
    <row r="62" spans="1:13" ht="15" x14ac:dyDescent="0.3">
      <c r="A62" t="s">
        <v>58</v>
      </c>
      <c r="B62" t="s">
        <v>59</v>
      </c>
      <c r="D62" t="s">
        <v>60</v>
      </c>
    </row>
    <row r="64" spans="1:13" ht="15" x14ac:dyDescent="0.3">
      <c r="B64" t="s">
        <v>61</v>
      </c>
      <c r="C64" s="30">
        <f>265000+400000</f>
        <v>665000</v>
      </c>
    </row>
    <row r="65" spans="1:10" ht="15" x14ac:dyDescent="0.3">
      <c r="B65" t="s">
        <v>62</v>
      </c>
      <c r="C65" s="30">
        <f>335000+400000</f>
        <v>735000</v>
      </c>
    </row>
    <row r="66" spans="1:10" ht="15" x14ac:dyDescent="0.3">
      <c r="B66" t="s">
        <v>63</v>
      </c>
      <c r="C66" s="30">
        <f>450000+400000</f>
        <v>850000</v>
      </c>
    </row>
    <row r="68" spans="1:10" x14ac:dyDescent="0.3">
      <c r="A68" t="s">
        <v>64</v>
      </c>
      <c r="B68" t="s">
        <v>65</v>
      </c>
    </row>
    <row r="70" spans="1:10" x14ac:dyDescent="0.3">
      <c r="B70" t="s">
        <v>66</v>
      </c>
      <c r="C70" s="28">
        <f>+C64/F49</f>
        <v>16.625</v>
      </c>
    </row>
    <row r="71" spans="1:10" x14ac:dyDescent="0.3">
      <c r="B71" t="s">
        <v>67</v>
      </c>
      <c r="C71" s="28">
        <f>+C65/G49</f>
        <v>45.9375</v>
      </c>
    </row>
    <row r="72" spans="1:10" x14ac:dyDescent="0.3">
      <c r="B72" t="s">
        <v>68</v>
      </c>
      <c r="C72" s="28">
        <f>+C66/H49</f>
        <v>7.083333333333333</v>
      </c>
    </row>
    <row r="74" spans="1:10" x14ac:dyDescent="0.3">
      <c r="A74" t="s">
        <v>69</v>
      </c>
      <c r="B74" t="s">
        <v>70</v>
      </c>
    </row>
    <row r="76" spans="1:10" x14ac:dyDescent="0.3">
      <c r="B76" t="s">
        <v>71</v>
      </c>
      <c r="C76" s="31">
        <f>(265000+400000+K51)/F49</f>
        <v>107.99201388888891</v>
      </c>
    </row>
    <row r="77" spans="1:10" x14ac:dyDescent="0.3">
      <c r="B77" t="s">
        <v>72</v>
      </c>
      <c r="C77" s="29">
        <f>+(335000+4000000+L51)/G49</f>
        <v>425.62065972222223</v>
      </c>
    </row>
    <row r="78" spans="1:10" x14ac:dyDescent="0.3">
      <c r="B78" t="s">
        <v>73</v>
      </c>
      <c r="C78" s="29">
        <f>+(450000+400000+M51)/H49</f>
        <v>67.086574074074079</v>
      </c>
    </row>
    <row r="80" spans="1:10" x14ac:dyDescent="0.3">
      <c r="J80" s="28"/>
    </row>
  </sheetData>
  <mergeCells count="79">
    <mergeCell ref="C54:D54"/>
    <mergeCell ref="C55:D55"/>
    <mergeCell ref="C56:D56"/>
    <mergeCell ref="M45:M46"/>
    <mergeCell ref="M47:M48"/>
    <mergeCell ref="B45:C46"/>
    <mergeCell ref="D45:D46"/>
    <mergeCell ref="E45:E46"/>
    <mergeCell ref="F45:F46"/>
    <mergeCell ref="G45:G46"/>
    <mergeCell ref="B47:C48"/>
    <mergeCell ref="D47:D48"/>
    <mergeCell ref="E47:E48"/>
    <mergeCell ref="F47:F48"/>
    <mergeCell ref="G47:G48"/>
    <mergeCell ref="B49:C50"/>
    <mergeCell ref="L9:M9"/>
    <mergeCell ref="L49:L50"/>
    <mergeCell ref="M49:M50"/>
    <mergeCell ref="K45:K46"/>
    <mergeCell ref="K47:K48"/>
    <mergeCell ref="L43:L44"/>
    <mergeCell ref="L45:L46"/>
    <mergeCell ref="L47:L48"/>
    <mergeCell ref="K37:K38"/>
    <mergeCell ref="L37:L38"/>
    <mergeCell ref="B37:C38"/>
    <mergeCell ref="K41:K42"/>
    <mergeCell ref="L41:L42"/>
    <mergeCell ref="M41:M42"/>
    <mergeCell ref="K43:K44"/>
    <mergeCell ref="M43:M44"/>
    <mergeCell ref="F37:F38"/>
    <mergeCell ref="G37:G38"/>
    <mergeCell ref="H37:H38"/>
    <mergeCell ref="E37:E38"/>
    <mergeCell ref="D37:D38"/>
    <mergeCell ref="B39:C40"/>
    <mergeCell ref="D39:D40"/>
    <mergeCell ref="E39:E40"/>
    <mergeCell ref="F39:F40"/>
    <mergeCell ref="G39:G40"/>
    <mergeCell ref="B41:C42"/>
    <mergeCell ref="D41:D42"/>
    <mergeCell ref="E41:E42"/>
    <mergeCell ref="F41:F42"/>
    <mergeCell ref="G41:G42"/>
    <mergeCell ref="B43:C44"/>
    <mergeCell ref="D43:D44"/>
    <mergeCell ref="E43:E44"/>
    <mergeCell ref="F43:F44"/>
    <mergeCell ref="G43:G44"/>
    <mergeCell ref="D49:D50"/>
    <mergeCell ref="E49:E50"/>
    <mergeCell ref="F49:F50"/>
    <mergeCell ref="G49:G50"/>
    <mergeCell ref="J47:J48"/>
    <mergeCell ref="H49:H50"/>
    <mergeCell ref="I47:I48"/>
    <mergeCell ref="H47:H48"/>
    <mergeCell ref="H45:H46"/>
    <mergeCell ref="H43:H44"/>
    <mergeCell ref="H41:H42"/>
    <mergeCell ref="H39:H40"/>
    <mergeCell ref="J37:J38"/>
    <mergeCell ref="J39:J40"/>
    <mergeCell ref="J41:J42"/>
    <mergeCell ref="J43:J44"/>
    <mergeCell ref="J45:J46"/>
    <mergeCell ref="I37:I38"/>
    <mergeCell ref="I39:I40"/>
    <mergeCell ref="I41:I42"/>
    <mergeCell ref="I43:I44"/>
    <mergeCell ref="I45:I46"/>
    <mergeCell ref="N37:N38"/>
    <mergeCell ref="M37:M38"/>
    <mergeCell ref="K39:K40"/>
    <mergeCell ref="L39:L40"/>
    <mergeCell ref="M39:M40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87A8A-9604-470B-866B-687EFA7A74DE}">
  <dimension ref="O7:Q7"/>
  <sheetViews>
    <sheetView zoomScale="57" zoomScaleNormal="57" workbookViewId="0">
      <selection activeCell="M45" sqref="M45"/>
    </sheetView>
  </sheetViews>
  <sheetFormatPr baseColWidth="10" defaultRowHeight="14.4" x14ac:dyDescent="0.3"/>
  <sheetData>
    <row r="7" spans="15:17" x14ac:dyDescent="0.3">
      <c r="O7" s="41" t="s">
        <v>31</v>
      </c>
      <c r="P7" s="41"/>
      <c r="Q7" s="41"/>
    </row>
  </sheetData>
  <mergeCells count="1">
    <mergeCell ref="O7:Q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ABC 23</vt:lpstr>
      <vt:lpstr>ABC 25</vt:lpstr>
      <vt:lpstr>ABC 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</dc:creator>
  <cp:lastModifiedBy>54116</cp:lastModifiedBy>
  <dcterms:created xsi:type="dcterms:W3CDTF">2020-09-28T23:55:02Z</dcterms:created>
  <dcterms:modified xsi:type="dcterms:W3CDTF">2022-09-25T20:54:12Z</dcterms:modified>
</cp:coreProperties>
</file>