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as de Costeo" sheetId="1" r:id="rId4"/>
  </sheets>
  <definedNames/>
  <calcPr/>
  <extLst>
    <ext uri="GoogleSheetsCustomDataVersion1">
      <go:sheetsCustomData xmlns:go="http://customooxmlschemas.google.com/" r:id="rId5" roundtripDataSignature="AMtx7mitlwQ17ZUmrlvBQv+X3tvlsI2x7Q=="/>
    </ext>
  </extLst>
</workbook>
</file>

<file path=xl/sharedStrings.xml><?xml version="1.0" encoding="utf-8"?>
<sst xmlns="http://schemas.openxmlformats.org/spreadsheetml/2006/main" count="345" uniqueCount="45">
  <si>
    <t>1.</t>
  </si>
  <si>
    <t>Una Empresa desea comparar las Utilidades Netas de dos períodos analizando los datos siguientes:</t>
  </si>
  <si>
    <t>Año 1</t>
  </si>
  <si>
    <t>Año 2</t>
  </si>
  <si>
    <t>Unidades producidas</t>
  </si>
  <si>
    <t>Unidades vendidas</t>
  </si>
  <si>
    <t>Precio de venta unitario</t>
  </si>
  <si>
    <t>V</t>
  </si>
  <si>
    <t>Costo variable unitario</t>
  </si>
  <si>
    <t>F</t>
  </si>
  <si>
    <t>Costo indirecto de fabricación fijo</t>
  </si>
  <si>
    <t>Gtos. de administración y comercialización</t>
  </si>
  <si>
    <t>Se solicita:</t>
  </si>
  <si>
    <t>a)</t>
  </si>
  <si>
    <t>Confeccionar los Estados de Resultados para ambos períodos según los métodos de Costeo Integral</t>
  </si>
  <si>
    <t>y Costeo Variable.</t>
  </si>
  <si>
    <t>b)</t>
  </si>
  <si>
    <t>Determinar los Márgenes de Utilidad para cada uno de los métodos.</t>
  </si>
  <si>
    <t>c)</t>
  </si>
  <si>
    <t>Confeccionar el Balance Consolidado.</t>
  </si>
  <si>
    <t>AÑO 1</t>
  </si>
  <si>
    <t>COSTEO</t>
  </si>
  <si>
    <t>VARIABLE</t>
  </si>
  <si>
    <t>INTEGRAL</t>
  </si>
  <si>
    <t>Ventas</t>
  </si>
  <si>
    <t>Costo Variable de lo vendido en el período</t>
  </si>
  <si>
    <t>Costo Fijo de lo vendido en el período</t>
  </si>
  <si>
    <t>Contribución Marginal</t>
  </si>
  <si>
    <t>Resultado Bruto</t>
  </si>
  <si>
    <t>Utilidad Neta</t>
  </si>
  <si>
    <t>Unidades en Stock =</t>
  </si>
  <si>
    <t>Costo unitario =</t>
  </si>
  <si>
    <t>Valor de Stocks =</t>
  </si>
  <si>
    <t>AÑO 2</t>
  </si>
  <si>
    <t>Costo Variable de lo vendido (Stock Año 1)</t>
  </si>
  <si>
    <t>Costo Fijo de lo vendido (Stock Año 1)</t>
  </si>
  <si>
    <t>P1</t>
  </si>
  <si>
    <t>P2</t>
  </si>
  <si>
    <t>CONSOLIDADO</t>
  </si>
  <si>
    <t>Costo Variable de lo vendido (consolidado)</t>
  </si>
  <si>
    <t>Costo Fijo de lo vendido (consolidado)</t>
  </si>
  <si>
    <t>Diferencia</t>
  </si>
  <si>
    <t>2.</t>
  </si>
  <si>
    <t>Una Empresa desea compara las Utilidades Netas de dos períodos analizando los datos siguientes:</t>
  </si>
  <si>
    <t>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</si>
</sst>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&quot;$&quot;"/>
    <numFmt numFmtId="165" formatCode="&quot;$&quot;\ #,##0.00"/>
    <numFmt numFmtId="166" formatCode="&quot;$&quot;\ #,##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70C0"/>
      <name val="Arial"/>
    </font>
    <font>
      <b/>
      <sz val="10.0"/>
      <color theme="1"/>
      <name val="Arial"/>
    </font>
    <font/>
    <font>
      <b/>
      <sz val="10.0"/>
      <color rgb="FF0070C0"/>
      <name val="Arial"/>
    </font>
    <font>
      <b/>
      <sz val="10.0"/>
      <color rgb="FFFF0000"/>
      <name val="Arial"/>
    </font>
    <font>
      <sz val="10.0"/>
      <color rgb="FF7030A0"/>
      <name val="Arial"/>
    </font>
    <font>
      <b/>
      <sz val="10.0"/>
      <color theme="0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D965"/>
        <bgColor rgb="FFFFD965"/>
      </patternFill>
    </fill>
    <fill>
      <patternFill patternType="solid">
        <fgColor rgb="FFD6DCE4"/>
        <bgColor rgb="FFD6DCE4"/>
      </patternFill>
    </fill>
    <fill>
      <patternFill patternType="solid">
        <fgColor rgb="FFE7E6E6"/>
        <bgColor rgb="FFE7E6E6"/>
      </patternFill>
    </fill>
    <fill>
      <patternFill patternType="solid">
        <fgColor theme="1"/>
        <bgColor theme="1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right"/>
    </xf>
    <xf borderId="0" fillId="0" fontId="3" numFmtId="0" xfId="0" applyFont="1"/>
    <xf borderId="0" fillId="0" fontId="1" numFmtId="0" xfId="0" applyAlignment="1" applyFont="1">
      <alignment horizontal="right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0" fillId="0" fontId="1" numFmtId="3" xfId="0" applyFont="1" applyNumberFormat="1"/>
    <xf borderId="0" fillId="0" fontId="2" numFmtId="3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165" xfId="0" applyFont="1" applyNumberFormat="1"/>
    <xf borderId="0" fillId="0" fontId="3" numFmtId="0" xfId="0" applyAlignment="1" applyFont="1">
      <alignment horizontal="center"/>
    </xf>
    <xf borderId="0" fillId="0" fontId="1" numFmtId="166" xfId="0" applyFont="1" applyNumberFormat="1"/>
    <xf borderId="1" fillId="5" fontId="2" numFmtId="166" xfId="0" applyBorder="1" applyFill="1" applyFont="1" applyNumberFormat="1"/>
    <xf borderId="0" fillId="0" fontId="2" numFmtId="166" xfId="0" applyFont="1" applyNumberFormat="1"/>
    <xf borderId="0" fillId="0" fontId="1" numFmtId="0" xfId="0" applyAlignment="1" applyFont="1">
      <alignment horizontal="center"/>
    </xf>
    <xf borderId="2" fillId="3" fontId="3" numFmtId="0" xfId="0" applyAlignment="1" applyBorder="1" applyFont="1">
      <alignment horizontal="center"/>
    </xf>
    <xf borderId="3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Font="1"/>
    <xf borderId="4" fillId="0" fontId="1" numFmtId="166" xfId="0" applyBorder="1" applyFont="1" applyNumberFormat="1"/>
    <xf borderId="1" fillId="2" fontId="2" numFmtId="166" xfId="0" applyBorder="1" applyFont="1" applyNumberFormat="1"/>
    <xf borderId="0" fillId="0" fontId="5" numFmtId="166" xfId="0" applyFont="1" applyNumberFormat="1"/>
    <xf borderId="0" fillId="0" fontId="3" numFmtId="166" xfId="0" applyFont="1" applyNumberFormat="1"/>
    <xf borderId="0" fillId="0" fontId="1" numFmtId="166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7" numFmtId="3" xfId="0" applyFont="1" applyNumberFormat="1"/>
    <xf borderId="0" fillId="0" fontId="7" numFmtId="165" xfId="0" applyFont="1" applyNumberFormat="1"/>
    <xf borderId="0" fillId="0" fontId="7" numFmtId="166" xfId="0" applyFont="1" applyNumberFormat="1"/>
    <xf borderId="2" fillId="4" fontId="3" numFmtId="166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right"/>
    </xf>
    <xf borderId="0" fillId="0" fontId="1" numFmtId="165" xfId="0" applyAlignment="1" applyFont="1" applyNumberFormat="1">
      <alignment horizontal="right"/>
    </xf>
    <xf borderId="1" fillId="6" fontId="2" numFmtId="166" xfId="0" applyBorder="1" applyFill="1" applyFont="1" applyNumberFormat="1"/>
    <xf borderId="0" fillId="0" fontId="5" numFmtId="165" xfId="0" applyFont="1" applyNumberFormat="1"/>
    <xf borderId="2" fillId="7" fontId="8" numFmtId="0" xfId="0" applyAlignment="1" applyBorder="1" applyFill="1" applyFont="1">
      <alignment horizontal="center"/>
    </xf>
    <xf borderId="0" fillId="0" fontId="3" numFmtId="166" xfId="0" applyAlignment="1" applyFont="1" applyNumberFormat="1">
      <alignment horizont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3" xfId="0" applyAlignment="1" applyFont="1" applyNumberFormat="1">
      <alignment horizontal="right" vertical="bottom"/>
    </xf>
    <xf borderId="0" fillId="0" fontId="9" numFmtId="165" xfId="0" applyAlignment="1" applyFont="1" applyNumberFormat="1">
      <alignment horizontal="right" vertical="bottom"/>
    </xf>
    <xf borderId="0" fillId="0" fontId="9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 outlineLevelCol="1"/>
  <cols>
    <col customWidth="1" min="1" max="1" width="2.88"/>
    <col customWidth="1" min="2" max="2" width="37.75"/>
    <col customWidth="1" min="3" max="3" width="11.88"/>
    <col customWidth="1" min="4" max="4" width="12.25"/>
    <col customWidth="1" min="5" max="5" width="11.38"/>
    <col customWidth="1" min="6" max="6" width="1.75"/>
    <col customWidth="1" hidden="1" min="7" max="8" width="11.63" outlineLevel="1"/>
    <col customWidth="1" min="9" max="12" width="11.38"/>
    <col customWidth="1" min="13" max="13" width="9.88"/>
    <col customWidth="1" min="14" max="15" width="11.38"/>
    <col customWidth="1" min="16" max="26" width="10.63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5" t="s">
        <v>2</v>
      </c>
      <c r="D4" s="5" t="s">
        <v>3</v>
      </c>
      <c r="E4" s="1"/>
      <c r="F4" s="1"/>
      <c r="G4" s="1"/>
      <c r="H4" s="1"/>
      <c r="I4" s="6" t="str">
        <f t="shared" ref="I4:J4" si="1">C4</f>
        <v>Año 1</v>
      </c>
      <c r="J4" s="7" t="str">
        <f t="shared" si="1"/>
        <v>Año 2</v>
      </c>
      <c r="K4" s="2"/>
      <c r="L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 t="s">
        <v>4</v>
      </c>
      <c r="C5" s="8">
        <v>28000.0</v>
      </c>
      <c r="D5" s="8">
        <v>24000.0</v>
      </c>
      <c r="E5" s="1"/>
      <c r="F5" s="1"/>
      <c r="G5" s="1"/>
      <c r="H5" s="1"/>
      <c r="I5" s="9">
        <f t="shared" ref="I5:J5" si="2">C5</f>
        <v>28000</v>
      </c>
      <c r="J5" s="9">
        <f t="shared" si="2"/>
        <v>24000</v>
      </c>
      <c r="K5" s="2"/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 t="s">
        <v>5</v>
      </c>
      <c r="C6" s="8">
        <v>24000.0</v>
      </c>
      <c r="D6" s="8">
        <v>28000.0</v>
      </c>
      <c r="E6" s="10"/>
      <c r="F6" s="1"/>
      <c r="G6" s="1"/>
      <c r="H6" s="1"/>
      <c r="I6" s="9">
        <f t="shared" ref="I6:J6" si="3">C6</f>
        <v>24000</v>
      </c>
      <c r="J6" s="9">
        <f t="shared" si="3"/>
        <v>28000</v>
      </c>
      <c r="K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 t="s">
        <v>6</v>
      </c>
      <c r="C7" s="11">
        <v>16.0</v>
      </c>
      <c r="D7" s="11">
        <v>16.0</v>
      </c>
      <c r="E7" s="1"/>
      <c r="F7" s="1"/>
      <c r="G7" s="1"/>
      <c r="H7" s="1"/>
      <c r="I7" s="12">
        <f t="shared" ref="I7:I10" si="4">C7</f>
        <v>16</v>
      </c>
      <c r="J7" s="12">
        <f t="shared" ref="J7:J10" si="5">I7</f>
        <v>16</v>
      </c>
      <c r="K7" s="2"/>
      <c r="L7" s="2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3" t="s">
        <v>7</v>
      </c>
      <c r="B8" s="1" t="s">
        <v>8</v>
      </c>
      <c r="C8" s="11">
        <v>12.0</v>
      </c>
      <c r="D8" s="11">
        <v>12.0</v>
      </c>
      <c r="E8" s="1"/>
      <c r="F8" s="1"/>
      <c r="G8" s="1"/>
      <c r="H8" s="1"/>
      <c r="I8" s="12">
        <f t="shared" si="4"/>
        <v>12</v>
      </c>
      <c r="J8" s="12">
        <f t="shared" si="5"/>
        <v>12</v>
      </c>
      <c r="K8" s="2"/>
      <c r="L8" s="2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3" t="s">
        <v>9</v>
      </c>
      <c r="B9" s="1" t="s">
        <v>10</v>
      </c>
      <c r="C9" s="14">
        <v>24000.0</v>
      </c>
      <c r="D9" s="14">
        <v>24000.0</v>
      </c>
      <c r="E9" s="1"/>
      <c r="F9" s="1"/>
      <c r="G9" s="1"/>
      <c r="H9" s="1"/>
      <c r="I9" s="15">
        <f t="shared" si="4"/>
        <v>24000</v>
      </c>
      <c r="J9" s="16">
        <f t="shared" si="5"/>
        <v>24000</v>
      </c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3" t="s">
        <v>9</v>
      </c>
      <c r="B10" s="1" t="s">
        <v>11</v>
      </c>
      <c r="C10" s="14">
        <v>12000.0</v>
      </c>
      <c r="D10" s="14">
        <v>12000.0</v>
      </c>
      <c r="E10" s="1"/>
      <c r="F10" s="1"/>
      <c r="G10" s="1"/>
      <c r="H10" s="1"/>
      <c r="I10" s="16">
        <f t="shared" si="4"/>
        <v>12000</v>
      </c>
      <c r="J10" s="16">
        <f t="shared" si="5"/>
        <v>12000</v>
      </c>
      <c r="K10" s="2"/>
      <c r="L10" s="2"/>
      <c r="M10" s="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4"/>
      <c r="D11" s="14"/>
      <c r="E11" s="1"/>
      <c r="F11" s="1"/>
      <c r="G11" s="1"/>
      <c r="H11" s="1"/>
      <c r="I11" s="2"/>
      <c r="J11" s="2"/>
      <c r="K11" s="2"/>
      <c r="L11" s="2"/>
      <c r="M11" s="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4" t="s">
        <v>12</v>
      </c>
      <c r="C12" s="14"/>
      <c r="D12" s="14"/>
      <c r="E12" s="1"/>
      <c r="F12" s="1"/>
      <c r="G12" s="1"/>
      <c r="H12" s="1"/>
      <c r="I12" s="2"/>
      <c r="J12" s="2"/>
      <c r="K12" s="2"/>
      <c r="L12" s="2"/>
      <c r="M12" s="2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3" t="s">
        <v>13</v>
      </c>
      <c r="B13" s="1" t="s">
        <v>14</v>
      </c>
      <c r="C13" s="14"/>
      <c r="D13" s="14"/>
      <c r="E13" s="1"/>
      <c r="F13" s="1"/>
      <c r="G13" s="1"/>
      <c r="H13" s="1"/>
      <c r="I13" s="2"/>
      <c r="J13" s="2"/>
      <c r="K13" s="2"/>
      <c r="L13" s="2"/>
      <c r="M13" s="2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7"/>
      <c r="B14" s="1" t="s">
        <v>15</v>
      </c>
      <c r="C14" s="14"/>
      <c r="D14" s="14"/>
      <c r="E14" s="1"/>
      <c r="F14" s="1"/>
      <c r="G14" s="1"/>
      <c r="H14" s="1"/>
      <c r="I14" s="2"/>
      <c r="J14" s="2"/>
      <c r="K14" s="2"/>
      <c r="L14" s="2"/>
      <c r="M14" s="2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3" t="s">
        <v>16</v>
      </c>
      <c r="B15" s="1" t="s">
        <v>17</v>
      </c>
      <c r="C15" s="14"/>
      <c r="D15" s="14"/>
      <c r="E15" s="1"/>
      <c r="F15" s="1"/>
      <c r="G15" s="1"/>
      <c r="H15" s="1"/>
      <c r="I15" s="2"/>
      <c r="J15" s="2"/>
      <c r="K15" s="2"/>
      <c r="L15" s="2"/>
      <c r="M15" s="2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3" t="s">
        <v>18</v>
      </c>
      <c r="B16" s="1" t="s">
        <v>19</v>
      </c>
      <c r="C16" s="14"/>
      <c r="D16" s="14"/>
      <c r="E16" s="1"/>
      <c r="F16" s="1"/>
      <c r="G16" s="1"/>
      <c r="H16" s="1"/>
      <c r="I16" s="2"/>
      <c r="J16" s="2"/>
      <c r="K16" s="2"/>
      <c r="L16" s="2"/>
      <c r="M16" s="2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4"/>
      <c r="D17" s="14"/>
      <c r="E17" s="1"/>
      <c r="F17" s="1"/>
      <c r="G17" s="1"/>
      <c r="H17" s="1"/>
      <c r="I17" s="2"/>
      <c r="J17" s="2"/>
      <c r="K17" s="2"/>
      <c r="L17" s="2"/>
      <c r="M17" s="2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8" t="s">
        <v>20</v>
      </c>
      <c r="D18" s="19"/>
      <c r="E18" s="1"/>
      <c r="F18" s="1"/>
      <c r="G18" s="1"/>
      <c r="H18" s="1"/>
      <c r="I18" s="18" t="s">
        <v>20</v>
      </c>
      <c r="J18" s="19"/>
      <c r="K18" s="2"/>
      <c r="L18" s="2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3" t="s">
        <v>21</v>
      </c>
      <c r="D19" s="13" t="s">
        <v>21</v>
      </c>
      <c r="E19" s="1"/>
      <c r="F19" s="1"/>
      <c r="G19" s="1"/>
      <c r="H19" s="1"/>
      <c r="I19" s="20" t="s">
        <v>21</v>
      </c>
      <c r="J19" s="20" t="s">
        <v>21</v>
      </c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3" t="s">
        <v>22</v>
      </c>
      <c r="D20" s="13" t="s">
        <v>23</v>
      </c>
      <c r="E20" s="1"/>
      <c r="F20" s="1"/>
      <c r="G20" s="1"/>
      <c r="H20" s="1"/>
      <c r="I20" s="20" t="s">
        <v>22</v>
      </c>
      <c r="J20" s="20" t="s">
        <v>23</v>
      </c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 t="s">
        <v>24</v>
      </c>
      <c r="C21" s="14">
        <v>384000.0</v>
      </c>
      <c r="D21" s="14">
        <v>384000.0</v>
      </c>
      <c r="E21" s="21"/>
      <c r="F21" s="1"/>
      <c r="G21" s="14">
        <v>384000.0</v>
      </c>
      <c r="H21" s="14">
        <v>384000.0</v>
      </c>
      <c r="I21" s="16">
        <f>$I$6*$I$7</f>
        <v>384000</v>
      </c>
      <c r="J21" s="16">
        <f>$I$6*I7</f>
        <v>384000</v>
      </c>
      <c r="K21" s="2"/>
      <c r="L21" s="2"/>
      <c r="M21" s="12"/>
      <c r="N21" s="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 t="s">
        <v>25</v>
      </c>
      <c r="C22" s="14">
        <v>288000.0</v>
      </c>
      <c r="D22" s="14">
        <v>288000.0</v>
      </c>
      <c r="E22" s="21"/>
      <c r="F22" s="1"/>
      <c r="G22" s="14">
        <v>288000.0</v>
      </c>
      <c r="H22" s="14">
        <v>288000.0</v>
      </c>
      <c r="I22" s="16">
        <f t="shared" ref="I22:J22" si="6">$I8*$I$6</f>
        <v>288000</v>
      </c>
      <c r="J22" s="16">
        <f t="shared" si="6"/>
        <v>288000</v>
      </c>
      <c r="K22" s="2"/>
      <c r="L22" s="2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 t="s">
        <v>26</v>
      </c>
      <c r="C23" s="22"/>
      <c r="D23" s="22">
        <v>20571.4</v>
      </c>
      <c r="E23" s="21"/>
      <c r="F23" s="1"/>
      <c r="G23" s="14"/>
      <c r="H23" s="14">
        <v>20571.0</v>
      </c>
      <c r="I23" s="16"/>
      <c r="J23" s="15">
        <f>$I9/$I5*$I6</f>
        <v>20571.42857</v>
      </c>
      <c r="K23" s="12">
        <f>I9/I5</f>
        <v>0.8571428571</v>
      </c>
      <c r="L23" s="16">
        <f>K23*I6</f>
        <v>20571.42857</v>
      </c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27</v>
      </c>
      <c r="C24" s="14">
        <v>96000.0</v>
      </c>
      <c r="D24" s="14"/>
      <c r="E24" s="21" t="str">
        <f>IF(G24=G76,"CORRECTO",IF(C24="","","INCORRECTO"))</f>
        <v>CORRECTO</v>
      </c>
      <c r="F24" s="1"/>
      <c r="G24" s="14">
        <v>96000.0</v>
      </c>
      <c r="H24" s="14"/>
      <c r="I24" s="16">
        <f>I21-SUM(I22:I23)</f>
        <v>96000</v>
      </c>
      <c r="J24" s="2"/>
      <c r="K24" s="2"/>
      <c r="L24" s="16">
        <f>K23*(I5-I6)</f>
        <v>3428.571429</v>
      </c>
      <c r="M24" s="23">
        <f>I9-J23</f>
        <v>3428.571429</v>
      </c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 t="s">
        <v>28</v>
      </c>
      <c r="C25" s="14"/>
      <c r="D25" s="14">
        <v>75428.6</v>
      </c>
      <c r="E25" s="21" t="str">
        <f>IF(H25=H77,"CORRECTO",IF(D25="","","INCORRECTO"))</f>
        <v>CORRECTO</v>
      </c>
      <c r="F25" s="1"/>
      <c r="G25" s="14"/>
      <c r="H25" s="14">
        <v>75428.0</v>
      </c>
      <c r="I25" s="16"/>
      <c r="J25" s="16">
        <f>J21-SUM(J22:J23)</f>
        <v>75428.57143</v>
      </c>
      <c r="K25" s="2"/>
      <c r="L25" s="24">
        <f>SUM(L23:L24)</f>
        <v>24000</v>
      </c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 t="str">
        <f t="shared" ref="B26:B27" si="7">B9</f>
        <v>Costo indirecto de fabricación fijo</v>
      </c>
      <c r="C26" s="14">
        <v>24000.0</v>
      </c>
      <c r="D26" s="14"/>
      <c r="E26" s="21"/>
      <c r="F26" s="1"/>
      <c r="G26" s="14">
        <v>24000.0</v>
      </c>
      <c r="H26" s="14"/>
      <c r="I26" s="15">
        <f t="shared" ref="I26:I27" si="8">I9</f>
        <v>24000</v>
      </c>
      <c r="J26" s="16"/>
      <c r="K26" s="2"/>
      <c r="L26" s="2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 t="str">
        <f t="shared" si="7"/>
        <v>Gtos. de administración y comercialización</v>
      </c>
      <c r="C27" s="22">
        <v>12000.0</v>
      </c>
      <c r="D27" s="22">
        <v>12000.0</v>
      </c>
      <c r="E27" s="21"/>
      <c r="F27" s="1"/>
      <c r="G27" s="14">
        <v>12000.0</v>
      </c>
      <c r="H27" s="14">
        <v>12000.0</v>
      </c>
      <c r="I27" s="16">
        <f t="shared" si="8"/>
        <v>12000</v>
      </c>
      <c r="J27" s="16">
        <f>C10</f>
        <v>12000</v>
      </c>
      <c r="K27" s="2"/>
      <c r="L27" s="2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4" t="s">
        <v>29</v>
      </c>
      <c r="C28" s="25">
        <v>60000.0</v>
      </c>
      <c r="D28" s="25">
        <v>63428.6</v>
      </c>
      <c r="E28" s="5"/>
      <c r="F28" s="26"/>
      <c r="G28" s="14">
        <v>60000.0</v>
      </c>
      <c r="H28" s="14">
        <v>63428.0</v>
      </c>
      <c r="I28" s="24">
        <f>I24-SUM(I26:I27)</f>
        <v>60000</v>
      </c>
      <c r="J28" s="24">
        <f>J25-SUM(J26:J27)</f>
        <v>63428.57143</v>
      </c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4"/>
      <c r="C29" s="21" t="str">
        <f t="shared" ref="C29:D29" si="9">IF(G28=G80,"CORRECTO",IF(C28="","","INCORRECTO"))</f>
        <v>CORRECTO</v>
      </c>
      <c r="D29" s="21" t="str">
        <f t="shared" si="9"/>
        <v>CORRECTO</v>
      </c>
      <c r="E29" s="5"/>
      <c r="F29" s="26"/>
      <c r="G29" s="14"/>
      <c r="H29" s="14"/>
      <c r="I29" s="16"/>
      <c r="J29" s="16"/>
      <c r="K29" s="2"/>
      <c r="L29" s="2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4"/>
      <c r="D30" s="14"/>
      <c r="E30" s="5"/>
      <c r="F30" s="27"/>
      <c r="G30" s="14"/>
      <c r="H30" s="14"/>
      <c r="I30" s="2"/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8" t="s">
        <v>30</v>
      </c>
      <c r="C31" s="8">
        <v>4000.0</v>
      </c>
      <c r="D31" s="8">
        <v>4000.0</v>
      </c>
      <c r="E31" s="21"/>
      <c r="F31" s="27"/>
      <c r="G31" s="8">
        <v>4000.0</v>
      </c>
      <c r="H31" s="8">
        <v>4000.0</v>
      </c>
      <c r="I31" s="9">
        <f>I5-I6</f>
        <v>4000</v>
      </c>
      <c r="J31" s="9">
        <f>I31</f>
        <v>4000</v>
      </c>
      <c r="K31" s="2"/>
      <c r="L31" s="29">
        <f>J31</f>
        <v>4000</v>
      </c>
      <c r="M31" s="29">
        <f>L31</f>
        <v>4000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8" t="s">
        <v>31</v>
      </c>
      <c r="C32" s="11">
        <v>12.0</v>
      </c>
      <c r="D32" s="11">
        <v>12.86</v>
      </c>
      <c r="E32" s="21"/>
      <c r="F32" s="27"/>
      <c r="G32" s="11">
        <v>12.0</v>
      </c>
      <c r="H32" s="11">
        <v>12.9</v>
      </c>
      <c r="I32" s="12">
        <f>SUM(I22:I23)/I$6</f>
        <v>12</v>
      </c>
      <c r="J32" s="12">
        <f>SUM(J22:J23)/I$6</f>
        <v>12.85714286</v>
      </c>
      <c r="K32" s="2"/>
      <c r="L32" s="30">
        <f>SUM(I22:I23)/I$6</f>
        <v>12</v>
      </c>
      <c r="M32" s="30">
        <f>SUM(J22:J23)/I$6</f>
        <v>12.85714286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8" t="s">
        <v>32</v>
      </c>
      <c r="C33" s="25">
        <v>48000.0</v>
      </c>
      <c r="D33" s="25">
        <v>51440.0</v>
      </c>
      <c r="E33" s="5"/>
      <c r="F33" s="26"/>
      <c r="G33" s="14">
        <v>48000.0</v>
      </c>
      <c r="H33" s="14">
        <v>51440.0</v>
      </c>
      <c r="I33" s="24">
        <f t="shared" ref="I33:J33" si="10">I32*I31</f>
        <v>48000</v>
      </c>
      <c r="J33" s="24">
        <f t="shared" si="10"/>
        <v>51428.57143</v>
      </c>
      <c r="K33" s="23">
        <f>J33-I33</f>
        <v>3428.571429</v>
      </c>
      <c r="L33" s="31">
        <f t="shared" ref="L33:M33" si="11">L31*L32</f>
        <v>48000</v>
      </c>
      <c r="M33" s="31">
        <f t="shared" si="11"/>
        <v>51428.57143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21" t="str">
        <f t="shared" ref="C34:D34" si="12">IF(G32=G83,"CORRECTO",IF(C33="","","INCORRECTO"))</f>
        <v>CORRECTO</v>
      </c>
      <c r="D34" s="21" t="str">
        <f t="shared" si="12"/>
        <v>CORRECTO</v>
      </c>
      <c r="E34" s="5"/>
      <c r="F34" s="1"/>
      <c r="G34" s="14"/>
      <c r="H34" s="14"/>
      <c r="I34" s="2"/>
      <c r="J34" s="2"/>
      <c r="K34" s="2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21"/>
      <c r="D35" s="21"/>
      <c r="E35" s="5"/>
      <c r="F35" s="1"/>
      <c r="G35" s="14"/>
      <c r="H35" s="14"/>
      <c r="I35" s="9"/>
      <c r="J35" s="9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32" t="s">
        <v>33</v>
      </c>
      <c r="D36" s="19"/>
      <c r="E36" s="33"/>
      <c r="F36" s="1"/>
      <c r="G36" s="14"/>
      <c r="H36" s="14"/>
      <c r="I36" s="32" t="s">
        <v>33</v>
      </c>
      <c r="J36" s="19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3" t="s">
        <v>21</v>
      </c>
      <c r="D37" s="13" t="s">
        <v>21</v>
      </c>
      <c r="E37" s="33"/>
      <c r="F37" s="1"/>
      <c r="G37" s="14"/>
      <c r="H37" s="14"/>
      <c r="I37" s="2"/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3" t="s">
        <v>22</v>
      </c>
      <c r="D38" s="13" t="s">
        <v>23</v>
      </c>
      <c r="E38" s="34"/>
      <c r="F38" s="1"/>
      <c r="G38" s="14"/>
      <c r="H38" s="14"/>
      <c r="I38" s="2"/>
      <c r="J38" s="2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 t="s">
        <v>24</v>
      </c>
      <c r="C39" s="14">
        <v>448000.0</v>
      </c>
      <c r="D39" s="14">
        <v>448000.0</v>
      </c>
      <c r="E39" s="21"/>
      <c r="F39" s="1"/>
      <c r="G39" s="14">
        <v>448000.0</v>
      </c>
      <c r="H39" s="14">
        <v>448000.0</v>
      </c>
      <c r="I39" s="16">
        <f>$J$6*$J$7</f>
        <v>448000</v>
      </c>
      <c r="J39" s="16">
        <f>$J$6*$D$7</f>
        <v>448000</v>
      </c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 t="s">
        <v>34</v>
      </c>
      <c r="C40" s="14">
        <v>48000.0</v>
      </c>
      <c r="D40" s="14">
        <v>48000.0</v>
      </c>
      <c r="E40" s="21"/>
      <c r="F40" s="14"/>
      <c r="G40" s="14">
        <v>48000.0</v>
      </c>
      <c r="H40" s="14">
        <v>48000.0</v>
      </c>
      <c r="I40" s="16">
        <f>I32*I31</f>
        <v>48000</v>
      </c>
      <c r="J40" s="16">
        <f t="shared" ref="J40:J41" si="13">I40</f>
        <v>48000</v>
      </c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 t="s">
        <v>25</v>
      </c>
      <c r="C41" s="14">
        <v>288000.0</v>
      </c>
      <c r="D41" s="14">
        <v>288000.0</v>
      </c>
      <c r="E41" s="21"/>
      <c r="F41" s="1"/>
      <c r="G41" s="14">
        <v>288000.0</v>
      </c>
      <c r="H41" s="14">
        <v>288000.0</v>
      </c>
      <c r="I41" s="16">
        <f>J6*J8-I31*J8</f>
        <v>288000</v>
      </c>
      <c r="J41" s="16">
        <f t="shared" si="13"/>
        <v>288000</v>
      </c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 t="s">
        <v>35</v>
      </c>
      <c r="C42" s="14"/>
      <c r="D42" s="14">
        <v>3429.0</v>
      </c>
      <c r="E42" s="21"/>
      <c r="F42" s="1"/>
      <c r="G42" s="14"/>
      <c r="H42" s="14">
        <v>3429.0</v>
      </c>
      <c r="I42" s="2"/>
      <c r="J42" s="35">
        <f>K33</f>
        <v>3428.571429</v>
      </c>
      <c r="K42" s="2"/>
      <c r="L42" s="16">
        <f>J42</f>
        <v>3428.571429</v>
      </c>
      <c r="M42" s="2" t="s">
        <v>36</v>
      </c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 t="s">
        <v>26</v>
      </c>
      <c r="C43" s="22"/>
      <c r="D43" s="22">
        <v>24000.0</v>
      </c>
      <c r="E43" s="21"/>
      <c r="F43" s="1"/>
      <c r="G43" s="14"/>
      <c r="H43" s="14">
        <v>24000.0</v>
      </c>
      <c r="I43" s="2"/>
      <c r="J43" s="35">
        <f>J9</f>
        <v>24000</v>
      </c>
      <c r="K43" s="12">
        <f>J9/J5</f>
        <v>1</v>
      </c>
      <c r="L43" s="16">
        <f>K43*I6</f>
        <v>24000</v>
      </c>
      <c r="M43" s="2" t="s">
        <v>37</v>
      </c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 t="s">
        <v>27</v>
      </c>
      <c r="C44" s="14">
        <v>112000.0</v>
      </c>
      <c r="D44" s="14"/>
      <c r="E44" s="21" t="str">
        <f>IF(G44=G94,"CORRECTO",IF(C44="","","INCORRECTO"))</f>
        <v>CORRECTO</v>
      </c>
      <c r="F44" s="1"/>
      <c r="G44" s="14">
        <v>112000.0</v>
      </c>
      <c r="H44" s="14"/>
      <c r="I44" s="16">
        <f>I39-SUM(I40:I43)</f>
        <v>112000</v>
      </c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 t="s">
        <v>28</v>
      </c>
      <c r="C45" s="14"/>
      <c r="D45" s="14">
        <v>84571.0</v>
      </c>
      <c r="E45" s="21" t="str">
        <f>IF(H45=H95,"CORRECTO",IF(D45="","","INCORRECTO"))</f>
        <v>CORRECTO</v>
      </c>
      <c r="F45" s="1"/>
      <c r="G45" s="14"/>
      <c r="H45" s="14">
        <v>84571.0</v>
      </c>
      <c r="I45" s="2"/>
      <c r="J45" s="16">
        <f>J39-SUM(J40:J44)</f>
        <v>84571.42857</v>
      </c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 t="str">
        <f t="shared" ref="B46:B47" si="14">B9</f>
        <v>Costo indirecto de fabricación fijo</v>
      </c>
      <c r="C46" s="14">
        <v>24000.0</v>
      </c>
      <c r="D46" s="14"/>
      <c r="E46" s="21"/>
      <c r="F46" s="1"/>
      <c r="G46" s="14">
        <v>24000.0</v>
      </c>
      <c r="H46" s="14"/>
      <c r="I46" s="35">
        <f>J9</f>
        <v>24000</v>
      </c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 t="str">
        <f t="shared" si="14"/>
        <v>Gtos. de administración y comercialización</v>
      </c>
      <c r="C47" s="22">
        <v>12000.0</v>
      </c>
      <c r="D47" s="22">
        <v>12000.0</v>
      </c>
      <c r="E47" s="21"/>
      <c r="F47" s="1"/>
      <c r="G47" s="14">
        <v>12000.0</v>
      </c>
      <c r="H47" s="14">
        <v>12000.0</v>
      </c>
      <c r="I47" s="16">
        <f>C27</f>
        <v>12000</v>
      </c>
      <c r="J47" s="16">
        <f>D10</f>
        <v>12000</v>
      </c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4" t="s">
        <v>29</v>
      </c>
      <c r="C48" s="25">
        <v>76000.0</v>
      </c>
      <c r="D48" s="25">
        <v>72571.0</v>
      </c>
      <c r="E48" s="21"/>
      <c r="F48" s="26"/>
      <c r="G48" s="14">
        <v>76000.0</v>
      </c>
      <c r="H48" s="14">
        <v>72571.0</v>
      </c>
      <c r="I48" s="24">
        <f>I44-SUM(I46:I47)</f>
        <v>76000</v>
      </c>
      <c r="J48" s="24">
        <f>J45-SUM(J46:J47)</f>
        <v>72571.42857</v>
      </c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4"/>
      <c r="C49" s="21" t="str">
        <f t="shared" ref="C49:D49" si="15">IF(G48=G98,"CORRECTO",IF(C48="","","INCORRECTO"))</f>
        <v>CORRECTO</v>
      </c>
      <c r="D49" s="21" t="str">
        <f t="shared" si="15"/>
        <v>CORRECTO</v>
      </c>
      <c r="E49" s="21"/>
      <c r="F49" s="26"/>
      <c r="G49" s="14"/>
      <c r="H49" s="14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4"/>
      <c r="D50" s="14"/>
      <c r="E50" s="5"/>
      <c r="F50" s="14"/>
      <c r="G50" s="14"/>
      <c r="H50" s="14"/>
      <c r="I50" s="16"/>
      <c r="J50" s="16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8" t="s">
        <v>30</v>
      </c>
      <c r="C51" s="8">
        <v>0.0</v>
      </c>
      <c r="D51" s="8">
        <v>0.0</v>
      </c>
      <c r="E51" s="21"/>
      <c r="F51" s="14"/>
      <c r="G51" s="8">
        <v>0.0</v>
      </c>
      <c r="H51" s="8">
        <v>0.0</v>
      </c>
      <c r="I51" s="9">
        <v>0.0</v>
      </c>
      <c r="J51" s="9">
        <v>0.0</v>
      </c>
      <c r="K51" s="2"/>
      <c r="L51" s="2"/>
      <c r="M51" s="2"/>
      <c r="N51" s="29"/>
      <c r="O51" s="2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8" t="s">
        <v>31</v>
      </c>
      <c r="C52" s="11">
        <v>12.0</v>
      </c>
      <c r="D52" s="11">
        <v>13.0</v>
      </c>
      <c r="E52" s="5"/>
      <c r="F52" s="14"/>
      <c r="G52" s="11">
        <v>12.0</v>
      </c>
      <c r="H52" s="11">
        <v>13.0</v>
      </c>
      <c r="I52" s="12">
        <f>SUM(I40:I43)/J6</f>
        <v>12</v>
      </c>
      <c r="J52" s="12">
        <f>SUM(J40:J43)/J6</f>
        <v>12.97959184</v>
      </c>
      <c r="K52" s="2"/>
      <c r="L52" s="2"/>
      <c r="M52" s="2"/>
      <c r="N52" s="30"/>
      <c r="O52" s="30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8" t="s">
        <v>32</v>
      </c>
      <c r="C53" s="25">
        <v>0.0</v>
      </c>
      <c r="D53" s="25">
        <v>0.0</v>
      </c>
      <c r="E53" s="5"/>
      <c r="F53" s="14"/>
      <c r="G53" s="14">
        <v>0.0</v>
      </c>
      <c r="H53" s="14">
        <v>0.0</v>
      </c>
      <c r="I53" s="36">
        <f t="shared" ref="I53:J53" si="16">I51*I52</f>
        <v>0</v>
      </c>
      <c r="J53" s="36">
        <f t="shared" si="16"/>
        <v>0</v>
      </c>
      <c r="K53" s="2"/>
      <c r="L53" s="2"/>
      <c r="M53" s="2"/>
      <c r="N53" s="31"/>
      <c r="O53" s="3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1" t="str">
        <f t="shared" ref="C54:D54" si="17">IF(G52=G101,"CORRECTO",IF(C52="","","INCORRECTO"))</f>
        <v>CORRECTO</v>
      </c>
      <c r="D54" s="21" t="str">
        <f t="shared" si="17"/>
        <v>CORRECTO</v>
      </c>
      <c r="E54" s="5"/>
      <c r="F54" s="1"/>
      <c r="G54" s="14"/>
      <c r="H54" s="14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1"/>
      <c r="D55" s="21"/>
      <c r="E55" s="5"/>
      <c r="F55" s="1"/>
      <c r="G55" s="14"/>
      <c r="H55" s="14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37" t="s">
        <v>38</v>
      </c>
      <c r="D56" s="19"/>
      <c r="E56" s="5"/>
      <c r="F56" s="1"/>
      <c r="G56" s="14"/>
      <c r="H56" s="14"/>
      <c r="I56" s="37" t="s">
        <v>38</v>
      </c>
      <c r="J56" s="19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3" t="s">
        <v>21</v>
      </c>
      <c r="D57" s="13" t="s">
        <v>21</v>
      </c>
      <c r="E57" s="5"/>
      <c r="F57" s="1"/>
      <c r="G57" s="14"/>
      <c r="H57" s="14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3" t="s">
        <v>22</v>
      </c>
      <c r="D58" s="13" t="s">
        <v>23</v>
      </c>
      <c r="E58" s="5"/>
      <c r="F58" s="1"/>
      <c r="G58" s="14"/>
      <c r="H58" s="14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 t="s">
        <v>24</v>
      </c>
      <c r="C59" s="14">
        <v>832000.0</v>
      </c>
      <c r="D59" s="14">
        <v>832000.0</v>
      </c>
      <c r="E59" s="21"/>
      <c r="F59" s="1"/>
      <c r="G59" s="14">
        <v>832000.0</v>
      </c>
      <c r="H59" s="14">
        <v>832000.0</v>
      </c>
      <c r="I59" s="16">
        <f t="shared" ref="I59:J59" si="18">I21+I39</f>
        <v>832000</v>
      </c>
      <c r="J59" s="16">
        <f t="shared" si="18"/>
        <v>832000</v>
      </c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 t="s">
        <v>39</v>
      </c>
      <c r="C60" s="14">
        <v>624000.0</v>
      </c>
      <c r="D60" s="14">
        <v>624000.0</v>
      </c>
      <c r="E60" s="21"/>
      <c r="F60" s="1"/>
      <c r="G60" s="14">
        <v>624000.0</v>
      </c>
      <c r="H60" s="14">
        <v>624000.0</v>
      </c>
      <c r="I60" s="16">
        <f t="shared" ref="I60:J60" si="19">SUM(I22,I40:I41)</f>
        <v>624000</v>
      </c>
      <c r="J60" s="16">
        <f t="shared" si="19"/>
        <v>624000</v>
      </c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 t="s">
        <v>40</v>
      </c>
      <c r="C61" s="22"/>
      <c r="D61" s="22">
        <v>48000.0</v>
      </c>
      <c r="E61" s="21"/>
      <c r="F61" s="1"/>
      <c r="G61" s="14"/>
      <c r="H61" s="14">
        <v>48000.0</v>
      </c>
      <c r="I61" s="16">
        <f t="shared" ref="I61:J61" si="20">SUM(I23,I42:I43)</f>
        <v>0</v>
      </c>
      <c r="J61" s="35">
        <f t="shared" si="20"/>
        <v>48000</v>
      </c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 t="s">
        <v>27</v>
      </c>
      <c r="C62" s="14">
        <v>208000.0</v>
      </c>
      <c r="D62" s="14"/>
      <c r="E62" s="21" t="str">
        <f>IF(G62=G110,"CORRECTO",IF(C62="","","INCORRECTO"))</f>
        <v>CORRECTO</v>
      </c>
      <c r="F62" s="1"/>
      <c r="G62" s="14">
        <v>208000.0</v>
      </c>
      <c r="H62" s="14"/>
      <c r="I62" s="16">
        <f>I59-SUM(I60:I61)</f>
        <v>208000</v>
      </c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 t="s">
        <v>28</v>
      </c>
      <c r="C63" s="14"/>
      <c r="D63" s="14">
        <v>160000.0</v>
      </c>
      <c r="E63" s="21" t="str">
        <f>IF(H63=H111,"CORRECTO",IF(D63="","","INCORRECTO"))</f>
        <v>CORRECTO</v>
      </c>
      <c r="F63" s="1"/>
      <c r="G63" s="14"/>
      <c r="H63" s="14">
        <v>160000.0</v>
      </c>
      <c r="I63" s="2"/>
      <c r="J63" s="16">
        <f>J59-SUM(J60:J61)</f>
        <v>160000</v>
      </c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 t="str">
        <f t="shared" ref="B64:B65" si="22">B9</f>
        <v>Costo indirecto de fabricación fijo</v>
      </c>
      <c r="C64" s="14">
        <v>48000.0</v>
      </c>
      <c r="D64" s="14"/>
      <c r="E64" s="21"/>
      <c r="F64" s="1"/>
      <c r="G64" s="14">
        <v>48000.0</v>
      </c>
      <c r="H64" s="14"/>
      <c r="I64" s="35">
        <f t="shared" ref="I64:J64" si="21">SUM(I26,I46)</f>
        <v>48000</v>
      </c>
      <c r="J64" s="16">
        <f t="shared" si="21"/>
        <v>0</v>
      </c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 t="str">
        <f t="shared" si="22"/>
        <v>Gtos. de administración y comercialización</v>
      </c>
      <c r="C65" s="22">
        <v>24000.0</v>
      </c>
      <c r="D65" s="22">
        <v>24000.0</v>
      </c>
      <c r="E65" s="21"/>
      <c r="F65" s="1"/>
      <c r="G65" s="14">
        <v>24000.0</v>
      </c>
      <c r="H65" s="14">
        <v>24000.0</v>
      </c>
      <c r="I65" s="16">
        <f t="shared" ref="I65:J65" si="23">SUM(I27,I47)</f>
        <v>24000</v>
      </c>
      <c r="J65" s="16">
        <f t="shared" si="23"/>
        <v>24000</v>
      </c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4" t="s">
        <v>29</v>
      </c>
      <c r="C66" s="25">
        <v>136000.0</v>
      </c>
      <c r="D66" s="25">
        <v>136000.0</v>
      </c>
      <c r="E66" s="5"/>
      <c r="F66" s="26"/>
      <c r="G66" s="14">
        <v>136000.0</v>
      </c>
      <c r="H66" s="14">
        <v>136000.0</v>
      </c>
      <c r="I66" s="24">
        <f>I62-SUM(I64:I65)</f>
        <v>136000</v>
      </c>
      <c r="J66" s="24">
        <f>J63-SUM(J64:J65)</f>
        <v>136000</v>
      </c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1" t="str">
        <f t="shared" ref="C67:D67" si="24">IF(G66=G114,"CORRECTO",IF(C66="","","INCORRECTO"))</f>
        <v>CORRECTO</v>
      </c>
      <c r="D67" s="21" t="str">
        <f t="shared" si="24"/>
        <v>CORRECTO</v>
      </c>
      <c r="E67" s="1"/>
      <c r="F67" s="1"/>
      <c r="G67" s="1"/>
      <c r="H67" s="1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4"/>
      <c r="D68" s="14"/>
      <c r="E68" s="1"/>
      <c r="F68" s="1"/>
      <c r="G68" s="1"/>
      <c r="H68" s="1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hidden="1" customHeight="1">
      <c r="A69" s="1"/>
      <c r="B69" s="1"/>
      <c r="C69" s="14"/>
      <c r="D69" s="14"/>
      <c r="E69" s="1"/>
      <c r="F69" s="1"/>
      <c r="G69" s="1"/>
      <c r="H69" s="1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hidden="1" customHeight="1">
      <c r="A70" s="1"/>
      <c r="B70" s="1"/>
      <c r="C70" s="13" t="s">
        <v>20</v>
      </c>
      <c r="E70" s="1"/>
      <c r="F70" s="1"/>
      <c r="G70" s="1"/>
      <c r="H70" s="1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hidden="1" customHeight="1">
      <c r="A71" s="1"/>
      <c r="B71" s="1"/>
      <c r="C71" s="17" t="s">
        <v>21</v>
      </c>
      <c r="D71" s="17" t="s">
        <v>21</v>
      </c>
      <c r="E71" s="1"/>
      <c r="F71" s="1"/>
      <c r="G71" s="1"/>
      <c r="H71" s="1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hidden="1" customHeight="1">
      <c r="A72" s="1"/>
      <c r="B72" s="1"/>
      <c r="C72" s="17" t="s">
        <v>22</v>
      </c>
      <c r="D72" s="17" t="s">
        <v>23</v>
      </c>
      <c r="E72" s="1"/>
      <c r="F72" s="1"/>
      <c r="G72" s="1"/>
      <c r="H72" s="1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hidden="1" customHeight="1">
      <c r="A73" s="1"/>
      <c r="B73" s="1" t="s">
        <v>24</v>
      </c>
      <c r="C73" s="14">
        <f>C7*C6</f>
        <v>384000</v>
      </c>
      <c r="D73" s="14">
        <f>C7*C6</f>
        <v>384000</v>
      </c>
      <c r="E73" s="1"/>
      <c r="F73" s="1"/>
      <c r="G73" s="14">
        <f t="shared" ref="G73:H73" si="25">INT(C73)</f>
        <v>384000</v>
      </c>
      <c r="H73" s="14">
        <f t="shared" si="25"/>
        <v>384000</v>
      </c>
      <c r="I73" s="16"/>
      <c r="J73" s="16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hidden="1" customHeight="1">
      <c r="A74" s="1"/>
      <c r="B74" s="1" t="s">
        <v>25</v>
      </c>
      <c r="C74" s="14">
        <f>C8*C6</f>
        <v>288000</v>
      </c>
      <c r="D74" s="14">
        <f>C8*C6</f>
        <v>288000</v>
      </c>
      <c r="E74" s="1"/>
      <c r="F74" s="1"/>
      <c r="G74" s="14">
        <f t="shared" ref="G74:H74" si="26">INT(C74)</f>
        <v>288000</v>
      </c>
      <c r="H74" s="14">
        <f t="shared" si="26"/>
        <v>288000</v>
      </c>
      <c r="I74" s="16"/>
      <c r="J74" s="16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hidden="1" customHeight="1">
      <c r="A75" s="1"/>
      <c r="B75" s="1" t="s">
        <v>26</v>
      </c>
      <c r="C75" s="22"/>
      <c r="D75" s="22">
        <f>(C9/C5)*C6</f>
        <v>20571.42857</v>
      </c>
      <c r="E75" s="1"/>
      <c r="F75" s="1"/>
      <c r="G75" s="14"/>
      <c r="H75" s="14">
        <f>INT(D75)</f>
        <v>20571</v>
      </c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hidden="1" customHeight="1">
      <c r="A76" s="1"/>
      <c r="B76" s="1" t="s">
        <v>27</v>
      </c>
      <c r="C76" s="14">
        <f>C73-C74-C75</f>
        <v>96000</v>
      </c>
      <c r="D76" s="14"/>
      <c r="E76" s="1"/>
      <c r="F76" s="1"/>
      <c r="G76" s="14">
        <f>INT(C76)</f>
        <v>96000</v>
      </c>
      <c r="H76" s="1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hidden="1" customHeight="1">
      <c r="A77" s="1"/>
      <c r="B77" s="1" t="s">
        <v>28</v>
      </c>
      <c r="C77" s="14"/>
      <c r="D77" s="14">
        <f>D73-D74-D75</f>
        <v>75428.57143</v>
      </c>
      <c r="E77" s="1"/>
      <c r="F77" s="1"/>
      <c r="G77" s="1"/>
      <c r="H77" s="14">
        <f>INT(D77)</f>
        <v>75428</v>
      </c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hidden="1" customHeight="1">
      <c r="A78" s="1"/>
      <c r="B78" s="1" t="str">
        <f t="shared" ref="B78:C78" si="27">B9</f>
        <v>Costo indirecto de fabricación fijo</v>
      </c>
      <c r="C78" s="14">
        <f t="shared" si="27"/>
        <v>24000</v>
      </c>
      <c r="D78" s="14"/>
      <c r="E78" s="1"/>
      <c r="F78" s="1"/>
      <c r="G78" s="14">
        <f t="shared" ref="G78:G80" si="29">INT(C78)</f>
        <v>24000</v>
      </c>
      <c r="H78" s="1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hidden="1" customHeight="1">
      <c r="A79" s="1"/>
      <c r="B79" s="1" t="str">
        <f t="shared" ref="B79:C79" si="28">B10</f>
        <v>Gtos. de administración y comercialización</v>
      </c>
      <c r="C79" s="22">
        <f t="shared" si="28"/>
        <v>12000</v>
      </c>
      <c r="D79" s="22">
        <f>C10</f>
        <v>12000</v>
      </c>
      <c r="E79" s="1"/>
      <c r="F79" s="1"/>
      <c r="G79" s="14">
        <f t="shared" si="29"/>
        <v>12000</v>
      </c>
      <c r="H79" s="14">
        <f t="shared" ref="H79:H80" si="30">INT(D79)</f>
        <v>12000</v>
      </c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hidden="1" customHeight="1">
      <c r="A80" s="1"/>
      <c r="B80" s="4" t="s">
        <v>29</v>
      </c>
      <c r="C80" s="25">
        <f>C76-C78-C79</f>
        <v>60000</v>
      </c>
      <c r="D80" s="25">
        <f>D77-D78-D79</f>
        <v>63428.57143</v>
      </c>
      <c r="E80" s="5" t="s">
        <v>41</v>
      </c>
      <c r="F80" s="26">
        <f>D80-C80</f>
        <v>3428.571429</v>
      </c>
      <c r="G80" s="14">
        <f t="shared" si="29"/>
        <v>60000</v>
      </c>
      <c r="H80" s="14">
        <f t="shared" si="30"/>
        <v>63428</v>
      </c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hidden="1" customHeight="1">
      <c r="A81" s="1"/>
      <c r="B81" s="1"/>
      <c r="C81" s="14"/>
      <c r="D81" s="14"/>
      <c r="E81" s="5"/>
      <c r="F81" s="27"/>
      <c r="G81" s="1"/>
      <c r="H81" s="1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hidden="1" customHeight="1">
      <c r="A82" s="1"/>
      <c r="B82" s="28" t="s">
        <v>30</v>
      </c>
      <c r="C82" s="8">
        <f>C5-C6</f>
        <v>4000</v>
      </c>
      <c r="D82" s="8">
        <f>C5-C6</f>
        <v>4000</v>
      </c>
      <c r="E82" s="5"/>
      <c r="F82" s="27"/>
      <c r="G82" s="8">
        <f t="shared" ref="G82:H82" si="31">INT(C82)</f>
        <v>4000</v>
      </c>
      <c r="H82" s="8">
        <f t="shared" si="31"/>
        <v>4000</v>
      </c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hidden="1" customHeight="1">
      <c r="A83" s="1"/>
      <c r="B83" s="28" t="s">
        <v>31</v>
      </c>
      <c r="C83" s="11">
        <f>C8</f>
        <v>12</v>
      </c>
      <c r="D83" s="11">
        <f>C8+(C9/C5)</f>
        <v>12.85714286</v>
      </c>
      <c r="E83" s="5"/>
      <c r="F83" s="27"/>
      <c r="G83" s="11">
        <f t="shared" ref="G83:H83" si="32">ROUNDUP(C83,1)</f>
        <v>12</v>
      </c>
      <c r="H83" s="11">
        <f t="shared" si="32"/>
        <v>12.9</v>
      </c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hidden="1" customHeight="1">
      <c r="A84" s="1"/>
      <c r="B84" s="28" t="s">
        <v>32</v>
      </c>
      <c r="C84" s="25">
        <f t="shared" ref="C84:D84" si="33">C82*C83</f>
        <v>48000</v>
      </c>
      <c r="D84" s="25">
        <f t="shared" si="33"/>
        <v>51428.57143</v>
      </c>
      <c r="E84" s="5" t="s">
        <v>41</v>
      </c>
      <c r="F84" s="26">
        <f>D84-C84</f>
        <v>3428.571429</v>
      </c>
      <c r="G84" s="14">
        <f t="shared" ref="G84:H84" si="34">INT(C84)</f>
        <v>48000</v>
      </c>
      <c r="H84" s="14">
        <f t="shared" si="34"/>
        <v>51428</v>
      </c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hidden="1" customHeight="1">
      <c r="A85" s="1"/>
      <c r="B85" s="1"/>
      <c r="C85" s="14"/>
      <c r="D85" s="14"/>
      <c r="E85" s="5"/>
      <c r="F85" s="1"/>
      <c r="G85" s="1"/>
      <c r="H85" s="1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hidden="1" customHeight="1">
      <c r="A86" s="1"/>
      <c r="B86" s="1"/>
      <c r="C86" s="38" t="s">
        <v>33</v>
      </c>
      <c r="E86" s="33"/>
      <c r="F86" s="1"/>
      <c r="G86" s="1"/>
      <c r="H86" s="1"/>
      <c r="I86" s="2"/>
      <c r="J86" s="1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hidden="1" customHeight="1">
      <c r="A87" s="1"/>
      <c r="B87" s="1"/>
      <c r="C87" s="17" t="s">
        <v>21</v>
      </c>
      <c r="D87" s="17" t="s">
        <v>21</v>
      </c>
      <c r="E87" s="33"/>
      <c r="F87" s="1"/>
      <c r="G87" s="1"/>
      <c r="H87" s="1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hidden="1" customHeight="1">
      <c r="A88" s="1"/>
      <c r="B88" s="1"/>
      <c r="C88" s="17" t="s">
        <v>22</v>
      </c>
      <c r="D88" s="17" t="s">
        <v>23</v>
      </c>
      <c r="E88" s="34"/>
      <c r="F88" s="1"/>
      <c r="G88" s="1"/>
      <c r="H88" s="1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hidden="1" customHeight="1">
      <c r="A89" s="1"/>
      <c r="B89" s="1" t="s">
        <v>24</v>
      </c>
      <c r="C89" s="14">
        <f>D7*D6</f>
        <v>448000</v>
      </c>
      <c r="D89" s="14">
        <f>D7*D6</f>
        <v>448000</v>
      </c>
      <c r="E89" s="33"/>
      <c r="F89" s="1"/>
      <c r="G89" s="14">
        <f t="shared" ref="G89:H89" si="35">INT(C89)</f>
        <v>448000</v>
      </c>
      <c r="H89" s="14">
        <f t="shared" si="35"/>
        <v>448000</v>
      </c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hidden="1" customHeight="1">
      <c r="A90" s="1"/>
      <c r="B90" s="1" t="s">
        <v>34</v>
      </c>
      <c r="C90" s="14">
        <f>C8*(C5-C6)</f>
        <v>48000</v>
      </c>
      <c r="D90" s="14">
        <f>C8*(C5-C6)</f>
        <v>48000</v>
      </c>
      <c r="E90" s="5"/>
      <c r="F90" s="14"/>
      <c r="G90" s="14">
        <f t="shared" ref="G90:H90" si="36">INT(C90)</f>
        <v>48000</v>
      </c>
      <c r="H90" s="14">
        <f t="shared" si="36"/>
        <v>48000</v>
      </c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hidden="1" customHeight="1">
      <c r="A91" s="1"/>
      <c r="B91" s="1" t="s">
        <v>25</v>
      </c>
      <c r="C91" s="14">
        <f>D8*D5</f>
        <v>288000</v>
      </c>
      <c r="D91" s="14">
        <f>D8*D5</f>
        <v>288000</v>
      </c>
      <c r="E91" s="5"/>
      <c r="F91" s="1"/>
      <c r="G91" s="14">
        <f t="shared" ref="G91:H91" si="37">INT(C91)</f>
        <v>288000</v>
      </c>
      <c r="H91" s="14">
        <f t="shared" si="37"/>
        <v>288000</v>
      </c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hidden="1" customHeight="1">
      <c r="A92" s="1"/>
      <c r="B92" s="1" t="s">
        <v>35</v>
      </c>
      <c r="C92" s="14"/>
      <c r="D92" s="14">
        <f>(C9/C5)*(C5-C6)</f>
        <v>3428.571429</v>
      </c>
      <c r="E92" s="5"/>
      <c r="F92" s="1"/>
      <c r="G92" s="1"/>
      <c r="H92" s="14">
        <f t="shared" ref="H92:H93" si="38">INT(D92)</f>
        <v>3428</v>
      </c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hidden="1" customHeight="1">
      <c r="A93" s="1"/>
      <c r="B93" s="1" t="s">
        <v>26</v>
      </c>
      <c r="C93" s="22"/>
      <c r="D93" s="22">
        <f>(D9/D5)*D5</f>
        <v>24000</v>
      </c>
      <c r="E93" s="5"/>
      <c r="F93" s="1"/>
      <c r="G93" s="1"/>
      <c r="H93" s="14">
        <f t="shared" si="38"/>
        <v>24000</v>
      </c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hidden="1" customHeight="1">
      <c r="A94" s="1"/>
      <c r="B94" s="1" t="s">
        <v>27</v>
      </c>
      <c r="C94" s="14">
        <f>C89-C90-C91-C92-C93</f>
        <v>112000</v>
      </c>
      <c r="D94" s="14"/>
      <c r="E94" s="5"/>
      <c r="F94" s="1"/>
      <c r="G94" s="14">
        <f>INT(C94)</f>
        <v>112000</v>
      </c>
      <c r="H94" s="1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hidden="1" customHeight="1">
      <c r="A95" s="1"/>
      <c r="B95" s="1" t="s">
        <v>28</v>
      </c>
      <c r="C95" s="14"/>
      <c r="D95" s="14">
        <f>D89-D90-D91-D92-D93</f>
        <v>84571.42857</v>
      </c>
      <c r="E95" s="5"/>
      <c r="F95" s="1"/>
      <c r="G95" s="1"/>
      <c r="H95" s="14">
        <f>INT(D95)</f>
        <v>84571</v>
      </c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hidden="1" customHeight="1">
      <c r="A96" s="1"/>
      <c r="B96" s="1" t="str">
        <f t="shared" ref="B96:B97" si="39">B9</f>
        <v>Costo indirecto de fabricación fijo</v>
      </c>
      <c r="C96" s="14">
        <f t="shared" ref="C96:C97" si="40">D9</f>
        <v>24000</v>
      </c>
      <c r="D96" s="14"/>
      <c r="E96" s="5"/>
      <c r="F96" s="1"/>
      <c r="G96" s="14">
        <f t="shared" ref="G96:G98" si="41">INT(C96)</f>
        <v>24000</v>
      </c>
      <c r="H96" s="1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hidden="1" customHeight="1">
      <c r="A97" s="1"/>
      <c r="B97" s="1" t="str">
        <f t="shared" si="39"/>
        <v>Gtos. de administración y comercialización</v>
      </c>
      <c r="C97" s="22">
        <f t="shared" si="40"/>
        <v>12000</v>
      </c>
      <c r="D97" s="22">
        <f>D10</f>
        <v>12000</v>
      </c>
      <c r="E97" s="5"/>
      <c r="F97" s="1"/>
      <c r="G97" s="14">
        <f t="shared" si="41"/>
        <v>12000</v>
      </c>
      <c r="H97" s="14">
        <f t="shared" ref="H97:H98" si="42">INT(D97)</f>
        <v>12000</v>
      </c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hidden="1" customHeight="1">
      <c r="A98" s="1"/>
      <c r="B98" s="4" t="s">
        <v>29</v>
      </c>
      <c r="C98" s="25">
        <f>C94-C96-C97</f>
        <v>76000</v>
      </c>
      <c r="D98" s="25">
        <f>D95-D96-D97</f>
        <v>72571.42857</v>
      </c>
      <c r="E98" s="5" t="s">
        <v>41</v>
      </c>
      <c r="F98" s="26">
        <f>D98-C98</f>
        <v>-3428.571429</v>
      </c>
      <c r="G98" s="14">
        <f t="shared" si="41"/>
        <v>76000</v>
      </c>
      <c r="H98" s="14">
        <f t="shared" si="42"/>
        <v>72571</v>
      </c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hidden="1" customHeight="1">
      <c r="A99" s="1"/>
      <c r="B99" s="1"/>
      <c r="C99" s="14"/>
      <c r="D99" s="14"/>
      <c r="E99" s="5"/>
      <c r="F99" s="14"/>
      <c r="G99" s="14"/>
      <c r="H99" s="1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hidden="1" customHeight="1">
      <c r="A100" s="1"/>
      <c r="B100" s="28" t="s">
        <v>30</v>
      </c>
      <c r="C100" s="8">
        <f>C5-C6+D5-D6</f>
        <v>0</v>
      </c>
      <c r="D100" s="8">
        <f>C5-C6+D5-D6</f>
        <v>0</v>
      </c>
      <c r="E100" s="5"/>
      <c r="F100" s="14"/>
      <c r="G100" s="14">
        <f t="shared" ref="G100:H100" si="43">INT(C100)</f>
        <v>0</v>
      </c>
      <c r="H100" s="8">
        <f t="shared" si="43"/>
        <v>0</v>
      </c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hidden="1" customHeight="1">
      <c r="A101" s="1"/>
      <c r="B101" s="28" t="s">
        <v>31</v>
      </c>
      <c r="C101" s="11">
        <f>D8</f>
        <v>12</v>
      </c>
      <c r="D101" s="11">
        <f>D8+(D9/D5)</f>
        <v>13</v>
      </c>
      <c r="E101" s="5"/>
      <c r="F101" s="14"/>
      <c r="G101" s="14">
        <f t="shared" ref="G101:H101" si="44">ROUNDUP(C101,1)</f>
        <v>12</v>
      </c>
      <c r="H101" s="11">
        <f t="shared" si="44"/>
        <v>13</v>
      </c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hidden="1" customHeight="1">
      <c r="A102" s="1"/>
      <c r="B102" s="28" t="s">
        <v>32</v>
      </c>
      <c r="C102" s="25">
        <f t="shared" ref="C102:D102" si="45">C100*C101</f>
        <v>0</v>
      </c>
      <c r="D102" s="25">
        <f t="shared" si="45"/>
        <v>0</v>
      </c>
      <c r="E102" s="5"/>
      <c r="F102" s="14"/>
      <c r="G102" s="14">
        <f t="shared" ref="G102:H102" si="46">INT(C102)</f>
        <v>0</v>
      </c>
      <c r="H102" s="14">
        <f t="shared" si="46"/>
        <v>0</v>
      </c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hidden="1" customHeight="1">
      <c r="A103" s="1"/>
      <c r="B103" s="1"/>
      <c r="C103" s="14"/>
      <c r="D103" s="14"/>
      <c r="E103" s="5"/>
      <c r="F103" s="1"/>
      <c r="G103" s="1"/>
      <c r="H103" s="1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hidden="1" customHeight="1">
      <c r="A104" s="1"/>
      <c r="B104" s="1"/>
      <c r="C104" s="13" t="s">
        <v>38</v>
      </c>
      <c r="E104" s="5"/>
      <c r="F104" s="1"/>
      <c r="G104" s="1"/>
      <c r="H104" s="1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hidden="1" customHeight="1">
      <c r="A105" s="1"/>
      <c r="B105" s="1"/>
      <c r="C105" s="17" t="s">
        <v>21</v>
      </c>
      <c r="D105" s="17" t="s">
        <v>21</v>
      </c>
      <c r="E105" s="5"/>
      <c r="F105" s="1"/>
      <c r="G105" s="1"/>
      <c r="H105" s="1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hidden="1" customHeight="1">
      <c r="A106" s="1"/>
      <c r="B106" s="1"/>
      <c r="C106" s="17" t="s">
        <v>22</v>
      </c>
      <c r="D106" s="17" t="s">
        <v>23</v>
      </c>
      <c r="E106" s="5"/>
      <c r="F106" s="1"/>
      <c r="G106" s="1"/>
      <c r="H106" s="1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hidden="1" customHeight="1">
      <c r="A107" s="1"/>
      <c r="B107" s="1" t="s">
        <v>24</v>
      </c>
      <c r="C107" s="14">
        <f t="shared" ref="C107:D107" si="47">C73+C89</f>
        <v>832000</v>
      </c>
      <c r="D107" s="14">
        <f t="shared" si="47"/>
        <v>832000</v>
      </c>
      <c r="E107" s="5"/>
      <c r="F107" s="1"/>
      <c r="G107" s="14">
        <f t="shared" ref="G107:H107" si="48">INT(C107)</f>
        <v>832000</v>
      </c>
      <c r="H107" s="14">
        <f t="shared" si="48"/>
        <v>832000</v>
      </c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hidden="1" customHeight="1">
      <c r="A108" s="1"/>
      <c r="B108" s="1" t="s">
        <v>39</v>
      </c>
      <c r="C108" s="14">
        <f t="shared" ref="C108:D108" si="49">C74+C90+C91</f>
        <v>624000</v>
      </c>
      <c r="D108" s="14">
        <f t="shared" si="49"/>
        <v>624000</v>
      </c>
      <c r="E108" s="5"/>
      <c r="F108" s="1"/>
      <c r="G108" s="14">
        <f t="shared" ref="G108:H108" si="50">INT(C108)</f>
        <v>624000</v>
      </c>
      <c r="H108" s="14">
        <f t="shared" si="50"/>
        <v>624000</v>
      </c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hidden="1" customHeight="1">
      <c r="A109" s="1"/>
      <c r="B109" s="1" t="s">
        <v>40</v>
      </c>
      <c r="C109" s="22"/>
      <c r="D109" s="22">
        <f>D75+D92+D93</f>
        <v>48000</v>
      </c>
      <c r="E109" s="5"/>
      <c r="F109" s="1"/>
      <c r="G109" s="14"/>
      <c r="H109" s="14">
        <f>INT(D109)</f>
        <v>48000</v>
      </c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hidden="1" customHeight="1">
      <c r="A110" s="1"/>
      <c r="B110" s="1" t="s">
        <v>27</v>
      </c>
      <c r="C110" s="14">
        <f>C107-C108</f>
        <v>208000</v>
      </c>
      <c r="D110" s="14"/>
      <c r="E110" s="5"/>
      <c r="F110" s="1"/>
      <c r="G110" s="14">
        <f>INT(C110)</f>
        <v>208000</v>
      </c>
      <c r="H110" s="1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hidden="1" customHeight="1">
      <c r="A111" s="1"/>
      <c r="B111" s="1" t="s">
        <v>28</v>
      </c>
      <c r="C111" s="14"/>
      <c r="D111" s="14">
        <f>D107-D108-D109</f>
        <v>160000</v>
      </c>
      <c r="E111" s="5"/>
      <c r="F111" s="1"/>
      <c r="G111" s="1"/>
      <c r="H111" s="14">
        <f>INT(D111)</f>
        <v>160000</v>
      </c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hidden="1" customHeight="1">
      <c r="A112" s="1"/>
      <c r="B112" s="1" t="str">
        <f t="shared" ref="B112:B113" si="51">B9</f>
        <v>Costo indirecto de fabricación fijo</v>
      </c>
      <c r="C112" s="14">
        <f t="shared" ref="C112:C113" si="52">C78+C96</f>
        <v>48000</v>
      </c>
      <c r="D112" s="14"/>
      <c r="E112" s="5"/>
      <c r="F112" s="1"/>
      <c r="G112" s="14">
        <f t="shared" ref="G112:G114" si="53">INT(C112)</f>
        <v>48000</v>
      </c>
      <c r="H112" s="1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hidden="1" customHeight="1">
      <c r="A113" s="1"/>
      <c r="B113" s="1" t="str">
        <f t="shared" si="51"/>
        <v>Gtos. de administración y comercialización</v>
      </c>
      <c r="C113" s="22">
        <f t="shared" si="52"/>
        <v>24000</v>
      </c>
      <c r="D113" s="22">
        <f>D79+D97</f>
        <v>24000</v>
      </c>
      <c r="E113" s="5"/>
      <c r="F113" s="1"/>
      <c r="G113" s="14">
        <f t="shared" si="53"/>
        <v>24000</v>
      </c>
      <c r="H113" s="14">
        <f t="shared" ref="H113:H114" si="54">INT(D113)</f>
        <v>24000</v>
      </c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hidden="1" customHeight="1">
      <c r="A114" s="1"/>
      <c r="B114" s="4" t="s">
        <v>29</v>
      </c>
      <c r="C114" s="25">
        <f>C110-C112-C113</f>
        <v>136000</v>
      </c>
      <c r="D114" s="25">
        <f>D111-D112-D113</f>
        <v>136000</v>
      </c>
      <c r="E114" s="5" t="s">
        <v>41</v>
      </c>
      <c r="F114" s="26">
        <f>D114-C114</f>
        <v>0</v>
      </c>
      <c r="G114" s="14">
        <f t="shared" si="53"/>
        <v>136000</v>
      </c>
      <c r="H114" s="14">
        <f t="shared" si="54"/>
        <v>136000</v>
      </c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hidden="1" customHeight="1">
      <c r="A115" s="1"/>
      <c r="B115" s="1"/>
      <c r="C115" s="14"/>
      <c r="D115" s="14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hidden="1" customHeight="1">
      <c r="A116" s="1"/>
      <c r="B116" s="1"/>
      <c r="C116" s="14"/>
      <c r="D116" s="14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hidden="1" customHeight="1">
      <c r="A117" s="1"/>
      <c r="B117" s="1"/>
      <c r="C117" s="14"/>
      <c r="D117" s="14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4"/>
      <c r="D118" s="14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3" t="s">
        <v>42</v>
      </c>
      <c r="B119" s="1" t="s">
        <v>43</v>
      </c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5" t="s">
        <v>2</v>
      </c>
      <c r="D121" s="5" t="s">
        <v>3</v>
      </c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 t="s">
        <v>4</v>
      </c>
      <c r="C122" s="8">
        <v>60000.0</v>
      </c>
      <c r="D122" s="8">
        <v>50000.0</v>
      </c>
      <c r="E122" s="1"/>
      <c r="F122" s="1"/>
      <c r="G122" s="1"/>
      <c r="H122" s="1"/>
      <c r="I122" s="9">
        <f t="shared" ref="I122:J122" si="55">C122</f>
        <v>60000</v>
      </c>
      <c r="J122" s="9">
        <f t="shared" si="55"/>
        <v>50000</v>
      </c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 t="s">
        <v>5</v>
      </c>
      <c r="C123" s="8">
        <v>50000.0</v>
      </c>
      <c r="D123" s="8">
        <v>60000.0</v>
      </c>
      <c r="E123" s="1"/>
      <c r="F123" s="1"/>
      <c r="G123" s="1"/>
      <c r="H123" s="1"/>
      <c r="I123" s="9">
        <f t="shared" ref="I123:J123" si="56">C123</f>
        <v>50000</v>
      </c>
      <c r="J123" s="9">
        <f t="shared" si="56"/>
        <v>60000</v>
      </c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 t="s">
        <v>6</v>
      </c>
      <c r="C124" s="11">
        <v>30.0</v>
      </c>
      <c r="D124" s="11">
        <v>30.0</v>
      </c>
      <c r="E124" s="1"/>
      <c r="F124" s="1"/>
      <c r="G124" s="1"/>
      <c r="H124" s="1"/>
      <c r="I124" s="16">
        <f t="shared" ref="I124:I127" si="57">C124</f>
        <v>30</v>
      </c>
      <c r="J124" s="16">
        <f t="shared" ref="J124:J127" si="58">I124</f>
        <v>30</v>
      </c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 t="s">
        <v>8</v>
      </c>
      <c r="C125" s="11">
        <v>12.0</v>
      </c>
      <c r="D125" s="11">
        <v>12.0</v>
      </c>
      <c r="E125" s="1"/>
      <c r="F125" s="1"/>
      <c r="G125" s="1"/>
      <c r="H125" s="1"/>
      <c r="I125" s="16">
        <f t="shared" si="57"/>
        <v>12</v>
      </c>
      <c r="J125" s="16">
        <f t="shared" si="58"/>
        <v>12</v>
      </c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 t="s">
        <v>10</v>
      </c>
      <c r="C126" s="14">
        <v>240000.0</v>
      </c>
      <c r="D126" s="14">
        <v>240000.0</v>
      </c>
      <c r="E126" s="1"/>
      <c r="F126" s="1"/>
      <c r="G126" s="1"/>
      <c r="H126" s="1"/>
      <c r="I126" s="16">
        <f t="shared" si="57"/>
        <v>240000</v>
      </c>
      <c r="J126" s="16">
        <f t="shared" si="58"/>
        <v>240000</v>
      </c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 t="s">
        <v>11</v>
      </c>
      <c r="C127" s="14">
        <v>100000.0</v>
      </c>
      <c r="D127" s="14">
        <v>100000.0</v>
      </c>
      <c r="E127" s="1"/>
      <c r="F127" s="1"/>
      <c r="G127" s="1"/>
      <c r="H127" s="1"/>
      <c r="I127" s="16">
        <f t="shared" si="57"/>
        <v>100000</v>
      </c>
      <c r="J127" s="16">
        <f t="shared" si="58"/>
        <v>100000</v>
      </c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4"/>
      <c r="D128" s="14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 t="s">
        <v>12</v>
      </c>
      <c r="C129" s="14"/>
      <c r="D129" s="14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5" t="s">
        <v>13</v>
      </c>
      <c r="B130" s="1" t="s">
        <v>14</v>
      </c>
      <c r="C130" s="14"/>
      <c r="D130" s="14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5"/>
      <c r="B131" s="1" t="s">
        <v>15</v>
      </c>
      <c r="C131" s="14"/>
      <c r="D131" s="14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5" t="s">
        <v>16</v>
      </c>
      <c r="B132" s="1" t="s">
        <v>17</v>
      </c>
      <c r="C132" s="14"/>
      <c r="D132" s="14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5" t="s">
        <v>18</v>
      </c>
      <c r="B133" s="1" t="s">
        <v>19</v>
      </c>
      <c r="C133" s="14"/>
      <c r="D133" s="14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4"/>
      <c r="D134" s="14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8" t="s">
        <v>20</v>
      </c>
      <c r="D135" s="19"/>
      <c r="E135" s="1"/>
      <c r="F135" s="1"/>
      <c r="G135" s="1"/>
      <c r="H135" s="1"/>
      <c r="I135" s="6" t="str">
        <f t="shared" ref="I135:J135" si="59">C135</f>
        <v>AÑO 1</v>
      </c>
      <c r="J135" s="6" t="str">
        <f t="shared" si="59"/>
        <v/>
      </c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3" t="s">
        <v>21</v>
      </c>
      <c r="D136" s="13" t="s">
        <v>21</v>
      </c>
      <c r="E136" s="1"/>
      <c r="F136" s="1"/>
      <c r="G136" s="1"/>
      <c r="H136" s="1"/>
      <c r="I136" s="20" t="s">
        <v>21</v>
      </c>
      <c r="J136" s="20" t="s">
        <v>21</v>
      </c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3" t="s">
        <v>22</v>
      </c>
      <c r="D137" s="13" t="s">
        <v>23</v>
      </c>
      <c r="E137" s="1"/>
      <c r="F137" s="1"/>
      <c r="G137" s="1"/>
      <c r="H137" s="1"/>
      <c r="I137" s="20" t="s">
        <v>22</v>
      </c>
      <c r="J137" s="20" t="s">
        <v>23</v>
      </c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 t="s">
        <v>24</v>
      </c>
      <c r="C138" s="14">
        <v>1500000.0</v>
      </c>
      <c r="D138" s="14">
        <v>1500000.0</v>
      </c>
      <c r="E138" s="21"/>
      <c r="F138" s="1"/>
      <c r="G138" s="14">
        <v>1500000.0</v>
      </c>
      <c r="H138" s="14">
        <v>1500000.0</v>
      </c>
      <c r="I138" s="16">
        <f t="shared" ref="I138:J138" si="60">$I$123*$I$124</f>
        <v>1500000</v>
      </c>
      <c r="J138" s="16">
        <f t="shared" si="60"/>
        <v>1500000</v>
      </c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 t="s">
        <v>25</v>
      </c>
      <c r="C139" s="14">
        <v>600000.0</v>
      </c>
      <c r="D139" s="14">
        <v>600000.0</v>
      </c>
      <c r="E139" s="21"/>
      <c r="F139" s="1"/>
      <c r="G139" s="14">
        <v>600000.0</v>
      </c>
      <c r="H139" s="14">
        <v>600000.0</v>
      </c>
      <c r="I139" s="16">
        <f t="shared" ref="I139:J139" si="61">$I125*$I$123</f>
        <v>600000</v>
      </c>
      <c r="J139" s="16">
        <f t="shared" si="61"/>
        <v>600000</v>
      </c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 t="s">
        <v>26</v>
      </c>
      <c r="C140" s="22"/>
      <c r="D140" s="22">
        <v>200000.0</v>
      </c>
      <c r="E140" s="21"/>
      <c r="F140" s="1"/>
      <c r="G140" s="14"/>
      <c r="H140" s="14">
        <v>200000.0</v>
      </c>
      <c r="I140" s="16"/>
      <c r="J140" s="16">
        <f>$I126/$I122*$I123</f>
        <v>200000</v>
      </c>
      <c r="K140" s="12">
        <f>I126/I122</f>
        <v>4</v>
      </c>
      <c r="L140" s="16">
        <f>K140*I123</f>
        <v>200000</v>
      </c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 t="s">
        <v>27</v>
      </c>
      <c r="C141" s="14">
        <v>900000.0</v>
      </c>
      <c r="D141" s="14"/>
      <c r="E141" s="21" t="str">
        <f>IF(G141=G193,"CORRECTO",IF(C141="","","INCORRECTO"))</f>
        <v>CORRECTO</v>
      </c>
      <c r="F141" s="1"/>
      <c r="G141" s="14">
        <v>900000.0</v>
      </c>
      <c r="H141" s="14"/>
      <c r="I141" s="16">
        <f>I138-SUM(I139:I140)</f>
        <v>900000</v>
      </c>
      <c r="J141" s="2"/>
      <c r="K141" s="2"/>
      <c r="L141" s="16">
        <f>K140*(I122-I123)</f>
        <v>40000</v>
      </c>
      <c r="M141" s="23">
        <f>I126-J140</f>
        <v>40000</v>
      </c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 t="s">
        <v>28</v>
      </c>
      <c r="C142" s="14"/>
      <c r="D142" s="14">
        <v>700000.0</v>
      </c>
      <c r="E142" s="21" t="str">
        <f>IF(H142=H194,"CORRECTO",IF(D142="","","INCORRECTO"))</f>
        <v>CORRECTO</v>
      </c>
      <c r="F142" s="1"/>
      <c r="G142" s="14"/>
      <c r="H142" s="14">
        <v>700000.0</v>
      </c>
      <c r="I142" s="16"/>
      <c r="J142" s="16">
        <f>J138-SUM(J139:J140)</f>
        <v>700000</v>
      </c>
      <c r="K142" s="2"/>
      <c r="L142" s="24">
        <f>SUM(L140:L141)</f>
        <v>240000</v>
      </c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 t="str">
        <f t="shared" ref="B143:B144" si="62">B126</f>
        <v>Costo indirecto de fabricación fijo</v>
      </c>
      <c r="C143" s="14">
        <v>240000.0</v>
      </c>
      <c r="D143" s="14"/>
      <c r="E143" s="21"/>
      <c r="F143" s="1"/>
      <c r="G143" s="14">
        <v>240000.0</v>
      </c>
      <c r="H143" s="14"/>
      <c r="I143" s="16">
        <f t="shared" ref="I143:I144" si="63">I126</f>
        <v>240000</v>
      </c>
      <c r="J143" s="16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 t="str">
        <f t="shared" si="62"/>
        <v>Gtos. de administración y comercialización</v>
      </c>
      <c r="C144" s="22">
        <v>100000.0</v>
      </c>
      <c r="D144" s="22">
        <v>100000.0</v>
      </c>
      <c r="E144" s="21"/>
      <c r="F144" s="1"/>
      <c r="G144" s="14">
        <v>100000.0</v>
      </c>
      <c r="H144" s="14">
        <v>100000.0</v>
      </c>
      <c r="I144" s="16">
        <f t="shared" si="63"/>
        <v>100000</v>
      </c>
      <c r="J144" s="16">
        <f>I127</f>
        <v>100000</v>
      </c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4" t="s">
        <v>29</v>
      </c>
      <c r="C145" s="25">
        <v>560000.0</v>
      </c>
      <c r="D145" s="25">
        <v>600000.0</v>
      </c>
      <c r="E145" s="5"/>
      <c r="F145" s="26"/>
      <c r="G145" s="14">
        <v>560000.0</v>
      </c>
      <c r="H145" s="14">
        <v>600000.0</v>
      </c>
      <c r="I145" s="24">
        <f>I141-SUM(I143:I144)</f>
        <v>560000</v>
      </c>
      <c r="J145" s="24">
        <f>J142-SUM(J143:J144)</f>
        <v>600000</v>
      </c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4"/>
      <c r="C146" s="21" t="str">
        <f t="shared" ref="C146:D146" si="64">IF(G145=G197,"CORRECTO",IF(C145="","","INCORRECTO"))</f>
        <v>CORRECTO</v>
      </c>
      <c r="D146" s="21" t="str">
        <f t="shared" si="64"/>
        <v>CORRECTO</v>
      </c>
      <c r="E146" s="5"/>
      <c r="F146" s="26"/>
      <c r="G146" s="14"/>
      <c r="H146" s="14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4"/>
      <c r="D147" s="14"/>
      <c r="E147" s="5"/>
      <c r="F147" s="27"/>
      <c r="G147" s="14"/>
      <c r="H147" s="14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8" t="s">
        <v>30</v>
      </c>
      <c r="C148" s="8">
        <v>10000.0</v>
      </c>
      <c r="D148" s="8">
        <v>10000.0</v>
      </c>
      <c r="E148" s="21"/>
      <c r="F148" s="27"/>
      <c r="G148" s="14">
        <v>10000.0</v>
      </c>
      <c r="H148" s="14">
        <v>10000.0</v>
      </c>
      <c r="I148" s="9">
        <f>I122-I123</f>
        <v>10000</v>
      </c>
      <c r="J148" s="9">
        <f>I148</f>
        <v>10000</v>
      </c>
      <c r="K148" s="2"/>
      <c r="L148" s="29">
        <f>J148</f>
        <v>10000</v>
      </c>
      <c r="M148" s="29">
        <f>L148</f>
        <v>10000</v>
      </c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8" t="s">
        <v>31</v>
      </c>
      <c r="C149" s="11">
        <v>12.0</v>
      </c>
      <c r="D149" s="11">
        <v>16.0</v>
      </c>
      <c r="E149" s="21"/>
      <c r="F149" s="27"/>
      <c r="G149" s="11">
        <v>12.0</v>
      </c>
      <c r="H149" s="11">
        <v>16.0</v>
      </c>
      <c r="I149" s="12">
        <f>SUM(I139:I140)/I$123</f>
        <v>12</v>
      </c>
      <c r="J149" s="12">
        <f>SUM(J139:J140)/$I$123</f>
        <v>16</v>
      </c>
      <c r="K149" s="2"/>
      <c r="L149" s="30">
        <f>SUM(I139:I140)/I$123</f>
        <v>12</v>
      </c>
      <c r="M149" s="30">
        <f>SUM(J139:J140)/I$123</f>
        <v>16</v>
      </c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8" t="s">
        <v>32</v>
      </c>
      <c r="C150" s="25">
        <v>120000.0</v>
      </c>
      <c r="D150" s="25">
        <v>160000.0</v>
      </c>
      <c r="E150" s="5"/>
      <c r="F150" s="26"/>
      <c r="G150" s="14">
        <v>120000.0</v>
      </c>
      <c r="H150" s="14">
        <v>160000.0</v>
      </c>
      <c r="I150" s="24">
        <f t="shared" ref="I150:J150" si="65">I148*I149</f>
        <v>120000</v>
      </c>
      <c r="J150" s="24">
        <f t="shared" si="65"/>
        <v>160000</v>
      </c>
      <c r="K150" s="23">
        <f>J150-I150</f>
        <v>40000</v>
      </c>
      <c r="L150" s="31">
        <f t="shared" ref="L150:M150" si="66">L148*L149</f>
        <v>120000</v>
      </c>
      <c r="M150" s="31">
        <f t="shared" si="66"/>
        <v>160000</v>
      </c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1" t="str">
        <f t="shared" ref="C151:D151" si="67">IF(G149=G200,"CORRECTO",IF(C150="","","INCORRECTO"))</f>
        <v>CORRECTO</v>
      </c>
      <c r="D151" s="21" t="str">
        <f t="shared" si="67"/>
        <v>CORRECTO</v>
      </c>
      <c r="E151" s="5"/>
      <c r="F151" s="1"/>
      <c r="G151" s="14"/>
      <c r="H151" s="14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1"/>
      <c r="D152" s="21"/>
      <c r="E152" s="5"/>
      <c r="F152" s="1"/>
      <c r="G152" s="14"/>
      <c r="H152" s="14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32" t="s">
        <v>33</v>
      </c>
      <c r="D153" s="19"/>
      <c r="E153" s="33"/>
      <c r="F153" s="1"/>
      <c r="G153" s="14"/>
      <c r="H153" s="14"/>
      <c r="I153" s="32" t="s">
        <v>33</v>
      </c>
      <c r="J153" s="19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3" t="s">
        <v>21</v>
      </c>
      <c r="D154" s="13" t="s">
        <v>21</v>
      </c>
      <c r="E154" s="33"/>
      <c r="F154" s="1"/>
      <c r="G154" s="14"/>
      <c r="H154" s="14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3" t="s">
        <v>22</v>
      </c>
      <c r="D155" s="13" t="s">
        <v>23</v>
      </c>
      <c r="E155" s="34"/>
      <c r="F155" s="1"/>
      <c r="G155" s="14"/>
      <c r="H155" s="14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 t="s">
        <v>24</v>
      </c>
      <c r="C156" s="14">
        <v>1800000.0</v>
      </c>
      <c r="D156" s="14">
        <v>1800000.0</v>
      </c>
      <c r="E156" s="21"/>
      <c r="F156" s="1"/>
      <c r="G156" s="14">
        <v>1800000.0</v>
      </c>
      <c r="H156" s="14">
        <v>1800000.0</v>
      </c>
      <c r="I156" s="16">
        <f>J123*J124</f>
        <v>1800000</v>
      </c>
      <c r="J156" s="16">
        <f t="shared" ref="J156:J158" si="68">I156</f>
        <v>1800000</v>
      </c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 t="s">
        <v>34</v>
      </c>
      <c r="C157" s="14">
        <v>120000.0</v>
      </c>
      <c r="D157" s="14">
        <v>120000.0</v>
      </c>
      <c r="E157" s="21"/>
      <c r="F157" s="14"/>
      <c r="G157" s="14">
        <v>120000.0</v>
      </c>
      <c r="H157" s="14">
        <v>120000.0</v>
      </c>
      <c r="I157" s="16">
        <f>C149*C148</f>
        <v>120000</v>
      </c>
      <c r="J157" s="16">
        <f t="shared" si="68"/>
        <v>120000</v>
      </c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 t="s">
        <v>25</v>
      </c>
      <c r="C158" s="14">
        <v>600000.0</v>
      </c>
      <c r="D158" s="14">
        <v>600000.0</v>
      </c>
      <c r="E158" s="21"/>
      <c r="F158" s="1"/>
      <c r="G158" s="14">
        <v>600000.0</v>
      </c>
      <c r="H158" s="14">
        <v>600000.0</v>
      </c>
      <c r="I158" s="16">
        <f>J123*J125-I148*J125</f>
        <v>600000</v>
      </c>
      <c r="J158" s="16">
        <f t="shared" si="68"/>
        <v>600000</v>
      </c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 t="s">
        <v>35</v>
      </c>
      <c r="C159" s="14"/>
      <c r="D159" s="14">
        <v>40000.0</v>
      </c>
      <c r="E159" s="21"/>
      <c r="F159" s="1"/>
      <c r="G159" s="14"/>
      <c r="H159" s="14">
        <v>40000.0</v>
      </c>
      <c r="I159" s="16"/>
      <c r="J159" s="16">
        <f>K150</f>
        <v>40000</v>
      </c>
      <c r="K159" s="2"/>
      <c r="L159" s="16">
        <f>J159</f>
        <v>40000</v>
      </c>
      <c r="M159" s="2" t="s">
        <v>36</v>
      </c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 t="s">
        <v>26</v>
      </c>
      <c r="C160" s="22"/>
      <c r="D160" s="22">
        <v>240000.0</v>
      </c>
      <c r="E160" s="21"/>
      <c r="F160" s="1"/>
      <c r="G160" s="14"/>
      <c r="H160" s="14">
        <v>240000.0</v>
      </c>
      <c r="I160" s="16"/>
      <c r="J160" s="16">
        <f>J126</f>
        <v>240000</v>
      </c>
      <c r="K160" s="16">
        <f>J126/J122</f>
        <v>4.8</v>
      </c>
      <c r="L160" s="16">
        <f>K160*I123</f>
        <v>240000</v>
      </c>
      <c r="M160" s="2" t="s">
        <v>37</v>
      </c>
      <c r="N160" s="2"/>
      <c r="O160" s="39"/>
      <c r="P160" s="40" t="s">
        <v>3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 t="s">
        <v>27</v>
      </c>
      <c r="C161" s="14">
        <v>1080000.0</v>
      </c>
      <c r="D161" s="14"/>
      <c r="E161" s="21" t="str">
        <f>IF(G161=G211,"CORRECTO",IF(C161="","","INCORRECTO"))</f>
        <v>CORRECTO</v>
      </c>
      <c r="F161" s="1"/>
      <c r="G161" s="14">
        <v>1080000.0</v>
      </c>
      <c r="H161" s="14"/>
      <c r="I161" s="16">
        <f>I156-SUM(I157:I160)</f>
        <v>1080000</v>
      </c>
      <c r="J161" s="16"/>
      <c r="K161" s="2"/>
      <c r="L161" s="2"/>
      <c r="M161" s="2"/>
      <c r="N161" s="2"/>
      <c r="O161" s="39" t="s">
        <v>4</v>
      </c>
      <c r="P161" s="41">
        <v>50000.0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 t="s">
        <v>28</v>
      </c>
      <c r="C162" s="14"/>
      <c r="D162" s="14">
        <v>800000.0</v>
      </c>
      <c r="E162" s="21" t="str">
        <f>IF(H162=H212,"CORRECTO",IF(D162="","","INCORRECTO"))</f>
        <v>CORRECTO</v>
      </c>
      <c r="F162" s="1"/>
      <c r="G162" s="14"/>
      <c r="H162" s="14">
        <v>800000.0</v>
      </c>
      <c r="I162" s="16"/>
      <c r="J162" s="16">
        <f>J156-SUM(J157:J160)</f>
        <v>800000</v>
      </c>
      <c r="K162" s="2"/>
      <c r="L162" s="2"/>
      <c r="M162" s="2"/>
      <c r="N162" s="2"/>
      <c r="O162" s="39" t="s">
        <v>5</v>
      </c>
      <c r="P162" s="41">
        <v>60000.0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 t="str">
        <f t="shared" ref="B163:B164" si="69">B126</f>
        <v>Costo indirecto de fabricación fijo</v>
      </c>
      <c r="C163" s="14">
        <v>240000.0</v>
      </c>
      <c r="D163" s="14"/>
      <c r="E163" s="21"/>
      <c r="F163" s="1"/>
      <c r="G163" s="14">
        <v>240000.0</v>
      </c>
      <c r="H163" s="14"/>
      <c r="I163" s="16">
        <f t="shared" ref="I163:I164" si="70">I143</f>
        <v>240000</v>
      </c>
      <c r="J163" s="16"/>
      <c r="K163" s="2"/>
      <c r="L163" s="2"/>
      <c r="M163" s="2"/>
      <c r="N163" s="2"/>
      <c r="O163" s="39" t="s">
        <v>6</v>
      </c>
      <c r="P163" s="42">
        <v>30.0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 t="str">
        <f t="shared" si="69"/>
        <v>Gtos. de administración y comercialización</v>
      </c>
      <c r="C164" s="22">
        <v>100000.0</v>
      </c>
      <c r="D164" s="22">
        <v>100000.0</v>
      </c>
      <c r="E164" s="21"/>
      <c r="F164" s="1"/>
      <c r="G164" s="14">
        <v>100000.0</v>
      </c>
      <c r="H164" s="14">
        <v>100000.0</v>
      </c>
      <c r="I164" s="16">
        <f t="shared" si="70"/>
        <v>100000</v>
      </c>
      <c r="J164" s="16">
        <f>J144</f>
        <v>100000</v>
      </c>
      <c r="K164" s="2"/>
      <c r="L164" s="2"/>
      <c r="M164" s="2"/>
      <c r="N164" s="2"/>
      <c r="O164" s="39" t="s">
        <v>8</v>
      </c>
      <c r="P164" s="42">
        <v>12.0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4" t="s">
        <v>29</v>
      </c>
      <c r="C165" s="25">
        <v>740000.0</v>
      </c>
      <c r="D165" s="25">
        <v>700000.0</v>
      </c>
      <c r="E165" s="21"/>
      <c r="F165" s="26"/>
      <c r="G165" s="14">
        <v>740000.0</v>
      </c>
      <c r="H165" s="14">
        <v>700000.0</v>
      </c>
      <c r="I165" s="24">
        <f>I161-SUM(I163:I164)</f>
        <v>740000</v>
      </c>
      <c r="J165" s="24">
        <f>J162-SUM(J163:J164)</f>
        <v>700000</v>
      </c>
      <c r="K165" s="2"/>
      <c r="L165" s="2"/>
      <c r="M165" s="2"/>
      <c r="N165" s="2"/>
      <c r="O165" s="39" t="s">
        <v>10</v>
      </c>
      <c r="P165" s="43">
        <v>240000.0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4"/>
      <c r="C166" s="21" t="str">
        <f t="shared" ref="C166:D166" si="71">IF(G165=G215,"CORRECTO",IF(C165="","","INCORRECTO"))</f>
        <v>CORRECTO</v>
      </c>
      <c r="D166" s="21" t="str">
        <f t="shared" si="71"/>
        <v>CORRECTO</v>
      </c>
      <c r="E166" s="21"/>
      <c r="F166" s="26"/>
      <c r="G166" s="14"/>
      <c r="H166" s="14"/>
      <c r="I166" s="2"/>
      <c r="J166" s="2"/>
      <c r="K166" s="2"/>
      <c r="L166" s="2"/>
      <c r="M166" s="2"/>
      <c r="N166" s="2"/>
      <c r="O166" s="39" t="s">
        <v>11</v>
      </c>
      <c r="P166" s="43">
        <v>100000.0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4"/>
      <c r="D167" s="14"/>
      <c r="E167" s="5"/>
      <c r="F167" s="14"/>
      <c r="G167" s="14"/>
      <c r="H167" s="14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8" t="s">
        <v>30</v>
      </c>
      <c r="C168" s="8">
        <v>0.0</v>
      </c>
      <c r="D168" s="8">
        <v>0.0</v>
      </c>
      <c r="E168" s="21"/>
      <c r="F168" s="14"/>
      <c r="G168" s="14">
        <v>0.0</v>
      </c>
      <c r="H168" s="14">
        <v>0.0</v>
      </c>
      <c r="I168" s="9">
        <f t="shared" ref="I168:J168" si="72">C168</f>
        <v>0</v>
      </c>
      <c r="J168" s="9">
        <f t="shared" si="72"/>
        <v>0</v>
      </c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8" t="s">
        <v>31</v>
      </c>
      <c r="C169" s="11">
        <v>12.0</v>
      </c>
      <c r="D169" s="11">
        <v>16.8</v>
      </c>
      <c r="E169" s="5"/>
      <c r="F169" s="14"/>
      <c r="G169" s="14">
        <v>12.0</v>
      </c>
      <c r="H169" s="14">
        <v>16.8</v>
      </c>
      <c r="I169" s="12">
        <f>SUM(I157:I160)/J123</f>
        <v>12</v>
      </c>
      <c r="J169" s="12">
        <f>SUM(J157:J160)/J123</f>
        <v>16.66666667</v>
      </c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8" t="s">
        <v>32</v>
      </c>
      <c r="C170" s="25">
        <v>0.0</v>
      </c>
      <c r="D170" s="25">
        <v>0.0</v>
      </c>
      <c r="E170" s="5"/>
      <c r="F170" s="14"/>
      <c r="G170" s="14">
        <v>0.0</v>
      </c>
      <c r="H170" s="14">
        <v>0.0</v>
      </c>
      <c r="I170" s="24">
        <f t="shared" ref="I170:J170" si="73">I168*I169</f>
        <v>0</v>
      </c>
      <c r="J170" s="24">
        <f t="shared" si="73"/>
        <v>0</v>
      </c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1" t="str">
        <f t="shared" ref="C171:D171" si="74">IF(G169=G218,"CORRECTO",IF(C169="","","INCORRECTO"))</f>
        <v>CORRECTO</v>
      </c>
      <c r="D171" s="21" t="str">
        <f t="shared" si="74"/>
        <v>CORRECTO</v>
      </c>
      <c r="E171" s="5"/>
      <c r="F171" s="1"/>
      <c r="G171" s="14"/>
      <c r="H171" s="14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1"/>
      <c r="D172" s="21"/>
      <c r="E172" s="5"/>
      <c r="F172" s="1"/>
      <c r="G172" s="14"/>
      <c r="H172" s="14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37" t="s">
        <v>38</v>
      </c>
      <c r="D173" s="19"/>
      <c r="E173" s="5"/>
      <c r="F173" s="1"/>
      <c r="G173" s="14"/>
      <c r="H173" s="14"/>
      <c r="I173" s="37" t="s">
        <v>38</v>
      </c>
      <c r="J173" s="19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3" t="s">
        <v>21</v>
      </c>
      <c r="D174" s="13" t="s">
        <v>21</v>
      </c>
      <c r="E174" s="5"/>
      <c r="F174" s="1"/>
      <c r="G174" s="14"/>
      <c r="H174" s="14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3" t="s">
        <v>22</v>
      </c>
      <c r="D175" s="13" t="s">
        <v>23</v>
      </c>
      <c r="E175" s="5"/>
      <c r="F175" s="1"/>
      <c r="G175" s="14"/>
      <c r="H175" s="14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 t="s">
        <v>24</v>
      </c>
      <c r="C176" s="14">
        <v>3300000.0</v>
      </c>
      <c r="D176" s="14">
        <v>3300000.0</v>
      </c>
      <c r="E176" s="21"/>
      <c r="F176" s="1"/>
      <c r="G176" s="14">
        <v>3300000.0</v>
      </c>
      <c r="H176" s="14">
        <v>3300000.0</v>
      </c>
      <c r="I176" s="16">
        <f t="shared" ref="I176:J176" si="75">I138+I156</f>
        <v>3300000</v>
      </c>
      <c r="J176" s="16">
        <f t="shared" si="75"/>
        <v>3300000</v>
      </c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 t="s">
        <v>39</v>
      </c>
      <c r="C177" s="14">
        <v>1320000.0</v>
      </c>
      <c r="D177" s="14">
        <v>1320000.0</v>
      </c>
      <c r="E177" s="21"/>
      <c r="F177" s="1"/>
      <c r="G177" s="14">
        <v>1320000.0</v>
      </c>
      <c r="H177" s="14">
        <v>1320000.0</v>
      </c>
      <c r="I177" s="16">
        <f>SUM(I139,I157:I160)</f>
        <v>1320000</v>
      </c>
      <c r="J177" s="16">
        <f>SUM(J139,J157:J158)</f>
        <v>1320000</v>
      </c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 t="s">
        <v>40</v>
      </c>
      <c r="C178" s="22"/>
      <c r="D178" s="22">
        <v>480000.0</v>
      </c>
      <c r="E178" s="21"/>
      <c r="F178" s="1"/>
      <c r="G178" s="14"/>
      <c r="H178" s="14">
        <v>480000.0</v>
      </c>
      <c r="I178" s="16"/>
      <c r="J178" s="16">
        <f>SUM(J140,J159:J160)</f>
        <v>480000</v>
      </c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 t="s">
        <v>27</v>
      </c>
      <c r="C179" s="14">
        <v>1980000.0</v>
      </c>
      <c r="D179" s="14"/>
      <c r="E179" s="21" t="str">
        <f>IF(G179=G227,"CORRECTO",IF(C179="","","INCORRECTO"))</f>
        <v>CORRECTO</v>
      </c>
      <c r="F179" s="1"/>
      <c r="G179" s="14">
        <v>1980000.0</v>
      </c>
      <c r="H179" s="14"/>
      <c r="I179" s="16">
        <f>I176-SUM(I177:I178)</f>
        <v>1980000</v>
      </c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 t="s">
        <v>28</v>
      </c>
      <c r="C180" s="14"/>
      <c r="D180" s="14">
        <v>1500000.0</v>
      </c>
      <c r="E180" s="21" t="str">
        <f>IF(H180=H228,"CORRECTO",IF(D180="","","INCORRECTO"))</f>
        <v>CORRECTO</v>
      </c>
      <c r="F180" s="1"/>
      <c r="G180" s="14"/>
      <c r="H180" s="14">
        <v>1500000.0</v>
      </c>
      <c r="I180" s="2"/>
      <c r="J180" s="16">
        <f>J176-SUM(J177:J178)</f>
        <v>1500000</v>
      </c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 t="str">
        <f t="shared" ref="B181:B182" si="77">B126</f>
        <v>Costo indirecto de fabricación fijo</v>
      </c>
      <c r="C181" s="14">
        <v>480000.0</v>
      </c>
      <c r="D181" s="14"/>
      <c r="E181" s="21"/>
      <c r="F181" s="1"/>
      <c r="G181" s="14">
        <v>480000.0</v>
      </c>
      <c r="H181" s="14"/>
      <c r="I181" s="16">
        <f t="shared" ref="I181:J181" si="76">SUM(I143,I163)</f>
        <v>480000</v>
      </c>
      <c r="J181" s="16">
        <f t="shared" si="76"/>
        <v>0</v>
      </c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 t="str">
        <f t="shared" si="77"/>
        <v>Gtos. de administración y comercialización</v>
      </c>
      <c r="C182" s="22">
        <v>200000.0</v>
      </c>
      <c r="D182" s="22">
        <v>200000.0</v>
      </c>
      <c r="E182" s="21"/>
      <c r="F182" s="1"/>
      <c r="G182" s="14">
        <v>200000.0</v>
      </c>
      <c r="H182" s="14">
        <v>200000.0</v>
      </c>
      <c r="I182" s="16">
        <f t="shared" ref="I182:J182" si="78">SUM(I144,I164)</f>
        <v>200000</v>
      </c>
      <c r="J182" s="16">
        <f t="shared" si="78"/>
        <v>200000</v>
      </c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4" t="s">
        <v>29</v>
      </c>
      <c r="C183" s="25">
        <v>1300000.0</v>
      </c>
      <c r="D183" s="25">
        <v>1300000.0</v>
      </c>
      <c r="E183" s="5"/>
      <c r="F183" s="26"/>
      <c r="G183" s="14">
        <v>1300000.0</v>
      </c>
      <c r="H183" s="14">
        <v>1300000.0</v>
      </c>
      <c r="I183" s="24">
        <f>I179-SUM(I181:I182)</f>
        <v>1300000</v>
      </c>
      <c r="J183" s="24">
        <f>J180-SUM(J181:J182)</f>
        <v>1300000</v>
      </c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1" t="str">
        <f t="shared" ref="C184:D184" si="79">IF(G183=G231,"CORRECTO",IF(C183="","","INCORRECTO"))</f>
        <v>CORRECTO</v>
      </c>
      <c r="D184" s="21" t="str">
        <f t="shared" si="79"/>
        <v>CORRECTO</v>
      </c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4"/>
      <c r="D185" s="14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hidden="1" customHeight="1">
      <c r="A186" s="1"/>
      <c r="B186" s="1"/>
      <c r="C186" s="14"/>
      <c r="D186" s="14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hidden="1" customHeight="1">
      <c r="A187" s="1"/>
      <c r="B187" s="1"/>
      <c r="C187" s="13" t="s">
        <v>20</v>
      </c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hidden="1" customHeight="1">
      <c r="A188" s="1"/>
      <c r="B188" s="1"/>
      <c r="C188" s="17" t="s">
        <v>21</v>
      </c>
      <c r="D188" s="17" t="s">
        <v>21</v>
      </c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hidden="1" customHeight="1">
      <c r="A189" s="1"/>
      <c r="B189" s="1"/>
      <c r="C189" s="17" t="s">
        <v>22</v>
      </c>
      <c r="D189" s="17" t="s">
        <v>23</v>
      </c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hidden="1" customHeight="1">
      <c r="A190" s="1"/>
      <c r="B190" s="1" t="s">
        <v>24</v>
      </c>
      <c r="C190" s="14">
        <f>C124*C123</f>
        <v>1500000</v>
      </c>
      <c r="D190" s="14">
        <f>C124*C123</f>
        <v>1500000</v>
      </c>
      <c r="E190" s="1"/>
      <c r="F190" s="1"/>
      <c r="G190" s="14">
        <v>1500000.0</v>
      </c>
      <c r="H190" s="14">
        <v>1500000.0</v>
      </c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hidden="1" customHeight="1">
      <c r="A191" s="1"/>
      <c r="B191" s="1" t="s">
        <v>25</v>
      </c>
      <c r="C191" s="14">
        <f>C125*C123</f>
        <v>600000</v>
      </c>
      <c r="D191" s="14">
        <f>C125*C123</f>
        <v>600000</v>
      </c>
      <c r="E191" s="1"/>
      <c r="F191" s="1"/>
      <c r="G191" s="14">
        <v>600000.0</v>
      </c>
      <c r="H191" s="14">
        <v>600000.0</v>
      </c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hidden="1" customHeight="1">
      <c r="A192" s="1"/>
      <c r="B192" s="1" t="s">
        <v>26</v>
      </c>
      <c r="C192" s="22"/>
      <c r="D192" s="22">
        <f>(C126/C122)*C123</f>
        <v>200000</v>
      </c>
      <c r="E192" s="1"/>
      <c r="F192" s="1"/>
      <c r="G192" s="14"/>
      <c r="H192" s="14">
        <v>200000.0</v>
      </c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hidden="1" customHeight="1">
      <c r="A193" s="1"/>
      <c r="B193" s="1" t="s">
        <v>27</v>
      </c>
      <c r="C193" s="14">
        <f>C190-C191-C192</f>
        <v>900000</v>
      </c>
      <c r="D193" s="14"/>
      <c r="E193" s="1"/>
      <c r="F193" s="1"/>
      <c r="G193" s="14">
        <v>900000.0</v>
      </c>
      <c r="H193" s="1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hidden="1" customHeight="1">
      <c r="A194" s="1"/>
      <c r="B194" s="1" t="s">
        <v>28</v>
      </c>
      <c r="C194" s="14"/>
      <c r="D194" s="14">
        <f>D190-D191-D192</f>
        <v>700000</v>
      </c>
      <c r="E194" s="1"/>
      <c r="F194" s="1"/>
      <c r="G194" s="1"/>
      <c r="H194" s="14">
        <v>700000.0</v>
      </c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hidden="1" customHeight="1">
      <c r="A195" s="1"/>
      <c r="B195" s="1" t="str">
        <f t="shared" ref="B195:C195" si="80">B126</f>
        <v>Costo indirecto de fabricación fijo</v>
      </c>
      <c r="C195" s="14">
        <f t="shared" si="80"/>
        <v>240000</v>
      </c>
      <c r="D195" s="14"/>
      <c r="E195" s="1"/>
      <c r="F195" s="1"/>
      <c r="G195" s="14">
        <v>240000.0</v>
      </c>
      <c r="H195" s="1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hidden="1" customHeight="1">
      <c r="A196" s="1"/>
      <c r="B196" s="1" t="str">
        <f t="shared" ref="B196:C196" si="81">B127</f>
        <v>Gtos. de administración y comercialización</v>
      </c>
      <c r="C196" s="22">
        <f t="shared" si="81"/>
        <v>100000</v>
      </c>
      <c r="D196" s="22">
        <f>C127</f>
        <v>100000</v>
      </c>
      <c r="E196" s="1"/>
      <c r="F196" s="1"/>
      <c r="G196" s="14">
        <v>100000.0</v>
      </c>
      <c r="H196" s="14">
        <v>100000.0</v>
      </c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hidden="1" customHeight="1">
      <c r="A197" s="1"/>
      <c r="B197" s="4" t="s">
        <v>29</v>
      </c>
      <c r="C197" s="25">
        <f>C193-C195-C196</f>
        <v>560000</v>
      </c>
      <c r="D197" s="25">
        <f>D194-D195-D196</f>
        <v>600000</v>
      </c>
      <c r="E197" s="5" t="s">
        <v>41</v>
      </c>
      <c r="F197" s="26">
        <f>D197-C197</f>
        <v>40000</v>
      </c>
      <c r="G197" s="14">
        <v>560000.0</v>
      </c>
      <c r="H197" s="14">
        <v>600000.0</v>
      </c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hidden="1" customHeight="1">
      <c r="A198" s="1"/>
      <c r="B198" s="1"/>
      <c r="C198" s="14"/>
      <c r="D198" s="14"/>
      <c r="E198" s="5"/>
      <c r="F198" s="27"/>
      <c r="G198" s="1"/>
      <c r="H198" s="1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hidden="1" customHeight="1">
      <c r="A199" s="1"/>
      <c r="B199" s="28" t="s">
        <v>30</v>
      </c>
      <c r="C199" s="8">
        <f>C122-C123</f>
        <v>10000</v>
      </c>
      <c r="D199" s="8">
        <f>C122-C123</f>
        <v>10000</v>
      </c>
      <c r="E199" s="5"/>
      <c r="F199" s="27"/>
      <c r="G199" s="8">
        <v>10000.0</v>
      </c>
      <c r="H199" s="8">
        <v>10000.0</v>
      </c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hidden="1" customHeight="1">
      <c r="A200" s="1"/>
      <c r="B200" s="28" t="s">
        <v>31</v>
      </c>
      <c r="C200" s="11">
        <f>C125</f>
        <v>12</v>
      </c>
      <c r="D200" s="11">
        <f>C125+(C126/C122)</f>
        <v>16</v>
      </c>
      <c r="E200" s="5"/>
      <c r="F200" s="27"/>
      <c r="G200" s="11">
        <v>12.0</v>
      </c>
      <c r="H200" s="11">
        <v>16.0</v>
      </c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hidden="1" customHeight="1">
      <c r="A201" s="1"/>
      <c r="B201" s="28" t="s">
        <v>32</v>
      </c>
      <c r="C201" s="25">
        <f t="shared" ref="C201:D201" si="82">C199*C200</f>
        <v>120000</v>
      </c>
      <c r="D201" s="25">
        <f t="shared" si="82"/>
        <v>160000</v>
      </c>
      <c r="E201" s="5" t="s">
        <v>41</v>
      </c>
      <c r="F201" s="26">
        <f>D201-C201</f>
        <v>40000</v>
      </c>
      <c r="G201" s="14">
        <v>120000.0</v>
      </c>
      <c r="H201" s="14">
        <v>160000.0</v>
      </c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hidden="1" customHeight="1">
      <c r="A202" s="1"/>
      <c r="B202" s="1"/>
      <c r="C202" s="14"/>
      <c r="D202" s="14"/>
      <c r="E202" s="5"/>
      <c r="F202" s="1"/>
      <c r="G202" s="1"/>
      <c r="H202" s="1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hidden="1" customHeight="1">
      <c r="A203" s="1"/>
      <c r="B203" s="1"/>
      <c r="C203" s="38" t="s">
        <v>33</v>
      </c>
      <c r="E203" s="33"/>
      <c r="F203" s="1"/>
      <c r="G203" s="1"/>
      <c r="H203" s="1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hidden="1" customHeight="1">
      <c r="A204" s="1"/>
      <c r="B204" s="1"/>
      <c r="C204" s="17" t="s">
        <v>21</v>
      </c>
      <c r="D204" s="17" t="s">
        <v>21</v>
      </c>
      <c r="E204" s="33"/>
      <c r="F204" s="1"/>
      <c r="G204" s="1"/>
      <c r="H204" s="1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hidden="1" customHeight="1">
      <c r="A205" s="1"/>
      <c r="B205" s="1"/>
      <c r="C205" s="17" t="s">
        <v>22</v>
      </c>
      <c r="D205" s="17" t="s">
        <v>23</v>
      </c>
      <c r="E205" s="34"/>
      <c r="F205" s="1"/>
      <c r="G205" s="1"/>
      <c r="H205" s="1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hidden="1" customHeight="1">
      <c r="A206" s="1"/>
      <c r="B206" s="1" t="s">
        <v>24</v>
      </c>
      <c r="C206" s="14">
        <f>D124*D123</f>
        <v>1800000</v>
      </c>
      <c r="D206" s="14">
        <f>D124*D123</f>
        <v>1800000</v>
      </c>
      <c r="E206" s="33"/>
      <c r="F206" s="1"/>
      <c r="G206" s="14">
        <v>1800000.0</v>
      </c>
      <c r="H206" s="14">
        <v>1800000.0</v>
      </c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hidden="1" customHeight="1">
      <c r="A207" s="1"/>
      <c r="B207" s="1" t="s">
        <v>34</v>
      </c>
      <c r="C207" s="14">
        <f>C125*(C122-C123)</f>
        <v>120000</v>
      </c>
      <c r="D207" s="14">
        <f>C125*(C122-C123)</f>
        <v>120000</v>
      </c>
      <c r="E207" s="5"/>
      <c r="F207" s="14"/>
      <c r="G207" s="14">
        <v>120000.0</v>
      </c>
      <c r="H207" s="14">
        <v>120000.0</v>
      </c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hidden="1" customHeight="1">
      <c r="A208" s="1"/>
      <c r="B208" s="1" t="s">
        <v>25</v>
      </c>
      <c r="C208" s="14">
        <f>D125*D122</f>
        <v>600000</v>
      </c>
      <c r="D208" s="14">
        <f>D125*D122</f>
        <v>600000</v>
      </c>
      <c r="E208" s="5"/>
      <c r="F208" s="1"/>
      <c r="G208" s="14">
        <v>600000.0</v>
      </c>
      <c r="H208" s="14">
        <v>600000.0</v>
      </c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hidden="1" customHeight="1">
      <c r="A209" s="1"/>
      <c r="B209" s="1" t="s">
        <v>35</v>
      </c>
      <c r="C209" s="14"/>
      <c r="D209" s="14">
        <f>(C126/C122)*(C122-C123)</f>
        <v>40000</v>
      </c>
      <c r="E209" s="5"/>
      <c r="F209" s="1"/>
      <c r="G209" s="1"/>
      <c r="H209" s="14">
        <v>40000.0</v>
      </c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hidden="1" customHeight="1">
      <c r="A210" s="1"/>
      <c r="B210" s="1" t="s">
        <v>26</v>
      </c>
      <c r="C210" s="22"/>
      <c r="D210" s="22">
        <f>(D126/D122)*D122</f>
        <v>240000</v>
      </c>
      <c r="E210" s="5"/>
      <c r="F210" s="1"/>
      <c r="G210" s="1"/>
      <c r="H210" s="14">
        <v>240000.0</v>
      </c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hidden="1" customHeight="1">
      <c r="A211" s="1"/>
      <c r="B211" s="1" t="s">
        <v>27</v>
      </c>
      <c r="C211" s="14">
        <f>C206-C207-C208-C209-C210</f>
        <v>1080000</v>
      </c>
      <c r="D211" s="14"/>
      <c r="E211" s="5"/>
      <c r="F211" s="1"/>
      <c r="G211" s="14">
        <v>1080000.0</v>
      </c>
      <c r="H211" s="1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hidden="1" customHeight="1">
      <c r="A212" s="1"/>
      <c r="B212" s="1" t="s">
        <v>28</v>
      </c>
      <c r="C212" s="14"/>
      <c r="D212" s="14">
        <f>D206-D207-D208-D209-D210</f>
        <v>800000</v>
      </c>
      <c r="E212" s="5"/>
      <c r="F212" s="1"/>
      <c r="G212" s="1"/>
      <c r="H212" s="14">
        <v>800000.0</v>
      </c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hidden="1" customHeight="1">
      <c r="A213" s="1"/>
      <c r="B213" s="1" t="str">
        <f t="shared" ref="B213:B214" si="83">B126</f>
        <v>Costo indirecto de fabricación fijo</v>
      </c>
      <c r="C213" s="14">
        <f t="shared" ref="C213:C214" si="84">D126</f>
        <v>240000</v>
      </c>
      <c r="D213" s="14"/>
      <c r="E213" s="5"/>
      <c r="F213" s="1"/>
      <c r="G213" s="14">
        <v>240000.0</v>
      </c>
      <c r="H213" s="1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hidden="1" customHeight="1">
      <c r="A214" s="1"/>
      <c r="B214" s="1" t="str">
        <f t="shared" si="83"/>
        <v>Gtos. de administración y comercialización</v>
      </c>
      <c r="C214" s="22">
        <f t="shared" si="84"/>
        <v>100000</v>
      </c>
      <c r="D214" s="22">
        <f>D127</f>
        <v>100000</v>
      </c>
      <c r="E214" s="5"/>
      <c r="F214" s="1"/>
      <c r="G214" s="14">
        <v>100000.0</v>
      </c>
      <c r="H214" s="14">
        <v>100000.0</v>
      </c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hidden="1" customHeight="1">
      <c r="A215" s="1"/>
      <c r="B215" s="4" t="s">
        <v>29</v>
      </c>
      <c r="C215" s="25">
        <f>C211-C213-C214</f>
        <v>740000</v>
      </c>
      <c r="D215" s="25">
        <f>D212-D213-D214</f>
        <v>700000</v>
      </c>
      <c r="E215" s="5" t="s">
        <v>41</v>
      </c>
      <c r="F215" s="26">
        <f>D215-C215</f>
        <v>-40000</v>
      </c>
      <c r="G215" s="14">
        <v>740000.0</v>
      </c>
      <c r="H215" s="14">
        <v>700000.0</v>
      </c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hidden="1" customHeight="1">
      <c r="A216" s="1"/>
      <c r="B216" s="1"/>
      <c r="C216" s="14"/>
      <c r="D216" s="14"/>
      <c r="E216" s="5"/>
      <c r="F216" s="14"/>
      <c r="G216" s="14"/>
      <c r="H216" s="1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hidden="1" customHeight="1">
      <c r="A217" s="1"/>
      <c r="B217" s="28" t="s">
        <v>30</v>
      </c>
      <c r="C217" s="8">
        <f>C122-C123+D122-D123</f>
        <v>0</v>
      </c>
      <c r="D217" s="8">
        <f>C122-C123+D122-D123</f>
        <v>0</v>
      </c>
      <c r="E217" s="5"/>
      <c r="F217" s="14"/>
      <c r="G217" s="14">
        <v>0.0</v>
      </c>
      <c r="H217" s="8">
        <v>0.0</v>
      </c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hidden="1" customHeight="1">
      <c r="A218" s="1"/>
      <c r="B218" s="28" t="s">
        <v>31</v>
      </c>
      <c r="C218" s="11">
        <f>D125</f>
        <v>12</v>
      </c>
      <c r="D218" s="11">
        <f>D125+(D126/D122)</f>
        <v>16.8</v>
      </c>
      <c r="E218" s="5"/>
      <c r="F218" s="14"/>
      <c r="G218" s="14">
        <v>12.0</v>
      </c>
      <c r="H218" s="11">
        <v>16.8</v>
      </c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hidden="1" customHeight="1">
      <c r="A219" s="1"/>
      <c r="B219" s="28" t="s">
        <v>32</v>
      </c>
      <c r="C219" s="25">
        <f t="shared" ref="C219:D219" si="85">C217*C218</f>
        <v>0</v>
      </c>
      <c r="D219" s="25">
        <f t="shared" si="85"/>
        <v>0</v>
      </c>
      <c r="E219" s="5"/>
      <c r="F219" s="14"/>
      <c r="G219" s="14">
        <v>0.0</v>
      </c>
      <c r="H219" s="14">
        <v>0.0</v>
      </c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hidden="1" customHeight="1">
      <c r="A220" s="1"/>
      <c r="B220" s="1"/>
      <c r="C220" s="14"/>
      <c r="D220" s="14"/>
      <c r="E220" s="5"/>
      <c r="F220" s="1"/>
      <c r="G220" s="1"/>
      <c r="H220" s="1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hidden="1" customHeight="1">
      <c r="A221" s="1"/>
      <c r="B221" s="1"/>
      <c r="C221" s="13" t="s">
        <v>38</v>
      </c>
      <c r="E221" s="5"/>
      <c r="F221" s="1"/>
      <c r="G221" s="1"/>
      <c r="H221" s="1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hidden="1" customHeight="1">
      <c r="A222" s="1"/>
      <c r="B222" s="1"/>
      <c r="C222" s="17" t="s">
        <v>21</v>
      </c>
      <c r="D222" s="17" t="s">
        <v>21</v>
      </c>
      <c r="E222" s="5"/>
      <c r="F222" s="1"/>
      <c r="G222" s="1"/>
      <c r="H222" s="1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hidden="1" customHeight="1">
      <c r="A223" s="1"/>
      <c r="B223" s="1"/>
      <c r="C223" s="17" t="s">
        <v>22</v>
      </c>
      <c r="D223" s="17" t="s">
        <v>23</v>
      </c>
      <c r="E223" s="5"/>
      <c r="F223" s="1"/>
      <c r="G223" s="1"/>
      <c r="H223" s="1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hidden="1" customHeight="1">
      <c r="A224" s="1"/>
      <c r="B224" s="1" t="s">
        <v>24</v>
      </c>
      <c r="C224" s="14">
        <f t="shared" ref="C224:D224" si="86">C190+C206</f>
        <v>3300000</v>
      </c>
      <c r="D224" s="14">
        <f t="shared" si="86"/>
        <v>3300000</v>
      </c>
      <c r="E224" s="5"/>
      <c r="F224" s="1"/>
      <c r="G224" s="14">
        <v>3300000.0</v>
      </c>
      <c r="H224" s="14">
        <v>3300000.0</v>
      </c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hidden="1" customHeight="1">
      <c r="A225" s="1"/>
      <c r="B225" s="1" t="s">
        <v>39</v>
      </c>
      <c r="C225" s="14">
        <f t="shared" ref="C225:D225" si="87">C191+C207+C208</f>
        <v>1320000</v>
      </c>
      <c r="D225" s="14">
        <f t="shared" si="87"/>
        <v>1320000</v>
      </c>
      <c r="E225" s="5"/>
      <c r="F225" s="1"/>
      <c r="G225" s="14">
        <v>1320000.0</v>
      </c>
      <c r="H225" s="14">
        <v>1320000.0</v>
      </c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hidden="1" customHeight="1">
      <c r="A226" s="1"/>
      <c r="B226" s="1" t="s">
        <v>40</v>
      </c>
      <c r="C226" s="22"/>
      <c r="D226" s="22">
        <f>D192+D209+D210</f>
        <v>480000</v>
      </c>
      <c r="E226" s="5"/>
      <c r="F226" s="1"/>
      <c r="G226" s="14"/>
      <c r="H226" s="14">
        <v>480000.0</v>
      </c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hidden="1" customHeight="1">
      <c r="A227" s="1"/>
      <c r="B227" s="1" t="s">
        <v>27</v>
      </c>
      <c r="C227" s="14">
        <f>C224-C225</f>
        <v>1980000</v>
      </c>
      <c r="D227" s="14"/>
      <c r="E227" s="5"/>
      <c r="F227" s="1"/>
      <c r="G227" s="14">
        <v>1980000.0</v>
      </c>
      <c r="H227" s="1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hidden="1" customHeight="1">
      <c r="A228" s="1"/>
      <c r="B228" s="1" t="s">
        <v>28</v>
      </c>
      <c r="C228" s="14"/>
      <c r="D228" s="14">
        <f>D224-D225-D226</f>
        <v>1500000</v>
      </c>
      <c r="E228" s="5"/>
      <c r="F228" s="1"/>
      <c r="G228" s="1"/>
      <c r="H228" s="14">
        <v>1500000.0</v>
      </c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hidden="1" customHeight="1">
      <c r="A229" s="1"/>
      <c r="B229" s="1" t="str">
        <f t="shared" ref="B229:B230" si="88">B126</f>
        <v>Costo indirecto de fabricación fijo</v>
      </c>
      <c r="C229" s="14">
        <f t="shared" ref="C229:C230" si="89">C195+C213</f>
        <v>480000</v>
      </c>
      <c r="D229" s="14"/>
      <c r="E229" s="5"/>
      <c r="F229" s="1"/>
      <c r="G229" s="14">
        <v>480000.0</v>
      </c>
      <c r="H229" s="1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hidden="1" customHeight="1">
      <c r="A230" s="1"/>
      <c r="B230" s="1" t="str">
        <f t="shared" si="88"/>
        <v>Gtos. de administración y comercialización</v>
      </c>
      <c r="C230" s="22">
        <f t="shared" si="89"/>
        <v>200000</v>
      </c>
      <c r="D230" s="22">
        <f>D196+D214</f>
        <v>200000</v>
      </c>
      <c r="E230" s="5"/>
      <c r="F230" s="1"/>
      <c r="G230" s="14">
        <v>200000.0</v>
      </c>
      <c r="H230" s="14">
        <v>200000.0</v>
      </c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hidden="1" customHeight="1">
      <c r="A231" s="1"/>
      <c r="B231" s="4" t="s">
        <v>29</v>
      </c>
      <c r="C231" s="25">
        <f>C227-C229-C230</f>
        <v>1300000</v>
      </c>
      <c r="D231" s="25">
        <f>D228-D229-D230</f>
        <v>1300000</v>
      </c>
      <c r="E231" s="5" t="s">
        <v>41</v>
      </c>
      <c r="F231" s="26">
        <f>D231-C231</f>
        <v>0</v>
      </c>
      <c r="G231" s="14">
        <v>1300000.0</v>
      </c>
      <c r="H231" s="14">
        <v>1300000.0</v>
      </c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hidden="1" customHeight="1">
      <c r="A232" s="1"/>
      <c r="B232" s="1"/>
      <c r="C232" s="14"/>
      <c r="D232" s="14"/>
      <c r="E232" s="1"/>
      <c r="F232" s="1"/>
      <c r="G232" s="1"/>
      <c r="H232" s="1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4"/>
      <c r="D233" s="14"/>
      <c r="E233" s="1"/>
      <c r="F233" s="1"/>
      <c r="G233" s="1"/>
      <c r="H233" s="1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4"/>
      <c r="D234" s="14"/>
      <c r="E234" s="1"/>
      <c r="F234" s="1"/>
      <c r="G234" s="1"/>
      <c r="H234" s="1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3" t="s">
        <v>44</v>
      </c>
      <c r="B235" s="1" t="s">
        <v>43</v>
      </c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5" t="s">
        <v>2</v>
      </c>
      <c r="D237" s="5" t="s">
        <v>3</v>
      </c>
      <c r="E237" s="1"/>
      <c r="F237" s="1"/>
      <c r="G237" s="1"/>
      <c r="H237" s="1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 t="s">
        <v>4</v>
      </c>
      <c r="C238" s="8">
        <v>25000.0</v>
      </c>
      <c r="D238" s="8">
        <v>18000.0</v>
      </c>
      <c r="E238" s="1"/>
      <c r="F238" s="1"/>
      <c r="G238" s="1"/>
      <c r="H238" s="1"/>
      <c r="I238" s="9">
        <f t="shared" ref="I238:J238" si="90">C238</f>
        <v>25000</v>
      </c>
      <c r="J238" s="9">
        <f t="shared" si="90"/>
        <v>18000</v>
      </c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 t="s">
        <v>5</v>
      </c>
      <c r="C239" s="8">
        <v>18000.0</v>
      </c>
      <c r="D239" s="8">
        <v>25000.0</v>
      </c>
      <c r="E239" s="1"/>
      <c r="F239" s="1"/>
      <c r="G239" s="1"/>
      <c r="H239" s="1"/>
      <c r="I239" s="9">
        <f t="shared" ref="I239:J239" si="91">C239</f>
        <v>18000</v>
      </c>
      <c r="J239" s="9">
        <f t="shared" si="91"/>
        <v>25000</v>
      </c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 t="s">
        <v>6</v>
      </c>
      <c r="C240" s="11">
        <v>30.0</v>
      </c>
      <c r="D240" s="11">
        <v>30.0</v>
      </c>
      <c r="E240" s="1"/>
      <c r="F240" s="1"/>
      <c r="G240" s="1"/>
      <c r="H240" s="1"/>
      <c r="I240" s="16">
        <f t="shared" ref="I240:I243" si="92">C240</f>
        <v>30</v>
      </c>
      <c r="J240" s="16">
        <f t="shared" ref="J240:J243" si="93">I240</f>
        <v>30</v>
      </c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 t="s">
        <v>8</v>
      </c>
      <c r="C241" s="11">
        <v>16.0</v>
      </c>
      <c r="D241" s="11">
        <v>16.0</v>
      </c>
      <c r="E241" s="1"/>
      <c r="F241" s="1"/>
      <c r="G241" s="1"/>
      <c r="H241" s="1"/>
      <c r="I241" s="16">
        <f t="shared" si="92"/>
        <v>16</v>
      </c>
      <c r="J241" s="16">
        <f t="shared" si="93"/>
        <v>16</v>
      </c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 t="s">
        <v>10</v>
      </c>
      <c r="C242" s="14">
        <v>180000.0</v>
      </c>
      <c r="D242" s="14">
        <v>180000.0</v>
      </c>
      <c r="E242" s="1"/>
      <c r="F242" s="1"/>
      <c r="G242" s="1"/>
      <c r="H242" s="1"/>
      <c r="I242" s="16">
        <f t="shared" si="92"/>
        <v>180000</v>
      </c>
      <c r="J242" s="16">
        <f t="shared" si="93"/>
        <v>180000</v>
      </c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 t="s">
        <v>11</v>
      </c>
      <c r="C243" s="14">
        <v>100000.0</v>
      </c>
      <c r="D243" s="14">
        <v>100000.0</v>
      </c>
      <c r="E243" s="1"/>
      <c r="F243" s="1"/>
      <c r="G243" s="1"/>
      <c r="H243" s="1"/>
      <c r="I243" s="16">
        <f t="shared" si="92"/>
        <v>100000</v>
      </c>
      <c r="J243" s="16">
        <f t="shared" si="93"/>
        <v>100000</v>
      </c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4"/>
      <c r="D244" s="14"/>
      <c r="E244" s="1"/>
      <c r="F244" s="1"/>
      <c r="G244" s="1"/>
      <c r="H244" s="1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 t="s">
        <v>12</v>
      </c>
      <c r="C245" s="14"/>
      <c r="D245" s="14"/>
      <c r="E245" s="1"/>
      <c r="F245" s="1"/>
      <c r="G245" s="1"/>
      <c r="H245" s="1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5" t="s">
        <v>13</v>
      </c>
      <c r="B246" s="1" t="s">
        <v>14</v>
      </c>
      <c r="C246" s="14"/>
      <c r="D246" s="14"/>
      <c r="E246" s="1"/>
      <c r="F246" s="1"/>
      <c r="G246" s="1"/>
      <c r="H246" s="1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5"/>
      <c r="B247" s="1" t="s">
        <v>15</v>
      </c>
      <c r="C247" s="14"/>
      <c r="D247" s="14"/>
      <c r="E247" s="1"/>
      <c r="F247" s="1"/>
      <c r="G247" s="1"/>
      <c r="H247" s="1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5" t="s">
        <v>16</v>
      </c>
      <c r="B248" s="1" t="s">
        <v>17</v>
      </c>
      <c r="C248" s="14"/>
      <c r="D248" s="14"/>
      <c r="E248" s="1"/>
      <c r="F248" s="1"/>
      <c r="G248" s="1"/>
      <c r="H248" s="1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5" t="s">
        <v>18</v>
      </c>
      <c r="B249" s="1" t="s">
        <v>19</v>
      </c>
      <c r="C249" s="14"/>
      <c r="D249" s="14"/>
      <c r="E249" s="1"/>
      <c r="F249" s="1"/>
      <c r="G249" s="1"/>
      <c r="H249" s="1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4"/>
      <c r="D250" s="14"/>
      <c r="E250" s="1"/>
      <c r="F250" s="1"/>
      <c r="G250" s="1"/>
      <c r="H250" s="1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3" t="s">
        <v>20</v>
      </c>
      <c r="E251" s="1"/>
      <c r="F251" s="1"/>
      <c r="G251" s="1"/>
      <c r="H251" s="1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3" t="s">
        <v>21</v>
      </c>
      <c r="D252" s="13" t="s">
        <v>21</v>
      </c>
      <c r="E252" s="1"/>
      <c r="F252" s="1"/>
      <c r="G252" s="1"/>
      <c r="H252" s="1"/>
      <c r="I252" s="20" t="s">
        <v>21</v>
      </c>
      <c r="J252" s="20" t="s">
        <v>21</v>
      </c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3" t="s">
        <v>22</v>
      </c>
      <c r="D253" s="13" t="s">
        <v>23</v>
      </c>
      <c r="E253" s="1"/>
      <c r="F253" s="1"/>
      <c r="G253" s="1"/>
      <c r="H253" s="1"/>
      <c r="I253" s="20" t="s">
        <v>22</v>
      </c>
      <c r="J253" s="20" t="s">
        <v>23</v>
      </c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 t="s">
        <v>24</v>
      </c>
      <c r="C254" s="14">
        <v>540000.0</v>
      </c>
      <c r="D254" s="14">
        <v>540000.0</v>
      </c>
      <c r="E254" s="21"/>
      <c r="F254" s="1"/>
      <c r="G254" s="14">
        <v>540000.0</v>
      </c>
      <c r="H254" s="14">
        <v>540000.0</v>
      </c>
      <c r="I254" s="16">
        <f t="shared" ref="I254:J254" si="94">$I$239*$I$240</f>
        <v>540000</v>
      </c>
      <c r="J254" s="16">
        <f t="shared" si="94"/>
        <v>540000</v>
      </c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 t="s">
        <v>25</v>
      </c>
      <c r="C255" s="14">
        <v>288000.0</v>
      </c>
      <c r="D255" s="14">
        <v>288000.0</v>
      </c>
      <c r="E255" s="21"/>
      <c r="F255" s="1"/>
      <c r="G255" s="14">
        <v>288000.0</v>
      </c>
      <c r="H255" s="14">
        <v>288000.0</v>
      </c>
      <c r="I255" s="16">
        <f t="shared" ref="I255:J255" si="95">$I241*$I$239</f>
        <v>288000</v>
      </c>
      <c r="J255" s="16">
        <f t="shared" si="95"/>
        <v>288000</v>
      </c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 t="s">
        <v>26</v>
      </c>
      <c r="C256" s="22"/>
      <c r="D256" s="22">
        <v>129600.0</v>
      </c>
      <c r="E256" s="21"/>
      <c r="F256" s="1"/>
      <c r="G256" s="14"/>
      <c r="H256" s="14">
        <v>129600.0</v>
      </c>
      <c r="I256" s="16"/>
      <c r="J256" s="16">
        <f>$I242/$I238*$I239</f>
        <v>129600</v>
      </c>
      <c r="K256" s="12">
        <f>I242/I238</f>
        <v>7.2</v>
      </c>
      <c r="L256" s="16">
        <f>K256*I239</f>
        <v>129600</v>
      </c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 t="s">
        <v>27</v>
      </c>
      <c r="C257" s="14">
        <v>252000.0</v>
      </c>
      <c r="D257" s="14"/>
      <c r="E257" s="21" t="str">
        <f>IF(G257=G309,"CORRECTO",IF(C257="","","INCORRECTO"))</f>
        <v>CORRECTO</v>
      </c>
      <c r="F257" s="1"/>
      <c r="G257" s="14">
        <v>252000.0</v>
      </c>
      <c r="H257" s="14"/>
      <c r="I257" s="16">
        <f>I254-SUM(I255:I256)</f>
        <v>252000</v>
      </c>
      <c r="J257" s="2"/>
      <c r="K257" s="2"/>
      <c r="L257" s="23">
        <f>I242-J256</f>
        <v>50400</v>
      </c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 t="s">
        <v>28</v>
      </c>
      <c r="C258" s="14"/>
      <c r="D258" s="14">
        <v>122400.0</v>
      </c>
      <c r="E258" s="21" t="str">
        <f>IF(H258=H310,"CORRECTO",IF(D258="","","INCORRECTO"))</f>
        <v>CORRECTO</v>
      </c>
      <c r="F258" s="1"/>
      <c r="G258" s="14"/>
      <c r="H258" s="14">
        <v>122400.0</v>
      </c>
      <c r="I258" s="16"/>
      <c r="J258" s="16">
        <f>J254-SUM(J255:J256)</f>
        <v>122400</v>
      </c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 t="str">
        <f t="shared" ref="B259:B260" si="96">B242</f>
        <v>Costo indirecto de fabricación fijo</v>
      </c>
      <c r="C259" s="14">
        <v>180000.0</v>
      </c>
      <c r="D259" s="14"/>
      <c r="E259" s="21"/>
      <c r="F259" s="1"/>
      <c r="G259" s="14">
        <v>180000.0</v>
      </c>
      <c r="H259" s="14"/>
      <c r="I259" s="16">
        <f t="shared" ref="I259:I260" si="97">I242</f>
        <v>180000</v>
      </c>
      <c r="J259" s="16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 t="str">
        <f t="shared" si="96"/>
        <v>Gtos. de administración y comercialización</v>
      </c>
      <c r="C260" s="22">
        <v>100000.0</v>
      </c>
      <c r="D260" s="22">
        <v>100000.0</v>
      </c>
      <c r="E260" s="21"/>
      <c r="F260" s="1"/>
      <c r="G260" s="14">
        <v>100000.0</v>
      </c>
      <c r="H260" s="14">
        <v>100000.0</v>
      </c>
      <c r="I260" s="16">
        <f t="shared" si="97"/>
        <v>100000</v>
      </c>
      <c r="J260" s="16">
        <f>I243</f>
        <v>100000</v>
      </c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4" t="s">
        <v>29</v>
      </c>
      <c r="C261" s="25">
        <v>-28000.0</v>
      </c>
      <c r="D261" s="25">
        <v>22400.0</v>
      </c>
      <c r="E261" s="5"/>
      <c r="F261" s="26"/>
      <c r="G261" s="14">
        <v>-28000.0</v>
      </c>
      <c r="H261" s="14">
        <v>22400.0</v>
      </c>
      <c r="I261" s="24">
        <f>I257-SUM(I259:I260)</f>
        <v>-28000</v>
      </c>
      <c r="J261" s="24">
        <f>J258-SUM(J259:J260)</f>
        <v>22400</v>
      </c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4"/>
      <c r="C262" s="21" t="str">
        <f t="shared" ref="C262:D262" si="98">IF(G261=G313,"CORRECTO",IF(C261="","","INCORRECTO"))</f>
        <v>CORRECTO</v>
      </c>
      <c r="D262" s="21" t="str">
        <f t="shared" si="98"/>
        <v>CORRECTO</v>
      </c>
      <c r="E262" s="5"/>
      <c r="F262" s="26"/>
      <c r="G262" s="14"/>
      <c r="H262" s="14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4"/>
      <c r="D263" s="14"/>
      <c r="E263" s="5"/>
      <c r="F263" s="27"/>
      <c r="G263" s="14"/>
      <c r="H263" s="14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8" t="s">
        <v>30</v>
      </c>
      <c r="C264" s="8">
        <v>7000.0</v>
      </c>
      <c r="D264" s="8">
        <v>7000.0</v>
      </c>
      <c r="E264" s="21"/>
      <c r="F264" s="27"/>
      <c r="G264" s="14">
        <v>7000.0</v>
      </c>
      <c r="H264" s="14">
        <v>7000.0</v>
      </c>
      <c r="I264" s="9">
        <f>I238-I239</f>
        <v>7000</v>
      </c>
      <c r="J264" s="9">
        <f>I264</f>
        <v>7000</v>
      </c>
      <c r="K264" s="2"/>
      <c r="L264" s="29">
        <f>J264</f>
        <v>7000</v>
      </c>
      <c r="M264" s="29">
        <f>L264</f>
        <v>7000</v>
      </c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8" t="s">
        <v>31</v>
      </c>
      <c r="C265" s="11">
        <v>16.0</v>
      </c>
      <c r="D265" s="11">
        <v>23.2</v>
      </c>
      <c r="E265" s="21"/>
      <c r="F265" s="27"/>
      <c r="G265" s="11">
        <v>16.0</v>
      </c>
      <c r="H265" s="11">
        <v>23.2</v>
      </c>
      <c r="I265" s="12">
        <f>SUM(I255:I256)/I$239</f>
        <v>16</v>
      </c>
      <c r="J265" s="12">
        <f>SUM(J255:J256)/$I$239</f>
        <v>23.2</v>
      </c>
      <c r="K265" s="2"/>
      <c r="L265" s="30">
        <f>SUM(I255:I256)/I$239</f>
        <v>16</v>
      </c>
      <c r="M265" s="30">
        <f>SUM(J255:J256)/I$239</f>
        <v>23.2</v>
      </c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8" t="s">
        <v>32</v>
      </c>
      <c r="C266" s="25">
        <v>112000.0</v>
      </c>
      <c r="D266" s="25">
        <v>162400.0</v>
      </c>
      <c r="E266" s="5"/>
      <c r="F266" s="26"/>
      <c r="G266" s="14">
        <v>112000.0</v>
      </c>
      <c r="H266" s="14">
        <v>162400.0</v>
      </c>
      <c r="I266" s="24">
        <f t="shared" ref="I266:J266" si="99">I264*I265</f>
        <v>112000</v>
      </c>
      <c r="J266" s="24">
        <f t="shared" si="99"/>
        <v>162400</v>
      </c>
      <c r="K266" s="23">
        <f>J266-I266</f>
        <v>50400</v>
      </c>
      <c r="L266" s="31">
        <f t="shared" ref="L266:M266" si="100">L264*L265</f>
        <v>112000</v>
      </c>
      <c r="M266" s="31">
        <f t="shared" si="100"/>
        <v>162400</v>
      </c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1" t="str">
        <f t="shared" ref="C267:D267" si="101">IF(G265=G316,"CORRECTO",IF(C266="","","INCORRECTO"))</f>
        <v>CORRECTO</v>
      </c>
      <c r="D267" s="21" t="str">
        <f t="shared" si="101"/>
        <v>CORRECTO</v>
      </c>
      <c r="E267" s="5"/>
      <c r="F267" s="1"/>
      <c r="G267" s="14"/>
      <c r="H267" s="14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1"/>
      <c r="D268" s="21"/>
      <c r="E268" s="5"/>
      <c r="F268" s="1"/>
      <c r="G268" s="14"/>
      <c r="H268" s="14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38" t="s">
        <v>33</v>
      </c>
      <c r="E269" s="33"/>
      <c r="F269" s="1"/>
      <c r="G269" s="14"/>
      <c r="H269" s="14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3" t="s">
        <v>21</v>
      </c>
      <c r="D270" s="13" t="s">
        <v>21</v>
      </c>
      <c r="E270" s="33"/>
      <c r="F270" s="1"/>
      <c r="G270" s="14"/>
      <c r="H270" s="14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3" t="s">
        <v>22</v>
      </c>
      <c r="D271" s="13" t="s">
        <v>23</v>
      </c>
      <c r="E271" s="34"/>
      <c r="F271" s="1"/>
      <c r="G271" s="14"/>
      <c r="H271" s="14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 t="s">
        <v>24</v>
      </c>
      <c r="C272" s="14">
        <v>750000.0</v>
      </c>
      <c r="D272" s="14">
        <v>750000.0</v>
      </c>
      <c r="E272" s="21"/>
      <c r="F272" s="1"/>
      <c r="G272" s="14">
        <v>750000.0</v>
      </c>
      <c r="H272" s="14">
        <v>750000.0</v>
      </c>
      <c r="I272" s="16">
        <f>J239*J240</f>
        <v>750000</v>
      </c>
      <c r="J272" s="16">
        <f t="shared" ref="J272:J274" si="102">I272</f>
        <v>750000</v>
      </c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 t="s">
        <v>34</v>
      </c>
      <c r="C273" s="14">
        <v>112000.0</v>
      </c>
      <c r="D273" s="14">
        <v>112000.0</v>
      </c>
      <c r="E273" s="21"/>
      <c r="F273" s="14"/>
      <c r="G273" s="14">
        <v>112000.0</v>
      </c>
      <c r="H273" s="14">
        <v>112000.0</v>
      </c>
      <c r="I273" s="16">
        <f>C265*C264</f>
        <v>112000</v>
      </c>
      <c r="J273" s="16">
        <f t="shared" si="102"/>
        <v>112000</v>
      </c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 t="s">
        <v>25</v>
      </c>
      <c r="C274" s="14">
        <v>288000.0</v>
      </c>
      <c r="D274" s="14">
        <v>288000.0</v>
      </c>
      <c r="E274" s="21"/>
      <c r="F274" s="1"/>
      <c r="G274" s="14">
        <v>288000.0</v>
      </c>
      <c r="H274" s="14">
        <v>288000.0</v>
      </c>
      <c r="I274" s="16">
        <f>J239*J241-I264*J241</f>
        <v>288000</v>
      </c>
      <c r="J274" s="16">
        <f t="shared" si="102"/>
        <v>288000</v>
      </c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 t="s">
        <v>35</v>
      </c>
      <c r="C275" s="14"/>
      <c r="D275" s="14">
        <v>50400.0</v>
      </c>
      <c r="E275" s="21"/>
      <c r="F275" s="1"/>
      <c r="G275" s="14"/>
      <c r="H275" s="14">
        <v>50400.0</v>
      </c>
      <c r="I275" s="16"/>
      <c r="J275" s="16">
        <f>K266</f>
        <v>50400</v>
      </c>
      <c r="K275" s="2"/>
      <c r="L275" s="16">
        <f>J275</f>
        <v>50400</v>
      </c>
      <c r="M275" s="2" t="s">
        <v>36</v>
      </c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 t="s">
        <v>26</v>
      </c>
      <c r="C276" s="22"/>
      <c r="D276" s="22">
        <v>180000.0</v>
      </c>
      <c r="E276" s="21"/>
      <c r="F276" s="1"/>
      <c r="G276" s="14"/>
      <c r="H276" s="14">
        <v>180000.0</v>
      </c>
      <c r="I276" s="16"/>
      <c r="J276" s="16">
        <f>J242</f>
        <v>180000</v>
      </c>
      <c r="K276" s="16">
        <f>J242/J238</f>
        <v>10</v>
      </c>
      <c r="L276" s="16">
        <f>K276*I239</f>
        <v>180000</v>
      </c>
      <c r="M276" s="2" t="s">
        <v>37</v>
      </c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 t="s">
        <v>27</v>
      </c>
      <c r="C277" s="14">
        <v>350000.0</v>
      </c>
      <c r="D277" s="14"/>
      <c r="E277" s="21" t="str">
        <f>IF(G277=G327,"CORRECTO",IF(C277="","","INCORRECTO"))</f>
        <v>CORRECTO</v>
      </c>
      <c r="F277" s="1"/>
      <c r="G277" s="14">
        <v>350000.0</v>
      </c>
      <c r="H277" s="14"/>
      <c r="I277" s="16">
        <f>I272-SUM(I273:I276)</f>
        <v>350000</v>
      </c>
      <c r="J277" s="16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 t="s">
        <v>28</v>
      </c>
      <c r="C278" s="14"/>
      <c r="D278" s="14">
        <v>119600.0</v>
      </c>
      <c r="E278" s="21" t="str">
        <f>IF(H278=H328,"CORRECTO",IF(D278="","","INCORRECTO"))</f>
        <v>CORRECTO</v>
      </c>
      <c r="F278" s="1"/>
      <c r="G278" s="14"/>
      <c r="H278" s="14">
        <v>119600.0</v>
      </c>
      <c r="I278" s="16"/>
      <c r="J278" s="16">
        <f>J272-SUM(J273:J276)</f>
        <v>119600</v>
      </c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 t="str">
        <f t="shared" ref="B279:B280" si="103">B242</f>
        <v>Costo indirecto de fabricación fijo</v>
      </c>
      <c r="C279" s="14">
        <v>180000.0</v>
      </c>
      <c r="D279" s="14"/>
      <c r="E279" s="21"/>
      <c r="F279" s="1"/>
      <c r="G279" s="14">
        <v>180000.0</v>
      </c>
      <c r="H279" s="14"/>
      <c r="I279" s="16">
        <f t="shared" ref="I279:I280" si="104">I259</f>
        <v>180000</v>
      </c>
      <c r="J279" s="16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 t="str">
        <f t="shared" si="103"/>
        <v>Gtos. de administración y comercialización</v>
      </c>
      <c r="C280" s="22">
        <v>100000.0</v>
      </c>
      <c r="D280" s="22">
        <v>100000.0</v>
      </c>
      <c r="E280" s="21"/>
      <c r="F280" s="1"/>
      <c r="G280" s="14">
        <v>100000.0</v>
      </c>
      <c r="H280" s="14">
        <v>100000.0</v>
      </c>
      <c r="I280" s="16">
        <f t="shared" si="104"/>
        <v>100000</v>
      </c>
      <c r="J280" s="16">
        <f>J260</f>
        <v>100000</v>
      </c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4" t="s">
        <v>29</v>
      </c>
      <c r="C281" s="25">
        <v>70000.0</v>
      </c>
      <c r="D281" s="25">
        <v>19600.0</v>
      </c>
      <c r="E281" s="21"/>
      <c r="F281" s="26"/>
      <c r="G281" s="14">
        <v>70000.0</v>
      </c>
      <c r="H281" s="14">
        <v>19600.0</v>
      </c>
      <c r="I281" s="24">
        <f>I277-SUM(I279:I280)</f>
        <v>70000</v>
      </c>
      <c r="J281" s="24">
        <f>J278-SUM(J279:J280)</f>
        <v>19600</v>
      </c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4"/>
      <c r="C282" s="21" t="str">
        <f t="shared" ref="C282:D282" si="105">IF(G281=G331,"CORRECTO",IF(C281="","","INCORRECTO"))</f>
        <v>CORRECTO</v>
      </c>
      <c r="D282" s="21" t="str">
        <f t="shared" si="105"/>
        <v>CORRECTO</v>
      </c>
      <c r="E282" s="21"/>
      <c r="F282" s="26"/>
      <c r="G282" s="14"/>
      <c r="H282" s="14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4"/>
      <c r="D283" s="14"/>
      <c r="E283" s="5"/>
      <c r="F283" s="14"/>
      <c r="G283" s="14"/>
      <c r="H283" s="14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8" t="s">
        <v>30</v>
      </c>
      <c r="C284" s="8">
        <v>0.0</v>
      </c>
      <c r="D284" s="8">
        <v>0.0</v>
      </c>
      <c r="E284" s="21"/>
      <c r="F284" s="14"/>
      <c r="G284" s="14">
        <v>0.0</v>
      </c>
      <c r="H284" s="14">
        <v>0.0</v>
      </c>
      <c r="I284" s="9">
        <f t="shared" ref="I284:J284" si="106">C284</f>
        <v>0</v>
      </c>
      <c r="J284" s="9">
        <f t="shared" si="106"/>
        <v>0</v>
      </c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8" t="s">
        <v>31</v>
      </c>
      <c r="C285" s="11">
        <v>16.0</v>
      </c>
      <c r="D285" s="11">
        <v>26.0</v>
      </c>
      <c r="E285" s="5"/>
      <c r="F285" s="14"/>
      <c r="G285" s="11">
        <v>16.0</v>
      </c>
      <c r="H285" s="11">
        <v>26.0</v>
      </c>
      <c r="I285" s="12">
        <f>SUM(I273:I276)/J239</f>
        <v>16</v>
      </c>
      <c r="J285" s="12">
        <f>SUM(J273:J276)/J239</f>
        <v>25.216</v>
      </c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8" t="s">
        <v>32</v>
      </c>
      <c r="C286" s="25">
        <v>0.0</v>
      </c>
      <c r="D286" s="25">
        <v>0.0</v>
      </c>
      <c r="E286" s="5"/>
      <c r="F286" s="14"/>
      <c r="G286" s="14">
        <v>0.0</v>
      </c>
      <c r="H286" s="14">
        <v>0.0</v>
      </c>
      <c r="I286" s="24">
        <f t="shared" ref="I286:J286" si="107">I284*I285</f>
        <v>0</v>
      </c>
      <c r="J286" s="24">
        <f t="shared" si="107"/>
        <v>0</v>
      </c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1" t="str">
        <f t="shared" ref="C287:D287" si="108">IF(G285=G334,"CORRECTO",IF(C285="","","INCORRECTO"))</f>
        <v>CORRECTO</v>
      </c>
      <c r="D287" s="21" t="str">
        <f t="shared" si="108"/>
        <v>CORRECTO</v>
      </c>
      <c r="E287" s="5"/>
      <c r="F287" s="1"/>
      <c r="G287" s="14"/>
      <c r="H287" s="14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1"/>
      <c r="D288" s="21"/>
      <c r="E288" s="5"/>
      <c r="F288" s="1"/>
      <c r="G288" s="14"/>
      <c r="H288" s="14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3" t="s">
        <v>38</v>
      </c>
      <c r="E289" s="5"/>
      <c r="F289" s="1"/>
      <c r="G289" s="14"/>
      <c r="H289" s="14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3" t="s">
        <v>21</v>
      </c>
      <c r="D290" s="13" t="s">
        <v>21</v>
      </c>
      <c r="E290" s="5"/>
      <c r="F290" s="1"/>
      <c r="G290" s="14"/>
      <c r="H290" s="14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3" t="s">
        <v>22</v>
      </c>
      <c r="D291" s="13" t="s">
        <v>23</v>
      </c>
      <c r="E291" s="5"/>
      <c r="F291" s="1"/>
      <c r="G291" s="14"/>
      <c r="H291" s="14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 t="s">
        <v>24</v>
      </c>
      <c r="C292" s="14">
        <v>1290000.0</v>
      </c>
      <c r="D292" s="14">
        <v>1290000.0</v>
      </c>
      <c r="E292" s="21"/>
      <c r="F292" s="1"/>
      <c r="G292" s="14">
        <v>1290000.0</v>
      </c>
      <c r="H292" s="14">
        <v>1290000.0</v>
      </c>
      <c r="I292" s="16">
        <f t="shared" ref="I292:J292" si="109">I254+I272</f>
        <v>1290000</v>
      </c>
      <c r="J292" s="16">
        <f t="shared" si="109"/>
        <v>1290000</v>
      </c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 t="s">
        <v>39</v>
      </c>
      <c r="C293" s="14">
        <v>688000.0</v>
      </c>
      <c r="D293" s="14">
        <v>688000.0</v>
      </c>
      <c r="E293" s="21"/>
      <c r="F293" s="1"/>
      <c r="G293" s="14">
        <v>688000.0</v>
      </c>
      <c r="H293" s="14">
        <v>688000.0</v>
      </c>
      <c r="I293" s="16">
        <f>SUM(I255,I273:I276)</f>
        <v>688000</v>
      </c>
      <c r="J293" s="16">
        <f>SUM(J255,J273:J274)</f>
        <v>688000</v>
      </c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 t="s">
        <v>40</v>
      </c>
      <c r="C294" s="22"/>
      <c r="D294" s="22">
        <v>360000.0</v>
      </c>
      <c r="E294" s="21"/>
      <c r="F294" s="1"/>
      <c r="G294" s="14"/>
      <c r="H294" s="14">
        <v>360000.0</v>
      </c>
      <c r="I294" s="16"/>
      <c r="J294" s="16">
        <f>SUM(J256,J275:J276)</f>
        <v>360000</v>
      </c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 t="s">
        <v>27</v>
      </c>
      <c r="C295" s="14">
        <v>602000.0</v>
      </c>
      <c r="D295" s="14"/>
      <c r="E295" s="21" t="str">
        <f>IF(G295=G343,"CORRECTO",IF(C295="","","INCORRECTO"))</f>
        <v>CORRECTO</v>
      </c>
      <c r="F295" s="1"/>
      <c r="G295" s="14">
        <v>602000.0</v>
      </c>
      <c r="H295" s="14"/>
      <c r="I295" s="16">
        <f>I292-SUM(I293:I294)</f>
        <v>602000</v>
      </c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 t="s">
        <v>28</v>
      </c>
      <c r="C296" s="14"/>
      <c r="D296" s="14">
        <v>242000.0</v>
      </c>
      <c r="E296" s="21" t="str">
        <f>IF(H296=H344,"CORRECTO",IF(D296="","","INCORRECTO"))</f>
        <v>CORRECTO</v>
      </c>
      <c r="F296" s="1"/>
      <c r="G296" s="14"/>
      <c r="H296" s="14">
        <v>242000.0</v>
      </c>
      <c r="I296" s="2"/>
      <c r="J296" s="16">
        <f>J292-SUM(J293:J294)</f>
        <v>242000</v>
      </c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 t="str">
        <f t="shared" ref="B297:B298" si="111">B242</f>
        <v>Costo indirecto de fabricación fijo</v>
      </c>
      <c r="C297" s="14">
        <v>360000.0</v>
      </c>
      <c r="D297" s="14"/>
      <c r="E297" s="21"/>
      <c r="F297" s="1"/>
      <c r="G297" s="14">
        <v>360000.0</v>
      </c>
      <c r="H297" s="14"/>
      <c r="I297" s="16">
        <f t="shared" ref="I297:J297" si="110">SUM(I259,I279)</f>
        <v>360000</v>
      </c>
      <c r="J297" s="16">
        <f t="shared" si="110"/>
        <v>0</v>
      </c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 t="str">
        <f t="shared" si="111"/>
        <v>Gtos. de administración y comercialización</v>
      </c>
      <c r="C298" s="22">
        <v>200000.0</v>
      </c>
      <c r="D298" s="22">
        <v>200000.0</v>
      </c>
      <c r="E298" s="21"/>
      <c r="F298" s="1"/>
      <c r="G298" s="14">
        <v>200000.0</v>
      </c>
      <c r="H298" s="14">
        <v>200000.0</v>
      </c>
      <c r="I298" s="16">
        <f t="shared" ref="I298:J298" si="112">SUM(I260,I280)</f>
        <v>200000</v>
      </c>
      <c r="J298" s="16">
        <f t="shared" si="112"/>
        <v>200000</v>
      </c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4" t="s">
        <v>29</v>
      </c>
      <c r="C299" s="25">
        <v>42000.0</v>
      </c>
      <c r="D299" s="25">
        <v>42000.0</v>
      </c>
      <c r="E299" s="5"/>
      <c r="F299" s="26"/>
      <c r="G299" s="14">
        <v>42000.0</v>
      </c>
      <c r="H299" s="14">
        <v>42000.0</v>
      </c>
      <c r="I299" s="24">
        <f>I295-SUM(I297:I298)</f>
        <v>42000</v>
      </c>
      <c r="J299" s="24">
        <f>J296-SUM(J297:J298)</f>
        <v>42000</v>
      </c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1" t="str">
        <f t="shared" ref="C300:D300" si="113">IF(G299=G347,"CORRECTO",IF(C299="","","INCORRECTO"))</f>
        <v>CORRECTO</v>
      </c>
      <c r="D300" s="21" t="str">
        <f t="shared" si="113"/>
        <v>CORRECTO</v>
      </c>
      <c r="E300" s="1"/>
      <c r="F300" s="1"/>
      <c r="G300" s="1"/>
      <c r="H300" s="1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4"/>
      <c r="D301" s="14"/>
      <c r="E301" s="1"/>
      <c r="F301" s="1"/>
      <c r="G301" s="1"/>
      <c r="H301" s="1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hidden="1" customHeight="1">
      <c r="A302" s="1"/>
      <c r="B302" s="1"/>
      <c r="C302" s="14"/>
      <c r="D302" s="14"/>
      <c r="E302" s="1"/>
      <c r="F302" s="1"/>
      <c r="G302" s="1"/>
      <c r="H302" s="1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hidden="1" customHeight="1">
      <c r="A303" s="1"/>
      <c r="B303" s="1"/>
      <c r="C303" s="13" t="s">
        <v>20</v>
      </c>
      <c r="E303" s="1"/>
      <c r="F303" s="1"/>
      <c r="G303" s="1"/>
      <c r="H303" s="1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hidden="1" customHeight="1">
      <c r="A304" s="1"/>
      <c r="B304" s="1"/>
      <c r="C304" s="17" t="s">
        <v>21</v>
      </c>
      <c r="D304" s="17" t="s">
        <v>21</v>
      </c>
      <c r="E304" s="1"/>
      <c r="F304" s="1"/>
      <c r="G304" s="1"/>
      <c r="H304" s="1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hidden="1" customHeight="1">
      <c r="A305" s="1"/>
      <c r="B305" s="1"/>
      <c r="C305" s="17" t="s">
        <v>22</v>
      </c>
      <c r="D305" s="17" t="s">
        <v>23</v>
      </c>
      <c r="E305" s="1"/>
      <c r="F305" s="1"/>
      <c r="G305" s="1"/>
      <c r="H305" s="1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hidden="1" customHeight="1">
      <c r="A306" s="1"/>
      <c r="B306" s="1" t="s">
        <v>24</v>
      </c>
      <c r="C306" s="14">
        <f>C240*C239</f>
        <v>540000</v>
      </c>
      <c r="D306" s="14">
        <f>C240*C239</f>
        <v>540000</v>
      </c>
      <c r="E306" s="1"/>
      <c r="F306" s="1"/>
      <c r="G306" s="14">
        <f t="shared" ref="G306:H306" si="114">INT(C306)</f>
        <v>540000</v>
      </c>
      <c r="H306" s="14">
        <f t="shared" si="114"/>
        <v>540000</v>
      </c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hidden="1" customHeight="1">
      <c r="A307" s="1"/>
      <c r="B307" s="1" t="s">
        <v>25</v>
      </c>
      <c r="C307" s="14">
        <f>C241*C239</f>
        <v>288000</v>
      </c>
      <c r="D307" s="14">
        <f>C241*C239</f>
        <v>288000</v>
      </c>
      <c r="E307" s="1"/>
      <c r="F307" s="1"/>
      <c r="G307" s="14">
        <f t="shared" ref="G307:H307" si="115">INT(C307)</f>
        <v>288000</v>
      </c>
      <c r="H307" s="14">
        <f t="shared" si="115"/>
        <v>288000</v>
      </c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hidden="1" customHeight="1">
      <c r="A308" s="1"/>
      <c r="B308" s="1" t="s">
        <v>26</v>
      </c>
      <c r="C308" s="22"/>
      <c r="D308" s="22">
        <f>(C242/C238)*C239</f>
        <v>129600</v>
      </c>
      <c r="E308" s="1"/>
      <c r="F308" s="1"/>
      <c r="G308" s="14"/>
      <c r="H308" s="14">
        <f>INT(D308)</f>
        <v>129600</v>
      </c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hidden="1" customHeight="1">
      <c r="A309" s="1"/>
      <c r="B309" s="1" t="s">
        <v>27</v>
      </c>
      <c r="C309" s="14">
        <f>C306-C307-C308</f>
        <v>252000</v>
      </c>
      <c r="D309" s="14"/>
      <c r="E309" s="1"/>
      <c r="F309" s="1"/>
      <c r="G309" s="14">
        <f>INT(C309)</f>
        <v>252000</v>
      </c>
      <c r="H309" s="1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hidden="1" customHeight="1">
      <c r="A310" s="1"/>
      <c r="B310" s="1" t="s">
        <v>28</v>
      </c>
      <c r="C310" s="14"/>
      <c r="D310" s="14">
        <f>D306-D307-D308</f>
        <v>122400</v>
      </c>
      <c r="E310" s="1"/>
      <c r="F310" s="1"/>
      <c r="G310" s="1"/>
      <c r="H310" s="14">
        <f>INT(D310)</f>
        <v>122400</v>
      </c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hidden="1" customHeight="1">
      <c r="A311" s="1"/>
      <c r="B311" s="1" t="str">
        <f t="shared" ref="B311:C311" si="116">B242</f>
        <v>Costo indirecto de fabricación fijo</v>
      </c>
      <c r="C311" s="14">
        <f t="shared" si="116"/>
        <v>180000</v>
      </c>
      <c r="D311" s="14"/>
      <c r="E311" s="1"/>
      <c r="F311" s="1"/>
      <c r="G311" s="14">
        <f t="shared" ref="G311:G313" si="118">INT(C311)</f>
        <v>180000</v>
      </c>
      <c r="H311" s="1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hidden="1" customHeight="1">
      <c r="A312" s="1"/>
      <c r="B312" s="1" t="str">
        <f t="shared" ref="B312:C312" si="117">B243</f>
        <v>Gtos. de administración y comercialización</v>
      </c>
      <c r="C312" s="22">
        <f t="shared" si="117"/>
        <v>100000</v>
      </c>
      <c r="D312" s="22">
        <f>C243</f>
        <v>100000</v>
      </c>
      <c r="E312" s="1"/>
      <c r="F312" s="1"/>
      <c r="G312" s="14">
        <f t="shared" si="118"/>
        <v>100000</v>
      </c>
      <c r="H312" s="14">
        <f t="shared" ref="H312:H313" si="119">INT(D312)</f>
        <v>100000</v>
      </c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hidden="1" customHeight="1">
      <c r="A313" s="1"/>
      <c r="B313" s="4" t="s">
        <v>29</v>
      </c>
      <c r="C313" s="25">
        <f>C309-C311-C312</f>
        <v>-28000</v>
      </c>
      <c r="D313" s="25">
        <f>D310-D311-D312</f>
        <v>22400</v>
      </c>
      <c r="E313" s="5" t="s">
        <v>41</v>
      </c>
      <c r="F313" s="26">
        <f>D313-C313</f>
        <v>50400</v>
      </c>
      <c r="G313" s="14">
        <f t="shared" si="118"/>
        <v>-28000</v>
      </c>
      <c r="H313" s="14">
        <f t="shared" si="119"/>
        <v>22400</v>
      </c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hidden="1" customHeight="1">
      <c r="A314" s="1"/>
      <c r="B314" s="1"/>
      <c r="C314" s="14"/>
      <c r="D314" s="14"/>
      <c r="E314" s="5"/>
      <c r="F314" s="27"/>
      <c r="G314" s="1"/>
      <c r="H314" s="1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hidden="1" customHeight="1">
      <c r="A315" s="1"/>
      <c r="B315" s="28" t="s">
        <v>30</v>
      </c>
      <c r="C315" s="8">
        <f>C238-C239</f>
        <v>7000</v>
      </c>
      <c r="D315" s="8">
        <f>C238-C239</f>
        <v>7000</v>
      </c>
      <c r="E315" s="5"/>
      <c r="F315" s="27"/>
      <c r="G315" s="8">
        <f t="shared" ref="G315:H315" si="120">INT(C315)</f>
        <v>7000</v>
      </c>
      <c r="H315" s="8">
        <f t="shared" si="120"/>
        <v>7000</v>
      </c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hidden="1" customHeight="1">
      <c r="A316" s="1"/>
      <c r="B316" s="28" t="s">
        <v>31</v>
      </c>
      <c r="C316" s="11">
        <f>C241</f>
        <v>16</v>
      </c>
      <c r="D316" s="11">
        <f>C241+(C242/C238)</f>
        <v>23.2</v>
      </c>
      <c r="E316" s="5"/>
      <c r="F316" s="27"/>
      <c r="G316" s="11">
        <f t="shared" ref="G316:H316" si="121">ROUNDUP(C316,1)</f>
        <v>16</v>
      </c>
      <c r="H316" s="11">
        <f t="shared" si="121"/>
        <v>23.2</v>
      </c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hidden="1" customHeight="1">
      <c r="A317" s="1"/>
      <c r="B317" s="28" t="s">
        <v>32</v>
      </c>
      <c r="C317" s="25">
        <f t="shared" ref="C317:D317" si="122">C315*C316</f>
        <v>112000</v>
      </c>
      <c r="D317" s="25">
        <f t="shared" si="122"/>
        <v>162400</v>
      </c>
      <c r="E317" s="5" t="s">
        <v>41</v>
      </c>
      <c r="F317" s="26">
        <f>D317-C317</f>
        <v>50400</v>
      </c>
      <c r="G317" s="14">
        <f t="shared" ref="G317:H317" si="123">INT(C317)</f>
        <v>112000</v>
      </c>
      <c r="H317" s="14">
        <f t="shared" si="123"/>
        <v>162400</v>
      </c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hidden="1" customHeight="1">
      <c r="A318" s="1"/>
      <c r="B318" s="1"/>
      <c r="C318" s="14"/>
      <c r="D318" s="14"/>
      <c r="E318" s="5"/>
      <c r="F318" s="1"/>
      <c r="G318" s="1"/>
      <c r="H318" s="1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hidden="1" customHeight="1">
      <c r="A319" s="1"/>
      <c r="B319" s="1"/>
      <c r="C319" s="38" t="s">
        <v>33</v>
      </c>
      <c r="E319" s="33"/>
      <c r="F319" s="1"/>
      <c r="G319" s="1"/>
      <c r="H319" s="1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hidden="1" customHeight="1">
      <c r="A320" s="1"/>
      <c r="B320" s="1"/>
      <c r="C320" s="17" t="s">
        <v>21</v>
      </c>
      <c r="D320" s="17" t="s">
        <v>21</v>
      </c>
      <c r="E320" s="33"/>
      <c r="F320" s="1"/>
      <c r="G320" s="1"/>
      <c r="H320" s="1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hidden="1" customHeight="1">
      <c r="A321" s="1"/>
      <c r="B321" s="1"/>
      <c r="C321" s="17" t="s">
        <v>22</v>
      </c>
      <c r="D321" s="17" t="s">
        <v>23</v>
      </c>
      <c r="E321" s="34"/>
      <c r="F321" s="1"/>
      <c r="G321" s="1"/>
      <c r="H321" s="1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hidden="1" customHeight="1">
      <c r="A322" s="1"/>
      <c r="B322" s="1" t="s">
        <v>24</v>
      </c>
      <c r="C322" s="14">
        <f>D240*D239</f>
        <v>750000</v>
      </c>
      <c r="D322" s="14">
        <f>D240*D239</f>
        <v>750000</v>
      </c>
      <c r="E322" s="33"/>
      <c r="F322" s="1"/>
      <c r="G322" s="14">
        <f t="shared" ref="G322:H322" si="124">INT(C322)</f>
        <v>750000</v>
      </c>
      <c r="H322" s="14">
        <f t="shared" si="124"/>
        <v>750000</v>
      </c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hidden="1" customHeight="1">
      <c r="A323" s="1"/>
      <c r="B323" s="1" t="s">
        <v>34</v>
      </c>
      <c r="C323" s="14">
        <f>C241*(C238-C239)</f>
        <v>112000</v>
      </c>
      <c r="D323" s="14">
        <f>C241*(C238-C239)</f>
        <v>112000</v>
      </c>
      <c r="E323" s="5"/>
      <c r="F323" s="14"/>
      <c r="G323" s="14">
        <f t="shared" ref="G323:H323" si="125">INT(C323)</f>
        <v>112000</v>
      </c>
      <c r="H323" s="14">
        <f t="shared" si="125"/>
        <v>112000</v>
      </c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hidden="1" customHeight="1">
      <c r="A324" s="1"/>
      <c r="B324" s="1" t="s">
        <v>25</v>
      </c>
      <c r="C324" s="14">
        <f>D241*D238</f>
        <v>288000</v>
      </c>
      <c r="D324" s="14">
        <f>D241*D238</f>
        <v>288000</v>
      </c>
      <c r="E324" s="5"/>
      <c r="F324" s="1"/>
      <c r="G324" s="14">
        <f t="shared" ref="G324:H324" si="126">INT(C324)</f>
        <v>288000</v>
      </c>
      <c r="H324" s="14">
        <f t="shared" si="126"/>
        <v>288000</v>
      </c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hidden="1" customHeight="1">
      <c r="A325" s="1"/>
      <c r="B325" s="1" t="s">
        <v>35</v>
      </c>
      <c r="C325" s="14"/>
      <c r="D325" s="14">
        <f>(C242/C238)*(C238-C239)</f>
        <v>50400</v>
      </c>
      <c r="E325" s="5"/>
      <c r="F325" s="1"/>
      <c r="G325" s="1"/>
      <c r="H325" s="14">
        <f t="shared" ref="H325:H326" si="127">INT(D325)</f>
        <v>50400</v>
      </c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hidden="1" customHeight="1">
      <c r="A326" s="1"/>
      <c r="B326" s="1" t="s">
        <v>26</v>
      </c>
      <c r="C326" s="22"/>
      <c r="D326" s="22">
        <f>(D242/D238)*D238</f>
        <v>180000</v>
      </c>
      <c r="E326" s="5"/>
      <c r="F326" s="1"/>
      <c r="G326" s="1"/>
      <c r="H326" s="14">
        <f t="shared" si="127"/>
        <v>180000</v>
      </c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hidden="1" customHeight="1">
      <c r="A327" s="1"/>
      <c r="B327" s="1" t="s">
        <v>27</v>
      </c>
      <c r="C327" s="14">
        <f>C322-C323-C324-C325-C326</f>
        <v>350000</v>
      </c>
      <c r="D327" s="14"/>
      <c r="E327" s="5"/>
      <c r="F327" s="1"/>
      <c r="G327" s="14">
        <f>INT(C327)</f>
        <v>350000</v>
      </c>
      <c r="H327" s="1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hidden="1" customHeight="1">
      <c r="A328" s="1"/>
      <c r="B328" s="1" t="s">
        <v>28</v>
      </c>
      <c r="C328" s="14"/>
      <c r="D328" s="14">
        <f>D322-D323-D324-D325-D326</f>
        <v>119600</v>
      </c>
      <c r="E328" s="5"/>
      <c r="F328" s="1"/>
      <c r="G328" s="1"/>
      <c r="H328" s="14">
        <f>INT(D328)</f>
        <v>119600</v>
      </c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hidden="1" customHeight="1">
      <c r="A329" s="1"/>
      <c r="B329" s="1" t="str">
        <f t="shared" ref="B329:B330" si="128">B242</f>
        <v>Costo indirecto de fabricación fijo</v>
      </c>
      <c r="C329" s="14">
        <f t="shared" ref="C329:C330" si="129">D242</f>
        <v>180000</v>
      </c>
      <c r="D329" s="14"/>
      <c r="E329" s="5"/>
      <c r="F329" s="1"/>
      <c r="G329" s="14">
        <f t="shared" ref="G329:G331" si="130">INT(C329)</f>
        <v>180000</v>
      </c>
      <c r="H329" s="1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hidden="1" customHeight="1">
      <c r="A330" s="1"/>
      <c r="B330" s="1" t="str">
        <f t="shared" si="128"/>
        <v>Gtos. de administración y comercialización</v>
      </c>
      <c r="C330" s="22">
        <f t="shared" si="129"/>
        <v>100000</v>
      </c>
      <c r="D330" s="22">
        <f>D243</f>
        <v>100000</v>
      </c>
      <c r="E330" s="5"/>
      <c r="F330" s="1"/>
      <c r="G330" s="14">
        <f t="shared" si="130"/>
        <v>100000</v>
      </c>
      <c r="H330" s="14">
        <f t="shared" ref="H330:H331" si="131">INT(D330)</f>
        <v>100000</v>
      </c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hidden="1" customHeight="1">
      <c r="A331" s="1"/>
      <c r="B331" s="4" t="s">
        <v>29</v>
      </c>
      <c r="C331" s="25">
        <f>C327-C329-C330</f>
        <v>70000</v>
      </c>
      <c r="D331" s="25">
        <f>D328-D329-D330</f>
        <v>19600</v>
      </c>
      <c r="E331" s="5" t="s">
        <v>41</v>
      </c>
      <c r="F331" s="26">
        <f>D331-C331</f>
        <v>-50400</v>
      </c>
      <c r="G331" s="14">
        <f t="shared" si="130"/>
        <v>70000</v>
      </c>
      <c r="H331" s="14">
        <f t="shared" si="131"/>
        <v>19600</v>
      </c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hidden="1" customHeight="1">
      <c r="A332" s="1"/>
      <c r="B332" s="1"/>
      <c r="C332" s="14"/>
      <c r="D332" s="14"/>
      <c r="E332" s="5"/>
      <c r="F332" s="14"/>
      <c r="G332" s="14"/>
      <c r="H332" s="1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hidden="1" customHeight="1">
      <c r="A333" s="1"/>
      <c r="B333" s="28" t="s">
        <v>30</v>
      </c>
      <c r="C333" s="8">
        <f>C238-C239+D238-D239</f>
        <v>0</v>
      </c>
      <c r="D333" s="8">
        <f>C238-C239+D238-D239</f>
        <v>0</v>
      </c>
      <c r="E333" s="5"/>
      <c r="F333" s="14"/>
      <c r="G333" s="14">
        <f t="shared" ref="G333:H333" si="132">INT(C333)</f>
        <v>0</v>
      </c>
      <c r="H333" s="8">
        <f t="shared" si="132"/>
        <v>0</v>
      </c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hidden="1" customHeight="1">
      <c r="A334" s="1"/>
      <c r="B334" s="28" t="s">
        <v>31</v>
      </c>
      <c r="C334" s="11">
        <f>D241</f>
        <v>16</v>
      </c>
      <c r="D334" s="11">
        <f>D241+(D242/D238)</f>
        <v>26</v>
      </c>
      <c r="E334" s="5"/>
      <c r="F334" s="14"/>
      <c r="G334" s="14">
        <f t="shared" ref="G334:H334" si="133">ROUNDUP(C334,1)</f>
        <v>16</v>
      </c>
      <c r="H334" s="11">
        <f t="shared" si="133"/>
        <v>26</v>
      </c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hidden="1" customHeight="1">
      <c r="A335" s="1"/>
      <c r="B335" s="28" t="s">
        <v>32</v>
      </c>
      <c r="C335" s="25">
        <f t="shared" ref="C335:D335" si="134">C333*C334</f>
        <v>0</v>
      </c>
      <c r="D335" s="25">
        <f t="shared" si="134"/>
        <v>0</v>
      </c>
      <c r="E335" s="5"/>
      <c r="F335" s="14"/>
      <c r="G335" s="14">
        <f t="shared" ref="G335:H335" si="135">INT(C335)</f>
        <v>0</v>
      </c>
      <c r="H335" s="14">
        <f t="shared" si="135"/>
        <v>0</v>
      </c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hidden="1" customHeight="1">
      <c r="A336" s="1"/>
      <c r="B336" s="1"/>
      <c r="C336" s="14"/>
      <c r="D336" s="14"/>
      <c r="E336" s="5"/>
      <c r="F336" s="1"/>
      <c r="G336" s="1"/>
      <c r="H336" s="1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hidden="1" customHeight="1">
      <c r="A337" s="1"/>
      <c r="B337" s="1"/>
      <c r="C337" s="13" t="s">
        <v>38</v>
      </c>
      <c r="E337" s="5"/>
      <c r="F337" s="1"/>
      <c r="G337" s="1"/>
      <c r="H337" s="1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hidden="1" customHeight="1">
      <c r="A338" s="1"/>
      <c r="B338" s="1"/>
      <c r="C338" s="17" t="s">
        <v>21</v>
      </c>
      <c r="D338" s="17" t="s">
        <v>21</v>
      </c>
      <c r="E338" s="5"/>
      <c r="F338" s="1"/>
      <c r="G338" s="1"/>
      <c r="H338" s="1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hidden="1" customHeight="1">
      <c r="A339" s="1"/>
      <c r="B339" s="1"/>
      <c r="C339" s="17" t="s">
        <v>22</v>
      </c>
      <c r="D339" s="17" t="s">
        <v>23</v>
      </c>
      <c r="E339" s="5"/>
      <c r="F339" s="1"/>
      <c r="G339" s="1"/>
      <c r="H339" s="1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hidden="1" customHeight="1">
      <c r="A340" s="1"/>
      <c r="B340" s="1" t="s">
        <v>24</v>
      </c>
      <c r="C340" s="14">
        <f t="shared" ref="C340:D340" si="136">C306+C322</f>
        <v>1290000</v>
      </c>
      <c r="D340" s="14">
        <f t="shared" si="136"/>
        <v>1290000</v>
      </c>
      <c r="E340" s="5"/>
      <c r="F340" s="1"/>
      <c r="G340" s="14">
        <f t="shared" ref="G340:H340" si="137">INT(C340)</f>
        <v>1290000</v>
      </c>
      <c r="H340" s="14">
        <f t="shared" si="137"/>
        <v>1290000</v>
      </c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hidden="1" customHeight="1">
      <c r="A341" s="1"/>
      <c r="B341" s="1" t="s">
        <v>39</v>
      </c>
      <c r="C341" s="14">
        <f t="shared" ref="C341:D341" si="138">C307+C323+C324</f>
        <v>688000</v>
      </c>
      <c r="D341" s="14">
        <f t="shared" si="138"/>
        <v>688000</v>
      </c>
      <c r="E341" s="5"/>
      <c r="F341" s="1"/>
      <c r="G341" s="14">
        <f t="shared" ref="G341:H341" si="139">INT(C341)</f>
        <v>688000</v>
      </c>
      <c r="H341" s="14">
        <f t="shared" si="139"/>
        <v>688000</v>
      </c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hidden="1" customHeight="1">
      <c r="A342" s="1"/>
      <c r="B342" s="1" t="s">
        <v>40</v>
      </c>
      <c r="C342" s="22"/>
      <c r="D342" s="22">
        <f>D308+D325+D326</f>
        <v>360000</v>
      </c>
      <c r="E342" s="5"/>
      <c r="F342" s="1"/>
      <c r="G342" s="14"/>
      <c r="H342" s="14">
        <f>INT(D342)</f>
        <v>360000</v>
      </c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hidden="1" customHeight="1">
      <c r="A343" s="1"/>
      <c r="B343" s="1" t="s">
        <v>27</v>
      </c>
      <c r="C343" s="14">
        <f>C340-C341</f>
        <v>602000</v>
      </c>
      <c r="D343" s="14"/>
      <c r="E343" s="5"/>
      <c r="F343" s="1"/>
      <c r="G343" s="14">
        <f>INT(C343)</f>
        <v>602000</v>
      </c>
      <c r="H343" s="1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hidden="1" customHeight="1">
      <c r="A344" s="1"/>
      <c r="B344" s="1" t="s">
        <v>28</v>
      </c>
      <c r="C344" s="14"/>
      <c r="D344" s="14">
        <f>D340-D341-D342</f>
        <v>242000</v>
      </c>
      <c r="E344" s="5"/>
      <c r="F344" s="1"/>
      <c r="G344" s="1"/>
      <c r="H344" s="14">
        <f>INT(D344)</f>
        <v>242000</v>
      </c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hidden="1" customHeight="1">
      <c r="A345" s="1"/>
      <c r="B345" s="1" t="str">
        <f t="shared" ref="B345:B346" si="140">B242</f>
        <v>Costo indirecto de fabricación fijo</v>
      </c>
      <c r="C345" s="14">
        <f t="shared" ref="C345:C346" si="141">C311+C329</f>
        <v>360000</v>
      </c>
      <c r="D345" s="14"/>
      <c r="E345" s="5"/>
      <c r="F345" s="1"/>
      <c r="G345" s="14">
        <f t="shared" ref="G345:G347" si="142">INT(C345)</f>
        <v>360000</v>
      </c>
      <c r="H345" s="1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hidden="1" customHeight="1">
      <c r="A346" s="1"/>
      <c r="B346" s="1" t="str">
        <f t="shared" si="140"/>
        <v>Gtos. de administración y comercialización</v>
      </c>
      <c r="C346" s="22">
        <f t="shared" si="141"/>
        <v>200000</v>
      </c>
      <c r="D346" s="22">
        <f>D312+D330</f>
        <v>200000</v>
      </c>
      <c r="E346" s="5"/>
      <c r="F346" s="1"/>
      <c r="G346" s="14">
        <f t="shared" si="142"/>
        <v>200000</v>
      </c>
      <c r="H346" s="14">
        <f t="shared" ref="H346:H347" si="143">INT(D346)</f>
        <v>200000</v>
      </c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hidden="1" customHeight="1">
      <c r="A347" s="1"/>
      <c r="B347" s="4" t="s">
        <v>29</v>
      </c>
      <c r="C347" s="25">
        <f>C343-C345-C346</f>
        <v>42000</v>
      </c>
      <c r="D347" s="25">
        <f>D344-D345-D346</f>
        <v>42000</v>
      </c>
      <c r="E347" s="5" t="s">
        <v>41</v>
      </c>
      <c r="F347" s="26">
        <f>D347-C347</f>
        <v>0</v>
      </c>
      <c r="G347" s="14">
        <f t="shared" si="142"/>
        <v>42000</v>
      </c>
      <c r="H347" s="14">
        <f t="shared" si="143"/>
        <v>42000</v>
      </c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hidden="1" customHeight="1">
      <c r="A348" s="1"/>
      <c r="B348" s="1"/>
      <c r="C348" s="14"/>
      <c r="D348" s="14"/>
      <c r="E348" s="1"/>
      <c r="F348" s="1"/>
      <c r="G348" s="1"/>
      <c r="H348" s="1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2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2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2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2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2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2"/>
      <c r="L997" s="2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2"/>
      <c r="L998" s="2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2"/>
      <c r="L999" s="2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2"/>
      <c r="L1000" s="2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3">
    <mergeCell ref="C18:D18"/>
    <mergeCell ref="I18:J18"/>
    <mergeCell ref="C36:D36"/>
    <mergeCell ref="I36:J36"/>
    <mergeCell ref="C56:D56"/>
    <mergeCell ref="I56:J56"/>
    <mergeCell ref="C70:D70"/>
    <mergeCell ref="C86:D86"/>
    <mergeCell ref="C104:D104"/>
    <mergeCell ref="C135:D135"/>
    <mergeCell ref="C153:D153"/>
    <mergeCell ref="I153:J153"/>
    <mergeCell ref="C173:D173"/>
    <mergeCell ref="I173:J173"/>
    <mergeCell ref="C319:D319"/>
    <mergeCell ref="C337:D337"/>
    <mergeCell ref="C187:D187"/>
    <mergeCell ref="C203:D203"/>
    <mergeCell ref="C221:D221"/>
    <mergeCell ref="C251:D251"/>
    <mergeCell ref="C269:D269"/>
    <mergeCell ref="C289:D289"/>
    <mergeCell ref="C303:D303"/>
  </mergeCells>
  <printOptions/>
  <pageMargins bottom="0.75" footer="0.0" header="0.0" left="0.7" right="0.7" top="0.75"/>
  <pageSetup paperSize="9" orientation="portrait"/>
  <headerFooter>
    <oddHeader>&amp;LEconomía&amp;C&amp;A&amp;RIng. Juan José Cosentino</oddHeader>
    <oddFooter>&amp;CPágina &amp;P de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2020-05-18T22:07:50Z</dcterms:created>
  <dc:creator>Alejandro Salinas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0x01010041995E45D2E99246916093DB0D478100</vt:lpwstr>
  </property>
</Properties>
</file>