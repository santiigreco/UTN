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116\Dropbox\UTN\Costos 2022\I3031 2022 03 28\"/>
    </mc:Choice>
  </mc:AlternateContent>
  <xr:revisionPtr revIDLastSave="0" documentId="13_ncr:1_{6055ABCA-0948-43D1-9F95-DE727AABAB7E}" xr6:coauthVersionLast="47" xr6:coauthVersionMax="47" xr10:uidLastSave="{00000000-0000-0000-0000-000000000000}"/>
  <bookViews>
    <workbookView xWindow="-108" yWindow="-108" windowWidth="23256" windowHeight="12576" activeTab="1" xr2:uid="{E1663ABD-924C-4925-9068-AA1B257073DF}"/>
  </bookViews>
  <sheets>
    <sheet name="Produccion equivalente" sheetId="1" r:id="rId1"/>
    <sheet name="Ejercicio Propuesto" sheetId="2" r:id="rId2"/>
    <sheet name="Integral o por absorcion" sheetId="3" r:id="rId3"/>
    <sheet name="Directo o variable" sheetId="4" r:id="rId4"/>
    <sheet name="Costeo Directo e Integr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8" i="4" l="1"/>
  <c r="C57" i="4"/>
  <c r="C42" i="4"/>
  <c r="D52" i="5" l="1"/>
  <c r="C52" i="5"/>
  <c r="B52" i="5"/>
  <c r="D51" i="5"/>
  <c r="C51" i="5"/>
  <c r="D50" i="5"/>
  <c r="B51" i="5"/>
  <c r="D49" i="5"/>
  <c r="C48" i="5"/>
  <c r="D47" i="5"/>
  <c r="C47" i="5"/>
  <c r="D46" i="5"/>
  <c r="C46" i="5"/>
  <c r="D41" i="5"/>
  <c r="C41" i="5"/>
  <c r="D40" i="5"/>
  <c r="C40" i="5"/>
  <c r="D39" i="5"/>
  <c r="D38" i="5"/>
  <c r="C37" i="5"/>
  <c r="B40" i="5"/>
  <c r="D36" i="5"/>
  <c r="C36" i="5"/>
  <c r="H40" i="5"/>
  <c r="I37" i="5" l="1"/>
  <c r="D35" i="5"/>
  <c r="C35" i="5"/>
  <c r="I35" i="5"/>
  <c r="D28" i="5"/>
  <c r="C28" i="5"/>
  <c r="B28" i="5"/>
  <c r="D27" i="5"/>
  <c r="B27" i="5"/>
  <c r="M25" i="5"/>
  <c r="D24" i="5" s="1"/>
  <c r="D26" i="5" s="1"/>
  <c r="D29" i="5" s="1"/>
  <c r="K25" i="5"/>
  <c r="H30" i="5"/>
  <c r="C24" i="5" s="1"/>
  <c r="C25" i="5" s="1"/>
  <c r="C29" i="5" s="1"/>
  <c r="H28" i="5"/>
  <c r="J29" i="5"/>
  <c r="J28" i="5"/>
  <c r="I25" i="5"/>
  <c r="D23" i="5"/>
  <c r="C23" i="5"/>
  <c r="E60" i="3" l="1"/>
  <c r="F42" i="3"/>
  <c r="C61" i="4"/>
  <c r="C62" i="4"/>
  <c r="E57" i="4"/>
  <c r="C58" i="4"/>
  <c r="C55" i="4"/>
  <c r="C46" i="4" l="1"/>
  <c r="B46" i="4"/>
  <c r="C45" i="4"/>
  <c r="B45" i="4"/>
  <c r="C44" i="4"/>
  <c r="B44" i="4"/>
  <c r="C40" i="4"/>
  <c r="C33" i="4"/>
  <c r="F28" i="4"/>
  <c r="C35" i="4" s="1"/>
  <c r="C41" i="4" s="1"/>
  <c r="C43" i="4" s="1"/>
  <c r="C47" i="4" s="1"/>
  <c r="D29" i="4"/>
  <c r="D28" i="4"/>
  <c r="F26" i="4"/>
  <c r="H25" i="4"/>
  <c r="F25" i="4"/>
  <c r="D25" i="4"/>
  <c r="E33" i="4" l="1"/>
  <c r="C64" i="4" s="1"/>
  <c r="C66" i="4" s="1"/>
  <c r="E59" i="3"/>
  <c r="C53" i="3"/>
  <c r="C52" i="3"/>
  <c r="C31" i="3"/>
  <c r="E31" i="3" s="1"/>
  <c r="C42" i="3" s="1"/>
  <c r="I28" i="3"/>
  <c r="G28" i="3"/>
  <c r="C49" i="3"/>
  <c r="C32" i="3"/>
  <c r="E29" i="3"/>
  <c r="E28" i="3"/>
  <c r="C28" i="3"/>
  <c r="C50" i="3" l="1"/>
  <c r="C51" i="3" s="1"/>
  <c r="C54" i="3" s="1"/>
  <c r="E4" i="2"/>
  <c r="D36" i="2"/>
  <c r="D34" i="2"/>
  <c r="B34" i="2"/>
  <c r="C29" i="2"/>
  <c r="E23" i="2"/>
  <c r="E20" i="2"/>
  <c r="G18" i="2" l="1"/>
  <c r="E24" i="2" s="1"/>
  <c r="G23" i="2" s="1"/>
  <c r="F36" i="2" s="1"/>
  <c r="H36" i="2" s="1"/>
  <c r="G16" i="2"/>
  <c r="E21" i="2" s="1"/>
  <c r="G20" i="2" s="1"/>
  <c r="F34" i="2" l="1"/>
  <c r="H34" i="2" s="1"/>
  <c r="H37" i="2" s="1"/>
  <c r="F39" i="2" s="1"/>
  <c r="C26" i="2"/>
  <c r="E29" i="2" s="1"/>
  <c r="G29" i="2" s="1"/>
  <c r="D39" i="2" s="1"/>
  <c r="H39" i="2" s="1"/>
</calcChain>
</file>

<file path=xl/sharedStrings.xml><?xml version="1.0" encoding="utf-8"?>
<sst xmlns="http://schemas.openxmlformats.org/spreadsheetml/2006/main" count="303" uniqueCount="176">
  <si>
    <t>Veamos el siguiente ejemplo:</t>
  </si>
  <si>
    <t>MP =</t>
  </si>
  <si>
    <t>Costo de Conversion =</t>
  </si>
  <si>
    <t>Unidades terminadas en el periodo =</t>
  </si>
  <si>
    <t>Unidades en proceso en el periodo =</t>
  </si>
  <si>
    <t>Grado de avance:</t>
  </si>
  <si>
    <t>Costo de Conversion</t>
  </si>
  <si>
    <t>1.- Primero encontramos la produccion equivalente:</t>
  </si>
  <si>
    <t>100%  =</t>
  </si>
  <si>
    <t>100 u</t>
  </si>
  <si>
    <t>C.C. =</t>
  </si>
  <si>
    <t>Unidades terminadas = 100, es decir:</t>
  </si>
  <si>
    <t>Unidades en proceso = 200, es decir:</t>
  </si>
  <si>
    <t>100%  =&gt;</t>
  </si>
  <si>
    <t>200 u</t>
  </si>
  <si>
    <t xml:space="preserve">C.C. = </t>
  </si>
  <si>
    <t>50%    =&gt;</t>
  </si>
  <si>
    <t>200 x 0,50  =</t>
  </si>
  <si>
    <t>100 u + 200 u =</t>
  </si>
  <si>
    <t>100 u + 100 u =</t>
  </si>
  <si>
    <t>Podremos calcular , ahora, el costo unitario de estas unidades:</t>
  </si>
  <si>
    <r>
      <t>MPunitaria</t>
    </r>
    <r>
      <rPr>
        <sz val="10"/>
        <color theme="1"/>
        <rFont val="Calibri"/>
        <family val="2"/>
        <scheme val="minor"/>
      </rPr>
      <t xml:space="preserve"> =</t>
    </r>
  </si>
  <si>
    <r>
      <t>Q e</t>
    </r>
    <r>
      <rPr>
        <sz val="10"/>
        <color theme="1"/>
        <rFont val="Calibri"/>
        <family val="2"/>
        <scheme val="minor"/>
      </rPr>
      <t>quiv. de MP</t>
    </r>
  </si>
  <si>
    <r>
      <t xml:space="preserve">MP </t>
    </r>
    <r>
      <rPr>
        <sz val="10"/>
        <color theme="1"/>
        <rFont val="Calibri"/>
        <family val="2"/>
        <scheme val="minor"/>
      </rPr>
      <t>total</t>
    </r>
  </si>
  <si>
    <t>=</t>
  </si>
  <si>
    <t>300 u</t>
  </si>
  <si>
    <r>
      <t xml:space="preserve">C. Conver </t>
    </r>
    <r>
      <rPr>
        <sz val="10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</si>
  <si>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C. Conv </t>
    </r>
    <r>
      <rPr>
        <sz val="10"/>
        <color theme="1"/>
        <rFont val="Calibri"/>
        <family val="2"/>
        <scheme val="minor"/>
      </rPr>
      <t>Total</t>
    </r>
  </si>
  <si>
    <r>
      <t>Q e</t>
    </r>
    <r>
      <rPr>
        <sz val="10"/>
        <color theme="1"/>
        <rFont val="Calibri"/>
        <family val="2"/>
        <scheme val="minor"/>
      </rPr>
      <t>quiv. de CC</t>
    </r>
  </si>
  <si>
    <t>130 $/u</t>
  </si>
  <si>
    <t>100 $/u</t>
  </si>
  <si>
    <t>Por lo tanto el costo unitario de produccion será:</t>
  </si>
  <si>
    <t>Costo unitario =</t>
  </si>
  <si>
    <t>MPu + Ccu =</t>
  </si>
  <si>
    <t xml:space="preserve">$ 100 + $ 130 </t>
  </si>
  <si>
    <t>230 $/u</t>
  </si>
  <si>
    <t>y por lo tanto el costo de la produccion en proceso será:</t>
  </si>
  <si>
    <t>200 u x $100</t>
  </si>
  <si>
    <t>100 u x $ 130</t>
  </si>
  <si>
    <t>por lo que el costo de la produccion terminada será:</t>
  </si>
  <si>
    <t>Costo PT =</t>
  </si>
  <si>
    <t>100 u x $230</t>
  </si>
  <si>
    <t>y sumando será:</t>
  </si>
  <si>
    <t>Costo P en proc=</t>
  </si>
  <si>
    <t>que es la misma cantidad que ingreso al sector en el periodo de analisis</t>
  </si>
  <si>
    <t>Produccion equivalente</t>
  </si>
  <si>
    <t xml:space="preserve">Costo de materiales directos </t>
  </si>
  <si>
    <t xml:space="preserve">Costo de conversion </t>
  </si>
  <si>
    <t>Produccion Terminada</t>
  </si>
  <si>
    <t>Produccion en Proceso</t>
  </si>
  <si>
    <t>Encontrar el  costo de la produccion terminada  y de la produccion en proceso</t>
  </si>
  <si>
    <t>Por lo tanto la produccion, en unidades equivalentes  será:</t>
  </si>
  <si>
    <t>PRODUCCION EQUIVALENTE</t>
  </si>
  <si>
    <t>Materiales Directos</t>
  </si>
  <si>
    <t>450u + 250 x 0,50</t>
  </si>
  <si>
    <t>MP</t>
  </si>
  <si>
    <t>CC=</t>
  </si>
  <si>
    <t>450u + 250 x 0,4</t>
  </si>
  <si>
    <t>CC</t>
  </si>
  <si>
    <t>mediante un sistema de inventario FIFO, presenta la siguiente informacion:</t>
  </si>
  <si>
    <t>Costo de MP</t>
  </si>
  <si>
    <t>Costo de MOD</t>
  </si>
  <si>
    <t>Gastos de fabricacion fijos</t>
  </si>
  <si>
    <t>Gastos de comercializacion fijos</t>
  </si>
  <si>
    <t>Gastos de administracion y financieros</t>
  </si>
  <si>
    <t>Cantidad producida</t>
  </si>
  <si>
    <t>Cantidad vendida</t>
  </si>
  <si>
    <t>Precio de venta unitario</t>
  </si>
  <si>
    <t xml:space="preserve">Existencia inicial </t>
  </si>
  <si>
    <t>Costo fabricacion stock inicial</t>
  </si>
  <si>
    <t>Se pide:</t>
  </si>
  <si>
    <t>1- Costo unitario de fabricacion</t>
  </si>
  <si>
    <t>2- Costo de ventas (FIFO)</t>
  </si>
  <si>
    <t>3- Contribucion marginal de la empresa</t>
  </si>
  <si>
    <t>4- Utilidad neta operativa antes de impuestos</t>
  </si>
  <si>
    <t>5- Valor de inventarios de producto terminado</t>
  </si>
  <si>
    <t>Una empresa que sigue un sistema de costeo integral o por absorcion  y ordena sus existencias</t>
  </si>
  <si>
    <t>, presenta la siguiente informacion:</t>
  </si>
  <si>
    <t>Una empresa que sigue un sistema de costeo directo o variable</t>
  </si>
  <si>
    <t>Gastos de fabricacion variables</t>
  </si>
  <si>
    <t>Gastos de comercializacion variables</t>
  </si>
  <si>
    <t>1- Costo variable unitario de fabricacion</t>
  </si>
  <si>
    <t xml:space="preserve">2- Costo de ventas </t>
  </si>
  <si>
    <t>3- Utilidad neta operativa antes de impuestos</t>
  </si>
  <si>
    <t>Sistema de Costeo Directo e Integral</t>
  </si>
  <si>
    <t xml:space="preserve">Una empresa desea comparar las utilidades de dos periodos utilizando los sistemas de </t>
  </si>
  <si>
    <t>costeo directo o variable e integral o por absorcion, analizando los siguientes datos:</t>
  </si>
  <si>
    <t>Unidades producidas</t>
  </si>
  <si>
    <t>Año 2016</t>
  </si>
  <si>
    <t>Año 2017</t>
  </si>
  <si>
    <t>Unidades vendidas</t>
  </si>
  <si>
    <t>Costo variable unitario</t>
  </si>
  <si>
    <t>Costo de fabricacion fijo</t>
  </si>
  <si>
    <t>Se solicita:</t>
  </si>
  <si>
    <t>de costeo directo  y costeo por absorcion</t>
  </si>
  <si>
    <t>1-</t>
  </si>
  <si>
    <t>2-</t>
  </si>
  <si>
    <t>Confeccionar el balance consolidado</t>
  </si>
  <si>
    <t>PT + PP x Avance</t>
  </si>
  <si>
    <t>MP equiv</t>
  </si>
  <si>
    <t>Costo MP</t>
  </si>
  <si>
    <t>Costo MPu =</t>
  </si>
  <si>
    <t>Costo Conver. U =</t>
  </si>
  <si>
    <t>Costo Conver Total</t>
  </si>
  <si>
    <t>CC equiv</t>
  </si>
  <si>
    <t>Costo Unitario equiv =</t>
  </si>
  <si>
    <t>Costo de la produccion terminada:</t>
  </si>
  <si>
    <t>x</t>
  </si>
  <si>
    <t>u</t>
  </si>
  <si>
    <t>Costo de la produccion en proceso:</t>
  </si>
  <si>
    <t>MP =&gt;</t>
  </si>
  <si>
    <t>CC =&gt;</t>
  </si>
  <si>
    <t>+</t>
  </si>
  <si>
    <t xml:space="preserve">                       Q producida</t>
  </si>
  <si>
    <t>Cu =</t>
  </si>
  <si>
    <t>Costo de lo vendido = Qvend x Cu  =</t>
  </si>
  <si>
    <t>Qstock x Cu stock + Q necesaria x Cu</t>
  </si>
  <si>
    <t>Costo de lo vendido =</t>
  </si>
  <si>
    <t>10.000 x $20,50</t>
  </si>
  <si>
    <t>Cuadro de Resultados</t>
  </si>
  <si>
    <t>Ingreso x ventas   (Qv x Pvu)</t>
  </si>
  <si>
    <t>Costo de lo vendido (FIFO)</t>
  </si>
  <si>
    <t>Resultado bruto</t>
  </si>
  <si>
    <t>Cu =           MP + MOD + GFV + GFF</t>
  </si>
  <si>
    <t>45.000 x $21,60</t>
  </si>
  <si>
    <t>Resultado Neto</t>
  </si>
  <si>
    <t>5.000u x $21,6</t>
  </si>
  <si>
    <t>4- Punto de equilibrio en unidades de producto y en unidades monetarias</t>
  </si>
  <si>
    <t>Cvu =            MP + MOD + GFV</t>
  </si>
  <si>
    <t xml:space="preserve">                            Qproducida</t>
  </si>
  <si>
    <t>Cvu =</t>
  </si>
  <si>
    <t>Costo de lo vendido =             Qvendida x Cvu                =</t>
  </si>
  <si>
    <t>Cuadro de resultados</t>
  </si>
  <si>
    <t>Ingreso por ventas (Qvend x Pvu)</t>
  </si>
  <si>
    <t>Costo de lo vendido</t>
  </si>
  <si>
    <t>Contribución Marginal</t>
  </si>
  <si>
    <t>Resultado Neto A/I</t>
  </si>
  <si>
    <t>Pvu - (Cvu + Ccvu)</t>
  </si>
  <si>
    <t>Qo =                                CF</t>
  </si>
  <si>
    <t>Siendo :</t>
  </si>
  <si>
    <t>CF = GCF + GFF + Gadm y Fin    =</t>
  </si>
  <si>
    <t>Ccvu =             GCV                 =</t>
  </si>
  <si>
    <t xml:space="preserve">                                                         Qvend</t>
  </si>
  <si>
    <t>Qo =</t>
  </si>
  <si>
    <t>-</t>
  </si>
  <si>
    <t>y en valores monetarios será : Qo x Pvu  =</t>
  </si>
  <si>
    <t>Se vendieron  55.000 unidades, pero como es FIFO tengo que consumir, primero el stock inicial =&gt;</t>
  </si>
  <si>
    <t>Si fuera LIFO =&gt;</t>
  </si>
  <si>
    <t>(FIFO) Costo de lo vendido =</t>
  </si>
  <si>
    <t>No existe, ya que solo la puedo encontrar mediante un sistema de costeo directo ó variable</t>
  </si>
  <si>
    <t>(FIFO)Valor inventario = Qstock final x Cu  =</t>
  </si>
  <si>
    <t>(LIFO)</t>
  </si>
  <si>
    <t>5000 u x 20,50</t>
  </si>
  <si>
    <t xml:space="preserve">Confeccionar los cuadros de resultados para ambos periodos según los metodos </t>
  </si>
  <si>
    <t>Integral</t>
  </si>
  <si>
    <t>Directo o Variable</t>
  </si>
  <si>
    <t>Ventas = $30 x 18000u</t>
  </si>
  <si>
    <t>variable</t>
  </si>
  <si>
    <t>variable =</t>
  </si>
  <si>
    <t xml:space="preserve">Integral = </t>
  </si>
  <si>
    <t>(Cvu + CFFu) x Qvend=</t>
  </si>
  <si>
    <t>(Cvu + CFF/Qprod) x Qvend</t>
  </si>
  <si>
    <t>Cvu x Qvend=</t>
  </si>
  <si>
    <t>Contribucion  marginal</t>
  </si>
  <si>
    <t>Ventas</t>
  </si>
  <si>
    <t>Ventas=</t>
  </si>
  <si>
    <t>$30 x 25000 =</t>
  </si>
  <si>
    <t>Variable:</t>
  </si>
  <si>
    <t>$16 x 25000 =</t>
  </si>
  <si>
    <t>Cvu x Qvend+ (CFF2016/Qprod2016) x 7000 + (CFF2017/qprod2017) x 18000</t>
  </si>
  <si>
    <t>16 x 25000 + (180000/25000) x 7000 + (180000/18000) x 18000 =</t>
  </si>
  <si>
    <t>Resultado neto</t>
  </si>
  <si>
    <t>Consolidado</t>
  </si>
  <si>
    <t>Contribucion marginal</t>
  </si>
  <si>
    <t>(6 + 0,33)</t>
  </si>
  <si>
    <t xml:space="preserve">Valor monetario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</si>
</sst>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1">
    <xf numFmtId="0" fontId="0" fillId="0" borderId="0" xfId="0"/>
    <xf numFmtId="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6" fontId="0" fillId="0" borderId="1" xfId="0" applyNumberFormat="1" applyBorder="1"/>
    <xf numFmtId="6" fontId="0" fillId="0" borderId="1" xfId="0" applyNumberFormat="1" applyBorder="1" applyAlignment="1">
      <alignment horizontal="center"/>
    </xf>
    <xf numFmtId="6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6" fontId="0" fillId="0" borderId="0" xfId="0" applyNumberFormat="1" applyAlignment="1">
      <alignment horizontal="center"/>
    </xf>
    <xf numFmtId="6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9" fontId="1" fillId="0" borderId="0" xfId="0" applyNumberFormat="1" applyFont="1"/>
    <xf numFmtId="164" fontId="0" fillId="0" borderId="0" xfId="1" applyNumberFormat="1" applyFont="1"/>
    <xf numFmtId="0" fontId="4" fillId="0" borderId="0" xfId="0" applyFont="1"/>
    <xf numFmtId="0" fontId="5" fillId="0" borderId="0" xfId="0" applyFont="1"/>
    <xf numFmtId="44" fontId="5" fillId="0" borderId="0" xfId="1" applyFont="1"/>
    <xf numFmtId="165" fontId="5" fillId="0" borderId="0" xfId="2" applyNumberFormat="1" applyFont="1"/>
    <xf numFmtId="164" fontId="5" fillId="0" borderId="0" xfId="1" applyNumberFormat="1" applyFont="1"/>
    <xf numFmtId="0" fontId="5" fillId="0" borderId="0" xfId="0" applyFont="1" applyAlignment="1">
      <alignment horizontal="right"/>
    </xf>
    <xf numFmtId="44" fontId="0" fillId="0" borderId="0" xfId="1" applyFont="1"/>
    <xf numFmtId="44" fontId="0" fillId="0" borderId="0" xfId="0" applyNumberFormat="1" applyAlignment="1">
      <alignment horizontal="center"/>
    </xf>
    <xf numFmtId="4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1" fillId="0" borderId="1" xfId="0" applyNumberFormat="1" applyFont="1" applyBorder="1"/>
    <xf numFmtId="164" fontId="0" fillId="0" borderId="3" xfId="0" applyNumberFormat="1" applyBorder="1"/>
    <xf numFmtId="0" fontId="0" fillId="0" borderId="4" xfId="0" applyBorder="1"/>
    <xf numFmtId="164" fontId="0" fillId="0" borderId="4" xfId="0" applyNumberFormat="1" applyBorder="1"/>
    <xf numFmtId="164" fontId="1" fillId="0" borderId="2" xfId="0" applyNumberFormat="1" applyFont="1" applyBorder="1"/>
    <xf numFmtId="0" fontId="5" fillId="0" borderId="5" xfId="0" applyFont="1" applyBorder="1"/>
    <xf numFmtId="165" fontId="5" fillId="0" borderId="5" xfId="2" applyNumberFormat="1" applyFont="1" applyBorder="1"/>
    <xf numFmtId="164" fontId="5" fillId="0" borderId="5" xfId="1" applyNumberFormat="1" applyFont="1" applyBorder="1"/>
    <xf numFmtId="0" fontId="5" fillId="0" borderId="0" xfId="0" applyFont="1" applyAlignment="1">
      <alignment horizontal="center"/>
    </xf>
    <xf numFmtId="44" fontId="5" fillId="0" borderId="0" xfId="0" applyNumberFormat="1" applyFont="1"/>
    <xf numFmtId="6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/>
    <xf numFmtId="165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/>
    </xf>
    <xf numFmtId="44" fontId="4" fillId="0" borderId="0" xfId="0" applyNumberFormat="1" applyFont="1"/>
    <xf numFmtId="44" fontId="4" fillId="0" borderId="0" xfId="1" applyFont="1"/>
    <xf numFmtId="164" fontId="5" fillId="0" borderId="0" xfId="0" applyNumberFormat="1" applyFont="1"/>
    <xf numFmtId="0" fontId="5" fillId="0" borderId="1" xfId="0" applyFont="1" applyBorder="1"/>
    <xf numFmtId="44" fontId="5" fillId="0" borderId="0" xfId="0" applyNumberFormat="1" applyFont="1" applyAlignment="1">
      <alignment horizontal="left"/>
    </xf>
    <xf numFmtId="44" fontId="4" fillId="0" borderId="0" xfId="1" applyFont="1" applyAlignment="1">
      <alignment horizontal="left"/>
    </xf>
    <xf numFmtId="44" fontId="5" fillId="0" borderId="0" xfId="0" applyNumberFormat="1" applyFont="1" applyAlignment="1">
      <alignment horizontal="center"/>
    </xf>
    <xf numFmtId="44" fontId="5" fillId="0" borderId="0" xfId="0" applyNumberFormat="1" applyFont="1" applyAlignment="1">
      <alignment horizontal="right"/>
    </xf>
    <xf numFmtId="44" fontId="4" fillId="0" borderId="0" xfId="0" applyNumberFormat="1" applyFont="1" applyAlignment="1">
      <alignment horizontal="right"/>
    </xf>
    <xf numFmtId="0" fontId="4" fillId="2" borderId="0" xfId="0" applyFont="1" applyFill="1"/>
    <xf numFmtId="44" fontId="5" fillId="2" borderId="0" xfId="0" applyNumberFormat="1" applyFont="1" applyFill="1"/>
    <xf numFmtId="0" fontId="4" fillId="3" borderId="0" xfId="0" applyFont="1" applyFill="1" applyAlignment="1">
      <alignment horizontal="right"/>
    </xf>
    <xf numFmtId="44" fontId="4" fillId="3" borderId="0" xfId="0" applyNumberFormat="1" applyFont="1" applyFill="1"/>
    <xf numFmtId="0" fontId="4" fillId="3" borderId="0" xfId="0" applyFont="1" applyFill="1"/>
    <xf numFmtId="44" fontId="5" fillId="3" borderId="1" xfId="0" applyNumberFormat="1" applyFont="1" applyFill="1" applyBorder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44" fontId="4" fillId="2" borderId="0" xfId="0" applyNumberFormat="1" applyFont="1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44" fontId="5" fillId="3" borderId="0" xfId="1" applyFont="1" applyFill="1"/>
    <xf numFmtId="165" fontId="5" fillId="0" borderId="0" xfId="0" applyNumberFormat="1" applyFont="1"/>
    <xf numFmtId="164" fontId="5" fillId="0" borderId="1" xfId="0" applyNumberFormat="1" applyFont="1" applyBorder="1"/>
    <xf numFmtId="164" fontId="4" fillId="0" borderId="0" xfId="1" applyNumberFormat="1" applyFont="1"/>
    <xf numFmtId="0" fontId="5" fillId="0" borderId="7" xfId="0" applyFont="1" applyBorder="1"/>
    <xf numFmtId="165" fontId="5" fillId="0" borderId="7" xfId="0" applyNumberFormat="1" applyFont="1" applyBorder="1"/>
    <xf numFmtId="164" fontId="5" fillId="0" borderId="8" xfId="0" applyNumberFormat="1" applyFont="1" applyBorder="1"/>
    <xf numFmtId="164" fontId="5" fillId="0" borderId="7" xfId="0" applyNumberFormat="1" applyFont="1" applyBorder="1"/>
    <xf numFmtId="0" fontId="5" fillId="0" borderId="7" xfId="0" applyFont="1" applyBorder="1" applyAlignment="1">
      <alignment horizontal="center"/>
    </xf>
    <xf numFmtId="165" fontId="4" fillId="0" borderId="0" xfId="0" applyNumberFormat="1" applyFont="1"/>
    <xf numFmtId="165" fontId="5" fillId="0" borderId="1" xfId="0" applyNumberFormat="1" applyFont="1" applyBorder="1"/>
    <xf numFmtId="165" fontId="5" fillId="0" borderId="8" xfId="0" applyNumberFormat="1" applyFont="1" applyBorder="1"/>
    <xf numFmtId="164" fontId="4" fillId="0" borderId="7" xfId="0" applyNumberFormat="1" applyFont="1" applyBorder="1"/>
    <xf numFmtId="164" fontId="4" fillId="0" borderId="0" xfId="0" applyNumberFormat="1" applyFont="1"/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707666</xdr:colOff>
      <xdr:row>24</xdr:row>
      <xdr:rowOff>222636</xdr:rowOff>
    </xdr:from>
    <xdr:to>
      <xdr:col>1</xdr:col>
      <xdr:colOff>2639833</xdr:colOff>
      <xdr:row>25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1BED762-0E40-41AE-BEDE-EB677E69C2EE}"/>
            </a:ext>
          </a:extLst>
        </xdr:cNvPr>
        <xdr:cNvCxnSpPr/>
      </xdr:nvCxnSpPr>
      <xdr:spPr>
        <a:xfrm flipV="1">
          <a:off x="1534602" y="5756744"/>
          <a:ext cx="1932167" cy="795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485029</xdr:colOff>
      <xdr:row>25</xdr:row>
      <xdr:rowOff>0</xdr:rowOff>
    </xdr:from>
    <xdr:to>
      <xdr:col>1</xdr:col>
      <xdr:colOff>2067339</xdr:colOff>
      <xdr:row>25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4563C80-9944-4BE6-A9A8-3A22779D7FFE}"/>
            </a:ext>
          </a:extLst>
        </xdr:cNvPr>
        <xdr:cNvCxnSpPr/>
      </xdr:nvCxnSpPr>
      <xdr:spPr>
        <a:xfrm>
          <a:off x="1311965" y="5565913"/>
          <a:ext cx="158231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636104</xdr:colOff>
      <xdr:row>51</xdr:row>
      <xdr:rowOff>222636</xdr:rowOff>
    </xdr:from>
    <xdr:to>
      <xdr:col>1</xdr:col>
      <xdr:colOff>2647784</xdr:colOff>
      <xdr:row>52</xdr:row>
      <xdr:rowOff>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D1E58CB-0696-45B6-BF4F-90D08D404D76}"/>
            </a:ext>
          </a:extLst>
        </xdr:cNvPr>
        <xdr:cNvCxnSpPr/>
      </xdr:nvCxnSpPr>
      <xdr:spPr>
        <a:xfrm flipV="1">
          <a:off x="1463040" y="11863346"/>
          <a:ext cx="2011680" cy="795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1925541</xdr:colOff>
      <xdr:row>56</xdr:row>
      <xdr:rowOff>206734</xdr:rowOff>
    </xdr:from>
    <xdr:to>
      <xdr:col>1</xdr:col>
      <xdr:colOff>3275938</xdr:colOff>
      <xdr:row>56</xdr:row>
      <xdr:rowOff>208060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84848A9F-0FE4-4840-B03F-A31A7F16AF65}"/>
            </a:ext>
          </a:extLst>
        </xdr:cNvPr>
        <xdr:cNvCxnSpPr/>
      </xdr:nvCxnSpPr>
      <xdr:spPr>
        <a:xfrm flipV="1">
          <a:off x="2752477" y="13000383"/>
          <a:ext cx="1350397" cy="132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59627</xdr:colOff>
      <xdr:row>24</xdr:row>
      <xdr:rowOff>142441</xdr:rowOff>
    </xdr:from>
    <xdr:to>
      <xdr:col>7</xdr:col>
      <xdr:colOff>417461</xdr:colOff>
      <xdr:row>28</xdr:row>
      <xdr:rowOff>199690</xdr:rowOff>
    </xdr:to>
    <xdr:sp macro="" textlink="">
      <xdr:nvSpPr>
        <xdr:cNvPr id="2" name="Arco 1">
          <a:extLst>
            <a:ext uri="{FF2B5EF4-FFF2-40B4-BE49-F238E27FC236}">
              <a16:creationId xmlns:a16="http://schemas.microsoft.com/office/drawing/2014/main" id="{C4D15FD2-8151-420C-8F94-FEF24EB62829}"/>
            </a:ext>
          </a:extLst>
        </xdr:cNvPr>
        <xdr:cNvSpPr/>
      </xdr:nvSpPr>
      <xdr:spPr>
        <a:xfrm rot="11698896">
          <a:off x="8472107" y="5676549"/>
          <a:ext cx="357834" cy="9796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275594</xdr:colOff>
      <xdr:row>26</xdr:row>
      <xdr:rowOff>101254</xdr:rowOff>
    </xdr:from>
    <xdr:to>
      <xdr:col>10</xdr:col>
      <xdr:colOff>76729</xdr:colOff>
      <xdr:row>30</xdr:row>
      <xdr:rowOff>128976</xdr:rowOff>
    </xdr:to>
    <xdr:sp macro="" textlink="">
      <xdr:nvSpPr>
        <xdr:cNvPr id="3" name="Arco 2">
          <a:extLst>
            <a:ext uri="{FF2B5EF4-FFF2-40B4-BE49-F238E27FC236}">
              <a16:creationId xmlns:a16="http://schemas.microsoft.com/office/drawing/2014/main" id="{BE118FD4-BD1F-4B5A-BE14-8124AF393954}"/>
            </a:ext>
          </a:extLst>
        </xdr:cNvPr>
        <xdr:cNvSpPr/>
      </xdr:nvSpPr>
      <xdr:spPr>
        <a:xfrm rot="2347514">
          <a:off x="11224540" y="6096537"/>
          <a:ext cx="683730" cy="950074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C8AA-11A4-4337-9BC3-DE8F6B59F470}">
  <dimension ref="A1:G54"/>
  <sheetViews>
    <sheetView zoomScale="180" zoomScaleNormal="180" workbookViewId="0">
      <selection activeCell="F52" sqref="F52"/>
    </sheetView>
  </sheetViews>
  <sheetFormatPr baseColWidth="10" defaultRowHeight="14.4" x14ac:dyDescent="0.3"/>
  <cols>
    <col min="3" max="3" width="11.6640625" bestFit="1" customWidth="1"/>
  </cols>
  <sheetData>
    <row r="1" spans="1:4" x14ac:dyDescent="0.3">
      <c r="B1" s="82" t="s">
        <v>52</v>
      </c>
      <c r="C1" s="82"/>
      <c r="D1" s="82"/>
    </row>
    <row r="2" spans="1:4" x14ac:dyDescent="0.3">
      <c r="A2" t="s">
        <v>0</v>
      </c>
    </row>
    <row r="4" spans="1:4" x14ac:dyDescent="0.3">
      <c r="A4" s="13"/>
      <c r="B4" s="14" t="s">
        <v>1</v>
      </c>
      <c r="C4" s="15">
        <v>30000</v>
      </c>
      <c r="D4" s="13"/>
    </row>
    <row r="5" spans="1:4" x14ac:dyDescent="0.3">
      <c r="A5" s="84" t="s">
        <v>2</v>
      </c>
      <c r="B5" s="84"/>
      <c r="C5" s="15">
        <v>26000</v>
      </c>
      <c r="D5" s="13"/>
    </row>
    <row r="6" spans="1:4" x14ac:dyDescent="0.3">
      <c r="A6" s="13"/>
      <c r="B6" s="13"/>
      <c r="C6" s="13"/>
      <c r="D6" s="13"/>
    </row>
    <row r="7" spans="1:4" x14ac:dyDescent="0.3">
      <c r="A7" s="13" t="s">
        <v>3</v>
      </c>
      <c r="B7" s="13"/>
      <c r="C7" s="13"/>
      <c r="D7" s="16">
        <v>100</v>
      </c>
    </row>
    <row r="8" spans="1:4" x14ac:dyDescent="0.3">
      <c r="A8" s="13" t="s">
        <v>4</v>
      </c>
      <c r="B8" s="13"/>
      <c r="C8" s="13"/>
      <c r="D8" s="16">
        <v>200</v>
      </c>
    </row>
    <row r="9" spans="1:4" x14ac:dyDescent="0.3">
      <c r="A9" s="13"/>
      <c r="B9" s="13"/>
      <c r="C9" s="13"/>
      <c r="D9" s="13"/>
    </row>
    <row r="10" spans="1:4" x14ac:dyDescent="0.3">
      <c r="A10" s="13" t="s">
        <v>5</v>
      </c>
      <c r="B10" s="13"/>
      <c r="C10" s="13"/>
      <c r="D10" s="13"/>
    </row>
    <row r="11" spans="1:4" x14ac:dyDescent="0.3">
      <c r="A11" s="13"/>
      <c r="B11" s="14" t="s">
        <v>1</v>
      </c>
      <c r="C11" s="17">
        <v>1</v>
      </c>
      <c r="D11" s="13"/>
    </row>
    <row r="12" spans="1:4" x14ac:dyDescent="0.3">
      <c r="A12" s="84" t="s">
        <v>2</v>
      </c>
      <c r="B12" s="84"/>
      <c r="C12" s="17">
        <v>0.5</v>
      </c>
      <c r="D12" s="13"/>
    </row>
    <row r="14" spans="1:4" x14ac:dyDescent="0.3">
      <c r="A14" t="s">
        <v>7</v>
      </c>
    </row>
    <row r="16" spans="1:4" x14ac:dyDescent="0.3">
      <c r="A16" s="13" t="s">
        <v>11</v>
      </c>
    </row>
    <row r="17" spans="1:7" x14ac:dyDescent="0.3">
      <c r="B17" s="3" t="s">
        <v>1</v>
      </c>
      <c r="C17" s="2" t="s">
        <v>8</v>
      </c>
      <c r="D17" t="s">
        <v>9</v>
      </c>
    </row>
    <row r="18" spans="1:7" x14ac:dyDescent="0.3">
      <c r="B18" s="3" t="s">
        <v>10</v>
      </c>
      <c r="C18" s="2" t="s">
        <v>8</v>
      </c>
      <c r="D18" t="s">
        <v>9</v>
      </c>
    </row>
    <row r="20" spans="1:7" x14ac:dyDescent="0.3">
      <c r="A20" s="13" t="s">
        <v>12</v>
      </c>
    </row>
    <row r="21" spans="1:7" x14ac:dyDescent="0.3">
      <c r="B21" t="s">
        <v>1</v>
      </c>
      <c r="C21" t="s">
        <v>13</v>
      </c>
      <c r="D21" t="s">
        <v>14</v>
      </c>
    </row>
    <row r="22" spans="1:7" x14ac:dyDescent="0.3">
      <c r="B22" t="s">
        <v>15</v>
      </c>
      <c r="C22" t="s">
        <v>16</v>
      </c>
      <c r="D22" t="s">
        <v>17</v>
      </c>
      <c r="E22" t="s">
        <v>9</v>
      </c>
    </row>
    <row r="24" spans="1:7" x14ac:dyDescent="0.3">
      <c r="A24" s="13" t="s">
        <v>51</v>
      </c>
    </row>
    <row r="25" spans="1:7" x14ac:dyDescent="0.3">
      <c r="B25" s="3" t="s">
        <v>1</v>
      </c>
      <c r="C25" s="85" t="s">
        <v>18</v>
      </c>
      <c r="D25" s="85"/>
      <c r="E25" s="4" t="s">
        <v>25</v>
      </c>
    </row>
    <row r="26" spans="1:7" x14ac:dyDescent="0.3">
      <c r="B26" s="3" t="s">
        <v>10</v>
      </c>
      <c r="C26" s="85" t="s">
        <v>19</v>
      </c>
      <c r="D26" s="85"/>
      <c r="E26" s="4" t="s">
        <v>14</v>
      </c>
    </row>
    <row r="28" spans="1:7" x14ac:dyDescent="0.3">
      <c r="A28" t="s">
        <v>20</v>
      </c>
    </row>
    <row r="30" spans="1:7" x14ac:dyDescent="0.3">
      <c r="B30" t="s">
        <v>21</v>
      </c>
      <c r="C30" s="9" t="s">
        <v>23</v>
      </c>
      <c r="D30" s="2" t="s">
        <v>24</v>
      </c>
      <c r="E30" s="7">
        <v>30000</v>
      </c>
      <c r="F30" s="2" t="s">
        <v>24</v>
      </c>
      <c r="G30" s="8" t="s">
        <v>30</v>
      </c>
    </row>
    <row r="31" spans="1:7" x14ac:dyDescent="0.3">
      <c r="C31" s="2" t="s">
        <v>22</v>
      </c>
      <c r="E31" s="2" t="s">
        <v>25</v>
      </c>
    </row>
    <row r="33" spans="1:7" x14ac:dyDescent="0.3">
      <c r="B33" t="s">
        <v>26</v>
      </c>
      <c r="C33" s="5" t="s">
        <v>27</v>
      </c>
      <c r="D33" s="2" t="s">
        <v>24</v>
      </c>
      <c r="E33" s="7">
        <v>26000</v>
      </c>
      <c r="F33" s="2" t="s">
        <v>24</v>
      </c>
      <c r="G33" t="s">
        <v>29</v>
      </c>
    </row>
    <row r="34" spans="1:7" x14ac:dyDescent="0.3">
      <c r="C34" s="2" t="s">
        <v>28</v>
      </c>
      <c r="E34" s="2" t="s">
        <v>14</v>
      </c>
    </row>
    <row r="36" spans="1:7" x14ac:dyDescent="0.3">
      <c r="A36" t="s">
        <v>31</v>
      </c>
    </row>
    <row r="38" spans="1:7" x14ac:dyDescent="0.3">
      <c r="A38" s="83" t="s">
        <v>32</v>
      </c>
      <c r="B38" s="83"/>
      <c r="C38" t="s">
        <v>33</v>
      </c>
      <c r="D38" t="s">
        <v>34</v>
      </c>
      <c r="E38" s="2" t="s">
        <v>24</v>
      </c>
      <c r="F38" t="s">
        <v>35</v>
      </c>
    </row>
    <row r="40" spans="1:7" x14ac:dyDescent="0.3">
      <c r="A40" t="s">
        <v>36</v>
      </c>
    </row>
    <row r="42" spans="1:7" x14ac:dyDescent="0.3">
      <c r="B42" s="3" t="s">
        <v>1</v>
      </c>
      <c r="C42" t="s">
        <v>37</v>
      </c>
      <c r="D42" s="2" t="s">
        <v>24</v>
      </c>
      <c r="E42" s="10">
        <v>20000</v>
      </c>
    </row>
    <row r="43" spans="1:7" x14ac:dyDescent="0.3">
      <c r="B43" s="3" t="s">
        <v>10</v>
      </c>
      <c r="C43" t="s">
        <v>38</v>
      </c>
      <c r="D43" s="2" t="s">
        <v>24</v>
      </c>
      <c r="E43" s="7">
        <v>13000</v>
      </c>
    </row>
    <row r="44" spans="1:7" x14ac:dyDescent="0.3">
      <c r="E44" s="11">
        <v>33000</v>
      </c>
    </row>
    <row r="46" spans="1:7" x14ac:dyDescent="0.3">
      <c r="A46" t="s">
        <v>39</v>
      </c>
    </row>
    <row r="48" spans="1:7" x14ac:dyDescent="0.3">
      <c r="B48" t="s">
        <v>40</v>
      </c>
      <c r="C48" t="s">
        <v>41</v>
      </c>
      <c r="D48" s="2" t="s">
        <v>24</v>
      </c>
      <c r="E48" s="11">
        <v>23000</v>
      </c>
      <c r="F48" s="2"/>
      <c r="G48" s="1"/>
    </row>
    <row r="50" spans="1:3" x14ac:dyDescent="0.3">
      <c r="A50" t="s">
        <v>42</v>
      </c>
    </row>
    <row r="51" spans="1:3" x14ac:dyDescent="0.3">
      <c r="B51" t="s">
        <v>40</v>
      </c>
      <c r="C51" s="1">
        <v>23000</v>
      </c>
    </row>
    <row r="52" spans="1:3" x14ac:dyDescent="0.3">
      <c r="A52" s="83" t="s">
        <v>43</v>
      </c>
      <c r="B52" s="83"/>
      <c r="C52" s="6">
        <v>33000</v>
      </c>
    </row>
    <row r="53" spans="1:3" x14ac:dyDescent="0.3">
      <c r="C53" s="18">
        <v>56000</v>
      </c>
    </row>
    <row r="54" spans="1:3" x14ac:dyDescent="0.3">
      <c r="A54" t="s">
        <v>44</v>
      </c>
    </row>
  </sheetData>
  <mergeCells count="7">
    <mergeCell ref="B1:D1"/>
    <mergeCell ref="A38:B38"/>
    <mergeCell ref="A52:B52"/>
    <mergeCell ref="A5:B5"/>
    <mergeCell ref="A12:B12"/>
    <mergeCell ref="C25:D25"/>
    <mergeCell ref="C26:D2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24C8-11E3-4575-B101-8E7A2B1F6FA2}">
  <dimension ref="A2:H39"/>
  <sheetViews>
    <sheetView tabSelected="1" zoomScale="180" zoomScaleNormal="180" workbookViewId="0">
      <selection activeCell="L37" sqref="L37"/>
    </sheetView>
  </sheetViews>
  <sheetFormatPr baseColWidth="10" defaultRowHeight="14.4" x14ac:dyDescent="0.3"/>
  <cols>
    <col min="2" max="2" width="19.33203125" bestFit="1" customWidth="1"/>
    <col min="3" max="3" width="16.6640625" style="2" bestFit="1" customWidth="1"/>
    <col min="4" max="4" width="11.5546875" style="2"/>
    <col min="5" max="5" width="16.33203125" customWidth="1"/>
    <col min="6" max="7" width="12.6640625" bestFit="1" customWidth="1"/>
    <col min="8" max="8" width="11.6640625" bestFit="1" customWidth="1"/>
  </cols>
  <sheetData>
    <row r="2" spans="1:8" x14ac:dyDescent="0.3">
      <c r="A2" s="82" t="s">
        <v>45</v>
      </c>
      <c r="B2" s="82"/>
    </row>
    <row r="4" spans="1:8" x14ac:dyDescent="0.3">
      <c r="A4" s="85" t="s">
        <v>46</v>
      </c>
      <c r="B4" s="85"/>
      <c r="C4" s="2" t="s">
        <v>24</v>
      </c>
      <c r="D4" s="10">
        <v>115000</v>
      </c>
      <c r="E4" s="86">
        <f>+D4+D5</f>
        <v>137000</v>
      </c>
    </row>
    <row r="5" spans="1:8" x14ac:dyDescent="0.3">
      <c r="A5" s="85" t="s">
        <v>47</v>
      </c>
      <c r="B5" s="85"/>
      <c r="C5" s="2" t="s">
        <v>24</v>
      </c>
      <c r="D5" s="10">
        <v>22000</v>
      </c>
      <c r="E5" s="87"/>
    </row>
    <row r="7" spans="1:8" x14ac:dyDescent="0.3">
      <c r="A7" s="85" t="s">
        <v>48</v>
      </c>
      <c r="B7" s="85"/>
      <c r="C7" s="2" t="s">
        <v>24</v>
      </c>
      <c r="D7" s="2">
        <v>450</v>
      </c>
      <c r="E7" t="s">
        <v>108</v>
      </c>
    </row>
    <row r="8" spans="1:8" x14ac:dyDescent="0.3">
      <c r="A8" s="85" t="s">
        <v>49</v>
      </c>
      <c r="B8" s="85"/>
      <c r="C8" s="2" t="s">
        <v>24</v>
      </c>
      <c r="D8" s="2">
        <v>250</v>
      </c>
      <c r="E8" t="s">
        <v>108</v>
      </c>
    </row>
    <row r="10" spans="1:8" x14ac:dyDescent="0.3">
      <c r="A10" s="85" t="s">
        <v>5</v>
      </c>
      <c r="B10" s="85"/>
    </row>
    <row r="11" spans="1:8" x14ac:dyDescent="0.3">
      <c r="A11" s="83" t="s">
        <v>53</v>
      </c>
      <c r="B11" s="83"/>
      <c r="C11" s="2" t="s">
        <v>24</v>
      </c>
      <c r="D11" s="12">
        <v>0.5</v>
      </c>
    </row>
    <row r="12" spans="1:8" x14ac:dyDescent="0.3">
      <c r="A12" s="83" t="s">
        <v>6</v>
      </c>
      <c r="B12" s="83"/>
      <c r="C12" s="2" t="s">
        <v>24</v>
      </c>
      <c r="D12" s="12">
        <v>0.4</v>
      </c>
    </row>
    <row r="14" spans="1:8" x14ac:dyDescent="0.3">
      <c r="A14" t="s">
        <v>50</v>
      </c>
    </row>
    <row r="16" spans="1:8" x14ac:dyDescent="0.3">
      <c r="B16" s="3" t="s">
        <v>1</v>
      </c>
      <c r="C16" s="4" t="s">
        <v>98</v>
      </c>
      <c r="D16" s="2" t="s">
        <v>24</v>
      </c>
      <c r="E16" t="s">
        <v>54</v>
      </c>
      <c r="F16" s="2" t="s">
        <v>24</v>
      </c>
      <c r="G16" s="2">
        <f>450+250*0.5</f>
        <v>575</v>
      </c>
      <c r="H16" t="s">
        <v>55</v>
      </c>
    </row>
    <row r="18" spans="1:8" x14ac:dyDescent="0.3">
      <c r="B18" s="3" t="s">
        <v>56</v>
      </c>
      <c r="C18" s="4" t="s">
        <v>98</v>
      </c>
      <c r="D18" s="2" t="s">
        <v>24</v>
      </c>
      <c r="E18" t="s">
        <v>57</v>
      </c>
      <c r="F18" s="2" t="s">
        <v>24</v>
      </c>
      <c r="G18" s="2">
        <f>450+250*0.4</f>
        <v>550</v>
      </c>
      <c r="H18" s="4" t="s">
        <v>58</v>
      </c>
    </row>
    <row r="20" spans="1:8" x14ac:dyDescent="0.3">
      <c r="A20" s="2"/>
      <c r="B20" s="3" t="s">
        <v>101</v>
      </c>
      <c r="C20" s="9" t="s">
        <v>100</v>
      </c>
      <c r="D20" s="2" t="s">
        <v>24</v>
      </c>
      <c r="E20" s="7">
        <f>+D4</f>
        <v>115000</v>
      </c>
      <c r="F20" s="2" t="s">
        <v>24</v>
      </c>
      <c r="G20" s="25">
        <f>+E20/E21</f>
        <v>200</v>
      </c>
    </row>
    <row r="21" spans="1:8" x14ac:dyDescent="0.3">
      <c r="C21" s="2" t="s">
        <v>99</v>
      </c>
      <c r="E21" s="2">
        <f>+G16</f>
        <v>575</v>
      </c>
    </row>
    <row r="23" spans="1:8" x14ac:dyDescent="0.3">
      <c r="B23" t="s">
        <v>102</v>
      </c>
      <c r="C23" s="9" t="s">
        <v>103</v>
      </c>
      <c r="D23" s="2" t="s">
        <v>24</v>
      </c>
      <c r="E23" s="7">
        <f>+D5</f>
        <v>22000</v>
      </c>
      <c r="F23" t="s">
        <v>24</v>
      </c>
      <c r="G23" s="25">
        <f>+E23/E24</f>
        <v>40</v>
      </c>
    </row>
    <row r="24" spans="1:8" x14ac:dyDescent="0.3">
      <c r="C24" s="2" t="s">
        <v>104</v>
      </c>
      <c r="E24" s="2">
        <f>+G18</f>
        <v>550</v>
      </c>
    </row>
    <row r="26" spans="1:8" x14ac:dyDescent="0.3">
      <c r="B26" t="s">
        <v>105</v>
      </c>
      <c r="C26" s="26">
        <f>+G20+G23</f>
        <v>240</v>
      </c>
    </row>
    <row r="28" spans="1:8" x14ac:dyDescent="0.3">
      <c r="A28" t="s">
        <v>106</v>
      </c>
    </row>
    <row r="29" spans="1:8" x14ac:dyDescent="0.3">
      <c r="B29" s="13" t="s">
        <v>40</v>
      </c>
      <c r="C29" s="2">
        <f>+D7</f>
        <v>450</v>
      </c>
      <c r="D29" s="2" t="s">
        <v>107</v>
      </c>
      <c r="E29" s="27">
        <f>+C26</f>
        <v>240</v>
      </c>
      <c r="F29" s="28" t="s">
        <v>24</v>
      </c>
      <c r="G29" s="29">
        <f>+C29*E29</f>
        <v>108000</v>
      </c>
    </row>
    <row r="32" spans="1:8" x14ac:dyDescent="0.3">
      <c r="A32" t="s">
        <v>109</v>
      </c>
    </row>
    <row r="34" spans="1:8" x14ac:dyDescent="0.3">
      <c r="A34" s="14" t="s">
        <v>110</v>
      </c>
      <c r="B34">
        <f>+D8</f>
        <v>250</v>
      </c>
      <c r="C34" s="2" t="s">
        <v>107</v>
      </c>
      <c r="D34" s="12">
        <f>+D11</f>
        <v>0.5</v>
      </c>
      <c r="E34" t="s">
        <v>107</v>
      </c>
      <c r="F34" s="27">
        <f>+G20</f>
        <v>200</v>
      </c>
      <c r="G34" t="s">
        <v>24</v>
      </c>
      <c r="H34" s="29">
        <f>+B34*D34*F34</f>
        <v>25000</v>
      </c>
    </row>
    <row r="36" spans="1:8" x14ac:dyDescent="0.3">
      <c r="A36" s="14" t="s">
        <v>111</v>
      </c>
      <c r="B36">
        <v>250</v>
      </c>
      <c r="C36" s="2" t="s">
        <v>107</v>
      </c>
      <c r="D36" s="12">
        <f>+D12</f>
        <v>0.4</v>
      </c>
      <c r="E36" t="s">
        <v>107</v>
      </c>
      <c r="F36" s="27">
        <f>+G23</f>
        <v>40</v>
      </c>
      <c r="G36" t="s">
        <v>24</v>
      </c>
      <c r="H36" s="30">
        <f>+B36*D36*F36</f>
        <v>4000</v>
      </c>
    </row>
    <row r="37" spans="1:8" x14ac:dyDescent="0.3">
      <c r="H37" s="29">
        <f>+H34+H36</f>
        <v>29000</v>
      </c>
    </row>
    <row r="38" spans="1:8" ht="15" thickBot="1" x14ac:dyDescent="0.35"/>
    <row r="39" spans="1:8" ht="15" thickBot="1" x14ac:dyDescent="0.35">
      <c r="D39" s="31">
        <f>+G29</f>
        <v>108000</v>
      </c>
      <c r="E39" s="32" t="s">
        <v>112</v>
      </c>
      <c r="F39" s="33">
        <f>+H37</f>
        <v>29000</v>
      </c>
      <c r="G39" s="32" t="s">
        <v>24</v>
      </c>
      <c r="H39" s="34">
        <f>+D39+F39</f>
        <v>137000</v>
      </c>
    </row>
  </sheetData>
  <mergeCells count="9">
    <mergeCell ref="E4:E5"/>
    <mergeCell ref="A11:B11"/>
    <mergeCell ref="A12:B12"/>
    <mergeCell ref="A2:B2"/>
    <mergeCell ref="A4:B4"/>
    <mergeCell ref="A5:B5"/>
    <mergeCell ref="A7:B7"/>
    <mergeCell ref="A8:B8"/>
    <mergeCell ref="A10:B1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017A-A56D-4103-AAA9-3433196A8490}">
  <dimension ref="A1:I60"/>
  <sheetViews>
    <sheetView topLeftCell="B19" workbookViewId="0">
      <selection activeCell="C32" sqref="C32"/>
    </sheetView>
  </sheetViews>
  <sheetFormatPr baseColWidth="10" defaultColWidth="11.5546875" defaultRowHeight="18" x14ac:dyDescent="0.35"/>
  <cols>
    <col min="1" max="1" width="11.5546875" style="20"/>
    <col min="2" max="2" width="48.88671875" style="20" bestFit="1" customWidth="1"/>
    <col min="3" max="3" width="31.5546875" style="20" customWidth="1"/>
    <col min="4" max="4" width="11.5546875" style="20"/>
    <col min="5" max="5" width="19.44140625" style="20" bestFit="1" customWidth="1"/>
    <col min="6" max="6" width="20.109375" style="20" bestFit="1" customWidth="1"/>
    <col min="7" max="7" width="17.33203125" style="20" bestFit="1" customWidth="1"/>
    <col min="8" max="8" width="11.5546875" style="20"/>
    <col min="9" max="9" width="16.5546875" style="20" bestFit="1" customWidth="1"/>
    <col min="10" max="16384" width="11.5546875" style="20"/>
  </cols>
  <sheetData>
    <row r="1" spans="1:6" x14ac:dyDescent="0.35">
      <c r="A1" s="19" t="s">
        <v>76</v>
      </c>
      <c r="B1" s="19"/>
      <c r="C1" s="19"/>
      <c r="D1" s="19"/>
      <c r="E1" s="19"/>
      <c r="F1" s="19"/>
    </row>
    <row r="2" spans="1:6" x14ac:dyDescent="0.35">
      <c r="A2" s="19" t="s">
        <v>59</v>
      </c>
      <c r="B2" s="19"/>
      <c r="C2" s="19"/>
      <c r="D2" s="19"/>
      <c r="E2" s="19"/>
      <c r="F2" s="19"/>
    </row>
    <row r="4" spans="1:6" x14ac:dyDescent="0.35">
      <c r="B4" s="20" t="s">
        <v>60</v>
      </c>
      <c r="C4" s="21">
        <v>950000</v>
      </c>
    </row>
    <row r="5" spans="1:6" x14ac:dyDescent="0.35">
      <c r="B5" s="20" t="s">
        <v>61</v>
      </c>
      <c r="C5" s="21">
        <v>80000</v>
      </c>
    </row>
    <row r="6" spans="1:6" x14ac:dyDescent="0.35">
      <c r="B6" s="20" t="s">
        <v>62</v>
      </c>
      <c r="C6" s="21">
        <v>30000</v>
      </c>
    </row>
    <row r="7" spans="1:6" x14ac:dyDescent="0.35">
      <c r="B7" s="20" t="s">
        <v>79</v>
      </c>
      <c r="C7" s="21">
        <v>20000</v>
      </c>
    </row>
    <row r="8" spans="1:6" x14ac:dyDescent="0.35">
      <c r="B8" s="20" t="s">
        <v>63</v>
      </c>
      <c r="C8" s="21">
        <v>15000</v>
      </c>
    </row>
    <row r="9" spans="1:6" x14ac:dyDescent="0.35">
      <c r="B9" s="20" t="s">
        <v>64</v>
      </c>
      <c r="C9" s="21">
        <v>25000</v>
      </c>
    </row>
    <row r="10" spans="1:6" x14ac:dyDescent="0.35">
      <c r="B10" s="20" t="s">
        <v>65</v>
      </c>
      <c r="C10" s="22">
        <v>50000</v>
      </c>
    </row>
    <row r="11" spans="1:6" x14ac:dyDescent="0.35">
      <c r="B11" s="20" t="s">
        <v>66</v>
      </c>
      <c r="C11" s="22">
        <v>55000</v>
      </c>
    </row>
    <row r="12" spans="1:6" x14ac:dyDescent="0.35">
      <c r="B12" s="20" t="s">
        <v>67</v>
      </c>
      <c r="C12" s="21">
        <v>22</v>
      </c>
    </row>
    <row r="13" spans="1:6" x14ac:dyDescent="0.35">
      <c r="B13" s="20" t="s">
        <v>68</v>
      </c>
      <c r="C13" s="22">
        <v>10000</v>
      </c>
    </row>
    <row r="14" spans="1:6" x14ac:dyDescent="0.35">
      <c r="B14" s="20" t="s">
        <v>69</v>
      </c>
      <c r="C14" s="21">
        <v>20.5</v>
      </c>
    </row>
    <row r="16" spans="1:6" x14ac:dyDescent="0.35">
      <c r="A16" s="20" t="s">
        <v>70</v>
      </c>
    </row>
    <row r="17" spans="2:9" x14ac:dyDescent="0.35">
      <c r="B17" s="20" t="s">
        <v>71</v>
      </c>
    </row>
    <row r="18" spans="2:9" x14ac:dyDescent="0.35">
      <c r="B18" s="20" t="s">
        <v>72</v>
      </c>
    </row>
    <row r="19" spans="2:9" x14ac:dyDescent="0.35">
      <c r="B19" s="20" t="s">
        <v>73</v>
      </c>
    </row>
    <row r="20" spans="2:9" x14ac:dyDescent="0.35">
      <c r="B20" s="20" t="s">
        <v>74</v>
      </c>
    </row>
    <row r="21" spans="2:9" x14ac:dyDescent="0.35">
      <c r="B21" s="20" t="s">
        <v>75</v>
      </c>
    </row>
    <row r="23" spans="2:9" x14ac:dyDescent="0.35">
      <c r="B23" s="19" t="s">
        <v>71</v>
      </c>
    </row>
    <row r="25" spans="2:9" x14ac:dyDescent="0.35">
      <c r="B25" s="20" t="s">
        <v>123</v>
      </c>
    </row>
    <row r="26" spans="2:9" x14ac:dyDescent="0.35">
      <c r="B26" s="20" t="s">
        <v>113</v>
      </c>
    </row>
    <row r="28" spans="2:9" x14ac:dyDescent="0.35">
      <c r="B28" s="24" t="s">
        <v>114</v>
      </c>
      <c r="C28" s="40">
        <f>+C4</f>
        <v>950000</v>
      </c>
      <c r="D28" s="41" t="s">
        <v>112</v>
      </c>
      <c r="E28" s="42">
        <f>+C5</f>
        <v>80000</v>
      </c>
      <c r="F28" s="41" t="s">
        <v>112</v>
      </c>
      <c r="G28" s="42">
        <f>+C7</f>
        <v>20000</v>
      </c>
      <c r="H28" s="41" t="s">
        <v>112</v>
      </c>
      <c r="I28" s="42">
        <f>+C6</f>
        <v>30000</v>
      </c>
    </row>
    <row r="29" spans="2:9" x14ac:dyDescent="0.35">
      <c r="E29" s="88">
        <f>+C10</f>
        <v>50000</v>
      </c>
      <c r="F29" s="88"/>
    </row>
    <row r="31" spans="2:9" x14ac:dyDescent="0.35">
      <c r="B31" s="44" t="s">
        <v>114</v>
      </c>
      <c r="C31" s="42">
        <f>+C4+C5+C6+C7</f>
        <v>1080000</v>
      </c>
      <c r="D31" s="20" t="s">
        <v>24</v>
      </c>
      <c r="E31" s="46">
        <f>+C31/C32</f>
        <v>21.6</v>
      </c>
      <c r="G31" s="39"/>
    </row>
    <row r="32" spans="2:9" x14ac:dyDescent="0.35">
      <c r="C32" s="43">
        <f>+C10</f>
        <v>50000</v>
      </c>
    </row>
    <row r="34" spans="2:6" x14ac:dyDescent="0.35">
      <c r="B34" s="58" t="s">
        <v>72</v>
      </c>
    </row>
    <row r="35" spans="2:6" x14ac:dyDescent="0.35">
      <c r="B35" s="20" t="s">
        <v>146</v>
      </c>
    </row>
    <row r="38" spans="2:6" x14ac:dyDescent="0.35">
      <c r="B38" s="24" t="s">
        <v>115</v>
      </c>
      <c r="C38" s="20" t="s">
        <v>116</v>
      </c>
    </row>
    <row r="40" spans="2:6" x14ac:dyDescent="0.35">
      <c r="B40" s="24" t="s">
        <v>117</v>
      </c>
      <c r="C40" s="20" t="s">
        <v>118</v>
      </c>
      <c r="D40" s="38" t="s">
        <v>112</v>
      </c>
      <c r="E40" s="20" t="s">
        <v>124</v>
      </c>
      <c r="F40" s="38"/>
    </row>
    <row r="42" spans="2:6" x14ac:dyDescent="0.35">
      <c r="B42" s="56" t="s">
        <v>148</v>
      </c>
      <c r="C42" s="57">
        <f>+C13*C14+45000*E31</f>
        <v>1177000</v>
      </c>
      <c r="E42" s="54" t="s">
        <v>147</v>
      </c>
      <c r="F42" s="55">
        <f>+C10*E31+5000*C14</f>
        <v>1182500</v>
      </c>
    </row>
    <row r="44" spans="2:6" x14ac:dyDescent="0.35">
      <c r="B44" s="20" t="s">
        <v>73</v>
      </c>
    </row>
    <row r="45" spans="2:6" x14ac:dyDescent="0.35">
      <c r="B45" s="20" t="s">
        <v>149</v>
      </c>
    </row>
    <row r="47" spans="2:6" x14ac:dyDescent="0.35">
      <c r="B47" s="20" t="s">
        <v>74</v>
      </c>
      <c r="C47" s="20" t="s">
        <v>119</v>
      </c>
    </row>
    <row r="49" spans="2:5" x14ac:dyDescent="0.35">
      <c r="B49" s="20" t="s">
        <v>120</v>
      </c>
      <c r="C49" s="21">
        <f>+C12*C11</f>
        <v>1210000</v>
      </c>
    </row>
    <row r="50" spans="2:5" x14ac:dyDescent="0.35">
      <c r="B50" s="20" t="s">
        <v>121</v>
      </c>
      <c r="C50" s="59">
        <f>-C42</f>
        <v>-1177000</v>
      </c>
    </row>
    <row r="51" spans="2:5" x14ac:dyDescent="0.35">
      <c r="B51" s="20" t="s">
        <v>122</v>
      </c>
      <c r="C51" s="39">
        <f>+C49+C50</f>
        <v>33000</v>
      </c>
    </row>
    <row r="52" spans="2:5" x14ac:dyDescent="0.35">
      <c r="B52" s="20" t="s">
        <v>63</v>
      </c>
      <c r="C52" s="39">
        <f>-C8</f>
        <v>-15000</v>
      </c>
    </row>
    <row r="53" spans="2:5" x14ac:dyDescent="0.35">
      <c r="B53" s="20" t="s">
        <v>64</v>
      </c>
      <c r="C53" s="42">
        <f>-C9</f>
        <v>-25000</v>
      </c>
    </row>
    <row r="54" spans="2:5" x14ac:dyDescent="0.35">
      <c r="B54" s="19" t="s">
        <v>125</v>
      </c>
      <c r="C54" s="45">
        <f>+C51+C52+C53</f>
        <v>-7000</v>
      </c>
    </row>
    <row r="57" spans="2:5" x14ac:dyDescent="0.35">
      <c r="B57" s="20" t="s">
        <v>75</v>
      </c>
    </row>
    <row r="59" spans="2:5" x14ac:dyDescent="0.35">
      <c r="B59" s="60" t="s">
        <v>150</v>
      </c>
      <c r="C59" s="61" t="s">
        <v>126</v>
      </c>
      <c r="D59" s="62" t="s">
        <v>24</v>
      </c>
      <c r="E59" s="63">
        <f>+(C13+C10-C11)*E31</f>
        <v>108000</v>
      </c>
    </row>
    <row r="60" spans="2:5" x14ac:dyDescent="0.35">
      <c r="B60" s="64" t="s">
        <v>151</v>
      </c>
      <c r="C60" s="64" t="s">
        <v>152</v>
      </c>
      <c r="D60" s="65" t="s">
        <v>24</v>
      </c>
      <c r="E60" s="66">
        <f>5000*20.5</f>
        <v>102500</v>
      </c>
    </row>
  </sheetData>
  <mergeCells count="1">
    <mergeCell ref="E29:F29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8541-7FE4-40EF-BA05-CFE7EF4D3428}">
  <dimension ref="A1:H244"/>
  <sheetViews>
    <sheetView topLeftCell="A55" workbookViewId="0">
      <selection activeCell="C68" sqref="C68"/>
    </sheetView>
  </sheetViews>
  <sheetFormatPr baseColWidth="10" defaultRowHeight="14.4" x14ac:dyDescent="0.3"/>
  <cols>
    <col min="2" max="2" width="48.88671875" bestFit="1" customWidth="1"/>
    <col min="3" max="3" width="18" bestFit="1" customWidth="1"/>
  </cols>
  <sheetData>
    <row r="1" spans="1:7" ht="18" x14ac:dyDescent="0.35">
      <c r="A1" s="19" t="s">
        <v>78</v>
      </c>
      <c r="B1" s="19"/>
      <c r="C1" s="19"/>
      <c r="D1" s="19"/>
      <c r="E1" s="19"/>
      <c r="F1" s="19"/>
      <c r="G1" s="20"/>
    </row>
    <row r="2" spans="1:7" ht="18" x14ac:dyDescent="0.35">
      <c r="A2" s="19" t="s">
        <v>77</v>
      </c>
      <c r="B2" s="19"/>
      <c r="C2" s="19"/>
      <c r="D2" s="19"/>
      <c r="E2" s="19"/>
      <c r="F2" s="19"/>
      <c r="G2" s="20"/>
    </row>
    <row r="5" spans="1:7" ht="18" x14ac:dyDescent="0.35">
      <c r="A5" s="20"/>
      <c r="B5" s="20" t="s">
        <v>60</v>
      </c>
      <c r="C5" s="23">
        <v>250000</v>
      </c>
    </row>
    <row r="6" spans="1:7" ht="18" x14ac:dyDescent="0.35">
      <c r="A6" s="20"/>
      <c r="B6" s="20" t="s">
        <v>61</v>
      </c>
      <c r="C6" s="23">
        <v>100000</v>
      </c>
    </row>
    <row r="7" spans="1:7" ht="18" x14ac:dyDescent="0.35">
      <c r="A7" s="20"/>
      <c r="B7" s="20" t="s">
        <v>62</v>
      </c>
      <c r="C7" s="23">
        <v>30000</v>
      </c>
    </row>
    <row r="8" spans="1:7" ht="18" x14ac:dyDescent="0.35">
      <c r="A8" s="20"/>
      <c r="B8" s="20" t="s">
        <v>79</v>
      </c>
      <c r="C8" s="23">
        <v>70000</v>
      </c>
    </row>
    <row r="9" spans="1:7" ht="18" x14ac:dyDescent="0.35">
      <c r="A9" s="20"/>
      <c r="B9" s="20" t="s">
        <v>63</v>
      </c>
      <c r="C9" s="23">
        <v>40000</v>
      </c>
    </row>
    <row r="10" spans="1:7" ht="18" x14ac:dyDescent="0.35">
      <c r="A10" s="20"/>
      <c r="B10" s="20" t="s">
        <v>80</v>
      </c>
      <c r="C10" s="23">
        <v>20000</v>
      </c>
    </row>
    <row r="11" spans="1:7" ht="18" x14ac:dyDescent="0.35">
      <c r="A11" s="20"/>
      <c r="B11" s="20" t="s">
        <v>64</v>
      </c>
      <c r="C11" s="23">
        <v>10000</v>
      </c>
    </row>
    <row r="12" spans="1:7" ht="18" x14ac:dyDescent="0.35">
      <c r="A12" s="20"/>
      <c r="B12" s="20" t="s">
        <v>65</v>
      </c>
      <c r="C12" s="22">
        <v>70000</v>
      </c>
    </row>
    <row r="13" spans="1:7" ht="18" x14ac:dyDescent="0.35">
      <c r="A13" s="20"/>
      <c r="B13" s="20" t="s">
        <v>66</v>
      </c>
      <c r="C13" s="22">
        <v>60000</v>
      </c>
    </row>
    <row r="14" spans="1:7" ht="18" x14ac:dyDescent="0.35">
      <c r="A14" s="20"/>
      <c r="B14" s="20" t="s">
        <v>67</v>
      </c>
      <c r="C14" s="23">
        <v>10</v>
      </c>
    </row>
    <row r="15" spans="1:7" ht="18" x14ac:dyDescent="0.35">
      <c r="A15" s="20"/>
      <c r="B15" s="20" t="s">
        <v>68</v>
      </c>
      <c r="C15" s="22">
        <v>0</v>
      </c>
    </row>
    <row r="16" spans="1:7" ht="18" x14ac:dyDescent="0.35">
      <c r="A16" s="20"/>
      <c r="B16" s="20"/>
      <c r="C16" s="20"/>
    </row>
    <row r="17" spans="1:8" ht="18" x14ac:dyDescent="0.35">
      <c r="A17" s="20" t="s">
        <v>70</v>
      </c>
      <c r="B17" s="20"/>
      <c r="C17" s="20"/>
    </row>
    <row r="18" spans="1:8" ht="18" x14ac:dyDescent="0.35">
      <c r="A18" s="20"/>
      <c r="B18" s="20" t="s">
        <v>81</v>
      </c>
      <c r="C18" s="20"/>
    </row>
    <row r="19" spans="1:8" ht="18" x14ac:dyDescent="0.35">
      <c r="A19" s="20"/>
      <c r="B19" s="20" t="s">
        <v>82</v>
      </c>
      <c r="C19" s="20"/>
    </row>
    <row r="20" spans="1:8" ht="18" x14ac:dyDescent="0.35">
      <c r="A20" s="20"/>
      <c r="B20" s="20" t="s">
        <v>83</v>
      </c>
      <c r="C20" s="20"/>
    </row>
    <row r="21" spans="1:8" ht="18" x14ac:dyDescent="0.35">
      <c r="A21" s="20"/>
      <c r="B21" s="20" t="s">
        <v>127</v>
      </c>
      <c r="C21" s="20"/>
    </row>
    <row r="23" spans="1:8" ht="18" x14ac:dyDescent="0.35">
      <c r="B23" s="19" t="s">
        <v>81</v>
      </c>
      <c r="C23" s="20"/>
      <c r="D23" s="20"/>
      <c r="E23" s="20"/>
      <c r="F23" s="20"/>
      <c r="G23" s="20"/>
      <c r="H23" s="20"/>
    </row>
    <row r="24" spans="1:8" ht="18" x14ac:dyDescent="0.35">
      <c r="B24" s="20"/>
      <c r="C24" s="20"/>
      <c r="D24" s="20"/>
      <c r="E24" s="20"/>
      <c r="F24" s="20"/>
      <c r="G24" s="20"/>
      <c r="H24" s="20"/>
    </row>
    <row r="25" spans="1:8" ht="18" x14ac:dyDescent="0.35">
      <c r="B25" s="20" t="s">
        <v>128</v>
      </c>
      <c r="C25" s="20" t="s">
        <v>130</v>
      </c>
      <c r="D25" s="48">
        <f>+C5</f>
        <v>250000</v>
      </c>
      <c r="E25" s="48" t="s">
        <v>112</v>
      </c>
      <c r="F25" s="48">
        <f>+C6</f>
        <v>100000</v>
      </c>
      <c r="G25" s="48" t="s">
        <v>112</v>
      </c>
      <c r="H25" s="48">
        <f>+C8</f>
        <v>70000</v>
      </c>
    </row>
    <row r="26" spans="1:8" ht="18" x14ac:dyDescent="0.35">
      <c r="B26" s="20" t="s">
        <v>129</v>
      </c>
      <c r="C26" s="20"/>
      <c r="D26" s="20"/>
      <c r="E26" s="20"/>
      <c r="F26" s="20">
        <f>+C12</f>
        <v>70000</v>
      </c>
      <c r="G26" s="20"/>
      <c r="H26" s="20"/>
    </row>
    <row r="27" spans="1:8" ht="18" x14ac:dyDescent="0.35">
      <c r="B27" s="20"/>
      <c r="C27" s="20"/>
      <c r="D27" s="20"/>
      <c r="E27" s="20"/>
      <c r="F27" s="20"/>
      <c r="G27" s="20"/>
      <c r="H27" s="20"/>
    </row>
    <row r="28" spans="1:8" ht="18" x14ac:dyDescent="0.35">
      <c r="B28" s="20"/>
      <c r="C28" s="19" t="s">
        <v>130</v>
      </c>
      <c r="D28" s="41">
        <f>+C5+C6+C8</f>
        <v>420000</v>
      </c>
      <c r="E28" s="38" t="s">
        <v>24</v>
      </c>
      <c r="F28" s="50">
        <f>+D28/C12</f>
        <v>6</v>
      </c>
      <c r="G28" s="20"/>
      <c r="H28" s="20"/>
    </row>
    <row r="29" spans="1:8" ht="18" x14ac:dyDescent="0.35">
      <c r="B29" s="20"/>
      <c r="C29" s="20"/>
      <c r="D29" s="38">
        <f>+C12</f>
        <v>70000</v>
      </c>
      <c r="E29" s="20"/>
      <c r="F29" s="20"/>
      <c r="G29" s="20"/>
      <c r="H29" s="20"/>
    </row>
    <row r="30" spans="1:8" ht="18" x14ac:dyDescent="0.35">
      <c r="B30" s="20"/>
      <c r="C30" s="20"/>
      <c r="D30" s="20"/>
      <c r="E30" s="20"/>
      <c r="F30" s="20"/>
      <c r="G30" s="20"/>
      <c r="H30" s="20"/>
    </row>
    <row r="31" spans="1:8" ht="18" x14ac:dyDescent="0.35">
      <c r="B31" s="20" t="s">
        <v>82</v>
      </c>
      <c r="C31" s="20"/>
      <c r="D31" s="20"/>
      <c r="E31" s="20"/>
      <c r="F31" s="20"/>
      <c r="G31" s="20"/>
      <c r="H31" s="20"/>
    </row>
    <row r="32" spans="1:8" ht="18" x14ac:dyDescent="0.35">
      <c r="B32" s="20"/>
      <c r="C32" s="20"/>
      <c r="D32" s="20"/>
      <c r="E32" s="20"/>
      <c r="F32" s="20"/>
      <c r="G32" s="20"/>
      <c r="H32" s="20"/>
    </row>
    <row r="33" spans="2:8" ht="18" x14ac:dyDescent="0.35">
      <c r="B33" s="20" t="s">
        <v>131</v>
      </c>
      <c r="C33" s="20">
        <f>+C13</f>
        <v>60000</v>
      </c>
      <c r="D33" s="38" t="s">
        <v>107</v>
      </c>
      <c r="E33" s="49">
        <f>+F28</f>
        <v>6</v>
      </c>
      <c r="F33" s="20"/>
      <c r="G33" s="20"/>
      <c r="H33" s="20"/>
    </row>
    <row r="34" spans="2:8" ht="18" x14ac:dyDescent="0.35">
      <c r="B34" s="20"/>
      <c r="C34" s="20"/>
      <c r="D34" s="20"/>
      <c r="E34" s="20"/>
      <c r="F34" s="20"/>
      <c r="G34" s="20"/>
      <c r="H34" s="20"/>
    </row>
    <row r="35" spans="2:8" ht="18" x14ac:dyDescent="0.35">
      <c r="B35" s="20" t="s">
        <v>117</v>
      </c>
      <c r="C35" s="46">
        <f>+C13*F28</f>
        <v>360000</v>
      </c>
      <c r="D35" s="20"/>
      <c r="E35" s="20"/>
      <c r="F35" s="20"/>
      <c r="G35" s="20"/>
      <c r="H35" s="20"/>
    </row>
    <row r="36" spans="2:8" ht="18" x14ac:dyDescent="0.35">
      <c r="B36" s="20"/>
      <c r="C36" s="20"/>
      <c r="D36" s="20"/>
      <c r="E36" s="20"/>
      <c r="F36" s="20"/>
      <c r="G36" s="20"/>
      <c r="H36" s="20"/>
    </row>
    <row r="37" spans="2:8" ht="18" x14ac:dyDescent="0.35">
      <c r="B37" s="20" t="s">
        <v>83</v>
      </c>
      <c r="C37" s="20"/>
      <c r="D37" s="20"/>
      <c r="E37" s="20"/>
      <c r="F37" s="20"/>
      <c r="G37" s="20"/>
      <c r="H37" s="20"/>
    </row>
    <row r="38" spans="2:8" ht="18" x14ac:dyDescent="0.35">
      <c r="B38" s="20" t="s">
        <v>132</v>
      </c>
      <c r="C38" s="20"/>
    </row>
    <row r="39" spans="2:8" ht="18" x14ac:dyDescent="0.35">
      <c r="B39" s="20"/>
      <c r="C39" s="20"/>
    </row>
    <row r="40" spans="2:8" ht="18" x14ac:dyDescent="0.35">
      <c r="B40" s="20" t="s">
        <v>133</v>
      </c>
      <c r="C40" s="47">
        <f>+C13*C14</f>
        <v>600000</v>
      </c>
    </row>
    <row r="41" spans="2:8" ht="18" x14ac:dyDescent="0.35">
      <c r="B41" s="20" t="s">
        <v>134</v>
      </c>
      <c r="C41" s="39">
        <f>-C35</f>
        <v>-360000</v>
      </c>
    </row>
    <row r="42" spans="2:8" ht="18" x14ac:dyDescent="0.35">
      <c r="B42" s="39" t="s">
        <v>80</v>
      </c>
      <c r="C42" s="42">
        <f>-C10</f>
        <v>-20000</v>
      </c>
    </row>
    <row r="43" spans="2:8" ht="18" x14ac:dyDescent="0.35">
      <c r="B43" s="39" t="s">
        <v>135</v>
      </c>
      <c r="C43" s="39">
        <f>+C40+C41+C42</f>
        <v>220000</v>
      </c>
    </row>
    <row r="44" spans="2:8" ht="18" x14ac:dyDescent="0.35">
      <c r="B44" s="39" t="str">
        <f>+B7</f>
        <v>Gastos de fabricacion fijos</v>
      </c>
      <c r="C44" s="39">
        <f>-C7</f>
        <v>-30000</v>
      </c>
    </row>
    <row r="45" spans="2:8" ht="18" x14ac:dyDescent="0.35">
      <c r="B45" s="39" t="str">
        <f>+B9</f>
        <v>Gastos de comercializacion fijos</v>
      </c>
      <c r="C45" s="39">
        <f>-C9</f>
        <v>-40000</v>
      </c>
    </row>
    <row r="46" spans="2:8" ht="18" x14ac:dyDescent="0.35">
      <c r="B46" s="39" t="str">
        <f>+B11</f>
        <v>Gastos de administracion y financieros</v>
      </c>
      <c r="C46" s="42">
        <f>-C11</f>
        <v>-10000</v>
      </c>
    </row>
    <row r="47" spans="2:8" ht="18" x14ac:dyDescent="0.35">
      <c r="B47" s="39" t="s">
        <v>136</v>
      </c>
      <c r="C47" s="39">
        <f>+C43+C44+C45+C46</f>
        <v>140000</v>
      </c>
    </row>
    <row r="48" spans="2:8" ht="18" x14ac:dyDescent="0.35">
      <c r="B48" s="39"/>
      <c r="C48" s="39"/>
    </row>
    <row r="49" spans="2:5" ht="18" x14ac:dyDescent="0.35">
      <c r="B49" s="39"/>
      <c r="C49" s="39"/>
    </row>
    <row r="50" spans="2:5" ht="18" x14ac:dyDescent="0.35">
      <c r="B50" s="20" t="s">
        <v>127</v>
      </c>
      <c r="C50" s="39"/>
    </row>
    <row r="51" spans="2:5" ht="18" x14ac:dyDescent="0.35">
      <c r="B51" s="39"/>
      <c r="C51" s="39"/>
    </row>
    <row r="52" spans="2:5" ht="18" x14ac:dyDescent="0.35">
      <c r="B52" s="39" t="s">
        <v>138</v>
      </c>
      <c r="C52" s="39"/>
    </row>
    <row r="53" spans="2:5" ht="18" x14ac:dyDescent="0.35">
      <c r="B53" s="51" t="s">
        <v>137</v>
      </c>
      <c r="C53" s="39"/>
    </row>
    <row r="54" spans="2:5" ht="18" x14ac:dyDescent="0.35">
      <c r="B54" s="39" t="s">
        <v>139</v>
      </c>
      <c r="C54" s="39"/>
    </row>
    <row r="55" spans="2:5" ht="18" x14ac:dyDescent="0.35">
      <c r="B55" s="52" t="s">
        <v>140</v>
      </c>
      <c r="C55" s="39">
        <f>+C7+C9+C11</f>
        <v>80000</v>
      </c>
    </row>
    <row r="56" spans="2:5" ht="18" x14ac:dyDescent="0.35">
      <c r="B56" s="39"/>
      <c r="C56" s="39"/>
    </row>
    <row r="57" spans="2:5" ht="18" x14ac:dyDescent="0.35">
      <c r="B57" s="52" t="s">
        <v>141</v>
      </c>
      <c r="C57" s="42">
        <f>+C10</f>
        <v>20000</v>
      </c>
      <c r="D57" s="2" t="s">
        <v>24</v>
      </c>
      <c r="E57" s="42">
        <f>+C57/C58</f>
        <v>0.33333333333333331</v>
      </c>
    </row>
    <row r="58" spans="2:5" ht="18" x14ac:dyDescent="0.35">
      <c r="B58" s="39" t="s">
        <v>142</v>
      </c>
      <c r="C58" s="39">
        <f>+C13</f>
        <v>60000</v>
      </c>
    </row>
    <row r="59" spans="2:5" ht="18" x14ac:dyDescent="0.35">
      <c r="B59" s="39"/>
      <c r="C59" s="39"/>
    </row>
    <row r="60" spans="2:5" ht="18" x14ac:dyDescent="0.35">
      <c r="B60" s="39"/>
      <c r="C60" s="39"/>
    </row>
    <row r="61" spans="2:5" ht="18" x14ac:dyDescent="0.35">
      <c r="B61" s="52" t="s">
        <v>143</v>
      </c>
      <c r="C61" s="89">
        <f>+C55</f>
        <v>80000</v>
      </c>
      <c r="D61" s="89"/>
      <c r="E61" s="42"/>
    </row>
    <row r="62" spans="2:5" ht="18" x14ac:dyDescent="0.35">
      <c r="B62" s="39"/>
      <c r="C62" s="39">
        <f>+C14</f>
        <v>10</v>
      </c>
      <c r="D62" s="51" t="s">
        <v>144</v>
      </c>
      <c r="E62" s="39" t="s">
        <v>174</v>
      </c>
    </row>
    <row r="63" spans="2:5" ht="18" x14ac:dyDescent="0.35">
      <c r="B63" s="39"/>
      <c r="C63" s="39"/>
    </row>
    <row r="64" spans="2:5" ht="18" x14ac:dyDescent="0.35">
      <c r="B64" s="53" t="s">
        <v>143</v>
      </c>
      <c r="C64" s="45">
        <f>+C55/(C62-(E33+E57))</f>
        <v>21818.181818181816</v>
      </c>
    </row>
    <row r="65" spans="2:3" ht="18" x14ac:dyDescent="0.35">
      <c r="B65" s="39"/>
      <c r="C65" s="39"/>
    </row>
    <row r="66" spans="2:3" ht="18" x14ac:dyDescent="0.35">
      <c r="B66" s="39" t="s">
        <v>145</v>
      </c>
      <c r="C66" s="39">
        <f>+C64*C14</f>
        <v>218181.81818181818</v>
      </c>
    </row>
    <row r="67" spans="2:3" ht="18" x14ac:dyDescent="0.35">
      <c r="B67" s="39"/>
      <c r="C67" s="39"/>
    </row>
    <row r="68" spans="2:3" ht="18" x14ac:dyDescent="0.35">
      <c r="B68" s="53" t="s">
        <v>175</v>
      </c>
      <c r="C68" s="45">
        <f>+C66</f>
        <v>218181.81818181818</v>
      </c>
    </row>
    <row r="69" spans="2:3" ht="18" x14ac:dyDescent="0.35">
      <c r="B69" s="39"/>
      <c r="C69" s="39"/>
    </row>
    <row r="70" spans="2:3" ht="18" x14ac:dyDescent="0.35">
      <c r="B70" s="39"/>
      <c r="C70" s="39"/>
    </row>
    <row r="71" spans="2:3" ht="18" x14ac:dyDescent="0.35">
      <c r="B71" s="39"/>
      <c r="C71" s="39"/>
    </row>
    <row r="72" spans="2:3" ht="18" x14ac:dyDescent="0.35">
      <c r="B72" s="39"/>
      <c r="C72" s="39"/>
    </row>
    <row r="73" spans="2:3" ht="18" x14ac:dyDescent="0.35">
      <c r="B73" s="39"/>
      <c r="C73" s="39"/>
    </row>
    <row r="74" spans="2:3" ht="18" x14ac:dyDescent="0.35">
      <c r="B74" s="39"/>
      <c r="C74" s="39"/>
    </row>
    <row r="75" spans="2:3" ht="18" x14ac:dyDescent="0.35">
      <c r="B75" s="39"/>
      <c r="C75" s="39"/>
    </row>
    <row r="76" spans="2:3" ht="18" x14ac:dyDescent="0.35">
      <c r="B76" s="39"/>
      <c r="C76" s="39"/>
    </row>
    <row r="77" spans="2:3" ht="18" x14ac:dyDescent="0.35">
      <c r="B77" s="39"/>
      <c r="C77" s="39"/>
    </row>
    <row r="78" spans="2:3" ht="18" x14ac:dyDescent="0.35">
      <c r="B78" s="39"/>
      <c r="C78" s="39"/>
    </row>
    <row r="79" spans="2:3" ht="18" x14ac:dyDescent="0.35">
      <c r="B79" s="39"/>
      <c r="C79" s="39"/>
    </row>
    <row r="80" spans="2:3" ht="18" x14ac:dyDescent="0.35">
      <c r="B80" s="39"/>
      <c r="C80" s="39"/>
    </row>
    <row r="81" spans="2:3" ht="18" x14ac:dyDescent="0.35">
      <c r="B81" s="39"/>
      <c r="C81" s="39"/>
    </row>
    <row r="82" spans="2:3" ht="18" x14ac:dyDescent="0.35">
      <c r="B82" s="39"/>
      <c r="C82" s="39"/>
    </row>
    <row r="83" spans="2:3" ht="18" x14ac:dyDescent="0.35">
      <c r="B83" s="39"/>
      <c r="C83" s="39"/>
    </row>
    <row r="84" spans="2:3" ht="18" x14ac:dyDescent="0.35">
      <c r="B84" s="39"/>
      <c r="C84" s="39"/>
    </row>
    <row r="85" spans="2:3" ht="18" x14ac:dyDescent="0.35">
      <c r="B85" s="39"/>
      <c r="C85" s="39"/>
    </row>
    <row r="86" spans="2:3" ht="18" x14ac:dyDescent="0.35">
      <c r="B86" s="39"/>
      <c r="C86" s="39"/>
    </row>
    <row r="87" spans="2:3" ht="18" x14ac:dyDescent="0.35">
      <c r="B87" s="39"/>
      <c r="C87" s="39"/>
    </row>
    <row r="88" spans="2:3" ht="18" x14ac:dyDescent="0.35">
      <c r="B88" s="39"/>
      <c r="C88" s="39"/>
    </row>
    <row r="89" spans="2:3" ht="18" x14ac:dyDescent="0.35">
      <c r="B89" s="39"/>
      <c r="C89" s="39"/>
    </row>
    <row r="90" spans="2:3" ht="18" x14ac:dyDescent="0.35">
      <c r="B90" s="39"/>
      <c r="C90" s="39"/>
    </row>
    <row r="91" spans="2:3" ht="18" x14ac:dyDescent="0.35">
      <c r="B91" s="39"/>
      <c r="C91" s="39"/>
    </row>
    <row r="92" spans="2:3" ht="18" x14ac:dyDescent="0.35">
      <c r="B92" s="39"/>
      <c r="C92" s="39"/>
    </row>
    <row r="93" spans="2:3" ht="18" x14ac:dyDescent="0.35">
      <c r="B93" s="39"/>
      <c r="C93" s="39"/>
    </row>
    <row r="94" spans="2:3" ht="18" x14ac:dyDescent="0.35">
      <c r="B94" s="39"/>
      <c r="C94" s="39"/>
    </row>
    <row r="95" spans="2:3" ht="18" x14ac:dyDescent="0.35">
      <c r="B95" s="39"/>
      <c r="C95" s="39"/>
    </row>
    <row r="96" spans="2:3" ht="18" x14ac:dyDescent="0.35">
      <c r="B96" s="39"/>
      <c r="C96" s="39"/>
    </row>
    <row r="97" spans="2:3" ht="18" x14ac:dyDescent="0.35">
      <c r="B97" s="39"/>
      <c r="C97" s="39"/>
    </row>
    <row r="98" spans="2:3" ht="18" x14ac:dyDescent="0.35">
      <c r="B98" s="39"/>
      <c r="C98" s="39"/>
    </row>
    <row r="99" spans="2:3" ht="18" x14ac:dyDescent="0.35">
      <c r="B99" s="39"/>
      <c r="C99" s="39"/>
    </row>
    <row r="100" spans="2:3" ht="18" x14ac:dyDescent="0.35">
      <c r="B100" s="39"/>
      <c r="C100" s="39"/>
    </row>
    <row r="101" spans="2:3" ht="18" x14ac:dyDescent="0.35">
      <c r="B101" s="39"/>
      <c r="C101" s="39"/>
    </row>
    <row r="102" spans="2:3" ht="18" x14ac:dyDescent="0.35">
      <c r="B102" s="39"/>
      <c r="C102" s="39"/>
    </row>
    <row r="103" spans="2:3" ht="18" x14ac:dyDescent="0.35">
      <c r="B103" s="39"/>
      <c r="C103" s="39"/>
    </row>
    <row r="104" spans="2:3" ht="18" x14ac:dyDescent="0.35">
      <c r="B104" s="39"/>
      <c r="C104" s="39"/>
    </row>
    <row r="105" spans="2:3" ht="18" x14ac:dyDescent="0.35">
      <c r="B105" s="39"/>
      <c r="C105" s="39"/>
    </row>
    <row r="106" spans="2:3" ht="18" x14ac:dyDescent="0.35">
      <c r="B106" s="39"/>
      <c r="C106" s="39"/>
    </row>
    <row r="107" spans="2:3" ht="18" x14ac:dyDescent="0.35">
      <c r="B107" s="39"/>
      <c r="C107" s="39"/>
    </row>
    <row r="108" spans="2:3" ht="18" x14ac:dyDescent="0.35">
      <c r="B108" s="39"/>
      <c r="C108" s="39"/>
    </row>
    <row r="109" spans="2:3" ht="18" x14ac:dyDescent="0.35">
      <c r="B109" s="39"/>
      <c r="C109" s="39"/>
    </row>
    <row r="110" spans="2:3" ht="18" x14ac:dyDescent="0.35">
      <c r="B110" s="39"/>
      <c r="C110" s="39"/>
    </row>
    <row r="111" spans="2:3" ht="18" x14ac:dyDescent="0.35">
      <c r="B111" s="39"/>
      <c r="C111" s="39"/>
    </row>
    <row r="112" spans="2:3" ht="18" x14ac:dyDescent="0.35">
      <c r="B112" s="39"/>
      <c r="C112" s="39"/>
    </row>
    <row r="113" spans="2:3" ht="18" x14ac:dyDescent="0.35">
      <c r="B113" s="39"/>
      <c r="C113" s="39"/>
    </row>
    <row r="114" spans="2:3" ht="18" x14ac:dyDescent="0.35">
      <c r="B114" s="39"/>
      <c r="C114" s="39"/>
    </row>
    <row r="115" spans="2:3" ht="18" x14ac:dyDescent="0.35">
      <c r="B115" s="39"/>
      <c r="C115" s="39"/>
    </row>
    <row r="116" spans="2:3" ht="18" x14ac:dyDescent="0.35">
      <c r="B116" s="39"/>
      <c r="C116" s="39"/>
    </row>
    <row r="117" spans="2:3" ht="18" x14ac:dyDescent="0.35">
      <c r="B117" s="39"/>
      <c r="C117" s="39"/>
    </row>
    <row r="118" spans="2:3" ht="18" x14ac:dyDescent="0.35">
      <c r="B118" s="39"/>
      <c r="C118" s="39"/>
    </row>
    <row r="119" spans="2:3" ht="18" x14ac:dyDescent="0.35">
      <c r="B119" s="39"/>
      <c r="C119" s="39"/>
    </row>
    <row r="120" spans="2:3" ht="18" x14ac:dyDescent="0.35">
      <c r="B120" s="39"/>
      <c r="C120" s="39"/>
    </row>
    <row r="121" spans="2:3" ht="18" x14ac:dyDescent="0.35">
      <c r="B121" s="39"/>
      <c r="C121" s="39"/>
    </row>
    <row r="122" spans="2:3" ht="18" x14ac:dyDescent="0.35">
      <c r="B122" s="39"/>
      <c r="C122" s="39"/>
    </row>
    <row r="123" spans="2:3" ht="18" x14ac:dyDescent="0.35">
      <c r="B123" s="39"/>
      <c r="C123" s="39"/>
    </row>
    <row r="124" spans="2:3" ht="18" x14ac:dyDescent="0.35">
      <c r="B124" s="39"/>
      <c r="C124" s="39"/>
    </row>
    <row r="125" spans="2:3" ht="18" x14ac:dyDescent="0.35">
      <c r="B125" s="39"/>
      <c r="C125" s="39"/>
    </row>
    <row r="126" spans="2:3" ht="18" x14ac:dyDescent="0.35">
      <c r="B126" s="39"/>
      <c r="C126" s="39"/>
    </row>
    <row r="127" spans="2:3" ht="18" x14ac:dyDescent="0.35">
      <c r="B127" s="39"/>
      <c r="C127" s="39"/>
    </row>
    <row r="128" spans="2:3" ht="18" x14ac:dyDescent="0.35">
      <c r="B128" s="39"/>
      <c r="C128" s="39"/>
    </row>
    <row r="129" spans="2:3" ht="18" x14ac:dyDescent="0.35">
      <c r="B129" s="39"/>
      <c r="C129" s="39"/>
    </row>
    <row r="130" spans="2:3" ht="18" x14ac:dyDescent="0.35">
      <c r="B130" s="39"/>
      <c r="C130" s="39"/>
    </row>
    <row r="131" spans="2:3" ht="18" x14ac:dyDescent="0.35">
      <c r="B131" s="39"/>
      <c r="C131" s="39"/>
    </row>
    <row r="132" spans="2:3" ht="18" x14ac:dyDescent="0.35">
      <c r="B132" s="39"/>
      <c r="C132" s="39"/>
    </row>
    <row r="133" spans="2:3" ht="18" x14ac:dyDescent="0.35">
      <c r="B133" s="39"/>
      <c r="C133" s="39"/>
    </row>
    <row r="134" spans="2:3" ht="18" x14ac:dyDescent="0.35">
      <c r="B134" s="39"/>
      <c r="C134" s="39"/>
    </row>
    <row r="135" spans="2:3" ht="18" x14ac:dyDescent="0.35">
      <c r="B135" s="39"/>
      <c r="C135" s="39"/>
    </row>
    <row r="136" spans="2:3" ht="18" x14ac:dyDescent="0.35">
      <c r="B136" s="39"/>
      <c r="C136" s="39"/>
    </row>
    <row r="137" spans="2:3" ht="18" x14ac:dyDescent="0.35">
      <c r="B137" s="39"/>
      <c r="C137" s="39"/>
    </row>
    <row r="138" spans="2:3" ht="18" x14ac:dyDescent="0.35">
      <c r="B138" s="39"/>
      <c r="C138" s="39"/>
    </row>
    <row r="139" spans="2:3" ht="18" x14ac:dyDescent="0.35">
      <c r="B139" s="39"/>
      <c r="C139" s="39"/>
    </row>
    <row r="140" spans="2:3" ht="18" x14ac:dyDescent="0.35">
      <c r="B140" s="39"/>
      <c r="C140" s="39"/>
    </row>
    <row r="141" spans="2:3" ht="18" x14ac:dyDescent="0.35">
      <c r="B141" s="39"/>
      <c r="C141" s="39"/>
    </row>
    <row r="142" spans="2:3" ht="18" x14ac:dyDescent="0.35">
      <c r="B142" s="39"/>
      <c r="C142" s="39"/>
    </row>
    <row r="143" spans="2:3" ht="18" x14ac:dyDescent="0.35">
      <c r="B143" s="39"/>
      <c r="C143" s="39"/>
    </row>
    <row r="144" spans="2:3" ht="18" x14ac:dyDescent="0.35">
      <c r="B144" s="39"/>
      <c r="C144" s="39"/>
    </row>
    <row r="145" spans="2:3" ht="18" x14ac:dyDescent="0.35">
      <c r="B145" s="39"/>
      <c r="C145" s="39"/>
    </row>
    <row r="146" spans="2:3" ht="18" x14ac:dyDescent="0.35">
      <c r="B146" s="39"/>
      <c r="C146" s="39"/>
    </row>
    <row r="147" spans="2:3" ht="18" x14ac:dyDescent="0.35">
      <c r="B147" s="39"/>
      <c r="C147" s="39"/>
    </row>
    <row r="148" spans="2:3" ht="18" x14ac:dyDescent="0.35">
      <c r="B148" s="39"/>
      <c r="C148" s="39"/>
    </row>
    <row r="149" spans="2:3" ht="18" x14ac:dyDescent="0.35">
      <c r="B149" s="39"/>
      <c r="C149" s="39"/>
    </row>
    <row r="150" spans="2:3" ht="18" x14ac:dyDescent="0.35">
      <c r="B150" s="39"/>
      <c r="C150" s="39"/>
    </row>
    <row r="151" spans="2:3" ht="18" x14ac:dyDescent="0.35">
      <c r="B151" s="39"/>
      <c r="C151" s="39"/>
    </row>
    <row r="152" spans="2:3" ht="18" x14ac:dyDescent="0.35">
      <c r="B152" s="39"/>
      <c r="C152" s="39"/>
    </row>
    <row r="153" spans="2:3" ht="18" x14ac:dyDescent="0.35">
      <c r="B153" s="39"/>
      <c r="C153" s="39"/>
    </row>
    <row r="154" spans="2:3" ht="18" x14ac:dyDescent="0.35">
      <c r="B154" s="39"/>
      <c r="C154" s="39"/>
    </row>
    <row r="155" spans="2:3" ht="18" x14ac:dyDescent="0.35">
      <c r="B155" s="39"/>
      <c r="C155" s="39"/>
    </row>
    <row r="156" spans="2:3" ht="18" x14ac:dyDescent="0.35">
      <c r="B156" s="39"/>
      <c r="C156" s="39"/>
    </row>
    <row r="157" spans="2:3" ht="18" x14ac:dyDescent="0.35">
      <c r="B157" s="39"/>
      <c r="C157" s="39"/>
    </row>
    <row r="158" spans="2:3" ht="18" x14ac:dyDescent="0.35">
      <c r="B158" s="39"/>
      <c r="C158" s="39"/>
    </row>
    <row r="159" spans="2:3" ht="18" x14ac:dyDescent="0.35">
      <c r="B159" s="39"/>
      <c r="C159" s="39"/>
    </row>
    <row r="160" spans="2:3" ht="18" x14ac:dyDescent="0.35">
      <c r="B160" s="39"/>
      <c r="C160" s="39"/>
    </row>
    <row r="161" spans="2:3" ht="18" x14ac:dyDescent="0.35">
      <c r="B161" s="39"/>
      <c r="C161" s="39"/>
    </row>
    <row r="162" spans="2:3" ht="18" x14ac:dyDescent="0.35">
      <c r="B162" s="39"/>
      <c r="C162" s="39"/>
    </row>
    <row r="163" spans="2:3" ht="18" x14ac:dyDescent="0.35">
      <c r="B163" s="39"/>
      <c r="C163" s="39"/>
    </row>
    <row r="164" spans="2:3" ht="18" x14ac:dyDescent="0.35">
      <c r="B164" s="39"/>
      <c r="C164" s="39"/>
    </row>
    <row r="165" spans="2:3" ht="18" x14ac:dyDescent="0.35">
      <c r="B165" s="39"/>
      <c r="C165" s="39"/>
    </row>
    <row r="166" spans="2:3" ht="18" x14ac:dyDescent="0.35">
      <c r="B166" s="39"/>
      <c r="C166" s="39"/>
    </row>
    <row r="167" spans="2:3" ht="18" x14ac:dyDescent="0.35">
      <c r="B167" s="39"/>
      <c r="C167" s="39"/>
    </row>
    <row r="168" spans="2:3" ht="18" x14ac:dyDescent="0.35">
      <c r="B168" s="39"/>
      <c r="C168" s="39"/>
    </row>
    <row r="169" spans="2:3" ht="18" x14ac:dyDescent="0.35">
      <c r="B169" s="39"/>
      <c r="C169" s="39"/>
    </row>
    <row r="170" spans="2:3" ht="18" x14ac:dyDescent="0.35">
      <c r="B170" s="39"/>
      <c r="C170" s="39"/>
    </row>
    <row r="171" spans="2:3" ht="18" x14ac:dyDescent="0.35">
      <c r="B171" s="39"/>
      <c r="C171" s="39"/>
    </row>
    <row r="172" spans="2:3" ht="18" x14ac:dyDescent="0.35">
      <c r="B172" s="39"/>
      <c r="C172" s="39"/>
    </row>
    <row r="173" spans="2:3" ht="18" x14ac:dyDescent="0.35">
      <c r="B173" s="39"/>
      <c r="C173" s="39"/>
    </row>
    <row r="174" spans="2:3" ht="18" x14ac:dyDescent="0.35">
      <c r="B174" s="39"/>
      <c r="C174" s="39"/>
    </row>
    <row r="175" spans="2:3" ht="18" x14ac:dyDescent="0.35">
      <c r="B175" s="39"/>
      <c r="C175" s="39"/>
    </row>
    <row r="176" spans="2:3" ht="18" x14ac:dyDescent="0.35">
      <c r="B176" s="39"/>
      <c r="C176" s="39"/>
    </row>
    <row r="177" spans="2:3" ht="18" x14ac:dyDescent="0.35">
      <c r="B177" s="39"/>
      <c r="C177" s="39"/>
    </row>
    <row r="178" spans="2:3" ht="18" x14ac:dyDescent="0.35">
      <c r="B178" s="39"/>
      <c r="C178" s="39"/>
    </row>
    <row r="179" spans="2:3" ht="18" x14ac:dyDescent="0.35">
      <c r="B179" s="39"/>
      <c r="C179" s="39"/>
    </row>
    <row r="180" spans="2:3" ht="18" x14ac:dyDescent="0.35">
      <c r="B180" s="39"/>
      <c r="C180" s="39"/>
    </row>
    <row r="181" spans="2:3" ht="18" x14ac:dyDescent="0.35">
      <c r="B181" s="39"/>
      <c r="C181" s="39"/>
    </row>
    <row r="182" spans="2:3" ht="18" x14ac:dyDescent="0.35">
      <c r="B182" s="39"/>
      <c r="C182" s="39"/>
    </row>
    <row r="183" spans="2:3" ht="18" x14ac:dyDescent="0.35">
      <c r="B183" s="39"/>
      <c r="C183" s="39"/>
    </row>
    <row r="184" spans="2:3" ht="18" x14ac:dyDescent="0.35">
      <c r="B184" s="39"/>
      <c r="C184" s="39"/>
    </row>
    <row r="185" spans="2:3" ht="18" x14ac:dyDescent="0.35">
      <c r="B185" s="39"/>
      <c r="C185" s="39"/>
    </row>
    <row r="186" spans="2:3" ht="18" x14ac:dyDescent="0.35">
      <c r="B186" s="39"/>
      <c r="C186" s="39"/>
    </row>
    <row r="187" spans="2:3" ht="18" x14ac:dyDescent="0.35">
      <c r="B187" s="39"/>
      <c r="C187" s="39"/>
    </row>
    <row r="188" spans="2:3" ht="18" x14ac:dyDescent="0.35">
      <c r="B188" s="39"/>
      <c r="C188" s="39"/>
    </row>
    <row r="189" spans="2:3" ht="18" x14ac:dyDescent="0.35">
      <c r="B189" s="39"/>
      <c r="C189" s="39"/>
    </row>
    <row r="190" spans="2:3" ht="18" x14ac:dyDescent="0.35">
      <c r="B190" s="39"/>
      <c r="C190" s="39"/>
    </row>
    <row r="191" spans="2:3" ht="18" x14ac:dyDescent="0.35">
      <c r="B191" s="39"/>
      <c r="C191" s="39"/>
    </row>
    <row r="192" spans="2:3" ht="18" x14ac:dyDescent="0.35">
      <c r="B192" s="39"/>
      <c r="C192" s="39"/>
    </row>
    <row r="193" spans="2:3" ht="18" x14ac:dyDescent="0.35">
      <c r="B193" s="39"/>
      <c r="C193" s="39"/>
    </row>
    <row r="194" spans="2:3" ht="18" x14ac:dyDescent="0.35">
      <c r="B194" s="39"/>
      <c r="C194" s="39"/>
    </row>
    <row r="195" spans="2:3" ht="18" x14ac:dyDescent="0.35">
      <c r="B195" s="39"/>
      <c r="C195" s="39"/>
    </row>
    <row r="196" spans="2:3" ht="18" x14ac:dyDescent="0.35">
      <c r="B196" s="39"/>
      <c r="C196" s="39"/>
    </row>
    <row r="197" spans="2:3" ht="18" x14ac:dyDescent="0.35">
      <c r="B197" s="39"/>
      <c r="C197" s="39"/>
    </row>
    <row r="198" spans="2:3" ht="18" x14ac:dyDescent="0.35">
      <c r="B198" s="39"/>
      <c r="C198" s="39"/>
    </row>
    <row r="199" spans="2:3" ht="18" x14ac:dyDescent="0.35">
      <c r="B199" s="39"/>
      <c r="C199" s="39"/>
    </row>
    <row r="200" spans="2:3" ht="18" x14ac:dyDescent="0.35">
      <c r="B200" s="39"/>
      <c r="C200" s="39"/>
    </row>
    <row r="201" spans="2:3" ht="18" x14ac:dyDescent="0.35">
      <c r="B201" s="39"/>
      <c r="C201" s="39"/>
    </row>
    <row r="202" spans="2:3" ht="18" x14ac:dyDescent="0.35">
      <c r="B202" s="39"/>
      <c r="C202" s="39"/>
    </row>
    <row r="203" spans="2:3" ht="18" x14ac:dyDescent="0.35">
      <c r="B203" s="39"/>
      <c r="C203" s="39"/>
    </row>
    <row r="204" spans="2:3" ht="18" x14ac:dyDescent="0.35">
      <c r="B204" s="39"/>
      <c r="C204" s="39"/>
    </row>
    <row r="205" spans="2:3" ht="18" x14ac:dyDescent="0.35">
      <c r="B205" s="39"/>
      <c r="C205" s="39"/>
    </row>
    <row r="206" spans="2:3" ht="18" x14ac:dyDescent="0.35">
      <c r="B206" s="39"/>
      <c r="C206" s="39"/>
    </row>
    <row r="207" spans="2:3" ht="18" x14ac:dyDescent="0.35">
      <c r="B207" s="39"/>
      <c r="C207" s="39"/>
    </row>
    <row r="208" spans="2:3" ht="18" x14ac:dyDescent="0.35">
      <c r="B208" s="39"/>
      <c r="C208" s="39"/>
    </row>
    <row r="209" spans="2:3" ht="18" x14ac:dyDescent="0.35">
      <c r="B209" s="39"/>
      <c r="C209" s="39"/>
    </row>
    <row r="210" spans="2:3" ht="18" x14ac:dyDescent="0.35">
      <c r="B210" s="39"/>
      <c r="C210" s="39"/>
    </row>
    <row r="211" spans="2:3" ht="18" x14ac:dyDescent="0.35">
      <c r="B211" s="39"/>
      <c r="C211" s="39"/>
    </row>
    <row r="212" spans="2:3" ht="18" x14ac:dyDescent="0.35">
      <c r="B212" s="39"/>
      <c r="C212" s="39"/>
    </row>
    <row r="213" spans="2:3" ht="18" x14ac:dyDescent="0.35">
      <c r="B213" s="39"/>
      <c r="C213" s="39"/>
    </row>
    <row r="214" spans="2:3" ht="18" x14ac:dyDescent="0.35">
      <c r="B214" s="39"/>
      <c r="C214" s="39"/>
    </row>
    <row r="215" spans="2:3" ht="18" x14ac:dyDescent="0.35">
      <c r="B215" s="39"/>
      <c r="C215" s="39"/>
    </row>
    <row r="216" spans="2:3" ht="18" x14ac:dyDescent="0.35">
      <c r="B216" s="39"/>
      <c r="C216" s="39"/>
    </row>
    <row r="217" spans="2:3" ht="18" x14ac:dyDescent="0.35">
      <c r="B217" s="39"/>
      <c r="C217" s="39"/>
    </row>
    <row r="218" spans="2:3" ht="18" x14ac:dyDescent="0.35">
      <c r="B218" s="39"/>
      <c r="C218" s="39"/>
    </row>
    <row r="219" spans="2:3" ht="18" x14ac:dyDescent="0.35">
      <c r="B219" s="39"/>
      <c r="C219" s="39"/>
    </row>
    <row r="220" spans="2:3" ht="18" x14ac:dyDescent="0.35">
      <c r="B220" s="39"/>
      <c r="C220" s="39"/>
    </row>
    <row r="221" spans="2:3" ht="18" x14ac:dyDescent="0.35">
      <c r="B221" s="39"/>
      <c r="C221" s="39"/>
    </row>
    <row r="222" spans="2:3" ht="18" x14ac:dyDescent="0.35">
      <c r="B222" s="39"/>
      <c r="C222" s="39"/>
    </row>
    <row r="223" spans="2:3" ht="18" x14ac:dyDescent="0.35">
      <c r="B223" s="39"/>
      <c r="C223" s="39"/>
    </row>
    <row r="224" spans="2:3" ht="18" x14ac:dyDescent="0.35">
      <c r="B224" s="39"/>
      <c r="C224" s="39"/>
    </row>
    <row r="225" spans="2:3" ht="18" x14ac:dyDescent="0.35">
      <c r="B225" s="39"/>
      <c r="C225" s="39"/>
    </row>
    <row r="226" spans="2:3" ht="18" x14ac:dyDescent="0.35">
      <c r="B226" s="39"/>
      <c r="C226" s="39"/>
    </row>
    <row r="227" spans="2:3" ht="18" x14ac:dyDescent="0.35">
      <c r="B227" s="39"/>
      <c r="C227" s="39"/>
    </row>
    <row r="228" spans="2:3" ht="18" x14ac:dyDescent="0.35">
      <c r="B228" s="39"/>
      <c r="C228" s="39"/>
    </row>
    <row r="229" spans="2:3" ht="18" x14ac:dyDescent="0.35">
      <c r="B229" s="39"/>
      <c r="C229" s="39"/>
    </row>
    <row r="230" spans="2:3" ht="18" x14ac:dyDescent="0.35">
      <c r="B230" s="39"/>
      <c r="C230" s="39"/>
    </row>
    <row r="231" spans="2:3" ht="18" x14ac:dyDescent="0.35">
      <c r="B231" s="39"/>
      <c r="C231" s="39"/>
    </row>
    <row r="232" spans="2:3" ht="18" x14ac:dyDescent="0.35">
      <c r="B232" s="39"/>
      <c r="C232" s="39"/>
    </row>
    <row r="233" spans="2:3" ht="18" x14ac:dyDescent="0.35">
      <c r="B233" s="39"/>
      <c r="C233" s="39"/>
    </row>
    <row r="234" spans="2:3" ht="18" x14ac:dyDescent="0.35">
      <c r="B234" s="39"/>
      <c r="C234" s="39"/>
    </row>
    <row r="235" spans="2:3" ht="18" x14ac:dyDescent="0.35">
      <c r="B235" s="39"/>
      <c r="C235" s="39"/>
    </row>
    <row r="236" spans="2:3" ht="18" x14ac:dyDescent="0.35">
      <c r="B236" s="39"/>
      <c r="C236" s="39"/>
    </row>
    <row r="237" spans="2:3" ht="18" x14ac:dyDescent="0.35">
      <c r="B237" s="39"/>
      <c r="C237" s="39"/>
    </row>
    <row r="238" spans="2:3" ht="18" x14ac:dyDescent="0.35">
      <c r="B238" s="39"/>
      <c r="C238" s="39"/>
    </row>
    <row r="239" spans="2:3" ht="18" x14ac:dyDescent="0.35">
      <c r="B239" s="39"/>
      <c r="C239" s="39"/>
    </row>
    <row r="240" spans="2:3" ht="18" x14ac:dyDescent="0.35">
      <c r="B240" s="39"/>
      <c r="C240" s="39"/>
    </row>
    <row r="241" spans="2:3" ht="18" x14ac:dyDescent="0.35">
      <c r="B241" s="39"/>
      <c r="C241" s="39"/>
    </row>
    <row r="242" spans="2:3" ht="18" x14ac:dyDescent="0.35">
      <c r="B242" s="39"/>
      <c r="C242" s="39"/>
    </row>
    <row r="243" spans="2:3" ht="18" x14ac:dyDescent="0.35">
      <c r="B243" s="39"/>
      <c r="C243" s="39"/>
    </row>
    <row r="244" spans="2:3" ht="18" x14ac:dyDescent="0.35">
      <c r="B244" s="39"/>
      <c r="C244" s="39"/>
    </row>
  </sheetData>
  <mergeCells count="1">
    <mergeCell ref="C61:D61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973E-7A44-4144-BFCB-EE6BA2E0B8C3}">
  <dimension ref="A1:M52"/>
  <sheetViews>
    <sheetView topLeftCell="A32" workbookViewId="0">
      <selection activeCell="G47" sqref="G47"/>
    </sheetView>
  </sheetViews>
  <sheetFormatPr baseColWidth="10" defaultColWidth="11.5546875" defaultRowHeight="18" x14ac:dyDescent="0.35"/>
  <cols>
    <col min="1" max="1" width="11.5546875" style="20"/>
    <col min="2" max="2" width="40.6640625" style="20" bestFit="1" customWidth="1"/>
    <col min="3" max="3" width="15.33203125" style="20" bestFit="1" customWidth="1"/>
    <col min="4" max="4" width="19.33203125" style="20" bestFit="1" customWidth="1"/>
    <col min="5" max="7" width="11.5546875" style="20"/>
    <col min="8" max="8" width="23.88671875" style="20" bestFit="1" customWidth="1"/>
    <col min="9" max="9" width="11.5546875" style="20"/>
    <col min="10" max="11" width="12.33203125" style="20" bestFit="1" customWidth="1"/>
    <col min="12" max="12" width="11.5546875" style="20"/>
    <col min="13" max="13" width="15.44140625" style="20" bestFit="1" customWidth="1"/>
    <col min="14" max="16384" width="11.5546875" style="20"/>
  </cols>
  <sheetData>
    <row r="1" spans="1:4" x14ac:dyDescent="0.35">
      <c r="A1" s="19" t="s">
        <v>84</v>
      </c>
      <c r="B1" s="19"/>
      <c r="C1" s="19"/>
    </row>
    <row r="3" spans="1:4" x14ac:dyDescent="0.35">
      <c r="A3" s="20" t="s">
        <v>85</v>
      </c>
    </row>
    <row r="4" spans="1:4" x14ac:dyDescent="0.35">
      <c r="A4" s="20" t="s">
        <v>86</v>
      </c>
    </row>
    <row r="6" spans="1:4" x14ac:dyDescent="0.35">
      <c r="B6" s="35"/>
      <c r="C6" s="35" t="s">
        <v>88</v>
      </c>
      <c r="D6" s="35" t="s">
        <v>89</v>
      </c>
    </row>
    <row r="7" spans="1:4" x14ac:dyDescent="0.35">
      <c r="B7" s="35" t="s">
        <v>87</v>
      </c>
      <c r="C7" s="36">
        <v>25000</v>
      </c>
      <c r="D7" s="36">
        <v>18000</v>
      </c>
    </row>
    <row r="8" spans="1:4" x14ac:dyDescent="0.35">
      <c r="B8" s="35" t="s">
        <v>90</v>
      </c>
      <c r="C8" s="36">
        <v>18000</v>
      </c>
      <c r="D8" s="36">
        <v>25000</v>
      </c>
    </row>
    <row r="9" spans="1:4" x14ac:dyDescent="0.35">
      <c r="B9" s="35" t="s">
        <v>67</v>
      </c>
      <c r="C9" s="37">
        <v>30</v>
      </c>
      <c r="D9" s="37">
        <v>30</v>
      </c>
    </row>
    <row r="10" spans="1:4" x14ac:dyDescent="0.35">
      <c r="B10" s="35" t="s">
        <v>91</v>
      </c>
      <c r="C10" s="37">
        <v>16</v>
      </c>
      <c r="D10" s="37">
        <v>16</v>
      </c>
    </row>
    <row r="11" spans="1:4" x14ac:dyDescent="0.35">
      <c r="B11" s="35" t="s">
        <v>92</v>
      </c>
      <c r="C11" s="37">
        <v>180000</v>
      </c>
      <c r="D11" s="37">
        <v>180000</v>
      </c>
    </row>
    <row r="12" spans="1:4" x14ac:dyDescent="0.35">
      <c r="B12" s="35" t="s">
        <v>64</v>
      </c>
      <c r="C12" s="37">
        <v>100000</v>
      </c>
      <c r="D12" s="37">
        <v>100000</v>
      </c>
    </row>
    <row r="14" spans="1:4" x14ac:dyDescent="0.35">
      <c r="A14" s="20" t="s">
        <v>93</v>
      </c>
    </row>
    <row r="15" spans="1:4" x14ac:dyDescent="0.35">
      <c r="A15" s="24" t="s">
        <v>95</v>
      </c>
      <c r="B15" s="20" t="s">
        <v>153</v>
      </c>
    </row>
    <row r="16" spans="1:4" x14ac:dyDescent="0.35">
      <c r="A16" s="24"/>
      <c r="B16" s="20" t="s">
        <v>94</v>
      </c>
    </row>
    <row r="17" spans="1:13" x14ac:dyDescent="0.35">
      <c r="A17" s="24" t="s">
        <v>96</v>
      </c>
      <c r="B17" s="20" t="s">
        <v>97</v>
      </c>
    </row>
    <row r="19" spans="1:13" x14ac:dyDescent="0.35">
      <c r="A19" s="24" t="s">
        <v>95</v>
      </c>
      <c r="B19" s="20" t="s">
        <v>153</v>
      </c>
    </row>
    <row r="20" spans="1:13" x14ac:dyDescent="0.35">
      <c r="B20" s="19" t="s">
        <v>88</v>
      </c>
    </row>
    <row r="21" spans="1:13" x14ac:dyDescent="0.35">
      <c r="C21" s="81" t="s">
        <v>154</v>
      </c>
      <c r="D21" s="80" t="s">
        <v>155</v>
      </c>
    </row>
    <row r="22" spans="1:13" x14ac:dyDescent="0.35">
      <c r="C22" s="70"/>
    </row>
    <row r="23" spans="1:13" x14ac:dyDescent="0.35">
      <c r="B23" s="20" t="s">
        <v>156</v>
      </c>
      <c r="C23" s="71">
        <f>+C9*C8</f>
        <v>540000</v>
      </c>
      <c r="D23" s="67">
        <f>+C9*C8</f>
        <v>540000</v>
      </c>
    </row>
    <row r="24" spans="1:13" x14ac:dyDescent="0.35">
      <c r="B24" s="20" t="s">
        <v>134</v>
      </c>
      <c r="C24" s="72">
        <f>-H30</f>
        <v>-417600</v>
      </c>
      <c r="D24" s="68">
        <f>-M25</f>
        <v>-288000</v>
      </c>
      <c r="F24" s="20" t="s">
        <v>134</v>
      </c>
      <c r="H24" s="20" t="s">
        <v>157</v>
      </c>
    </row>
    <row r="25" spans="1:13" x14ac:dyDescent="0.35">
      <c r="B25" s="20" t="s">
        <v>122</v>
      </c>
      <c r="C25" s="73">
        <f>+C23+C24</f>
        <v>122400</v>
      </c>
      <c r="D25" s="38" t="s">
        <v>144</v>
      </c>
      <c r="G25" s="19" t="s">
        <v>158</v>
      </c>
      <c r="H25" s="20" t="s">
        <v>162</v>
      </c>
      <c r="I25" s="47">
        <f>+C10</f>
        <v>16</v>
      </c>
      <c r="J25" s="38" t="s">
        <v>107</v>
      </c>
      <c r="K25" s="67">
        <f>+C8</f>
        <v>18000</v>
      </c>
      <c r="L25" s="38" t="s">
        <v>24</v>
      </c>
      <c r="M25" s="69">
        <f>+I25*K25</f>
        <v>288000</v>
      </c>
    </row>
    <row r="26" spans="1:13" x14ac:dyDescent="0.35">
      <c r="B26" s="20" t="s">
        <v>163</v>
      </c>
      <c r="C26" s="74" t="s">
        <v>144</v>
      </c>
      <c r="D26" s="47">
        <f>+D23+D24</f>
        <v>252000</v>
      </c>
      <c r="G26" s="19" t="s">
        <v>159</v>
      </c>
      <c r="H26" s="20" t="s">
        <v>160</v>
      </c>
      <c r="I26" s="20" t="s">
        <v>161</v>
      </c>
    </row>
    <row r="27" spans="1:13" x14ac:dyDescent="0.35">
      <c r="B27" s="20" t="str">
        <f>+B11</f>
        <v>Costo de fabricacion fijo</v>
      </c>
      <c r="C27" s="74" t="s">
        <v>144</v>
      </c>
      <c r="D27" s="47">
        <f>-C11</f>
        <v>-180000</v>
      </c>
    </row>
    <row r="28" spans="1:13" x14ac:dyDescent="0.35">
      <c r="B28" s="20" t="str">
        <f>+B12</f>
        <v>Gastos de administracion y financieros</v>
      </c>
      <c r="C28" s="72">
        <f>-C12</f>
        <v>-100000</v>
      </c>
      <c r="D28" s="68">
        <f>-C12</f>
        <v>-100000</v>
      </c>
      <c r="G28" s="20" t="s">
        <v>24</v>
      </c>
      <c r="H28" s="47">
        <f>+C10</f>
        <v>16</v>
      </c>
      <c r="I28" s="38" t="s">
        <v>112</v>
      </c>
      <c r="J28" s="68">
        <f>+C11</f>
        <v>180000</v>
      </c>
      <c r="K28" s="20">
        <v>18000</v>
      </c>
    </row>
    <row r="29" spans="1:13" x14ac:dyDescent="0.35">
      <c r="B29" s="20" t="s">
        <v>125</v>
      </c>
      <c r="C29" s="78">
        <f>+C25+C28</f>
        <v>22400</v>
      </c>
      <c r="D29" s="79">
        <f>+D26+D27+D28</f>
        <v>-28000</v>
      </c>
      <c r="J29" s="67">
        <f>+C7</f>
        <v>25000</v>
      </c>
    </row>
    <row r="30" spans="1:13" x14ac:dyDescent="0.35">
      <c r="C30" s="70"/>
      <c r="G30" s="20" t="s">
        <v>24</v>
      </c>
      <c r="H30" s="69">
        <f>(+H28+(J28/J29))*K28</f>
        <v>417600</v>
      </c>
    </row>
    <row r="33" spans="2:9" x14ac:dyDescent="0.35">
      <c r="B33" s="19" t="s">
        <v>89</v>
      </c>
    </row>
    <row r="34" spans="2:9" x14ac:dyDescent="0.35">
      <c r="C34" s="81" t="s">
        <v>154</v>
      </c>
      <c r="D34" s="80" t="s">
        <v>155</v>
      </c>
    </row>
    <row r="35" spans="2:9" x14ac:dyDescent="0.35">
      <c r="B35" s="20" t="s">
        <v>164</v>
      </c>
      <c r="C35" s="71">
        <f>+I35</f>
        <v>750000</v>
      </c>
      <c r="D35" s="67">
        <f>+I35</f>
        <v>750000</v>
      </c>
      <c r="F35" s="20" t="s">
        <v>165</v>
      </c>
      <c r="G35" s="90" t="s">
        <v>166</v>
      </c>
      <c r="H35" s="90"/>
      <c r="I35" s="67">
        <f>+D9*D8</f>
        <v>750000</v>
      </c>
    </row>
    <row r="36" spans="2:9" x14ac:dyDescent="0.35">
      <c r="B36" s="20" t="s">
        <v>134</v>
      </c>
      <c r="C36" s="77">
        <f>-H40</f>
        <v>-630400</v>
      </c>
      <c r="D36" s="76">
        <f>-I37</f>
        <v>-400000</v>
      </c>
      <c r="F36" s="20" t="s">
        <v>134</v>
      </c>
    </row>
    <row r="37" spans="2:9" x14ac:dyDescent="0.35">
      <c r="B37" s="20" t="s">
        <v>122</v>
      </c>
      <c r="C37" s="71">
        <f>+C35+C36</f>
        <v>119600</v>
      </c>
      <c r="D37" s="38" t="s">
        <v>144</v>
      </c>
      <c r="G37" s="19" t="s">
        <v>167</v>
      </c>
      <c r="H37" s="20" t="s">
        <v>168</v>
      </c>
      <c r="I37" s="75">
        <f>+D10*D8</f>
        <v>400000</v>
      </c>
    </row>
    <row r="38" spans="2:9" x14ac:dyDescent="0.35">
      <c r="B38" s="20" t="s">
        <v>163</v>
      </c>
      <c r="C38" s="74" t="s">
        <v>144</v>
      </c>
      <c r="D38" s="67">
        <f>+D35+D36</f>
        <v>350000</v>
      </c>
      <c r="G38" s="19" t="s">
        <v>154</v>
      </c>
      <c r="H38" s="20" t="s">
        <v>169</v>
      </c>
    </row>
    <row r="39" spans="2:9" x14ac:dyDescent="0.35">
      <c r="B39" s="20" t="s">
        <v>92</v>
      </c>
      <c r="C39" s="74" t="s">
        <v>144</v>
      </c>
      <c r="D39" s="47">
        <f>-D11</f>
        <v>-180000</v>
      </c>
      <c r="H39" s="20" t="s">
        <v>170</v>
      </c>
    </row>
    <row r="40" spans="2:9" x14ac:dyDescent="0.35">
      <c r="B40" s="20" t="str">
        <f>+B12</f>
        <v>Gastos de administracion y financieros</v>
      </c>
      <c r="C40" s="72">
        <f>-C12</f>
        <v>-100000</v>
      </c>
      <c r="D40" s="68">
        <f>-D12</f>
        <v>-100000</v>
      </c>
      <c r="G40" s="38" t="s">
        <v>24</v>
      </c>
      <c r="H40" s="75">
        <f>+D10*D8+(C11/C7)*7000 +(D11/D7)*D7</f>
        <v>630400</v>
      </c>
    </row>
    <row r="41" spans="2:9" x14ac:dyDescent="0.35">
      <c r="B41" s="20" t="s">
        <v>171</v>
      </c>
      <c r="C41" s="78">
        <f>+C37+C40</f>
        <v>19600</v>
      </c>
      <c r="D41" s="79">
        <f>+D38+D39+D40</f>
        <v>70000</v>
      </c>
    </row>
    <row r="44" spans="2:9" x14ac:dyDescent="0.35">
      <c r="B44" s="19" t="s">
        <v>172</v>
      </c>
    </row>
    <row r="45" spans="2:9" x14ac:dyDescent="0.35">
      <c r="C45" s="81" t="s">
        <v>154</v>
      </c>
      <c r="D45" s="80" t="s">
        <v>155</v>
      </c>
    </row>
    <row r="46" spans="2:9" x14ac:dyDescent="0.35">
      <c r="B46" s="20" t="s">
        <v>164</v>
      </c>
      <c r="C46" s="67">
        <f>+C23+C35</f>
        <v>1290000</v>
      </c>
      <c r="D46" s="67">
        <f>+D23+D35</f>
        <v>1290000</v>
      </c>
    </row>
    <row r="47" spans="2:9" x14ac:dyDescent="0.35">
      <c r="B47" s="20" t="s">
        <v>134</v>
      </c>
      <c r="C47" s="76">
        <f>+C24+C36</f>
        <v>-1048000</v>
      </c>
      <c r="D47" s="76">
        <f>+D24+D36</f>
        <v>-688000</v>
      </c>
    </row>
    <row r="48" spans="2:9" x14ac:dyDescent="0.35">
      <c r="B48" s="20" t="s">
        <v>122</v>
      </c>
      <c r="C48" s="67">
        <f>+C46+C47</f>
        <v>242000</v>
      </c>
      <c r="D48" s="38" t="s">
        <v>144</v>
      </c>
    </row>
    <row r="49" spans="2:4" x14ac:dyDescent="0.35">
      <c r="B49" s="20" t="s">
        <v>173</v>
      </c>
      <c r="C49" s="38" t="s">
        <v>144</v>
      </c>
      <c r="D49" s="67">
        <f>+D46+D47</f>
        <v>602000</v>
      </c>
    </row>
    <row r="50" spans="2:4" x14ac:dyDescent="0.35">
      <c r="B50" s="20" t="s">
        <v>62</v>
      </c>
      <c r="C50" s="38" t="s">
        <v>144</v>
      </c>
      <c r="D50" s="47">
        <f>+D27+D39</f>
        <v>-360000</v>
      </c>
    </row>
    <row r="51" spans="2:4" x14ac:dyDescent="0.35">
      <c r="B51" s="20" t="str">
        <f>+B40</f>
        <v>Gastos de administracion y financieros</v>
      </c>
      <c r="C51" s="68">
        <f>+C28+C40</f>
        <v>-200000</v>
      </c>
      <c r="D51" s="68">
        <f>+D28+D40</f>
        <v>-200000</v>
      </c>
    </row>
    <row r="52" spans="2:4" x14ac:dyDescent="0.35">
      <c r="B52" s="19" t="str">
        <f>+B41</f>
        <v>Resultado neto</v>
      </c>
      <c r="C52" s="79">
        <f>+C48+C51</f>
        <v>42000</v>
      </c>
      <c r="D52" s="79">
        <f>+D49+D50+D51</f>
        <v>42000</v>
      </c>
    </row>
  </sheetData>
  <mergeCells count="1">
    <mergeCell ref="G35:H3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Produccion equivalente</vt:lpstr>
      <vt:lpstr>Ejercicio Propuesto</vt:lpstr>
      <vt:lpstr>Integral o por absorcion</vt:lpstr>
      <vt:lpstr>Directo o variable</vt:lpstr>
      <vt:lpstr>Costeo Directo e Integral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54116</cp:lastModifiedBy>
  <dcterms:created xsi:type="dcterms:W3CDTF">2020-06-23T03:54:39Z</dcterms:created>
  <dcterms:modified xsi:type="dcterms:W3CDTF">2022-08-16T18:50:23Z</dcterms:modified>
</cp:coreProperties>
</file>