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UTN\2024\RRII\"/>
    </mc:Choice>
  </mc:AlternateContent>
  <xr:revisionPtr revIDLastSave="0" documentId="8_{D91E20FB-1434-4AA7-905F-A2D5B7AD6E36}" xr6:coauthVersionLast="47" xr6:coauthVersionMax="47" xr10:uidLastSave="{00000000-0000-0000-0000-000000000000}"/>
  <bookViews>
    <workbookView xWindow="-120" yWindow="-120" windowWidth="29040" windowHeight="15840" activeTab="3" xr2:uid="{FE191483-A00F-4762-8436-44A98DC9B11A}"/>
  </bookViews>
  <sheets>
    <sheet name="Ejemplo de la ppt" sheetId="1" r:id="rId1"/>
    <sheet name="EJ 1" sheetId="2" r:id="rId2"/>
    <sheet name="Ej 2" sheetId="4" r:id="rId3"/>
    <sheet name="EJ 3" sheetId="3" r:id="rId4"/>
    <sheet name="Ej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C13" i="5"/>
  <c r="H12" i="5"/>
  <c r="C12" i="5"/>
  <c r="C11" i="5"/>
  <c r="C29" i="3"/>
  <c r="C27" i="3"/>
  <c r="C16" i="3"/>
  <c r="C23" i="3"/>
  <c r="C22" i="3"/>
  <c r="C20" i="4"/>
  <c r="C15" i="4"/>
  <c r="C14" i="4"/>
  <c r="G11" i="4"/>
  <c r="C13" i="4"/>
  <c r="C12" i="4"/>
  <c r="C17" i="4"/>
  <c r="C19" i="3"/>
  <c r="C13" i="3"/>
  <c r="C14" i="3"/>
  <c r="G9" i="3"/>
  <c r="C12" i="3"/>
  <c r="D12" i="2"/>
  <c r="C13" i="1"/>
  <c r="C11" i="3"/>
  <c r="D16" i="2"/>
  <c r="D11" i="2"/>
  <c r="D14" i="2"/>
  <c r="D13" i="2"/>
  <c r="I12" i="2"/>
  <c r="G12" i="2"/>
  <c r="G11" i="2"/>
  <c r="C23" i="1"/>
  <c r="C21" i="1"/>
  <c r="C20" i="1"/>
  <c r="C14" i="1"/>
  <c r="C19" i="1"/>
  <c r="C12" i="1"/>
  <c r="I10" i="1"/>
  <c r="C11" i="1"/>
</calcChain>
</file>

<file path=xl/sharedStrings.xml><?xml version="1.0" encoding="utf-8"?>
<sst xmlns="http://schemas.openxmlformats.org/spreadsheetml/2006/main" count="80" uniqueCount="54">
  <si>
    <t>Trabajador 1:</t>
  </si>
  <si>
    <t>Antigüedad: 2años</t>
  </si>
  <si>
    <t xml:space="preserve">Días de vacaciones: 14 días (trabajando el año completo, se toman 360 días) </t>
  </si>
  <si>
    <t>Fecha de renuncia: 15/08/2019</t>
  </si>
  <si>
    <t>Sueldo bruto mensual: $30.000</t>
  </si>
  <si>
    <t>Días trabajados</t>
  </si>
  <si>
    <t>Dias de vacaciones que corresponden</t>
  </si>
  <si>
    <t>Vac no gozadas</t>
  </si>
  <si>
    <t>SAC s/ vac no goz</t>
  </si>
  <si>
    <t>SAC prop</t>
  </si>
  <si>
    <t>Conceptos remunerativo</t>
  </si>
  <si>
    <t>Conceptos remunerativos</t>
  </si>
  <si>
    <t>Conceptos indemnizatorios</t>
  </si>
  <si>
    <t>Indem por antiguedad</t>
  </si>
  <si>
    <t>Integracion mes despido</t>
  </si>
  <si>
    <t>Sac INTEGRACION</t>
  </si>
  <si>
    <t>Indem sustit preaviso</t>
  </si>
  <si>
    <t>1 mes por no dar preaviso</t>
  </si>
  <si>
    <t>SAC preaviso</t>
  </si>
  <si>
    <t>Contexto:</t>
  </si>
  <si>
    <t xml:space="preserve">Usted tiene un empleado que ingresó a su empresa el 01/06/2010 que cobra un salario bruto total de AR$ 40.000 y deja de venir a la empresa por una semana. </t>
  </si>
  <si>
    <t>Usted lo intima a retornar, pero no recibe respuesta. El 16/06/2012 usted envía la 2º carta documento notificando extinción de contrato.</t>
  </si>
  <si>
    <t>Consigna.</t>
  </si>
  <si>
    <t>Determine cuál es la forma de extinción del contrato y calcule el costo del cierre de la relación laboral, teniendo este trabajador 2 años de antigüedad.</t>
  </si>
  <si>
    <t>La forma de extinción del contrato es por abandono de trabajo, ya que el empleado dejó de asistir a la empresa y se lo intimó para que vuelva vía carta documento.</t>
  </si>
  <si>
    <t>SAC s/ vac no gozadas</t>
  </si>
  <si>
    <t>Dias trabajados</t>
  </si>
  <si>
    <t>suma</t>
  </si>
  <si>
    <t xml:space="preserve">Usted tiene un empleado que en enero 2017 cobraba de salario AR$50.000, en marzo de ese año le correspondió cobrar un bono anual equivalente a AR$100.000 y en abril recibió un incremento salarial del 10%. </t>
  </si>
  <si>
    <t>Consigna:</t>
  </si>
  <si>
    <t>Por un cierre de la unidad, el último día de junio se decidió desvincular a la persona. Calcule su indemnización teniendo en cuenta que tiene 2 años de antigüedad.</t>
  </si>
  <si>
    <t>Vac no goz</t>
  </si>
  <si>
    <t>SAC s/vac no goz</t>
  </si>
  <si>
    <t>sal bruto</t>
  </si>
  <si>
    <t>Dias de vac</t>
  </si>
  <si>
    <t>Antiguedad (2 años)</t>
  </si>
  <si>
    <t>Usted decide renunciar el 30/09/2021 a la empresa en la cual trabaja hace 7 años, debido a que recibió una propuesta superadora de otra empresa. Pero antes de finalizar su relación laboral con su actual empleador, negocia una gratificación extraordinaria por el 20% de su sueldo.</t>
  </si>
  <si>
    <t xml:space="preserve">Calcule liquidación final correspondiente considerando estos datos: </t>
  </si>
  <si>
    <t>Fecha de ingreso: 01/07/2014, Sueldo Bruto: $120.000</t>
  </si>
  <si>
    <t>Sueldo bruto</t>
  </si>
  <si>
    <t>Gratificacion extraordinaria</t>
  </si>
  <si>
    <t>dias de vac (21)  prop</t>
  </si>
  <si>
    <t>TOTAL</t>
  </si>
  <si>
    <t>total</t>
  </si>
  <si>
    <t>total remunerativos</t>
  </si>
  <si>
    <t>total indemnizatorios</t>
  </si>
  <si>
    <t xml:space="preserve">Usted tiene un empleado que ingresó a su empresa el 01/06/2018 y cobra como salario bruto total AR$ 50.000 y usted le aseguró OSDE 210 para él como beneficio. </t>
  </si>
  <si>
    <t>El empleado empezó a tener problemas actitudinales que incluyen el haberle gritado a un cliente.</t>
  </si>
  <si>
    <t>Usted decide desvincularlo el 15/08/2018.</t>
  </si>
  <si>
    <t>¿Cuánto le cuesta la desvinculación y qué ocurre con el plan de OSDE?</t>
  </si>
  <si>
    <t>Total remunerativos</t>
  </si>
  <si>
    <t>sal. Bruto</t>
  </si>
  <si>
    <t xml:space="preserve">dias vac </t>
  </si>
  <si>
    <t>Se desvincula con justa causa.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</si>
</sst>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2" fontId="0" fillId="0" borderId="0" xfId="0" applyNumberFormat="1"/>
    <xf numFmtId="0" fontId="5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3253-1CCB-472A-AFE6-2CB234641F28}">
  <dimension ref="A1:J23"/>
  <sheetViews>
    <sheetView workbookViewId="0">
      <selection activeCell="C22" sqref="C22"/>
    </sheetView>
  </sheetViews>
  <sheetFormatPr baseColWidth="10" defaultRowHeight="15" x14ac:dyDescent="0.25"/>
  <cols>
    <col min="2" max="2" width="25.42578125" bestFit="1" customWidth="1"/>
  </cols>
  <sheetData>
    <row r="1" spans="1:10" ht="21" x14ac:dyDescent="0.25">
      <c r="A1" s="1" t="s">
        <v>0</v>
      </c>
    </row>
    <row r="2" spans="1:10" ht="21" x14ac:dyDescent="0.25">
      <c r="A2" s="2" t="s">
        <v>1</v>
      </c>
    </row>
    <row r="3" spans="1:10" ht="21" x14ac:dyDescent="0.25">
      <c r="A3" s="2" t="s">
        <v>2</v>
      </c>
    </row>
    <row r="4" spans="1:10" ht="21" x14ac:dyDescent="0.25">
      <c r="A4" s="2" t="s">
        <v>3</v>
      </c>
    </row>
    <row r="5" spans="1:10" ht="21" x14ac:dyDescent="0.25">
      <c r="A5" s="2" t="s">
        <v>4</v>
      </c>
    </row>
    <row r="9" spans="1:10" x14ac:dyDescent="0.25">
      <c r="I9" t="s">
        <v>6</v>
      </c>
    </row>
    <row r="10" spans="1:10" x14ac:dyDescent="0.25">
      <c r="B10" t="s">
        <v>11</v>
      </c>
      <c r="I10">
        <f>(14/360)*((30*7)+15)</f>
        <v>8.75</v>
      </c>
      <c r="J10">
        <v>9</v>
      </c>
    </row>
    <row r="11" spans="1:10" x14ac:dyDescent="0.25">
      <c r="B11" t="s">
        <v>5</v>
      </c>
      <c r="C11">
        <f>30000/30 * 15</f>
        <v>15000</v>
      </c>
    </row>
    <row r="12" spans="1:10" x14ac:dyDescent="0.25">
      <c r="B12" t="s">
        <v>7</v>
      </c>
      <c r="C12">
        <f>30000/25 * J10</f>
        <v>10800</v>
      </c>
    </row>
    <row r="13" spans="1:10" x14ac:dyDescent="0.25">
      <c r="B13" t="s">
        <v>8</v>
      </c>
      <c r="C13">
        <f>+C12/12</f>
        <v>900</v>
      </c>
    </row>
    <row r="14" spans="1:10" x14ac:dyDescent="0.25">
      <c r="B14" t="s">
        <v>9</v>
      </c>
      <c r="C14">
        <f>15000 * 45 /180</f>
        <v>3750</v>
      </c>
    </row>
    <row r="18" spans="2:4" x14ac:dyDescent="0.25">
      <c r="B18" t="s">
        <v>12</v>
      </c>
    </row>
    <row r="19" spans="2:4" x14ac:dyDescent="0.25">
      <c r="B19" t="s">
        <v>13</v>
      </c>
      <c r="C19">
        <f>30000*2</f>
        <v>60000</v>
      </c>
    </row>
    <row r="20" spans="2:4" x14ac:dyDescent="0.25">
      <c r="B20" t="s">
        <v>14</v>
      </c>
      <c r="C20">
        <f>30000* 15/30</f>
        <v>15000</v>
      </c>
    </row>
    <row r="21" spans="2:4" x14ac:dyDescent="0.25">
      <c r="B21" t="s">
        <v>15</v>
      </c>
      <c r="C21">
        <f>+C20/12</f>
        <v>1250</v>
      </c>
    </row>
    <row r="22" spans="2:4" x14ac:dyDescent="0.25">
      <c r="B22" t="s">
        <v>16</v>
      </c>
      <c r="C22">
        <v>30000</v>
      </c>
      <c r="D22" t="s">
        <v>17</v>
      </c>
    </row>
    <row r="23" spans="2:4" x14ac:dyDescent="0.25">
      <c r="B23" t="s">
        <v>18</v>
      </c>
      <c r="C23">
        <f>+C22/12</f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879C-EC57-4A4B-A1BB-B1430E1410DC}">
  <dimension ref="A1:J16"/>
  <sheetViews>
    <sheetView workbookViewId="0">
      <selection activeCell="D13" sqref="D13"/>
    </sheetView>
  </sheetViews>
  <sheetFormatPr baseColWidth="10" defaultRowHeight="15" x14ac:dyDescent="0.25"/>
  <cols>
    <col min="3" max="3" width="12.7109375" customWidth="1"/>
    <col min="4" max="4" width="11.7109375" customWidth="1"/>
  </cols>
  <sheetData>
    <row r="1" spans="1:10" ht="23.25" x14ac:dyDescent="0.25">
      <c r="A1" s="3" t="s">
        <v>19</v>
      </c>
    </row>
    <row r="2" spans="1:10" ht="23.25" x14ac:dyDescent="0.25">
      <c r="A2" s="3" t="s">
        <v>20</v>
      </c>
    </row>
    <row r="3" spans="1:10" ht="23.25" x14ac:dyDescent="0.25">
      <c r="A3" s="3" t="s">
        <v>21</v>
      </c>
    </row>
    <row r="4" spans="1:10" ht="23.25" x14ac:dyDescent="0.25">
      <c r="A4" s="3" t="s">
        <v>22</v>
      </c>
    </row>
    <row r="5" spans="1:10" ht="23.25" x14ac:dyDescent="0.25">
      <c r="A5" s="3" t="s">
        <v>23</v>
      </c>
    </row>
    <row r="7" spans="1:10" ht="15.75" x14ac:dyDescent="0.25">
      <c r="A7" s="4" t="s">
        <v>24</v>
      </c>
    </row>
    <row r="10" spans="1:10" x14ac:dyDescent="0.25">
      <c r="C10" t="s">
        <v>11</v>
      </c>
      <c r="G10" t="s">
        <v>26</v>
      </c>
    </row>
    <row r="11" spans="1:10" x14ac:dyDescent="0.25">
      <c r="C11" t="s">
        <v>26</v>
      </c>
      <c r="D11">
        <f>+ 40000 * 15/30</f>
        <v>20000</v>
      </c>
      <c r="G11">
        <f>30*5 + 15</f>
        <v>165</v>
      </c>
    </row>
    <row r="12" spans="1:10" x14ac:dyDescent="0.25">
      <c r="C12" t="s">
        <v>9</v>
      </c>
      <c r="D12" s="5">
        <f>20000 * 165/180</f>
        <v>18333.333333333332</v>
      </c>
      <c r="G12">
        <f>165 /360 *  14</f>
        <v>6.4166666666666661</v>
      </c>
      <c r="I12">
        <f>14 / 360   *   165</f>
        <v>6.416666666666667</v>
      </c>
      <c r="J12">
        <v>6</v>
      </c>
    </row>
    <row r="13" spans="1:10" x14ac:dyDescent="0.25">
      <c r="C13" t="s">
        <v>7</v>
      </c>
      <c r="D13">
        <f>40000/25 * 6</f>
        <v>9600</v>
      </c>
    </row>
    <row r="14" spans="1:10" x14ac:dyDescent="0.25">
      <c r="C14" t="s">
        <v>25</v>
      </c>
      <c r="D14">
        <f>+D13/12</f>
        <v>800</v>
      </c>
    </row>
    <row r="16" spans="1:10" x14ac:dyDescent="0.25">
      <c r="C16" t="s">
        <v>27</v>
      </c>
      <c r="D16" s="5">
        <f>+SUM(D11:D14)</f>
        <v>48733.333333333328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4A11-EC3F-49A1-A9E5-2AB0B9323984}">
  <dimension ref="A1:H20"/>
  <sheetViews>
    <sheetView workbookViewId="0">
      <selection activeCell="C8" sqref="C8:D8"/>
    </sheetView>
  </sheetViews>
  <sheetFormatPr baseColWidth="10" defaultRowHeight="15" x14ac:dyDescent="0.25"/>
  <cols>
    <col min="2" max="2" width="24" bestFit="1" customWidth="1"/>
    <col min="3" max="3" width="12.42578125" bestFit="1" customWidth="1"/>
  </cols>
  <sheetData>
    <row r="1" spans="1:8" ht="15.75" x14ac:dyDescent="0.25">
      <c r="A1" s="4" t="s">
        <v>19</v>
      </c>
    </row>
    <row r="2" spans="1:8" ht="15.75" x14ac:dyDescent="0.25">
      <c r="A2" s="4" t="s">
        <v>36</v>
      </c>
    </row>
    <row r="3" spans="1:8" ht="15.75" x14ac:dyDescent="0.25">
      <c r="A3" s="4" t="s">
        <v>29</v>
      </c>
    </row>
    <row r="4" spans="1:8" ht="15.75" x14ac:dyDescent="0.25">
      <c r="A4" s="4" t="s">
        <v>37</v>
      </c>
    </row>
    <row r="5" spans="1:8" ht="15.75" x14ac:dyDescent="0.25">
      <c r="A5" s="4" t="s">
        <v>38</v>
      </c>
    </row>
    <row r="8" spans="1:8" x14ac:dyDescent="0.25">
      <c r="C8" t="s">
        <v>39</v>
      </c>
      <c r="D8">
        <v>120000</v>
      </c>
    </row>
    <row r="10" spans="1:8" x14ac:dyDescent="0.25">
      <c r="B10" t="s">
        <v>11</v>
      </c>
      <c r="G10" t="s">
        <v>41</v>
      </c>
    </row>
    <row r="11" spans="1:8" x14ac:dyDescent="0.25">
      <c r="G11">
        <f>21 * 30*9 / 360</f>
        <v>15.75</v>
      </c>
      <c r="H11">
        <v>16</v>
      </c>
    </row>
    <row r="12" spans="1:8" x14ac:dyDescent="0.25">
      <c r="B12" t="s">
        <v>5</v>
      </c>
      <c r="C12">
        <f>+D8</f>
        <v>120000</v>
      </c>
    </row>
    <row r="13" spans="1:8" x14ac:dyDescent="0.25">
      <c r="B13" t="s">
        <v>9</v>
      </c>
      <c r="C13">
        <f xml:space="preserve"> D8/2 * 90/180</f>
        <v>30000</v>
      </c>
    </row>
    <row r="14" spans="1:8" x14ac:dyDescent="0.25">
      <c r="B14" t="s">
        <v>31</v>
      </c>
      <c r="C14">
        <f>+D8/25 * 16</f>
        <v>76800</v>
      </c>
    </row>
    <row r="15" spans="1:8" x14ac:dyDescent="0.25">
      <c r="B15" t="s">
        <v>8</v>
      </c>
      <c r="C15">
        <f>+C14/12</f>
        <v>6400</v>
      </c>
    </row>
    <row r="17" spans="2:3" x14ac:dyDescent="0.25">
      <c r="B17" t="s">
        <v>40</v>
      </c>
      <c r="C17">
        <f>+D8*0.2</f>
        <v>24000</v>
      </c>
    </row>
    <row r="20" spans="2:3" x14ac:dyDescent="0.25">
      <c r="B20" t="s">
        <v>42</v>
      </c>
      <c r="C20">
        <f>+C17+C15+C14+C13+C12</f>
        <v>257200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F6BD-8A7C-4BB2-A3E4-0EE5C3F40A1A}">
  <dimension ref="A1:G29"/>
  <sheetViews>
    <sheetView tabSelected="1" workbookViewId="0">
      <selection activeCell="C29" sqref="C29"/>
    </sheetView>
  </sheetViews>
  <sheetFormatPr baseColWidth="10" defaultRowHeight="15" x14ac:dyDescent="0.25"/>
  <cols>
    <col min="2" max="2" width="24" bestFit="1" customWidth="1"/>
    <col min="3" max="3" width="15.5703125" bestFit="1" customWidth="1"/>
  </cols>
  <sheetData>
    <row r="1" spans="1:7" ht="18.75" x14ac:dyDescent="0.25">
      <c r="A1" s="6" t="s">
        <v>19</v>
      </c>
    </row>
    <row r="2" spans="1:7" ht="18.75" x14ac:dyDescent="0.25">
      <c r="A2" s="6" t="s">
        <v>28</v>
      </c>
    </row>
    <row r="3" spans="1:7" ht="18.75" x14ac:dyDescent="0.25">
      <c r="A3" s="6" t="s">
        <v>29</v>
      </c>
    </row>
    <row r="4" spans="1:7" ht="18.75" x14ac:dyDescent="0.25">
      <c r="A4" s="6" t="s">
        <v>30</v>
      </c>
    </row>
    <row r="6" spans="1:7" x14ac:dyDescent="0.25">
      <c r="B6" t="s">
        <v>33</v>
      </c>
      <c r="C6">
        <v>110000</v>
      </c>
    </row>
    <row r="8" spans="1:7" x14ac:dyDescent="0.25">
      <c r="G8" t="s">
        <v>34</v>
      </c>
    </row>
    <row r="9" spans="1:7" x14ac:dyDescent="0.25">
      <c r="G9">
        <f>180 / 360 * 14</f>
        <v>7</v>
      </c>
    </row>
    <row r="10" spans="1:7" x14ac:dyDescent="0.25">
      <c r="B10" t="s">
        <v>11</v>
      </c>
    </row>
    <row r="11" spans="1:7" x14ac:dyDescent="0.25">
      <c r="B11" t="s">
        <v>26</v>
      </c>
      <c r="C11">
        <f>+C6</f>
        <v>110000</v>
      </c>
    </row>
    <row r="12" spans="1:7" x14ac:dyDescent="0.25">
      <c r="B12" t="s">
        <v>9</v>
      </c>
      <c r="C12">
        <f>+C6/2 * 180/180</f>
        <v>55000</v>
      </c>
    </row>
    <row r="13" spans="1:7" x14ac:dyDescent="0.25">
      <c r="B13" t="s">
        <v>31</v>
      </c>
      <c r="C13">
        <f>+C11/25 * G9</f>
        <v>30800</v>
      </c>
    </row>
    <row r="14" spans="1:7" x14ac:dyDescent="0.25">
      <c r="B14" t="s">
        <v>32</v>
      </c>
      <c r="C14">
        <f>+C13/12</f>
        <v>2566.6666666666665</v>
      </c>
    </row>
    <row r="16" spans="1:7" x14ac:dyDescent="0.25">
      <c r="B16" t="s">
        <v>44</v>
      </c>
      <c r="C16">
        <f>+C14+C13+C12+C11</f>
        <v>198366.66666666666</v>
      </c>
    </row>
    <row r="18" spans="2:3" x14ac:dyDescent="0.25">
      <c r="B18" t="s">
        <v>12</v>
      </c>
    </row>
    <row r="19" spans="2:3" x14ac:dyDescent="0.25">
      <c r="B19" t="s">
        <v>35</v>
      </c>
      <c r="C19">
        <f>+C6*2</f>
        <v>220000</v>
      </c>
    </row>
    <row r="20" spans="2:3" x14ac:dyDescent="0.25">
      <c r="B20" t="s">
        <v>14</v>
      </c>
      <c r="C20">
        <v>0</v>
      </c>
    </row>
    <row r="21" spans="2:3" x14ac:dyDescent="0.25">
      <c r="B21" t="s">
        <v>15</v>
      </c>
      <c r="C21">
        <v>0</v>
      </c>
    </row>
    <row r="22" spans="2:3" x14ac:dyDescent="0.25">
      <c r="B22" t="s">
        <v>16</v>
      </c>
      <c r="C22">
        <f>+C6</f>
        <v>110000</v>
      </c>
    </row>
    <row r="23" spans="2:3" x14ac:dyDescent="0.25">
      <c r="B23" t="s">
        <v>18</v>
      </c>
      <c r="C23">
        <f>+C22/12</f>
        <v>9166.6666666666661</v>
      </c>
    </row>
    <row r="27" spans="2:3" x14ac:dyDescent="0.25">
      <c r="B27" t="s">
        <v>45</v>
      </c>
      <c r="C27">
        <f>C19+C23+C22+C21+C20</f>
        <v>339166.66666666663</v>
      </c>
    </row>
    <row r="29" spans="2:3" x14ac:dyDescent="0.25">
      <c r="B29" t="s">
        <v>43</v>
      </c>
      <c r="C29" s="5">
        <f>+C27+C16</f>
        <v>537533.33333333326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3BF5-32ED-4551-B575-A2792E8BB942}">
  <dimension ref="A1:I22"/>
  <sheetViews>
    <sheetView workbookViewId="0">
      <selection activeCell="D28" sqref="D28"/>
    </sheetView>
  </sheetViews>
  <sheetFormatPr baseColWidth="10" defaultRowHeight="15" x14ac:dyDescent="0.25"/>
  <cols>
    <col min="2" max="2" width="23.140625" bestFit="1" customWidth="1"/>
  </cols>
  <sheetData>
    <row r="1" spans="1:9" ht="18.75" x14ac:dyDescent="0.25">
      <c r="A1" s="6" t="s">
        <v>19</v>
      </c>
    </row>
    <row r="2" spans="1:9" ht="18.75" x14ac:dyDescent="0.25">
      <c r="A2" s="6" t="s">
        <v>46</v>
      </c>
    </row>
    <row r="3" spans="1:9" ht="18.75" x14ac:dyDescent="0.25">
      <c r="A3" s="6" t="s">
        <v>47</v>
      </c>
    </row>
    <row r="4" spans="1:9" ht="18.75" x14ac:dyDescent="0.25">
      <c r="A4" s="6" t="s">
        <v>48</v>
      </c>
    </row>
    <row r="5" spans="1:9" ht="18.75" x14ac:dyDescent="0.25">
      <c r="A5" s="6" t="s">
        <v>29</v>
      </c>
    </row>
    <row r="6" spans="1:9" ht="18.75" x14ac:dyDescent="0.25">
      <c r="A6" s="6" t="s">
        <v>49</v>
      </c>
    </row>
    <row r="8" spans="1:9" x14ac:dyDescent="0.25">
      <c r="C8" t="s">
        <v>51</v>
      </c>
      <c r="D8">
        <v>50000</v>
      </c>
    </row>
    <row r="10" spans="1:9" x14ac:dyDescent="0.25">
      <c r="B10" t="s">
        <v>10</v>
      </c>
    </row>
    <row r="11" spans="1:9" x14ac:dyDescent="0.25">
      <c r="B11" t="s">
        <v>5</v>
      </c>
      <c r="C11">
        <f>50000 * 15/30</f>
        <v>25000</v>
      </c>
      <c r="H11" t="s">
        <v>52</v>
      </c>
    </row>
    <row r="12" spans="1:9" x14ac:dyDescent="0.25">
      <c r="B12" t="s">
        <v>9</v>
      </c>
      <c r="C12">
        <f>+D8/2 * 45/180</f>
        <v>6250</v>
      </c>
      <c r="H12">
        <f>14 * 225/360</f>
        <v>8.75</v>
      </c>
      <c r="I12">
        <v>9</v>
      </c>
    </row>
    <row r="13" spans="1:9" x14ac:dyDescent="0.25">
      <c r="B13" t="s">
        <v>31</v>
      </c>
      <c r="C13">
        <f>+D8/25 * I12</f>
        <v>18000</v>
      </c>
    </row>
    <row r="14" spans="1:9" x14ac:dyDescent="0.25">
      <c r="B14" t="s">
        <v>8</v>
      </c>
      <c r="C14">
        <f>+C13/12</f>
        <v>1500</v>
      </c>
    </row>
    <row r="16" spans="1:9" x14ac:dyDescent="0.25">
      <c r="B16" t="s">
        <v>50</v>
      </c>
    </row>
    <row r="22" spans="1:1" x14ac:dyDescent="0.25">
      <c r="A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 de la ppt</vt:lpstr>
      <vt:lpstr>EJ 1</vt:lpstr>
      <vt:lpstr>Ej 2</vt:lpstr>
      <vt:lpstr>EJ 3</vt:lpstr>
      <vt:lpstr>Ej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Santiiago Greco</dc:creator>
  <cp:lastModifiedBy>Santiiago Greco</cp:lastModifiedBy>
  <dcterms:created xsi:type="dcterms:W3CDTF">2024-10-28T01:00:24Z</dcterms:created>
  <dcterms:modified xsi:type="dcterms:W3CDTF">2024-10-28T01:53:15Z</dcterms:modified>
</cp:coreProperties>
</file>