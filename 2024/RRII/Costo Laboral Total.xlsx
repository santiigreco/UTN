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/>
  <mc:AlternateContent xmlns:mc="http://schemas.openxmlformats.org/markup-compatibility/2006">
    <mc:Choice Requires="x15">
      <x15ac:absPath xmlns:x15ac="http://schemas.microsoft.com/office/spreadsheetml/2010/11/ac" url="D:\Descargas\UTN\2024\RRII\"/>
    </mc:Choice>
  </mc:AlternateContent>
  <xr:revisionPtr revIDLastSave="0" documentId="13_ncr:1_{DFD19885-523F-4D24-ABF5-F6544CFF0BDB}" xr6:coauthVersionLast="47" xr6:coauthVersionMax="47" xr10:uidLastSave="{00000000-0000-0000-0000-000000000000}"/>
  <bookViews>
    <workbookView xWindow="-120" yWindow="-120" windowWidth="29040" windowHeight="15840" xr2:uid="{D6A946DF-C210-4A6F-A0C9-F253EA38E9AB}"/>
  </bookViews>
  <sheets>
    <sheet name="Sheet1" sheetId="1" r:id="rId1"/>
    <sheet name="Sheet1 (2)" sheetId="3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6" i="3" l="1"/>
  <c r="K6" i="3" s="1"/>
  <c r="K17" i="1"/>
  <c r="J17" i="3"/>
  <c r="K17" i="3" s="1"/>
  <c r="K19" i="3"/>
  <c r="K18" i="3"/>
  <c r="K16" i="3"/>
  <c r="K10" i="3"/>
  <c r="K9" i="3"/>
  <c r="K8" i="3"/>
  <c r="K7" i="3"/>
  <c r="K5" i="3"/>
  <c r="K4" i="3"/>
  <c r="J16" i="3"/>
  <c r="J7" i="3"/>
  <c r="K8" i="1"/>
  <c r="K5" i="1"/>
  <c r="K19" i="1"/>
  <c r="K18" i="1"/>
  <c r="K16" i="1"/>
  <c r="K15" i="1"/>
  <c r="K4" i="1"/>
  <c r="K10" i="1" s="1"/>
  <c r="K20" i="3" l="1"/>
  <c r="K21" i="3" s="1"/>
  <c r="K21" i="1"/>
  <c r="K9" i="1"/>
</calcChain>
</file>

<file path=xl/sharedStrings.xml><?xml version="1.0" encoding="utf-8"?>
<sst xmlns="http://schemas.openxmlformats.org/spreadsheetml/2006/main" count="62" uniqueCount="31">
  <si>
    <t>AILEN PEREZ</t>
  </si>
  <si>
    <t>NOMBRE:</t>
  </si>
  <si>
    <t>PUESTO:</t>
  </si>
  <si>
    <t>DESARROLLO COMERCIAL</t>
  </si>
  <si>
    <t>SALARIO:</t>
  </si>
  <si>
    <t>PREPAGA:</t>
  </si>
  <si>
    <t>Org.Dinamica</t>
  </si>
  <si>
    <t>Escucha</t>
  </si>
  <si>
    <t>Flex Laboral</t>
  </si>
  <si>
    <t>Bono Desempeño</t>
  </si>
  <si>
    <t>Clase Ingles</t>
  </si>
  <si>
    <t>Semana extra Vacaciones</t>
  </si>
  <si>
    <t>Capacitacion</t>
  </si>
  <si>
    <t>Reintegro Conectividad</t>
  </si>
  <si>
    <t>Vacaciones</t>
  </si>
  <si>
    <t>14 dias</t>
  </si>
  <si>
    <t>SAC</t>
  </si>
  <si>
    <t>7 dias</t>
  </si>
  <si>
    <t>Sistema integrado previsional Arg</t>
  </si>
  <si>
    <t>Fondo Nac de Empleo</t>
  </si>
  <si>
    <t>TOTAL</t>
  </si>
  <si>
    <t>Gasto No Percibido</t>
  </si>
  <si>
    <t>Anual</t>
  </si>
  <si>
    <t>CALCULAR el COSTO LABORAL TOTAL</t>
  </si>
  <si>
    <t>Ella dispone del siguiente de plan de Beneficios:</t>
  </si>
  <si>
    <r>
      <t xml:space="preserve">Ailen Perez, se incorpora al  equipo de Desarrollo Comercial de UTN, con un salario de ARS $100.000, al momento del ingreso le asignan  como prepaga Salutis y tiene un costo total de $8.000 Ars para ella y su grupo familiar. </t>
    </r>
    <r>
      <rPr>
        <b/>
        <sz val="11"/>
        <color rgb="FF000000"/>
        <rFont val="Calibri"/>
        <family val="2"/>
      </rPr>
      <t>Calcule el costo laboral total de Ailen?</t>
    </r>
  </si>
  <si>
    <t>Beneficios:</t>
  </si>
  <si>
    <t>Observaciones</t>
  </si>
  <si>
    <t>INSSJP - PAMI</t>
  </si>
  <si>
    <t>Es del 11%</t>
  </si>
  <si>
    <t>Es del 3%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</si>
</sst>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$&quot;#,##0_);[Red]\(&quot;$&quot;#,##0\)"/>
    <numFmt numFmtId="8" formatCode="&quot;$&quot;#,##0.00_);[Red]\(&quot;$&quot;#,##0.00\)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8"/>
      <color rgb="FF000000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u/>
      <sz val="11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69898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8">
    <xf numFmtId="0" fontId="0" fillId="0" borderId="0" xfId="0"/>
    <xf numFmtId="0" fontId="0" fillId="0" borderId="1" xfId="0" applyBorder="1"/>
    <xf numFmtId="6" fontId="0" fillId="0" borderId="1" xfId="0" applyNumberFormat="1" applyBorder="1"/>
    <xf numFmtId="0" fontId="0" fillId="0" borderId="1" xfId="0" applyBorder="1" applyAlignment="1">
      <alignment horizontal="right"/>
    </xf>
    <xf numFmtId="8" fontId="0" fillId="0" borderId="1" xfId="0" applyNumberFormat="1" applyBorder="1"/>
    <xf numFmtId="0" fontId="0" fillId="0" borderId="1" xfId="0" applyBorder="1" applyAlignment="1">
      <alignment horizontal="center"/>
    </xf>
    <xf numFmtId="0" fontId="0" fillId="2" borderId="1" xfId="0" applyFill="1" applyBorder="1"/>
    <xf numFmtId="9" fontId="0" fillId="2" borderId="1" xfId="1" applyFont="1" applyFill="1" applyBorder="1"/>
    <xf numFmtId="0" fontId="2" fillId="3" borderId="0" xfId="0" applyFont="1" applyFill="1" applyAlignment="1">
      <alignment horizontal="left" vertical="center" readingOrder="1"/>
    </xf>
    <xf numFmtId="0" fontId="0" fillId="3" borderId="0" xfId="0" applyFill="1"/>
    <xf numFmtId="0" fontId="0" fillId="3" borderId="2" xfId="0" applyFill="1" applyBorder="1"/>
    <xf numFmtId="6" fontId="0" fillId="3" borderId="2" xfId="0" applyNumberFormat="1" applyFill="1" applyBorder="1"/>
    <xf numFmtId="0" fontId="0" fillId="4" borderId="1" xfId="0" applyFill="1" applyBorder="1"/>
    <xf numFmtId="10" fontId="0" fillId="5" borderId="1" xfId="0" applyNumberFormat="1" applyFill="1" applyBorder="1"/>
    <xf numFmtId="0" fontId="3" fillId="0" borderId="0" xfId="0" applyFont="1" applyAlignment="1">
      <alignment horizontal="left" vertical="center" wrapText="1" readingOrder="1"/>
    </xf>
    <xf numFmtId="0" fontId="3" fillId="0" borderId="0" xfId="0" applyFont="1" applyAlignment="1">
      <alignment horizontal="left" vertical="center" readingOrder="1"/>
    </xf>
    <xf numFmtId="12" fontId="0" fillId="0" borderId="1" xfId="0" applyNumberFormat="1" applyBorder="1"/>
    <xf numFmtId="0" fontId="5" fillId="0" borderId="0" xfId="0" applyFont="1"/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colors>
    <mruColors>
      <color rgb="FFF698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607947</xdr:colOff>
      <xdr:row>8</xdr:row>
      <xdr:rowOff>53341</xdr:rowOff>
    </xdr:from>
    <xdr:to>
      <xdr:col>7</xdr:col>
      <xdr:colOff>73409</xdr:colOff>
      <xdr:row>22</xdr:row>
      <xdr:rowOff>121921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A249056-73A4-8A75-A207-C9857DD122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7947" y="1630681"/>
          <a:ext cx="5005202" cy="26289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607947</xdr:colOff>
      <xdr:row>8</xdr:row>
      <xdr:rowOff>53341</xdr:rowOff>
    </xdr:from>
    <xdr:to>
      <xdr:col>7</xdr:col>
      <xdr:colOff>73409</xdr:colOff>
      <xdr:row>22</xdr:row>
      <xdr:rowOff>121921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617B08A-AB9C-4A49-A04C-9A6245B577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7947" y="1682116"/>
          <a:ext cx="4923287" cy="273558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3C9CA9-2894-4FDB-ADB8-EC1D0398DA94}">
  <dimension ref="B2:M21"/>
  <sheetViews>
    <sheetView tabSelected="1" workbookViewId="0">
      <selection activeCell="F29" sqref="F29"/>
    </sheetView>
  </sheetViews>
  <sheetFormatPr baseColWidth="10" defaultColWidth="9.140625" defaultRowHeight="15" x14ac:dyDescent="0.25"/>
  <cols>
    <col min="3" max="3" width="22.28515625" customWidth="1"/>
    <col min="4" max="4" width="13.85546875" customWidth="1"/>
    <col min="6" max="6" width="9.140625" bestFit="1" customWidth="1"/>
    <col min="9" max="9" width="29.5703125" customWidth="1"/>
    <col min="10" max="10" width="24.28515625" customWidth="1"/>
    <col min="11" max="11" width="20.28515625" customWidth="1"/>
    <col min="12" max="12" width="19.85546875" customWidth="1"/>
  </cols>
  <sheetData>
    <row r="2" spans="2:13" ht="23.25" x14ac:dyDescent="0.25">
      <c r="B2" s="8" t="s">
        <v>23</v>
      </c>
      <c r="C2" s="9"/>
      <c r="D2" s="9"/>
      <c r="E2" s="9"/>
      <c r="I2" s="1" t="s">
        <v>1</v>
      </c>
      <c r="J2" s="1" t="s">
        <v>0</v>
      </c>
    </row>
    <row r="3" spans="2:13" x14ac:dyDescent="0.25">
      <c r="I3" s="1" t="s">
        <v>2</v>
      </c>
      <c r="J3" s="1" t="s">
        <v>3</v>
      </c>
      <c r="K3" s="5" t="s">
        <v>22</v>
      </c>
      <c r="L3" t="s">
        <v>27</v>
      </c>
    </row>
    <row r="4" spans="2:13" x14ac:dyDescent="0.25">
      <c r="B4" s="14" t="s">
        <v>25</v>
      </c>
      <c r="C4" s="14"/>
      <c r="D4" s="14"/>
      <c r="E4" s="14"/>
      <c r="F4" s="14"/>
      <c r="I4" s="1" t="s">
        <v>4</v>
      </c>
      <c r="J4" s="2">
        <v>100000</v>
      </c>
      <c r="K4" s="2">
        <f>J4*12</f>
        <v>1200000</v>
      </c>
    </row>
    <row r="5" spans="2:13" x14ac:dyDescent="0.25">
      <c r="B5" s="14"/>
      <c r="C5" s="14"/>
      <c r="D5" s="14"/>
      <c r="E5" s="14"/>
      <c r="F5" s="14"/>
      <c r="I5" s="1" t="s">
        <v>5</v>
      </c>
      <c r="J5" s="2">
        <v>8000</v>
      </c>
      <c r="K5" s="2">
        <f>J5*12</f>
        <v>96000</v>
      </c>
    </row>
    <row r="6" spans="2:13" x14ac:dyDescent="0.25">
      <c r="B6" s="14"/>
      <c r="C6" s="14"/>
      <c r="D6" s="14"/>
      <c r="E6" s="14"/>
      <c r="F6" s="14"/>
      <c r="I6" s="1" t="s">
        <v>14</v>
      </c>
      <c r="J6" s="3" t="s">
        <v>15</v>
      </c>
      <c r="K6" s="2">
        <v>50400</v>
      </c>
    </row>
    <row r="7" spans="2:13" x14ac:dyDescent="0.25">
      <c r="B7" s="14"/>
      <c r="C7" s="14"/>
      <c r="D7" s="14"/>
      <c r="E7" s="14"/>
      <c r="F7" s="14"/>
      <c r="I7" s="1" t="s">
        <v>16</v>
      </c>
      <c r="J7" s="1"/>
      <c r="K7" s="2">
        <v>99960</v>
      </c>
    </row>
    <row r="8" spans="2:13" x14ac:dyDescent="0.25">
      <c r="B8" s="15" t="s">
        <v>24</v>
      </c>
      <c r="C8" s="15"/>
      <c r="D8" s="15"/>
      <c r="E8" s="15"/>
      <c r="F8" s="15"/>
      <c r="I8" s="1" t="s">
        <v>18</v>
      </c>
      <c r="J8" s="13">
        <v>0.1077</v>
      </c>
      <c r="K8" s="2">
        <f>J8*K4</f>
        <v>129240</v>
      </c>
      <c r="L8" s="1" t="s">
        <v>29</v>
      </c>
    </row>
    <row r="9" spans="2:13" x14ac:dyDescent="0.25">
      <c r="I9" s="1" t="s">
        <v>28</v>
      </c>
      <c r="J9" s="13">
        <v>1.5900000000000001E-2</v>
      </c>
      <c r="K9" s="2">
        <f>J9*K4</f>
        <v>19080</v>
      </c>
      <c r="L9" s="1" t="s">
        <v>30</v>
      </c>
    </row>
    <row r="10" spans="2:13" x14ac:dyDescent="0.25">
      <c r="I10" s="1" t="s">
        <v>19</v>
      </c>
      <c r="J10" s="13">
        <v>9.4000000000000004E-3</v>
      </c>
      <c r="K10" s="2">
        <f>J10*K4</f>
        <v>11280</v>
      </c>
      <c r="L10" s="1" t="s">
        <v>30</v>
      </c>
    </row>
    <row r="11" spans="2:13" x14ac:dyDescent="0.25">
      <c r="I11" s="12" t="s">
        <v>26</v>
      </c>
      <c r="J11" s="1"/>
      <c r="K11" s="2"/>
    </row>
    <row r="12" spans="2:13" x14ac:dyDescent="0.25">
      <c r="I12" s="1" t="s">
        <v>6</v>
      </c>
      <c r="J12" s="2">
        <v>0</v>
      </c>
      <c r="K12" s="2">
        <v>0</v>
      </c>
    </row>
    <row r="13" spans="2:13" x14ac:dyDescent="0.25">
      <c r="I13" s="1" t="s">
        <v>7</v>
      </c>
      <c r="J13" s="2">
        <v>0</v>
      </c>
      <c r="K13" s="2">
        <v>0</v>
      </c>
    </row>
    <row r="14" spans="2:13" x14ac:dyDescent="0.25">
      <c r="I14" s="1" t="s">
        <v>8</v>
      </c>
      <c r="J14" s="2">
        <v>0</v>
      </c>
      <c r="K14" s="2">
        <v>0</v>
      </c>
    </row>
    <row r="15" spans="2:13" x14ac:dyDescent="0.25">
      <c r="I15" s="1" t="s">
        <v>9</v>
      </c>
      <c r="J15" s="2">
        <v>100000</v>
      </c>
      <c r="K15" s="2">
        <f>J15</f>
        <v>100000</v>
      </c>
    </row>
    <row r="16" spans="2:13" x14ac:dyDescent="0.25">
      <c r="I16" s="1" t="s">
        <v>10</v>
      </c>
      <c r="J16" s="4">
        <v>533.33000000000004</v>
      </c>
      <c r="K16" s="2">
        <f>J16*52</f>
        <v>27733.160000000003</v>
      </c>
      <c r="M16" s="17"/>
    </row>
    <row r="17" spans="9:11" x14ac:dyDescent="0.25">
      <c r="I17" s="1" t="s">
        <v>11</v>
      </c>
      <c r="J17" s="3" t="s">
        <v>17</v>
      </c>
      <c r="K17" s="2">
        <f>K6/2</f>
        <v>25200</v>
      </c>
    </row>
    <row r="18" spans="9:11" x14ac:dyDescent="0.25">
      <c r="I18" s="1" t="s">
        <v>12</v>
      </c>
      <c r="J18" s="2">
        <v>2000</v>
      </c>
      <c r="K18" s="2">
        <f>J18*12</f>
        <v>24000</v>
      </c>
    </row>
    <row r="19" spans="9:11" x14ac:dyDescent="0.25">
      <c r="I19" s="1" t="s">
        <v>13</v>
      </c>
      <c r="J19" s="2">
        <v>4500</v>
      </c>
      <c r="K19" s="2">
        <f>J19</f>
        <v>4500</v>
      </c>
    </row>
    <row r="20" spans="9:11" x14ac:dyDescent="0.25">
      <c r="J20" s="10" t="s">
        <v>20</v>
      </c>
      <c r="K20" s="11">
        <v>1787393.16</v>
      </c>
    </row>
    <row r="21" spans="9:11" x14ac:dyDescent="0.25">
      <c r="J21" s="6" t="s">
        <v>21</v>
      </c>
      <c r="K21" s="7">
        <f>(K20-K4)/K4</f>
        <v>0.48949429999999994</v>
      </c>
    </row>
  </sheetData>
  <mergeCells count="2">
    <mergeCell ref="B4:F7"/>
    <mergeCell ref="B8:F8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527A7F-0F2D-422A-A659-49954F3625F4}">
  <dimension ref="B2:L21"/>
  <sheetViews>
    <sheetView workbookViewId="0">
      <selection activeCell="J27" sqref="J27"/>
    </sheetView>
  </sheetViews>
  <sheetFormatPr baseColWidth="10" defaultColWidth="9.140625" defaultRowHeight="15" x14ac:dyDescent="0.25"/>
  <cols>
    <col min="3" max="3" width="22.28515625" customWidth="1"/>
    <col min="4" max="4" width="13.85546875" customWidth="1"/>
    <col min="6" max="6" width="9.140625" bestFit="1" customWidth="1"/>
    <col min="9" max="9" width="29.5703125" customWidth="1"/>
    <col min="10" max="10" width="24.28515625" customWidth="1"/>
    <col min="11" max="11" width="20.28515625" customWidth="1"/>
    <col min="12" max="12" width="19.85546875" customWidth="1"/>
  </cols>
  <sheetData>
    <row r="2" spans="2:12" ht="23.25" x14ac:dyDescent="0.25">
      <c r="B2" s="8" t="s">
        <v>23</v>
      </c>
      <c r="C2" s="9"/>
      <c r="D2" s="9"/>
      <c r="E2" s="9"/>
      <c r="I2" s="1" t="s">
        <v>1</v>
      </c>
      <c r="J2" s="1" t="s">
        <v>0</v>
      </c>
    </row>
    <row r="3" spans="2:12" x14ac:dyDescent="0.25">
      <c r="I3" s="1" t="s">
        <v>2</v>
      </c>
      <c r="J3" s="1" t="s">
        <v>3</v>
      </c>
      <c r="K3" s="5" t="s">
        <v>22</v>
      </c>
      <c r="L3" t="s">
        <v>27</v>
      </c>
    </row>
    <row r="4" spans="2:12" x14ac:dyDescent="0.25">
      <c r="B4" s="14" t="s">
        <v>25</v>
      </c>
      <c r="C4" s="14"/>
      <c r="D4" s="14"/>
      <c r="E4" s="14"/>
      <c r="F4" s="14"/>
      <c r="I4" s="1" t="s">
        <v>4</v>
      </c>
      <c r="J4" s="2">
        <v>100000</v>
      </c>
      <c r="K4" s="2">
        <f>+J4*12</f>
        <v>1200000</v>
      </c>
    </row>
    <row r="5" spans="2:12" x14ac:dyDescent="0.25">
      <c r="B5" s="14"/>
      <c r="C5" s="14"/>
      <c r="D5" s="14"/>
      <c r="E5" s="14"/>
      <c r="F5" s="14"/>
      <c r="I5" s="1" t="s">
        <v>5</v>
      </c>
      <c r="J5" s="2">
        <v>8000</v>
      </c>
      <c r="K5" s="2">
        <f>+J5*12</f>
        <v>96000</v>
      </c>
    </row>
    <row r="6" spans="2:12" x14ac:dyDescent="0.25">
      <c r="B6" s="14"/>
      <c r="C6" s="14"/>
      <c r="D6" s="14"/>
      <c r="E6" s="14"/>
      <c r="F6" s="14"/>
      <c r="I6" s="1" t="s">
        <v>14</v>
      </c>
      <c r="J6" s="3">
        <f>+J4/25 *14</f>
        <v>56000</v>
      </c>
      <c r="K6" s="2">
        <f>+J6</f>
        <v>56000</v>
      </c>
    </row>
    <row r="7" spans="2:12" x14ac:dyDescent="0.25">
      <c r="B7" s="14"/>
      <c r="C7" s="14"/>
      <c r="D7" s="14"/>
      <c r="E7" s="14"/>
      <c r="F7" s="14"/>
      <c r="I7" s="1" t="s">
        <v>16</v>
      </c>
      <c r="J7" s="2">
        <f>+J4</f>
        <v>100000</v>
      </c>
      <c r="K7" s="2">
        <f>+J7</f>
        <v>100000</v>
      </c>
    </row>
    <row r="8" spans="2:12" x14ac:dyDescent="0.25">
      <c r="B8" s="15" t="s">
        <v>24</v>
      </c>
      <c r="C8" s="15"/>
      <c r="D8" s="15"/>
      <c r="E8" s="15"/>
      <c r="F8" s="15"/>
      <c r="I8" s="1" t="s">
        <v>18</v>
      </c>
      <c r="J8" s="13">
        <v>0.11</v>
      </c>
      <c r="K8" s="2">
        <f>+J8*J4*12</f>
        <v>132000</v>
      </c>
      <c r="L8" s="1" t="s">
        <v>29</v>
      </c>
    </row>
    <row r="9" spans="2:12" x14ac:dyDescent="0.25">
      <c r="I9" s="1" t="s">
        <v>28</v>
      </c>
      <c r="J9" s="13">
        <v>0.03</v>
      </c>
      <c r="K9" s="2">
        <f>+J9*12*J4</f>
        <v>36000</v>
      </c>
      <c r="L9" s="1" t="s">
        <v>30</v>
      </c>
    </row>
    <row r="10" spans="2:12" x14ac:dyDescent="0.25">
      <c r="I10" s="1" t="s">
        <v>19</v>
      </c>
      <c r="J10" s="13">
        <v>0.03</v>
      </c>
      <c r="K10" s="2">
        <f>+J10*K4</f>
        <v>36000</v>
      </c>
      <c r="L10" s="1" t="s">
        <v>30</v>
      </c>
    </row>
    <row r="11" spans="2:12" x14ac:dyDescent="0.25">
      <c r="I11" s="12" t="s">
        <v>26</v>
      </c>
      <c r="J11" s="1"/>
      <c r="K11" s="2"/>
    </row>
    <row r="12" spans="2:12" x14ac:dyDescent="0.25">
      <c r="I12" s="1" t="s">
        <v>6</v>
      </c>
      <c r="J12" s="2">
        <v>0</v>
      </c>
      <c r="K12" s="2">
        <v>0</v>
      </c>
    </row>
    <row r="13" spans="2:12" x14ac:dyDescent="0.25">
      <c r="I13" s="1" t="s">
        <v>7</v>
      </c>
      <c r="J13" s="2">
        <v>0</v>
      </c>
      <c r="K13" s="2">
        <v>0</v>
      </c>
    </row>
    <row r="14" spans="2:12" x14ac:dyDescent="0.25">
      <c r="I14" s="1" t="s">
        <v>8</v>
      </c>
      <c r="J14" s="2">
        <v>0</v>
      </c>
      <c r="K14" s="2">
        <v>0</v>
      </c>
    </row>
    <row r="15" spans="2:12" x14ac:dyDescent="0.25">
      <c r="I15" s="1" t="s">
        <v>9</v>
      </c>
      <c r="J15" s="2">
        <v>100000</v>
      </c>
      <c r="K15" s="2">
        <v>100000</v>
      </c>
    </row>
    <row r="16" spans="2:12" x14ac:dyDescent="0.25">
      <c r="I16" s="1" t="s">
        <v>10</v>
      </c>
      <c r="J16" s="16">
        <f>533.333333333333 *4</f>
        <v>2133.3333333333335</v>
      </c>
      <c r="K16" s="2">
        <f>+J16*12</f>
        <v>25600</v>
      </c>
    </row>
    <row r="17" spans="9:11" x14ac:dyDescent="0.25">
      <c r="I17" s="1" t="s">
        <v>11</v>
      </c>
      <c r="J17" s="3">
        <f>+J4/25 *7</f>
        <v>28000</v>
      </c>
      <c r="K17" s="2">
        <f>+J17</f>
        <v>28000</v>
      </c>
    </row>
    <row r="18" spans="9:11" x14ac:dyDescent="0.25">
      <c r="I18" s="1" t="s">
        <v>12</v>
      </c>
      <c r="J18" s="2">
        <v>2000</v>
      </c>
      <c r="K18" s="2">
        <f>+J18*12</f>
        <v>24000</v>
      </c>
    </row>
    <row r="19" spans="9:11" x14ac:dyDescent="0.25">
      <c r="I19" s="1" t="s">
        <v>13</v>
      </c>
      <c r="J19" s="2">
        <v>4500</v>
      </c>
      <c r="K19" s="2">
        <f>+J19*12</f>
        <v>54000</v>
      </c>
    </row>
    <row r="20" spans="9:11" x14ac:dyDescent="0.25">
      <c r="J20" s="10" t="s">
        <v>20</v>
      </c>
      <c r="K20" s="11">
        <f>+SUM(K4:K19)</f>
        <v>1887600</v>
      </c>
    </row>
    <row r="21" spans="9:11" x14ac:dyDescent="0.25">
      <c r="J21" s="6" t="s">
        <v>21</v>
      </c>
      <c r="K21" s="7">
        <f>(K20-K4)/K4</f>
        <v>0.57299999999999995</v>
      </c>
    </row>
  </sheetData>
  <mergeCells count="2">
    <mergeCell ref="B4:F7"/>
    <mergeCell ref="B8:F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Sheet1</vt:lpstr>
      <vt:lpstr>Sheet1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Jeronimo Galo Isolabella</dc:creator>
  <cp:lastModifiedBy>Santiiago Greco</cp:lastModifiedBy>
  <dcterms:created xsi:type="dcterms:W3CDTF">2024-10-15T02:24:28Z</dcterms:created>
  <dcterms:modified xsi:type="dcterms:W3CDTF">2024-10-28T15:02:06Z</dcterms:modified>
</cp:coreProperties>
</file>