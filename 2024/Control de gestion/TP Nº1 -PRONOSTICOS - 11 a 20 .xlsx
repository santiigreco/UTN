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UTN-industrial\5º año\CDG (GATII-ROGO-PELACCINI-FERREYRA)\TPS\PELACCINI\2023\"/>
    </mc:Choice>
  </mc:AlternateContent>
  <xr:revisionPtr revIDLastSave="0" documentId="13_ncr:1_{5523E530-91E7-45BE-8888-8F46212A1AE3}" xr6:coauthVersionLast="47" xr6:coauthVersionMax="47" xr10:uidLastSave="{00000000-0000-0000-0000-000000000000}"/>
  <bookViews>
    <workbookView xWindow="-108" yWindow="-108" windowWidth="23256" windowHeight="12576" tabRatio="597" activeTab="6" xr2:uid="{00000000-000D-0000-FFFF-FFFF00000000}"/>
  </bookViews>
  <sheets>
    <sheet name="Caratula" sheetId="9" r:id="rId1"/>
    <sheet name="Ej 11" sheetId="1" r:id="rId2"/>
    <sheet name="Ej 12" sheetId="2" r:id="rId3"/>
    <sheet name="Ej 13" sheetId="3" r:id="rId4"/>
    <sheet name="Ej 14" sheetId="4" r:id="rId5"/>
    <sheet name="Ej 15" sheetId="5" r:id="rId6"/>
    <sheet name="ejercicio parcial" sheetId="13" r:id="rId7"/>
    <sheet name="Ej 16" sheetId="12" r:id="rId8"/>
    <sheet name="Ej 17" sheetId="11" r:id="rId9"/>
    <sheet name="Ej 18" sheetId="10" r:id="rId10"/>
    <sheet name="Ej 19" sheetId="8" r:id="rId11"/>
    <sheet name="Ej 20" sheetId="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8" i="5" l="1"/>
  <c r="F48" i="5" s="1"/>
  <c r="E49" i="5"/>
  <c r="F49" i="5" s="1"/>
  <c r="G49" i="5" s="1"/>
  <c r="E50" i="5"/>
  <c r="F50" i="5"/>
  <c r="G50" i="5" s="1"/>
  <c r="E51" i="5"/>
  <c r="F51" i="5"/>
  <c r="E52" i="5"/>
  <c r="F52" i="5"/>
  <c r="E53" i="5"/>
  <c r="F53" i="5"/>
  <c r="E54" i="5"/>
  <c r="F54" i="5"/>
  <c r="E55" i="5"/>
  <c r="F55" i="5"/>
  <c r="E56" i="5"/>
  <c r="F56" i="5"/>
  <c r="E57" i="5"/>
  <c r="F57" i="5"/>
  <c r="E58" i="5"/>
  <c r="F58" i="5"/>
  <c r="E59" i="5"/>
  <c r="F59" i="5"/>
  <c r="G51" i="5" s="1"/>
  <c r="E60" i="5"/>
  <c r="F60" i="5"/>
  <c r="E61" i="5"/>
  <c r="F61" i="5"/>
  <c r="E62" i="5"/>
  <c r="F62" i="5" s="1"/>
  <c r="E63" i="5"/>
  <c r="F63" i="5"/>
  <c r="E64" i="5"/>
  <c r="F64" i="5" s="1"/>
  <c r="E65" i="5"/>
  <c r="F65" i="5"/>
  <c r="E66" i="5"/>
  <c r="F66" i="5" s="1"/>
  <c r="E67" i="5"/>
  <c r="F67" i="5"/>
  <c r="E68" i="5"/>
  <c r="F68" i="5" s="1"/>
  <c r="E69" i="5"/>
  <c r="F69" i="5"/>
  <c r="E70" i="5"/>
  <c r="F70" i="5" s="1"/>
  <c r="E71" i="5"/>
  <c r="F71" i="5"/>
  <c r="E72" i="5"/>
  <c r="F72" i="5" s="1"/>
  <c r="E73" i="5"/>
  <c r="F73" i="5"/>
  <c r="E74" i="5"/>
  <c r="F74" i="5" s="1"/>
  <c r="E14" i="13"/>
  <c r="E8" i="13"/>
  <c r="F8" i="13" s="1"/>
  <c r="G8" i="13" s="1"/>
  <c r="G31" i="11"/>
  <c r="G26" i="11"/>
  <c r="G22" i="11"/>
  <c r="G16" i="11"/>
  <c r="E15" i="13"/>
  <c r="J7" i="13"/>
  <c r="J23" i="13"/>
  <c r="J24" i="13"/>
  <c r="J25" i="13"/>
  <c r="J26" i="13"/>
  <c r="J27" i="13"/>
  <c r="J28" i="13"/>
  <c r="J29" i="13"/>
  <c r="J30" i="13"/>
  <c r="J31" i="13"/>
  <c r="I23" i="13"/>
  <c r="I24" i="13"/>
  <c r="I25" i="13"/>
  <c r="I26" i="13"/>
  <c r="I27" i="13"/>
  <c r="I28" i="13"/>
  <c r="I29" i="13"/>
  <c r="I30" i="13"/>
  <c r="I31" i="13"/>
  <c r="I19" i="13"/>
  <c r="I8" i="13"/>
  <c r="I9" i="13"/>
  <c r="I10" i="13"/>
  <c r="I11" i="13"/>
  <c r="I12" i="13"/>
  <c r="I13" i="13"/>
  <c r="I14" i="13"/>
  <c r="I15" i="13"/>
  <c r="I16" i="13"/>
  <c r="I17" i="13"/>
  <c r="I18" i="13"/>
  <c r="J19" i="13"/>
  <c r="I20" i="13"/>
  <c r="I21" i="13"/>
  <c r="I22" i="13"/>
  <c r="J15" i="13"/>
  <c r="I7" i="13"/>
  <c r="J21" i="13"/>
  <c r="J22" i="13"/>
  <c r="H22" i="13"/>
  <c r="E22" i="13"/>
  <c r="F22" i="13" s="1"/>
  <c r="H21" i="13"/>
  <c r="E21" i="13"/>
  <c r="F21" i="13" s="1"/>
  <c r="J20" i="13"/>
  <c r="H20" i="13"/>
  <c r="E20" i="13"/>
  <c r="F20" i="13" s="1"/>
  <c r="H19" i="13"/>
  <c r="E19" i="13"/>
  <c r="F19" i="13" s="1"/>
  <c r="J18" i="13"/>
  <c r="H18" i="13"/>
  <c r="E18" i="13"/>
  <c r="F18" i="13" s="1"/>
  <c r="J17" i="13"/>
  <c r="H17" i="13"/>
  <c r="E17" i="13"/>
  <c r="F17" i="13" s="1"/>
  <c r="J16" i="13"/>
  <c r="H16" i="13"/>
  <c r="E16" i="13"/>
  <c r="F16" i="13" s="1"/>
  <c r="H15" i="13"/>
  <c r="F15" i="13"/>
  <c r="J14" i="13"/>
  <c r="H14" i="13"/>
  <c r="F14" i="13"/>
  <c r="J13" i="13"/>
  <c r="H13" i="13"/>
  <c r="E13" i="13"/>
  <c r="F13" i="13" s="1"/>
  <c r="J12" i="13"/>
  <c r="H12" i="13"/>
  <c r="E12" i="13"/>
  <c r="F12" i="13" s="1"/>
  <c r="E11" i="13"/>
  <c r="F11" i="13" s="1"/>
  <c r="E10" i="13"/>
  <c r="F10" i="13" s="1"/>
  <c r="E9" i="13"/>
  <c r="F9" i="13" s="1"/>
  <c r="H7" i="13"/>
  <c r="I15" i="11"/>
  <c r="I14" i="11"/>
  <c r="H47" i="5"/>
  <c r="C23" i="3"/>
  <c r="C22" i="3"/>
  <c r="C24" i="3"/>
  <c r="C25" i="3"/>
  <c r="C26" i="3"/>
  <c r="C27" i="3"/>
  <c r="C28" i="3"/>
  <c r="C29" i="3"/>
  <c r="C21" i="3"/>
  <c r="K49" i="12"/>
  <c r="N49" i="12" s="1"/>
  <c r="K48" i="12"/>
  <c r="N48" i="12" s="1"/>
  <c r="K47" i="12"/>
  <c r="N47" i="12" s="1"/>
  <c r="K46" i="12"/>
  <c r="N46" i="12" s="1"/>
  <c r="M43" i="12"/>
  <c r="K43" i="12"/>
  <c r="K42" i="12"/>
  <c r="F42" i="12"/>
  <c r="K41" i="12"/>
  <c r="F41" i="12"/>
  <c r="K40" i="12"/>
  <c r="F40" i="12"/>
  <c r="K39" i="12"/>
  <c r="F39" i="12"/>
  <c r="K38" i="12"/>
  <c r="F38" i="12"/>
  <c r="K37" i="12"/>
  <c r="F37" i="12"/>
  <c r="K36" i="12"/>
  <c r="F36" i="12"/>
  <c r="K35" i="12"/>
  <c r="F35" i="12"/>
  <c r="K34" i="12"/>
  <c r="F34" i="12"/>
  <c r="K33" i="12"/>
  <c r="F33" i="12"/>
  <c r="K32" i="12"/>
  <c r="F32" i="12"/>
  <c r="K31" i="12"/>
  <c r="F31" i="12"/>
  <c r="K30" i="12"/>
  <c r="F30" i="12"/>
  <c r="K29" i="12"/>
  <c r="F29" i="12"/>
  <c r="K28" i="12"/>
  <c r="F28" i="12"/>
  <c r="K27" i="12"/>
  <c r="F27" i="12"/>
  <c r="K26" i="12"/>
  <c r="F26" i="12"/>
  <c r="K25" i="12"/>
  <c r="F25" i="12"/>
  <c r="K24" i="12"/>
  <c r="F24" i="12"/>
  <c r="K23" i="12"/>
  <c r="F23" i="12"/>
  <c r="K22" i="12"/>
  <c r="F22" i="12"/>
  <c r="F21" i="12"/>
  <c r="F20" i="12"/>
  <c r="F19" i="12"/>
  <c r="F18" i="12"/>
  <c r="G18" i="12" s="1"/>
  <c r="H18" i="12" s="1"/>
  <c r="K17" i="12"/>
  <c r="K16" i="12"/>
  <c r="I114" i="11"/>
  <c r="H114" i="11" s="1"/>
  <c r="I113" i="11"/>
  <c r="H113" i="11" s="1"/>
  <c r="I112" i="11"/>
  <c r="H112" i="11" s="1"/>
  <c r="I111" i="11"/>
  <c r="H111" i="11" s="1"/>
  <c r="I110" i="11"/>
  <c r="H110" i="11" s="1"/>
  <c r="I109" i="11"/>
  <c r="H109" i="11" s="1"/>
  <c r="I108" i="11"/>
  <c r="H108" i="11" s="1"/>
  <c r="I107" i="11"/>
  <c r="H107" i="11" s="1"/>
  <c r="I106" i="11"/>
  <c r="H106" i="11" s="1"/>
  <c r="I105" i="11"/>
  <c r="H105" i="11" s="1"/>
  <c r="I104" i="11"/>
  <c r="H104" i="11" s="1"/>
  <c r="I103" i="11"/>
  <c r="H103" i="11" s="1"/>
  <c r="I102" i="11"/>
  <c r="H102" i="11" s="1"/>
  <c r="I101" i="11"/>
  <c r="H101" i="11" s="1"/>
  <c r="I100" i="11"/>
  <c r="H100" i="11" s="1"/>
  <c r="I99" i="11"/>
  <c r="H99" i="11" s="1"/>
  <c r="I98" i="11"/>
  <c r="H98" i="11" s="1"/>
  <c r="I97" i="11"/>
  <c r="H97" i="11" s="1"/>
  <c r="I96" i="11"/>
  <c r="H96" i="11" s="1"/>
  <c r="I95" i="11"/>
  <c r="H95" i="11" s="1"/>
  <c r="I94" i="11"/>
  <c r="H94" i="11" s="1"/>
  <c r="I93" i="11"/>
  <c r="D93" i="11"/>
  <c r="E93" i="11" s="1"/>
  <c r="I92" i="11"/>
  <c r="D92" i="11"/>
  <c r="E92" i="11" s="1"/>
  <c r="J92" i="11" s="1"/>
  <c r="I91" i="11"/>
  <c r="D91" i="11"/>
  <c r="I90" i="11"/>
  <c r="D90" i="11"/>
  <c r="E90" i="11" s="1"/>
  <c r="I89" i="11"/>
  <c r="D89" i="11"/>
  <c r="I88" i="11"/>
  <c r="D88" i="11"/>
  <c r="E88" i="11" s="1"/>
  <c r="I87" i="11"/>
  <c r="D87" i="11"/>
  <c r="I86" i="11"/>
  <c r="D86" i="11"/>
  <c r="I85" i="11"/>
  <c r="D85" i="11"/>
  <c r="E85" i="11" s="1"/>
  <c r="I84" i="11"/>
  <c r="D84" i="11"/>
  <c r="I83" i="11"/>
  <c r="D83" i="11"/>
  <c r="I82" i="11"/>
  <c r="D82" i="11"/>
  <c r="I81" i="11"/>
  <c r="E81" i="11"/>
  <c r="D81" i="11"/>
  <c r="I80" i="11"/>
  <c r="D80" i="11"/>
  <c r="I79" i="11"/>
  <c r="D79" i="11"/>
  <c r="I78" i="11"/>
  <c r="F78" i="11"/>
  <c r="D78" i="11"/>
  <c r="E78" i="11" s="1"/>
  <c r="J78" i="11" s="1"/>
  <c r="I77" i="11"/>
  <c r="D77" i="11"/>
  <c r="E77" i="11" s="1"/>
  <c r="I76" i="11"/>
  <c r="D76" i="11"/>
  <c r="I75" i="11"/>
  <c r="D75" i="11"/>
  <c r="I74" i="11"/>
  <c r="D74" i="11"/>
  <c r="I73" i="11"/>
  <c r="E73" i="11"/>
  <c r="D73" i="11"/>
  <c r="I72" i="11"/>
  <c r="D72" i="11"/>
  <c r="I71" i="11"/>
  <c r="D71" i="11"/>
  <c r="I70" i="11"/>
  <c r="F70" i="11"/>
  <c r="D70" i="11"/>
  <c r="E70" i="11" s="1"/>
  <c r="J70" i="11" s="1"/>
  <c r="I69" i="11"/>
  <c r="D69" i="11"/>
  <c r="E69" i="11" s="1"/>
  <c r="I68" i="11"/>
  <c r="I67" i="11"/>
  <c r="I62" i="11"/>
  <c r="H62" i="11" s="1"/>
  <c r="I61" i="11"/>
  <c r="H61" i="11" s="1"/>
  <c r="I60" i="11"/>
  <c r="H60" i="11" s="1"/>
  <c r="I59" i="11"/>
  <c r="H59" i="11" s="1"/>
  <c r="I58" i="11"/>
  <c r="H58" i="11" s="1"/>
  <c r="I57" i="11"/>
  <c r="H57" i="11" s="1"/>
  <c r="I56" i="11"/>
  <c r="H56" i="11" s="1"/>
  <c r="I55" i="11"/>
  <c r="H55" i="11" s="1"/>
  <c r="I54" i="11"/>
  <c r="H54" i="11" s="1"/>
  <c r="I53" i="11"/>
  <c r="H53" i="11" s="1"/>
  <c r="I52" i="11"/>
  <c r="H52" i="11" s="1"/>
  <c r="I51" i="11"/>
  <c r="H51" i="11" s="1"/>
  <c r="I50" i="11"/>
  <c r="H50" i="11" s="1"/>
  <c r="I49" i="11"/>
  <c r="H49" i="11" s="1"/>
  <c r="I48" i="11"/>
  <c r="H48" i="11" s="1"/>
  <c r="D48" i="11"/>
  <c r="I47" i="11"/>
  <c r="D47" i="11"/>
  <c r="E47" i="11" s="1"/>
  <c r="I46" i="11"/>
  <c r="D46" i="11"/>
  <c r="I45" i="11"/>
  <c r="D45" i="11"/>
  <c r="E45" i="11" s="1"/>
  <c r="I44" i="11"/>
  <c r="D44" i="11"/>
  <c r="I43" i="11"/>
  <c r="D43" i="11"/>
  <c r="E43" i="11" s="1"/>
  <c r="I42" i="11"/>
  <c r="D42" i="11"/>
  <c r="I41" i="11"/>
  <c r="D41" i="11"/>
  <c r="E41" i="11" s="1"/>
  <c r="I40" i="11"/>
  <c r="D40" i="11"/>
  <c r="I39" i="11"/>
  <c r="E39" i="11"/>
  <c r="D39" i="11"/>
  <c r="I38" i="11"/>
  <c r="D38" i="11"/>
  <c r="I37" i="11"/>
  <c r="D37" i="11"/>
  <c r="I36" i="11"/>
  <c r="F36" i="11"/>
  <c r="D36" i="11"/>
  <c r="E36" i="11" s="1"/>
  <c r="J36" i="11" s="1"/>
  <c r="I35" i="11"/>
  <c r="D35" i="11"/>
  <c r="E35" i="11" s="1"/>
  <c r="I34" i="11"/>
  <c r="D34" i="11"/>
  <c r="I33" i="11"/>
  <c r="D33" i="11"/>
  <c r="I32" i="11"/>
  <c r="D32" i="11"/>
  <c r="I31" i="11"/>
  <c r="E31" i="11"/>
  <c r="D31" i="11"/>
  <c r="I30" i="11"/>
  <c r="D30" i="11"/>
  <c r="I29" i="11"/>
  <c r="D29" i="11"/>
  <c r="I28" i="11"/>
  <c r="F28" i="11"/>
  <c r="D28" i="11"/>
  <c r="E28" i="11" s="1"/>
  <c r="J28" i="11" s="1"/>
  <c r="I27" i="11"/>
  <c r="D27" i="11"/>
  <c r="E27" i="11" s="1"/>
  <c r="I26" i="11"/>
  <c r="D26" i="11"/>
  <c r="I25" i="11"/>
  <c r="D25" i="11"/>
  <c r="I24" i="11"/>
  <c r="D24" i="11"/>
  <c r="I23" i="11"/>
  <c r="E23" i="11"/>
  <c r="D23" i="11"/>
  <c r="I22" i="11"/>
  <c r="D22" i="11"/>
  <c r="I21" i="11"/>
  <c r="D21" i="11"/>
  <c r="I20" i="11"/>
  <c r="F20" i="11"/>
  <c r="D20" i="11"/>
  <c r="E20" i="11" s="1"/>
  <c r="J20" i="11" s="1"/>
  <c r="I19" i="11"/>
  <c r="D19" i="11"/>
  <c r="E19" i="11" s="1"/>
  <c r="I18" i="11"/>
  <c r="D18" i="11"/>
  <c r="I17" i="11"/>
  <c r="D17" i="11"/>
  <c r="I16" i="11"/>
  <c r="D16" i="11"/>
  <c r="E102" i="10"/>
  <c r="G102" i="10" s="1"/>
  <c r="E101" i="10"/>
  <c r="G101" i="10" s="1"/>
  <c r="E100" i="10"/>
  <c r="G100" i="10" s="1"/>
  <c r="E99" i="10"/>
  <c r="G99" i="10" s="1"/>
  <c r="E98" i="10"/>
  <c r="G98" i="10" s="1"/>
  <c r="E97" i="10"/>
  <c r="G97" i="10" s="1"/>
  <c r="E96" i="10"/>
  <c r="G96" i="10" s="1"/>
  <c r="E95" i="10"/>
  <c r="G95" i="10" s="1"/>
  <c r="E94" i="10"/>
  <c r="G94" i="10" s="1"/>
  <c r="E93" i="10"/>
  <c r="G93" i="10" s="1"/>
  <c r="E92" i="10"/>
  <c r="G92" i="10" s="1"/>
  <c r="E91" i="10"/>
  <c r="G91" i="10" s="1"/>
  <c r="I89" i="10"/>
  <c r="I88" i="10"/>
  <c r="I87" i="10"/>
  <c r="D87" i="10"/>
  <c r="I86" i="10"/>
  <c r="D86" i="10"/>
  <c r="I85" i="10"/>
  <c r="D85" i="10"/>
  <c r="I84" i="10"/>
  <c r="D84" i="10"/>
  <c r="I83" i="10"/>
  <c r="D83" i="10"/>
  <c r="I82" i="10"/>
  <c r="D82" i="10"/>
  <c r="I81" i="10"/>
  <c r="D81" i="10"/>
  <c r="I80" i="10"/>
  <c r="D80" i="10"/>
  <c r="I79" i="10"/>
  <c r="D79" i="10"/>
  <c r="I78" i="10"/>
  <c r="D78" i="10"/>
  <c r="I77" i="10"/>
  <c r="D77" i="10"/>
  <c r="I76" i="10"/>
  <c r="D76" i="10"/>
  <c r="I75" i="10"/>
  <c r="D75" i="10"/>
  <c r="I74" i="10"/>
  <c r="D74" i="10"/>
  <c r="I73" i="10"/>
  <c r="D73" i="10"/>
  <c r="I72" i="10"/>
  <c r="D72" i="10"/>
  <c r="I71" i="10"/>
  <c r="D71" i="10"/>
  <c r="I70" i="10"/>
  <c r="D70" i="10"/>
  <c r="I69" i="10"/>
  <c r="D69" i="10"/>
  <c r="D68" i="10"/>
  <c r="D67" i="10"/>
  <c r="E66" i="10" s="1"/>
  <c r="F66" i="10" s="1"/>
  <c r="D66" i="10"/>
  <c r="D65" i="10"/>
  <c r="E65" i="10" s="1"/>
  <c r="F65" i="10" s="1"/>
  <c r="D64" i="10"/>
  <c r="D63" i="10"/>
  <c r="E62" i="10" s="1"/>
  <c r="F62" i="10" s="1"/>
  <c r="D62" i="10"/>
  <c r="D61" i="10"/>
  <c r="E61" i="10" s="1"/>
  <c r="F61" i="10" s="1"/>
  <c r="D60" i="10"/>
  <c r="D59" i="10"/>
  <c r="E58" i="10" s="1"/>
  <c r="F58" i="10" s="1"/>
  <c r="D58" i="10"/>
  <c r="D57" i="10"/>
  <c r="E57" i="10" s="1"/>
  <c r="F57" i="10" s="1"/>
  <c r="I56" i="10"/>
  <c r="I55" i="10"/>
  <c r="I54" i="10"/>
  <c r="J48" i="10"/>
  <c r="K48" i="10" s="1"/>
  <c r="L48" i="10" s="1"/>
  <c r="I48" i="10"/>
  <c r="D48" i="10"/>
  <c r="E48" i="10" s="1"/>
  <c r="F48" i="10" s="1"/>
  <c r="G48" i="10" s="1"/>
  <c r="I47" i="10"/>
  <c r="J47" i="10" s="1"/>
  <c r="K47" i="10" s="1"/>
  <c r="L47" i="10" s="1"/>
  <c r="D47" i="10"/>
  <c r="E47" i="10" s="1"/>
  <c r="F47" i="10" s="1"/>
  <c r="G47" i="10" s="1"/>
  <c r="I46" i="10"/>
  <c r="J46" i="10" s="1"/>
  <c r="K46" i="10" s="1"/>
  <c r="L46" i="10" s="1"/>
  <c r="D46" i="10"/>
  <c r="E46" i="10" s="1"/>
  <c r="F46" i="10" s="1"/>
  <c r="G46" i="10" s="1"/>
  <c r="I45" i="10"/>
  <c r="J45" i="10" s="1"/>
  <c r="K45" i="10" s="1"/>
  <c r="L45" i="10" s="1"/>
  <c r="D45" i="10"/>
  <c r="E45" i="10" s="1"/>
  <c r="F45" i="10" s="1"/>
  <c r="G45" i="10" s="1"/>
  <c r="I44" i="10"/>
  <c r="J44" i="10" s="1"/>
  <c r="K44" i="10" s="1"/>
  <c r="L44" i="10" s="1"/>
  <c r="D44" i="10"/>
  <c r="E44" i="10" s="1"/>
  <c r="F44" i="10" s="1"/>
  <c r="G44" i="10" s="1"/>
  <c r="I43" i="10"/>
  <c r="J43" i="10" s="1"/>
  <c r="K43" i="10" s="1"/>
  <c r="L43" i="10" s="1"/>
  <c r="D43" i="10"/>
  <c r="E43" i="10" s="1"/>
  <c r="F43" i="10" s="1"/>
  <c r="G43" i="10" s="1"/>
  <c r="I42" i="10"/>
  <c r="J42" i="10" s="1"/>
  <c r="K42" i="10" s="1"/>
  <c r="L42" i="10" s="1"/>
  <c r="D42" i="10"/>
  <c r="E42" i="10" s="1"/>
  <c r="F42" i="10" s="1"/>
  <c r="G42" i="10" s="1"/>
  <c r="I41" i="10"/>
  <c r="J41" i="10" s="1"/>
  <c r="K41" i="10" s="1"/>
  <c r="L41" i="10" s="1"/>
  <c r="D41" i="10"/>
  <c r="E41" i="10" s="1"/>
  <c r="F41" i="10" s="1"/>
  <c r="G41" i="10" s="1"/>
  <c r="I40" i="10"/>
  <c r="J40" i="10" s="1"/>
  <c r="K40" i="10" s="1"/>
  <c r="L40" i="10" s="1"/>
  <c r="D40" i="10"/>
  <c r="E40" i="10" s="1"/>
  <c r="F40" i="10" s="1"/>
  <c r="G40" i="10" s="1"/>
  <c r="I39" i="10"/>
  <c r="J39" i="10" s="1"/>
  <c r="K39" i="10" s="1"/>
  <c r="L39" i="10" s="1"/>
  <c r="D39" i="10"/>
  <c r="E39" i="10" s="1"/>
  <c r="F39" i="10" s="1"/>
  <c r="G39" i="10" s="1"/>
  <c r="I38" i="10"/>
  <c r="J38" i="10" s="1"/>
  <c r="K38" i="10" s="1"/>
  <c r="L38" i="10" s="1"/>
  <c r="D38" i="10"/>
  <c r="E38" i="10" s="1"/>
  <c r="F38" i="10" s="1"/>
  <c r="G38" i="10" s="1"/>
  <c r="I37" i="10"/>
  <c r="J37" i="10" s="1"/>
  <c r="K37" i="10" s="1"/>
  <c r="L37" i="10" s="1"/>
  <c r="D37" i="10"/>
  <c r="E37" i="10" s="1"/>
  <c r="F37" i="10" s="1"/>
  <c r="G37" i="10" s="1"/>
  <c r="I36" i="10"/>
  <c r="J36" i="10" s="1"/>
  <c r="K36" i="10" s="1"/>
  <c r="L36" i="10" s="1"/>
  <c r="D36" i="10"/>
  <c r="E36" i="10" s="1"/>
  <c r="F36" i="10" s="1"/>
  <c r="G36" i="10" s="1"/>
  <c r="I35" i="10"/>
  <c r="J35" i="10" s="1"/>
  <c r="K35" i="10" s="1"/>
  <c r="L35" i="10" s="1"/>
  <c r="D35" i="10"/>
  <c r="E35" i="10" s="1"/>
  <c r="F35" i="10" s="1"/>
  <c r="G35" i="10" s="1"/>
  <c r="I34" i="10"/>
  <c r="J34" i="10" s="1"/>
  <c r="K34" i="10" s="1"/>
  <c r="L34" i="10" s="1"/>
  <c r="D34" i="10"/>
  <c r="E34" i="10" s="1"/>
  <c r="F34" i="10" s="1"/>
  <c r="G34" i="10" s="1"/>
  <c r="I33" i="10"/>
  <c r="J33" i="10" s="1"/>
  <c r="K33" i="10" s="1"/>
  <c r="L33" i="10" s="1"/>
  <c r="D33" i="10"/>
  <c r="E33" i="10" s="1"/>
  <c r="F33" i="10" s="1"/>
  <c r="G33" i="10" s="1"/>
  <c r="I32" i="10"/>
  <c r="J32" i="10" s="1"/>
  <c r="K32" i="10" s="1"/>
  <c r="L32" i="10" s="1"/>
  <c r="D32" i="10"/>
  <c r="E32" i="10" s="1"/>
  <c r="F32" i="10" s="1"/>
  <c r="G32" i="10" s="1"/>
  <c r="I31" i="10"/>
  <c r="J31" i="10" s="1"/>
  <c r="K31" i="10" s="1"/>
  <c r="L31" i="10" s="1"/>
  <c r="D31" i="10"/>
  <c r="E31" i="10" s="1"/>
  <c r="F31" i="10" s="1"/>
  <c r="G31" i="10" s="1"/>
  <c r="I30" i="10"/>
  <c r="J30" i="10" s="1"/>
  <c r="K30" i="10" s="1"/>
  <c r="L30" i="10" s="1"/>
  <c r="D30" i="10"/>
  <c r="E30" i="10" s="1"/>
  <c r="F30" i="10" s="1"/>
  <c r="G30" i="10" s="1"/>
  <c r="I29" i="10"/>
  <c r="J29" i="10" s="1"/>
  <c r="K29" i="10" s="1"/>
  <c r="L29" i="10" s="1"/>
  <c r="D29" i="10"/>
  <c r="E29" i="10" s="1"/>
  <c r="F29" i="10" s="1"/>
  <c r="G29" i="10" s="1"/>
  <c r="I28" i="10"/>
  <c r="J28" i="10" s="1"/>
  <c r="K28" i="10" s="1"/>
  <c r="L28" i="10" s="1"/>
  <c r="D28" i="10"/>
  <c r="E28" i="10" s="1"/>
  <c r="F28" i="10" s="1"/>
  <c r="G28" i="10" s="1"/>
  <c r="I27" i="10"/>
  <c r="J27" i="10" s="1"/>
  <c r="K27" i="10" s="1"/>
  <c r="L27" i="10" s="1"/>
  <c r="D27" i="10"/>
  <c r="E27" i="10" s="1"/>
  <c r="F27" i="10" s="1"/>
  <c r="G27" i="10" s="1"/>
  <c r="I26" i="10"/>
  <c r="J26" i="10" s="1"/>
  <c r="K26" i="10" s="1"/>
  <c r="L26" i="10" s="1"/>
  <c r="D26" i="10"/>
  <c r="E26" i="10" s="1"/>
  <c r="F26" i="10" s="1"/>
  <c r="G26" i="10" s="1"/>
  <c r="I25" i="10"/>
  <c r="J25" i="10" s="1"/>
  <c r="K25" i="10" s="1"/>
  <c r="L25" i="10" s="1"/>
  <c r="D25" i="10"/>
  <c r="E25" i="10" s="1"/>
  <c r="F25" i="10" s="1"/>
  <c r="G25" i="10" s="1"/>
  <c r="D24" i="10"/>
  <c r="E24" i="10" s="1"/>
  <c r="F24" i="10" s="1"/>
  <c r="G24" i="10" s="1"/>
  <c r="D23" i="10"/>
  <c r="E23" i="10" s="1"/>
  <c r="F23" i="10" s="1"/>
  <c r="G23" i="10" s="1"/>
  <c r="D22" i="10"/>
  <c r="E22" i="10" s="1"/>
  <c r="F22" i="10" s="1"/>
  <c r="G22" i="10" s="1"/>
  <c r="D21" i="10"/>
  <c r="E21" i="10" s="1"/>
  <c r="F21" i="10" s="1"/>
  <c r="G21" i="10" s="1"/>
  <c r="D20" i="10"/>
  <c r="E20" i="10" s="1"/>
  <c r="F20" i="10" s="1"/>
  <c r="G20" i="10" s="1"/>
  <c r="D19" i="10"/>
  <c r="E19" i="10" s="1"/>
  <c r="F19" i="10" s="1"/>
  <c r="G19" i="10" s="1"/>
  <c r="D18" i="10"/>
  <c r="E18" i="10" s="1"/>
  <c r="F18" i="10" s="1"/>
  <c r="G18" i="10" s="1"/>
  <c r="D17" i="10"/>
  <c r="E17" i="10" s="1"/>
  <c r="F17" i="10" s="1"/>
  <c r="G17" i="10" s="1"/>
  <c r="G48" i="5" l="1"/>
  <c r="G10" i="13"/>
  <c r="H10" i="13" s="1"/>
  <c r="G9" i="13"/>
  <c r="H9" i="13" s="1"/>
  <c r="H8" i="13"/>
  <c r="G11" i="13"/>
  <c r="G23" i="12"/>
  <c r="H23" i="12" s="1"/>
  <c r="G25" i="12"/>
  <c r="H25" i="12" s="1"/>
  <c r="G27" i="12"/>
  <c r="H27" i="12" s="1"/>
  <c r="G29" i="12"/>
  <c r="H29" i="12" s="1"/>
  <c r="G31" i="12"/>
  <c r="H31" i="12" s="1"/>
  <c r="G33" i="12"/>
  <c r="H33" i="12" s="1"/>
  <c r="G35" i="12"/>
  <c r="H35" i="12" s="1"/>
  <c r="G37" i="12"/>
  <c r="H37" i="12" s="1"/>
  <c r="G39" i="12"/>
  <c r="H39" i="12" s="1"/>
  <c r="G41" i="12"/>
  <c r="H41" i="12" s="1"/>
  <c r="G22" i="12"/>
  <c r="H22" i="12" s="1"/>
  <c r="G24" i="12"/>
  <c r="H24" i="12" s="1"/>
  <c r="G26" i="12"/>
  <c r="H26" i="12" s="1"/>
  <c r="G28" i="12"/>
  <c r="H28" i="12" s="1"/>
  <c r="G30" i="12"/>
  <c r="H30" i="12" s="1"/>
  <c r="G32" i="12"/>
  <c r="H32" i="12" s="1"/>
  <c r="G34" i="12"/>
  <c r="H34" i="12" s="1"/>
  <c r="G36" i="12"/>
  <c r="H36" i="12" s="1"/>
  <c r="G38" i="12"/>
  <c r="H38" i="12" s="1"/>
  <c r="G40" i="12"/>
  <c r="H40" i="12" s="1"/>
  <c r="G19" i="12"/>
  <c r="H19" i="12" s="1"/>
  <c r="G20" i="12"/>
  <c r="H20" i="12" s="1"/>
  <c r="G21" i="12"/>
  <c r="H21" i="12" s="1"/>
  <c r="E87" i="11"/>
  <c r="J87" i="11" s="1"/>
  <c r="E89" i="11"/>
  <c r="J89" i="11" s="1"/>
  <c r="E91" i="11"/>
  <c r="F91" i="11" s="1"/>
  <c r="H91" i="11" s="1"/>
  <c r="E16" i="11"/>
  <c r="F16" i="11" s="1"/>
  <c r="E24" i="11"/>
  <c r="J24" i="11" s="1"/>
  <c r="E32" i="11"/>
  <c r="F32" i="11" s="1"/>
  <c r="H32" i="11" s="1"/>
  <c r="E40" i="11"/>
  <c r="J40" i="11" s="1"/>
  <c r="E44" i="11"/>
  <c r="J44" i="11" s="1"/>
  <c r="E74" i="11"/>
  <c r="F74" i="11" s="1"/>
  <c r="E82" i="11"/>
  <c r="J82" i="11" s="1"/>
  <c r="H16" i="11"/>
  <c r="H74" i="11"/>
  <c r="H20" i="11"/>
  <c r="J31" i="11"/>
  <c r="F31" i="11"/>
  <c r="H36" i="11"/>
  <c r="F43" i="11"/>
  <c r="H43" i="11" s="1"/>
  <c r="J43" i="11"/>
  <c r="E71" i="11"/>
  <c r="E72" i="11"/>
  <c r="H78" i="11"/>
  <c r="J16" i="11"/>
  <c r="E17" i="11"/>
  <c r="E18" i="11"/>
  <c r="J19" i="11"/>
  <c r="F19" i="11"/>
  <c r="E33" i="11"/>
  <c r="E34" i="11"/>
  <c r="J35" i="11"/>
  <c r="F35" i="11"/>
  <c r="E42" i="11"/>
  <c r="F45" i="11"/>
  <c r="H45" i="11" s="1"/>
  <c r="J45" i="11"/>
  <c r="J74" i="11"/>
  <c r="E75" i="11"/>
  <c r="E76" i="11"/>
  <c r="J77" i="11"/>
  <c r="F77" i="11"/>
  <c r="F82" i="11"/>
  <c r="G74" i="11" s="1"/>
  <c r="E86" i="11"/>
  <c r="F93" i="11"/>
  <c r="H93" i="11" s="1"/>
  <c r="J93" i="11"/>
  <c r="F87" i="11"/>
  <c r="H87" i="11" s="1"/>
  <c r="E21" i="11"/>
  <c r="E22" i="11"/>
  <c r="J23" i="11"/>
  <c r="F23" i="11"/>
  <c r="H28" i="11"/>
  <c r="G28" i="11"/>
  <c r="E37" i="11"/>
  <c r="E38" i="11"/>
  <c r="J39" i="11"/>
  <c r="F39" i="11"/>
  <c r="F47" i="11"/>
  <c r="H47" i="11" s="1"/>
  <c r="J47" i="11"/>
  <c r="H70" i="11"/>
  <c r="G70" i="11"/>
  <c r="E79" i="11"/>
  <c r="E80" i="11"/>
  <c r="J81" i="11"/>
  <c r="F81" i="11"/>
  <c r="J88" i="11"/>
  <c r="F88" i="11"/>
  <c r="H88" i="11" s="1"/>
  <c r="J90" i="11"/>
  <c r="F90" i="11"/>
  <c r="H90" i="11" s="1"/>
  <c r="E29" i="11"/>
  <c r="E30" i="11"/>
  <c r="J73" i="11"/>
  <c r="F73" i="11"/>
  <c r="F89" i="11"/>
  <c r="H89" i="11" s="1"/>
  <c r="E25" i="11"/>
  <c r="E26" i="11"/>
  <c r="J27" i="11"/>
  <c r="F27" i="11"/>
  <c r="F41" i="11"/>
  <c r="H41" i="11" s="1"/>
  <c r="J41" i="11"/>
  <c r="F44" i="11"/>
  <c r="H44" i="11" s="1"/>
  <c r="E46" i="11"/>
  <c r="J69" i="11"/>
  <c r="F69" i="11"/>
  <c r="E83" i="11"/>
  <c r="E84" i="11"/>
  <c r="J85" i="11"/>
  <c r="F85" i="11"/>
  <c r="F92" i="11"/>
  <c r="H92" i="11" s="1"/>
  <c r="E68" i="10"/>
  <c r="F68" i="10" s="1"/>
  <c r="E59" i="10"/>
  <c r="F59" i="10" s="1"/>
  <c r="E63" i="10"/>
  <c r="F63" i="10" s="1"/>
  <c r="E67" i="10"/>
  <c r="F67" i="10" s="1"/>
  <c r="E70" i="10"/>
  <c r="F70" i="10" s="1"/>
  <c r="E72" i="10"/>
  <c r="F72" i="10" s="1"/>
  <c r="E74" i="10"/>
  <c r="F74" i="10" s="1"/>
  <c r="E76" i="10"/>
  <c r="F76" i="10" s="1"/>
  <c r="G64" i="10" s="1"/>
  <c r="I64" i="10" s="1"/>
  <c r="E78" i="10"/>
  <c r="F78" i="10" s="1"/>
  <c r="G66" i="10" s="1"/>
  <c r="I66" i="10" s="1"/>
  <c r="E80" i="10"/>
  <c r="F80" i="10" s="1"/>
  <c r="G68" i="10" s="1"/>
  <c r="I68" i="10" s="1"/>
  <c r="E82" i="10"/>
  <c r="F82" i="10" s="1"/>
  <c r="G58" i="10" s="1"/>
  <c r="I58" i="10" s="1"/>
  <c r="E84" i="10"/>
  <c r="F84" i="10" s="1"/>
  <c r="E60" i="10"/>
  <c r="F60" i="10" s="1"/>
  <c r="E64" i="10"/>
  <c r="F64" i="10" s="1"/>
  <c r="G50" i="10"/>
  <c r="L50" i="10"/>
  <c r="E71" i="10"/>
  <c r="F71" i="10" s="1"/>
  <c r="E75" i="10"/>
  <c r="F75" i="10" s="1"/>
  <c r="E79" i="10"/>
  <c r="F79" i="10" s="1"/>
  <c r="E83" i="10"/>
  <c r="F83" i="10" s="1"/>
  <c r="E86" i="10"/>
  <c r="F86" i="10" s="1"/>
  <c r="E69" i="10"/>
  <c r="F69" i="10" s="1"/>
  <c r="E73" i="10"/>
  <c r="F73" i="10" s="1"/>
  <c r="E77" i="10"/>
  <c r="F77" i="10" s="1"/>
  <c r="G65" i="10" s="1"/>
  <c r="I65" i="10" s="1"/>
  <c r="E81" i="10"/>
  <c r="F81" i="10" s="1"/>
  <c r="E85" i="10"/>
  <c r="F85" i="10" s="1"/>
  <c r="J10" i="13" l="1"/>
  <c r="J9" i="13"/>
  <c r="J8" i="13"/>
  <c r="J11" i="13"/>
  <c r="H11" i="13"/>
  <c r="I21" i="12"/>
  <c r="K21" i="12" s="1"/>
  <c r="I20" i="12"/>
  <c r="K20" i="12" s="1"/>
  <c r="I18" i="12"/>
  <c r="K18" i="12" s="1"/>
  <c r="I19" i="12"/>
  <c r="K19" i="12" s="1"/>
  <c r="F40" i="11"/>
  <c r="J91" i="11"/>
  <c r="J32" i="11"/>
  <c r="F24" i="11"/>
  <c r="G20" i="11" s="1"/>
  <c r="J26" i="11"/>
  <c r="F26" i="11"/>
  <c r="H73" i="11"/>
  <c r="G73" i="11"/>
  <c r="H81" i="11"/>
  <c r="G81" i="11"/>
  <c r="H39" i="11"/>
  <c r="G39" i="11"/>
  <c r="J22" i="11"/>
  <c r="F22" i="11"/>
  <c r="H77" i="11"/>
  <c r="G77" i="11"/>
  <c r="J33" i="11"/>
  <c r="F33" i="11"/>
  <c r="J72" i="11"/>
  <c r="F72" i="11"/>
  <c r="G32" i="11"/>
  <c r="J25" i="11"/>
  <c r="F25" i="11"/>
  <c r="J21" i="11"/>
  <c r="F21" i="11"/>
  <c r="H35" i="11"/>
  <c r="G35" i="11"/>
  <c r="J18" i="11"/>
  <c r="F18" i="11"/>
  <c r="J71" i="11"/>
  <c r="F71" i="11"/>
  <c r="H69" i="11"/>
  <c r="G69" i="11"/>
  <c r="J84" i="11"/>
  <c r="F84" i="11"/>
  <c r="J46" i="11"/>
  <c r="F46" i="11"/>
  <c r="H46" i="11" s="1"/>
  <c r="H27" i="11"/>
  <c r="G27" i="11"/>
  <c r="J30" i="11"/>
  <c r="F30" i="11"/>
  <c r="J80" i="11"/>
  <c r="F80" i="11"/>
  <c r="J38" i="11"/>
  <c r="F38" i="11"/>
  <c r="H23" i="11"/>
  <c r="G23" i="11"/>
  <c r="J86" i="11"/>
  <c r="F86" i="11"/>
  <c r="H86" i="11" s="1"/>
  <c r="J76" i="11"/>
  <c r="F76" i="11"/>
  <c r="H24" i="11"/>
  <c r="G24" i="11"/>
  <c r="J17" i="11"/>
  <c r="F17" i="11"/>
  <c r="H31" i="11"/>
  <c r="H85" i="11"/>
  <c r="G85" i="11"/>
  <c r="J83" i="11"/>
  <c r="F83" i="11"/>
  <c r="J29" i="11"/>
  <c r="F29" i="11"/>
  <c r="J79" i="11"/>
  <c r="F79" i="11"/>
  <c r="J37" i="11"/>
  <c r="F37" i="11"/>
  <c r="H82" i="11"/>
  <c r="G82" i="11"/>
  <c r="J75" i="11"/>
  <c r="F75" i="11"/>
  <c r="J42" i="11"/>
  <c r="F42" i="11"/>
  <c r="H42" i="11" s="1"/>
  <c r="J34" i="11"/>
  <c r="F34" i="11"/>
  <c r="H19" i="11"/>
  <c r="G19" i="11"/>
  <c r="G57" i="10"/>
  <c r="I57" i="10" s="1"/>
  <c r="G63" i="10"/>
  <c r="I63" i="10" s="1"/>
  <c r="G62" i="10"/>
  <c r="I62" i="10" s="1"/>
  <c r="G61" i="10"/>
  <c r="I61" i="10" s="1"/>
  <c r="G67" i="10"/>
  <c r="I67" i="10" s="1"/>
  <c r="G60" i="10"/>
  <c r="I60" i="10" s="1"/>
  <c r="G59" i="10"/>
  <c r="I59" i="10" s="1"/>
  <c r="H40" i="11" l="1"/>
  <c r="G36" i="11"/>
  <c r="G78" i="11"/>
  <c r="H79" i="11"/>
  <c r="G79" i="11"/>
  <c r="H83" i="11"/>
  <c r="G83" i="11"/>
  <c r="H17" i="11"/>
  <c r="G17" i="11"/>
  <c r="G76" i="11"/>
  <c r="H76" i="11"/>
  <c r="G80" i="11"/>
  <c r="H80" i="11"/>
  <c r="G84" i="11"/>
  <c r="H84" i="11"/>
  <c r="H71" i="11"/>
  <c r="G71" i="11"/>
  <c r="H25" i="11"/>
  <c r="G25" i="11"/>
  <c r="G72" i="11"/>
  <c r="H72" i="11"/>
  <c r="H33" i="11"/>
  <c r="G33" i="11"/>
  <c r="H22" i="11"/>
  <c r="H26" i="11"/>
  <c r="G34" i="11"/>
  <c r="H34" i="11"/>
  <c r="H75" i="11"/>
  <c r="G75" i="11"/>
  <c r="H37" i="11"/>
  <c r="G37" i="11"/>
  <c r="H29" i="11"/>
  <c r="G29" i="11"/>
  <c r="G38" i="11"/>
  <c r="H38" i="11"/>
  <c r="G30" i="11"/>
  <c r="H30" i="11"/>
  <c r="G18" i="11"/>
  <c r="H18" i="11"/>
  <c r="H21" i="11"/>
  <c r="G21" i="11"/>
  <c r="C29" i="7" l="1"/>
  <c r="E25" i="7"/>
  <c r="F16" i="7"/>
  <c r="F20" i="7" s="1"/>
  <c r="F15" i="7"/>
  <c r="F14" i="7"/>
  <c r="F13" i="7"/>
  <c r="F11" i="7"/>
  <c r="F22" i="7" s="1"/>
  <c r="F10" i="7"/>
  <c r="F18" i="7" l="1"/>
  <c r="G20" i="7" s="1"/>
  <c r="H74" i="5" l="1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48" i="5"/>
  <c r="H55" i="5"/>
  <c r="H54" i="5"/>
  <c r="H53" i="5"/>
  <c r="H52" i="5"/>
  <c r="G22" i="4"/>
  <c r="D27" i="4" s="1"/>
  <c r="G21" i="4"/>
  <c r="D20" i="4"/>
  <c r="G23" i="3"/>
  <c r="G22" i="3"/>
  <c r="H37" i="2"/>
  <c r="G37" i="2"/>
  <c r="B37" i="2"/>
  <c r="A37" i="2"/>
  <c r="H36" i="2"/>
  <c r="J36" i="2" s="1"/>
  <c r="K36" i="2" s="1"/>
  <c r="G36" i="2"/>
  <c r="C36" i="2"/>
  <c r="D36" i="2" s="1"/>
  <c r="E36" i="2" s="1"/>
  <c r="B36" i="2"/>
  <c r="A36" i="2"/>
  <c r="H35" i="2"/>
  <c r="G35" i="2"/>
  <c r="B35" i="2"/>
  <c r="A35" i="2"/>
  <c r="H34" i="2"/>
  <c r="I38" i="2" s="1"/>
  <c r="G34" i="2"/>
  <c r="C34" i="2"/>
  <c r="D34" i="2" s="1"/>
  <c r="E34" i="2" s="1"/>
  <c r="B34" i="2"/>
  <c r="C38" i="2" s="1"/>
  <c r="A34" i="2"/>
  <c r="H33" i="2"/>
  <c r="G33" i="2"/>
  <c r="B33" i="2"/>
  <c r="A33" i="2"/>
  <c r="H32" i="2"/>
  <c r="I37" i="2" s="1"/>
  <c r="J37" i="2" s="1"/>
  <c r="K37" i="2" s="1"/>
  <c r="G32" i="2"/>
  <c r="C32" i="2"/>
  <c r="D32" i="2" s="1"/>
  <c r="E32" i="2" s="1"/>
  <c r="B32" i="2"/>
  <c r="A32" i="2"/>
  <c r="H31" i="2"/>
  <c r="I36" i="2" s="1"/>
  <c r="G31" i="2"/>
  <c r="B31" i="2"/>
  <c r="A31" i="2"/>
  <c r="H30" i="2"/>
  <c r="I35" i="2" s="1"/>
  <c r="J35" i="2" s="1"/>
  <c r="K35" i="2" s="1"/>
  <c r="G30" i="2"/>
  <c r="B30" i="2"/>
  <c r="A30" i="2"/>
  <c r="H29" i="2"/>
  <c r="I34" i="2" s="1"/>
  <c r="G29" i="2"/>
  <c r="B29" i="2"/>
  <c r="C33" i="2" s="1"/>
  <c r="A29" i="2"/>
  <c r="H28" i="2"/>
  <c r="I33" i="2" s="1"/>
  <c r="J33" i="2" s="1"/>
  <c r="K33" i="2" s="1"/>
  <c r="G28" i="2"/>
  <c r="B28" i="2"/>
  <c r="A28" i="2"/>
  <c r="H27" i="2"/>
  <c r="I32" i="2" s="1"/>
  <c r="G27" i="2"/>
  <c r="B27" i="2"/>
  <c r="C31" i="2" s="1"/>
  <c r="A27" i="2"/>
  <c r="H26" i="2"/>
  <c r="I31" i="2" s="1"/>
  <c r="J31" i="2" s="1"/>
  <c r="K31" i="2" s="1"/>
  <c r="G26" i="2"/>
  <c r="B26" i="2"/>
  <c r="C30" i="2" s="1"/>
  <c r="D30" i="2" s="1"/>
  <c r="E30" i="2" s="1"/>
  <c r="A26" i="2"/>
  <c r="K20" i="1"/>
  <c r="J20" i="1"/>
  <c r="M20" i="1" s="1"/>
  <c r="O20" i="1" s="1"/>
  <c r="I20" i="1"/>
  <c r="B20" i="1"/>
  <c r="A20" i="1"/>
  <c r="J19" i="1"/>
  <c r="I19" i="1"/>
  <c r="B19" i="1"/>
  <c r="A19" i="1"/>
  <c r="K18" i="1"/>
  <c r="L18" i="1" s="1"/>
  <c r="N18" i="1" s="1"/>
  <c r="J18" i="1"/>
  <c r="M18" i="1" s="1"/>
  <c r="O18" i="1" s="1"/>
  <c r="I18" i="1"/>
  <c r="B18" i="1"/>
  <c r="A18" i="1"/>
  <c r="M17" i="1"/>
  <c r="J17" i="1"/>
  <c r="I17" i="1"/>
  <c r="B17" i="1"/>
  <c r="C20" i="1" s="1"/>
  <c r="A17" i="1"/>
  <c r="J16" i="1"/>
  <c r="I16" i="1"/>
  <c r="B16" i="1"/>
  <c r="C19" i="1" s="1"/>
  <c r="A16" i="1"/>
  <c r="J15" i="1"/>
  <c r="K17" i="1" s="1"/>
  <c r="I15" i="1"/>
  <c r="B15" i="1"/>
  <c r="C18" i="1" s="1"/>
  <c r="A15" i="1"/>
  <c r="H49" i="5" l="1"/>
  <c r="H50" i="5"/>
  <c r="D28" i="3"/>
  <c r="D29" i="3"/>
  <c r="D21" i="3"/>
  <c r="O17" i="1"/>
  <c r="O21" i="1" s="1"/>
  <c r="D31" i="2"/>
  <c r="E31" i="2" s="1"/>
  <c r="E38" i="2" s="1"/>
  <c r="D33" i="2"/>
  <c r="E33" i="2" s="1"/>
  <c r="H51" i="5"/>
  <c r="D19" i="1"/>
  <c r="F19" i="1" s="1"/>
  <c r="E19" i="1"/>
  <c r="G19" i="1" s="1"/>
  <c r="L19" i="1"/>
  <c r="N19" i="1" s="1"/>
  <c r="E18" i="1"/>
  <c r="D35" i="2"/>
  <c r="E35" i="2" s="1"/>
  <c r="L17" i="1"/>
  <c r="N17" i="1" s="1"/>
  <c r="E20" i="1"/>
  <c r="G20" i="1" s="1"/>
  <c r="D37" i="2"/>
  <c r="E37" i="2" s="1"/>
  <c r="L20" i="1"/>
  <c r="N20" i="1" s="1"/>
  <c r="C21" i="1"/>
  <c r="K21" i="1"/>
  <c r="D23" i="3"/>
  <c r="D26" i="3"/>
  <c r="D30" i="3"/>
  <c r="D24" i="4"/>
  <c r="D18" i="1"/>
  <c r="F18" i="1" s="1"/>
  <c r="F21" i="1" s="1"/>
  <c r="K19" i="1"/>
  <c r="M19" i="1" s="1"/>
  <c r="O19" i="1" s="1"/>
  <c r="D20" i="1"/>
  <c r="F20" i="1" s="1"/>
  <c r="J32" i="2"/>
  <c r="K32" i="2" s="1"/>
  <c r="K38" i="2" s="1"/>
  <c r="J34" i="2"/>
  <c r="K34" i="2" s="1"/>
  <c r="C35" i="2"/>
  <c r="C37" i="2"/>
  <c r="D27" i="3"/>
  <c r="D31" i="3"/>
  <c r="D22" i="4"/>
  <c r="D25" i="4"/>
  <c r="D22" i="3"/>
  <c r="D24" i="3"/>
  <c r="D26" i="4"/>
  <c r="D25" i="3"/>
  <c r="D21" i="4"/>
  <c r="D23" i="4"/>
  <c r="G43" i="5" l="1"/>
  <c r="D43" i="5"/>
  <c r="I47" i="5" s="1"/>
  <c r="J47" i="5" s="1"/>
  <c r="N21" i="1"/>
  <c r="E21" i="1"/>
  <c r="G18" i="1"/>
  <c r="G21" i="1" s="1"/>
  <c r="M21" i="1"/>
  <c r="I49" i="5" l="1"/>
  <c r="J49" i="5" s="1"/>
  <c r="I48" i="5"/>
  <c r="J48" i="5" s="1"/>
  <c r="I60" i="5"/>
  <c r="J60" i="5" s="1"/>
  <c r="I51" i="5"/>
  <c r="J51" i="5" s="1"/>
  <c r="I71" i="5"/>
  <c r="J71" i="5" s="1"/>
  <c r="I67" i="5"/>
  <c r="J67" i="5" s="1"/>
  <c r="I63" i="5"/>
  <c r="J63" i="5" s="1"/>
  <c r="I59" i="5"/>
  <c r="J59" i="5" s="1"/>
  <c r="I55" i="5"/>
  <c r="J55" i="5" s="1"/>
  <c r="I78" i="5"/>
  <c r="J78" i="5" s="1"/>
  <c r="I76" i="5"/>
  <c r="J76" i="5" s="1"/>
  <c r="I74" i="5"/>
  <c r="J74" i="5" s="1"/>
  <c r="I70" i="5"/>
  <c r="J70" i="5" s="1"/>
  <c r="I66" i="5"/>
  <c r="J66" i="5" s="1"/>
  <c r="I62" i="5"/>
  <c r="J62" i="5" s="1"/>
  <c r="I58" i="5"/>
  <c r="J58" i="5" s="1"/>
  <c r="I54" i="5"/>
  <c r="J54" i="5" s="1"/>
  <c r="I73" i="5"/>
  <c r="J73" i="5" s="1"/>
  <c r="I69" i="5"/>
  <c r="J69" i="5" s="1"/>
  <c r="I65" i="5"/>
  <c r="J65" i="5" s="1"/>
  <c r="I61" i="5"/>
  <c r="J61" i="5" s="1"/>
  <c r="I57" i="5"/>
  <c r="J57" i="5" s="1"/>
  <c r="I53" i="5"/>
  <c r="J53" i="5" s="1"/>
  <c r="I50" i="5"/>
  <c r="J50" i="5" s="1"/>
  <c r="I77" i="5"/>
  <c r="J77" i="5" s="1"/>
  <c r="I75" i="5"/>
  <c r="J75" i="5" s="1"/>
  <c r="I72" i="5"/>
  <c r="J72" i="5" s="1"/>
  <c r="I68" i="5"/>
  <c r="J68" i="5" s="1"/>
  <c r="I64" i="5"/>
  <c r="J64" i="5" s="1"/>
  <c r="I56" i="5"/>
  <c r="J56" i="5" s="1"/>
  <c r="I52" i="5"/>
  <c r="J52" i="5" s="1"/>
</calcChain>
</file>

<file path=xl/sharedStrings.xml><?xml version="1.0" encoding="utf-8"?>
<sst xmlns="http://schemas.openxmlformats.org/spreadsheetml/2006/main" count="343" uniqueCount="236">
  <si>
    <t>Ej. 11)</t>
  </si>
  <si>
    <t>Considere la siguiente serie de tiempo:</t>
  </si>
  <si>
    <t>SEMANA</t>
  </si>
  <si>
    <t>VALOR</t>
  </si>
  <si>
    <t>a) Desarrolle el promedio móvil de 3 semanas para esta serie de tiempo. ¿Cuál es el pronóstico para la semana 7?</t>
  </si>
  <si>
    <t>b) Calcule el MAD, MSE, MAPE para el promedio móvil de 3 semanas.</t>
  </si>
  <si>
    <t>c) Calcule el MAD, MSE, MAPE para el promedio móvil de 2 semanas.</t>
  </si>
  <si>
    <t>d) ¿Cual eligiria de los dos opciones n=2 o n=3?</t>
  </si>
  <si>
    <t>Promedio Móvil</t>
  </si>
  <si>
    <t>semanas</t>
  </si>
  <si>
    <t>VALOR (Yt)</t>
  </si>
  <si>
    <t>Pronóstico (Ft)</t>
  </si>
  <si>
    <t>Error</t>
  </si>
  <si>
    <t>Error Absoluto</t>
  </si>
  <si>
    <t>Error ^2</t>
  </si>
  <si>
    <t>Error Porcentual</t>
  </si>
  <si>
    <t>b)</t>
  </si>
  <si>
    <t>MAD</t>
  </si>
  <si>
    <t>MSE</t>
  </si>
  <si>
    <t>MAPE</t>
  </si>
  <si>
    <t>c)</t>
  </si>
  <si>
    <t xml:space="preserve">a) Para el promedio móvil de 3 semanas, el pronóstico para la semana 7 es 8,67. </t>
  </si>
  <si>
    <t>d) Elegiría n=3, ya que presenta un menor error.</t>
  </si>
  <si>
    <t>Ej. 12)</t>
  </si>
  <si>
    <t>Semana</t>
  </si>
  <si>
    <t>Ventas</t>
  </si>
  <si>
    <t>a) Calcule los promedios móviles de 4 semanas y 5 semanas para la serie de tiempo para la semana 13</t>
  </si>
  <si>
    <t>b) Calcular el error medio cuadrático (EMC)(SME) para valores pronosticados del promedio móvil de 4 y 5 semanas</t>
  </si>
  <si>
    <t>c) Cual es el mejor opción "n" 4 o 5 ? Porqué ? Justifique</t>
  </si>
  <si>
    <t>d) La mejor opción es n=5, ya que es la que presenta un menor MSE.</t>
  </si>
  <si>
    <t>Ej. 13)</t>
  </si>
  <si>
    <t>El presidente de una PYME industrial esta preocupado por el continuo crecimiento de los costos de producción sobre los últimos años.</t>
  </si>
  <si>
    <t>En el cuadro se muestra una serie de tiempos del costo unitario para la compañía de los últimos 8 años.</t>
  </si>
  <si>
    <t>Costo Unitario</t>
  </si>
  <si>
    <t>a) Use la proyección de tendencias para pronosticar el precio minorista para el año 10 y año 11</t>
  </si>
  <si>
    <t>SEMANA (x)</t>
  </si>
  <si>
    <t>Costo Unitario (y)</t>
  </si>
  <si>
    <t>Proyectado</t>
  </si>
  <si>
    <t xml:space="preserve">Ordenada </t>
  </si>
  <si>
    <t>Pendiente</t>
  </si>
  <si>
    <t>Ej. 14)</t>
  </si>
  <si>
    <t>La empresa "la bicicleteria" necesita proyectar la demanda embarcaciones en base a los 7 años anteriores es como se muestra en la tabla adjunta:</t>
  </si>
  <si>
    <t>Año</t>
  </si>
  <si>
    <t>a)</t>
  </si>
  <si>
    <t>a) Graficar la serie de tiempos.</t>
  </si>
  <si>
    <t>b) Desarrolle la ecuación de la línea de tendencia para la serie</t>
  </si>
  <si>
    <t>c) Use la línea de tendencia desarrollada en b) para preparar el pronostico para las ventas anuales en el año 8</t>
  </si>
  <si>
    <t>Ecuación de la línea de tendencia:</t>
  </si>
  <si>
    <t>y = x . 14,29 + 28</t>
  </si>
  <si>
    <t>Ej. 15)</t>
  </si>
  <si>
    <t>Disponemos de los valores históricos del astillero Don Carlos, de las ventas trimestrales de los últimos 7 años:</t>
  </si>
  <si>
    <t>Trimestre</t>
  </si>
  <si>
    <t>a) Calcular el promedio móvil trimestral para esta serie de tiempo. Graficar la serie de tiempos original y los promedios móviles en el mismo grafico.</t>
  </si>
  <si>
    <t>b) Calcular los índices estacionales para los 4 trimestres</t>
  </si>
  <si>
    <t>c) Cual es el efecto estacional mas notorio ?</t>
  </si>
  <si>
    <t>d) Desestacionalice los datos, y use la serie desestacionalizada para identificar la tendencia</t>
  </si>
  <si>
    <t>e) Desarrolle el pronostico trimestral para el año próximo basado en la tendencia</t>
  </si>
  <si>
    <t>f) Use los índices estacionales para ajustar el pronostico para registrar el efecto estacional</t>
  </si>
  <si>
    <t>Pendiente    a =</t>
  </si>
  <si>
    <t>Ordenada al origen      b =</t>
  </si>
  <si>
    <t>d)</t>
  </si>
  <si>
    <t>f)</t>
  </si>
  <si>
    <t>Prom. Mov. Centrado n=3</t>
  </si>
  <si>
    <t>Índice (Coef. de Estacionalidad)</t>
  </si>
  <si>
    <t>Índices Adoptados</t>
  </si>
  <si>
    <t>Ventas Desestacionalizadas</t>
  </si>
  <si>
    <t>Proy. Tendencia y = a . x + b</t>
  </si>
  <si>
    <t>Proyección Tendencia con Estacionalidad</t>
  </si>
  <si>
    <t>e)</t>
  </si>
  <si>
    <t>1° Trim</t>
  </si>
  <si>
    <t>2° Trim</t>
  </si>
  <si>
    <t>3° Trim</t>
  </si>
  <si>
    <t>4° Trim</t>
  </si>
  <si>
    <t xml:space="preserve">c) </t>
  </si>
  <si>
    <t>FOR 20</t>
  </si>
  <si>
    <t>Local</t>
  </si>
  <si>
    <t>Pob Infa (X)
 Miles Niños</t>
  </si>
  <si>
    <t>Ventas (Y)
Millones</t>
  </si>
  <si>
    <t>X prom</t>
  </si>
  <si>
    <t>Y prom</t>
  </si>
  <si>
    <t>Sx</t>
  </si>
  <si>
    <t>Sy</t>
  </si>
  <si>
    <t>S^2x</t>
  </si>
  <si>
    <t>Sxy</t>
  </si>
  <si>
    <t>R</t>
  </si>
  <si>
    <t>B1</t>
  </si>
  <si>
    <t>B0</t>
  </si>
  <si>
    <t>Y = a + b X</t>
  </si>
  <si>
    <t>PARA X = 50</t>
  </si>
  <si>
    <t>a=</t>
  </si>
  <si>
    <t>Y=</t>
  </si>
  <si>
    <t>b=</t>
  </si>
  <si>
    <t>Confianza</t>
  </si>
  <si>
    <t>alfa</t>
  </si>
  <si>
    <t>Utilizando métodos de regresión se proyectará la demanda potencial juegos para niños.</t>
  </si>
  <si>
    <t>La información de los 12 locales de la cadena de negocios se muestra a continuación.</t>
  </si>
  <si>
    <t>Aplicar los resultados sobre una población infantil de aproximadamente 50</t>
  </si>
  <si>
    <t>personas , y establecer el intervalo de confianza al 95% para la misma población estimada.</t>
  </si>
  <si>
    <t>FOR_19</t>
  </si>
  <si>
    <t>X: Espacio Gondola (mts)</t>
  </si>
  <si>
    <t>Y: Ventas Mensuales</t>
  </si>
  <si>
    <t>Coeficientes A y B de la recta de regrecion lineal:</t>
  </si>
  <si>
    <t>A=2,07</t>
  </si>
  <si>
    <t>B=0,1175</t>
  </si>
  <si>
    <t>c) la pendiente de esta recta es B=0,1175, lo cuel indicaria una recta levemente inclinada y creciente.</t>
  </si>
  <si>
    <t>d)Y=A+B.X entonces Y(11,5mts)=2,07+0,1175*11,5=3,422   Las ventas de un espacio de gondola de 11,5mts es estimada en 3,422</t>
  </si>
  <si>
    <t>e)el error estandar es 5,2548</t>
  </si>
  <si>
    <t>f) El Coeficiente de determinacion es r2=0,68393 lo cual nos dice el el modelo ajustado a los datos es parcialmente adecuado ya que r2 no esta tan lejos de 1,se pueden explicar el 68% de la variacion de los valores de las Ventas Mensuales ( Y ) mediante el comprotamiento de la variable: Espacio de Gondola</t>
  </si>
  <si>
    <t>g) El coeficiente de correlacion es  r=0,827</t>
  </si>
  <si>
    <t>El gerente de mkt de una cadena de supermercados querria determinar el efecto del espacio en gondola (largo),</t>
  </si>
  <si>
    <t>sobre las ventas de Productos de alta gama.</t>
  </si>
  <si>
    <t>Se seleccionó una muestra aleatoria de 12 sucursales de igual tamaño cuyo relevamiento se adjunta mas abajo :</t>
  </si>
  <si>
    <t>Se pide:</t>
  </si>
  <si>
    <t>A) Encuentre el diagrama de dispersion</t>
  </si>
  <si>
    <t>B) En el supuesto de una relacion lineal, calcule con los coeficientes a y b de la ecuacion de la recta.</t>
  </si>
  <si>
    <t>C) interprete el siginificado de la pendiente en este problema.</t>
  </si>
  <si>
    <t>D) Prediga las ventas semanales de un espacio en gondola de "m" mts. para esos productos m= 11,50</t>
  </si>
  <si>
    <t>E) calcule el error estandard</t>
  </si>
  <si>
    <t>F) calcule el coeficiente de determinacion r2 e interprete su significado en este problema.</t>
  </si>
  <si>
    <t>G) calcule el coeficiente de correlacion.</t>
  </si>
  <si>
    <t>F) encuentre una estimacion de intervalo de confianza del 90 porc. para las Ventas semanales promedio</t>
  </si>
  <si>
    <t>de una sucursal que tiene 11,50 mts de estanteria para productos de alta gama.</t>
  </si>
  <si>
    <t>a) diagrama de dispersion</t>
  </si>
  <si>
    <t>UNIVERSIDAD TECNOLOGICA NACIONAL</t>
  </si>
  <si>
    <t>FACULTAD REGIONAL BUENOS AIRES</t>
  </si>
  <si>
    <t>DEPARTAMENTO DE INGENIERIA INDUSTRIAL</t>
  </si>
  <si>
    <t>ASIGNATURA</t>
  </si>
  <si>
    <t>CODIGO</t>
  </si>
  <si>
    <t>CONTROL DE GESTION</t>
  </si>
  <si>
    <t>NOMBRE Y APELLIDO</t>
  </si>
  <si>
    <t>LEGAJO N°</t>
  </si>
  <si>
    <t>DIVISION                       AÑO</t>
  </si>
  <si>
    <t>GRUPO</t>
  </si>
  <si>
    <t xml:space="preserve"> </t>
  </si>
  <si>
    <t>PROFESOR</t>
  </si>
  <si>
    <t>JEFE T.P.</t>
  </si>
  <si>
    <t>AYUD. T.P.</t>
  </si>
  <si>
    <t>TRABAJO PRACTICO</t>
  </si>
  <si>
    <t>N° 1</t>
  </si>
  <si>
    <t xml:space="preserve">TEMA: PRONOSTICOS </t>
  </si>
  <si>
    <t>FECHA ENTREGA:</t>
  </si>
  <si>
    <t>FECHA DE VENCIMIENTO:</t>
  </si>
  <si>
    <t>INTEGRANTES GRUPO</t>
  </si>
  <si>
    <t xml:space="preserve">N° </t>
  </si>
  <si>
    <t xml:space="preserve">INTEGRANTES </t>
  </si>
  <si>
    <t>N° DE LEGAJO</t>
  </si>
  <si>
    <t>Salas del Fueyo ,Agostina</t>
  </si>
  <si>
    <t>150435-6</t>
  </si>
  <si>
    <t>154062-2</t>
  </si>
  <si>
    <t>CORRECCIONES</t>
  </si>
  <si>
    <t>FIRMA DOCENTE</t>
  </si>
  <si>
    <t>ORIGINAL</t>
  </si>
  <si>
    <t>COPIA</t>
  </si>
  <si>
    <t>Valencia, Joel</t>
  </si>
  <si>
    <t>FOR 18</t>
  </si>
  <si>
    <t>PM n=4</t>
  </si>
  <si>
    <t>Error Abs</t>
  </si>
  <si>
    <t>Error^2</t>
  </si>
  <si>
    <t>PM n=12</t>
  </si>
  <si>
    <t>Menor Error y mas estable</t>
  </si>
  <si>
    <t>c) Pronostico 2014</t>
  </si>
  <si>
    <t xml:space="preserve">Prom Mov
n=6 </t>
  </si>
  <si>
    <t>Prom Mov
Centrado</t>
  </si>
  <si>
    <t>Indice</t>
  </si>
  <si>
    <t>Indice 
Adop</t>
  </si>
  <si>
    <t>Ventas
Desestac.</t>
  </si>
  <si>
    <t>NO TIENE LOGICA EL R2!!!</t>
  </si>
  <si>
    <t>Se dispone de la información histórica de ventas de la empresa ZUNIYU de los últimos 36 meses.</t>
  </si>
  <si>
    <t>a) Realice el suavizamiento de la serie por el método de promedios móviles con n=4 y n=12.</t>
  </si>
  <si>
    <t>b) ¿Cuál de los suavizamiento calculados es el mas adecuado ?</t>
  </si>
  <si>
    <t>c) Pronostique el año 2014 completo, calculando los índices mensuales correspondientes,</t>
  </si>
  <si>
    <t>calculando la tendencia lineal y agregándole los coeficientes estaciónales de cada mes.</t>
  </si>
  <si>
    <t>d) Graficar la serie original, las serie desestacionalizada, la tendencia lineal y la tendencia con estacionalidad.</t>
  </si>
  <si>
    <t>e) ¿Cuál es el pronostico para Setimebre de 2014 ?</t>
  </si>
  <si>
    <t>Ejercicio_FOR17)</t>
  </si>
  <si>
    <t>Se dispone de la información histórica de ventas de la empresa QWERTY de los últimos 36 meses.</t>
  </si>
  <si>
    <t>c) Pronostique el año 2013 completo, calculando los índices mensuales correspondientes,</t>
  </si>
  <si>
    <t>e) ¿Cuál es el pronostico para Mayo de 2013 ?</t>
  </si>
  <si>
    <t>N=4</t>
  </si>
  <si>
    <t>y=2,0395x+298,49</t>
  </si>
  <si>
    <t>Year</t>
  </si>
  <si>
    <t>Mes</t>
  </si>
  <si>
    <t>FT</t>
  </si>
  <si>
    <t>FT CENTRADO</t>
  </si>
  <si>
    <t>Indice estacional</t>
  </si>
  <si>
    <t>Indice adoptado</t>
  </si>
  <si>
    <t>Venta desestacionalizada</t>
  </si>
  <si>
    <t>Tendencia</t>
  </si>
  <si>
    <t>Efecto estacional individual</t>
  </si>
  <si>
    <t>N=12</t>
  </si>
  <si>
    <t>y=1,9769x+313,49</t>
  </si>
  <si>
    <t>FOR 16</t>
  </si>
  <si>
    <t>Muebleria</t>
  </si>
  <si>
    <t>Trim</t>
  </si>
  <si>
    <t>Prom Mov
n=4 trim</t>
  </si>
  <si>
    <t>Indice
Adop</t>
  </si>
  <si>
    <r>
      <rPr>
        <b/>
        <sz val="11"/>
        <color theme="1"/>
        <rFont val="Arial"/>
        <family val="2"/>
        <scheme val="minor"/>
      </rPr>
      <t>c)</t>
    </r>
    <r>
      <rPr>
        <sz val="11"/>
        <color rgb="FF000000"/>
        <rFont val="Calibri"/>
        <family val="2"/>
      </rPr>
      <t xml:space="preserve"> Lo mas notorio es que en los 2dos trimestres hay picos max de ventas
Y en los 4tos trimestres hay pico minimo de ventas.</t>
    </r>
  </si>
  <si>
    <t>1_1</t>
  </si>
  <si>
    <t>1_2</t>
  </si>
  <si>
    <t>1_3</t>
  </si>
  <si>
    <t>1_4</t>
  </si>
  <si>
    <t>2_1</t>
  </si>
  <si>
    <t>2_2</t>
  </si>
  <si>
    <t>2_3</t>
  </si>
  <si>
    <t>2_4</t>
  </si>
  <si>
    <t>3_1</t>
  </si>
  <si>
    <t>3_2</t>
  </si>
  <si>
    <t>3_3</t>
  </si>
  <si>
    <t>3_4</t>
  </si>
  <si>
    <t>4_1</t>
  </si>
  <si>
    <t>4_2</t>
  </si>
  <si>
    <t>4_3</t>
  </si>
  <si>
    <t>4_4</t>
  </si>
  <si>
    <t>5_1</t>
  </si>
  <si>
    <t>5_2</t>
  </si>
  <si>
    <t>5_3</t>
  </si>
  <si>
    <t>5_4</t>
  </si>
  <si>
    <t>6_1</t>
  </si>
  <si>
    <t>6_2</t>
  </si>
  <si>
    <t>6_3</t>
  </si>
  <si>
    <t>6_4</t>
  </si>
  <si>
    <t>7_1</t>
  </si>
  <si>
    <t>7_2</t>
  </si>
  <si>
    <t>7_3</t>
  </si>
  <si>
    <t>7_4</t>
  </si>
  <si>
    <t>8_1</t>
  </si>
  <si>
    <t>8_2</t>
  </si>
  <si>
    <t>8_3</t>
  </si>
  <si>
    <t>8_4</t>
  </si>
  <si>
    <t>Disponemos de los valores históricos de la empresa "la muebleria"</t>
  </si>
  <si>
    <t>de las ventas trimestrales de los últimos 7 años:</t>
  </si>
  <si>
    <t>a) Calcular el promedio móvil trimestral para esta serie de tiempo.</t>
  </si>
  <si>
    <t>Graficar la serie de tiempos original y los promedios móviles en el mismo grafico.</t>
  </si>
  <si>
    <t>Rahimi Vilchez, Aiad</t>
  </si>
  <si>
    <t xml:space="preserve">                – Ciclo Lectivo 2023</t>
  </si>
  <si>
    <t>y=a.x+b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</si>
</sst>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0"/>
    <numFmt numFmtId="167" formatCode="0.0000"/>
  </numFmts>
  <fonts count="1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26"/>
      <color rgb="FF000000"/>
      <name val="Times New Roman"/>
      <family val="1"/>
    </font>
    <font>
      <b/>
      <sz val="14"/>
      <color rgb="FF000000"/>
      <name val="Calibri"/>
      <family val="2"/>
    </font>
    <font>
      <sz val="16"/>
      <color rgb="FF000000"/>
      <name val="Times New Roman"/>
      <family val="1"/>
    </font>
    <font>
      <b/>
      <sz val="16"/>
      <color rgb="FF000000"/>
      <name val="Calibri"/>
      <family val="2"/>
    </font>
    <font>
      <sz val="11"/>
      <color rgb="FF000000"/>
      <name val="Times New Roman"/>
      <family val="1"/>
    </font>
    <font>
      <i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8" fillId="0" borderId="0"/>
  </cellStyleXfs>
  <cellXfs count="3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10" fontId="2" fillId="0" borderId="7" xfId="0" applyNumberFormat="1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9" fontId="2" fillId="0" borderId="9" xfId="0" applyNumberFormat="1" applyFont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0" fontId="2" fillId="0" borderId="12" xfId="0" applyNumberFormat="1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2" fontId="3" fillId="5" borderId="3" xfId="0" applyNumberFormat="1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2" fontId="3" fillId="6" borderId="15" xfId="0" applyNumberFormat="1" applyFont="1" applyFill="1" applyBorder="1" applyAlignment="1">
      <alignment horizontal="center"/>
    </xf>
    <xf numFmtId="10" fontId="3" fillId="6" borderId="15" xfId="0" applyNumberFormat="1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9" fontId="3" fillId="6" borderId="15" xfId="0" applyNumberFormat="1" applyFont="1" applyFill="1" applyBorder="1" applyAlignment="1">
      <alignment horizontal="center"/>
    </xf>
    <xf numFmtId="0" fontId="3" fillId="6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2" fontId="2" fillId="0" borderId="26" xfId="0" applyNumberFormat="1" applyFont="1" applyBorder="1" applyAlignment="1">
      <alignment horizontal="center"/>
    </xf>
    <xf numFmtId="2" fontId="2" fillId="5" borderId="26" xfId="0" applyNumberFormat="1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2" fontId="2" fillId="0" borderId="29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3" fillId="6" borderId="30" xfId="0" applyNumberFormat="1" applyFont="1" applyFill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2" fontId="3" fillId="6" borderId="17" xfId="0" applyNumberFormat="1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2" fontId="2" fillId="0" borderId="37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8" borderId="34" xfId="0" applyFont="1" applyFill="1" applyBorder="1" applyAlignment="1">
      <alignment horizontal="center"/>
    </xf>
    <xf numFmtId="2" fontId="3" fillId="8" borderId="13" xfId="0" applyNumberFormat="1" applyFont="1" applyFill="1" applyBorder="1" applyAlignment="1">
      <alignment horizontal="center"/>
    </xf>
    <xf numFmtId="0" fontId="3" fillId="8" borderId="36" xfId="0" applyFont="1" applyFill="1" applyBorder="1" applyAlignment="1">
      <alignment horizontal="center"/>
    </xf>
    <xf numFmtId="0" fontId="2" fillId="8" borderId="39" xfId="0" applyFont="1" applyFill="1" applyBorder="1" applyAlignment="1">
      <alignment horizontal="center"/>
    </xf>
    <xf numFmtId="2" fontId="3" fillId="8" borderId="29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36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2" fontId="3" fillId="0" borderId="40" xfId="0" applyNumberFormat="1" applyFont="1" applyBorder="1" applyAlignment="1">
      <alignment horizontal="center" vertical="center" wrapText="1"/>
    </xf>
    <xf numFmtId="2" fontId="3" fillId="0" borderId="19" xfId="0" applyNumberFormat="1" applyFont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3" fillId="0" borderId="34" xfId="0" applyNumberFormat="1" applyFont="1" applyBorder="1" applyAlignment="1">
      <alignment horizontal="center"/>
    </xf>
    <xf numFmtId="2" fontId="2" fillId="0" borderId="34" xfId="0" applyNumberFormat="1" applyFont="1" applyBorder="1" applyAlignment="1">
      <alignment horizontal="center"/>
    </xf>
    <xf numFmtId="2" fontId="3" fillId="0" borderId="26" xfId="0" applyNumberFormat="1" applyFont="1" applyBorder="1" applyAlignment="1">
      <alignment horizontal="center"/>
    </xf>
    <xf numFmtId="2" fontId="3" fillId="0" borderId="35" xfId="0" applyNumberFormat="1" applyFont="1" applyBorder="1" applyAlignment="1">
      <alignment horizontal="center"/>
    </xf>
    <xf numFmtId="2" fontId="2" fillId="0" borderId="35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36" xfId="0" applyNumberFormat="1" applyFont="1" applyBorder="1" applyAlignment="1">
      <alignment horizontal="center"/>
    </xf>
    <xf numFmtId="2" fontId="2" fillId="0" borderId="36" xfId="0" applyNumberFormat="1" applyFont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2" fontId="3" fillId="9" borderId="13" xfId="0" applyNumberFormat="1" applyFont="1" applyFill="1" applyBorder="1" applyAlignment="1">
      <alignment horizontal="center"/>
    </xf>
    <xf numFmtId="2" fontId="3" fillId="4" borderId="13" xfId="0" applyNumberFormat="1" applyFont="1" applyFill="1" applyBorder="1" applyAlignment="1">
      <alignment horizontal="center"/>
    </xf>
    <xf numFmtId="0" fontId="3" fillId="9" borderId="26" xfId="0" applyFont="1" applyFill="1" applyBorder="1" applyAlignment="1">
      <alignment horizontal="center"/>
    </xf>
    <xf numFmtId="2" fontId="3" fillId="9" borderId="26" xfId="0" applyNumberFormat="1" applyFont="1" applyFill="1" applyBorder="1" applyAlignment="1">
      <alignment horizontal="center"/>
    </xf>
    <xf numFmtId="2" fontId="3" fillId="4" borderId="26" xfId="0" applyNumberFormat="1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/>
    </xf>
    <xf numFmtId="2" fontId="3" fillId="0" borderId="29" xfId="0" applyNumberFormat="1" applyFont="1" applyBorder="1" applyAlignment="1">
      <alignment horizontal="center"/>
    </xf>
    <xf numFmtId="2" fontId="3" fillId="9" borderId="29" xfId="0" applyNumberFormat="1" applyFont="1" applyFill="1" applyBorder="1" applyAlignment="1">
      <alignment horizontal="center"/>
    </xf>
    <xf numFmtId="2" fontId="3" fillId="4" borderId="29" xfId="0" applyNumberFormat="1" applyFont="1" applyFill="1" applyBorder="1" applyAlignment="1">
      <alignment horizontal="center"/>
    </xf>
    <xf numFmtId="2" fontId="3" fillId="0" borderId="27" xfId="0" applyNumberFormat="1" applyFont="1" applyBorder="1" applyAlignment="1">
      <alignment horizontal="center"/>
    </xf>
    <xf numFmtId="2" fontId="3" fillId="0" borderId="28" xfId="0" applyNumberFormat="1" applyFont="1" applyBorder="1" applyAlignment="1">
      <alignment horizontal="center"/>
    </xf>
    <xf numFmtId="2" fontId="3" fillId="0" borderId="37" xfId="0" applyNumberFormat="1" applyFont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0" borderId="0" xfId="1"/>
    <xf numFmtId="0" fontId="1" fillId="0" borderId="42" xfId="1" applyBorder="1" applyAlignment="1">
      <alignment horizontal="center" vertical="center"/>
    </xf>
    <xf numFmtId="0" fontId="1" fillId="0" borderId="42" xfId="1" applyBorder="1" applyAlignment="1">
      <alignment horizontal="center" vertical="center" wrapText="1"/>
    </xf>
    <xf numFmtId="0" fontId="1" fillId="0" borderId="42" xfId="1" applyBorder="1" applyAlignment="1">
      <alignment horizontal="center"/>
    </xf>
    <xf numFmtId="0" fontId="1" fillId="0" borderId="0" xfId="1" applyAlignment="1">
      <alignment horizontal="center"/>
    </xf>
    <xf numFmtId="2" fontId="1" fillId="0" borderId="0" xfId="1" applyNumberFormat="1" applyAlignment="1">
      <alignment horizontal="center"/>
    </xf>
    <xf numFmtId="165" fontId="1" fillId="0" borderId="0" xfId="1" applyNumberFormat="1" applyAlignment="1">
      <alignment horizontal="center"/>
    </xf>
    <xf numFmtId="0" fontId="1" fillId="0" borderId="42" xfId="1" applyBorder="1"/>
    <xf numFmtId="0" fontId="1" fillId="10" borderId="42" xfId="1" applyFill="1" applyBorder="1" applyAlignment="1">
      <alignment horizontal="center"/>
    </xf>
    <xf numFmtId="165" fontId="1" fillId="10" borderId="42" xfId="1" applyNumberFormat="1" applyFill="1" applyBorder="1" applyAlignment="1">
      <alignment horizontal="center"/>
    </xf>
    <xf numFmtId="9" fontId="0" fillId="0" borderId="42" xfId="2" applyFont="1" applyBorder="1"/>
    <xf numFmtId="9" fontId="1" fillId="0" borderId="42" xfId="1" applyNumberFormat="1" applyBorder="1"/>
    <xf numFmtId="0" fontId="1" fillId="0" borderId="0" xfId="1" applyAlignment="1">
      <alignment horizontal="left"/>
    </xf>
    <xf numFmtId="0" fontId="7" fillId="0" borderId="0" xfId="3" applyFont="1"/>
    <xf numFmtId="0" fontId="6" fillId="0" borderId="0" xfId="3"/>
    <xf numFmtId="3" fontId="6" fillId="0" borderId="0" xfId="3" applyNumberFormat="1"/>
    <xf numFmtId="0" fontId="5" fillId="0" borderId="0" xfId="1" applyFont="1" applyAlignment="1">
      <alignment horizontal="left"/>
    </xf>
    <xf numFmtId="0" fontId="5" fillId="0" borderId="41" xfId="1" applyFont="1" applyBorder="1" applyAlignment="1">
      <alignment horizontal="center"/>
    </xf>
    <xf numFmtId="0" fontId="7" fillId="0" borderId="0" xfId="3" applyFont="1" applyAlignment="1">
      <alignment horizontal="left"/>
    </xf>
    <xf numFmtId="0" fontId="8" fillId="0" borderId="0" xfId="3" applyFont="1"/>
    <xf numFmtId="0" fontId="8" fillId="0" borderId="0" xfId="4"/>
    <xf numFmtId="0" fontId="9" fillId="0" borderId="53" xfId="4" applyFont="1" applyBorder="1" applyAlignment="1">
      <alignment vertical="center" wrapText="1"/>
    </xf>
    <xf numFmtId="0" fontId="9" fillId="0" borderId="41" xfId="4" applyFont="1" applyBorder="1" applyAlignment="1">
      <alignment vertical="center" wrapText="1"/>
    </xf>
    <xf numFmtId="0" fontId="11" fillId="0" borderId="41" xfId="4" applyFont="1" applyBorder="1" applyAlignment="1">
      <alignment vertical="center" wrapText="1"/>
    </xf>
    <xf numFmtId="0" fontId="8" fillId="0" borderId="51" xfId="4" applyBorder="1"/>
    <xf numFmtId="0" fontId="8" fillId="0" borderId="52" xfId="4" applyBorder="1"/>
    <xf numFmtId="0" fontId="9" fillId="0" borderId="51" xfId="4" applyFont="1" applyBorder="1" applyAlignment="1">
      <alignment vertical="center" wrapText="1"/>
    </xf>
    <xf numFmtId="0" fontId="9" fillId="0" borderId="44" xfId="4" applyFont="1" applyBorder="1" applyAlignment="1">
      <alignment vertical="center" wrapText="1"/>
    </xf>
    <xf numFmtId="0" fontId="11" fillId="0" borderId="49" xfId="4" applyFont="1" applyBorder="1" applyAlignment="1">
      <alignment horizontal="center" vertical="center" wrapText="1"/>
    </xf>
    <xf numFmtId="0" fontId="11" fillId="0" borderId="0" xfId="4" applyFont="1" applyAlignment="1">
      <alignment horizontal="center" vertical="center" wrapText="1"/>
    </xf>
    <xf numFmtId="0" fontId="9" fillId="0" borderId="0" xfId="4" applyFont="1" applyAlignment="1">
      <alignment vertical="center" wrapText="1"/>
    </xf>
    <xf numFmtId="0" fontId="9" fillId="0" borderId="47" xfId="4" applyFont="1" applyBorder="1" applyAlignment="1">
      <alignment vertical="center" wrapText="1"/>
    </xf>
    <xf numFmtId="0" fontId="13" fillId="0" borderId="41" xfId="4" applyFont="1" applyBorder="1" applyAlignment="1">
      <alignment horizontal="center"/>
    </xf>
    <xf numFmtId="0" fontId="13" fillId="0" borderId="51" xfId="4" applyFont="1" applyBorder="1" applyAlignment="1">
      <alignment horizontal="left"/>
    </xf>
    <xf numFmtId="0" fontId="13" fillId="0" borderId="53" xfId="4" applyFont="1" applyBorder="1" applyAlignment="1">
      <alignment horizontal="center"/>
    </xf>
    <xf numFmtId="0" fontId="14" fillId="0" borderId="41" xfId="4" applyFont="1" applyBorder="1" applyAlignment="1">
      <alignment horizontal="center" vertical="center" wrapText="1"/>
    </xf>
    <xf numFmtId="0" fontId="15" fillId="0" borderId="51" xfId="4" applyFont="1" applyBorder="1" applyAlignment="1">
      <alignment horizontal="left"/>
    </xf>
    <xf numFmtId="0" fontId="15" fillId="0" borderId="52" xfId="4" applyFont="1" applyBorder="1" applyAlignment="1">
      <alignment horizontal="left"/>
    </xf>
    <xf numFmtId="0" fontId="15" fillId="0" borderId="53" xfId="4" applyFont="1" applyBorder="1" applyAlignment="1">
      <alignment horizontal="left"/>
    </xf>
    <xf numFmtId="0" fontId="13" fillId="0" borderId="51" xfId="4" applyFont="1" applyBorder="1" applyAlignment="1">
      <alignment horizontal="center"/>
    </xf>
    <xf numFmtId="0" fontId="14" fillId="0" borderId="48" xfId="4" applyFont="1" applyBorder="1" applyAlignment="1">
      <alignment horizontal="center" vertical="center" wrapText="1"/>
    </xf>
    <xf numFmtId="0" fontId="17" fillId="0" borderId="42" xfId="1" applyFont="1" applyBorder="1" applyAlignment="1">
      <alignment horizontal="center"/>
    </xf>
    <xf numFmtId="0" fontId="17" fillId="0" borderId="0" xfId="1" applyFont="1" applyAlignment="1">
      <alignment horizontal="center"/>
    </xf>
    <xf numFmtId="17" fontId="1" fillId="0" borderId="57" xfId="1" applyNumberFormat="1" applyBorder="1" applyAlignment="1">
      <alignment horizontal="center"/>
    </xf>
    <xf numFmtId="0" fontId="1" fillId="0" borderId="57" xfId="1" applyBorder="1"/>
    <xf numFmtId="165" fontId="1" fillId="0" borderId="42" xfId="1" applyNumberFormat="1" applyBorder="1" applyAlignment="1">
      <alignment horizontal="center"/>
    </xf>
    <xf numFmtId="17" fontId="1" fillId="0" borderId="42" xfId="1" applyNumberFormat="1" applyBorder="1" applyAlignment="1">
      <alignment horizontal="center"/>
    </xf>
    <xf numFmtId="2" fontId="1" fillId="0" borderId="42" xfId="1" applyNumberFormat="1" applyBorder="1" applyAlignment="1">
      <alignment horizontal="center"/>
    </xf>
    <xf numFmtId="1" fontId="1" fillId="0" borderId="0" xfId="1" applyNumberFormat="1" applyAlignment="1">
      <alignment horizontal="center"/>
    </xf>
    <xf numFmtId="165" fontId="1" fillId="0" borderId="42" xfId="1" applyNumberFormat="1" applyBorder="1"/>
    <xf numFmtId="2" fontId="1" fillId="0" borderId="41" xfId="1" applyNumberFormat="1" applyBorder="1" applyAlignment="1">
      <alignment horizontal="center"/>
    </xf>
    <xf numFmtId="0" fontId="5" fillId="10" borderId="0" xfId="1" applyFont="1" applyFill="1" applyAlignment="1">
      <alignment horizontal="center"/>
    </xf>
    <xf numFmtId="2" fontId="1" fillId="10" borderId="41" xfId="1" applyNumberFormat="1" applyFill="1" applyBorder="1" applyAlignment="1">
      <alignment horizontal="center"/>
    </xf>
    <xf numFmtId="0" fontId="1" fillId="0" borderId="41" xfId="1" applyBorder="1" applyAlignment="1">
      <alignment horizontal="center" vertical="center" wrapText="1"/>
    </xf>
    <xf numFmtId="165" fontId="1" fillId="0" borderId="57" xfId="1" applyNumberFormat="1" applyBorder="1" applyAlignment="1">
      <alignment horizontal="center"/>
    </xf>
    <xf numFmtId="2" fontId="1" fillId="0" borderId="57" xfId="1" applyNumberFormat="1" applyBorder="1" applyAlignment="1">
      <alignment horizontal="center"/>
    </xf>
    <xf numFmtId="165" fontId="5" fillId="10" borderId="42" xfId="1" applyNumberFormat="1" applyFont="1" applyFill="1" applyBorder="1" applyAlignment="1">
      <alignment horizontal="center"/>
    </xf>
    <xf numFmtId="165" fontId="1" fillId="0" borderId="58" xfId="1" applyNumberFormat="1" applyBorder="1" applyAlignment="1">
      <alignment horizontal="center"/>
    </xf>
    <xf numFmtId="0" fontId="1" fillId="10" borderId="42" xfId="1" applyFill="1" applyBorder="1"/>
    <xf numFmtId="17" fontId="1" fillId="0" borderId="0" xfId="1" applyNumberFormat="1" applyAlignment="1">
      <alignment horizontal="center"/>
    </xf>
    <xf numFmtId="17" fontId="1" fillId="0" borderId="42" xfId="1" applyNumberFormat="1" applyBorder="1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left" vertical="top" wrapText="1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3" xfId="0" applyBorder="1"/>
    <xf numFmtId="1" fontId="0" fillId="0" borderId="1" xfId="0" applyNumberFormat="1" applyBorder="1"/>
    <xf numFmtId="1" fontId="0" fillId="0" borderId="18" xfId="0" applyNumberFormat="1" applyBorder="1"/>
    <xf numFmtId="0" fontId="0" fillId="0" borderId="18" xfId="0" applyBorder="1"/>
    <xf numFmtId="166" fontId="0" fillId="0" borderId="1" xfId="0" applyNumberFormat="1" applyBorder="1"/>
    <xf numFmtId="1" fontId="0" fillId="0" borderId="19" xfId="0" applyNumberFormat="1" applyBorder="1"/>
    <xf numFmtId="0" fontId="0" fillId="0" borderId="36" xfId="0" applyBorder="1"/>
    <xf numFmtId="0" fontId="0" fillId="0" borderId="29" xfId="0" applyBorder="1"/>
    <xf numFmtId="1" fontId="0" fillId="0" borderId="29" xfId="0" applyNumberFormat="1" applyBorder="1"/>
    <xf numFmtId="166" fontId="0" fillId="0" borderId="18" xfId="0" applyNumberFormat="1" applyBorder="1"/>
    <xf numFmtId="0" fontId="0" fillId="0" borderId="19" xfId="0" applyBorder="1"/>
    <xf numFmtId="0" fontId="18" fillId="0" borderId="0" xfId="0" applyFont="1"/>
    <xf numFmtId="167" fontId="1" fillId="0" borderId="0" xfId="1" applyNumberFormat="1" applyAlignment="1">
      <alignment horizontal="center"/>
    </xf>
    <xf numFmtId="0" fontId="1" fillId="0" borderId="0" xfId="1" applyAlignment="1">
      <alignment horizontal="center" vertical="center"/>
    </xf>
    <xf numFmtId="0" fontId="1" fillId="0" borderId="59" xfId="1" applyBorder="1" applyAlignment="1">
      <alignment horizontal="center" vertical="center"/>
    </xf>
    <xf numFmtId="0" fontId="1" fillId="0" borderId="60" xfId="1" applyBorder="1" applyAlignment="1">
      <alignment horizontal="center" vertical="center"/>
    </xf>
    <xf numFmtId="0" fontId="1" fillId="0" borderId="61" xfId="1" applyBorder="1" applyAlignment="1">
      <alignment horizontal="center" vertical="center"/>
    </xf>
    <xf numFmtId="0" fontId="1" fillId="0" borderId="41" xfId="1" applyBorder="1" applyAlignment="1">
      <alignment horizontal="center" vertical="center"/>
    </xf>
    <xf numFmtId="167" fontId="1" fillId="0" borderId="41" xfId="1" applyNumberFormat="1" applyBorder="1" applyAlignment="1">
      <alignment horizontal="center" vertical="center" wrapText="1"/>
    </xf>
    <xf numFmtId="0" fontId="1" fillId="0" borderId="54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 wrapText="1"/>
    </xf>
    <xf numFmtId="0" fontId="1" fillId="0" borderId="62" xfId="1" applyBorder="1" applyAlignment="1">
      <alignment horizontal="center"/>
    </xf>
    <xf numFmtId="0" fontId="1" fillId="0" borderId="63" xfId="1" applyBorder="1" applyAlignment="1">
      <alignment horizontal="center"/>
    </xf>
    <xf numFmtId="0" fontId="1" fillId="0" borderId="64" xfId="1" applyBorder="1" applyAlignment="1">
      <alignment horizontal="center"/>
    </xf>
    <xf numFmtId="165" fontId="1" fillId="0" borderId="62" xfId="1" applyNumberFormat="1" applyBorder="1" applyAlignment="1">
      <alignment horizontal="center"/>
    </xf>
    <xf numFmtId="165" fontId="1" fillId="0" borderId="63" xfId="1" applyNumberFormat="1" applyBorder="1" applyAlignment="1">
      <alignment horizontal="center"/>
    </xf>
    <xf numFmtId="0" fontId="1" fillId="0" borderId="44" xfId="1" applyBorder="1"/>
    <xf numFmtId="167" fontId="1" fillId="0" borderId="45" xfId="1" applyNumberFormat="1" applyBorder="1" applyAlignment="1">
      <alignment horizontal="center"/>
    </xf>
    <xf numFmtId="0" fontId="1" fillId="0" borderId="65" xfId="1" applyBorder="1" applyAlignment="1">
      <alignment horizontal="center"/>
    </xf>
    <xf numFmtId="0" fontId="1" fillId="0" borderId="57" xfId="1" applyBorder="1" applyAlignment="1">
      <alignment horizontal="center"/>
    </xf>
    <xf numFmtId="0" fontId="1" fillId="0" borderId="66" xfId="1" applyBorder="1" applyAlignment="1">
      <alignment horizontal="center"/>
    </xf>
    <xf numFmtId="165" fontId="1" fillId="0" borderId="67" xfId="1" applyNumberFormat="1" applyBorder="1" applyAlignment="1">
      <alignment horizontal="center"/>
    </xf>
    <xf numFmtId="167" fontId="1" fillId="0" borderId="47" xfId="1" applyNumberFormat="1" applyBorder="1" applyAlignment="1">
      <alignment horizontal="center"/>
    </xf>
    <xf numFmtId="167" fontId="5" fillId="10" borderId="68" xfId="1" applyNumberFormat="1" applyFont="1" applyFill="1" applyBorder="1" applyAlignment="1">
      <alignment horizontal="center"/>
    </xf>
    <xf numFmtId="0" fontId="5" fillId="10" borderId="0" xfId="1" applyFont="1" applyFill="1"/>
    <xf numFmtId="0" fontId="1" fillId="0" borderId="69" xfId="1" applyBorder="1" applyAlignment="1">
      <alignment horizontal="center"/>
    </xf>
    <xf numFmtId="0" fontId="1" fillId="0" borderId="70" xfId="1" applyBorder="1" applyAlignment="1">
      <alignment horizontal="center"/>
    </xf>
    <xf numFmtId="0" fontId="1" fillId="0" borderId="71" xfId="1" applyBorder="1" applyAlignment="1">
      <alignment horizontal="center"/>
    </xf>
    <xf numFmtId="165" fontId="1" fillId="0" borderId="72" xfId="1" applyNumberFormat="1" applyBorder="1" applyAlignment="1">
      <alignment horizontal="center"/>
    </xf>
    <xf numFmtId="165" fontId="1" fillId="0" borderId="73" xfId="1" applyNumberFormat="1" applyBorder="1" applyAlignment="1">
      <alignment horizontal="center"/>
    </xf>
    <xf numFmtId="167" fontId="5" fillId="10" borderId="74" xfId="1" applyNumberFormat="1" applyFont="1" applyFill="1" applyBorder="1" applyAlignment="1">
      <alignment horizontal="center"/>
    </xf>
    <xf numFmtId="167" fontId="5" fillId="10" borderId="64" xfId="1" applyNumberFormat="1" applyFont="1" applyFill="1" applyBorder="1" applyAlignment="1">
      <alignment horizontal="center"/>
    </xf>
    <xf numFmtId="0" fontId="5" fillId="0" borderId="0" xfId="1" applyFont="1"/>
    <xf numFmtId="0" fontId="1" fillId="0" borderId="67" xfId="1" applyBorder="1" applyAlignment="1">
      <alignment horizontal="center"/>
    </xf>
    <xf numFmtId="0" fontId="1" fillId="0" borderId="68" xfId="1" applyBorder="1" applyAlignment="1">
      <alignment horizontal="center"/>
    </xf>
    <xf numFmtId="0" fontId="1" fillId="0" borderId="72" xfId="1" applyBorder="1" applyAlignment="1">
      <alignment horizontal="center"/>
    </xf>
    <xf numFmtId="0" fontId="1" fillId="0" borderId="73" xfId="1" applyBorder="1" applyAlignment="1">
      <alignment horizontal="center"/>
    </xf>
    <xf numFmtId="0" fontId="1" fillId="0" borderId="74" xfId="1" applyBorder="1" applyAlignment="1">
      <alignment horizontal="center"/>
    </xf>
    <xf numFmtId="167" fontId="1" fillId="0" borderId="50" xfId="1" applyNumberFormat="1" applyBorder="1" applyAlignment="1">
      <alignment horizontal="center"/>
    </xf>
    <xf numFmtId="165" fontId="1" fillId="11" borderId="72" xfId="1" applyNumberFormat="1" applyFill="1" applyBorder="1" applyAlignment="1">
      <alignment horizontal="center"/>
    </xf>
    <xf numFmtId="165" fontId="1" fillId="11" borderId="73" xfId="1" applyNumberFormat="1" applyFill="1" applyBorder="1" applyAlignment="1">
      <alignment horizontal="center"/>
    </xf>
    <xf numFmtId="165" fontId="1" fillId="11" borderId="57" xfId="1" applyNumberFormat="1" applyFill="1" applyBorder="1" applyAlignment="1">
      <alignment horizontal="center"/>
    </xf>
    <xf numFmtId="165" fontId="1" fillId="0" borderId="0" xfId="1" applyNumberFormat="1"/>
    <xf numFmtId="165" fontId="1" fillId="11" borderId="42" xfId="1" applyNumberFormat="1" applyFill="1" applyBorder="1" applyAlignment="1">
      <alignment horizontal="center"/>
    </xf>
    <xf numFmtId="165" fontId="5" fillId="10" borderId="0" xfId="1" applyNumberFormat="1" applyFont="1" applyFill="1"/>
    <xf numFmtId="2" fontId="2" fillId="0" borderId="28" xfId="0" applyNumberFormat="1" applyFont="1" applyBorder="1" applyAlignment="1">
      <alignment horizontal="center"/>
    </xf>
    <xf numFmtId="0" fontId="3" fillId="3" borderId="13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/>
    </xf>
    <xf numFmtId="0" fontId="2" fillId="0" borderId="75" xfId="0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5" fontId="2" fillId="0" borderId="34" xfId="0" applyNumberFormat="1" applyFont="1" applyBorder="1" applyAlignment="1">
      <alignment horizontal="center"/>
    </xf>
    <xf numFmtId="165" fontId="2" fillId="0" borderId="35" xfId="0" applyNumberFormat="1" applyFont="1" applyBorder="1" applyAlignment="1">
      <alignment horizontal="center"/>
    </xf>
    <xf numFmtId="165" fontId="2" fillId="12" borderId="34" xfId="0" applyNumberFormat="1" applyFont="1" applyFill="1" applyBorder="1" applyAlignment="1">
      <alignment horizontal="center"/>
    </xf>
    <xf numFmtId="165" fontId="2" fillId="12" borderId="35" xfId="0" applyNumberFormat="1" applyFont="1" applyFill="1" applyBorder="1" applyAlignment="1">
      <alignment horizontal="center"/>
    </xf>
    <xf numFmtId="0" fontId="9" fillId="0" borderId="43" xfId="4" applyFont="1" applyBorder="1" applyAlignment="1">
      <alignment vertical="center" wrapText="1"/>
    </xf>
    <xf numFmtId="0" fontId="9" fillId="0" borderId="44" xfId="4" applyFont="1" applyBorder="1" applyAlignment="1">
      <alignment vertical="center" wrapText="1"/>
    </xf>
    <xf numFmtId="0" fontId="9" fillId="0" borderId="45" xfId="4" applyFont="1" applyBorder="1" applyAlignment="1">
      <alignment vertical="center" wrapText="1"/>
    </xf>
    <xf numFmtId="0" fontId="9" fillId="0" borderId="48" xfId="4" applyFont="1" applyBorder="1" applyAlignment="1">
      <alignment vertical="center" wrapText="1"/>
    </xf>
    <xf numFmtId="0" fontId="9" fillId="0" borderId="49" xfId="4" applyFont="1" applyBorder="1" applyAlignment="1">
      <alignment vertical="center" wrapText="1"/>
    </xf>
    <xf numFmtId="0" fontId="9" fillId="0" borderId="50" xfId="4" applyFont="1" applyBorder="1" applyAlignment="1">
      <alignment vertical="center" wrapText="1"/>
    </xf>
    <xf numFmtId="0" fontId="9" fillId="0" borderId="55" xfId="4" applyFont="1" applyBorder="1" applyAlignment="1">
      <alignment vertical="center" wrapText="1"/>
    </xf>
    <xf numFmtId="0" fontId="9" fillId="0" borderId="56" xfId="4" applyFont="1" applyBorder="1" applyAlignment="1">
      <alignment vertical="center" wrapText="1"/>
    </xf>
    <xf numFmtId="0" fontId="9" fillId="0" borderId="54" xfId="4" applyFont="1" applyBorder="1" applyAlignment="1">
      <alignment vertical="center" wrapText="1"/>
    </xf>
    <xf numFmtId="0" fontId="9" fillId="0" borderId="54" xfId="4" applyFont="1" applyBorder="1" applyAlignment="1">
      <alignment vertical="top" wrapText="1"/>
    </xf>
    <xf numFmtId="0" fontId="9" fillId="0" borderId="55" xfId="4" applyFont="1" applyBorder="1" applyAlignment="1">
      <alignment vertical="top" wrapText="1"/>
    </xf>
    <xf numFmtId="0" fontId="16" fillId="0" borderId="43" xfId="4" applyFont="1" applyBorder="1" applyAlignment="1">
      <alignment vertical="center" wrapText="1"/>
    </xf>
    <xf numFmtId="0" fontId="16" fillId="0" borderId="44" xfId="4" applyFont="1" applyBorder="1" applyAlignment="1">
      <alignment vertical="center" wrapText="1"/>
    </xf>
    <xf numFmtId="0" fontId="16" fillId="0" borderId="45" xfId="4" applyFont="1" applyBorder="1" applyAlignment="1">
      <alignment vertical="center" wrapText="1"/>
    </xf>
    <xf numFmtId="0" fontId="16" fillId="0" borderId="48" xfId="4" applyFont="1" applyBorder="1" applyAlignment="1">
      <alignment vertical="center" wrapText="1"/>
    </xf>
    <xf numFmtId="0" fontId="16" fillId="0" borderId="49" xfId="4" applyFont="1" applyBorder="1" applyAlignment="1">
      <alignment vertical="center" wrapText="1"/>
    </xf>
    <xf numFmtId="0" fontId="16" fillId="0" borderId="50" xfId="4" applyFont="1" applyBorder="1" applyAlignment="1">
      <alignment vertical="center" wrapText="1"/>
    </xf>
    <xf numFmtId="0" fontId="13" fillId="0" borderId="51" xfId="4" applyFont="1" applyBorder="1" applyAlignment="1">
      <alignment horizontal="center"/>
    </xf>
    <xf numFmtId="0" fontId="13" fillId="0" borderId="53" xfId="4" applyFont="1" applyBorder="1" applyAlignment="1">
      <alignment horizontal="center"/>
    </xf>
    <xf numFmtId="0" fontId="9" fillId="0" borderId="0" xfId="4" applyFont="1" applyAlignment="1">
      <alignment vertical="center" wrapText="1"/>
    </xf>
    <xf numFmtId="0" fontId="9" fillId="0" borderId="47" xfId="4" applyFont="1" applyBorder="1" applyAlignment="1">
      <alignment vertical="center" wrapText="1"/>
    </xf>
    <xf numFmtId="0" fontId="9" fillId="0" borderId="46" xfId="4" applyFont="1" applyBorder="1" applyAlignment="1">
      <alignment vertical="center" wrapText="1"/>
    </xf>
    <xf numFmtId="0" fontId="9" fillId="0" borderId="51" xfId="4" applyFont="1" applyBorder="1" applyAlignment="1">
      <alignment vertical="center" wrapText="1"/>
    </xf>
    <xf numFmtId="0" fontId="9" fillId="0" borderId="52" xfId="4" applyFont="1" applyBorder="1" applyAlignment="1">
      <alignment vertical="center" wrapText="1"/>
    </xf>
    <xf numFmtId="0" fontId="9" fillId="0" borderId="53" xfId="4" applyFont="1" applyBorder="1" applyAlignment="1">
      <alignment vertical="center" wrapText="1"/>
    </xf>
    <xf numFmtId="0" fontId="11" fillId="0" borderId="52" xfId="4" applyFont="1" applyBorder="1" applyAlignment="1">
      <alignment horizontal="center" vertical="center" wrapText="1"/>
    </xf>
    <xf numFmtId="0" fontId="11" fillId="0" borderId="48" xfId="4" applyFont="1" applyBorder="1" applyAlignment="1">
      <alignment horizontal="center" vertical="center" wrapText="1"/>
    </xf>
    <xf numFmtId="0" fontId="11" fillId="0" borderId="49" xfId="4" applyFont="1" applyBorder="1" applyAlignment="1">
      <alignment horizontal="center" vertical="center" wrapText="1"/>
    </xf>
    <xf numFmtId="0" fontId="13" fillId="0" borderId="51" xfId="4" applyFont="1" applyBorder="1" applyAlignment="1">
      <alignment horizontal="center" vertical="center"/>
    </xf>
    <xf numFmtId="0" fontId="13" fillId="0" borderId="52" xfId="4" applyFont="1" applyBorder="1" applyAlignment="1">
      <alignment horizontal="center" vertical="center"/>
    </xf>
    <xf numFmtId="0" fontId="13" fillId="0" borderId="53" xfId="4" applyFont="1" applyBorder="1" applyAlignment="1">
      <alignment horizontal="center" vertical="center"/>
    </xf>
    <xf numFmtId="0" fontId="12" fillId="0" borderId="43" xfId="4" applyFont="1" applyBorder="1" applyAlignment="1">
      <alignment horizontal="left" vertical="center" wrapText="1" indent="5"/>
    </xf>
    <xf numFmtId="0" fontId="12" fillId="0" borderId="44" xfId="4" applyFont="1" applyBorder="1" applyAlignment="1">
      <alignment horizontal="left" vertical="center" wrapText="1" indent="5"/>
    </xf>
    <xf numFmtId="0" fontId="12" fillId="0" borderId="46" xfId="4" applyFont="1" applyBorder="1" applyAlignment="1">
      <alignment horizontal="left" vertical="center" wrapText="1" indent="5"/>
    </xf>
    <xf numFmtId="0" fontId="12" fillId="0" borderId="0" xfId="4" applyFont="1" applyAlignment="1">
      <alignment horizontal="left" vertical="center" wrapText="1" indent="5"/>
    </xf>
    <xf numFmtId="0" fontId="12" fillId="0" borderId="48" xfId="4" applyFont="1" applyBorder="1" applyAlignment="1">
      <alignment horizontal="left" vertical="center" wrapText="1" indent="5"/>
    </xf>
    <xf numFmtId="0" fontId="12" fillId="0" borderId="49" xfId="4" applyFont="1" applyBorder="1" applyAlignment="1">
      <alignment horizontal="left" vertical="center" wrapText="1" indent="5"/>
    </xf>
    <xf numFmtId="0" fontId="11" fillId="0" borderId="51" xfId="4" applyFont="1" applyBorder="1" applyAlignment="1">
      <alignment vertical="center" wrapText="1"/>
    </xf>
    <xf numFmtId="0" fontId="11" fillId="0" borderId="52" xfId="4" applyFont="1" applyBorder="1" applyAlignment="1">
      <alignment vertical="center" wrapText="1"/>
    </xf>
    <xf numFmtId="0" fontId="9" fillId="0" borderId="48" xfId="4" applyFont="1" applyBorder="1" applyAlignment="1">
      <alignment vertical="top" wrapText="1"/>
    </xf>
    <xf numFmtId="0" fontId="9" fillId="0" borderId="50" xfId="4" applyFont="1" applyBorder="1" applyAlignment="1">
      <alignment vertical="top" wrapText="1"/>
    </xf>
    <xf numFmtId="0" fontId="11" fillId="0" borderId="53" xfId="4" applyFont="1" applyBorder="1" applyAlignment="1">
      <alignment vertical="center" wrapText="1"/>
    </xf>
    <xf numFmtId="0" fontId="10" fillId="0" borderId="51" xfId="4" applyFont="1" applyBorder="1" applyAlignment="1">
      <alignment vertical="center" wrapText="1"/>
    </xf>
    <xf numFmtId="0" fontId="10" fillId="0" borderId="52" xfId="4" applyFont="1" applyBorder="1" applyAlignment="1">
      <alignment vertical="center" wrapText="1"/>
    </xf>
    <xf numFmtId="0" fontId="10" fillId="0" borderId="53" xfId="4" applyFont="1" applyBorder="1" applyAlignment="1">
      <alignment vertical="center" wrapText="1"/>
    </xf>
    <xf numFmtId="0" fontId="9" fillId="0" borderId="43" xfId="4" applyFont="1" applyBorder="1" applyAlignment="1">
      <alignment vertical="top" wrapText="1"/>
    </xf>
    <xf numFmtId="0" fontId="9" fillId="0" borderId="44" xfId="4" applyFont="1" applyBorder="1" applyAlignment="1">
      <alignment vertical="top" wrapText="1"/>
    </xf>
    <xf numFmtId="0" fontId="9" fillId="0" borderId="46" xfId="4" applyFont="1" applyBorder="1" applyAlignment="1">
      <alignment vertical="top" wrapText="1"/>
    </xf>
    <xf numFmtId="0" fontId="9" fillId="0" borderId="0" xfId="4" applyFont="1" applyAlignment="1">
      <alignment vertical="top" wrapText="1"/>
    </xf>
    <xf numFmtId="0" fontId="9" fillId="0" borderId="44" xfId="4" applyFont="1" applyBorder="1" applyAlignment="1">
      <alignment horizontal="center" vertical="center" wrapText="1"/>
    </xf>
    <xf numFmtId="0" fontId="9" fillId="0" borderId="45" xfId="4" applyFont="1" applyBorder="1" applyAlignment="1">
      <alignment horizontal="center" vertical="center" wrapText="1"/>
    </xf>
    <xf numFmtId="0" fontId="9" fillId="0" borderId="0" xfId="4" applyFont="1" applyAlignment="1">
      <alignment horizontal="center" vertical="center" wrapText="1"/>
    </xf>
    <xf numFmtId="0" fontId="9" fillId="0" borderId="47" xfId="4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36" xfId="0" applyFont="1" applyBorder="1" applyAlignment="1">
      <alignment horizontal="center"/>
    </xf>
    <xf numFmtId="0" fontId="4" fillId="0" borderId="39" xfId="0" applyFont="1" applyBorder="1"/>
    <xf numFmtId="0" fontId="4" fillId="0" borderId="37" xfId="0" applyFont="1" applyBorder="1"/>
    <xf numFmtId="0" fontId="2" fillId="0" borderId="34" xfId="0" applyFont="1" applyBorder="1"/>
    <xf numFmtId="0" fontId="4" fillId="0" borderId="38" xfId="0" applyFont="1" applyBorder="1"/>
    <xf numFmtId="0" fontId="4" fillId="0" borderId="27" xfId="0" applyFont="1" applyBorder="1"/>
    <xf numFmtId="0" fontId="3" fillId="0" borderId="38" xfId="0" applyFont="1" applyBorder="1" applyAlignment="1">
      <alignment horizontal="center" vertical="center"/>
    </xf>
    <xf numFmtId="0" fontId="2" fillId="8" borderId="0" xfId="0" applyFont="1" applyFill="1"/>
    <xf numFmtId="0" fontId="3" fillId="0" borderId="40" xfId="0" applyFont="1" applyBorder="1" applyAlignment="1">
      <alignment horizontal="right" vertical="center" wrapText="1"/>
    </xf>
    <xf numFmtId="0" fontId="4" fillId="0" borderId="40" xfId="0" applyFont="1" applyBorder="1"/>
    <xf numFmtId="0" fontId="1" fillId="10" borderId="0" xfId="1" applyFill="1" applyAlignment="1">
      <alignment horizontal="left" vertical="center" wrapText="1"/>
    </xf>
    <xf numFmtId="0" fontId="1" fillId="0" borderId="51" xfId="1" applyBorder="1" applyAlignment="1">
      <alignment horizontal="center"/>
    </xf>
    <xf numFmtId="0" fontId="1" fillId="0" borderId="53" xfId="1" applyBorder="1" applyAlignment="1">
      <alignment horizontal="center"/>
    </xf>
    <xf numFmtId="0" fontId="1" fillId="0" borderId="51" xfId="1" applyBorder="1" applyAlignment="1">
      <alignment horizontal="center" vertical="center"/>
    </xf>
    <xf numFmtId="0" fontId="1" fillId="0" borderId="53" xfId="1" applyBorder="1" applyAlignment="1">
      <alignment horizontal="center" vertical="center"/>
    </xf>
  </cellXfs>
  <cellStyles count="5">
    <cellStyle name="Normal" xfId="0" builtinId="0"/>
    <cellStyle name="Normal 2" xfId="1" xr:uid="{0A444160-BD6D-4E00-B0D2-AADA6CBEFEE6}"/>
    <cellStyle name="Normal 3" xfId="3" xr:uid="{8B3BC10C-E5E8-4D89-B82E-CC755A6C7D3A}"/>
    <cellStyle name="Normal 4" xfId="4" xr:uid="{F2F09187-EC4E-4B46-AAD4-048D6E39F31E}"/>
    <cellStyle name="Percent 2" xfId="2" xr:uid="{324F4417-49C9-458B-85A9-C9506ED97F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'Ej 13'!$C$7</c:f>
              <c:strCache>
                <c:ptCount val="1"/>
                <c:pt idx="0">
                  <c:v>66,9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'Ej 13'!$B$8:$B$15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cat>
          <c:val>
            <c:numRef>
              <c:f>'Ej 13'!$C$8:$C$15</c:f>
              <c:numCache>
                <c:formatCode>General</c:formatCode>
                <c:ptCount val="8"/>
                <c:pt idx="0">
                  <c:v>74.8</c:v>
                </c:pt>
                <c:pt idx="1">
                  <c:v>81.2</c:v>
                </c:pt>
                <c:pt idx="2">
                  <c:v>85</c:v>
                </c:pt>
                <c:pt idx="3">
                  <c:v>89.2</c:v>
                </c:pt>
                <c:pt idx="4">
                  <c:v>94.6</c:v>
                </c:pt>
                <c:pt idx="5">
                  <c:v>97.8</c:v>
                </c:pt>
                <c:pt idx="6">
                  <c:v>101.9</c:v>
                </c:pt>
                <c:pt idx="7">
                  <c:v>106.9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3A-40CC-9906-82610C336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093626"/>
        <c:axId val="263316045"/>
      </c:lineChart>
      <c:catAx>
        <c:axId val="1194093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63316045"/>
        <c:crosses val="autoZero"/>
        <c:auto val="1"/>
        <c:lblAlgn val="ctr"/>
        <c:lblOffset val="100"/>
        <c:noMultiLvlLbl val="1"/>
      </c:catAx>
      <c:valAx>
        <c:axId val="263316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1940936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'Ej 13'!$C$20</c:f>
              <c:strCache>
                <c:ptCount val="1"/>
                <c:pt idx="0">
                  <c:v>Costo Unitario (y)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'Ej 13'!$B$21:$B$31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'Ej 13'!$C$21:$C$31</c:f>
              <c:numCache>
                <c:formatCode>General</c:formatCode>
                <c:ptCount val="11"/>
                <c:pt idx="0">
                  <c:v>66.900000000000006</c:v>
                </c:pt>
                <c:pt idx="1">
                  <c:v>74.8</c:v>
                </c:pt>
                <c:pt idx="2">
                  <c:v>81.2</c:v>
                </c:pt>
                <c:pt idx="3">
                  <c:v>85</c:v>
                </c:pt>
                <c:pt idx="4">
                  <c:v>89.2</c:v>
                </c:pt>
                <c:pt idx="5">
                  <c:v>94.6</c:v>
                </c:pt>
                <c:pt idx="6">
                  <c:v>97.8</c:v>
                </c:pt>
                <c:pt idx="7">
                  <c:v>101.9</c:v>
                </c:pt>
                <c:pt idx="8">
                  <c:v>106.9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5-471B-B734-091C1E43E72C}"/>
            </c:ext>
          </c:extLst>
        </c:ser>
        <c:ser>
          <c:idx val="1"/>
          <c:order val="1"/>
          <c:tx>
            <c:strRef>
              <c:f>'Ej 13'!$D$20</c:f>
              <c:strCache>
                <c:ptCount val="1"/>
                <c:pt idx="0">
                  <c:v>Proyectado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'Ej 13'!$B$21:$B$31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'Ej 13'!$D$21:$D$31</c:f>
              <c:numCache>
                <c:formatCode>0.00</c:formatCode>
                <c:ptCount val="11"/>
                <c:pt idx="0">
                  <c:v>69.759999999999991</c:v>
                </c:pt>
                <c:pt idx="1">
                  <c:v>74.49499999999999</c:v>
                </c:pt>
                <c:pt idx="2">
                  <c:v>79.22999999999999</c:v>
                </c:pt>
                <c:pt idx="3">
                  <c:v>83.964999999999989</c:v>
                </c:pt>
                <c:pt idx="4">
                  <c:v>88.699999999999989</c:v>
                </c:pt>
                <c:pt idx="5">
                  <c:v>93.435000000000002</c:v>
                </c:pt>
                <c:pt idx="6">
                  <c:v>98.169999999999987</c:v>
                </c:pt>
                <c:pt idx="7">
                  <c:v>102.905</c:v>
                </c:pt>
                <c:pt idx="8">
                  <c:v>107.63999999999999</c:v>
                </c:pt>
                <c:pt idx="9">
                  <c:v>112.375</c:v>
                </c:pt>
                <c:pt idx="10">
                  <c:v>117.10999999999999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25-471B-B734-091C1E43E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7098848"/>
        <c:axId val="2081717474"/>
      </c:lineChart>
      <c:catAx>
        <c:axId val="41709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SEMANA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081717474"/>
        <c:crosses val="autoZero"/>
        <c:auto val="1"/>
        <c:lblAlgn val="ctr"/>
        <c:lblOffset val="100"/>
        <c:noMultiLvlLbl val="1"/>
      </c:catAx>
      <c:valAx>
        <c:axId val="2081717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4170988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'Ej 14'!$C$6</c:f>
              <c:strCache>
                <c:ptCount val="1"/>
                <c:pt idx="0">
                  <c:v>33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'Ej 14'!$B$7:$B$12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'Ej 14'!$C$7:$C$12</c:f>
              <c:numCache>
                <c:formatCode>General</c:formatCode>
                <c:ptCount val="6"/>
                <c:pt idx="0">
                  <c:v>58</c:v>
                </c:pt>
                <c:pt idx="1">
                  <c:v>83</c:v>
                </c:pt>
                <c:pt idx="2">
                  <c:v>85</c:v>
                </c:pt>
                <c:pt idx="3">
                  <c:v>104</c:v>
                </c:pt>
                <c:pt idx="4">
                  <c:v>105</c:v>
                </c:pt>
                <c:pt idx="5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5-4F94-9826-DF25E580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5681976"/>
        <c:axId val="408772905"/>
      </c:lineChart>
      <c:catAx>
        <c:axId val="695681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408772905"/>
        <c:crosses val="autoZero"/>
        <c:auto val="1"/>
        <c:lblAlgn val="ctr"/>
        <c:lblOffset val="100"/>
        <c:noMultiLvlLbl val="1"/>
      </c:catAx>
      <c:valAx>
        <c:axId val="4087729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Ventas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6956819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'Ej 14'!$C$19</c:f>
              <c:strCache>
                <c:ptCount val="1"/>
                <c:pt idx="0">
                  <c:v>Ventas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'Ej 14'!$B$20:$B$27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'Ej 14'!$C$20:$C$27</c:f>
              <c:numCache>
                <c:formatCode>General</c:formatCode>
                <c:ptCount val="8"/>
                <c:pt idx="0">
                  <c:v>33</c:v>
                </c:pt>
                <c:pt idx="1">
                  <c:v>58</c:v>
                </c:pt>
                <c:pt idx="2">
                  <c:v>83</c:v>
                </c:pt>
                <c:pt idx="3">
                  <c:v>85</c:v>
                </c:pt>
                <c:pt idx="4">
                  <c:v>104</c:v>
                </c:pt>
                <c:pt idx="5">
                  <c:v>105</c:v>
                </c:pt>
                <c:pt idx="6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C-4A29-9D9B-444EA291F4CC}"/>
            </c:ext>
          </c:extLst>
        </c:ser>
        <c:ser>
          <c:idx val="1"/>
          <c:order val="1"/>
          <c:tx>
            <c:strRef>
              <c:f>'Ej 14'!$D$19</c:f>
              <c:strCache>
                <c:ptCount val="1"/>
                <c:pt idx="0">
                  <c:v>Proyectado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'Ej 14'!$B$20:$B$27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'Ej 14'!$D$20:$D$27</c:f>
              <c:numCache>
                <c:formatCode>0.00</c:formatCode>
                <c:ptCount val="8"/>
                <c:pt idx="0">
                  <c:v>42.285714285714278</c:v>
                </c:pt>
                <c:pt idx="1">
                  <c:v>56.571428571428569</c:v>
                </c:pt>
                <c:pt idx="2">
                  <c:v>70.857142857142861</c:v>
                </c:pt>
                <c:pt idx="3">
                  <c:v>85.142857142857139</c:v>
                </c:pt>
                <c:pt idx="4">
                  <c:v>99.428571428571416</c:v>
                </c:pt>
                <c:pt idx="5">
                  <c:v>113.71428571428572</c:v>
                </c:pt>
                <c:pt idx="6">
                  <c:v>128</c:v>
                </c:pt>
                <c:pt idx="7">
                  <c:v>142.28571428571428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8C-4A29-9D9B-444EA291F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8552242"/>
        <c:axId val="1320256014"/>
      </c:lineChart>
      <c:catAx>
        <c:axId val="1778552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SEMANA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320256014"/>
        <c:crosses val="autoZero"/>
        <c:auto val="1"/>
        <c:lblAlgn val="ctr"/>
        <c:lblOffset val="100"/>
        <c:noMultiLvlLbl val="1"/>
      </c:catAx>
      <c:valAx>
        <c:axId val="1320256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7785522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Ventas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'Ej 15'!$C$47:$C$74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'Ej 15'!$D$48:$D$74</c:f>
              <c:numCache>
                <c:formatCode>General</c:formatCode>
                <c:ptCount val="27"/>
                <c:pt idx="0">
                  <c:v>30</c:v>
                </c:pt>
                <c:pt idx="1">
                  <c:v>20</c:v>
                </c:pt>
                <c:pt idx="2">
                  <c:v>8</c:v>
                </c:pt>
                <c:pt idx="3">
                  <c:v>20</c:v>
                </c:pt>
                <c:pt idx="4">
                  <c:v>36</c:v>
                </c:pt>
                <c:pt idx="5">
                  <c:v>30</c:v>
                </c:pt>
                <c:pt idx="6">
                  <c:v>14</c:v>
                </c:pt>
                <c:pt idx="7">
                  <c:v>28</c:v>
                </c:pt>
                <c:pt idx="8">
                  <c:v>45</c:v>
                </c:pt>
                <c:pt idx="9">
                  <c:v>46</c:v>
                </c:pt>
                <c:pt idx="10">
                  <c:v>24</c:v>
                </c:pt>
                <c:pt idx="11">
                  <c:v>38</c:v>
                </c:pt>
                <c:pt idx="12">
                  <c:v>56</c:v>
                </c:pt>
                <c:pt idx="13">
                  <c:v>50</c:v>
                </c:pt>
                <c:pt idx="14">
                  <c:v>36</c:v>
                </c:pt>
                <c:pt idx="15">
                  <c:v>44</c:v>
                </c:pt>
                <c:pt idx="16">
                  <c:v>68</c:v>
                </c:pt>
                <c:pt idx="17">
                  <c:v>62</c:v>
                </c:pt>
                <c:pt idx="18">
                  <c:v>42</c:v>
                </c:pt>
                <c:pt idx="19">
                  <c:v>48</c:v>
                </c:pt>
                <c:pt idx="20">
                  <c:v>72</c:v>
                </c:pt>
                <c:pt idx="21">
                  <c:v>60</c:v>
                </c:pt>
                <c:pt idx="22">
                  <c:v>74</c:v>
                </c:pt>
                <c:pt idx="23">
                  <c:v>56</c:v>
                </c:pt>
                <c:pt idx="24">
                  <c:v>80</c:v>
                </c:pt>
                <c:pt idx="25">
                  <c:v>70</c:v>
                </c:pt>
                <c:pt idx="26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0-40A4-A1C2-763891EAD9FF}"/>
            </c:ext>
          </c:extLst>
        </c:ser>
        <c:ser>
          <c:idx val="1"/>
          <c:order val="1"/>
          <c:tx>
            <c:v>Promedio Móvil Trimestral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'Ej 15'!$C$47:$C$74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cat>
          <c:val>
            <c:numRef>
              <c:f>'Ej 15'!$E$48:$E$74</c:f>
              <c:numCache>
                <c:formatCode>0.00</c:formatCode>
                <c:ptCount val="27"/>
                <c:pt idx="0">
                  <c:v>20.666666666666668</c:v>
                </c:pt>
                <c:pt idx="1">
                  <c:v>19.333333333333332</c:v>
                </c:pt>
                <c:pt idx="2">
                  <c:v>16</c:v>
                </c:pt>
                <c:pt idx="3">
                  <c:v>21.333333333333332</c:v>
                </c:pt>
                <c:pt idx="4">
                  <c:v>28.666666666666668</c:v>
                </c:pt>
                <c:pt idx="5">
                  <c:v>26.666666666666668</c:v>
                </c:pt>
                <c:pt idx="6">
                  <c:v>24</c:v>
                </c:pt>
                <c:pt idx="7">
                  <c:v>29</c:v>
                </c:pt>
                <c:pt idx="8">
                  <c:v>39.666666666666664</c:v>
                </c:pt>
                <c:pt idx="9">
                  <c:v>38.333333333333336</c:v>
                </c:pt>
                <c:pt idx="10">
                  <c:v>36</c:v>
                </c:pt>
                <c:pt idx="11">
                  <c:v>39.333333333333336</c:v>
                </c:pt>
                <c:pt idx="12">
                  <c:v>48</c:v>
                </c:pt>
                <c:pt idx="13">
                  <c:v>47.333333333333336</c:v>
                </c:pt>
                <c:pt idx="14">
                  <c:v>43.333333333333336</c:v>
                </c:pt>
                <c:pt idx="15">
                  <c:v>49.333333333333336</c:v>
                </c:pt>
                <c:pt idx="16">
                  <c:v>58</c:v>
                </c:pt>
                <c:pt idx="17">
                  <c:v>57.333333333333336</c:v>
                </c:pt>
                <c:pt idx="18">
                  <c:v>50.666666666666664</c:v>
                </c:pt>
                <c:pt idx="19">
                  <c:v>54</c:v>
                </c:pt>
                <c:pt idx="20">
                  <c:v>60</c:v>
                </c:pt>
                <c:pt idx="21">
                  <c:v>68.666666666666671</c:v>
                </c:pt>
                <c:pt idx="22">
                  <c:v>63.333333333333336</c:v>
                </c:pt>
                <c:pt idx="23">
                  <c:v>70</c:v>
                </c:pt>
                <c:pt idx="24">
                  <c:v>68.666666666666671</c:v>
                </c:pt>
                <c:pt idx="25">
                  <c:v>68</c:v>
                </c:pt>
                <c:pt idx="26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0-40A4-A1C2-763891EAD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712310"/>
        <c:axId val="46333315"/>
      </c:lineChart>
      <c:catAx>
        <c:axId val="2130712310"/>
        <c:scaling>
          <c:orientation val="minMax"/>
          <c:max val="28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A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46333315"/>
        <c:crosses val="autoZero"/>
        <c:auto val="1"/>
        <c:lblAlgn val="ctr"/>
        <c:lblOffset val="100"/>
        <c:noMultiLvlLbl val="1"/>
      </c:catAx>
      <c:valAx>
        <c:axId val="46333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Trimestre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213071231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543714333578322E-2"/>
          <c:y val="4.3898293069409934E-2"/>
          <c:w val="0.87198863429259743"/>
          <c:h val="0.7951093293827221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'Ej 16'!$C$16:$C$43</c:f>
              <c:strCache>
                <c:ptCount val="28"/>
                <c:pt idx="0">
                  <c:v>1_1</c:v>
                </c:pt>
                <c:pt idx="1">
                  <c:v>1_2</c:v>
                </c:pt>
                <c:pt idx="2">
                  <c:v>1_3</c:v>
                </c:pt>
                <c:pt idx="3">
                  <c:v>1_4</c:v>
                </c:pt>
                <c:pt idx="4">
                  <c:v>2_1</c:v>
                </c:pt>
                <c:pt idx="5">
                  <c:v>2_2</c:v>
                </c:pt>
                <c:pt idx="6">
                  <c:v>2_3</c:v>
                </c:pt>
                <c:pt idx="7">
                  <c:v>2_4</c:v>
                </c:pt>
                <c:pt idx="8">
                  <c:v>3_1</c:v>
                </c:pt>
                <c:pt idx="9">
                  <c:v>3_2</c:v>
                </c:pt>
                <c:pt idx="10">
                  <c:v>3_3</c:v>
                </c:pt>
                <c:pt idx="11">
                  <c:v>3_4</c:v>
                </c:pt>
                <c:pt idx="12">
                  <c:v>4_1</c:v>
                </c:pt>
                <c:pt idx="13">
                  <c:v>4_2</c:v>
                </c:pt>
                <c:pt idx="14">
                  <c:v>4_3</c:v>
                </c:pt>
                <c:pt idx="15">
                  <c:v>4_4</c:v>
                </c:pt>
                <c:pt idx="16">
                  <c:v>5_1</c:v>
                </c:pt>
                <c:pt idx="17">
                  <c:v>5_2</c:v>
                </c:pt>
                <c:pt idx="18">
                  <c:v>5_3</c:v>
                </c:pt>
                <c:pt idx="19">
                  <c:v>5_4</c:v>
                </c:pt>
                <c:pt idx="20">
                  <c:v>6_1</c:v>
                </c:pt>
                <c:pt idx="21">
                  <c:v>6_2</c:v>
                </c:pt>
                <c:pt idx="22">
                  <c:v>6_3</c:v>
                </c:pt>
                <c:pt idx="23">
                  <c:v>6_4</c:v>
                </c:pt>
                <c:pt idx="24">
                  <c:v>7_1</c:v>
                </c:pt>
                <c:pt idx="25">
                  <c:v>7_2</c:v>
                </c:pt>
                <c:pt idx="26">
                  <c:v>7_3</c:v>
                </c:pt>
                <c:pt idx="27">
                  <c:v>7_4</c:v>
                </c:pt>
              </c:strCache>
            </c:strRef>
          </c:xVal>
          <c:yVal>
            <c:numRef>
              <c:f>'Ej 16'!$D$16:$D$43</c:f>
              <c:numCache>
                <c:formatCode>General</c:formatCode>
                <c:ptCount val="28"/>
                <c:pt idx="0">
                  <c:v>9</c:v>
                </c:pt>
                <c:pt idx="1">
                  <c:v>22.5</c:v>
                </c:pt>
                <c:pt idx="2">
                  <c:v>12</c:v>
                </c:pt>
                <c:pt idx="3">
                  <c:v>6</c:v>
                </c:pt>
                <c:pt idx="4">
                  <c:v>15</c:v>
                </c:pt>
                <c:pt idx="5">
                  <c:v>27</c:v>
                </c:pt>
                <c:pt idx="6">
                  <c:v>22.5</c:v>
                </c:pt>
                <c:pt idx="7">
                  <c:v>10.5</c:v>
                </c:pt>
                <c:pt idx="8">
                  <c:v>21</c:v>
                </c:pt>
                <c:pt idx="9">
                  <c:v>42</c:v>
                </c:pt>
                <c:pt idx="10">
                  <c:v>34.5</c:v>
                </c:pt>
                <c:pt idx="11">
                  <c:v>18</c:v>
                </c:pt>
                <c:pt idx="12">
                  <c:v>28.5</c:v>
                </c:pt>
                <c:pt idx="13">
                  <c:v>42</c:v>
                </c:pt>
                <c:pt idx="14">
                  <c:v>37.5</c:v>
                </c:pt>
                <c:pt idx="15">
                  <c:v>29</c:v>
                </c:pt>
                <c:pt idx="16">
                  <c:v>33</c:v>
                </c:pt>
                <c:pt idx="17">
                  <c:v>51</c:v>
                </c:pt>
                <c:pt idx="18">
                  <c:v>42</c:v>
                </c:pt>
                <c:pt idx="19">
                  <c:v>31.5</c:v>
                </c:pt>
                <c:pt idx="20">
                  <c:v>36</c:v>
                </c:pt>
                <c:pt idx="21">
                  <c:v>54</c:v>
                </c:pt>
                <c:pt idx="22">
                  <c:v>45</c:v>
                </c:pt>
                <c:pt idx="23">
                  <c:v>30</c:v>
                </c:pt>
                <c:pt idx="24">
                  <c:v>42</c:v>
                </c:pt>
                <c:pt idx="25">
                  <c:v>60</c:v>
                </c:pt>
                <c:pt idx="26">
                  <c:v>54</c:v>
                </c:pt>
                <c:pt idx="27">
                  <c:v>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03-4564-990C-FF3F2956D539}"/>
            </c:ext>
          </c:extLst>
        </c:ser>
        <c:ser>
          <c:idx val="1"/>
          <c:order val="1"/>
          <c:tx>
            <c:v>Media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'Ej 16'!$C$18:$C$43</c:f>
              <c:strCache>
                <c:ptCount val="26"/>
                <c:pt idx="0">
                  <c:v>1_3</c:v>
                </c:pt>
                <c:pt idx="1">
                  <c:v>1_4</c:v>
                </c:pt>
                <c:pt idx="2">
                  <c:v>2_1</c:v>
                </c:pt>
                <c:pt idx="3">
                  <c:v>2_2</c:v>
                </c:pt>
                <c:pt idx="4">
                  <c:v>2_3</c:v>
                </c:pt>
                <c:pt idx="5">
                  <c:v>2_4</c:v>
                </c:pt>
                <c:pt idx="6">
                  <c:v>3_1</c:v>
                </c:pt>
                <c:pt idx="7">
                  <c:v>3_2</c:v>
                </c:pt>
                <c:pt idx="8">
                  <c:v>3_3</c:v>
                </c:pt>
                <c:pt idx="9">
                  <c:v>3_4</c:v>
                </c:pt>
                <c:pt idx="10">
                  <c:v>4_1</c:v>
                </c:pt>
                <c:pt idx="11">
                  <c:v>4_2</c:v>
                </c:pt>
                <c:pt idx="12">
                  <c:v>4_3</c:v>
                </c:pt>
                <c:pt idx="13">
                  <c:v>4_4</c:v>
                </c:pt>
                <c:pt idx="14">
                  <c:v>5_1</c:v>
                </c:pt>
                <c:pt idx="15">
                  <c:v>5_2</c:v>
                </c:pt>
                <c:pt idx="16">
                  <c:v>5_3</c:v>
                </c:pt>
                <c:pt idx="17">
                  <c:v>5_4</c:v>
                </c:pt>
                <c:pt idx="18">
                  <c:v>6_1</c:v>
                </c:pt>
                <c:pt idx="19">
                  <c:v>6_2</c:v>
                </c:pt>
                <c:pt idx="20">
                  <c:v>6_3</c:v>
                </c:pt>
                <c:pt idx="21">
                  <c:v>6_4</c:v>
                </c:pt>
                <c:pt idx="22">
                  <c:v>7_1</c:v>
                </c:pt>
                <c:pt idx="23">
                  <c:v>7_2</c:v>
                </c:pt>
                <c:pt idx="24">
                  <c:v>7_3</c:v>
                </c:pt>
                <c:pt idx="25">
                  <c:v>7_4</c:v>
                </c:pt>
              </c:strCache>
            </c:strRef>
          </c:xVal>
          <c:yVal>
            <c:numRef>
              <c:f>'Ej 16'!$F$18:$F$42</c:f>
              <c:numCache>
                <c:formatCode>0.000</c:formatCode>
                <c:ptCount val="25"/>
                <c:pt idx="0">
                  <c:v>12.375</c:v>
                </c:pt>
                <c:pt idx="1">
                  <c:v>13.875</c:v>
                </c:pt>
                <c:pt idx="2">
                  <c:v>15</c:v>
                </c:pt>
                <c:pt idx="3">
                  <c:v>17.625</c:v>
                </c:pt>
                <c:pt idx="4">
                  <c:v>18.75</c:v>
                </c:pt>
                <c:pt idx="5">
                  <c:v>20.25</c:v>
                </c:pt>
                <c:pt idx="6">
                  <c:v>24</c:v>
                </c:pt>
                <c:pt idx="7">
                  <c:v>27</c:v>
                </c:pt>
                <c:pt idx="8">
                  <c:v>28.875</c:v>
                </c:pt>
                <c:pt idx="9">
                  <c:v>30.75</c:v>
                </c:pt>
                <c:pt idx="10">
                  <c:v>30.75</c:v>
                </c:pt>
                <c:pt idx="11">
                  <c:v>31.5</c:v>
                </c:pt>
                <c:pt idx="12">
                  <c:v>34.25</c:v>
                </c:pt>
                <c:pt idx="13">
                  <c:v>35.375</c:v>
                </c:pt>
                <c:pt idx="14">
                  <c:v>37.625</c:v>
                </c:pt>
                <c:pt idx="15">
                  <c:v>38.75</c:v>
                </c:pt>
                <c:pt idx="16">
                  <c:v>39.375</c:v>
                </c:pt>
                <c:pt idx="17">
                  <c:v>40.125</c:v>
                </c:pt>
                <c:pt idx="18">
                  <c:v>40.875</c:v>
                </c:pt>
                <c:pt idx="19">
                  <c:v>41.625</c:v>
                </c:pt>
                <c:pt idx="20">
                  <c:v>41.25</c:v>
                </c:pt>
                <c:pt idx="21">
                  <c:v>42.75</c:v>
                </c:pt>
                <c:pt idx="22">
                  <c:v>44.25</c:v>
                </c:pt>
                <c:pt idx="23">
                  <c:v>46.5</c:v>
                </c:pt>
                <c:pt idx="24">
                  <c:v>49.125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03-4564-990C-FF3F2956D53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accent6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4430447346715954E-2"/>
                  <c:y val="-0.1902795946942800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aseline="0"/>
                      <a:t>y = 1,6245x + 9,4796</a:t>
                    </a:r>
                    <a:br>
                      <a:rPr lang="en-US" sz="1000" baseline="0"/>
                    </a:br>
                    <a:r>
                      <a:rPr lang="en-US" sz="1000" baseline="0"/>
                      <a:t>R² = 0,8912</a:t>
                    </a:r>
                    <a:endParaRPr lang="en-US" sz="1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strRef>
              <c:f>'Ej 16'!$C$16:$C$43</c:f>
              <c:strCache>
                <c:ptCount val="28"/>
                <c:pt idx="0">
                  <c:v>1_1</c:v>
                </c:pt>
                <c:pt idx="1">
                  <c:v>1_2</c:v>
                </c:pt>
                <c:pt idx="2">
                  <c:v>1_3</c:v>
                </c:pt>
                <c:pt idx="3">
                  <c:v>1_4</c:v>
                </c:pt>
                <c:pt idx="4">
                  <c:v>2_1</c:v>
                </c:pt>
                <c:pt idx="5">
                  <c:v>2_2</c:v>
                </c:pt>
                <c:pt idx="6">
                  <c:v>2_3</c:v>
                </c:pt>
                <c:pt idx="7">
                  <c:v>2_4</c:v>
                </c:pt>
                <c:pt idx="8">
                  <c:v>3_1</c:v>
                </c:pt>
                <c:pt idx="9">
                  <c:v>3_2</c:v>
                </c:pt>
                <c:pt idx="10">
                  <c:v>3_3</c:v>
                </c:pt>
                <c:pt idx="11">
                  <c:v>3_4</c:v>
                </c:pt>
                <c:pt idx="12">
                  <c:v>4_1</c:v>
                </c:pt>
                <c:pt idx="13">
                  <c:v>4_2</c:v>
                </c:pt>
                <c:pt idx="14">
                  <c:v>4_3</c:v>
                </c:pt>
                <c:pt idx="15">
                  <c:v>4_4</c:v>
                </c:pt>
                <c:pt idx="16">
                  <c:v>5_1</c:v>
                </c:pt>
                <c:pt idx="17">
                  <c:v>5_2</c:v>
                </c:pt>
                <c:pt idx="18">
                  <c:v>5_3</c:v>
                </c:pt>
                <c:pt idx="19">
                  <c:v>5_4</c:v>
                </c:pt>
                <c:pt idx="20">
                  <c:v>6_1</c:v>
                </c:pt>
                <c:pt idx="21">
                  <c:v>6_2</c:v>
                </c:pt>
                <c:pt idx="22">
                  <c:v>6_3</c:v>
                </c:pt>
                <c:pt idx="23">
                  <c:v>6_4</c:v>
                </c:pt>
                <c:pt idx="24">
                  <c:v>7_1</c:v>
                </c:pt>
                <c:pt idx="25">
                  <c:v>7_2</c:v>
                </c:pt>
                <c:pt idx="26">
                  <c:v>7_3</c:v>
                </c:pt>
                <c:pt idx="27">
                  <c:v>7_4</c:v>
                </c:pt>
              </c:strCache>
            </c:strRef>
          </c:xVal>
          <c:yVal>
            <c:numRef>
              <c:f>'Ej 16'!$K$16:$K$43</c:f>
              <c:numCache>
                <c:formatCode>0.000</c:formatCode>
                <c:ptCount val="28"/>
                <c:pt idx="0">
                  <c:v>10.148017252286841</c:v>
                </c:pt>
                <c:pt idx="1">
                  <c:v>16.606947859313767</c:v>
                </c:pt>
                <c:pt idx="2">
                  <c:v>11.19647350996007</c:v>
                </c:pt>
                <c:pt idx="3">
                  <c:v>9.6321584673428493</c:v>
                </c:pt>
                <c:pt idx="4">
                  <c:v>16.913362087144737</c:v>
                </c:pt>
                <c:pt idx="5">
                  <c:v>19.928337431176519</c:v>
                </c:pt>
                <c:pt idx="6">
                  <c:v>20.993387831175131</c:v>
                </c:pt>
                <c:pt idx="7">
                  <c:v>16.856277317849987</c:v>
                </c:pt>
                <c:pt idx="8">
                  <c:v>23.678706922002629</c:v>
                </c:pt>
                <c:pt idx="9">
                  <c:v>30.999636004052366</c:v>
                </c:pt>
                <c:pt idx="10">
                  <c:v>32.189861341135199</c:v>
                </c:pt>
                <c:pt idx="11">
                  <c:v>28.896475402028546</c:v>
                </c:pt>
                <c:pt idx="12">
                  <c:v>32.135387965574999</c:v>
                </c:pt>
                <c:pt idx="13">
                  <c:v>30.999636004052366</c:v>
                </c:pt>
                <c:pt idx="14">
                  <c:v>34.988979718625217</c:v>
                </c:pt>
                <c:pt idx="15">
                  <c:v>46.555432592157103</c:v>
                </c:pt>
                <c:pt idx="16">
                  <c:v>37.209396591718416</c:v>
                </c:pt>
                <c:pt idx="17">
                  <c:v>37.642415147777868</c:v>
                </c:pt>
                <c:pt idx="18">
                  <c:v>39.187657284860244</c:v>
                </c:pt>
                <c:pt idx="19">
                  <c:v>50.568831953549953</c:v>
                </c:pt>
                <c:pt idx="20">
                  <c:v>40.592069009147366</c:v>
                </c:pt>
                <c:pt idx="21">
                  <c:v>39.856674862353039</c:v>
                </c:pt>
                <c:pt idx="22">
                  <c:v>41.986775662350261</c:v>
                </c:pt>
                <c:pt idx="23">
                  <c:v>48.160792336714245</c:v>
                </c:pt>
                <c:pt idx="24">
                  <c:v>47.357413844005258</c:v>
                </c:pt>
                <c:pt idx="25">
                  <c:v>44.28519429150338</c:v>
                </c:pt>
                <c:pt idx="26">
                  <c:v>50.384130794820315</c:v>
                </c:pt>
                <c:pt idx="27">
                  <c:v>65.017069654564224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03-4564-990C-FF3F2956D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741504"/>
        <c:axId val="604741832"/>
      </c:scatterChart>
      <c:valAx>
        <c:axId val="60474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4741832"/>
        <c:crosses val="autoZero"/>
        <c:crossBetween val="midCat"/>
        <c:majorUnit val="1"/>
      </c:valAx>
      <c:valAx>
        <c:axId val="604741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474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180466333927012E-2"/>
          <c:y val="1.8374989129077524E-2"/>
          <c:w val="0.91903916542058606"/>
          <c:h val="0.92145100015155734"/>
        </c:manualLayout>
      </c:layout>
      <c:scatterChart>
        <c:scatterStyle val="lineMarker"/>
        <c:varyColors val="0"/>
        <c:ser>
          <c:idx val="0"/>
          <c:order val="0"/>
          <c:tx>
            <c:v>Ventas</c:v>
          </c:tx>
          <c:spPr>
            <a:ln w="47625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  <a:ln cmpd="sng">
                <a:solidFill>
                  <a:srgbClr val="5B9BD5"/>
                </a:solidFill>
              </a:ln>
            </c:spPr>
          </c:marker>
          <c:xVal>
            <c:numLit>
              <c:formatCode>General</c:formatCode>
              <c:ptCount val="3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</c:numLit>
          </c:xVal>
          <c:yVal>
            <c:numLit>
              <c:formatCode>General</c:formatCode>
              <c:ptCount val="36"/>
              <c:pt idx="0">
                <c:v>349.17</c:v>
              </c:pt>
              <c:pt idx="1">
                <c:v>339.07</c:v>
              </c:pt>
              <c:pt idx="2">
                <c:v>334.74</c:v>
              </c:pt>
              <c:pt idx="3">
                <c:v>256.82</c:v>
              </c:pt>
              <c:pt idx="4">
                <c:v>265.48</c:v>
              </c:pt>
              <c:pt idx="5">
                <c:v>202</c:v>
              </c:pt>
              <c:pt idx="6">
                <c:v>339.37</c:v>
              </c:pt>
              <c:pt idx="7">
                <c:v>355.76</c:v>
              </c:pt>
              <c:pt idx="8">
                <c:v>257.45</c:v>
              </c:pt>
              <c:pt idx="9">
                <c:v>304.26</c:v>
              </c:pt>
              <c:pt idx="10">
                <c:v>355.76</c:v>
              </c:pt>
              <c:pt idx="11">
                <c:v>482.14</c:v>
              </c:pt>
              <c:pt idx="12">
                <c:v>379.46</c:v>
              </c:pt>
              <c:pt idx="13">
                <c:v>343.39</c:v>
              </c:pt>
              <c:pt idx="14">
                <c:v>356.38</c:v>
              </c:pt>
              <c:pt idx="15">
                <c:v>278.47000000000003</c:v>
              </c:pt>
              <c:pt idx="16">
                <c:v>278.47000000000003</c:v>
              </c:pt>
              <c:pt idx="17">
                <c:v>214.98</c:v>
              </c:pt>
              <c:pt idx="18">
                <c:v>367.46</c:v>
              </c:pt>
              <c:pt idx="19">
                <c:v>376.82</c:v>
              </c:pt>
              <c:pt idx="20">
                <c:v>285.54000000000002</c:v>
              </c:pt>
              <c:pt idx="21">
                <c:v>304.26</c:v>
              </c:pt>
              <c:pt idx="22">
                <c:v>390.86</c:v>
              </c:pt>
              <c:pt idx="23">
                <c:v>538.30999999999995</c:v>
              </c:pt>
              <c:pt idx="24">
                <c:v>406.88</c:v>
              </c:pt>
              <c:pt idx="25">
                <c:v>367.92</c:v>
              </c:pt>
              <c:pt idx="26">
                <c:v>382.35</c:v>
              </c:pt>
              <c:pt idx="27">
                <c:v>295.77999999999997</c:v>
              </c:pt>
              <c:pt idx="28">
                <c:v>302.99</c:v>
              </c:pt>
              <c:pt idx="29">
                <c:v>230.85</c:v>
              </c:pt>
              <c:pt idx="30">
                <c:v>388.52</c:v>
              </c:pt>
              <c:pt idx="31">
                <c:v>407.25</c:v>
              </c:pt>
              <c:pt idx="32">
                <c:v>294.89999999999998</c:v>
              </c:pt>
              <c:pt idx="33">
                <c:v>346.39</c:v>
              </c:pt>
              <c:pt idx="34">
                <c:v>404.91</c:v>
              </c:pt>
              <c:pt idx="35">
                <c:v>550.02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F43-4F10-B63F-0BC2A5CD1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94669"/>
        <c:axId val="1558892448"/>
      </c:scatterChart>
      <c:valAx>
        <c:axId val="113094669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s-AR"/>
          </a:p>
        </c:txPr>
        <c:crossAx val="1558892448"/>
        <c:crosses val="autoZero"/>
        <c:crossBetween val="midCat"/>
      </c:valAx>
      <c:valAx>
        <c:axId val="1558892448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s-AR"/>
          </a:p>
        </c:txPr>
        <c:crossAx val="113094669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900">
              <a:solidFill>
                <a:srgbClr val="595959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5.180466333927012E-2"/>
          <c:y val="1.8374989129077524E-2"/>
          <c:w val="0.91903916542058606"/>
          <c:h val="0.92145100015155734"/>
        </c:manualLayout>
      </c:layout>
      <c:scatterChart>
        <c:scatterStyle val="lineMarker"/>
        <c:varyColors val="0"/>
        <c:ser>
          <c:idx val="0"/>
          <c:order val="0"/>
          <c:spPr>
            <a:ln w="47625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  <a:ln cmpd="sng">
                <a:solidFill>
                  <a:srgbClr val="5B9BD5"/>
                </a:solidFill>
              </a:ln>
            </c:spPr>
          </c:marker>
          <c:xVal>
            <c:numLit>
              <c:formatCode>General</c:formatCode>
              <c:ptCount val="3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</c:numLit>
          </c:xVal>
          <c:yVal>
            <c:numLit>
              <c:formatCode>General</c:formatCode>
              <c:ptCount val="36"/>
              <c:pt idx="0">
                <c:v>349.17</c:v>
              </c:pt>
              <c:pt idx="1">
                <c:v>339.07</c:v>
              </c:pt>
              <c:pt idx="2">
                <c:v>334.74</c:v>
              </c:pt>
              <c:pt idx="3">
                <c:v>256.82</c:v>
              </c:pt>
              <c:pt idx="4">
                <c:v>265.48</c:v>
              </c:pt>
              <c:pt idx="5">
                <c:v>202</c:v>
              </c:pt>
              <c:pt idx="6">
                <c:v>339.37</c:v>
              </c:pt>
              <c:pt idx="7">
                <c:v>355.76</c:v>
              </c:pt>
              <c:pt idx="8">
                <c:v>257.45</c:v>
              </c:pt>
              <c:pt idx="9">
                <c:v>304.26</c:v>
              </c:pt>
              <c:pt idx="10">
                <c:v>355.76</c:v>
              </c:pt>
              <c:pt idx="11">
                <c:v>482.14</c:v>
              </c:pt>
              <c:pt idx="12">
                <c:v>379.46</c:v>
              </c:pt>
              <c:pt idx="13">
                <c:v>343.39</c:v>
              </c:pt>
              <c:pt idx="14">
                <c:v>356.38</c:v>
              </c:pt>
              <c:pt idx="15">
                <c:v>278.47000000000003</c:v>
              </c:pt>
              <c:pt idx="16">
                <c:v>278.47000000000003</c:v>
              </c:pt>
              <c:pt idx="17">
                <c:v>214.98</c:v>
              </c:pt>
              <c:pt idx="18">
                <c:v>367.46</c:v>
              </c:pt>
              <c:pt idx="19">
                <c:v>376.82</c:v>
              </c:pt>
              <c:pt idx="20">
                <c:v>285.54000000000002</c:v>
              </c:pt>
              <c:pt idx="21">
                <c:v>304.26</c:v>
              </c:pt>
              <c:pt idx="22">
                <c:v>390.86</c:v>
              </c:pt>
              <c:pt idx="23">
                <c:v>538.30999999999995</c:v>
              </c:pt>
              <c:pt idx="24">
                <c:v>406.88</c:v>
              </c:pt>
              <c:pt idx="25">
                <c:v>367.92</c:v>
              </c:pt>
              <c:pt idx="26">
                <c:v>382.35</c:v>
              </c:pt>
              <c:pt idx="27">
                <c:v>295.77999999999997</c:v>
              </c:pt>
              <c:pt idx="28">
                <c:v>302.99</c:v>
              </c:pt>
              <c:pt idx="29">
                <c:v>230.85</c:v>
              </c:pt>
              <c:pt idx="30">
                <c:v>388.52</c:v>
              </c:pt>
              <c:pt idx="31">
                <c:v>407.25</c:v>
              </c:pt>
              <c:pt idx="32">
                <c:v>294.89999999999998</c:v>
              </c:pt>
              <c:pt idx="33">
                <c:v>346.39</c:v>
              </c:pt>
              <c:pt idx="34">
                <c:v>404.91</c:v>
              </c:pt>
              <c:pt idx="35">
                <c:v>550.02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6BC7-489C-8AFA-1DC3EBD2A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451600"/>
        <c:axId val="1577042173"/>
      </c:scatterChart>
      <c:valAx>
        <c:axId val="11644516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s-AR"/>
          </a:p>
        </c:txPr>
        <c:crossAx val="1577042173"/>
        <c:crosses val="autoZero"/>
        <c:crossBetween val="midCat"/>
      </c:valAx>
      <c:valAx>
        <c:axId val="1577042173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s-AR"/>
          </a:p>
        </c:txPr>
        <c:crossAx val="1164451600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sz="900">
              <a:solidFill>
                <a:srgbClr val="595959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8181145398585505E-2"/>
          <c:y val="9.2175648702594828E-2"/>
          <c:w val="0.91679661186735728"/>
          <c:h val="0.7593282725886808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'Ej 18'!$A$13:$A$48</c:f>
              <c:numCache>
                <c:formatCode>mmm\-yy</c:formatCode>
                <c:ptCount val="36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</c:numCache>
            </c:numRef>
          </c:xVal>
          <c:yVal>
            <c:numRef>
              <c:f>'Ej 18'!$B$13:$B$48</c:f>
              <c:numCache>
                <c:formatCode>General</c:formatCode>
                <c:ptCount val="36"/>
                <c:pt idx="0">
                  <c:v>242.65</c:v>
                </c:pt>
                <c:pt idx="1">
                  <c:v>178.63</c:v>
                </c:pt>
                <c:pt idx="2">
                  <c:v>152.82</c:v>
                </c:pt>
                <c:pt idx="3">
                  <c:v>130.1</c:v>
                </c:pt>
                <c:pt idx="4">
                  <c:v>179.67</c:v>
                </c:pt>
                <c:pt idx="5">
                  <c:v>171.41</c:v>
                </c:pt>
                <c:pt idx="6">
                  <c:v>177.58</c:v>
                </c:pt>
                <c:pt idx="7">
                  <c:v>209.77</c:v>
                </c:pt>
                <c:pt idx="8">
                  <c:v>204.77</c:v>
                </c:pt>
                <c:pt idx="9">
                  <c:v>264.7</c:v>
                </c:pt>
                <c:pt idx="10">
                  <c:v>254.72</c:v>
                </c:pt>
                <c:pt idx="11">
                  <c:v>281.69</c:v>
                </c:pt>
                <c:pt idx="12">
                  <c:v>237.49</c:v>
                </c:pt>
                <c:pt idx="13">
                  <c:v>172.44</c:v>
                </c:pt>
                <c:pt idx="14">
                  <c:v>134.22999999999999</c:v>
                </c:pt>
                <c:pt idx="15">
                  <c:v>125.97</c:v>
                </c:pt>
                <c:pt idx="16">
                  <c:v>166.24</c:v>
                </c:pt>
                <c:pt idx="17">
                  <c:v>162.11000000000001</c:v>
                </c:pt>
                <c:pt idx="18">
                  <c:v>148.83000000000001</c:v>
                </c:pt>
                <c:pt idx="19">
                  <c:v>192.78</c:v>
                </c:pt>
                <c:pt idx="20">
                  <c:v>192.78</c:v>
                </c:pt>
                <c:pt idx="21">
                  <c:v>246.72</c:v>
                </c:pt>
                <c:pt idx="22">
                  <c:v>237.73</c:v>
                </c:pt>
                <c:pt idx="23">
                  <c:v>262.70999999999998</c:v>
                </c:pt>
                <c:pt idx="24">
                  <c:v>212.71</c:v>
                </c:pt>
                <c:pt idx="25">
                  <c:v>156.94999999999999</c:v>
                </c:pt>
                <c:pt idx="26">
                  <c:v>134.22999999999999</c:v>
                </c:pt>
                <c:pt idx="27">
                  <c:v>113.58</c:v>
                </c:pt>
                <c:pt idx="28">
                  <c:v>156.94999999999999</c:v>
                </c:pt>
                <c:pt idx="29">
                  <c:v>149.72</c:v>
                </c:pt>
                <c:pt idx="30">
                  <c:v>139.84</c:v>
                </c:pt>
                <c:pt idx="31">
                  <c:v>183.79</c:v>
                </c:pt>
                <c:pt idx="32">
                  <c:v>177.8</c:v>
                </c:pt>
                <c:pt idx="33">
                  <c:v>231.74</c:v>
                </c:pt>
                <c:pt idx="34">
                  <c:v>231.74</c:v>
                </c:pt>
                <c:pt idx="35">
                  <c:v>241.73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4E-4C0E-9B5D-362429ED8531}"/>
            </c:ext>
          </c:extLst>
        </c:ser>
        <c:ser>
          <c:idx val="1"/>
          <c:order val="1"/>
          <c:tx>
            <c:v>Vtas Destac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28314681465298E-4"/>
                  <c:y val="-0.3631817286754789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/>
                      <a:t>y = -0,0144x + 825,67</a:t>
                    </a:r>
                    <a:br>
                      <a:rPr lang="en-US" sz="1400" baseline="0"/>
                    </a:br>
                    <a:r>
                      <a:rPr lang="en-US" sz="1400" baseline="0"/>
                      <a:t>R² = 0,0038</a:t>
                    </a:r>
                    <a:endParaRPr lang="en-US" sz="14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'Ej 18'!$A$13:$A$48</c:f>
              <c:numCache>
                <c:formatCode>mmm\-yy</c:formatCode>
                <c:ptCount val="36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  <c:pt idx="12">
                  <c:v>40909</c:v>
                </c:pt>
                <c:pt idx="13">
                  <c:v>40940</c:v>
                </c:pt>
                <c:pt idx="14">
                  <c:v>40969</c:v>
                </c:pt>
                <c:pt idx="15">
                  <c:v>41000</c:v>
                </c:pt>
                <c:pt idx="16">
                  <c:v>41030</c:v>
                </c:pt>
                <c:pt idx="17">
                  <c:v>41061</c:v>
                </c:pt>
                <c:pt idx="18">
                  <c:v>41091</c:v>
                </c:pt>
                <c:pt idx="19">
                  <c:v>41122</c:v>
                </c:pt>
                <c:pt idx="20">
                  <c:v>41153</c:v>
                </c:pt>
                <c:pt idx="21">
                  <c:v>41183</c:v>
                </c:pt>
                <c:pt idx="22">
                  <c:v>41214</c:v>
                </c:pt>
                <c:pt idx="23">
                  <c:v>41244</c:v>
                </c:pt>
                <c:pt idx="24">
                  <c:v>41275</c:v>
                </c:pt>
                <c:pt idx="25">
                  <c:v>41306</c:v>
                </c:pt>
                <c:pt idx="26">
                  <c:v>41334</c:v>
                </c:pt>
                <c:pt idx="27">
                  <c:v>41365</c:v>
                </c:pt>
                <c:pt idx="28">
                  <c:v>41395</c:v>
                </c:pt>
                <c:pt idx="29">
                  <c:v>41426</c:v>
                </c:pt>
                <c:pt idx="30">
                  <c:v>41456</c:v>
                </c:pt>
                <c:pt idx="31">
                  <c:v>41487</c:v>
                </c:pt>
                <c:pt idx="32">
                  <c:v>41518</c:v>
                </c:pt>
                <c:pt idx="33">
                  <c:v>41548</c:v>
                </c:pt>
                <c:pt idx="34">
                  <c:v>41579</c:v>
                </c:pt>
                <c:pt idx="35">
                  <c:v>41609</c:v>
                </c:pt>
              </c:numCache>
            </c:numRef>
          </c:xVal>
          <c:yVal>
            <c:numRef>
              <c:f>'Ej 18'!$I$54:$I$89</c:f>
              <c:numCache>
                <c:formatCode>0.00</c:formatCode>
                <c:ptCount val="36"/>
                <c:pt idx="0">
                  <c:v>331.74698095031476</c:v>
                </c:pt>
                <c:pt idx="1">
                  <c:v>303.7723093218404</c:v>
                </c:pt>
                <c:pt idx="2">
                  <c:v>193.15957183922364</c:v>
                </c:pt>
                <c:pt idx="3">
                  <c:v>168.01063926642436</c:v>
                </c:pt>
                <c:pt idx="4">
                  <c:v>166.10112340353388</c:v>
                </c:pt>
                <c:pt idx="5">
                  <c:v>171.75227972361583</c:v>
                </c:pt>
                <c:pt idx="6">
                  <c:v>201.73137085236448</c:v>
                </c:pt>
                <c:pt idx="7">
                  <c:v>206.71807134129455</c:v>
                </c:pt>
                <c:pt idx="8">
                  <c:v>221.23131251439892</c:v>
                </c:pt>
                <c:pt idx="9">
                  <c:v>354.04101780847583</c:v>
                </c:pt>
                <c:pt idx="10">
                  <c:v>357.10165320473703</c:v>
                </c:pt>
                <c:pt idx="11">
                  <c:v>344.16787183815711</c:v>
                </c:pt>
                <c:pt idx="12">
                  <c:v>243.51923708805973</c:v>
                </c:pt>
                <c:pt idx="13">
                  <c:v>219.93434901524728</c:v>
                </c:pt>
                <c:pt idx="14">
                  <c:v>169.66240889922125</c:v>
                </c:pt>
                <c:pt idx="15">
                  <c:v>162.67717316211741</c:v>
                </c:pt>
                <c:pt idx="16">
                  <c:v>153.68537181835296</c:v>
                </c:pt>
                <c:pt idx="17">
                  <c:v>162.43370903678527</c:v>
                </c:pt>
                <c:pt idx="18">
                  <c:v>169.07129138392503</c:v>
                </c:pt>
                <c:pt idx="19">
                  <c:v>189.9752576306181</c:v>
                </c:pt>
                <c:pt idx="20">
                  <c:v>208.27744506776298</c:v>
                </c:pt>
                <c:pt idx="21">
                  <c:v>329.99244395053705</c:v>
                </c:pt>
                <c:pt idx="22">
                  <c:v>333.28272619488905</c:v>
                </c:pt>
                <c:pt idx="23">
                  <c:v>320.97817320672459</c:v>
                </c:pt>
                <c:pt idx="24">
                  <c:v>290.81351872219847</c:v>
                </c:pt>
                <c:pt idx="25">
                  <c:v>266.90401359269356</c:v>
                </c:pt>
                <c:pt idx="26">
                  <c:v>169.66240889922125</c:v>
                </c:pt>
                <c:pt idx="27">
                  <c:v>146.67677484919662</c:v>
                </c:pt>
                <c:pt idx="28">
                  <c:v>145.09696286628065</c:v>
                </c:pt>
                <c:pt idx="29">
                  <c:v>150.01896808949164</c:v>
                </c:pt>
                <c:pt idx="30">
                  <c:v>158.8586265344895</c:v>
                </c:pt>
                <c:pt idx="31">
                  <c:v>181.11605249471575</c:v>
                </c:pt>
                <c:pt idx="32">
                  <c:v>192.0932136790552</c:v>
                </c:pt>
                <c:pt idx="33">
                  <c:v>309.95642412896183</c:v>
                </c:pt>
                <c:pt idx="34">
                  <c:v>324.88511743744414</c:v>
                </c:pt>
                <c:pt idx="35">
                  <c:v>295.34488146344461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4E-4C0E-9B5D-362429ED8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06568"/>
        <c:axId val="605812800"/>
      </c:scatterChart>
      <c:valAx>
        <c:axId val="60580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5812800"/>
        <c:crosses val="autoZero"/>
        <c:crossBetween val="midCat"/>
      </c:valAx>
      <c:valAx>
        <c:axId val="6058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05806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'Ej 19'!$B$19</c:f>
              <c:strCache>
                <c:ptCount val="1"/>
                <c:pt idx="0">
                  <c:v>Y: Ventas Mensuales</c:v>
                </c:pt>
              </c:strCache>
            </c:strRef>
          </c:tx>
          <c:spPr>
            <a:ln w="47625">
              <a:noFill/>
            </a:ln>
          </c:spPr>
          <c:marker>
            <c:symbol val="circle"/>
            <c:size val="7"/>
            <c:spPr>
              <a:solidFill>
                <a:srgbClr val="5B9BD5"/>
              </a:solidFill>
              <a:ln cmpd="sng">
                <a:solidFill>
                  <a:srgbClr val="5B9BD5"/>
                </a:solidFill>
              </a:ln>
            </c:spPr>
          </c:marker>
          <c:xVal>
            <c:numRef>
              <c:f>'Ej 19'!$A$20:$A$31</c:f>
              <c:numCache>
                <c:formatCode>General</c:formatCode>
                <c:ptCount val="12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13.5</c:v>
                </c:pt>
                <c:pt idx="7">
                  <c:v>13.5</c:v>
                </c:pt>
                <c:pt idx="8">
                  <c:v>13.5</c:v>
                </c:pt>
                <c:pt idx="9">
                  <c:v>18</c:v>
                </c:pt>
                <c:pt idx="10">
                  <c:v>18</c:v>
                </c:pt>
                <c:pt idx="11">
                  <c:v>18</c:v>
                </c:pt>
              </c:numCache>
            </c:numRef>
          </c:xVal>
          <c:yVal>
            <c:numRef>
              <c:f>'Ej 19'!$B$20:$B$31</c:f>
              <c:numCache>
                <c:formatCode>#,##0</c:formatCode>
                <c:ptCount val="12"/>
                <c:pt idx="0">
                  <c:v>2228</c:v>
                </c:pt>
                <c:pt idx="1">
                  <c:v>3146</c:v>
                </c:pt>
                <c:pt idx="2">
                  <c:v>2002</c:v>
                </c:pt>
                <c:pt idx="3">
                  <c:v>2717</c:v>
                </c:pt>
                <c:pt idx="4">
                  <c:v>3432</c:v>
                </c:pt>
                <c:pt idx="5">
                  <c:v>3718</c:v>
                </c:pt>
                <c:pt idx="6">
                  <c:v>3289</c:v>
                </c:pt>
                <c:pt idx="7">
                  <c:v>3861</c:v>
                </c:pt>
                <c:pt idx="8">
                  <c:v>4004</c:v>
                </c:pt>
                <c:pt idx="9">
                  <c:v>3718</c:v>
                </c:pt>
                <c:pt idx="10">
                  <c:v>4147</c:v>
                </c:pt>
                <c:pt idx="11">
                  <c:v>4433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5C-4F64-911A-DB4A7E8A1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828719"/>
        <c:axId val="921690057"/>
      </c:scatterChart>
      <c:valAx>
        <c:axId val="1218828719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s-AR"/>
          </a:p>
        </c:txPr>
        <c:crossAx val="921690057"/>
        <c:crosses val="autoZero"/>
        <c:crossBetween val="midCat"/>
      </c:valAx>
      <c:valAx>
        <c:axId val="921690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s-AR"/>
          </a:p>
        </c:txPr>
        <c:crossAx val="1218828719"/>
        <c:crosses val="autoZero"/>
        <c:crossBetween val="midCat"/>
      </c:valAx>
      <c:spPr>
        <a:solidFill>
          <a:srgbClr val="FFFFFF"/>
        </a:solidFill>
      </c:spPr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2838201029494449E-3"/>
                  <c:y val="-0.1626322415027275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0,212x + 1,1132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0,8715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'Ej 20'!$B$10:$B$21</c:f>
              <c:numCache>
                <c:formatCode>General</c:formatCode>
                <c:ptCount val="12"/>
                <c:pt idx="0">
                  <c:v>14.68</c:v>
                </c:pt>
                <c:pt idx="1">
                  <c:v>22.93</c:v>
                </c:pt>
                <c:pt idx="2">
                  <c:v>16.649999999999999</c:v>
                </c:pt>
                <c:pt idx="3">
                  <c:v>35.99</c:v>
                </c:pt>
                <c:pt idx="4">
                  <c:v>32.479999999999997</c:v>
                </c:pt>
                <c:pt idx="5">
                  <c:v>38.770000000000003</c:v>
                </c:pt>
                <c:pt idx="6">
                  <c:v>10.029999999999999</c:v>
                </c:pt>
                <c:pt idx="7">
                  <c:v>24.26</c:v>
                </c:pt>
                <c:pt idx="8">
                  <c:v>52.46</c:v>
                </c:pt>
                <c:pt idx="9">
                  <c:v>36.799999999999997</c:v>
                </c:pt>
                <c:pt idx="10">
                  <c:v>17.34</c:v>
                </c:pt>
                <c:pt idx="11">
                  <c:v>43.69</c:v>
                </c:pt>
              </c:numCache>
            </c:numRef>
          </c:xVal>
          <c:yVal>
            <c:numRef>
              <c:f>'Ej 20'!$C$10:$C$21</c:f>
              <c:numCache>
                <c:formatCode>General</c:formatCode>
                <c:ptCount val="12"/>
                <c:pt idx="0">
                  <c:v>3.8450000000000002</c:v>
                </c:pt>
                <c:pt idx="1">
                  <c:v>5.45</c:v>
                </c:pt>
                <c:pt idx="2">
                  <c:v>5.0990000000000002</c:v>
                </c:pt>
                <c:pt idx="3">
                  <c:v>8.89</c:v>
                </c:pt>
                <c:pt idx="4">
                  <c:v>6.681</c:v>
                </c:pt>
                <c:pt idx="5">
                  <c:v>9.6780000000000008</c:v>
                </c:pt>
                <c:pt idx="6">
                  <c:v>4.5419999999999998</c:v>
                </c:pt>
                <c:pt idx="7">
                  <c:v>4.5570000000000004</c:v>
                </c:pt>
                <c:pt idx="8">
                  <c:v>13.289</c:v>
                </c:pt>
                <c:pt idx="9">
                  <c:v>10.506</c:v>
                </c:pt>
                <c:pt idx="10">
                  <c:v>5.1340000000000003</c:v>
                </c:pt>
                <c:pt idx="11">
                  <c:v>9.0660000000000007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71-44D6-B160-0D94F2EFF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569416"/>
        <c:axId val="448569744"/>
      </c:scatterChart>
      <c:valAx>
        <c:axId val="448569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48569744"/>
        <c:crosses val="autoZero"/>
        <c:crossBetween val="midCat"/>
      </c:valAx>
      <c:valAx>
        <c:axId val="4485697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48569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13</xdr:row>
      <xdr:rowOff>30480</xdr:rowOff>
    </xdr:from>
    <xdr:to>
      <xdr:col>1</xdr:col>
      <xdr:colOff>342900</xdr:colOff>
      <xdr:row>16</xdr:row>
      <xdr:rowOff>198120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A2F2DBFB-BF35-4D7F-AF7A-5D461EBF4298}"/>
            </a:ext>
          </a:extLst>
        </xdr:cNvPr>
        <xdr:cNvSpPr txBox="1">
          <a:spLocks noChangeArrowheads="1"/>
        </xdr:cNvSpPr>
      </xdr:nvSpPr>
      <xdr:spPr bwMode="auto">
        <a:xfrm>
          <a:off x="762000" y="2575560"/>
          <a:ext cx="37338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91440" tIns="45720" rIns="91440" bIns="45720" anchor="t" upright="1"/>
        <a:lstStyle/>
        <a:p>
          <a:pPr algn="r" rtl="0">
            <a:defRPr sz="1000"/>
          </a:pPr>
          <a:r>
            <a:rPr lang="es-A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ALUMNO</a:t>
          </a: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1</xdr:col>
      <xdr:colOff>373380</xdr:colOff>
      <xdr:row>20</xdr:row>
      <xdr:rowOff>99060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EF006BFB-EE71-4B7E-92C5-EB3DF5A21D05}"/>
            </a:ext>
          </a:extLst>
        </xdr:cNvPr>
        <xdr:cNvSpPr txBox="1">
          <a:spLocks noChangeArrowheads="1"/>
        </xdr:cNvSpPr>
      </xdr:nvSpPr>
      <xdr:spPr bwMode="auto">
        <a:xfrm>
          <a:off x="792480" y="3368040"/>
          <a:ext cx="373380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91440" tIns="45720" rIns="91440" bIns="45720" anchor="t" upright="1"/>
        <a:lstStyle/>
        <a:p>
          <a:pPr algn="r" rtl="0">
            <a:defRPr sz="1000"/>
          </a:pPr>
          <a:r>
            <a:rPr lang="es-AR" sz="105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Docentes</a:t>
          </a:r>
          <a:endParaRPr lang="es-AR" sz="1000" b="1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</xdr:col>
      <xdr:colOff>373380</xdr:colOff>
      <xdr:row>2</xdr:row>
      <xdr:rowOff>53340</xdr:rowOff>
    </xdr:from>
    <xdr:to>
      <xdr:col>2</xdr:col>
      <xdr:colOff>635635</xdr:colOff>
      <xdr:row>8</xdr:row>
      <xdr:rowOff>635</xdr:rowOff>
    </xdr:to>
    <xdr:sp macro="" textlink="">
      <xdr:nvSpPr>
        <xdr:cNvPr id="4" name="Text Box 7">
          <a:extLst>
            <a:ext uri="{FF2B5EF4-FFF2-40B4-BE49-F238E27FC236}">
              <a16:creationId xmlns:a16="http://schemas.microsoft.com/office/drawing/2014/main" id="{95336238-ADC3-44C7-8376-756BB857833A}"/>
            </a:ext>
          </a:extLst>
        </xdr:cNvPr>
        <xdr:cNvSpPr txBox="1">
          <a:spLocks noChangeArrowheads="1"/>
        </xdr:cNvSpPr>
      </xdr:nvSpPr>
      <xdr:spPr bwMode="auto">
        <a:xfrm>
          <a:off x="1165860" y="426720"/>
          <a:ext cx="673735" cy="113601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723900</xdr:colOff>
      <xdr:row>39</xdr:row>
      <xdr:rowOff>22860</xdr:rowOff>
    </xdr:from>
    <xdr:to>
      <xdr:col>1</xdr:col>
      <xdr:colOff>304800</xdr:colOff>
      <xdr:row>44</xdr:row>
      <xdr:rowOff>45720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E6D116AC-DC9C-4A63-AA29-6F79FA538700}"/>
            </a:ext>
          </a:extLst>
        </xdr:cNvPr>
        <xdr:cNvSpPr txBox="1">
          <a:spLocks noChangeArrowheads="1"/>
        </xdr:cNvSpPr>
      </xdr:nvSpPr>
      <xdr:spPr bwMode="auto">
        <a:xfrm>
          <a:off x="723900" y="7955280"/>
          <a:ext cx="373380" cy="960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91440" tIns="45720" rIns="91440" bIns="45720" anchor="t" upright="1"/>
        <a:lstStyle/>
        <a:p>
          <a:pPr algn="r" rtl="0">
            <a:defRPr sz="1000"/>
          </a:pPr>
          <a:r>
            <a:rPr lang="es-AR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ENTREGAS</a:t>
          </a:r>
        </a:p>
      </xdr:txBody>
    </xdr:sp>
    <xdr:clientData/>
  </xdr:twoCellAnchor>
  <xdr:twoCellAnchor>
    <xdr:from>
      <xdr:col>4</xdr:col>
      <xdr:colOff>151311</xdr:colOff>
      <xdr:row>38</xdr:row>
      <xdr:rowOff>99060</xdr:rowOff>
    </xdr:from>
    <xdr:to>
      <xdr:col>4</xdr:col>
      <xdr:colOff>524691</xdr:colOff>
      <xdr:row>46</xdr:row>
      <xdr:rowOff>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D0739658-49CD-4D21-BE26-4200B5B51B94}"/>
            </a:ext>
          </a:extLst>
        </xdr:cNvPr>
        <xdr:cNvSpPr txBox="1">
          <a:spLocks noChangeArrowheads="1"/>
        </xdr:cNvSpPr>
      </xdr:nvSpPr>
      <xdr:spPr bwMode="auto">
        <a:xfrm>
          <a:off x="2940231" y="7848600"/>
          <a:ext cx="373380" cy="1394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91440" tIns="45720" rIns="91440" bIns="45720" anchor="t" upright="1"/>
        <a:lstStyle/>
        <a:p>
          <a:pPr algn="r" rtl="0">
            <a:defRPr sz="1000"/>
          </a:pPr>
          <a:r>
            <a:rPr lang="es-AR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OBSERVACIONES</a:t>
          </a:r>
        </a:p>
      </xdr:txBody>
    </xdr:sp>
    <xdr:clientData/>
  </xdr:twoCellAnchor>
  <xdr:twoCellAnchor>
    <xdr:from>
      <xdr:col>1</xdr:col>
      <xdr:colOff>335280</xdr:colOff>
      <xdr:row>2</xdr:row>
      <xdr:rowOff>152400</xdr:rowOff>
    </xdr:from>
    <xdr:to>
      <xdr:col>2</xdr:col>
      <xdr:colOff>576943</xdr:colOff>
      <xdr:row>7</xdr:row>
      <xdr:rowOff>108409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B6395F1-C14E-4D72-8541-48F373180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" y="525780"/>
          <a:ext cx="653143" cy="9466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4</xdr:row>
      <xdr:rowOff>123825</xdr:rowOff>
    </xdr:from>
    <xdr:ext cx="3990975" cy="220980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923925</xdr:colOff>
      <xdr:row>24</xdr:row>
      <xdr:rowOff>76200</xdr:rowOff>
    </xdr:from>
    <xdr:ext cx="3810000" cy="2352675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542925</xdr:colOff>
      <xdr:row>3</xdr:row>
      <xdr:rowOff>171450</xdr:rowOff>
    </xdr:from>
    <xdr:ext cx="3133725" cy="1733550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895350</xdr:colOff>
      <xdr:row>29</xdr:row>
      <xdr:rowOff>19050</xdr:rowOff>
    </xdr:from>
    <xdr:ext cx="6353175" cy="2609850"/>
    <xdr:graphicFrame macro="">
      <xdr:nvGraphicFramePr>
        <xdr:cNvPr id="4" name="Chart 4" title="Gráfico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779145</xdr:colOff>
      <xdr:row>78</xdr:row>
      <xdr:rowOff>68580</xdr:rowOff>
    </xdr:from>
    <xdr:ext cx="5505450" cy="2400300"/>
    <xdr:graphicFrame macro="">
      <xdr:nvGraphicFramePr>
        <xdr:cNvPr id="5" name="Chart 5" title="Gráfic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701040</xdr:colOff>
      <xdr:row>5</xdr:row>
      <xdr:rowOff>143053</xdr:rowOff>
    </xdr:from>
    <xdr:to>
      <xdr:col>17</xdr:col>
      <xdr:colOff>260261</xdr:colOff>
      <xdr:row>16</xdr:row>
      <xdr:rowOff>19330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8CBEC0-9931-30CE-704F-A4F80A070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7611" y="959482"/>
          <a:ext cx="5121821" cy="23473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41051</xdr:colOff>
      <xdr:row>19</xdr:row>
      <xdr:rowOff>19450</xdr:rowOff>
    </xdr:from>
    <xdr:to>
      <xdr:col>22</xdr:col>
      <xdr:colOff>455405</xdr:colOff>
      <xdr:row>40</xdr:row>
      <xdr:rowOff>32856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4125EE-9301-41EB-8B68-A5315EA57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</xdr:colOff>
      <xdr:row>14</xdr:row>
      <xdr:rowOff>0</xdr:rowOff>
    </xdr:from>
    <xdr:ext cx="5421085" cy="6324600"/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9E76396-1C84-482D-A4D9-1EFE194AA8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0</xdr:colOff>
      <xdr:row>65</xdr:row>
      <xdr:rowOff>504824</xdr:rowOff>
    </xdr:from>
    <xdr:ext cx="6162675" cy="6238875"/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8156F26-C7C5-4D99-9E8B-09B4C2474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oneCell">
    <xdr:from>
      <xdr:col>10</xdr:col>
      <xdr:colOff>161924</xdr:colOff>
      <xdr:row>0</xdr:row>
      <xdr:rowOff>76200</xdr:rowOff>
    </xdr:from>
    <xdr:to>
      <xdr:col>17</xdr:col>
      <xdr:colOff>104774</xdr:colOff>
      <xdr:row>12</xdr:row>
      <xdr:rowOff>102281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FE8ECF-302E-435C-9C9A-0F2792C9A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49" y="76200"/>
          <a:ext cx="5476875" cy="20834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90663</xdr:colOff>
      <xdr:row>52</xdr:row>
      <xdr:rowOff>351367</xdr:rowOff>
    </xdr:from>
    <xdr:to>
      <xdr:col>21</xdr:col>
      <xdr:colOff>545394</xdr:colOff>
      <xdr:row>71</xdr:row>
      <xdr:rowOff>155929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A9ACB-6E27-4144-BE80-B68713A9EE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16</xdr:row>
      <xdr:rowOff>131445</xdr:rowOff>
    </xdr:from>
    <xdr:ext cx="4572000" cy="287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63BD4-0321-41BD-ADE4-B89A73FE1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138641</xdr:colOff>
      <xdr:row>8</xdr:row>
      <xdr:rowOff>62440</xdr:rowOff>
    </xdr:from>
    <xdr:to>
      <xdr:col>16</xdr:col>
      <xdr:colOff>522817</xdr:colOff>
      <xdr:row>23</xdr:row>
      <xdr:rowOff>160865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B8D46-25F5-4B84-B036-5CA8546FD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6C4F-4FDB-4387-A1CB-4F24B4CB3344}">
  <dimension ref="B2:O46"/>
  <sheetViews>
    <sheetView showGridLines="0" topLeftCell="A16" zoomScale="90" zoomScaleNormal="90" workbookViewId="0">
      <selection activeCell="P35" sqref="P35"/>
    </sheetView>
  </sheetViews>
  <sheetFormatPr baseColWidth="10" defaultColWidth="11.5546875" defaultRowHeight="14.4" x14ac:dyDescent="0.3"/>
  <cols>
    <col min="1" max="1" width="11.5546875" style="142"/>
    <col min="2" max="2" width="6" style="142" customWidth="1"/>
    <col min="3" max="5" width="11.5546875" style="142"/>
    <col min="6" max="7" width="7.109375" style="142" customWidth="1"/>
    <col min="8" max="8" width="11.5546875" style="142"/>
    <col min="9" max="9" width="6.44140625" style="142" customWidth="1"/>
    <col min="10" max="12" width="11.5546875" style="142"/>
    <col min="13" max="13" width="4.44140625" style="142" customWidth="1"/>
    <col min="14" max="14" width="11.5546875" style="142"/>
    <col min="15" max="15" width="9.44140625" style="142" customWidth="1"/>
    <col min="16" max="16384" width="11.5546875" style="142"/>
  </cols>
  <sheetData>
    <row r="2" spans="2:15" ht="15" thickBot="1" x14ac:dyDescent="0.35"/>
    <row r="3" spans="2:15" ht="15.6" customHeight="1" x14ac:dyDescent="0.3">
      <c r="B3" s="303"/>
      <c r="C3" s="304"/>
      <c r="D3" s="304"/>
      <c r="E3" s="304"/>
      <c r="F3" s="304"/>
      <c r="G3" s="304"/>
      <c r="H3" s="307" t="s">
        <v>123</v>
      </c>
      <c r="I3" s="307"/>
      <c r="J3" s="307"/>
      <c r="K3" s="307"/>
      <c r="L3" s="307"/>
      <c r="M3" s="307"/>
      <c r="N3" s="307"/>
      <c r="O3" s="308"/>
    </row>
    <row r="4" spans="2:15" ht="15.6" customHeight="1" x14ac:dyDescent="0.3">
      <c r="B4" s="305"/>
      <c r="C4" s="306"/>
      <c r="D4" s="306"/>
      <c r="E4" s="306"/>
      <c r="F4" s="306"/>
      <c r="G4" s="306"/>
      <c r="H4" s="309" t="s">
        <v>124</v>
      </c>
      <c r="I4" s="309"/>
      <c r="J4" s="309"/>
      <c r="K4" s="309"/>
      <c r="L4" s="309"/>
      <c r="M4" s="309"/>
      <c r="N4" s="309"/>
      <c r="O4" s="310"/>
    </row>
    <row r="5" spans="2:15" ht="15.6" x14ac:dyDescent="0.3">
      <c r="B5" s="305"/>
      <c r="C5" s="306"/>
      <c r="D5" s="306"/>
      <c r="E5" s="306"/>
      <c r="F5" s="306"/>
      <c r="G5" s="306"/>
      <c r="H5" s="309"/>
      <c r="I5" s="309"/>
      <c r="J5" s="309"/>
      <c r="K5" s="309"/>
      <c r="L5" s="309"/>
      <c r="M5" s="309"/>
      <c r="N5" s="309"/>
      <c r="O5" s="310"/>
    </row>
    <row r="6" spans="2:15" ht="15.6" x14ac:dyDescent="0.3">
      <c r="B6" s="305"/>
      <c r="C6" s="306"/>
      <c r="D6" s="306"/>
      <c r="E6" s="306"/>
      <c r="F6" s="306"/>
      <c r="G6" s="306"/>
      <c r="H6" s="309"/>
      <c r="I6" s="309"/>
      <c r="J6" s="309"/>
      <c r="K6" s="309"/>
      <c r="L6" s="309"/>
      <c r="M6" s="309"/>
      <c r="N6" s="309"/>
      <c r="O6" s="310"/>
    </row>
    <row r="7" spans="2:15" ht="15.6" x14ac:dyDescent="0.3">
      <c r="B7" s="305"/>
      <c r="C7" s="306"/>
      <c r="D7" s="306"/>
      <c r="E7" s="306"/>
      <c r="F7" s="306"/>
      <c r="G7" s="306"/>
      <c r="H7" s="309"/>
      <c r="I7" s="309"/>
      <c r="J7" s="309"/>
      <c r="K7" s="309"/>
      <c r="L7" s="309"/>
      <c r="M7" s="309"/>
      <c r="N7" s="309"/>
      <c r="O7" s="310"/>
    </row>
    <row r="8" spans="2:15" ht="15.6" x14ac:dyDescent="0.3">
      <c r="B8" s="305"/>
      <c r="C8" s="306"/>
      <c r="D8" s="306"/>
      <c r="E8" s="306"/>
      <c r="F8" s="306"/>
      <c r="G8" s="306"/>
      <c r="H8" s="309"/>
      <c r="I8" s="309"/>
      <c r="J8" s="309"/>
      <c r="K8" s="309"/>
      <c r="L8" s="309"/>
      <c r="M8" s="309"/>
      <c r="N8" s="309"/>
      <c r="O8" s="310"/>
    </row>
    <row r="9" spans="2:15" ht="15.6" x14ac:dyDescent="0.3">
      <c r="B9" s="305"/>
      <c r="C9" s="306"/>
      <c r="D9" s="306"/>
      <c r="E9" s="306"/>
      <c r="F9" s="306"/>
      <c r="G9" s="306"/>
      <c r="H9" s="309"/>
      <c r="I9" s="309"/>
      <c r="J9" s="309"/>
      <c r="K9" s="309"/>
      <c r="L9" s="309"/>
      <c r="M9" s="309"/>
      <c r="N9" s="309"/>
      <c r="O9" s="310"/>
    </row>
    <row r="10" spans="2:15" x14ac:dyDescent="0.3">
      <c r="B10" s="279" t="s">
        <v>125</v>
      </c>
      <c r="C10" s="277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8"/>
    </row>
    <row r="11" spans="2:15" ht="15" thickBot="1" x14ac:dyDescent="0.35">
      <c r="B11" s="261"/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3"/>
    </row>
    <row r="12" spans="2:15" ht="16.2" thickBot="1" x14ac:dyDescent="0.35">
      <c r="B12" s="280" t="s">
        <v>126</v>
      </c>
      <c r="C12" s="281"/>
      <c r="D12" s="281"/>
      <c r="E12" s="281"/>
      <c r="F12" s="281"/>
      <c r="G12" s="281"/>
      <c r="H12" s="281"/>
      <c r="I12" s="281"/>
      <c r="J12" s="282"/>
      <c r="K12" s="280" t="s">
        <v>127</v>
      </c>
      <c r="L12" s="281"/>
      <c r="M12" s="281"/>
      <c r="N12" s="281"/>
      <c r="O12" s="282"/>
    </row>
    <row r="13" spans="2:15" ht="16.2" thickBot="1" x14ac:dyDescent="0.35">
      <c r="B13" s="300" t="s">
        <v>128</v>
      </c>
      <c r="C13" s="301"/>
      <c r="D13" s="301"/>
      <c r="E13" s="301"/>
      <c r="F13" s="301"/>
      <c r="G13" s="301"/>
      <c r="H13" s="301"/>
      <c r="I13" s="301"/>
      <c r="J13" s="302"/>
      <c r="K13" s="295" t="s">
        <v>234</v>
      </c>
      <c r="L13" s="296"/>
      <c r="M13" s="296"/>
      <c r="N13" s="296"/>
      <c r="O13" s="299"/>
    </row>
    <row r="14" spans="2:15" ht="16.2" thickBot="1" x14ac:dyDescent="0.35">
      <c r="B14" s="258"/>
      <c r="C14" s="260"/>
      <c r="D14" s="280" t="s">
        <v>129</v>
      </c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143"/>
    </row>
    <row r="15" spans="2:15" ht="16.2" thickBot="1" x14ac:dyDescent="0.35">
      <c r="B15" s="279"/>
      <c r="C15" s="278"/>
      <c r="D15" s="295"/>
      <c r="E15" s="296"/>
      <c r="F15" s="296"/>
      <c r="G15" s="296"/>
      <c r="H15" s="296"/>
      <c r="I15" s="296"/>
      <c r="J15" s="296"/>
      <c r="K15" s="281"/>
      <c r="L15" s="281"/>
      <c r="M15" s="281"/>
      <c r="N15" s="281"/>
      <c r="O15" s="143"/>
    </row>
    <row r="16" spans="2:15" ht="16.2" thickBot="1" x14ac:dyDescent="0.35">
      <c r="B16" s="279"/>
      <c r="C16" s="278"/>
      <c r="D16" s="280" t="s">
        <v>130</v>
      </c>
      <c r="E16" s="281"/>
      <c r="F16" s="282"/>
      <c r="G16" s="280" t="s">
        <v>131</v>
      </c>
      <c r="H16" s="281"/>
      <c r="I16" s="281"/>
      <c r="J16" s="281"/>
      <c r="K16" s="281"/>
      <c r="L16" s="281"/>
      <c r="M16" s="281"/>
      <c r="N16" s="282"/>
      <c r="O16" s="144" t="s">
        <v>132</v>
      </c>
    </row>
    <row r="17" spans="2:15" ht="16.2" thickBot="1" x14ac:dyDescent="0.35">
      <c r="B17" s="297"/>
      <c r="C17" s="298"/>
      <c r="D17" s="295"/>
      <c r="E17" s="296"/>
      <c r="F17" s="299"/>
      <c r="G17" s="295"/>
      <c r="H17" s="296"/>
      <c r="I17" s="296"/>
      <c r="J17" s="296"/>
      <c r="K17" s="296"/>
      <c r="L17" s="296"/>
      <c r="M17" s="296"/>
      <c r="N17" s="299"/>
      <c r="O17" s="145" t="s">
        <v>133</v>
      </c>
    </row>
    <row r="18" spans="2:15" ht="16.2" thickBot="1" x14ac:dyDescent="0.35">
      <c r="B18" s="258"/>
      <c r="C18" s="260"/>
      <c r="D18" s="280" t="s">
        <v>134</v>
      </c>
      <c r="E18" s="281"/>
      <c r="F18" s="282"/>
      <c r="G18" s="295"/>
      <c r="H18" s="296"/>
      <c r="I18" s="296"/>
      <c r="J18" s="296"/>
      <c r="K18" s="296"/>
      <c r="L18" s="296"/>
      <c r="M18" s="296"/>
      <c r="N18" s="296"/>
      <c r="O18" s="143"/>
    </row>
    <row r="19" spans="2:15" ht="16.2" thickBot="1" x14ac:dyDescent="0.35">
      <c r="B19" s="279"/>
      <c r="C19" s="278"/>
      <c r="D19" s="280" t="s">
        <v>135</v>
      </c>
      <c r="E19" s="281"/>
      <c r="F19" s="282"/>
      <c r="G19" s="295"/>
      <c r="H19" s="296"/>
      <c r="I19" s="296"/>
      <c r="J19" s="296"/>
      <c r="K19" s="296"/>
      <c r="L19" s="296"/>
      <c r="M19" s="296"/>
      <c r="N19" s="296"/>
      <c r="O19" s="143"/>
    </row>
    <row r="20" spans="2:15" ht="16.2" thickBot="1" x14ac:dyDescent="0.35">
      <c r="B20" s="261"/>
      <c r="C20" s="263"/>
      <c r="D20" s="280" t="s">
        <v>136</v>
      </c>
      <c r="E20" s="281"/>
      <c r="F20" s="282"/>
      <c r="G20" s="295"/>
      <c r="H20" s="296"/>
      <c r="I20" s="296"/>
      <c r="J20" s="296"/>
      <c r="K20" s="296"/>
      <c r="L20" s="296"/>
      <c r="M20" s="296"/>
      <c r="N20" s="296"/>
      <c r="O20" s="143"/>
    </row>
    <row r="21" spans="2:15" ht="16.2" thickBot="1" x14ac:dyDescent="0.35">
      <c r="B21" s="280" t="s">
        <v>137</v>
      </c>
      <c r="C21" s="281"/>
      <c r="D21" s="281"/>
      <c r="E21" s="281"/>
      <c r="F21" s="281"/>
      <c r="G21" s="281"/>
      <c r="H21" s="281"/>
      <c r="I21" s="281"/>
      <c r="J21" s="282"/>
      <c r="K21" s="280" t="s">
        <v>138</v>
      </c>
      <c r="L21" s="281"/>
      <c r="M21" s="281"/>
      <c r="N21" s="281"/>
      <c r="O21" s="282"/>
    </row>
    <row r="22" spans="2:15" x14ac:dyDescent="0.3">
      <c r="B22" s="289" t="s">
        <v>139</v>
      </c>
      <c r="C22" s="290"/>
      <c r="D22" s="290"/>
      <c r="E22" s="290"/>
      <c r="F22" s="290"/>
      <c r="G22" s="290"/>
      <c r="H22" s="290"/>
      <c r="I22" s="290"/>
      <c r="J22" s="290"/>
      <c r="K22" s="259"/>
      <c r="L22" s="259"/>
      <c r="M22" s="259"/>
      <c r="N22" s="259"/>
      <c r="O22" s="260"/>
    </row>
    <row r="23" spans="2:15" x14ac:dyDescent="0.3">
      <c r="B23" s="291"/>
      <c r="C23" s="292"/>
      <c r="D23" s="292"/>
      <c r="E23" s="292"/>
      <c r="F23" s="292"/>
      <c r="G23" s="292"/>
      <c r="H23" s="292"/>
      <c r="I23" s="292"/>
      <c r="J23" s="292"/>
      <c r="K23" s="277"/>
      <c r="L23" s="277"/>
      <c r="M23" s="277"/>
      <c r="N23" s="277"/>
      <c r="O23" s="278"/>
    </row>
    <row r="24" spans="2:15" x14ac:dyDescent="0.3">
      <c r="B24" s="291"/>
      <c r="C24" s="292"/>
      <c r="D24" s="292"/>
      <c r="E24" s="292"/>
      <c r="F24" s="292"/>
      <c r="G24" s="292"/>
      <c r="H24" s="292"/>
      <c r="I24" s="292"/>
      <c r="J24" s="292"/>
      <c r="K24" s="277"/>
      <c r="L24" s="277"/>
      <c r="M24" s="277"/>
      <c r="N24" s="277"/>
      <c r="O24" s="278"/>
    </row>
    <row r="25" spans="2:15" x14ac:dyDescent="0.3">
      <c r="B25" s="291"/>
      <c r="C25" s="292"/>
      <c r="D25" s="292"/>
      <c r="E25" s="292"/>
      <c r="F25" s="292"/>
      <c r="G25" s="292"/>
      <c r="H25" s="292"/>
      <c r="I25" s="292"/>
      <c r="J25" s="292"/>
      <c r="K25" s="277"/>
      <c r="L25" s="277"/>
      <c r="M25" s="277"/>
      <c r="N25" s="277"/>
      <c r="O25" s="278"/>
    </row>
    <row r="26" spans="2:15" ht="15" thickBot="1" x14ac:dyDescent="0.35">
      <c r="B26" s="293"/>
      <c r="C26" s="294"/>
      <c r="D26" s="294"/>
      <c r="E26" s="294"/>
      <c r="F26" s="294"/>
      <c r="G26" s="292"/>
      <c r="H26" s="292"/>
      <c r="I26" s="292"/>
      <c r="J26" s="292"/>
      <c r="K26" s="277"/>
      <c r="L26" s="277"/>
      <c r="M26" s="277"/>
      <c r="N26" s="277"/>
      <c r="O26" s="278"/>
    </row>
    <row r="27" spans="2:15" ht="16.2" thickBot="1" x14ac:dyDescent="0.35">
      <c r="B27" s="280" t="s">
        <v>140</v>
      </c>
      <c r="C27" s="281"/>
      <c r="D27" s="281"/>
      <c r="E27" s="281"/>
      <c r="F27" s="282"/>
      <c r="G27" s="146"/>
      <c r="H27" s="147"/>
      <c r="I27" s="283"/>
      <c r="J27" s="283"/>
      <c r="K27" s="283"/>
      <c r="L27" s="283"/>
      <c r="M27" s="281"/>
      <c r="N27" s="281"/>
      <c r="O27" s="282"/>
    </row>
    <row r="28" spans="2:15" ht="16.2" thickBot="1" x14ac:dyDescent="0.35">
      <c r="B28" s="280" t="s">
        <v>141</v>
      </c>
      <c r="C28" s="281"/>
      <c r="D28" s="281"/>
      <c r="E28" s="281"/>
      <c r="F28" s="282"/>
      <c r="G28" s="284"/>
      <c r="H28" s="285"/>
      <c r="I28" s="285"/>
      <c r="J28" s="285"/>
      <c r="K28" s="285"/>
      <c r="L28" s="285"/>
      <c r="M28" s="262"/>
      <c r="N28" s="262"/>
      <c r="O28" s="263"/>
    </row>
    <row r="29" spans="2:15" ht="16.2" thickBot="1" x14ac:dyDescent="0.35">
      <c r="B29" s="148"/>
      <c r="C29" s="149"/>
      <c r="D29" s="149"/>
      <c r="E29" s="149"/>
      <c r="F29" s="149"/>
      <c r="G29" s="150"/>
      <c r="H29" s="150"/>
      <c r="I29" s="151"/>
      <c r="J29" s="151"/>
      <c r="K29" s="151"/>
      <c r="L29" s="151"/>
      <c r="M29" s="152"/>
      <c r="N29" s="152"/>
      <c r="O29" s="153"/>
    </row>
    <row r="30" spans="2:15" ht="16.2" thickBot="1" x14ac:dyDescent="0.35">
      <c r="B30" s="280" t="s">
        <v>142</v>
      </c>
      <c r="C30" s="259"/>
      <c r="D30" s="259"/>
      <c r="E30" s="259"/>
      <c r="F30" s="259"/>
      <c r="G30" s="281"/>
      <c r="H30" s="281"/>
      <c r="I30" s="259"/>
      <c r="J30" s="259"/>
      <c r="K30" s="259"/>
      <c r="L30" s="259"/>
      <c r="M30" s="259"/>
      <c r="N30" s="259"/>
      <c r="O30" s="260"/>
    </row>
    <row r="31" spans="2:15" ht="19.95" customHeight="1" thickBot="1" x14ac:dyDescent="0.4">
      <c r="B31" s="154" t="s">
        <v>143</v>
      </c>
      <c r="C31" s="286" t="s">
        <v>144</v>
      </c>
      <c r="D31" s="287"/>
      <c r="E31" s="287"/>
      <c r="F31" s="288"/>
      <c r="G31" s="275" t="s">
        <v>145</v>
      </c>
      <c r="H31" s="276"/>
      <c r="I31" s="154" t="s">
        <v>143</v>
      </c>
      <c r="J31" s="286" t="s">
        <v>144</v>
      </c>
      <c r="K31" s="287"/>
      <c r="L31" s="287"/>
      <c r="M31" s="288"/>
      <c r="N31" s="155" t="s">
        <v>145</v>
      </c>
      <c r="O31" s="156"/>
    </row>
    <row r="32" spans="2:15" ht="19.95" customHeight="1" thickBot="1" x14ac:dyDescent="0.45">
      <c r="B32" s="157">
        <v>1</v>
      </c>
      <c r="C32" s="158" t="s">
        <v>146</v>
      </c>
      <c r="D32" s="159"/>
      <c r="E32" s="159"/>
      <c r="F32" s="160"/>
      <c r="G32" s="275" t="s">
        <v>147</v>
      </c>
      <c r="H32" s="276"/>
      <c r="I32" s="157">
        <v>5</v>
      </c>
      <c r="J32" s="158"/>
      <c r="K32" s="159"/>
      <c r="L32" s="159"/>
      <c r="M32" s="160"/>
      <c r="N32" s="161"/>
      <c r="O32" s="156"/>
    </row>
    <row r="33" spans="2:15" ht="19.95" customHeight="1" thickBot="1" x14ac:dyDescent="0.45">
      <c r="B33" s="162">
        <v>2</v>
      </c>
      <c r="C33" s="158" t="s">
        <v>153</v>
      </c>
      <c r="D33" s="159"/>
      <c r="E33" s="159"/>
      <c r="F33" s="160"/>
      <c r="G33" s="275" t="s">
        <v>148</v>
      </c>
      <c r="H33" s="276"/>
      <c r="I33" s="162">
        <v>6</v>
      </c>
      <c r="J33" s="158"/>
      <c r="K33" s="159"/>
      <c r="L33" s="159"/>
      <c r="M33" s="160"/>
      <c r="N33" s="161"/>
      <c r="O33" s="156"/>
    </row>
    <row r="34" spans="2:15" ht="19.95" customHeight="1" thickBot="1" x14ac:dyDescent="0.45">
      <c r="B34" s="162">
        <v>3</v>
      </c>
      <c r="C34" s="158" t="s">
        <v>233</v>
      </c>
      <c r="D34" s="159"/>
      <c r="E34" s="159"/>
      <c r="F34" s="160"/>
      <c r="G34" s="275">
        <v>1643861</v>
      </c>
      <c r="H34" s="276"/>
      <c r="I34" s="157">
        <v>7</v>
      </c>
      <c r="J34" s="158"/>
      <c r="K34" s="159"/>
      <c r="L34" s="159"/>
      <c r="M34" s="160"/>
      <c r="N34" s="161"/>
      <c r="O34" s="156"/>
    </row>
    <row r="35" spans="2:15" ht="19.95" customHeight="1" thickBot="1" x14ac:dyDescent="0.45">
      <c r="B35" s="162">
        <v>4</v>
      </c>
      <c r="C35" s="158"/>
      <c r="D35" s="159"/>
      <c r="E35" s="159"/>
      <c r="F35" s="160"/>
      <c r="G35" s="275"/>
      <c r="H35" s="276"/>
      <c r="I35" s="162">
        <v>8</v>
      </c>
      <c r="J35" s="158"/>
      <c r="K35" s="159"/>
      <c r="L35" s="159"/>
      <c r="M35" s="160"/>
      <c r="N35" s="161"/>
      <c r="O35" s="156"/>
    </row>
    <row r="36" spans="2:15" x14ac:dyDescent="0.3">
      <c r="B36" s="258" t="s">
        <v>149</v>
      </c>
      <c r="C36" s="277"/>
      <c r="D36" s="277"/>
      <c r="E36" s="277"/>
      <c r="F36" s="277"/>
      <c r="G36" s="277"/>
      <c r="H36" s="277"/>
      <c r="I36" s="277"/>
      <c r="J36" s="278"/>
      <c r="K36" s="279" t="s">
        <v>150</v>
      </c>
      <c r="L36" s="277"/>
      <c r="M36" s="277"/>
      <c r="N36" s="277"/>
      <c r="O36" s="278"/>
    </row>
    <row r="37" spans="2:15" x14ac:dyDescent="0.3">
      <c r="B37" s="279"/>
      <c r="C37" s="277"/>
      <c r="D37" s="277"/>
      <c r="E37" s="277"/>
      <c r="F37" s="277"/>
      <c r="G37" s="277"/>
      <c r="H37" s="277"/>
      <c r="I37" s="277"/>
      <c r="J37" s="278"/>
      <c r="K37" s="279"/>
      <c r="L37" s="277"/>
      <c r="M37" s="277"/>
      <c r="N37" s="277"/>
      <c r="O37" s="278"/>
    </row>
    <row r="38" spans="2:15" ht="15" thickBot="1" x14ac:dyDescent="0.35">
      <c r="B38" s="261"/>
      <c r="C38" s="262"/>
      <c r="D38" s="262"/>
      <c r="E38" s="262"/>
      <c r="F38" s="262"/>
      <c r="G38" s="262"/>
      <c r="H38" s="262"/>
      <c r="I38" s="262"/>
      <c r="J38" s="263"/>
      <c r="K38" s="279"/>
      <c r="L38" s="277"/>
      <c r="M38" s="277"/>
      <c r="N38" s="277"/>
      <c r="O38" s="278"/>
    </row>
    <row r="39" spans="2:15" x14ac:dyDescent="0.3">
      <c r="B39" s="267"/>
      <c r="C39" s="258"/>
      <c r="D39" s="260"/>
      <c r="E39" s="266"/>
      <c r="F39" s="258"/>
      <c r="G39" s="260"/>
      <c r="H39" s="269" t="s">
        <v>151</v>
      </c>
      <c r="I39" s="270"/>
      <c r="J39" s="270"/>
      <c r="K39" s="271"/>
      <c r="L39" s="258"/>
      <c r="M39" s="259"/>
      <c r="N39" s="259"/>
      <c r="O39" s="260"/>
    </row>
    <row r="40" spans="2:15" ht="15" thickBot="1" x14ac:dyDescent="0.35">
      <c r="B40" s="268"/>
      <c r="C40" s="261"/>
      <c r="D40" s="263"/>
      <c r="E40" s="264"/>
      <c r="F40" s="261"/>
      <c r="G40" s="263"/>
      <c r="H40" s="272"/>
      <c r="I40" s="273"/>
      <c r="J40" s="273"/>
      <c r="K40" s="274"/>
      <c r="L40" s="261"/>
      <c r="M40" s="262"/>
      <c r="N40" s="262"/>
      <c r="O40" s="263"/>
    </row>
    <row r="41" spans="2:15" x14ac:dyDescent="0.3">
      <c r="B41" s="264"/>
      <c r="C41" s="258"/>
      <c r="D41" s="260"/>
      <c r="E41" s="264"/>
      <c r="F41" s="258"/>
      <c r="G41" s="260"/>
      <c r="H41" s="266"/>
      <c r="I41" s="266"/>
      <c r="J41" s="258"/>
      <c r="K41" s="260"/>
      <c r="L41" s="258"/>
      <c r="M41" s="259"/>
      <c r="N41" s="259"/>
      <c r="O41" s="260"/>
    </row>
    <row r="42" spans="2:15" ht="15" thickBot="1" x14ac:dyDescent="0.35">
      <c r="B42" s="264"/>
      <c r="C42" s="261"/>
      <c r="D42" s="263"/>
      <c r="E42" s="264"/>
      <c r="F42" s="261"/>
      <c r="G42" s="263"/>
      <c r="H42" s="265"/>
      <c r="I42" s="265"/>
      <c r="J42" s="261"/>
      <c r="K42" s="263"/>
      <c r="L42" s="261"/>
      <c r="M42" s="262"/>
      <c r="N42" s="262"/>
      <c r="O42" s="263"/>
    </row>
    <row r="43" spans="2:15" x14ac:dyDescent="0.3">
      <c r="B43" s="264"/>
      <c r="C43" s="258"/>
      <c r="D43" s="260"/>
      <c r="E43" s="264"/>
      <c r="F43" s="258"/>
      <c r="G43" s="260"/>
      <c r="H43" s="258" t="s">
        <v>152</v>
      </c>
      <c r="I43" s="259"/>
      <c r="J43" s="259"/>
      <c r="K43" s="260"/>
      <c r="L43" s="258"/>
      <c r="M43" s="259"/>
      <c r="N43" s="259"/>
      <c r="O43" s="260"/>
    </row>
    <row r="44" spans="2:15" ht="15" thickBot="1" x14ac:dyDescent="0.35">
      <c r="B44" s="264"/>
      <c r="C44" s="261"/>
      <c r="D44" s="263"/>
      <c r="E44" s="264"/>
      <c r="F44" s="261"/>
      <c r="G44" s="263"/>
      <c r="H44" s="261"/>
      <c r="I44" s="262"/>
      <c r="J44" s="262"/>
      <c r="K44" s="263"/>
      <c r="L44" s="261"/>
      <c r="M44" s="262"/>
      <c r="N44" s="262"/>
      <c r="O44" s="263"/>
    </row>
    <row r="45" spans="2:15" x14ac:dyDescent="0.3">
      <c r="B45" s="264"/>
      <c r="C45" s="258"/>
      <c r="D45" s="260"/>
      <c r="E45" s="264"/>
      <c r="F45" s="258"/>
      <c r="G45" s="260"/>
      <c r="H45" s="266"/>
      <c r="I45" s="266"/>
      <c r="J45" s="258"/>
      <c r="K45" s="260"/>
      <c r="L45" s="258"/>
      <c r="M45" s="259"/>
      <c r="N45" s="259"/>
      <c r="O45" s="260"/>
    </row>
    <row r="46" spans="2:15" ht="15" thickBot="1" x14ac:dyDescent="0.35">
      <c r="B46" s="265"/>
      <c r="C46" s="261"/>
      <c r="D46" s="263"/>
      <c r="E46" s="265"/>
      <c r="F46" s="261"/>
      <c r="G46" s="263"/>
      <c r="H46" s="265"/>
      <c r="I46" s="265"/>
      <c r="J46" s="261"/>
      <c r="K46" s="263"/>
      <c r="L46" s="261"/>
      <c r="M46" s="262"/>
      <c r="N46" s="262"/>
      <c r="O46" s="263"/>
    </row>
  </sheetData>
  <mergeCells count="87">
    <mergeCell ref="B3:G9"/>
    <mergeCell ref="H3:O3"/>
    <mergeCell ref="H4:O4"/>
    <mergeCell ref="H5:O5"/>
    <mergeCell ref="H6:O6"/>
    <mergeCell ref="H7:O7"/>
    <mergeCell ref="H8:O8"/>
    <mergeCell ref="H9:O9"/>
    <mergeCell ref="B10:M11"/>
    <mergeCell ref="N10:O11"/>
    <mergeCell ref="B12:J12"/>
    <mergeCell ref="K12:O12"/>
    <mergeCell ref="B13:J13"/>
    <mergeCell ref="K13:O13"/>
    <mergeCell ref="B14:C14"/>
    <mergeCell ref="D14:F14"/>
    <mergeCell ref="G14:N14"/>
    <mergeCell ref="B15:C15"/>
    <mergeCell ref="D15:J15"/>
    <mergeCell ref="K15:N15"/>
    <mergeCell ref="B16:C16"/>
    <mergeCell ref="D16:F16"/>
    <mergeCell ref="G16:N16"/>
    <mergeCell ref="B17:C17"/>
    <mergeCell ref="D17:F17"/>
    <mergeCell ref="G17:N17"/>
    <mergeCell ref="B22:J26"/>
    <mergeCell ref="K22:O26"/>
    <mergeCell ref="B18:C18"/>
    <mergeCell ref="D18:F18"/>
    <mergeCell ref="G18:N18"/>
    <mergeCell ref="B19:C19"/>
    <mergeCell ref="D19:F19"/>
    <mergeCell ref="G19:N19"/>
    <mergeCell ref="B20:C20"/>
    <mergeCell ref="D20:F20"/>
    <mergeCell ref="G20:N20"/>
    <mergeCell ref="B21:J21"/>
    <mergeCell ref="K21:O21"/>
    <mergeCell ref="G32:H32"/>
    <mergeCell ref="B27:F27"/>
    <mergeCell ref="I27:J27"/>
    <mergeCell ref="K27:L27"/>
    <mergeCell ref="M27:O27"/>
    <mergeCell ref="B28:F28"/>
    <mergeCell ref="G28:H28"/>
    <mergeCell ref="I28:J28"/>
    <mergeCell ref="K28:L28"/>
    <mergeCell ref="M28:O28"/>
    <mergeCell ref="B30:J30"/>
    <mergeCell ref="K30:O30"/>
    <mergeCell ref="C31:F31"/>
    <mergeCell ref="G31:H31"/>
    <mergeCell ref="J31:M31"/>
    <mergeCell ref="G33:H33"/>
    <mergeCell ref="G34:H34"/>
    <mergeCell ref="G35:H35"/>
    <mergeCell ref="B36:J38"/>
    <mergeCell ref="K36:O38"/>
    <mergeCell ref="L43:O44"/>
    <mergeCell ref="L39:O40"/>
    <mergeCell ref="B41:B42"/>
    <mergeCell ref="C41:D42"/>
    <mergeCell ref="E41:E42"/>
    <mergeCell ref="F41:G42"/>
    <mergeCell ref="H41:H42"/>
    <mergeCell ref="I41:I42"/>
    <mergeCell ref="J41:K42"/>
    <mergeCell ref="L41:O42"/>
    <mergeCell ref="B39:B40"/>
    <mergeCell ref="C39:D40"/>
    <mergeCell ref="E39:E40"/>
    <mergeCell ref="F39:G40"/>
    <mergeCell ref="H39:K40"/>
    <mergeCell ref="B43:B44"/>
    <mergeCell ref="C43:D44"/>
    <mergeCell ref="E43:E44"/>
    <mergeCell ref="F43:G44"/>
    <mergeCell ref="H43:K44"/>
    <mergeCell ref="J45:K46"/>
    <mergeCell ref="L45:O46"/>
    <mergeCell ref="B45:B46"/>
    <mergeCell ref="C45:D46"/>
    <mergeCell ref="E45:E46"/>
    <mergeCell ref="F45:G46"/>
    <mergeCell ref="H45:H46"/>
    <mergeCell ref="I45:I4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showGridLines="0" topLeftCell="A12" workbookViewId="0">
      <selection activeCell="I27" sqref="I27"/>
    </sheetView>
  </sheetViews>
  <sheetFormatPr baseColWidth="10" defaultColWidth="12.6640625" defaultRowHeight="15.75" customHeight="1" x14ac:dyDescent="0.25"/>
  <cols>
    <col min="7" max="7" width="14.6640625" customWidth="1"/>
    <col min="8" max="8" width="3.88671875" customWidth="1"/>
  </cols>
  <sheetData>
    <row r="1" spans="1:26" ht="13.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6" ht="13.2" x14ac:dyDescent="0.25">
      <c r="A2" s="313" t="s">
        <v>1</v>
      </c>
      <c r="B2" s="312"/>
      <c r="C2" s="312"/>
      <c r="D2" s="2"/>
      <c r="E2" s="2"/>
      <c r="F2" s="2"/>
      <c r="G2" s="2"/>
    </row>
    <row r="3" spans="1:26" ht="13.2" x14ac:dyDescent="0.25">
      <c r="A3" s="2"/>
      <c r="B3" s="2"/>
      <c r="C3" s="2"/>
      <c r="D3" s="2"/>
      <c r="E3" s="2"/>
      <c r="F3" s="2"/>
      <c r="G3" s="2"/>
    </row>
    <row r="4" spans="1:26" ht="13.2" x14ac:dyDescent="0.25">
      <c r="A4" s="3" t="s">
        <v>2</v>
      </c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</row>
    <row r="5" spans="1:26" ht="13.2" x14ac:dyDescent="0.25">
      <c r="A5" s="3" t="s">
        <v>3</v>
      </c>
      <c r="B5" s="3">
        <v>10</v>
      </c>
      <c r="C5" s="3">
        <v>12</v>
      </c>
      <c r="D5" s="3">
        <v>3</v>
      </c>
      <c r="E5" s="3">
        <v>5</v>
      </c>
      <c r="F5" s="3">
        <v>7</v>
      </c>
      <c r="G5" s="3">
        <v>14</v>
      </c>
    </row>
    <row r="6" spans="1:26" ht="13.2" x14ac:dyDescent="0.25">
      <c r="A6" s="2"/>
      <c r="B6" s="2"/>
      <c r="C6" s="2"/>
      <c r="D6" s="2"/>
      <c r="E6" s="2"/>
      <c r="F6" s="2"/>
      <c r="G6" s="2"/>
    </row>
    <row r="7" spans="1:26" ht="13.2" x14ac:dyDescent="0.25">
      <c r="A7" s="311" t="s">
        <v>4</v>
      </c>
      <c r="B7" s="312"/>
      <c r="C7" s="312"/>
      <c r="D7" s="312"/>
      <c r="E7" s="312"/>
      <c r="F7" s="312"/>
      <c r="G7" s="312"/>
    </row>
    <row r="8" spans="1:26" ht="13.2" x14ac:dyDescent="0.25">
      <c r="A8" s="311" t="s">
        <v>5</v>
      </c>
      <c r="B8" s="312"/>
      <c r="C8" s="312"/>
      <c r="D8" s="312"/>
      <c r="E8" s="312"/>
      <c r="F8" s="312"/>
      <c r="G8" s="312"/>
    </row>
    <row r="9" spans="1:26" ht="13.2" x14ac:dyDescent="0.25">
      <c r="A9" s="311" t="s">
        <v>6</v>
      </c>
      <c r="B9" s="312"/>
      <c r="C9" s="312"/>
      <c r="D9" s="312"/>
      <c r="E9" s="312"/>
      <c r="F9" s="312"/>
      <c r="G9" s="312"/>
    </row>
    <row r="10" spans="1:26" ht="13.2" x14ac:dyDescent="0.25">
      <c r="A10" s="311" t="s">
        <v>7</v>
      </c>
      <c r="B10" s="312"/>
      <c r="C10" s="312"/>
      <c r="D10" s="312"/>
      <c r="E10" s="312"/>
      <c r="F10" s="312"/>
      <c r="G10" s="312"/>
    </row>
    <row r="11" spans="1:26" ht="13.2" x14ac:dyDescent="0.25">
      <c r="A11" s="2"/>
      <c r="B11" s="2"/>
      <c r="C11" s="2"/>
      <c r="D11" s="2"/>
      <c r="E11" s="2"/>
      <c r="F11" s="2"/>
      <c r="G11" s="2"/>
    </row>
    <row r="12" spans="1:26" ht="13.2" x14ac:dyDescent="0.25">
      <c r="A12" s="4" t="s">
        <v>8</v>
      </c>
      <c r="B12" s="4">
        <v>3</v>
      </c>
      <c r="C12" s="4" t="s">
        <v>9</v>
      </c>
      <c r="D12" s="2"/>
      <c r="E12" s="2"/>
      <c r="F12" s="2"/>
      <c r="G12" s="2"/>
      <c r="I12" s="4" t="s">
        <v>8</v>
      </c>
      <c r="J12" s="4">
        <v>2</v>
      </c>
      <c r="K12" s="4" t="s">
        <v>9</v>
      </c>
    </row>
    <row r="13" spans="1:26" ht="13.2" x14ac:dyDescent="0.25">
      <c r="A13" s="2"/>
      <c r="B13" s="2"/>
      <c r="C13" s="2"/>
      <c r="D13" s="2"/>
      <c r="E13" s="2"/>
      <c r="F13" s="2"/>
      <c r="G13" s="2"/>
    </row>
    <row r="14" spans="1:26" ht="33.75" customHeight="1" x14ac:dyDescent="0.25">
      <c r="A14" s="5" t="s">
        <v>2</v>
      </c>
      <c r="B14" s="6" t="s">
        <v>10</v>
      </c>
      <c r="C14" s="6" t="s">
        <v>11</v>
      </c>
      <c r="D14" s="6" t="s">
        <v>12</v>
      </c>
      <c r="E14" s="6" t="s">
        <v>13</v>
      </c>
      <c r="F14" s="6" t="s">
        <v>14</v>
      </c>
      <c r="G14" s="7" t="s">
        <v>15</v>
      </c>
      <c r="H14" s="8"/>
      <c r="I14" s="5" t="s">
        <v>2</v>
      </c>
      <c r="J14" s="6" t="s">
        <v>10</v>
      </c>
      <c r="K14" s="6" t="s">
        <v>11</v>
      </c>
      <c r="L14" s="6" t="s">
        <v>12</v>
      </c>
      <c r="M14" s="6" t="s">
        <v>13</v>
      </c>
      <c r="N14" s="6" t="s">
        <v>14</v>
      </c>
      <c r="O14" s="7" t="s">
        <v>15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3.2" x14ac:dyDescent="0.25">
      <c r="A15" s="10">
        <f>$B$4</f>
        <v>1</v>
      </c>
      <c r="B15" s="11">
        <f>$B$5</f>
        <v>10</v>
      </c>
      <c r="C15" s="12"/>
      <c r="D15" s="12"/>
      <c r="E15" s="12"/>
      <c r="F15" s="12"/>
      <c r="G15" s="13"/>
      <c r="H15" s="2"/>
      <c r="I15" s="10">
        <f>$B$4</f>
        <v>1</v>
      </c>
      <c r="J15" s="11">
        <f>$B$5</f>
        <v>10</v>
      </c>
      <c r="K15" s="12"/>
      <c r="L15" s="12"/>
      <c r="M15" s="12"/>
      <c r="N15" s="12"/>
      <c r="O15" s="13"/>
    </row>
    <row r="16" spans="1:26" ht="13.2" x14ac:dyDescent="0.25">
      <c r="A16" s="14">
        <f>$C$4</f>
        <v>2</v>
      </c>
      <c r="B16" s="15">
        <f>$C$5</f>
        <v>12</v>
      </c>
      <c r="C16" s="3"/>
      <c r="D16" s="3"/>
      <c r="E16" s="3"/>
      <c r="F16" s="3"/>
      <c r="G16" s="16"/>
      <c r="H16" s="2"/>
      <c r="I16" s="14">
        <f>$C$4</f>
        <v>2</v>
      </c>
      <c r="J16" s="15">
        <f>$C$5</f>
        <v>12</v>
      </c>
      <c r="K16" s="3"/>
      <c r="L16" s="3"/>
      <c r="M16" s="3"/>
      <c r="N16" s="3"/>
      <c r="O16" s="16"/>
    </row>
    <row r="17" spans="1:26" ht="13.2" x14ac:dyDescent="0.25">
      <c r="A17" s="14">
        <f>$D$4</f>
        <v>3</v>
      </c>
      <c r="B17" s="15">
        <f>$D$5</f>
        <v>3</v>
      </c>
      <c r="C17" s="3"/>
      <c r="D17" s="3"/>
      <c r="E17" s="3"/>
      <c r="F17" s="3"/>
      <c r="G17" s="16"/>
      <c r="H17" s="2"/>
      <c r="I17" s="14">
        <f>$D$4</f>
        <v>3</v>
      </c>
      <c r="J17" s="15">
        <f>$D$5</f>
        <v>3</v>
      </c>
      <c r="K17" s="17">
        <f t="shared" ref="K17:K21" si="0">AVERAGE(J15:J16)</f>
        <v>11</v>
      </c>
      <c r="L17" s="3">
        <f t="shared" ref="L17:L20" si="1">J17-K17</f>
        <v>-8</v>
      </c>
      <c r="M17" s="18">
        <f t="shared" ref="M17:M20" si="2">ABS(J17-K17)</f>
        <v>8</v>
      </c>
      <c r="N17" s="18">
        <f t="shared" ref="N17:N20" si="3">L17^2</f>
        <v>64</v>
      </c>
      <c r="O17" s="16">
        <f t="shared" ref="O17:O20" si="4">M17/J17</f>
        <v>2.6666666666666665</v>
      </c>
    </row>
    <row r="18" spans="1:26" ht="13.2" x14ac:dyDescent="0.25">
      <c r="A18" s="14">
        <f>$E$4</f>
        <v>4</v>
      </c>
      <c r="B18" s="15">
        <f>$E$5</f>
        <v>5</v>
      </c>
      <c r="C18" s="19">
        <f t="shared" ref="C18:C21" si="5">AVERAGE(B15:B17)</f>
        <v>8.3333333333333339</v>
      </c>
      <c r="D18" s="20">
        <f t="shared" ref="D18:D20" si="6">B18-C18</f>
        <v>-3.3333333333333339</v>
      </c>
      <c r="E18" s="20">
        <f t="shared" ref="E18:E20" si="7">ABS(B18-C18)</f>
        <v>3.3333333333333339</v>
      </c>
      <c r="F18" s="20">
        <f t="shared" ref="F18:F20" si="8">D18^2</f>
        <v>11.111111111111114</v>
      </c>
      <c r="G18" s="16">
        <f t="shared" ref="G18:G20" si="9">E18/B18</f>
        <v>0.66666666666666674</v>
      </c>
      <c r="H18" s="2"/>
      <c r="I18" s="14">
        <f>$E$4</f>
        <v>4</v>
      </c>
      <c r="J18" s="15">
        <f>$E$5</f>
        <v>5</v>
      </c>
      <c r="K18" s="17">
        <f t="shared" si="0"/>
        <v>7.5</v>
      </c>
      <c r="L18" s="3">
        <f t="shared" si="1"/>
        <v>-2.5</v>
      </c>
      <c r="M18" s="21">
        <f t="shared" si="2"/>
        <v>2.5</v>
      </c>
      <c r="N18" s="20">
        <f t="shared" si="3"/>
        <v>6.25</v>
      </c>
      <c r="O18" s="22">
        <f t="shared" si="4"/>
        <v>0.5</v>
      </c>
    </row>
    <row r="19" spans="1:26" ht="13.2" x14ac:dyDescent="0.25">
      <c r="A19" s="14">
        <f>$F$4</f>
        <v>5</v>
      </c>
      <c r="B19" s="15">
        <f>$F$5</f>
        <v>7</v>
      </c>
      <c r="C19" s="19">
        <f t="shared" si="5"/>
        <v>6.666666666666667</v>
      </c>
      <c r="D19" s="20">
        <f t="shared" si="6"/>
        <v>0.33333333333333304</v>
      </c>
      <c r="E19" s="20">
        <f t="shared" si="7"/>
        <v>0.33333333333333304</v>
      </c>
      <c r="F19" s="20">
        <f t="shared" si="8"/>
        <v>0.11111111111111091</v>
      </c>
      <c r="G19" s="16">
        <f t="shared" si="9"/>
        <v>4.7619047619047575E-2</v>
      </c>
      <c r="H19" s="2"/>
      <c r="I19" s="14">
        <f>$F$4</f>
        <v>5</v>
      </c>
      <c r="J19" s="15">
        <f>$F$5</f>
        <v>7</v>
      </c>
      <c r="K19" s="17">
        <f t="shared" si="0"/>
        <v>4</v>
      </c>
      <c r="L19" s="3">
        <f t="shared" si="1"/>
        <v>3</v>
      </c>
      <c r="M19" s="18">
        <f t="shared" si="2"/>
        <v>3</v>
      </c>
      <c r="N19" s="18">
        <f t="shared" si="3"/>
        <v>9</v>
      </c>
      <c r="O19" s="16">
        <f t="shared" si="4"/>
        <v>0.42857142857142855</v>
      </c>
    </row>
    <row r="20" spans="1:26" ht="13.2" x14ac:dyDescent="0.25">
      <c r="A20" s="23">
        <f>$G$4</f>
        <v>6</v>
      </c>
      <c r="B20" s="24">
        <f>$G$5</f>
        <v>14</v>
      </c>
      <c r="C20" s="25">
        <f t="shared" si="5"/>
        <v>5</v>
      </c>
      <c r="D20" s="26">
        <f t="shared" si="6"/>
        <v>9</v>
      </c>
      <c r="E20" s="26">
        <f t="shared" si="7"/>
        <v>9</v>
      </c>
      <c r="F20" s="26">
        <f t="shared" si="8"/>
        <v>81</v>
      </c>
      <c r="G20" s="27">
        <f t="shared" si="9"/>
        <v>0.6428571428571429</v>
      </c>
      <c r="H20" s="2"/>
      <c r="I20" s="23">
        <f>$G$4</f>
        <v>6</v>
      </c>
      <c r="J20" s="24">
        <f>$G$5</f>
        <v>14</v>
      </c>
      <c r="K20" s="28">
        <f t="shared" si="0"/>
        <v>6</v>
      </c>
      <c r="L20" s="3">
        <f t="shared" si="1"/>
        <v>8</v>
      </c>
      <c r="M20" s="26">
        <f t="shared" si="2"/>
        <v>8</v>
      </c>
      <c r="N20" s="26">
        <f t="shared" si="3"/>
        <v>64</v>
      </c>
      <c r="O20" s="27">
        <f t="shared" si="4"/>
        <v>0.5714285714285714</v>
      </c>
    </row>
    <row r="21" spans="1:26" ht="13.2" x14ac:dyDescent="0.25">
      <c r="A21" s="29">
        <v>7</v>
      </c>
      <c r="B21" s="30"/>
      <c r="C21" s="31">
        <f t="shared" si="5"/>
        <v>8.6666666666666661</v>
      </c>
      <c r="D21" s="32"/>
      <c r="E21" s="33">
        <f t="shared" ref="E21:G21" si="10">AVERAGE(E18:E20)</f>
        <v>4.2222222222222223</v>
      </c>
      <c r="F21" s="33">
        <f t="shared" si="10"/>
        <v>30.740740740740744</v>
      </c>
      <c r="G21" s="34">
        <f t="shared" si="10"/>
        <v>0.45238095238095238</v>
      </c>
      <c r="I21" s="29">
        <v>7</v>
      </c>
      <c r="J21" s="32"/>
      <c r="K21" s="35">
        <f t="shared" si="0"/>
        <v>10.5</v>
      </c>
      <c r="L21" s="36"/>
      <c r="M21" s="33">
        <f t="shared" ref="M21:O21" si="11">AVERAGE(M17:M20)</f>
        <v>5.375</v>
      </c>
      <c r="N21" s="33">
        <f t="shared" si="11"/>
        <v>35.8125</v>
      </c>
      <c r="O21" s="37">
        <f t="shared" si="11"/>
        <v>1.0416666666666665</v>
      </c>
    </row>
    <row r="22" spans="1:26" ht="13.2" x14ac:dyDescent="0.25">
      <c r="A22" s="8"/>
      <c r="B22" s="8"/>
      <c r="C22" s="8"/>
      <c r="D22" s="8" t="s">
        <v>16</v>
      </c>
      <c r="E22" s="38" t="s">
        <v>17</v>
      </c>
      <c r="F22" s="38" t="s">
        <v>18</v>
      </c>
      <c r="G22" s="38" t="s">
        <v>19</v>
      </c>
      <c r="H22" s="9"/>
      <c r="I22" s="8"/>
      <c r="J22" s="8"/>
      <c r="K22" s="8"/>
      <c r="L22" s="8" t="s">
        <v>20</v>
      </c>
      <c r="M22" s="38" t="s">
        <v>17</v>
      </c>
      <c r="N22" s="38" t="s">
        <v>18</v>
      </c>
      <c r="O22" s="38" t="s">
        <v>19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3.2" x14ac:dyDescent="0.25">
      <c r="A23" s="2"/>
      <c r="B23" s="2"/>
      <c r="C23" s="2"/>
      <c r="D23" s="2"/>
      <c r="E23" s="2"/>
      <c r="F23" s="2"/>
      <c r="G23" s="2"/>
    </row>
    <row r="24" spans="1:26" ht="13.2" x14ac:dyDescent="0.25">
      <c r="A24" s="311" t="s">
        <v>21</v>
      </c>
      <c r="B24" s="312"/>
      <c r="C24" s="312"/>
      <c r="D24" s="312"/>
      <c r="E24" s="312"/>
      <c r="F24" s="312"/>
      <c r="G24" s="312"/>
    </row>
    <row r="25" spans="1:26" ht="13.2" x14ac:dyDescent="0.25">
      <c r="A25" s="311" t="s">
        <v>22</v>
      </c>
      <c r="B25" s="312"/>
      <c r="C25" s="312"/>
      <c r="D25" s="312"/>
      <c r="E25" s="312"/>
      <c r="F25" s="312"/>
      <c r="G25" s="312"/>
    </row>
    <row r="26" spans="1:26" ht="13.2" x14ac:dyDescent="0.25">
      <c r="A26" s="311"/>
      <c r="B26" s="312"/>
      <c r="C26" s="312"/>
      <c r="D26" s="312"/>
      <c r="E26" s="312"/>
      <c r="F26" s="312"/>
      <c r="G26" s="312"/>
    </row>
    <row r="27" spans="1:26" ht="13.2" x14ac:dyDescent="0.25">
      <c r="A27" s="311"/>
      <c r="B27" s="312"/>
      <c r="C27" s="312"/>
      <c r="D27" s="312"/>
      <c r="E27" s="312"/>
      <c r="F27" s="312"/>
      <c r="G27" s="312"/>
    </row>
    <row r="28" spans="1:26" ht="13.2" x14ac:dyDescent="0.25">
      <c r="A28" s="311"/>
      <c r="B28" s="312"/>
      <c r="C28" s="312"/>
      <c r="D28" s="312"/>
      <c r="E28" s="312"/>
      <c r="F28" s="312"/>
      <c r="G28" s="312"/>
    </row>
    <row r="29" spans="1:26" ht="13.2" x14ac:dyDescent="0.25">
      <c r="A29" s="311"/>
      <c r="B29" s="312"/>
      <c r="C29" s="312"/>
      <c r="D29" s="312"/>
      <c r="E29" s="312"/>
      <c r="F29" s="312"/>
      <c r="G29" s="312"/>
    </row>
    <row r="30" spans="1:26" ht="13.2" x14ac:dyDescent="0.25">
      <c r="A30" s="311"/>
      <c r="B30" s="312"/>
      <c r="C30" s="312"/>
      <c r="D30" s="312"/>
      <c r="E30" s="312"/>
      <c r="F30" s="312"/>
      <c r="G30" s="312"/>
    </row>
    <row r="31" spans="1:26" ht="13.2" x14ac:dyDescent="0.25">
      <c r="A31" s="2"/>
      <c r="B31" s="2"/>
      <c r="C31" s="2"/>
      <c r="D31" s="2"/>
      <c r="E31" s="2"/>
      <c r="F31" s="2"/>
      <c r="G31" s="2"/>
    </row>
    <row r="32" spans="1:26" ht="13.2" x14ac:dyDescent="0.25">
      <c r="A32" s="2"/>
      <c r="B32" s="2"/>
      <c r="C32" s="2"/>
      <c r="D32" s="2"/>
      <c r="E32" s="2"/>
      <c r="F32" s="2"/>
      <c r="G32" s="2"/>
    </row>
    <row r="33" spans="1:7" ht="13.2" x14ac:dyDescent="0.25">
      <c r="A33" s="2"/>
      <c r="B33" s="2"/>
      <c r="C33" s="2"/>
      <c r="D33" s="2"/>
      <c r="E33" s="2"/>
      <c r="F33" s="2"/>
      <c r="G33" s="2"/>
    </row>
    <row r="34" spans="1:7" ht="13.2" x14ac:dyDescent="0.25">
      <c r="A34" s="2"/>
      <c r="B34" s="2"/>
      <c r="C34" s="2"/>
      <c r="D34" s="2"/>
      <c r="E34" s="2"/>
      <c r="F34" s="2"/>
      <c r="G34" s="2"/>
    </row>
    <row r="35" spans="1:7" ht="13.2" x14ac:dyDescent="0.25">
      <c r="A35" s="2"/>
      <c r="B35" s="2"/>
      <c r="C35" s="2"/>
      <c r="D35" s="2"/>
      <c r="E35" s="2"/>
      <c r="F35" s="2"/>
      <c r="G35" s="2"/>
    </row>
    <row r="36" spans="1:7" ht="13.2" x14ac:dyDescent="0.25">
      <c r="A36" s="2"/>
      <c r="B36" s="2"/>
      <c r="C36" s="2"/>
      <c r="D36" s="2"/>
      <c r="E36" s="2"/>
      <c r="F36" s="2"/>
      <c r="G36" s="2"/>
    </row>
    <row r="37" spans="1:7" ht="13.2" x14ac:dyDescent="0.25">
      <c r="A37" s="2"/>
      <c r="B37" s="2"/>
      <c r="C37" s="2"/>
      <c r="D37" s="2"/>
      <c r="E37" s="2"/>
      <c r="F37" s="2"/>
      <c r="G37" s="2"/>
    </row>
    <row r="38" spans="1:7" ht="13.2" x14ac:dyDescent="0.25">
      <c r="A38" s="2"/>
      <c r="B38" s="2"/>
      <c r="C38" s="2"/>
      <c r="D38" s="2"/>
      <c r="E38" s="2"/>
      <c r="F38" s="2"/>
      <c r="G38" s="2"/>
    </row>
    <row r="39" spans="1:7" ht="13.2" x14ac:dyDescent="0.25">
      <c r="A39" s="2"/>
      <c r="B39" s="2"/>
      <c r="C39" s="2"/>
      <c r="D39" s="2"/>
      <c r="E39" s="2"/>
      <c r="F39" s="2"/>
      <c r="G39" s="2"/>
    </row>
    <row r="40" spans="1:7" ht="13.2" x14ac:dyDescent="0.25">
      <c r="A40" s="2"/>
      <c r="B40" s="2"/>
      <c r="C40" s="2"/>
      <c r="D40" s="2"/>
      <c r="E40" s="2"/>
      <c r="F40" s="2"/>
      <c r="G40" s="2"/>
    </row>
    <row r="41" spans="1:7" ht="13.2" x14ac:dyDescent="0.25">
      <c r="A41" s="2"/>
      <c r="B41" s="2"/>
      <c r="C41" s="2"/>
      <c r="D41" s="2"/>
      <c r="E41" s="2"/>
      <c r="F41" s="2"/>
      <c r="G41" s="2"/>
    </row>
    <row r="42" spans="1:7" ht="13.2" x14ac:dyDescent="0.25">
      <c r="A42" s="2"/>
      <c r="B42" s="2"/>
      <c r="C42" s="2"/>
      <c r="D42" s="2"/>
      <c r="E42" s="2"/>
      <c r="F42" s="2"/>
      <c r="G42" s="2"/>
    </row>
    <row r="43" spans="1:7" ht="13.2" x14ac:dyDescent="0.25">
      <c r="A43" s="2"/>
      <c r="B43" s="2"/>
      <c r="C43" s="2"/>
      <c r="D43" s="2"/>
      <c r="E43" s="2"/>
      <c r="F43" s="2"/>
      <c r="G43" s="2"/>
    </row>
    <row r="44" spans="1:7" ht="13.2" x14ac:dyDescent="0.25">
      <c r="A44" s="2"/>
      <c r="B44" s="2"/>
      <c r="C44" s="2"/>
      <c r="D44" s="2"/>
      <c r="E44" s="2"/>
      <c r="F44" s="2"/>
      <c r="G44" s="2"/>
    </row>
    <row r="45" spans="1:7" ht="13.2" x14ac:dyDescent="0.25">
      <c r="A45" s="2"/>
      <c r="B45" s="2"/>
      <c r="C45" s="2"/>
      <c r="D45" s="2"/>
      <c r="E45" s="2"/>
      <c r="F45" s="2"/>
      <c r="G45" s="2"/>
    </row>
    <row r="46" spans="1:7" ht="13.2" x14ac:dyDescent="0.25">
      <c r="A46" s="2"/>
      <c r="B46" s="2"/>
      <c r="C46" s="2"/>
      <c r="D46" s="2"/>
      <c r="E46" s="2"/>
      <c r="F46" s="2"/>
      <c r="G46" s="2"/>
    </row>
    <row r="47" spans="1:7" ht="13.2" x14ac:dyDescent="0.25">
      <c r="A47" s="2"/>
      <c r="B47" s="2"/>
      <c r="C47" s="2"/>
      <c r="D47" s="2"/>
      <c r="E47" s="2"/>
      <c r="F47" s="2"/>
      <c r="G47" s="2"/>
    </row>
    <row r="48" spans="1:7" ht="13.2" x14ac:dyDescent="0.25">
      <c r="A48" s="2"/>
      <c r="B48" s="2"/>
      <c r="C48" s="2"/>
      <c r="D48" s="2"/>
      <c r="E48" s="2"/>
      <c r="F48" s="2"/>
      <c r="G48" s="2"/>
    </row>
    <row r="49" spans="1:7" ht="13.2" x14ac:dyDescent="0.25">
      <c r="A49" s="2"/>
      <c r="B49" s="2"/>
      <c r="C49" s="2"/>
      <c r="D49" s="2"/>
      <c r="E49" s="2"/>
      <c r="F49" s="2"/>
      <c r="G49" s="2"/>
    </row>
    <row r="50" spans="1:7" ht="13.2" x14ac:dyDescent="0.25">
      <c r="A50" s="2"/>
      <c r="B50" s="2"/>
      <c r="C50" s="2"/>
      <c r="D50" s="2"/>
      <c r="E50" s="2"/>
      <c r="F50" s="2"/>
      <c r="G50" s="2"/>
    </row>
    <row r="51" spans="1:7" ht="13.2" x14ac:dyDescent="0.25">
      <c r="A51" s="2"/>
      <c r="B51" s="2"/>
      <c r="C51" s="2"/>
      <c r="D51" s="2"/>
      <c r="E51" s="2"/>
      <c r="F51" s="2"/>
      <c r="G51" s="2"/>
    </row>
    <row r="52" spans="1:7" ht="13.2" x14ac:dyDescent="0.25">
      <c r="A52" s="2"/>
      <c r="B52" s="2"/>
      <c r="C52" s="2"/>
      <c r="D52" s="2"/>
      <c r="E52" s="2"/>
      <c r="F52" s="2"/>
      <c r="G52" s="2"/>
    </row>
    <row r="53" spans="1:7" ht="13.2" x14ac:dyDescent="0.25">
      <c r="A53" s="2"/>
      <c r="B53" s="2"/>
      <c r="C53" s="2"/>
      <c r="D53" s="2"/>
      <c r="E53" s="2"/>
      <c r="F53" s="2"/>
      <c r="G53" s="2"/>
    </row>
    <row r="54" spans="1:7" ht="13.2" x14ac:dyDescent="0.25">
      <c r="A54" s="2"/>
      <c r="B54" s="2"/>
      <c r="C54" s="2"/>
      <c r="D54" s="2"/>
      <c r="E54" s="2"/>
      <c r="F54" s="2"/>
      <c r="G54" s="2"/>
    </row>
    <row r="55" spans="1:7" ht="13.2" x14ac:dyDescent="0.25">
      <c r="A55" s="2"/>
      <c r="B55" s="2"/>
      <c r="C55" s="2"/>
      <c r="D55" s="2"/>
      <c r="E55" s="2"/>
      <c r="F55" s="2"/>
      <c r="G55" s="2"/>
    </row>
    <row r="56" spans="1:7" ht="13.2" x14ac:dyDescent="0.25">
      <c r="A56" s="2"/>
      <c r="B56" s="2"/>
      <c r="C56" s="2"/>
      <c r="D56" s="2"/>
      <c r="E56" s="2"/>
      <c r="F56" s="2"/>
      <c r="G56" s="2"/>
    </row>
    <row r="57" spans="1:7" ht="13.2" x14ac:dyDescent="0.25">
      <c r="A57" s="2"/>
      <c r="B57" s="2"/>
      <c r="C57" s="2"/>
      <c r="D57" s="2"/>
      <c r="E57" s="2"/>
      <c r="F57" s="2"/>
      <c r="G57" s="2"/>
    </row>
    <row r="58" spans="1:7" ht="13.2" x14ac:dyDescent="0.25">
      <c r="A58" s="2"/>
      <c r="B58" s="2"/>
      <c r="C58" s="2"/>
      <c r="D58" s="2"/>
      <c r="E58" s="2"/>
      <c r="F58" s="2"/>
      <c r="G58" s="2"/>
    </row>
    <row r="59" spans="1:7" ht="13.2" x14ac:dyDescent="0.25">
      <c r="A59" s="2"/>
      <c r="B59" s="2"/>
      <c r="C59" s="2"/>
      <c r="D59" s="2"/>
      <c r="E59" s="2"/>
      <c r="F59" s="2"/>
      <c r="G59" s="2"/>
    </row>
    <row r="60" spans="1:7" ht="13.2" x14ac:dyDescent="0.25">
      <c r="A60" s="2"/>
      <c r="B60" s="2"/>
      <c r="C60" s="2"/>
      <c r="D60" s="2"/>
      <c r="E60" s="2"/>
      <c r="F60" s="2"/>
      <c r="G60" s="2"/>
    </row>
    <row r="61" spans="1:7" ht="13.2" x14ac:dyDescent="0.25">
      <c r="A61" s="2"/>
      <c r="B61" s="2"/>
      <c r="C61" s="2"/>
      <c r="D61" s="2"/>
      <c r="E61" s="2"/>
      <c r="F61" s="2"/>
      <c r="G61" s="2"/>
    </row>
    <row r="62" spans="1:7" ht="13.2" x14ac:dyDescent="0.25">
      <c r="A62" s="2"/>
      <c r="B62" s="2"/>
      <c r="C62" s="2"/>
      <c r="D62" s="2"/>
      <c r="E62" s="2"/>
      <c r="F62" s="2"/>
      <c r="G62" s="2"/>
    </row>
    <row r="63" spans="1:7" ht="13.2" x14ac:dyDescent="0.25">
      <c r="A63" s="2"/>
      <c r="B63" s="2"/>
      <c r="C63" s="2"/>
      <c r="D63" s="2"/>
      <c r="E63" s="2"/>
      <c r="F63" s="2"/>
      <c r="G63" s="2"/>
    </row>
    <row r="64" spans="1:7" ht="13.2" x14ac:dyDescent="0.25">
      <c r="A64" s="2"/>
      <c r="B64" s="2"/>
      <c r="C64" s="2"/>
      <c r="D64" s="2"/>
      <c r="E64" s="2"/>
      <c r="F64" s="2"/>
      <c r="G64" s="2"/>
    </row>
    <row r="65" spans="1:7" ht="13.2" x14ac:dyDescent="0.25">
      <c r="A65" s="2"/>
      <c r="B65" s="2"/>
      <c r="C65" s="2"/>
      <c r="D65" s="2"/>
      <c r="E65" s="2"/>
      <c r="F65" s="2"/>
      <c r="G65" s="2"/>
    </row>
    <row r="66" spans="1:7" ht="13.2" x14ac:dyDescent="0.25">
      <c r="A66" s="2"/>
      <c r="B66" s="2"/>
      <c r="C66" s="2"/>
      <c r="D66" s="2"/>
      <c r="E66" s="2"/>
      <c r="F66" s="2"/>
      <c r="G66" s="2"/>
    </row>
    <row r="67" spans="1:7" ht="13.2" x14ac:dyDescent="0.25">
      <c r="A67" s="2"/>
      <c r="B67" s="2"/>
      <c r="C67" s="2"/>
      <c r="D67" s="2"/>
      <c r="E67" s="2"/>
      <c r="F67" s="2"/>
      <c r="G67" s="2"/>
    </row>
    <row r="68" spans="1:7" ht="13.2" x14ac:dyDescent="0.25">
      <c r="A68" s="2"/>
      <c r="B68" s="2"/>
      <c r="C68" s="2"/>
      <c r="D68" s="2"/>
      <c r="E68" s="2"/>
      <c r="F68" s="2"/>
      <c r="G68" s="2"/>
    </row>
    <row r="69" spans="1:7" ht="13.2" x14ac:dyDescent="0.25">
      <c r="A69" s="2"/>
      <c r="B69" s="2"/>
      <c r="C69" s="2"/>
      <c r="D69" s="2"/>
      <c r="E69" s="2"/>
      <c r="F69" s="2"/>
      <c r="G69" s="2"/>
    </row>
    <row r="70" spans="1:7" ht="13.2" x14ac:dyDescent="0.25">
      <c r="A70" s="2"/>
      <c r="B70" s="2"/>
      <c r="C70" s="2"/>
      <c r="D70" s="2"/>
      <c r="E70" s="2"/>
      <c r="F70" s="2"/>
      <c r="G70" s="2"/>
    </row>
    <row r="71" spans="1:7" ht="13.2" x14ac:dyDescent="0.25">
      <c r="A71" s="2"/>
      <c r="B71" s="2"/>
      <c r="C71" s="2"/>
      <c r="D71" s="2"/>
      <c r="E71" s="2"/>
      <c r="F71" s="2"/>
      <c r="G71" s="2"/>
    </row>
    <row r="72" spans="1:7" ht="13.2" x14ac:dyDescent="0.25">
      <c r="A72" s="2"/>
      <c r="B72" s="2"/>
      <c r="C72" s="2"/>
      <c r="D72" s="2"/>
      <c r="E72" s="2"/>
      <c r="F72" s="2"/>
      <c r="G72" s="2"/>
    </row>
    <row r="73" spans="1:7" ht="13.2" x14ac:dyDescent="0.25">
      <c r="A73" s="2"/>
      <c r="B73" s="2"/>
      <c r="C73" s="2"/>
      <c r="D73" s="2"/>
      <c r="E73" s="2"/>
      <c r="F73" s="2"/>
      <c r="G73" s="2"/>
    </row>
    <row r="74" spans="1:7" ht="13.2" x14ac:dyDescent="0.25">
      <c r="A74" s="2"/>
      <c r="B74" s="2"/>
      <c r="C74" s="2"/>
      <c r="D74" s="2"/>
      <c r="E74" s="2"/>
      <c r="F74" s="2"/>
      <c r="G74" s="2"/>
    </row>
    <row r="75" spans="1:7" ht="13.2" x14ac:dyDescent="0.25">
      <c r="A75" s="2"/>
      <c r="B75" s="2"/>
      <c r="C75" s="2"/>
      <c r="D75" s="2"/>
      <c r="E75" s="2"/>
      <c r="F75" s="2"/>
      <c r="G75" s="2"/>
    </row>
    <row r="76" spans="1:7" ht="13.2" x14ac:dyDescent="0.25">
      <c r="A76" s="2"/>
      <c r="B76" s="2"/>
      <c r="C76" s="2"/>
      <c r="D76" s="2"/>
      <c r="E76" s="2"/>
      <c r="F76" s="2"/>
      <c r="G76" s="2"/>
    </row>
    <row r="77" spans="1:7" ht="13.2" x14ac:dyDescent="0.25">
      <c r="A77" s="2"/>
      <c r="B77" s="2"/>
      <c r="C77" s="2"/>
      <c r="D77" s="2"/>
      <c r="E77" s="2"/>
      <c r="F77" s="2"/>
      <c r="G77" s="2"/>
    </row>
    <row r="78" spans="1:7" ht="13.2" x14ac:dyDescent="0.25">
      <c r="A78" s="2"/>
      <c r="B78" s="2"/>
      <c r="C78" s="2"/>
      <c r="D78" s="2"/>
      <c r="E78" s="2"/>
      <c r="F78" s="2"/>
      <c r="G78" s="2"/>
    </row>
    <row r="79" spans="1:7" ht="13.2" x14ac:dyDescent="0.25">
      <c r="A79" s="2"/>
      <c r="B79" s="2"/>
      <c r="C79" s="2"/>
      <c r="D79" s="2"/>
      <c r="E79" s="2"/>
      <c r="F79" s="2"/>
      <c r="G79" s="2"/>
    </row>
    <row r="80" spans="1:7" ht="13.2" x14ac:dyDescent="0.25">
      <c r="A80" s="2"/>
      <c r="B80" s="2"/>
      <c r="C80" s="2"/>
      <c r="D80" s="2"/>
      <c r="E80" s="2"/>
      <c r="F80" s="2"/>
      <c r="G80" s="2"/>
    </row>
    <row r="81" spans="1:7" ht="13.2" x14ac:dyDescent="0.25">
      <c r="A81" s="2"/>
      <c r="B81" s="2"/>
      <c r="C81" s="2"/>
      <c r="D81" s="2"/>
      <c r="E81" s="2"/>
      <c r="F81" s="2"/>
      <c r="G81" s="2"/>
    </row>
    <row r="82" spans="1:7" ht="13.2" x14ac:dyDescent="0.25">
      <c r="A82" s="2"/>
      <c r="B82" s="2"/>
      <c r="C82" s="2"/>
      <c r="D82" s="2"/>
      <c r="E82" s="2"/>
      <c r="F82" s="2"/>
      <c r="G82" s="2"/>
    </row>
    <row r="83" spans="1:7" ht="13.2" x14ac:dyDescent="0.25">
      <c r="A83" s="2"/>
      <c r="B83" s="2"/>
      <c r="C83" s="2"/>
      <c r="D83" s="2"/>
      <c r="E83" s="2"/>
      <c r="F83" s="2"/>
      <c r="G83" s="2"/>
    </row>
    <row r="84" spans="1:7" ht="13.2" x14ac:dyDescent="0.25">
      <c r="A84" s="2"/>
      <c r="B84" s="2"/>
      <c r="C84" s="2"/>
      <c r="D84" s="2"/>
      <c r="E84" s="2"/>
      <c r="F84" s="2"/>
      <c r="G84" s="2"/>
    </row>
    <row r="85" spans="1:7" ht="13.2" x14ac:dyDescent="0.25">
      <c r="A85" s="2"/>
      <c r="B85" s="2"/>
      <c r="C85" s="2"/>
      <c r="D85" s="2"/>
      <c r="E85" s="2"/>
      <c r="F85" s="2"/>
      <c r="G85" s="2"/>
    </row>
    <row r="86" spans="1:7" ht="13.2" x14ac:dyDescent="0.25">
      <c r="A86" s="2"/>
      <c r="B86" s="2"/>
      <c r="C86" s="2"/>
      <c r="D86" s="2"/>
      <c r="E86" s="2"/>
      <c r="F86" s="2"/>
      <c r="G86" s="2"/>
    </row>
    <row r="87" spans="1:7" ht="13.2" x14ac:dyDescent="0.25">
      <c r="A87" s="2"/>
      <c r="B87" s="2"/>
      <c r="C87" s="2"/>
      <c r="D87" s="2"/>
      <c r="E87" s="2"/>
      <c r="F87" s="2"/>
      <c r="G87" s="2"/>
    </row>
    <row r="88" spans="1:7" ht="13.2" x14ac:dyDescent="0.25">
      <c r="A88" s="2"/>
      <c r="B88" s="2"/>
      <c r="C88" s="2"/>
      <c r="D88" s="2"/>
      <c r="E88" s="2"/>
      <c r="F88" s="2"/>
      <c r="G88" s="2"/>
    </row>
    <row r="89" spans="1:7" ht="13.2" x14ac:dyDescent="0.25">
      <c r="A89" s="2"/>
      <c r="B89" s="2"/>
      <c r="C89" s="2"/>
      <c r="D89" s="2"/>
      <c r="E89" s="2"/>
      <c r="F89" s="2"/>
      <c r="G89" s="2"/>
    </row>
    <row r="90" spans="1:7" ht="13.2" x14ac:dyDescent="0.25">
      <c r="A90" s="2"/>
      <c r="B90" s="2"/>
      <c r="C90" s="2"/>
      <c r="D90" s="2"/>
      <c r="E90" s="2"/>
      <c r="F90" s="2"/>
      <c r="G90" s="2"/>
    </row>
    <row r="91" spans="1:7" ht="13.2" x14ac:dyDescent="0.25">
      <c r="A91" s="2"/>
      <c r="B91" s="2"/>
      <c r="C91" s="2"/>
      <c r="D91" s="2"/>
      <c r="E91" s="2"/>
      <c r="F91" s="2"/>
      <c r="G91" s="2"/>
    </row>
    <row r="92" spans="1:7" ht="13.2" x14ac:dyDescent="0.25">
      <c r="A92" s="2"/>
      <c r="B92" s="2"/>
      <c r="C92" s="2"/>
      <c r="D92" s="2"/>
      <c r="E92" s="2"/>
      <c r="F92" s="2"/>
      <c r="G92" s="2"/>
    </row>
    <row r="93" spans="1:7" ht="13.2" x14ac:dyDescent="0.25">
      <c r="A93" s="2"/>
      <c r="B93" s="2"/>
      <c r="C93" s="2"/>
      <c r="D93" s="2"/>
      <c r="E93" s="2"/>
      <c r="F93" s="2"/>
      <c r="G93" s="2"/>
    </row>
    <row r="94" spans="1:7" ht="13.2" x14ac:dyDescent="0.25">
      <c r="A94" s="2"/>
      <c r="B94" s="2"/>
      <c r="C94" s="2"/>
      <c r="D94" s="2"/>
      <c r="E94" s="2"/>
      <c r="F94" s="2"/>
      <c r="G94" s="2"/>
    </row>
    <row r="95" spans="1:7" ht="13.2" x14ac:dyDescent="0.25">
      <c r="A95" s="2"/>
      <c r="B95" s="2"/>
      <c r="C95" s="2"/>
      <c r="D95" s="2"/>
      <c r="E95" s="2"/>
      <c r="F95" s="2"/>
      <c r="G95" s="2"/>
    </row>
    <row r="96" spans="1:7" ht="13.2" x14ac:dyDescent="0.25">
      <c r="A96" s="2"/>
      <c r="B96" s="2"/>
      <c r="C96" s="2"/>
      <c r="D96" s="2"/>
      <c r="E96" s="2"/>
      <c r="F96" s="2"/>
      <c r="G96" s="2"/>
    </row>
    <row r="97" spans="1:7" ht="13.2" x14ac:dyDescent="0.25">
      <c r="A97" s="2"/>
      <c r="B97" s="2"/>
      <c r="C97" s="2"/>
      <c r="D97" s="2"/>
      <c r="E97" s="2"/>
      <c r="F97" s="2"/>
      <c r="G97" s="2"/>
    </row>
    <row r="98" spans="1:7" ht="13.2" x14ac:dyDescent="0.25">
      <c r="A98" s="2"/>
      <c r="B98" s="2"/>
      <c r="C98" s="2"/>
      <c r="D98" s="2"/>
      <c r="E98" s="2"/>
      <c r="F98" s="2"/>
      <c r="G98" s="2"/>
    </row>
    <row r="99" spans="1:7" ht="13.2" x14ac:dyDescent="0.25">
      <c r="A99" s="2"/>
      <c r="B99" s="2"/>
      <c r="C99" s="2"/>
      <c r="D99" s="2"/>
      <c r="E99" s="2"/>
      <c r="F99" s="2"/>
      <c r="G99" s="2"/>
    </row>
    <row r="100" spans="1:7" ht="13.2" x14ac:dyDescent="0.25">
      <c r="A100" s="2"/>
      <c r="B100" s="2"/>
      <c r="C100" s="2"/>
      <c r="D100" s="2"/>
      <c r="E100" s="2"/>
      <c r="F100" s="2"/>
      <c r="G100" s="2"/>
    </row>
    <row r="101" spans="1:7" ht="13.2" x14ac:dyDescent="0.25">
      <c r="A101" s="2"/>
      <c r="B101" s="2"/>
      <c r="C101" s="2"/>
      <c r="D101" s="2"/>
      <c r="E101" s="2"/>
      <c r="F101" s="2"/>
      <c r="G101" s="2"/>
    </row>
    <row r="102" spans="1:7" ht="13.2" x14ac:dyDescent="0.25">
      <c r="A102" s="2"/>
      <c r="B102" s="2"/>
      <c r="C102" s="2"/>
      <c r="D102" s="2"/>
      <c r="E102" s="2"/>
      <c r="F102" s="2"/>
      <c r="G102" s="2"/>
    </row>
    <row r="103" spans="1:7" ht="13.2" x14ac:dyDescent="0.25">
      <c r="A103" s="2"/>
      <c r="B103" s="2"/>
      <c r="C103" s="2"/>
      <c r="D103" s="2"/>
      <c r="E103" s="2"/>
      <c r="F103" s="2"/>
      <c r="G103" s="2"/>
    </row>
    <row r="104" spans="1:7" ht="13.2" x14ac:dyDescent="0.25">
      <c r="A104" s="2"/>
      <c r="B104" s="2"/>
      <c r="C104" s="2"/>
      <c r="D104" s="2"/>
      <c r="E104" s="2"/>
      <c r="F104" s="2"/>
      <c r="G104" s="2"/>
    </row>
    <row r="105" spans="1:7" ht="13.2" x14ac:dyDescent="0.25">
      <c r="A105" s="2"/>
      <c r="B105" s="2"/>
      <c r="C105" s="2"/>
      <c r="D105" s="2"/>
      <c r="E105" s="2"/>
      <c r="F105" s="2"/>
      <c r="G105" s="2"/>
    </row>
    <row r="106" spans="1:7" ht="13.2" x14ac:dyDescent="0.25">
      <c r="A106" s="2"/>
      <c r="B106" s="2"/>
      <c r="C106" s="2"/>
      <c r="D106" s="2"/>
      <c r="E106" s="2"/>
      <c r="F106" s="2"/>
      <c r="G106" s="2"/>
    </row>
    <row r="107" spans="1:7" ht="13.2" x14ac:dyDescent="0.25">
      <c r="A107" s="2"/>
      <c r="B107" s="2"/>
      <c r="C107" s="2"/>
      <c r="D107" s="2"/>
      <c r="E107" s="2"/>
      <c r="F107" s="2"/>
      <c r="G107" s="2"/>
    </row>
    <row r="108" spans="1:7" ht="13.2" x14ac:dyDescent="0.25">
      <c r="A108" s="2"/>
      <c r="B108" s="2"/>
      <c r="C108" s="2"/>
      <c r="D108" s="2"/>
      <c r="E108" s="2"/>
      <c r="F108" s="2"/>
      <c r="G108" s="2"/>
    </row>
    <row r="109" spans="1:7" ht="13.2" x14ac:dyDescent="0.25">
      <c r="A109" s="2"/>
      <c r="B109" s="2"/>
      <c r="C109" s="2"/>
      <c r="D109" s="2"/>
      <c r="E109" s="2"/>
      <c r="F109" s="2"/>
      <c r="G109" s="2"/>
    </row>
    <row r="110" spans="1:7" ht="13.2" x14ac:dyDescent="0.25">
      <c r="A110" s="2"/>
      <c r="B110" s="2"/>
      <c r="C110" s="2"/>
      <c r="D110" s="2"/>
      <c r="E110" s="2"/>
      <c r="F110" s="2"/>
      <c r="G110" s="2"/>
    </row>
    <row r="111" spans="1:7" ht="13.2" x14ac:dyDescent="0.25">
      <c r="A111" s="2"/>
      <c r="B111" s="2"/>
      <c r="C111" s="2"/>
      <c r="D111" s="2"/>
      <c r="E111" s="2"/>
      <c r="F111" s="2"/>
      <c r="G111" s="2"/>
    </row>
    <row r="112" spans="1:7" ht="13.2" x14ac:dyDescent="0.25">
      <c r="A112" s="2"/>
      <c r="B112" s="2"/>
      <c r="C112" s="2"/>
      <c r="D112" s="2"/>
      <c r="E112" s="2"/>
      <c r="F112" s="2"/>
      <c r="G112" s="2"/>
    </row>
    <row r="113" spans="1:7" ht="13.2" x14ac:dyDescent="0.25">
      <c r="A113" s="2"/>
      <c r="B113" s="2"/>
      <c r="C113" s="2"/>
      <c r="D113" s="2"/>
      <c r="E113" s="2"/>
      <c r="F113" s="2"/>
      <c r="G113" s="2"/>
    </row>
    <row r="114" spans="1:7" ht="13.2" x14ac:dyDescent="0.25">
      <c r="A114" s="2"/>
      <c r="B114" s="2"/>
      <c r="C114" s="2"/>
      <c r="D114" s="2"/>
      <c r="E114" s="2"/>
      <c r="F114" s="2"/>
      <c r="G114" s="2"/>
    </row>
    <row r="115" spans="1:7" ht="13.2" x14ac:dyDescent="0.25">
      <c r="A115" s="2"/>
      <c r="B115" s="2"/>
      <c r="C115" s="2"/>
      <c r="D115" s="2"/>
      <c r="E115" s="2"/>
      <c r="F115" s="2"/>
      <c r="G115" s="2"/>
    </row>
    <row r="116" spans="1:7" ht="13.2" x14ac:dyDescent="0.25">
      <c r="A116" s="2"/>
      <c r="B116" s="2"/>
      <c r="C116" s="2"/>
      <c r="D116" s="2"/>
      <c r="E116" s="2"/>
      <c r="F116" s="2"/>
      <c r="G116" s="2"/>
    </row>
    <row r="117" spans="1:7" ht="13.2" x14ac:dyDescent="0.25">
      <c r="A117" s="2"/>
      <c r="B117" s="2"/>
      <c r="C117" s="2"/>
      <c r="D117" s="2"/>
      <c r="E117" s="2"/>
      <c r="F117" s="2"/>
      <c r="G117" s="2"/>
    </row>
    <row r="118" spans="1:7" ht="13.2" x14ac:dyDescent="0.25">
      <c r="A118" s="2"/>
      <c r="B118" s="2"/>
      <c r="C118" s="2"/>
      <c r="D118" s="2"/>
      <c r="E118" s="2"/>
      <c r="F118" s="2"/>
      <c r="G118" s="2"/>
    </row>
    <row r="119" spans="1:7" ht="13.2" x14ac:dyDescent="0.25">
      <c r="A119" s="2"/>
      <c r="B119" s="2"/>
      <c r="C119" s="2"/>
      <c r="D119" s="2"/>
      <c r="E119" s="2"/>
      <c r="F119" s="2"/>
      <c r="G119" s="2"/>
    </row>
    <row r="120" spans="1:7" ht="13.2" x14ac:dyDescent="0.25">
      <c r="A120" s="2"/>
      <c r="B120" s="2"/>
      <c r="C120" s="2"/>
      <c r="D120" s="2"/>
      <c r="E120" s="2"/>
      <c r="F120" s="2"/>
      <c r="G120" s="2"/>
    </row>
    <row r="121" spans="1:7" ht="13.2" x14ac:dyDescent="0.25">
      <c r="A121" s="2"/>
      <c r="B121" s="2"/>
      <c r="C121" s="2"/>
      <c r="D121" s="2"/>
      <c r="E121" s="2"/>
      <c r="F121" s="2"/>
      <c r="G121" s="2"/>
    </row>
    <row r="122" spans="1:7" ht="13.2" x14ac:dyDescent="0.25">
      <c r="A122" s="2"/>
      <c r="B122" s="2"/>
      <c r="C122" s="2"/>
      <c r="D122" s="2"/>
      <c r="E122" s="2"/>
      <c r="F122" s="2"/>
      <c r="G122" s="2"/>
    </row>
    <row r="123" spans="1:7" ht="13.2" x14ac:dyDescent="0.25">
      <c r="A123" s="2"/>
      <c r="B123" s="2"/>
      <c r="C123" s="2"/>
      <c r="D123" s="2"/>
      <c r="E123" s="2"/>
      <c r="F123" s="2"/>
      <c r="G123" s="2"/>
    </row>
    <row r="124" spans="1:7" ht="13.2" x14ac:dyDescent="0.25">
      <c r="A124" s="2"/>
      <c r="B124" s="2"/>
      <c r="C124" s="2"/>
      <c r="D124" s="2"/>
      <c r="E124" s="2"/>
      <c r="F124" s="2"/>
      <c r="G124" s="2"/>
    </row>
    <row r="125" spans="1:7" ht="13.2" x14ac:dyDescent="0.25">
      <c r="A125" s="2"/>
      <c r="B125" s="2"/>
      <c r="C125" s="2"/>
      <c r="D125" s="2"/>
      <c r="E125" s="2"/>
      <c r="F125" s="2"/>
      <c r="G125" s="2"/>
    </row>
    <row r="126" spans="1:7" ht="13.2" x14ac:dyDescent="0.25">
      <c r="A126" s="2"/>
      <c r="B126" s="2"/>
      <c r="C126" s="2"/>
      <c r="D126" s="2"/>
      <c r="E126" s="2"/>
      <c r="F126" s="2"/>
      <c r="G126" s="2"/>
    </row>
    <row r="127" spans="1:7" ht="13.2" x14ac:dyDescent="0.25">
      <c r="A127" s="2"/>
      <c r="B127" s="2"/>
      <c r="C127" s="2"/>
      <c r="D127" s="2"/>
      <c r="E127" s="2"/>
      <c r="F127" s="2"/>
      <c r="G127" s="2"/>
    </row>
    <row r="128" spans="1:7" ht="13.2" x14ac:dyDescent="0.25">
      <c r="A128" s="2"/>
      <c r="B128" s="2"/>
      <c r="C128" s="2"/>
      <c r="D128" s="2"/>
      <c r="E128" s="2"/>
      <c r="F128" s="2"/>
      <c r="G128" s="2"/>
    </row>
    <row r="129" spans="1:7" ht="13.2" x14ac:dyDescent="0.25">
      <c r="A129" s="2"/>
      <c r="B129" s="2"/>
      <c r="C129" s="2"/>
      <c r="D129" s="2"/>
      <c r="E129" s="2"/>
      <c r="F129" s="2"/>
      <c r="G129" s="2"/>
    </row>
    <row r="130" spans="1:7" ht="13.2" x14ac:dyDescent="0.25">
      <c r="A130" s="2"/>
      <c r="B130" s="2"/>
      <c r="C130" s="2"/>
      <c r="D130" s="2"/>
      <c r="E130" s="2"/>
      <c r="F130" s="2"/>
      <c r="G130" s="2"/>
    </row>
    <row r="131" spans="1:7" ht="13.2" x14ac:dyDescent="0.25">
      <c r="A131" s="2"/>
      <c r="B131" s="2"/>
      <c r="C131" s="2"/>
      <c r="D131" s="2"/>
      <c r="E131" s="2"/>
      <c r="F131" s="2"/>
      <c r="G131" s="2"/>
    </row>
    <row r="132" spans="1:7" ht="13.2" x14ac:dyDescent="0.25">
      <c r="A132" s="2"/>
      <c r="B132" s="2"/>
      <c r="C132" s="2"/>
      <c r="D132" s="2"/>
      <c r="E132" s="2"/>
      <c r="F132" s="2"/>
      <c r="G132" s="2"/>
    </row>
    <row r="133" spans="1:7" ht="13.2" x14ac:dyDescent="0.25">
      <c r="A133" s="2"/>
      <c r="B133" s="2"/>
      <c r="C133" s="2"/>
      <c r="D133" s="2"/>
      <c r="E133" s="2"/>
      <c r="F133" s="2"/>
      <c r="G133" s="2"/>
    </row>
    <row r="134" spans="1:7" ht="13.2" x14ac:dyDescent="0.25">
      <c r="A134" s="2"/>
      <c r="B134" s="2"/>
      <c r="C134" s="2"/>
      <c r="D134" s="2"/>
      <c r="E134" s="2"/>
      <c r="F134" s="2"/>
      <c r="G134" s="2"/>
    </row>
    <row r="135" spans="1:7" ht="13.2" x14ac:dyDescent="0.25">
      <c r="A135" s="2"/>
      <c r="B135" s="2"/>
      <c r="C135" s="2"/>
      <c r="D135" s="2"/>
      <c r="E135" s="2"/>
      <c r="F135" s="2"/>
      <c r="G135" s="2"/>
    </row>
    <row r="136" spans="1:7" ht="13.2" x14ac:dyDescent="0.25">
      <c r="A136" s="2"/>
      <c r="B136" s="2"/>
      <c r="C136" s="2"/>
      <c r="D136" s="2"/>
      <c r="E136" s="2"/>
      <c r="F136" s="2"/>
      <c r="G136" s="2"/>
    </row>
    <row r="137" spans="1:7" ht="13.2" x14ac:dyDescent="0.25">
      <c r="A137" s="2"/>
      <c r="B137" s="2"/>
      <c r="C137" s="2"/>
      <c r="D137" s="2"/>
      <c r="E137" s="2"/>
      <c r="F137" s="2"/>
      <c r="G137" s="2"/>
    </row>
    <row r="138" spans="1:7" ht="13.2" x14ac:dyDescent="0.25">
      <c r="A138" s="2"/>
      <c r="B138" s="2"/>
      <c r="C138" s="2"/>
      <c r="D138" s="2"/>
      <c r="E138" s="2"/>
      <c r="F138" s="2"/>
      <c r="G138" s="2"/>
    </row>
    <row r="139" spans="1:7" ht="13.2" x14ac:dyDescent="0.25">
      <c r="A139" s="2"/>
      <c r="B139" s="2"/>
      <c r="C139" s="2"/>
      <c r="D139" s="2"/>
      <c r="E139" s="2"/>
      <c r="F139" s="2"/>
      <c r="G139" s="2"/>
    </row>
    <row r="140" spans="1:7" ht="13.2" x14ac:dyDescent="0.25">
      <c r="A140" s="2"/>
      <c r="B140" s="2"/>
      <c r="C140" s="2"/>
      <c r="D140" s="2"/>
      <c r="E140" s="2"/>
      <c r="F140" s="2"/>
      <c r="G140" s="2"/>
    </row>
    <row r="141" spans="1:7" ht="13.2" x14ac:dyDescent="0.25">
      <c r="A141" s="2"/>
      <c r="B141" s="2"/>
      <c r="C141" s="2"/>
      <c r="D141" s="2"/>
      <c r="E141" s="2"/>
      <c r="F141" s="2"/>
      <c r="G141" s="2"/>
    </row>
    <row r="142" spans="1:7" ht="13.2" x14ac:dyDescent="0.25">
      <c r="A142" s="2"/>
      <c r="B142" s="2"/>
      <c r="C142" s="2"/>
      <c r="D142" s="2"/>
      <c r="E142" s="2"/>
      <c r="F142" s="2"/>
      <c r="G142" s="2"/>
    </row>
    <row r="143" spans="1:7" ht="13.2" x14ac:dyDescent="0.25">
      <c r="A143" s="2"/>
      <c r="B143" s="2"/>
      <c r="C143" s="2"/>
      <c r="D143" s="2"/>
      <c r="E143" s="2"/>
      <c r="F143" s="2"/>
      <c r="G143" s="2"/>
    </row>
    <row r="144" spans="1:7" ht="13.2" x14ac:dyDescent="0.25">
      <c r="A144" s="2"/>
      <c r="B144" s="2"/>
      <c r="C144" s="2"/>
      <c r="D144" s="2"/>
      <c r="E144" s="2"/>
      <c r="F144" s="2"/>
      <c r="G144" s="2"/>
    </row>
    <row r="145" spans="1:7" ht="13.2" x14ac:dyDescent="0.25">
      <c r="A145" s="2"/>
      <c r="B145" s="2"/>
      <c r="C145" s="2"/>
      <c r="D145" s="2"/>
      <c r="E145" s="2"/>
      <c r="F145" s="2"/>
      <c r="G145" s="2"/>
    </row>
    <row r="146" spans="1:7" ht="13.2" x14ac:dyDescent="0.25">
      <c r="A146" s="2"/>
      <c r="B146" s="2"/>
      <c r="C146" s="2"/>
      <c r="D146" s="2"/>
      <c r="E146" s="2"/>
      <c r="F146" s="2"/>
      <c r="G146" s="2"/>
    </row>
    <row r="147" spans="1:7" ht="13.2" x14ac:dyDescent="0.25">
      <c r="A147" s="2"/>
      <c r="B147" s="2"/>
      <c r="C147" s="2"/>
      <c r="D147" s="2"/>
      <c r="E147" s="2"/>
      <c r="F147" s="2"/>
      <c r="G147" s="2"/>
    </row>
    <row r="148" spans="1:7" ht="13.2" x14ac:dyDescent="0.25">
      <c r="A148" s="2"/>
      <c r="B148" s="2"/>
      <c r="C148" s="2"/>
      <c r="D148" s="2"/>
      <c r="E148" s="2"/>
      <c r="F148" s="2"/>
      <c r="G148" s="2"/>
    </row>
    <row r="149" spans="1:7" ht="13.2" x14ac:dyDescent="0.25">
      <c r="A149" s="2"/>
      <c r="B149" s="2"/>
      <c r="C149" s="2"/>
      <c r="D149" s="2"/>
      <c r="E149" s="2"/>
      <c r="F149" s="2"/>
      <c r="G149" s="2"/>
    </row>
    <row r="150" spans="1:7" ht="13.2" x14ac:dyDescent="0.25">
      <c r="A150" s="2"/>
      <c r="B150" s="2"/>
      <c r="C150" s="2"/>
      <c r="D150" s="2"/>
      <c r="E150" s="2"/>
      <c r="F150" s="2"/>
      <c r="G150" s="2"/>
    </row>
    <row r="151" spans="1:7" ht="13.2" x14ac:dyDescent="0.25">
      <c r="A151" s="2"/>
      <c r="B151" s="2"/>
      <c r="C151" s="2"/>
      <c r="D151" s="2"/>
      <c r="E151" s="2"/>
      <c r="F151" s="2"/>
      <c r="G151" s="2"/>
    </row>
    <row r="152" spans="1:7" ht="13.2" x14ac:dyDescent="0.25">
      <c r="A152" s="2"/>
      <c r="B152" s="2"/>
      <c r="C152" s="2"/>
      <c r="D152" s="2"/>
      <c r="E152" s="2"/>
      <c r="F152" s="2"/>
      <c r="G152" s="2"/>
    </row>
    <row r="153" spans="1:7" ht="13.2" x14ac:dyDescent="0.25">
      <c r="A153" s="2"/>
      <c r="B153" s="2"/>
      <c r="C153" s="2"/>
      <c r="D153" s="2"/>
      <c r="E153" s="2"/>
      <c r="F153" s="2"/>
      <c r="G153" s="2"/>
    </row>
    <row r="154" spans="1:7" ht="13.2" x14ac:dyDescent="0.25">
      <c r="A154" s="2"/>
      <c r="B154" s="2"/>
      <c r="C154" s="2"/>
      <c r="D154" s="2"/>
      <c r="E154" s="2"/>
      <c r="F154" s="2"/>
      <c r="G154" s="2"/>
    </row>
    <row r="155" spans="1:7" ht="13.2" x14ac:dyDescent="0.25">
      <c r="A155" s="2"/>
      <c r="B155" s="2"/>
      <c r="C155" s="2"/>
      <c r="D155" s="2"/>
      <c r="E155" s="2"/>
      <c r="F155" s="2"/>
      <c r="G155" s="2"/>
    </row>
    <row r="156" spans="1:7" ht="13.2" x14ac:dyDescent="0.25">
      <c r="A156" s="2"/>
      <c r="B156" s="2"/>
      <c r="C156" s="2"/>
      <c r="D156" s="2"/>
      <c r="E156" s="2"/>
      <c r="F156" s="2"/>
      <c r="G156" s="2"/>
    </row>
    <row r="157" spans="1:7" ht="13.2" x14ac:dyDescent="0.25">
      <c r="A157" s="2"/>
      <c r="B157" s="2"/>
      <c r="C157" s="2"/>
      <c r="D157" s="2"/>
      <c r="E157" s="2"/>
      <c r="F157" s="2"/>
      <c r="G157" s="2"/>
    </row>
    <row r="158" spans="1:7" ht="13.2" x14ac:dyDescent="0.25">
      <c r="A158" s="2"/>
      <c r="B158" s="2"/>
      <c r="C158" s="2"/>
      <c r="D158" s="2"/>
      <c r="E158" s="2"/>
      <c r="F158" s="2"/>
      <c r="G158" s="2"/>
    </row>
    <row r="159" spans="1:7" ht="13.2" x14ac:dyDescent="0.25">
      <c r="A159" s="2"/>
      <c r="B159" s="2"/>
      <c r="C159" s="2"/>
      <c r="D159" s="2"/>
      <c r="E159" s="2"/>
      <c r="F159" s="2"/>
      <c r="G159" s="2"/>
    </row>
    <row r="160" spans="1:7" ht="13.2" x14ac:dyDescent="0.25">
      <c r="A160" s="2"/>
      <c r="B160" s="2"/>
      <c r="C160" s="2"/>
      <c r="D160" s="2"/>
      <c r="E160" s="2"/>
      <c r="F160" s="2"/>
      <c r="G160" s="2"/>
    </row>
    <row r="161" spans="1:7" ht="13.2" x14ac:dyDescent="0.25">
      <c r="A161" s="2"/>
      <c r="B161" s="2"/>
      <c r="C161" s="2"/>
      <c r="D161" s="2"/>
      <c r="E161" s="2"/>
      <c r="F161" s="2"/>
      <c r="G161" s="2"/>
    </row>
    <row r="162" spans="1:7" ht="13.2" x14ac:dyDescent="0.25">
      <c r="A162" s="2"/>
      <c r="B162" s="2"/>
      <c r="C162" s="2"/>
      <c r="D162" s="2"/>
      <c r="E162" s="2"/>
      <c r="F162" s="2"/>
      <c r="G162" s="2"/>
    </row>
    <row r="163" spans="1:7" ht="13.2" x14ac:dyDescent="0.25">
      <c r="A163" s="2"/>
      <c r="B163" s="2"/>
      <c r="C163" s="2"/>
      <c r="D163" s="2"/>
      <c r="E163" s="2"/>
      <c r="F163" s="2"/>
      <c r="G163" s="2"/>
    </row>
    <row r="164" spans="1:7" ht="13.2" x14ac:dyDescent="0.25">
      <c r="A164" s="2"/>
      <c r="B164" s="2"/>
      <c r="C164" s="2"/>
      <c r="D164" s="2"/>
      <c r="E164" s="2"/>
      <c r="F164" s="2"/>
      <c r="G164" s="2"/>
    </row>
    <row r="165" spans="1:7" ht="13.2" x14ac:dyDescent="0.25">
      <c r="A165" s="2"/>
      <c r="B165" s="2"/>
      <c r="C165" s="2"/>
      <c r="D165" s="2"/>
      <c r="E165" s="2"/>
      <c r="F165" s="2"/>
      <c r="G165" s="2"/>
    </row>
    <row r="166" spans="1:7" ht="13.2" x14ac:dyDescent="0.25">
      <c r="A166" s="2"/>
      <c r="B166" s="2"/>
      <c r="C166" s="2"/>
      <c r="D166" s="2"/>
      <c r="E166" s="2"/>
      <c r="F166" s="2"/>
      <c r="G166" s="2"/>
    </row>
    <row r="167" spans="1:7" ht="13.2" x14ac:dyDescent="0.25">
      <c r="A167" s="2"/>
      <c r="B167" s="2"/>
      <c r="C167" s="2"/>
      <c r="D167" s="2"/>
      <c r="E167" s="2"/>
      <c r="F167" s="2"/>
      <c r="G167" s="2"/>
    </row>
    <row r="168" spans="1:7" ht="13.2" x14ac:dyDescent="0.25">
      <c r="A168" s="2"/>
      <c r="B168" s="2"/>
      <c r="C168" s="2"/>
      <c r="D168" s="2"/>
      <c r="E168" s="2"/>
      <c r="F168" s="2"/>
      <c r="G168" s="2"/>
    </row>
    <row r="169" spans="1:7" ht="13.2" x14ac:dyDescent="0.25">
      <c r="A169" s="2"/>
      <c r="B169" s="2"/>
      <c r="C169" s="2"/>
      <c r="D169" s="2"/>
      <c r="E169" s="2"/>
      <c r="F169" s="2"/>
      <c r="G169" s="2"/>
    </row>
    <row r="170" spans="1:7" ht="13.2" x14ac:dyDescent="0.25">
      <c r="A170" s="2"/>
      <c r="B170" s="2"/>
      <c r="C170" s="2"/>
      <c r="D170" s="2"/>
      <c r="E170" s="2"/>
      <c r="F170" s="2"/>
      <c r="G170" s="2"/>
    </row>
    <row r="171" spans="1:7" ht="13.2" x14ac:dyDescent="0.25">
      <c r="A171" s="2"/>
      <c r="B171" s="2"/>
      <c r="C171" s="2"/>
      <c r="D171" s="2"/>
      <c r="E171" s="2"/>
      <c r="F171" s="2"/>
      <c r="G171" s="2"/>
    </row>
    <row r="172" spans="1:7" ht="13.2" x14ac:dyDescent="0.25">
      <c r="A172" s="2"/>
      <c r="B172" s="2"/>
      <c r="C172" s="2"/>
      <c r="D172" s="2"/>
      <c r="E172" s="2"/>
      <c r="F172" s="2"/>
      <c r="G172" s="2"/>
    </row>
    <row r="173" spans="1:7" ht="13.2" x14ac:dyDescent="0.25">
      <c r="A173" s="2"/>
      <c r="B173" s="2"/>
      <c r="C173" s="2"/>
      <c r="D173" s="2"/>
      <c r="E173" s="2"/>
      <c r="F173" s="2"/>
      <c r="G173" s="2"/>
    </row>
    <row r="174" spans="1:7" ht="13.2" x14ac:dyDescent="0.25">
      <c r="A174" s="2"/>
      <c r="B174" s="2"/>
      <c r="C174" s="2"/>
      <c r="D174" s="2"/>
      <c r="E174" s="2"/>
      <c r="F174" s="2"/>
      <c r="G174" s="2"/>
    </row>
    <row r="175" spans="1:7" ht="13.2" x14ac:dyDescent="0.25">
      <c r="A175" s="2"/>
      <c r="B175" s="2"/>
      <c r="C175" s="2"/>
      <c r="D175" s="2"/>
      <c r="E175" s="2"/>
      <c r="F175" s="2"/>
      <c r="G175" s="2"/>
    </row>
    <row r="176" spans="1:7" ht="13.2" x14ac:dyDescent="0.25">
      <c r="A176" s="2"/>
      <c r="B176" s="2"/>
      <c r="C176" s="2"/>
      <c r="D176" s="2"/>
      <c r="E176" s="2"/>
      <c r="F176" s="2"/>
      <c r="G176" s="2"/>
    </row>
    <row r="177" spans="1:7" ht="13.2" x14ac:dyDescent="0.25">
      <c r="A177" s="2"/>
      <c r="B177" s="2"/>
      <c r="C177" s="2"/>
      <c r="D177" s="2"/>
      <c r="E177" s="2"/>
      <c r="F177" s="2"/>
      <c r="G177" s="2"/>
    </row>
    <row r="178" spans="1:7" ht="13.2" x14ac:dyDescent="0.25">
      <c r="A178" s="2"/>
      <c r="B178" s="2"/>
      <c r="C178" s="2"/>
      <c r="D178" s="2"/>
      <c r="E178" s="2"/>
      <c r="F178" s="2"/>
      <c r="G178" s="2"/>
    </row>
    <row r="179" spans="1:7" ht="13.2" x14ac:dyDescent="0.25">
      <c r="A179" s="2"/>
      <c r="B179" s="2"/>
      <c r="C179" s="2"/>
      <c r="D179" s="2"/>
      <c r="E179" s="2"/>
      <c r="F179" s="2"/>
      <c r="G179" s="2"/>
    </row>
    <row r="180" spans="1:7" ht="13.2" x14ac:dyDescent="0.25">
      <c r="A180" s="2"/>
      <c r="B180" s="2"/>
      <c r="C180" s="2"/>
      <c r="D180" s="2"/>
      <c r="E180" s="2"/>
      <c r="F180" s="2"/>
      <c r="G180" s="2"/>
    </row>
    <row r="181" spans="1:7" ht="13.2" x14ac:dyDescent="0.25">
      <c r="A181" s="2"/>
      <c r="B181" s="2"/>
      <c r="C181" s="2"/>
      <c r="D181" s="2"/>
      <c r="E181" s="2"/>
      <c r="F181" s="2"/>
      <c r="G181" s="2"/>
    </row>
    <row r="182" spans="1:7" ht="13.2" x14ac:dyDescent="0.25">
      <c r="A182" s="2"/>
      <c r="B182" s="2"/>
      <c r="C182" s="2"/>
      <c r="D182" s="2"/>
      <c r="E182" s="2"/>
      <c r="F182" s="2"/>
      <c r="G182" s="2"/>
    </row>
    <row r="183" spans="1:7" ht="13.2" x14ac:dyDescent="0.25">
      <c r="A183" s="2"/>
      <c r="B183" s="2"/>
      <c r="C183" s="2"/>
      <c r="D183" s="2"/>
      <c r="E183" s="2"/>
      <c r="F183" s="2"/>
      <c r="G183" s="2"/>
    </row>
    <row r="184" spans="1:7" ht="13.2" x14ac:dyDescent="0.25">
      <c r="A184" s="2"/>
      <c r="B184" s="2"/>
      <c r="C184" s="2"/>
      <c r="D184" s="2"/>
      <c r="E184" s="2"/>
      <c r="F184" s="2"/>
      <c r="G184" s="2"/>
    </row>
    <row r="185" spans="1:7" ht="13.2" x14ac:dyDescent="0.25">
      <c r="A185" s="2"/>
      <c r="B185" s="2"/>
      <c r="C185" s="2"/>
      <c r="D185" s="2"/>
      <c r="E185" s="2"/>
      <c r="F185" s="2"/>
      <c r="G185" s="2"/>
    </row>
    <row r="186" spans="1:7" ht="13.2" x14ac:dyDescent="0.25">
      <c r="A186" s="2"/>
      <c r="B186" s="2"/>
      <c r="C186" s="2"/>
      <c r="D186" s="2"/>
      <c r="E186" s="2"/>
      <c r="F186" s="2"/>
      <c r="G186" s="2"/>
    </row>
    <row r="187" spans="1:7" ht="13.2" x14ac:dyDescent="0.25">
      <c r="A187" s="2"/>
      <c r="B187" s="2"/>
      <c r="C187" s="2"/>
      <c r="D187" s="2"/>
      <c r="E187" s="2"/>
      <c r="F187" s="2"/>
      <c r="G187" s="2"/>
    </row>
    <row r="188" spans="1:7" ht="13.2" x14ac:dyDescent="0.25">
      <c r="A188" s="2"/>
      <c r="B188" s="2"/>
      <c r="C188" s="2"/>
      <c r="D188" s="2"/>
      <c r="E188" s="2"/>
      <c r="F188" s="2"/>
      <c r="G188" s="2"/>
    </row>
    <row r="189" spans="1:7" ht="13.2" x14ac:dyDescent="0.25">
      <c r="A189" s="2"/>
      <c r="B189" s="2"/>
      <c r="C189" s="2"/>
      <c r="D189" s="2"/>
      <c r="E189" s="2"/>
      <c r="F189" s="2"/>
      <c r="G189" s="2"/>
    </row>
    <row r="190" spans="1:7" ht="13.2" x14ac:dyDescent="0.25">
      <c r="A190" s="2"/>
      <c r="B190" s="2"/>
      <c r="C190" s="2"/>
      <c r="D190" s="2"/>
      <c r="E190" s="2"/>
      <c r="F190" s="2"/>
      <c r="G190" s="2"/>
    </row>
    <row r="191" spans="1:7" ht="13.2" x14ac:dyDescent="0.25">
      <c r="A191" s="2"/>
      <c r="B191" s="2"/>
      <c r="C191" s="2"/>
      <c r="D191" s="2"/>
      <c r="E191" s="2"/>
      <c r="F191" s="2"/>
      <c r="G191" s="2"/>
    </row>
    <row r="192" spans="1:7" ht="13.2" x14ac:dyDescent="0.25">
      <c r="A192" s="2"/>
      <c r="B192" s="2"/>
      <c r="C192" s="2"/>
      <c r="D192" s="2"/>
      <c r="E192" s="2"/>
      <c r="F192" s="2"/>
      <c r="G192" s="2"/>
    </row>
    <row r="193" spans="1:7" ht="13.2" x14ac:dyDescent="0.25">
      <c r="A193" s="2"/>
      <c r="B193" s="2"/>
      <c r="C193" s="2"/>
      <c r="D193" s="2"/>
      <c r="E193" s="2"/>
      <c r="F193" s="2"/>
      <c r="G193" s="2"/>
    </row>
    <row r="194" spans="1:7" ht="13.2" x14ac:dyDescent="0.25">
      <c r="A194" s="2"/>
      <c r="B194" s="2"/>
      <c r="C194" s="2"/>
      <c r="D194" s="2"/>
      <c r="E194" s="2"/>
      <c r="F194" s="2"/>
      <c r="G194" s="2"/>
    </row>
    <row r="195" spans="1:7" ht="13.2" x14ac:dyDescent="0.25">
      <c r="A195" s="2"/>
      <c r="B195" s="2"/>
      <c r="C195" s="2"/>
      <c r="D195" s="2"/>
      <c r="E195" s="2"/>
      <c r="F195" s="2"/>
      <c r="G195" s="2"/>
    </row>
    <row r="196" spans="1:7" ht="13.2" x14ac:dyDescent="0.25">
      <c r="A196" s="2"/>
      <c r="B196" s="2"/>
      <c r="C196" s="2"/>
      <c r="D196" s="2"/>
      <c r="E196" s="2"/>
      <c r="F196" s="2"/>
      <c r="G196" s="2"/>
    </row>
    <row r="197" spans="1:7" ht="13.2" x14ac:dyDescent="0.25">
      <c r="A197" s="2"/>
      <c r="B197" s="2"/>
      <c r="C197" s="2"/>
      <c r="D197" s="2"/>
      <c r="E197" s="2"/>
      <c r="F197" s="2"/>
      <c r="G197" s="2"/>
    </row>
    <row r="198" spans="1:7" ht="13.2" x14ac:dyDescent="0.25">
      <c r="A198" s="2"/>
      <c r="B198" s="2"/>
      <c r="C198" s="2"/>
      <c r="D198" s="2"/>
      <c r="E198" s="2"/>
      <c r="F198" s="2"/>
      <c r="G198" s="2"/>
    </row>
    <row r="199" spans="1:7" ht="13.2" x14ac:dyDescent="0.25">
      <c r="A199" s="2"/>
      <c r="B199" s="2"/>
      <c r="C199" s="2"/>
      <c r="D199" s="2"/>
      <c r="E199" s="2"/>
      <c r="F199" s="2"/>
      <c r="G199" s="2"/>
    </row>
    <row r="200" spans="1:7" ht="13.2" x14ac:dyDescent="0.25">
      <c r="A200" s="2"/>
      <c r="B200" s="2"/>
      <c r="C200" s="2"/>
      <c r="D200" s="2"/>
      <c r="E200" s="2"/>
      <c r="F200" s="2"/>
      <c r="G200" s="2"/>
    </row>
    <row r="201" spans="1:7" ht="13.2" x14ac:dyDescent="0.25">
      <c r="A201" s="2"/>
      <c r="B201" s="2"/>
      <c r="C201" s="2"/>
      <c r="D201" s="2"/>
      <c r="E201" s="2"/>
      <c r="F201" s="2"/>
      <c r="G201" s="2"/>
    </row>
    <row r="202" spans="1:7" ht="13.2" x14ac:dyDescent="0.25">
      <c r="A202" s="2"/>
      <c r="B202" s="2"/>
      <c r="C202" s="2"/>
      <c r="D202" s="2"/>
      <c r="E202" s="2"/>
      <c r="F202" s="2"/>
      <c r="G202" s="2"/>
    </row>
    <row r="203" spans="1:7" ht="13.2" x14ac:dyDescent="0.25">
      <c r="A203" s="2"/>
      <c r="B203" s="2"/>
      <c r="C203" s="2"/>
      <c r="D203" s="2"/>
      <c r="E203" s="2"/>
      <c r="F203" s="2"/>
      <c r="G203" s="2"/>
    </row>
    <row r="204" spans="1:7" ht="13.2" x14ac:dyDescent="0.25">
      <c r="A204" s="2"/>
      <c r="B204" s="2"/>
      <c r="C204" s="2"/>
      <c r="D204" s="2"/>
      <c r="E204" s="2"/>
      <c r="F204" s="2"/>
      <c r="G204" s="2"/>
    </row>
    <row r="205" spans="1:7" ht="13.2" x14ac:dyDescent="0.25">
      <c r="A205" s="2"/>
      <c r="B205" s="2"/>
      <c r="C205" s="2"/>
      <c r="D205" s="2"/>
      <c r="E205" s="2"/>
      <c r="F205" s="2"/>
      <c r="G205" s="2"/>
    </row>
    <row r="206" spans="1:7" ht="13.2" x14ac:dyDescent="0.25">
      <c r="A206" s="2"/>
      <c r="B206" s="2"/>
      <c r="C206" s="2"/>
      <c r="D206" s="2"/>
      <c r="E206" s="2"/>
      <c r="F206" s="2"/>
      <c r="G206" s="2"/>
    </row>
    <row r="207" spans="1:7" ht="13.2" x14ac:dyDescent="0.25">
      <c r="A207" s="2"/>
      <c r="B207" s="2"/>
      <c r="C207" s="2"/>
      <c r="D207" s="2"/>
      <c r="E207" s="2"/>
      <c r="F207" s="2"/>
      <c r="G207" s="2"/>
    </row>
    <row r="208" spans="1:7" ht="13.2" x14ac:dyDescent="0.25">
      <c r="A208" s="2"/>
      <c r="B208" s="2"/>
      <c r="C208" s="2"/>
      <c r="D208" s="2"/>
      <c r="E208" s="2"/>
      <c r="F208" s="2"/>
      <c r="G208" s="2"/>
    </row>
    <row r="209" spans="1:7" ht="13.2" x14ac:dyDescent="0.25">
      <c r="A209" s="2"/>
      <c r="B209" s="2"/>
      <c r="C209" s="2"/>
      <c r="D209" s="2"/>
      <c r="E209" s="2"/>
      <c r="F209" s="2"/>
      <c r="G209" s="2"/>
    </row>
    <row r="210" spans="1:7" ht="13.2" x14ac:dyDescent="0.25">
      <c r="A210" s="2"/>
      <c r="B210" s="2"/>
      <c r="C210" s="2"/>
      <c r="D210" s="2"/>
      <c r="E210" s="2"/>
      <c r="F210" s="2"/>
      <c r="G210" s="2"/>
    </row>
    <row r="211" spans="1:7" ht="13.2" x14ac:dyDescent="0.25">
      <c r="A211" s="2"/>
      <c r="B211" s="2"/>
      <c r="C211" s="2"/>
      <c r="D211" s="2"/>
      <c r="E211" s="2"/>
      <c r="F211" s="2"/>
      <c r="G211" s="2"/>
    </row>
    <row r="212" spans="1:7" ht="13.2" x14ac:dyDescent="0.25">
      <c r="A212" s="2"/>
      <c r="B212" s="2"/>
      <c r="C212" s="2"/>
      <c r="D212" s="2"/>
      <c r="E212" s="2"/>
      <c r="F212" s="2"/>
      <c r="G212" s="2"/>
    </row>
    <row r="213" spans="1:7" ht="13.2" x14ac:dyDescent="0.25">
      <c r="A213" s="2"/>
      <c r="B213" s="2"/>
      <c r="C213" s="2"/>
      <c r="D213" s="2"/>
      <c r="E213" s="2"/>
      <c r="F213" s="2"/>
      <c r="G213" s="2"/>
    </row>
    <row r="214" spans="1:7" ht="13.2" x14ac:dyDescent="0.25">
      <c r="A214" s="2"/>
      <c r="B214" s="2"/>
      <c r="C214" s="2"/>
      <c r="D214" s="2"/>
      <c r="E214" s="2"/>
      <c r="F214" s="2"/>
      <c r="G214" s="2"/>
    </row>
    <row r="215" spans="1:7" ht="13.2" x14ac:dyDescent="0.25">
      <c r="A215" s="2"/>
      <c r="B215" s="2"/>
      <c r="C215" s="2"/>
      <c r="D215" s="2"/>
      <c r="E215" s="2"/>
      <c r="F215" s="2"/>
      <c r="G215" s="2"/>
    </row>
    <row r="216" spans="1:7" ht="13.2" x14ac:dyDescent="0.25">
      <c r="A216" s="2"/>
      <c r="B216" s="2"/>
      <c r="C216" s="2"/>
      <c r="D216" s="2"/>
      <c r="E216" s="2"/>
      <c r="F216" s="2"/>
      <c r="G216" s="2"/>
    </row>
    <row r="217" spans="1:7" ht="13.2" x14ac:dyDescent="0.25">
      <c r="A217" s="2"/>
      <c r="B217" s="2"/>
      <c r="C217" s="2"/>
      <c r="D217" s="2"/>
      <c r="E217" s="2"/>
      <c r="F217" s="2"/>
      <c r="G217" s="2"/>
    </row>
    <row r="218" spans="1:7" ht="13.2" x14ac:dyDescent="0.25">
      <c r="A218" s="2"/>
      <c r="B218" s="2"/>
      <c r="C218" s="2"/>
      <c r="D218" s="2"/>
      <c r="E218" s="2"/>
      <c r="F218" s="2"/>
      <c r="G218" s="2"/>
    </row>
    <row r="219" spans="1:7" ht="13.2" x14ac:dyDescent="0.25">
      <c r="A219" s="2"/>
      <c r="B219" s="2"/>
      <c r="C219" s="2"/>
      <c r="D219" s="2"/>
      <c r="E219" s="2"/>
      <c r="F219" s="2"/>
      <c r="G219" s="2"/>
    </row>
    <row r="220" spans="1:7" ht="13.2" x14ac:dyDescent="0.25">
      <c r="A220" s="2"/>
      <c r="B220" s="2"/>
      <c r="C220" s="2"/>
      <c r="D220" s="2"/>
      <c r="E220" s="2"/>
      <c r="F220" s="2"/>
      <c r="G220" s="2"/>
    </row>
    <row r="221" spans="1:7" ht="13.2" x14ac:dyDescent="0.25">
      <c r="A221" s="2"/>
      <c r="B221" s="2"/>
      <c r="C221" s="2"/>
      <c r="D221" s="2"/>
      <c r="E221" s="2"/>
      <c r="F221" s="2"/>
      <c r="G221" s="2"/>
    </row>
    <row r="222" spans="1:7" ht="13.2" x14ac:dyDescent="0.25">
      <c r="A222" s="2"/>
      <c r="B222" s="2"/>
      <c r="C222" s="2"/>
      <c r="D222" s="2"/>
      <c r="E222" s="2"/>
      <c r="F222" s="2"/>
      <c r="G222" s="2"/>
    </row>
    <row r="223" spans="1:7" ht="13.2" x14ac:dyDescent="0.25">
      <c r="A223" s="2"/>
      <c r="B223" s="2"/>
      <c r="C223" s="2"/>
      <c r="D223" s="2"/>
      <c r="E223" s="2"/>
      <c r="F223" s="2"/>
      <c r="G223" s="2"/>
    </row>
    <row r="224" spans="1:7" ht="13.2" x14ac:dyDescent="0.25">
      <c r="A224" s="2"/>
      <c r="B224" s="2"/>
      <c r="C224" s="2"/>
      <c r="D224" s="2"/>
      <c r="E224" s="2"/>
      <c r="F224" s="2"/>
      <c r="G224" s="2"/>
    </row>
    <row r="225" spans="1:7" ht="13.2" x14ac:dyDescent="0.25">
      <c r="A225" s="2"/>
      <c r="B225" s="2"/>
      <c r="C225" s="2"/>
      <c r="D225" s="2"/>
      <c r="E225" s="2"/>
      <c r="F225" s="2"/>
      <c r="G225" s="2"/>
    </row>
    <row r="226" spans="1:7" ht="13.2" x14ac:dyDescent="0.25">
      <c r="A226" s="2"/>
      <c r="B226" s="2"/>
      <c r="C226" s="2"/>
      <c r="D226" s="2"/>
      <c r="E226" s="2"/>
      <c r="F226" s="2"/>
      <c r="G226" s="2"/>
    </row>
    <row r="227" spans="1:7" ht="13.2" x14ac:dyDescent="0.25">
      <c r="A227" s="2"/>
      <c r="B227" s="2"/>
      <c r="C227" s="2"/>
      <c r="D227" s="2"/>
      <c r="E227" s="2"/>
      <c r="F227" s="2"/>
      <c r="G227" s="2"/>
    </row>
    <row r="228" spans="1:7" ht="13.2" x14ac:dyDescent="0.25">
      <c r="A228" s="2"/>
      <c r="B228" s="2"/>
      <c r="C228" s="2"/>
      <c r="D228" s="2"/>
      <c r="E228" s="2"/>
      <c r="F228" s="2"/>
      <c r="G228" s="2"/>
    </row>
    <row r="229" spans="1:7" ht="13.2" x14ac:dyDescent="0.25">
      <c r="A229" s="2"/>
      <c r="B229" s="2"/>
      <c r="C229" s="2"/>
      <c r="D229" s="2"/>
      <c r="E229" s="2"/>
      <c r="F229" s="2"/>
      <c r="G229" s="2"/>
    </row>
    <row r="230" spans="1:7" ht="13.2" x14ac:dyDescent="0.25">
      <c r="A230" s="2"/>
      <c r="B230" s="2"/>
      <c r="C230" s="2"/>
      <c r="D230" s="2"/>
      <c r="E230" s="2"/>
      <c r="F230" s="2"/>
      <c r="G230" s="2"/>
    </row>
    <row r="231" spans="1:7" ht="13.2" x14ac:dyDescent="0.25">
      <c r="A231" s="2"/>
      <c r="B231" s="2"/>
      <c r="C231" s="2"/>
      <c r="D231" s="2"/>
      <c r="E231" s="2"/>
      <c r="F231" s="2"/>
      <c r="G231" s="2"/>
    </row>
    <row r="232" spans="1:7" ht="13.2" x14ac:dyDescent="0.25">
      <c r="A232" s="2"/>
      <c r="B232" s="2"/>
      <c r="C232" s="2"/>
      <c r="D232" s="2"/>
      <c r="E232" s="2"/>
      <c r="F232" s="2"/>
      <c r="G232" s="2"/>
    </row>
    <row r="233" spans="1:7" ht="13.2" x14ac:dyDescent="0.25">
      <c r="A233" s="2"/>
      <c r="B233" s="2"/>
      <c r="C233" s="2"/>
      <c r="D233" s="2"/>
      <c r="E233" s="2"/>
      <c r="F233" s="2"/>
      <c r="G233" s="2"/>
    </row>
    <row r="234" spans="1:7" ht="13.2" x14ac:dyDescent="0.25">
      <c r="A234" s="2"/>
      <c r="B234" s="2"/>
      <c r="C234" s="2"/>
      <c r="D234" s="2"/>
      <c r="E234" s="2"/>
      <c r="F234" s="2"/>
      <c r="G234" s="2"/>
    </row>
    <row r="235" spans="1:7" ht="13.2" x14ac:dyDescent="0.25">
      <c r="A235" s="2"/>
      <c r="B235" s="2"/>
      <c r="C235" s="2"/>
      <c r="D235" s="2"/>
      <c r="E235" s="2"/>
      <c r="F235" s="2"/>
      <c r="G235" s="2"/>
    </row>
    <row r="236" spans="1:7" ht="13.2" x14ac:dyDescent="0.25">
      <c r="A236" s="2"/>
      <c r="B236" s="2"/>
      <c r="C236" s="2"/>
      <c r="D236" s="2"/>
      <c r="E236" s="2"/>
      <c r="F236" s="2"/>
      <c r="G236" s="2"/>
    </row>
    <row r="237" spans="1:7" ht="13.2" x14ac:dyDescent="0.25">
      <c r="A237" s="2"/>
      <c r="B237" s="2"/>
      <c r="C237" s="2"/>
      <c r="D237" s="2"/>
      <c r="E237" s="2"/>
      <c r="F237" s="2"/>
      <c r="G237" s="2"/>
    </row>
    <row r="238" spans="1:7" ht="13.2" x14ac:dyDescent="0.25">
      <c r="A238" s="2"/>
      <c r="B238" s="2"/>
      <c r="C238" s="2"/>
      <c r="D238" s="2"/>
      <c r="E238" s="2"/>
      <c r="F238" s="2"/>
      <c r="G238" s="2"/>
    </row>
    <row r="239" spans="1:7" ht="13.2" x14ac:dyDescent="0.25">
      <c r="A239" s="2"/>
      <c r="B239" s="2"/>
      <c r="C239" s="2"/>
      <c r="D239" s="2"/>
      <c r="E239" s="2"/>
      <c r="F239" s="2"/>
      <c r="G239" s="2"/>
    </row>
    <row r="240" spans="1:7" ht="13.2" x14ac:dyDescent="0.25">
      <c r="A240" s="2"/>
      <c r="B240" s="2"/>
      <c r="C240" s="2"/>
      <c r="D240" s="2"/>
      <c r="E240" s="2"/>
      <c r="F240" s="2"/>
      <c r="G240" s="2"/>
    </row>
    <row r="241" spans="1:7" ht="13.2" x14ac:dyDescent="0.25">
      <c r="A241" s="2"/>
      <c r="B241" s="2"/>
      <c r="C241" s="2"/>
      <c r="D241" s="2"/>
      <c r="E241" s="2"/>
      <c r="F241" s="2"/>
      <c r="G241" s="2"/>
    </row>
    <row r="242" spans="1:7" ht="13.2" x14ac:dyDescent="0.25">
      <c r="A242" s="2"/>
      <c r="B242" s="2"/>
      <c r="C242" s="2"/>
      <c r="D242" s="2"/>
      <c r="E242" s="2"/>
      <c r="F242" s="2"/>
      <c r="G242" s="2"/>
    </row>
    <row r="243" spans="1:7" ht="13.2" x14ac:dyDescent="0.25">
      <c r="A243" s="2"/>
      <c r="B243" s="2"/>
      <c r="C243" s="2"/>
      <c r="D243" s="2"/>
      <c r="E243" s="2"/>
      <c r="F243" s="2"/>
      <c r="G243" s="2"/>
    </row>
    <row r="244" spans="1:7" ht="13.2" x14ac:dyDescent="0.25">
      <c r="A244" s="2"/>
      <c r="B244" s="2"/>
      <c r="C244" s="2"/>
      <c r="D244" s="2"/>
      <c r="E244" s="2"/>
      <c r="F244" s="2"/>
      <c r="G244" s="2"/>
    </row>
    <row r="245" spans="1:7" ht="13.2" x14ac:dyDescent="0.25">
      <c r="A245" s="2"/>
      <c r="B245" s="2"/>
      <c r="C245" s="2"/>
      <c r="D245" s="2"/>
      <c r="E245" s="2"/>
      <c r="F245" s="2"/>
      <c r="G245" s="2"/>
    </row>
    <row r="246" spans="1:7" ht="13.2" x14ac:dyDescent="0.25">
      <c r="A246" s="2"/>
      <c r="B246" s="2"/>
      <c r="C246" s="2"/>
      <c r="D246" s="2"/>
      <c r="E246" s="2"/>
      <c r="F246" s="2"/>
      <c r="G246" s="2"/>
    </row>
    <row r="247" spans="1:7" ht="13.2" x14ac:dyDescent="0.25">
      <c r="A247" s="2"/>
      <c r="B247" s="2"/>
      <c r="C247" s="2"/>
      <c r="D247" s="2"/>
      <c r="E247" s="2"/>
      <c r="F247" s="2"/>
      <c r="G247" s="2"/>
    </row>
    <row r="248" spans="1:7" ht="13.2" x14ac:dyDescent="0.25">
      <c r="A248" s="2"/>
      <c r="B248" s="2"/>
      <c r="C248" s="2"/>
      <c r="D248" s="2"/>
      <c r="E248" s="2"/>
      <c r="F248" s="2"/>
      <c r="G248" s="2"/>
    </row>
    <row r="249" spans="1:7" ht="13.2" x14ac:dyDescent="0.25">
      <c r="A249" s="2"/>
      <c r="B249" s="2"/>
      <c r="C249" s="2"/>
      <c r="D249" s="2"/>
      <c r="E249" s="2"/>
      <c r="F249" s="2"/>
      <c r="G249" s="2"/>
    </row>
    <row r="250" spans="1:7" ht="13.2" x14ac:dyDescent="0.25">
      <c r="A250" s="2"/>
      <c r="B250" s="2"/>
      <c r="C250" s="2"/>
      <c r="D250" s="2"/>
      <c r="E250" s="2"/>
      <c r="F250" s="2"/>
      <c r="G250" s="2"/>
    </row>
    <row r="251" spans="1:7" ht="13.2" x14ac:dyDescent="0.25">
      <c r="A251" s="2"/>
      <c r="B251" s="2"/>
      <c r="C251" s="2"/>
      <c r="D251" s="2"/>
      <c r="E251" s="2"/>
      <c r="F251" s="2"/>
      <c r="G251" s="2"/>
    </row>
    <row r="252" spans="1:7" ht="13.2" x14ac:dyDescent="0.25">
      <c r="A252" s="2"/>
      <c r="B252" s="2"/>
      <c r="C252" s="2"/>
      <c r="D252" s="2"/>
      <c r="E252" s="2"/>
      <c r="F252" s="2"/>
      <c r="G252" s="2"/>
    </row>
    <row r="253" spans="1:7" ht="13.2" x14ac:dyDescent="0.25">
      <c r="A253" s="2"/>
      <c r="B253" s="2"/>
      <c r="C253" s="2"/>
      <c r="D253" s="2"/>
      <c r="E253" s="2"/>
      <c r="F253" s="2"/>
      <c r="G253" s="2"/>
    </row>
    <row r="254" spans="1:7" ht="13.2" x14ac:dyDescent="0.25">
      <c r="A254" s="2"/>
      <c r="B254" s="2"/>
      <c r="C254" s="2"/>
      <c r="D254" s="2"/>
      <c r="E254" s="2"/>
      <c r="F254" s="2"/>
      <c r="G254" s="2"/>
    </row>
    <row r="255" spans="1:7" ht="13.2" x14ac:dyDescent="0.25">
      <c r="A255" s="2"/>
      <c r="B255" s="2"/>
      <c r="C255" s="2"/>
      <c r="D255" s="2"/>
      <c r="E255" s="2"/>
      <c r="F255" s="2"/>
      <c r="G255" s="2"/>
    </row>
    <row r="256" spans="1:7" ht="13.2" x14ac:dyDescent="0.25">
      <c r="A256" s="2"/>
      <c r="B256" s="2"/>
      <c r="C256" s="2"/>
      <c r="D256" s="2"/>
      <c r="E256" s="2"/>
      <c r="F256" s="2"/>
      <c r="G256" s="2"/>
    </row>
    <row r="257" spans="1:7" ht="13.2" x14ac:dyDescent="0.25">
      <c r="A257" s="2"/>
      <c r="B257" s="2"/>
      <c r="C257" s="2"/>
      <c r="D257" s="2"/>
      <c r="E257" s="2"/>
      <c r="F257" s="2"/>
      <c r="G257" s="2"/>
    </row>
    <row r="258" spans="1:7" ht="13.2" x14ac:dyDescent="0.25">
      <c r="A258" s="2"/>
      <c r="B258" s="2"/>
      <c r="C258" s="2"/>
      <c r="D258" s="2"/>
      <c r="E258" s="2"/>
      <c r="F258" s="2"/>
      <c r="G258" s="2"/>
    </row>
    <row r="259" spans="1:7" ht="13.2" x14ac:dyDescent="0.25">
      <c r="A259" s="2"/>
      <c r="B259" s="2"/>
      <c r="C259" s="2"/>
      <c r="D259" s="2"/>
      <c r="E259" s="2"/>
      <c r="F259" s="2"/>
      <c r="G259" s="2"/>
    </row>
    <row r="260" spans="1:7" ht="13.2" x14ac:dyDescent="0.25">
      <c r="A260" s="2"/>
      <c r="B260" s="2"/>
      <c r="C260" s="2"/>
      <c r="D260" s="2"/>
      <c r="E260" s="2"/>
      <c r="F260" s="2"/>
      <c r="G260" s="2"/>
    </row>
    <row r="261" spans="1:7" ht="13.2" x14ac:dyDescent="0.25">
      <c r="A261" s="2"/>
      <c r="B261" s="2"/>
      <c r="C261" s="2"/>
      <c r="D261" s="2"/>
      <c r="E261" s="2"/>
      <c r="F261" s="2"/>
      <c r="G261" s="2"/>
    </row>
    <row r="262" spans="1:7" ht="13.2" x14ac:dyDescent="0.25">
      <c r="A262" s="2"/>
      <c r="B262" s="2"/>
      <c r="C262" s="2"/>
      <c r="D262" s="2"/>
      <c r="E262" s="2"/>
      <c r="F262" s="2"/>
      <c r="G262" s="2"/>
    </row>
    <row r="263" spans="1:7" ht="13.2" x14ac:dyDescent="0.25">
      <c r="A263" s="2"/>
      <c r="B263" s="2"/>
      <c r="C263" s="2"/>
      <c r="D263" s="2"/>
      <c r="E263" s="2"/>
      <c r="F263" s="2"/>
      <c r="G263" s="2"/>
    </row>
    <row r="264" spans="1:7" ht="13.2" x14ac:dyDescent="0.25">
      <c r="A264" s="2"/>
      <c r="B264" s="2"/>
      <c r="C264" s="2"/>
      <c r="D264" s="2"/>
      <c r="E264" s="2"/>
      <c r="F264" s="2"/>
      <c r="G264" s="2"/>
    </row>
    <row r="265" spans="1:7" ht="13.2" x14ac:dyDescent="0.25">
      <c r="A265" s="2"/>
      <c r="B265" s="2"/>
      <c r="C265" s="2"/>
      <c r="D265" s="2"/>
      <c r="E265" s="2"/>
      <c r="F265" s="2"/>
      <c r="G265" s="2"/>
    </row>
    <row r="266" spans="1:7" ht="13.2" x14ac:dyDescent="0.25">
      <c r="A266" s="2"/>
      <c r="B266" s="2"/>
      <c r="C266" s="2"/>
      <c r="D266" s="2"/>
      <c r="E266" s="2"/>
      <c r="F266" s="2"/>
      <c r="G266" s="2"/>
    </row>
    <row r="267" spans="1:7" ht="13.2" x14ac:dyDescent="0.25">
      <c r="A267" s="2"/>
      <c r="B267" s="2"/>
      <c r="C267" s="2"/>
      <c r="D267" s="2"/>
      <c r="E267" s="2"/>
      <c r="F267" s="2"/>
      <c r="G267" s="2"/>
    </row>
    <row r="268" spans="1:7" ht="13.2" x14ac:dyDescent="0.25">
      <c r="A268" s="2"/>
      <c r="B268" s="2"/>
      <c r="C268" s="2"/>
      <c r="D268" s="2"/>
      <c r="E268" s="2"/>
      <c r="F268" s="2"/>
      <c r="G268" s="2"/>
    </row>
    <row r="269" spans="1:7" ht="13.2" x14ac:dyDescent="0.25">
      <c r="A269" s="2"/>
      <c r="B269" s="2"/>
      <c r="C269" s="2"/>
      <c r="D269" s="2"/>
      <c r="E269" s="2"/>
      <c r="F269" s="2"/>
      <c r="G269" s="2"/>
    </row>
    <row r="270" spans="1:7" ht="13.2" x14ac:dyDescent="0.25">
      <c r="A270" s="2"/>
      <c r="B270" s="2"/>
      <c r="C270" s="2"/>
      <c r="D270" s="2"/>
      <c r="E270" s="2"/>
      <c r="F270" s="2"/>
      <c r="G270" s="2"/>
    </row>
    <row r="271" spans="1:7" ht="13.2" x14ac:dyDescent="0.25">
      <c r="A271" s="2"/>
      <c r="B271" s="2"/>
      <c r="C271" s="2"/>
      <c r="D271" s="2"/>
      <c r="E271" s="2"/>
      <c r="F271" s="2"/>
      <c r="G271" s="2"/>
    </row>
    <row r="272" spans="1:7" ht="13.2" x14ac:dyDescent="0.25">
      <c r="A272" s="2"/>
      <c r="B272" s="2"/>
      <c r="C272" s="2"/>
      <c r="D272" s="2"/>
      <c r="E272" s="2"/>
      <c r="F272" s="2"/>
      <c r="G272" s="2"/>
    </row>
    <row r="273" spans="1:7" ht="13.2" x14ac:dyDescent="0.25">
      <c r="A273" s="2"/>
      <c r="B273" s="2"/>
      <c r="C273" s="2"/>
      <c r="D273" s="2"/>
      <c r="E273" s="2"/>
      <c r="F273" s="2"/>
      <c r="G273" s="2"/>
    </row>
    <row r="274" spans="1:7" ht="13.2" x14ac:dyDescent="0.25">
      <c r="A274" s="2"/>
      <c r="B274" s="2"/>
      <c r="C274" s="2"/>
      <c r="D274" s="2"/>
      <c r="E274" s="2"/>
      <c r="F274" s="2"/>
      <c r="G274" s="2"/>
    </row>
    <row r="275" spans="1:7" ht="13.2" x14ac:dyDescent="0.25">
      <c r="A275" s="2"/>
      <c r="B275" s="2"/>
      <c r="C275" s="2"/>
      <c r="D275" s="2"/>
      <c r="E275" s="2"/>
      <c r="F275" s="2"/>
      <c r="G275" s="2"/>
    </row>
    <row r="276" spans="1:7" ht="13.2" x14ac:dyDescent="0.25">
      <c r="A276" s="2"/>
      <c r="B276" s="2"/>
      <c r="C276" s="2"/>
      <c r="D276" s="2"/>
      <c r="E276" s="2"/>
      <c r="F276" s="2"/>
      <c r="G276" s="2"/>
    </row>
    <row r="277" spans="1:7" ht="13.2" x14ac:dyDescent="0.25">
      <c r="A277" s="2"/>
      <c r="B277" s="2"/>
      <c r="C277" s="2"/>
      <c r="D277" s="2"/>
      <c r="E277" s="2"/>
      <c r="F277" s="2"/>
      <c r="G277" s="2"/>
    </row>
    <row r="278" spans="1:7" ht="13.2" x14ac:dyDescent="0.25">
      <c r="A278" s="2"/>
      <c r="B278" s="2"/>
      <c r="C278" s="2"/>
      <c r="D278" s="2"/>
      <c r="E278" s="2"/>
      <c r="F278" s="2"/>
      <c r="G278" s="2"/>
    </row>
    <row r="279" spans="1:7" ht="13.2" x14ac:dyDescent="0.25">
      <c r="A279" s="2"/>
      <c r="B279" s="2"/>
      <c r="C279" s="2"/>
      <c r="D279" s="2"/>
      <c r="E279" s="2"/>
      <c r="F279" s="2"/>
      <c r="G279" s="2"/>
    </row>
    <row r="280" spans="1:7" ht="13.2" x14ac:dyDescent="0.25">
      <c r="A280" s="2"/>
      <c r="B280" s="2"/>
      <c r="C280" s="2"/>
      <c r="D280" s="2"/>
      <c r="E280" s="2"/>
      <c r="F280" s="2"/>
      <c r="G280" s="2"/>
    </row>
    <row r="281" spans="1:7" ht="13.2" x14ac:dyDescent="0.25">
      <c r="A281" s="2"/>
      <c r="B281" s="2"/>
      <c r="C281" s="2"/>
      <c r="D281" s="2"/>
      <c r="E281" s="2"/>
      <c r="F281" s="2"/>
      <c r="G281" s="2"/>
    </row>
    <row r="282" spans="1:7" ht="13.2" x14ac:dyDescent="0.25">
      <c r="A282" s="2"/>
      <c r="B282" s="2"/>
      <c r="C282" s="2"/>
      <c r="D282" s="2"/>
      <c r="E282" s="2"/>
      <c r="F282" s="2"/>
      <c r="G282" s="2"/>
    </row>
    <row r="283" spans="1:7" ht="13.2" x14ac:dyDescent="0.25">
      <c r="A283" s="2"/>
      <c r="B283" s="2"/>
      <c r="C283" s="2"/>
      <c r="D283" s="2"/>
      <c r="E283" s="2"/>
      <c r="F283" s="2"/>
      <c r="G283" s="2"/>
    </row>
    <row r="284" spans="1:7" ht="13.2" x14ac:dyDescent="0.25">
      <c r="A284" s="2"/>
      <c r="B284" s="2"/>
      <c r="C284" s="2"/>
      <c r="D284" s="2"/>
      <c r="E284" s="2"/>
      <c r="F284" s="2"/>
      <c r="G284" s="2"/>
    </row>
    <row r="285" spans="1:7" ht="13.2" x14ac:dyDescent="0.25">
      <c r="A285" s="2"/>
      <c r="B285" s="2"/>
      <c r="C285" s="2"/>
      <c r="D285" s="2"/>
      <c r="E285" s="2"/>
      <c r="F285" s="2"/>
      <c r="G285" s="2"/>
    </row>
    <row r="286" spans="1:7" ht="13.2" x14ac:dyDescent="0.25">
      <c r="A286" s="2"/>
      <c r="B286" s="2"/>
      <c r="C286" s="2"/>
      <c r="D286" s="2"/>
      <c r="E286" s="2"/>
      <c r="F286" s="2"/>
      <c r="G286" s="2"/>
    </row>
    <row r="287" spans="1:7" ht="13.2" x14ac:dyDescent="0.25">
      <c r="A287" s="2"/>
      <c r="B287" s="2"/>
      <c r="C287" s="2"/>
      <c r="D287" s="2"/>
      <c r="E287" s="2"/>
      <c r="F287" s="2"/>
      <c r="G287" s="2"/>
    </row>
    <row r="288" spans="1:7" ht="13.2" x14ac:dyDescent="0.25">
      <c r="A288" s="2"/>
      <c r="B288" s="2"/>
      <c r="C288" s="2"/>
      <c r="D288" s="2"/>
      <c r="E288" s="2"/>
      <c r="F288" s="2"/>
      <c r="G288" s="2"/>
    </row>
    <row r="289" spans="1:7" ht="13.2" x14ac:dyDescent="0.25">
      <c r="A289" s="2"/>
      <c r="B289" s="2"/>
      <c r="C289" s="2"/>
      <c r="D289" s="2"/>
      <c r="E289" s="2"/>
      <c r="F289" s="2"/>
      <c r="G289" s="2"/>
    </row>
    <row r="290" spans="1:7" ht="13.2" x14ac:dyDescent="0.25">
      <c r="A290" s="2"/>
      <c r="B290" s="2"/>
      <c r="C290" s="2"/>
      <c r="D290" s="2"/>
      <c r="E290" s="2"/>
      <c r="F290" s="2"/>
      <c r="G290" s="2"/>
    </row>
    <row r="291" spans="1:7" ht="13.2" x14ac:dyDescent="0.25">
      <c r="A291" s="2"/>
      <c r="B291" s="2"/>
      <c r="C291" s="2"/>
      <c r="D291" s="2"/>
      <c r="E291" s="2"/>
      <c r="F291" s="2"/>
      <c r="G291" s="2"/>
    </row>
    <row r="292" spans="1:7" ht="13.2" x14ac:dyDescent="0.25">
      <c r="A292" s="2"/>
      <c r="B292" s="2"/>
      <c r="C292" s="2"/>
      <c r="D292" s="2"/>
      <c r="E292" s="2"/>
      <c r="F292" s="2"/>
      <c r="G292" s="2"/>
    </row>
    <row r="293" spans="1:7" ht="13.2" x14ac:dyDescent="0.25">
      <c r="A293" s="2"/>
      <c r="B293" s="2"/>
      <c r="C293" s="2"/>
      <c r="D293" s="2"/>
      <c r="E293" s="2"/>
      <c r="F293" s="2"/>
      <c r="G293" s="2"/>
    </row>
    <row r="294" spans="1:7" ht="13.2" x14ac:dyDescent="0.25">
      <c r="A294" s="2"/>
      <c r="B294" s="2"/>
      <c r="C294" s="2"/>
      <c r="D294" s="2"/>
      <c r="E294" s="2"/>
      <c r="F294" s="2"/>
      <c r="G294" s="2"/>
    </row>
    <row r="295" spans="1:7" ht="13.2" x14ac:dyDescent="0.25">
      <c r="A295" s="2"/>
      <c r="B295" s="2"/>
      <c r="C295" s="2"/>
      <c r="D295" s="2"/>
      <c r="E295" s="2"/>
      <c r="F295" s="2"/>
      <c r="G295" s="2"/>
    </row>
    <row r="296" spans="1:7" ht="13.2" x14ac:dyDescent="0.25">
      <c r="A296" s="2"/>
      <c r="B296" s="2"/>
      <c r="C296" s="2"/>
      <c r="D296" s="2"/>
      <c r="E296" s="2"/>
      <c r="F296" s="2"/>
      <c r="G296" s="2"/>
    </row>
    <row r="297" spans="1:7" ht="13.2" x14ac:dyDescent="0.25">
      <c r="A297" s="2"/>
      <c r="B297" s="2"/>
      <c r="C297" s="2"/>
      <c r="D297" s="2"/>
      <c r="E297" s="2"/>
      <c r="F297" s="2"/>
      <c r="G297" s="2"/>
    </row>
    <row r="298" spans="1:7" ht="13.2" x14ac:dyDescent="0.25">
      <c r="A298" s="2"/>
      <c r="B298" s="2"/>
      <c r="C298" s="2"/>
      <c r="D298" s="2"/>
      <c r="E298" s="2"/>
      <c r="F298" s="2"/>
      <c r="G298" s="2"/>
    </row>
    <row r="299" spans="1:7" ht="13.2" x14ac:dyDescent="0.25">
      <c r="A299" s="2"/>
      <c r="B299" s="2"/>
      <c r="C299" s="2"/>
      <c r="D299" s="2"/>
      <c r="E299" s="2"/>
      <c r="F299" s="2"/>
      <c r="G299" s="2"/>
    </row>
    <row r="300" spans="1:7" ht="13.2" x14ac:dyDescent="0.25">
      <c r="A300" s="2"/>
      <c r="B300" s="2"/>
      <c r="C300" s="2"/>
      <c r="D300" s="2"/>
      <c r="E300" s="2"/>
      <c r="F300" s="2"/>
      <c r="G300" s="2"/>
    </row>
    <row r="301" spans="1:7" ht="13.2" x14ac:dyDescent="0.25">
      <c r="A301" s="2"/>
      <c r="B301" s="2"/>
      <c r="C301" s="2"/>
      <c r="D301" s="2"/>
      <c r="E301" s="2"/>
      <c r="F301" s="2"/>
      <c r="G301" s="2"/>
    </row>
    <row r="302" spans="1:7" ht="13.2" x14ac:dyDescent="0.25">
      <c r="A302" s="2"/>
      <c r="B302" s="2"/>
      <c r="C302" s="2"/>
      <c r="D302" s="2"/>
      <c r="E302" s="2"/>
      <c r="F302" s="2"/>
      <c r="G302" s="2"/>
    </row>
    <row r="303" spans="1:7" ht="13.2" x14ac:dyDescent="0.25">
      <c r="A303" s="2"/>
      <c r="B303" s="2"/>
      <c r="C303" s="2"/>
      <c r="D303" s="2"/>
      <c r="E303" s="2"/>
      <c r="F303" s="2"/>
      <c r="G303" s="2"/>
    </row>
    <row r="304" spans="1:7" ht="13.2" x14ac:dyDescent="0.25">
      <c r="A304" s="2"/>
      <c r="B304" s="2"/>
      <c r="C304" s="2"/>
      <c r="D304" s="2"/>
      <c r="E304" s="2"/>
      <c r="F304" s="2"/>
      <c r="G304" s="2"/>
    </row>
    <row r="305" spans="1:7" ht="13.2" x14ac:dyDescent="0.25">
      <c r="A305" s="2"/>
      <c r="B305" s="2"/>
      <c r="C305" s="2"/>
      <c r="D305" s="2"/>
      <c r="E305" s="2"/>
      <c r="F305" s="2"/>
      <c r="G305" s="2"/>
    </row>
    <row r="306" spans="1:7" ht="13.2" x14ac:dyDescent="0.25">
      <c r="A306" s="2"/>
      <c r="B306" s="2"/>
      <c r="C306" s="2"/>
      <c r="D306" s="2"/>
      <c r="E306" s="2"/>
      <c r="F306" s="2"/>
      <c r="G306" s="2"/>
    </row>
    <row r="307" spans="1:7" ht="13.2" x14ac:dyDescent="0.25">
      <c r="A307" s="2"/>
      <c r="B307" s="2"/>
      <c r="C307" s="2"/>
      <c r="D307" s="2"/>
      <c r="E307" s="2"/>
      <c r="F307" s="2"/>
      <c r="G307" s="2"/>
    </row>
    <row r="308" spans="1:7" ht="13.2" x14ac:dyDescent="0.25">
      <c r="A308" s="2"/>
      <c r="B308" s="2"/>
      <c r="C308" s="2"/>
      <c r="D308" s="2"/>
      <c r="E308" s="2"/>
      <c r="F308" s="2"/>
      <c r="G308" s="2"/>
    </row>
    <row r="309" spans="1:7" ht="13.2" x14ac:dyDescent="0.25">
      <c r="A309" s="2"/>
      <c r="B309" s="2"/>
      <c r="C309" s="2"/>
      <c r="D309" s="2"/>
      <c r="E309" s="2"/>
      <c r="F309" s="2"/>
      <c r="G309" s="2"/>
    </row>
    <row r="310" spans="1:7" ht="13.2" x14ac:dyDescent="0.25">
      <c r="A310" s="2"/>
      <c r="B310" s="2"/>
      <c r="C310" s="2"/>
      <c r="D310" s="2"/>
      <c r="E310" s="2"/>
      <c r="F310" s="2"/>
      <c r="G310" s="2"/>
    </row>
    <row r="311" spans="1:7" ht="13.2" x14ac:dyDescent="0.25">
      <c r="A311" s="2"/>
      <c r="B311" s="2"/>
      <c r="C311" s="2"/>
      <c r="D311" s="2"/>
      <c r="E311" s="2"/>
      <c r="F311" s="2"/>
      <c r="G311" s="2"/>
    </row>
    <row r="312" spans="1:7" ht="13.2" x14ac:dyDescent="0.25">
      <c r="A312" s="2"/>
      <c r="B312" s="2"/>
      <c r="C312" s="2"/>
      <c r="D312" s="2"/>
      <c r="E312" s="2"/>
      <c r="F312" s="2"/>
      <c r="G312" s="2"/>
    </row>
    <row r="313" spans="1:7" ht="13.2" x14ac:dyDescent="0.25">
      <c r="A313" s="2"/>
      <c r="B313" s="2"/>
      <c r="C313" s="2"/>
      <c r="D313" s="2"/>
      <c r="E313" s="2"/>
      <c r="F313" s="2"/>
      <c r="G313" s="2"/>
    </row>
    <row r="314" spans="1:7" ht="13.2" x14ac:dyDescent="0.25">
      <c r="A314" s="2"/>
      <c r="B314" s="2"/>
      <c r="C314" s="2"/>
      <c r="D314" s="2"/>
      <c r="E314" s="2"/>
      <c r="F314" s="2"/>
      <c r="G314" s="2"/>
    </row>
    <row r="315" spans="1:7" ht="13.2" x14ac:dyDescent="0.25">
      <c r="A315" s="2"/>
      <c r="B315" s="2"/>
      <c r="C315" s="2"/>
      <c r="D315" s="2"/>
      <c r="E315" s="2"/>
      <c r="F315" s="2"/>
      <c r="G315" s="2"/>
    </row>
    <row r="316" spans="1:7" ht="13.2" x14ac:dyDescent="0.25">
      <c r="A316" s="2"/>
      <c r="B316" s="2"/>
      <c r="C316" s="2"/>
      <c r="D316" s="2"/>
      <c r="E316" s="2"/>
      <c r="F316" s="2"/>
      <c r="G316" s="2"/>
    </row>
    <row r="317" spans="1:7" ht="13.2" x14ac:dyDescent="0.25">
      <c r="A317" s="2"/>
      <c r="B317" s="2"/>
      <c r="C317" s="2"/>
      <c r="D317" s="2"/>
      <c r="E317" s="2"/>
      <c r="F317" s="2"/>
      <c r="G317" s="2"/>
    </row>
    <row r="318" spans="1:7" ht="13.2" x14ac:dyDescent="0.25">
      <c r="A318" s="2"/>
      <c r="B318" s="2"/>
      <c r="C318" s="2"/>
      <c r="D318" s="2"/>
      <c r="E318" s="2"/>
      <c r="F318" s="2"/>
      <c r="G318" s="2"/>
    </row>
    <row r="319" spans="1:7" ht="13.2" x14ac:dyDescent="0.25">
      <c r="A319" s="2"/>
      <c r="B319" s="2"/>
      <c r="C319" s="2"/>
      <c r="D319" s="2"/>
      <c r="E319" s="2"/>
      <c r="F319" s="2"/>
      <c r="G319" s="2"/>
    </row>
    <row r="320" spans="1:7" ht="13.2" x14ac:dyDescent="0.25">
      <c r="A320" s="2"/>
      <c r="B320" s="2"/>
      <c r="C320" s="2"/>
      <c r="D320" s="2"/>
      <c r="E320" s="2"/>
      <c r="F320" s="2"/>
      <c r="G320" s="2"/>
    </row>
    <row r="321" spans="1:7" ht="13.2" x14ac:dyDescent="0.25">
      <c r="A321" s="2"/>
      <c r="B321" s="2"/>
      <c r="C321" s="2"/>
      <c r="D321" s="2"/>
      <c r="E321" s="2"/>
      <c r="F321" s="2"/>
      <c r="G321" s="2"/>
    </row>
    <row r="322" spans="1:7" ht="13.2" x14ac:dyDescent="0.25">
      <c r="A322" s="2"/>
      <c r="B322" s="2"/>
      <c r="C322" s="2"/>
      <c r="D322" s="2"/>
      <c r="E322" s="2"/>
      <c r="F322" s="2"/>
      <c r="G322" s="2"/>
    </row>
    <row r="323" spans="1:7" ht="13.2" x14ac:dyDescent="0.25">
      <c r="A323" s="2"/>
      <c r="B323" s="2"/>
      <c r="C323" s="2"/>
      <c r="D323" s="2"/>
      <c r="E323" s="2"/>
      <c r="F323" s="2"/>
      <c r="G323" s="2"/>
    </row>
    <row r="324" spans="1:7" ht="13.2" x14ac:dyDescent="0.25">
      <c r="A324" s="2"/>
      <c r="B324" s="2"/>
      <c r="C324" s="2"/>
      <c r="D324" s="2"/>
      <c r="E324" s="2"/>
      <c r="F324" s="2"/>
      <c r="G324" s="2"/>
    </row>
    <row r="325" spans="1:7" ht="13.2" x14ac:dyDescent="0.25">
      <c r="A325" s="2"/>
      <c r="B325" s="2"/>
      <c r="C325" s="2"/>
      <c r="D325" s="2"/>
      <c r="E325" s="2"/>
      <c r="F325" s="2"/>
      <c r="G325" s="2"/>
    </row>
    <row r="326" spans="1:7" ht="13.2" x14ac:dyDescent="0.25">
      <c r="A326" s="2"/>
      <c r="B326" s="2"/>
      <c r="C326" s="2"/>
      <c r="D326" s="2"/>
      <c r="E326" s="2"/>
      <c r="F326" s="2"/>
      <c r="G326" s="2"/>
    </row>
    <row r="327" spans="1:7" ht="13.2" x14ac:dyDescent="0.25">
      <c r="A327" s="2"/>
      <c r="B327" s="2"/>
      <c r="C327" s="2"/>
      <c r="D327" s="2"/>
      <c r="E327" s="2"/>
      <c r="F327" s="2"/>
      <c r="G327" s="2"/>
    </row>
    <row r="328" spans="1:7" ht="13.2" x14ac:dyDescent="0.25">
      <c r="A328" s="2"/>
      <c r="B328" s="2"/>
      <c r="C328" s="2"/>
      <c r="D328" s="2"/>
      <c r="E328" s="2"/>
      <c r="F328" s="2"/>
      <c r="G328" s="2"/>
    </row>
    <row r="329" spans="1:7" ht="13.2" x14ac:dyDescent="0.25">
      <c r="A329" s="2"/>
      <c r="B329" s="2"/>
      <c r="C329" s="2"/>
      <c r="D329" s="2"/>
      <c r="E329" s="2"/>
      <c r="F329" s="2"/>
      <c r="G329" s="2"/>
    </row>
    <row r="330" spans="1:7" ht="13.2" x14ac:dyDescent="0.25">
      <c r="A330" s="2"/>
      <c r="B330" s="2"/>
      <c r="C330" s="2"/>
      <c r="D330" s="2"/>
      <c r="E330" s="2"/>
      <c r="F330" s="2"/>
      <c r="G330" s="2"/>
    </row>
    <row r="331" spans="1:7" ht="13.2" x14ac:dyDescent="0.25">
      <c r="A331" s="2"/>
      <c r="B331" s="2"/>
      <c r="C331" s="2"/>
      <c r="D331" s="2"/>
      <c r="E331" s="2"/>
      <c r="F331" s="2"/>
      <c r="G331" s="2"/>
    </row>
    <row r="332" spans="1:7" ht="13.2" x14ac:dyDescent="0.25">
      <c r="A332" s="2"/>
      <c r="B332" s="2"/>
      <c r="C332" s="2"/>
      <c r="D332" s="2"/>
      <c r="E332" s="2"/>
      <c r="F332" s="2"/>
      <c r="G332" s="2"/>
    </row>
    <row r="333" spans="1:7" ht="13.2" x14ac:dyDescent="0.25">
      <c r="A333" s="2"/>
      <c r="B333" s="2"/>
      <c r="C333" s="2"/>
      <c r="D333" s="2"/>
      <c r="E333" s="2"/>
      <c r="F333" s="2"/>
      <c r="G333" s="2"/>
    </row>
    <row r="334" spans="1:7" ht="13.2" x14ac:dyDescent="0.25">
      <c r="A334" s="2"/>
      <c r="B334" s="2"/>
      <c r="C334" s="2"/>
      <c r="D334" s="2"/>
      <c r="E334" s="2"/>
      <c r="F334" s="2"/>
      <c r="G334" s="2"/>
    </row>
    <row r="335" spans="1:7" ht="13.2" x14ac:dyDescent="0.25">
      <c r="A335" s="2"/>
      <c r="B335" s="2"/>
      <c r="C335" s="2"/>
      <c r="D335" s="2"/>
      <c r="E335" s="2"/>
      <c r="F335" s="2"/>
      <c r="G335" s="2"/>
    </row>
    <row r="336" spans="1:7" ht="13.2" x14ac:dyDescent="0.25">
      <c r="A336" s="2"/>
      <c r="B336" s="2"/>
      <c r="C336" s="2"/>
      <c r="D336" s="2"/>
      <c r="E336" s="2"/>
      <c r="F336" s="2"/>
      <c r="G336" s="2"/>
    </row>
    <row r="337" spans="1:7" ht="13.2" x14ac:dyDescent="0.25">
      <c r="A337" s="2"/>
      <c r="B337" s="2"/>
      <c r="C337" s="2"/>
      <c r="D337" s="2"/>
      <c r="E337" s="2"/>
      <c r="F337" s="2"/>
      <c r="G337" s="2"/>
    </row>
    <row r="338" spans="1:7" ht="13.2" x14ac:dyDescent="0.25">
      <c r="A338" s="2"/>
      <c r="B338" s="2"/>
      <c r="C338" s="2"/>
      <c r="D338" s="2"/>
      <c r="E338" s="2"/>
      <c r="F338" s="2"/>
      <c r="G338" s="2"/>
    </row>
    <row r="339" spans="1:7" ht="13.2" x14ac:dyDescent="0.25">
      <c r="A339" s="2"/>
      <c r="B339" s="2"/>
      <c r="C339" s="2"/>
      <c r="D339" s="2"/>
      <c r="E339" s="2"/>
      <c r="F339" s="2"/>
      <c r="G339" s="2"/>
    </row>
    <row r="340" spans="1:7" ht="13.2" x14ac:dyDescent="0.25">
      <c r="A340" s="2"/>
      <c r="B340" s="2"/>
      <c r="C340" s="2"/>
      <c r="D340" s="2"/>
      <c r="E340" s="2"/>
      <c r="F340" s="2"/>
      <c r="G340" s="2"/>
    </row>
    <row r="341" spans="1:7" ht="13.2" x14ac:dyDescent="0.25">
      <c r="A341" s="2"/>
      <c r="B341" s="2"/>
      <c r="C341" s="2"/>
      <c r="D341" s="2"/>
      <c r="E341" s="2"/>
      <c r="F341" s="2"/>
      <c r="G341" s="2"/>
    </row>
    <row r="342" spans="1:7" ht="13.2" x14ac:dyDescent="0.25">
      <c r="A342" s="2"/>
      <c r="B342" s="2"/>
      <c r="C342" s="2"/>
      <c r="D342" s="2"/>
      <c r="E342" s="2"/>
      <c r="F342" s="2"/>
      <c r="G342" s="2"/>
    </row>
    <row r="343" spans="1:7" ht="13.2" x14ac:dyDescent="0.25">
      <c r="A343" s="2"/>
      <c r="B343" s="2"/>
      <c r="C343" s="2"/>
      <c r="D343" s="2"/>
      <c r="E343" s="2"/>
      <c r="F343" s="2"/>
      <c r="G343" s="2"/>
    </row>
    <row r="344" spans="1:7" ht="13.2" x14ac:dyDescent="0.25">
      <c r="A344" s="2"/>
      <c r="B344" s="2"/>
      <c r="C344" s="2"/>
      <c r="D344" s="2"/>
      <c r="E344" s="2"/>
      <c r="F344" s="2"/>
      <c r="G344" s="2"/>
    </row>
    <row r="345" spans="1:7" ht="13.2" x14ac:dyDescent="0.25">
      <c r="A345" s="2"/>
      <c r="B345" s="2"/>
      <c r="C345" s="2"/>
      <c r="D345" s="2"/>
      <c r="E345" s="2"/>
      <c r="F345" s="2"/>
      <c r="G345" s="2"/>
    </row>
    <row r="346" spans="1:7" ht="13.2" x14ac:dyDescent="0.25">
      <c r="A346" s="2"/>
      <c r="B346" s="2"/>
      <c r="C346" s="2"/>
      <c r="D346" s="2"/>
      <c r="E346" s="2"/>
      <c r="F346" s="2"/>
      <c r="G346" s="2"/>
    </row>
    <row r="347" spans="1:7" ht="13.2" x14ac:dyDescent="0.25">
      <c r="A347" s="2"/>
      <c r="B347" s="2"/>
      <c r="C347" s="2"/>
      <c r="D347" s="2"/>
      <c r="E347" s="2"/>
      <c r="F347" s="2"/>
      <c r="G347" s="2"/>
    </row>
    <row r="348" spans="1:7" ht="13.2" x14ac:dyDescent="0.25">
      <c r="A348" s="2"/>
      <c r="B348" s="2"/>
      <c r="C348" s="2"/>
      <c r="D348" s="2"/>
      <c r="E348" s="2"/>
      <c r="F348" s="2"/>
      <c r="G348" s="2"/>
    </row>
    <row r="349" spans="1:7" ht="13.2" x14ac:dyDescent="0.25">
      <c r="A349" s="2"/>
      <c r="B349" s="2"/>
      <c r="C349" s="2"/>
      <c r="D349" s="2"/>
      <c r="E349" s="2"/>
      <c r="F349" s="2"/>
      <c r="G349" s="2"/>
    </row>
    <row r="350" spans="1:7" ht="13.2" x14ac:dyDescent="0.25">
      <c r="A350" s="2"/>
      <c r="B350" s="2"/>
      <c r="C350" s="2"/>
      <c r="D350" s="2"/>
      <c r="E350" s="2"/>
      <c r="F350" s="2"/>
      <c r="G350" s="2"/>
    </row>
    <row r="351" spans="1:7" ht="13.2" x14ac:dyDescent="0.25">
      <c r="A351" s="2"/>
      <c r="B351" s="2"/>
      <c r="C351" s="2"/>
      <c r="D351" s="2"/>
      <c r="E351" s="2"/>
      <c r="F351" s="2"/>
      <c r="G351" s="2"/>
    </row>
    <row r="352" spans="1:7" ht="13.2" x14ac:dyDescent="0.25">
      <c r="A352" s="2"/>
      <c r="B352" s="2"/>
      <c r="C352" s="2"/>
      <c r="D352" s="2"/>
      <c r="E352" s="2"/>
      <c r="F352" s="2"/>
      <c r="G352" s="2"/>
    </row>
    <row r="353" spans="1:7" ht="13.2" x14ac:dyDescent="0.25">
      <c r="A353" s="2"/>
      <c r="B353" s="2"/>
      <c r="C353" s="2"/>
      <c r="D353" s="2"/>
      <c r="E353" s="2"/>
      <c r="F353" s="2"/>
      <c r="G353" s="2"/>
    </row>
    <row r="354" spans="1:7" ht="13.2" x14ac:dyDescent="0.25">
      <c r="A354" s="2"/>
      <c r="B354" s="2"/>
      <c r="C354" s="2"/>
      <c r="D354" s="2"/>
      <c r="E354" s="2"/>
      <c r="F354" s="2"/>
      <c r="G354" s="2"/>
    </row>
    <row r="355" spans="1:7" ht="13.2" x14ac:dyDescent="0.25">
      <c r="A355" s="2"/>
      <c r="B355" s="2"/>
      <c r="C355" s="2"/>
      <c r="D355" s="2"/>
      <c r="E355" s="2"/>
      <c r="F355" s="2"/>
      <c r="G355" s="2"/>
    </row>
    <row r="356" spans="1:7" ht="13.2" x14ac:dyDescent="0.25">
      <c r="A356" s="2"/>
      <c r="B356" s="2"/>
      <c r="C356" s="2"/>
      <c r="D356" s="2"/>
      <c r="E356" s="2"/>
      <c r="F356" s="2"/>
      <c r="G356" s="2"/>
    </row>
    <row r="357" spans="1:7" ht="13.2" x14ac:dyDescent="0.25">
      <c r="A357" s="2"/>
      <c r="B357" s="2"/>
      <c r="C357" s="2"/>
      <c r="D357" s="2"/>
      <c r="E357" s="2"/>
      <c r="F357" s="2"/>
      <c r="G357" s="2"/>
    </row>
    <row r="358" spans="1:7" ht="13.2" x14ac:dyDescent="0.25">
      <c r="A358" s="2"/>
      <c r="B358" s="2"/>
      <c r="C358" s="2"/>
      <c r="D358" s="2"/>
      <c r="E358" s="2"/>
      <c r="F358" s="2"/>
      <c r="G358" s="2"/>
    </row>
    <row r="359" spans="1:7" ht="13.2" x14ac:dyDescent="0.25">
      <c r="A359" s="2"/>
      <c r="B359" s="2"/>
      <c r="C359" s="2"/>
      <c r="D359" s="2"/>
      <c r="E359" s="2"/>
      <c r="F359" s="2"/>
      <c r="G359" s="2"/>
    </row>
    <row r="360" spans="1:7" ht="13.2" x14ac:dyDescent="0.25">
      <c r="A360" s="2"/>
      <c r="B360" s="2"/>
      <c r="C360" s="2"/>
      <c r="D360" s="2"/>
      <c r="E360" s="2"/>
      <c r="F360" s="2"/>
      <c r="G360" s="2"/>
    </row>
    <row r="361" spans="1:7" ht="13.2" x14ac:dyDescent="0.25">
      <c r="A361" s="2"/>
      <c r="B361" s="2"/>
      <c r="C361" s="2"/>
      <c r="D361" s="2"/>
      <c r="E361" s="2"/>
      <c r="F361" s="2"/>
      <c r="G361" s="2"/>
    </row>
    <row r="362" spans="1:7" ht="13.2" x14ac:dyDescent="0.25">
      <c r="A362" s="2"/>
      <c r="B362" s="2"/>
      <c r="C362" s="2"/>
      <c r="D362" s="2"/>
      <c r="E362" s="2"/>
      <c r="F362" s="2"/>
      <c r="G362" s="2"/>
    </row>
    <row r="363" spans="1:7" ht="13.2" x14ac:dyDescent="0.25">
      <c r="A363" s="2"/>
      <c r="B363" s="2"/>
      <c r="C363" s="2"/>
      <c r="D363" s="2"/>
      <c r="E363" s="2"/>
      <c r="F363" s="2"/>
      <c r="G363" s="2"/>
    </row>
    <row r="364" spans="1:7" ht="13.2" x14ac:dyDescent="0.25">
      <c r="A364" s="2"/>
      <c r="B364" s="2"/>
      <c r="C364" s="2"/>
      <c r="D364" s="2"/>
      <c r="E364" s="2"/>
      <c r="F364" s="2"/>
      <c r="G364" s="2"/>
    </row>
    <row r="365" spans="1:7" ht="13.2" x14ac:dyDescent="0.25">
      <c r="A365" s="2"/>
      <c r="B365" s="2"/>
      <c r="C365" s="2"/>
      <c r="D365" s="2"/>
      <c r="E365" s="2"/>
      <c r="F365" s="2"/>
      <c r="G365" s="2"/>
    </row>
    <row r="366" spans="1:7" ht="13.2" x14ac:dyDescent="0.25">
      <c r="A366" s="2"/>
      <c r="B366" s="2"/>
      <c r="C366" s="2"/>
      <c r="D366" s="2"/>
      <c r="E366" s="2"/>
      <c r="F366" s="2"/>
      <c r="G366" s="2"/>
    </row>
    <row r="367" spans="1:7" ht="13.2" x14ac:dyDescent="0.25">
      <c r="A367" s="2"/>
      <c r="B367" s="2"/>
      <c r="C367" s="2"/>
      <c r="D367" s="2"/>
      <c r="E367" s="2"/>
      <c r="F367" s="2"/>
      <c r="G367" s="2"/>
    </row>
    <row r="368" spans="1:7" ht="13.2" x14ac:dyDescent="0.25">
      <c r="A368" s="2"/>
      <c r="B368" s="2"/>
      <c r="C368" s="2"/>
      <c r="D368" s="2"/>
      <c r="E368" s="2"/>
      <c r="F368" s="2"/>
      <c r="G368" s="2"/>
    </row>
    <row r="369" spans="1:7" ht="13.2" x14ac:dyDescent="0.25">
      <c r="A369" s="2"/>
      <c r="B369" s="2"/>
      <c r="C369" s="2"/>
      <c r="D369" s="2"/>
      <c r="E369" s="2"/>
      <c r="F369" s="2"/>
      <c r="G369" s="2"/>
    </row>
    <row r="370" spans="1:7" ht="13.2" x14ac:dyDescent="0.25">
      <c r="A370" s="2"/>
      <c r="B370" s="2"/>
      <c r="C370" s="2"/>
      <c r="D370" s="2"/>
      <c r="E370" s="2"/>
      <c r="F370" s="2"/>
      <c r="G370" s="2"/>
    </row>
    <row r="371" spans="1:7" ht="13.2" x14ac:dyDescent="0.25">
      <c r="A371" s="2"/>
      <c r="B371" s="2"/>
      <c r="C371" s="2"/>
      <c r="D371" s="2"/>
      <c r="E371" s="2"/>
      <c r="F371" s="2"/>
      <c r="G371" s="2"/>
    </row>
    <row r="372" spans="1:7" ht="13.2" x14ac:dyDescent="0.25">
      <c r="A372" s="2"/>
      <c r="B372" s="2"/>
      <c r="C372" s="2"/>
      <c r="D372" s="2"/>
      <c r="E372" s="2"/>
      <c r="F372" s="2"/>
      <c r="G372" s="2"/>
    </row>
    <row r="373" spans="1:7" ht="13.2" x14ac:dyDescent="0.25">
      <c r="A373" s="2"/>
      <c r="B373" s="2"/>
      <c r="C373" s="2"/>
      <c r="D373" s="2"/>
      <c r="E373" s="2"/>
      <c r="F373" s="2"/>
      <c r="G373" s="2"/>
    </row>
    <row r="374" spans="1:7" ht="13.2" x14ac:dyDescent="0.25">
      <c r="A374" s="2"/>
      <c r="B374" s="2"/>
      <c r="C374" s="2"/>
      <c r="D374" s="2"/>
      <c r="E374" s="2"/>
      <c r="F374" s="2"/>
      <c r="G374" s="2"/>
    </row>
    <row r="375" spans="1:7" ht="13.2" x14ac:dyDescent="0.25">
      <c r="A375" s="2"/>
      <c r="B375" s="2"/>
      <c r="C375" s="2"/>
      <c r="D375" s="2"/>
      <c r="E375" s="2"/>
      <c r="F375" s="2"/>
      <c r="G375" s="2"/>
    </row>
    <row r="376" spans="1:7" ht="13.2" x14ac:dyDescent="0.25">
      <c r="A376" s="2"/>
      <c r="B376" s="2"/>
      <c r="C376" s="2"/>
      <c r="D376" s="2"/>
      <c r="E376" s="2"/>
      <c r="F376" s="2"/>
      <c r="G376" s="2"/>
    </row>
    <row r="377" spans="1:7" ht="13.2" x14ac:dyDescent="0.25">
      <c r="A377" s="2"/>
      <c r="B377" s="2"/>
      <c r="C377" s="2"/>
      <c r="D377" s="2"/>
      <c r="E377" s="2"/>
      <c r="F377" s="2"/>
      <c r="G377" s="2"/>
    </row>
    <row r="378" spans="1:7" ht="13.2" x14ac:dyDescent="0.25">
      <c r="A378" s="2"/>
      <c r="B378" s="2"/>
      <c r="C378" s="2"/>
      <c r="D378" s="2"/>
      <c r="E378" s="2"/>
      <c r="F378" s="2"/>
      <c r="G378" s="2"/>
    </row>
    <row r="379" spans="1:7" ht="13.2" x14ac:dyDescent="0.25">
      <c r="A379" s="2"/>
      <c r="B379" s="2"/>
      <c r="C379" s="2"/>
      <c r="D379" s="2"/>
      <c r="E379" s="2"/>
      <c r="F379" s="2"/>
      <c r="G379" s="2"/>
    </row>
    <row r="380" spans="1:7" ht="13.2" x14ac:dyDescent="0.25">
      <c r="A380" s="2"/>
      <c r="B380" s="2"/>
      <c r="C380" s="2"/>
      <c r="D380" s="2"/>
      <c r="E380" s="2"/>
      <c r="F380" s="2"/>
      <c r="G380" s="2"/>
    </row>
    <row r="381" spans="1:7" ht="13.2" x14ac:dyDescent="0.25">
      <c r="A381" s="2"/>
      <c r="B381" s="2"/>
      <c r="C381" s="2"/>
      <c r="D381" s="2"/>
      <c r="E381" s="2"/>
      <c r="F381" s="2"/>
      <c r="G381" s="2"/>
    </row>
    <row r="382" spans="1:7" ht="13.2" x14ac:dyDescent="0.25">
      <c r="A382" s="2"/>
      <c r="B382" s="2"/>
      <c r="C382" s="2"/>
      <c r="D382" s="2"/>
      <c r="E382" s="2"/>
      <c r="F382" s="2"/>
      <c r="G382" s="2"/>
    </row>
    <row r="383" spans="1:7" ht="13.2" x14ac:dyDescent="0.25">
      <c r="A383" s="2"/>
      <c r="B383" s="2"/>
      <c r="C383" s="2"/>
      <c r="D383" s="2"/>
      <c r="E383" s="2"/>
      <c r="F383" s="2"/>
      <c r="G383" s="2"/>
    </row>
    <row r="384" spans="1:7" ht="13.2" x14ac:dyDescent="0.25">
      <c r="A384" s="2"/>
      <c r="B384" s="2"/>
      <c r="C384" s="2"/>
      <c r="D384" s="2"/>
      <c r="E384" s="2"/>
      <c r="F384" s="2"/>
      <c r="G384" s="2"/>
    </row>
    <row r="385" spans="1:7" ht="13.2" x14ac:dyDescent="0.25">
      <c r="A385" s="2"/>
      <c r="B385" s="2"/>
      <c r="C385" s="2"/>
      <c r="D385" s="2"/>
      <c r="E385" s="2"/>
      <c r="F385" s="2"/>
      <c r="G385" s="2"/>
    </row>
    <row r="386" spans="1:7" ht="13.2" x14ac:dyDescent="0.25">
      <c r="A386" s="2"/>
      <c r="B386" s="2"/>
      <c r="C386" s="2"/>
      <c r="D386" s="2"/>
      <c r="E386" s="2"/>
      <c r="F386" s="2"/>
      <c r="G386" s="2"/>
    </row>
    <row r="387" spans="1:7" ht="13.2" x14ac:dyDescent="0.25">
      <c r="A387" s="2"/>
      <c r="B387" s="2"/>
      <c r="C387" s="2"/>
      <c r="D387" s="2"/>
      <c r="E387" s="2"/>
      <c r="F387" s="2"/>
      <c r="G387" s="2"/>
    </row>
    <row r="388" spans="1:7" ht="13.2" x14ac:dyDescent="0.25">
      <c r="A388" s="2"/>
      <c r="B388" s="2"/>
      <c r="C388" s="2"/>
      <c r="D388" s="2"/>
      <c r="E388" s="2"/>
      <c r="F388" s="2"/>
      <c r="G388" s="2"/>
    </row>
    <row r="389" spans="1:7" ht="13.2" x14ac:dyDescent="0.25">
      <c r="A389" s="2"/>
      <c r="B389" s="2"/>
      <c r="C389" s="2"/>
      <c r="D389" s="2"/>
      <c r="E389" s="2"/>
      <c r="F389" s="2"/>
      <c r="G389" s="2"/>
    </row>
    <row r="390" spans="1:7" ht="13.2" x14ac:dyDescent="0.25">
      <c r="A390" s="2"/>
      <c r="B390" s="2"/>
      <c r="C390" s="2"/>
      <c r="D390" s="2"/>
      <c r="E390" s="2"/>
      <c r="F390" s="2"/>
      <c r="G390" s="2"/>
    </row>
    <row r="391" spans="1:7" ht="13.2" x14ac:dyDescent="0.25">
      <c r="A391" s="2"/>
      <c r="B391" s="2"/>
      <c r="C391" s="2"/>
      <c r="D391" s="2"/>
      <c r="E391" s="2"/>
      <c r="F391" s="2"/>
      <c r="G391" s="2"/>
    </row>
    <row r="392" spans="1:7" ht="13.2" x14ac:dyDescent="0.25">
      <c r="A392" s="2"/>
      <c r="B392" s="2"/>
      <c r="C392" s="2"/>
      <c r="D392" s="2"/>
      <c r="E392" s="2"/>
      <c r="F392" s="2"/>
      <c r="G392" s="2"/>
    </row>
    <row r="393" spans="1:7" ht="13.2" x14ac:dyDescent="0.25">
      <c r="A393" s="2"/>
      <c r="B393" s="2"/>
      <c r="C393" s="2"/>
      <c r="D393" s="2"/>
      <c r="E393" s="2"/>
      <c r="F393" s="2"/>
      <c r="G393" s="2"/>
    </row>
    <row r="394" spans="1:7" ht="13.2" x14ac:dyDescent="0.25">
      <c r="A394" s="2"/>
      <c r="B394" s="2"/>
      <c r="C394" s="2"/>
      <c r="D394" s="2"/>
      <c r="E394" s="2"/>
      <c r="F394" s="2"/>
      <c r="G394" s="2"/>
    </row>
    <row r="395" spans="1:7" ht="13.2" x14ac:dyDescent="0.25">
      <c r="A395" s="2"/>
      <c r="B395" s="2"/>
      <c r="C395" s="2"/>
      <c r="D395" s="2"/>
      <c r="E395" s="2"/>
      <c r="F395" s="2"/>
      <c r="G395" s="2"/>
    </row>
    <row r="396" spans="1:7" ht="13.2" x14ac:dyDescent="0.25">
      <c r="A396" s="2"/>
      <c r="B396" s="2"/>
      <c r="C396" s="2"/>
      <c r="D396" s="2"/>
      <c r="E396" s="2"/>
      <c r="F396" s="2"/>
      <c r="G396" s="2"/>
    </row>
    <row r="397" spans="1:7" ht="13.2" x14ac:dyDescent="0.25">
      <c r="A397" s="2"/>
      <c r="B397" s="2"/>
      <c r="C397" s="2"/>
      <c r="D397" s="2"/>
      <c r="E397" s="2"/>
      <c r="F397" s="2"/>
      <c r="G397" s="2"/>
    </row>
    <row r="398" spans="1:7" ht="13.2" x14ac:dyDescent="0.25">
      <c r="A398" s="2"/>
      <c r="B398" s="2"/>
      <c r="C398" s="2"/>
      <c r="D398" s="2"/>
      <c r="E398" s="2"/>
      <c r="F398" s="2"/>
      <c r="G398" s="2"/>
    </row>
    <row r="399" spans="1:7" ht="13.2" x14ac:dyDescent="0.25">
      <c r="A399" s="2"/>
      <c r="B399" s="2"/>
      <c r="C399" s="2"/>
      <c r="D399" s="2"/>
      <c r="E399" s="2"/>
      <c r="F399" s="2"/>
      <c r="G399" s="2"/>
    </row>
    <row r="400" spans="1:7" ht="13.2" x14ac:dyDescent="0.25">
      <c r="A400" s="2"/>
      <c r="B400" s="2"/>
      <c r="C400" s="2"/>
      <c r="D400" s="2"/>
      <c r="E400" s="2"/>
      <c r="F400" s="2"/>
      <c r="G400" s="2"/>
    </row>
    <row r="401" spans="1:7" ht="13.2" x14ac:dyDescent="0.25">
      <c r="A401" s="2"/>
      <c r="B401" s="2"/>
      <c r="C401" s="2"/>
      <c r="D401" s="2"/>
      <c r="E401" s="2"/>
      <c r="F401" s="2"/>
      <c r="G401" s="2"/>
    </row>
    <row r="402" spans="1:7" ht="13.2" x14ac:dyDescent="0.25">
      <c r="A402" s="2"/>
      <c r="B402" s="2"/>
      <c r="C402" s="2"/>
      <c r="D402" s="2"/>
      <c r="E402" s="2"/>
      <c r="F402" s="2"/>
      <c r="G402" s="2"/>
    </row>
    <row r="403" spans="1:7" ht="13.2" x14ac:dyDescent="0.25">
      <c r="A403" s="2"/>
      <c r="B403" s="2"/>
      <c r="C403" s="2"/>
      <c r="D403" s="2"/>
      <c r="E403" s="2"/>
      <c r="F403" s="2"/>
      <c r="G403" s="2"/>
    </row>
    <row r="404" spans="1:7" ht="13.2" x14ac:dyDescent="0.25">
      <c r="A404" s="2"/>
      <c r="B404" s="2"/>
      <c r="C404" s="2"/>
      <c r="D404" s="2"/>
      <c r="E404" s="2"/>
      <c r="F404" s="2"/>
      <c r="G404" s="2"/>
    </row>
    <row r="405" spans="1:7" ht="13.2" x14ac:dyDescent="0.25">
      <c r="A405" s="2"/>
      <c r="B405" s="2"/>
      <c r="C405" s="2"/>
      <c r="D405" s="2"/>
      <c r="E405" s="2"/>
      <c r="F405" s="2"/>
      <c r="G405" s="2"/>
    </row>
    <row r="406" spans="1:7" ht="13.2" x14ac:dyDescent="0.25">
      <c r="A406" s="2"/>
      <c r="B406" s="2"/>
      <c r="C406" s="2"/>
      <c r="D406" s="2"/>
      <c r="E406" s="2"/>
      <c r="F406" s="2"/>
      <c r="G406" s="2"/>
    </row>
    <row r="407" spans="1:7" ht="13.2" x14ac:dyDescent="0.25">
      <c r="A407" s="2"/>
      <c r="B407" s="2"/>
      <c r="C407" s="2"/>
      <c r="D407" s="2"/>
      <c r="E407" s="2"/>
      <c r="F407" s="2"/>
      <c r="G407" s="2"/>
    </row>
    <row r="408" spans="1:7" ht="13.2" x14ac:dyDescent="0.25">
      <c r="A408" s="2"/>
      <c r="B408" s="2"/>
      <c r="C408" s="2"/>
      <c r="D408" s="2"/>
      <c r="E408" s="2"/>
      <c r="F408" s="2"/>
      <c r="G408" s="2"/>
    </row>
    <row r="409" spans="1:7" ht="13.2" x14ac:dyDescent="0.25">
      <c r="A409" s="2"/>
      <c r="B409" s="2"/>
      <c r="C409" s="2"/>
      <c r="D409" s="2"/>
      <c r="E409" s="2"/>
      <c r="F409" s="2"/>
      <c r="G409" s="2"/>
    </row>
    <row r="410" spans="1:7" ht="13.2" x14ac:dyDescent="0.25">
      <c r="A410" s="2"/>
      <c r="B410" s="2"/>
      <c r="C410" s="2"/>
      <c r="D410" s="2"/>
      <c r="E410" s="2"/>
      <c r="F410" s="2"/>
      <c r="G410" s="2"/>
    </row>
    <row r="411" spans="1:7" ht="13.2" x14ac:dyDescent="0.25">
      <c r="A411" s="2"/>
      <c r="B411" s="2"/>
      <c r="C411" s="2"/>
      <c r="D411" s="2"/>
      <c r="E411" s="2"/>
      <c r="F411" s="2"/>
      <c r="G411" s="2"/>
    </row>
    <row r="412" spans="1:7" ht="13.2" x14ac:dyDescent="0.25">
      <c r="A412" s="2"/>
      <c r="B412" s="2"/>
      <c r="C412" s="2"/>
      <c r="D412" s="2"/>
      <c r="E412" s="2"/>
      <c r="F412" s="2"/>
      <c r="G412" s="2"/>
    </row>
    <row r="413" spans="1:7" ht="13.2" x14ac:dyDescent="0.25">
      <c r="A413" s="2"/>
      <c r="B413" s="2"/>
      <c r="C413" s="2"/>
      <c r="D413" s="2"/>
      <c r="E413" s="2"/>
      <c r="F413" s="2"/>
      <c r="G413" s="2"/>
    </row>
    <row r="414" spans="1:7" ht="13.2" x14ac:dyDescent="0.25">
      <c r="A414" s="2"/>
      <c r="B414" s="2"/>
      <c r="C414" s="2"/>
      <c r="D414" s="2"/>
      <c r="E414" s="2"/>
      <c r="F414" s="2"/>
      <c r="G414" s="2"/>
    </row>
    <row r="415" spans="1:7" ht="13.2" x14ac:dyDescent="0.25">
      <c r="A415" s="2"/>
      <c r="B415" s="2"/>
      <c r="C415" s="2"/>
      <c r="D415" s="2"/>
      <c r="E415" s="2"/>
      <c r="F415" s="2"/>
      <c r="G415" s="2"/>
    </row>
    <row r="416" spans="1:7" ht="13.2" x14ac:dyDescent="0.25">
      <c r="A416" s="2"/>
      <c r="B416" s="2"/>
      <c r="C416" s="2"/>
      <c r="D416" s="2"/>
      <c r="E416" s="2"/>
      <c r="F416" s="2"/>
      <c r="G416" s="2"/>
    </row>
    <row r="417" spans="1:7" ht="13.2" x14ac:dyDescent="0.25">
      <c r="A417" s="2"/>
      <c r="B417" s="2"/>
      <c r="C417" s="2"/>
      <c r="D417" s="2"/>
      <c r="E417" s="2"/>
      <c r="F417" s="2"/>
      <c r="G417" s="2"/>
    </row>
    <row r="418" spans="1:7" ht="13.2" x14ac:dyDescent="0.25">
      <c r="A418" s="2"/>
      <c r="B418" s="2"/>
      <c r="C418" s="2"/>
      <c r="D418" s="2"/>
      <c r="E418" s="2"/>
      <c r="F418" s="2"/>
      <c r="G418" s="2"/>
    </row>
    <row r="419" spans="1:7" ht="13.2" x14ac:dyDescent="0.25">
      <c r="A419" s="2"/>
      <c r="B419" s="2"/>
      <c r="C419" s="2"/>
      <c r="D419" s="2"/>
      <c r="E419" s="2"/>
      <c r="F419" s="2"/>
      <c r="G419" s="2"/>
    </row>
    <row r="420" spans="1:7" ht="13.2" x14ac:dyDescent="0.25">
      <c r="A420" s="2"/>
      <c r="B420" s="2"/>
      <c r="C420" s="2"/>
      <c r="D420" s="2"/>
      <c r="E420" s="2"/>
      <c r="F420" s="2"/>
      <c r="G420" s="2"/>
    </row>
    <row r="421" spans="1:7" ht="13.2" x14ac:dyDescent="0.25">
      <c r="A421" s="2"/>
      <c r="B421" s="2"/>
      <c r="C421" s="2"/>
      <c r="D421" s="2"/>
      <c r="E421" s="2"/>
      <c r="F421" s="2"/>
      <c r="G421" s="2"/>
    </row>
    <row r="422" spans="1:7" ht="13.2" x14ac:dyDescent="0.25">
      <c r="A422" s="2"/>
      <c r="B422" s="2"/>
      <c r="C422" s="2"/>
      <c r="D422" s="2"/>
      <c r="E422" s="2"/>
      <c r="F422" s="2"/>
      <c r="G422" s="2"/>
    </row>
    <row r="423" spans="1:7" ht="13.2" x14ac:dyDescent="0.25">
      <c r="A423" s="2"/>
      <c r="B423" s="2"/>
      <c r="C423" s="2"/>
      <c r="D423" s="2"/>
      <c r="E423" s="2"/>
      <c r="F423" s="2"/>
      <c r="G423" s="2"/>
    </row>
    <row r="424" spans="1:7" ht="13.2" x14ac:dyDescent="0.25">
      <c r="A424" s="2"/>
      <c r="B424" s="2"/>
      <c r="C424" s="2"/>
      <c r="D424" s="2"/>
      <c r="E424" s="2"/>
      <c r="F424" s="2"/>
      <c r="G424" s="2"/>
    </row>
    <row r="425" spans="1:7" ht="13.2" x14ac:dyDescent="0.25">
      <c r="A425" s="2"/>
      <c r="B425" s="2"/>
      <c r="C425" s="2"/>
      <c r="D425" s="2"/>
      <c r="E425" s="2"/>
      <c r="F425" s="2"/>
      <c r="G425" s="2"/>
    </row>
    <row r="426" spans="1:7" ht="13.2" x14ac:dyDescent="0.25">
      <c r="A426" s="2"/>
      <c r="B426" s="2"/>
      <c r="C426" s="2"/>
      <c r="D426" s="2"/>
      <c r="E426" s="2"/>
      <c r="F426" s="2"/>
      <c r="G426" s="2"/>
    </row>
    <row r="427" spans="1:7" ht="13.2" x14ac:dyDescent="0.25">
      <c r="A427" s="2"/>
      <c r="B427" s="2"/>
      <c r="C427" s="2"/>
      <c r="D427" s="2"/>
      <c r="E427" s="2"/>
      <c r="F427" s="2"/>
      <c r="G427" s="2"/>
    </row>
    <row r="428" spans="1:7" ht="13.2" x14ac:dyDescent="0.25">
      <c r="A428" s="2"/>
      <c r="B428" s="2"/>
      <c r="C428" s="2"/>
      <c r="D428" s="2"/>
      <c r="E428" s="2"/>
      <c r="F428" s="2"/>
      <c r="G428" s="2"/>
    </row>
    <row r="429" spans="1:7" ht="13.2" x14ac:dyDescent="0.25">
      <c r="A429" s="2"/>
      <c r="B429" s="2"/>
      <c r="C429" s="2"/>
      <c r="D429" s="2"/>
      <c r="E429" s="2"/>
      <c r="F429" s="2"/>
      <c r="G429" s="2"/>
    </row>
    <row r="430" spans="1:7" ht="13.2" x14ac:dyDescent="0.25">
      <c r="A430" s="2"/>
      <c r="B430" s="2"/>
      <c r="C430" s="2"/>
      <c r="D430" s="2"/>
      <c r="E430" s="2"/>
      <c r="F430" s="2"/>
      <c r="G430" s="2"/>
    </row>
    <row r="431" spans="1:7" ht="13.2" x14ac:dyDescent="0.25">
      <c r="A431" s="2"/>
      <c r="B431" s="2"/>
      <c r="C431" s="2"/>
      <c r="D431" s="2"/>
      <c r="E431" s="2"/>
      <c r="F431" s="2"/>
      <c r="G431" s="2"/>
    </row>
    <row r="432" spans="1:7" ht="13.2" x14ac:dyDescent="0.25">
      <c r="A432" s="2"/>
      <c r="B432" s="2"/>
      <c r="C432" s="2"/>
      <c r="D432" s="2"/>
      <c r="E432" s="2"/>
      <c r="F432" s="2"/>
      <c r="G432" s="2"/>
    </row>
    <row r="433" spans="1:7" ht="13.2" x14ac:dyDescent="0.25">
      <c r="A433" s="2"/>
      <c r="B433" s="2"/>
      <c r="C433" s="2"/>
      <c r="D433" s="2"/>
      <c r="E433" s="2"/>
      <c r="F433" s="2"/>
      <c r="G433" s="2"/>
    </row>
    <row r="434" spans="1:7" ht="13.2" x14ac:dyDescent="0.25">
      <c r="A434" s="2"/>
      <c r="B434" s="2"/>
      <c r="C434" s="2"/>
      <c r="D434" s="2"/>
      <c r="E434" s="2"/>
      <c r="F434" s="2"/>
      <c r="G434" s="2"/>
    </row>
    <row r="435" spans="1:7" ht="13.2" x14ac:dyDescent="0.25">
      <c r="A435" s="2"/>
      <c r="B435" s="2"/>
      <c r="C435" s="2"/>
      <c r="D435" s="2"/>
      <c r="E435" s="2"/>
      <c r="F435" s="2"/>
      <c r="G435" s="2"/>
    </row>
    <row r="436" spans="1:7" ht="13.2" x14ac:dyDescent="0.25">
      <c r="A436" s="2"/>
      <c r="B436" s="2"/>
      <c r="C436" s="2"/>
      <c r="D436" s="2"/>
      <c r="E436" s="2"/>
      <c r="F436" s="2"/>
      <c r="G436" s="2"/>
    </row>
    <row r="437" spans="1:7" ht="13.2" x14ac:dyDescent="0.25">
      <c r="A437" s="2"/>
      <c r="B437" s="2"/>
      <c r="C437" s="2"/>
      <c r="D437" s="2"/>
      <c r="E437" s="2"/>
      <c r="F437" s="2"/>
      <c r="G437" s="2"/>
    </row>
    <row r="438" spans="1:7" ht="13.2" x14ac:dyDescent="0.25">
      <c r="A438" s="2"/>
      <c r="B438" s="2"/>
      <c r="C438" s="2"/>
      <c r="D438" s="2"/>
      <c r="E438" s="2"/>
      <c r="F438" s="2"/>
      <c r="G438" s="2"/>
    </row>
    <row r="439" spans="1:7" ht="13.2" x14ac:dyDescent="0.25">
      <c r="A439" s="2"/>
      <c r="B439" s="2"/>
      <c r="C439" s="2"/>
      <c r="D439" s="2"/>
      <c r="E439" s="2"/>
      <c r="F439" s="2"/>
      <c r="G439" s="2"/>
    </row>
    <row r="440" spans="1:7" ht="13.2" x14ac:dyDescent="0.25">
      <c r="A440" s="2"/>
      <c r="B440" s="2"/>
      <c r="C440" s="2"/>
      <c r="D440" s="2"/>
      <c r="E440" s="2"/>
      <c r="F440" s="2"/>
      <c r="G440" s="2"/>
    </row>
    <row r="441" spans="1:7" ht="13.2" x14ac:dyDescent="0.25">
      <c r="A441" s="2"/>
      <c r="B441" s="2"/>
      <c r="C441" s="2"/>
      <c r="D441" s="2"/>
      <c r="E441" s="2"/>
      <c r="F441" s="2"/>
      <c r="G441" s="2"/>
    </row>
    <row r="442" spans="1:7" ht="13.2" x14ac:dyDescent="0.25">
      <c r="A442" s="2"/>
      <c r="B442" s="2"/>
      <c r="C442" s="2"/>
      <c r="D442" s="2"/>
      <c r="E442" s="2"/>
      <c r="F442" s="2"/>
      <c r="G442" s="2"/>
    </row>
    <row r="443" spans="1:7" ht="13.2" x14ac:dyDescent="0.25">
      <c r="A443" s="2"/>
      <c r="B443" s="2"/>
      <c r="C443" s="2"/>
      <c r="D443" s="2"/>
      <c r="E443" s="2"/>
      <c r="F443" s="2"/>
      <c r="G443" s="2"/>
    </row>
    <row r="444" spans="1:7" ht="13.2" x14ac:dyDescent="0.25">
      <c r="A444" s="2"/>
      <c r="B444" s="2"/>
      <c r="C444" s="2"/>
      <c r="D444" s="2"/>
      <c r="E444" s="2"/>
      <c r="F444" s="2"/>
      <c r="G444" s="2"/>
    </row>
    <row r="445" spans="1:7" ht="13.2" x14ac:dyDescent="0.25">
      <c r="A445" s="2"/>
      <c r="B445" s="2"/>
      <c r="C445" s="2"/>
      <c r="D445" s="2"/>
      <c r="E445" s="2"/>
      <c r="F445" s="2"/>
      <c r="G445" s="2"/>
    </row>
    <row r="446" spans="1:7" ht="13.2" x14ac:dyDescent="0.25">
      <c r="A446" s="2"/>
      <c r="B446" s="2"/>
      <c r="C446" s="2"/>
      <c r="D446" s="2"/>
      <c r="E446" s="2"/>
      <c r="F446" s="2"/>
      <c r="G446" s="2"/>
    </row>
    <row r="447" spans="1:7" ht="13.2" x14ac:dyDescent="0.25">
      <c r="A447" s="2"/>
      <c r="B447" s="2"/>
      <c r="C447" s="2"/>
      <c r="D447" s="2"/>
      <c r="E447" s="2"/>
      <c r="F447" s="2"/>
      <c r="G447" s="2"/>
    </row>
    <row r="448" spans="1:7" ht="13.2" x14ac:dyDescent="0.25">
      <c r="A448" s="2"/>
      <c r="B448" s="2"/>
      <c r="C448" s="2"/>
      <c r="D448" s="2"/>
      <c r="E448" s="2"/>
      <c r="F448" s="2"/>
      <c r="G448" s="2"/>
    </row>
    <row r="449" spans="1:7" ht="13.2" x14ac:dyDescent="0.25">
      <c r="A449" s="2"/>
      <c r="B449" s="2"/>
      <c r="C449" s="2"/>
      <c r="D449" s="2"/>
      <c r="E449" s="2"/>
      <c r="F449" s="2"/>
      <c r="G449" s="2"/>
    </row>
    <row r="450" spans="1:7" ht="13.2" x14ac:dyDescent="0.25">
      <c r="A450" s="2"/>
      <c r="B450" s="2"/>
      <c r="C450" s="2"/>
      <c r="D450" s="2"/>
      <c r="E450" s="2"/>
      <c r="F450" s="2"/>
      <c r="G450" s="2"/>
    </row>
    <row r="451" spans="1:7" ht="13.2" x14ac:dyDescent="0.25">
      <c r="A451" s="2"/>
      <c r="B451" s="2"/>
      <c r="C451" s="2"/>
      <c r="D451" s="2"/>
      <c r="E451" s="2"/>
      <c r="F451" s="2"/>
      <c r="G451" s="2"/>
    </row>
    <row r="452" spans="1:7" ht="13.2" x14ac:dyDescent="0.25">
      <c r="A452" s="2"/>
      <c r="B452" s="2"/>
      <c r="C452" s="2"/>
      <c r="D452" s="2"/>
      <c r="E452" s="2"/>
      <c r="F452" s="2"/>
      <c r="G452" s="2"/>
    </row>
    <row r="453" spans="1:7" ht="13.2" x14ac:dyDescent="0.25">
      <c r="A453" s="2"/>
      <c r="B453" s="2"/>
      <c r="C453" s="2"/>
      <c r="D453" s="2"/>
      <c r="E453" s="2"/>
      <c r="F453" s="2"/>
      <c r="G453" s="2"/>
    </row>
    <row r="454" spans="1:7" ht="13.2" x14ac:dyDescent="0.25">
      <c r="A454" s="2"/>
      <c r="B454" s="2"/>
      <c r="C454" s="2"/>
      <c r="D454" s="2"/>
      <c r="E454" s="2"/>
      <c r="F454" s="2"/>
      <c r="G454" s="2"/>
    </row>
    <row r="455" spans="1:7" ht="13.2" x14ac:dyDescent="0.25">
      <c r="A455" s="2"/>
      <c r="B455" s="2"/>
      <c r="C455" s="2"/>
      <c r="D455" s="2"/>
      <c r="E455" s="2"/>
      <c r="F455" s="2"/>
      <c r="G455" s="2"/>
    </row>
    <row r="456" spans="1:7" ht="13.2" x14ac:dyDescent="0.25">
      <c r="A456" s="2"/>
      <c r="B456" s="2"/>
      <c r="C456" s="2"/>
      <c r="D456" s="2"/>
      <c r="E456" s="2"/>
      <c r="F456" s="2"/>
      <c r="G456" s="2"/>
    </row>
    <row r="457" spans="1:7" ht="13.2" x14ac:dyDescent="0.25">
      <c r="A457" s="2"/>
      <c r="B457" s="2"/>
      <c r="C457" s="2"/>
      <c r="D457" s="2"/>
      <c r="E457" s="2"/>
      <c r="F457" s="2"/>
      <c r="G457" s="2"/>
    </row>
    <row r="458" spans="1:7" ht="13.2" x14ac:dyDescent="0.25">
      <c r="A458" s="2"/>
      <c r="B458" s="2"/>
      <c r="C458" s="2"/>
      <c r="D458" s="2"/>
      <c r="E458" s="2"/>
      <c r="F458" s="2"/>
      <c r="G458" s="2"/>
    </row>
    <row r="459" spans="1:7" ht="13.2" x14ac:dyDescent="0.25">
      <c r="A459" s="2"/>
      <c r="B459" s="2"/>
      <c r="C459" s="2"/>
      <c r="D459" s="2"/>
      <c r="E459" s="2"/>
      <c r="F459" s="2"/>
      <c r="G459" s="2"/>
    </row>
    <row r="460" spans="1:7" ht="13.2" x14ac:dyDescent="0.25">
      <c r="A460" s="2"/>
      <c r="B460" s="2"/>
      <c r="C460" s="2"/>
      <c r="D460" s="2"/>
      <c r="E460" s="2"/>
      <c r="F460" s="2"/>
      <c r="G460" s="2"/>
    </row>
    <row r="461" spans="1:7" ht="13.2" x14ac:dyDescent="0.25">
      <c r="A461" s="2"/>
      <c r="B461" s="2"/>
      <c r="C461" s="2"/>
      <c r="D461" s="2"/>
      <c r="E461" s="2"/>
      <c r="F461" s="2"/>
      <c r="G461" s="2"/>
    </row>
    <row r="462" spans="1:7" ht="13.2" x14ac:dyDescent="0.25">
      <c r="A462" s="2"/>
      <c r="B462" s="2"/>
      <c r="C462" s="2"/>
      <c r="D462" s="2"/>
      <c r="E462" s="2"/>
      <c r="F462" s="2"/>
      <c r="G462" s="2"/>
    </row>
    <row r="463" spans="1:7" ht="13.2" x14ac:dyDescent="0.25">
      <c r="A463" s="2"/>
      <c r="B463" s="2"/>
      <c r="C463" s="2"/>
      <c r="D463" s="2"/>
      <c r="E463" s="2"/>
      <c r="F463" s="2"/>
      <c r="G463" s="2"/>
    </row>
    <row r="464" spans="1:7" ht="13.2" x14ac:dyDescent="0.25">
      <c r="A464" s="2"/>
      <c r="B464" s="2"/>
      <c r="C464" s="2"/>
      <c r="D464" s="2"/>
      <c r="E464" s="2"/>
      <c r="F464" s="2"/>
      <c r="G464" s="2"/>
    </row>
    <row r="465" spans="1:7" ht="13.2" x14ac:dyDescent="0.25">
      <c r="A465" s="2"/>
      <c r="B465" s="2"/>
      <c r="C465" s="2"/>
      <c r="D465" s="2"/>
      <c r="E465" s="2"/>
      <c r="F465" s="2"/>
      <c r="G465" s="2"/>
    </row>
    <row r="466" spans="1:7" ht="13.2" x14ac:dyDescent="0.25">
      <c r="A466" s="2"/>
      <c r="B466" s="2"/>
      <c r="C466" s="2"/>
      <c r="D466" s="2"/>
      <c r="E466" s="2"/>
      <c r="F466" s="2"/>
      <c r="G466" s="2"/>
    </row>
    <row r="467" spans="1:7" ht="13.2" x14ac:dyDescent="0.25">
      <c r="A467" s="2"/>
      <c r="B467" s="2"/>
      <c r="C467" s="2"/>
      <c r="D467" s="2"/>
      <c r="E467" s="2"/>
      <c r="F467" s="2"/>
      <c r="G467" s="2"/>
    </row>
    <row r="468" spans="1:7" ht="13.2" x14ac:dyDescent="0.25">
      <c r="A468" s="2"/>
      <c r="B468" s="2"/>
      <c r="C468" s="2"/>
      <c r="D468" s="2"/>
      <c r="E468" s="2"/>
      <c r="F468" s="2"/>
      <c r="G468" s="2"/>
    </row>
    <row r="469" spans="1:7" ht="13.2" x14ac:dyDescent="0.25">
      <c r="A469" s="2"/>
      <c r="B469" s="2"/>
      <c r="C469" s="2"/>
      <c r="D469" s="2"/>
      <c r="E469" s="2"/>
      <c r="F469" s="2"/>
      <c r="G469" s="2"/>
    </row>
    <row r="470" spans="1:7" ht="13.2" x14ac:dyDescent="0.25">
      <c r="A470" s="2"/>
      <c r="B470" s="2"/>
      <c r="C470" s="2"/>
      <c r="D470" s="2"/>
      <c r="E470" s="2"/>
      <c r="F470" s="2"/>
      <c r="G470" s="2"/>
    </row>
    <row r="471" spans="1:7" ht="13.2" x14ac:dyDescent="0.25">
      <c r="A471" s="2"/>
      <c r="B471" s="2"/>
      <c r="C471" s="2"/>
      <c r="D471" s="2"/>
      <c r="E471" s="2"/>
      <c r="F471" s="2"/>
      <c r="G471" s="2"/>
    </row>
    <row r="472" spans="1:7" ht="13.2" x14ac:dyDescent="0.25">
      <c r="A472" s="2"/>
      <c r="B472" s="2"/>
      <c r="C472" s="2"/>
      <c r="D472" s="2"/>
      <c r="E472" s="2"/>
      <c r="F472" s="2"/>
      <c r="G472" s="2"/>
    </row>
    <row r="473" spans="1:7" ht="13.2" x14ac:dyDescent="0.25">
      <c r="A473" s="2"/>
      <c r="B473" s="2"/>
      <c r="C473" s="2"/>
      <c r="D473" s="2"/>
      <c r="E473" s="2"/>
      <c r="F473" s="2"/>
      <c r="G473" s="2"/>
    </row>
    <row r="474" spans="1:7" ht="13.2" x14ac:dyDescent="0.25">
      <c r="A474" s="2"/>
      <c r="B474" s="2"/>
      <c r="C474" s="2"/>
      <c r="D474" s="2"/>
      <c r="E474" s="2"/>
      <c r="F474" s="2"/>
      <c r="G474" s="2"/>
    </row>
    <row r="475" spans="1:7" ht="13.2" x14ac:dyDescent="0.25">
      <c r="A475" s="2"/>
      <c r="B475" s="2"/>
      <c r="C475" s="2"/>
      <c r="D475" s="2"/>
      <c r="E475" s="2"/>
      <c r="F475" s="2"/>
      <c r="G475" s="2"/>
    </row>
    <row r="476" spans="1:7" ht="13.2" x14ac:dyDescent="0.25">
      <c r="A476" s="2"/>
      <c r="B476" s="2"/>
      <c r="C476" s="2"/>
      <c r="D476" s="2"/>
      <c r="E476" s="2"/>
      <c r="F476" s="2"/>
      <c r="G476" s="2"/>
    </row>
    <row r="477" spans="1:7" ht="13.2" x14ac:dyDescent="0.25">
      <c r="A477" s="2"/>
      <c r="B477" s="2"/>
      <c r="C477" s="2"/>
      <c r="D477" s="2"/>
      <c r="E477" s="2"/>
      <c r="F477" s="2"/>
      <c r="G477" s="2"/>
    </row>
    <row r="478" spans="1:7" ht="13.2" x14ac:dyDescent="0.25">
      <c r="A478" s="2"/>
      <c r="B478" s="2"/>
      <c r="C478" s="2"/>
      <c r="D478" s="2"/>
      <c r="E478" s="2"/>
      <c r="F478" s="2"/>
      <c r="G478" s="2"/>
    </row>
    <row r="479" spans="1:7" ht="13.2" x14ac:dyDescent="0.25">
      <c r="A479" s="2"/>
      <c r="B479" s="2"/>
      <c r="C479" s="2"/>
      <c r="D479" s="2"/>
      <c r="E479" s="2"/>
      <c r="F479" s="2"/>
      <c r="G479" s="2"/>
    </row>
    <row r="480" spans="1:7" ht="13.2" x14ac:dyDescent="0.25">
      <c r="A480" s="2"/>
      <c r="B480" s="2"/>
      <c r="C480" s="2"/>
      <c r="D480" s="2"/>
      <c r="E480" s="2"/>
      <c r="F480" s="2"/>
      <c r="G480" s="2"/>
    </row>
    <row r="481" spans="1:7" ht="13.2" x14ac:dyDescent="0.25">
      <c r="A481" s="2"/>
      <c r="B481" s="2"/>
      <c r="C481" s="2"/>
      <c r="D481" s="2"/>
      <c r="E481" s="2"/>
      <c r="F481" s="2"/>
      <c r="G481" s="2"/>
    </row>
    <row r="482" spans="1:7" ht="13.2" x14ac:dyDescent="0.25">
      <c r="A482" s="2"/>
      <c r="B482" s="2"/>
      <c r="C482" s="2"/>
      <c r="D482" s="2"/>
      <c r="E482" s="2"/>
      <c r="F482" s="2"/>
      <c r="G482" s="2"/>
    </row>
    <row r="483" spans="1:7" ht="13.2" x14ac:dyDescent="0.25">
      <c r="A483" s="2"/>
      <c r="B483" s="2"/>
      <c r="C483" s="2"/>
      <c r="D483" s="2"/>
      <c r="E483" s="2"/>
      <c r="F483" s="2"/>
      <c r="G483" s="2"/>
    </row>
    <row r="484" spans="1:7" ht="13.2" x14ac:dyDescent="0.25">
      <c r="A484" s="2"/>
      <c r="B484" s="2"/>
      <c r="C484" s="2"/>
      <c r="D484" s="2"/>
      <c r="E484" s="2"/>
      <c r="F484" s="2"/>
      <c r="G484" s="2"/>
    </row>
    <row r="485" spans="1:7" ht="13.2" x14ac:dyDescent="0.25">
      <c r="A485" s="2"/>
      <c r="B485" s="2"/>
      <c r="C485" s="2"/>
      <c r="D485" s="2"/>
      <c r="E485" s="2"/>
      <c r="F485" s="2"/>
      <c r="G485" s="2"/>
    </row>
    <row r="486" spans="1:7" ht="13.2" x14ac:dyDescent="0.25">
      <c r="A486" s="2"/>
      <c r="B486" s="2"/>
      <c r="C486" s="2"/>
      <c r="D486" s="2"/>
      <c r="E486" s="2"/>
      <c r="F486" s="2"/>
      <c r="G486" s="2"/>
    </row>
    <row r="487" spans="1:7" ht="13.2" x14ac:dyDescent="0.25">
      <c r="A487" s="2"/>
      <c r="B487" s="2"/>
      <c r="C487" s="2"/>
      <c r="D487" s="2"/>
      <c r="E487" s="2"/>
      <c r="F487" s="2"/>
      <c r="G487" s="2"/>
    </row>
    <row r="488" spans="1:7" ht="13.2" x14ac:dyDescent="0.25">
      <c r="A488" s="2"/>
      <c r="B488" s="2"/>
      <c r="C488" s="2"/>
      <c r="D488" s="2"/>
      <c r="E488" s="2"/>
      <c r="F488" s="2"/>
      <c r="G488" s="2"/>
    </row>
    <row r="489" spans="1:7" ht="13.2" x14ac:dyDescent="0.25">
      <c r="A489" s="2"/>
      <c r="B489" s="2"/>
      <c r="C489" s="2"/>
      <c r="D489" s="2"/>
      <c r="E489" s="2"/>
      <c r="F489" s="2"/>
      <c r="G489" s="2"/>
    </row>
    <row r="490" spans="1:7" ht="13.2" x14ac:dyDescent="0.25">
      <c r="A490" s="2"/>
      <c r="B490" s="2"/>
      <c r="C490" s="2"/>
      <c r="D490" s="2"/>
      <c r="E490" s="2"/>
      <c r="F490" s="2"/>
      <c r="G490" s="2"/>
    </row>
    <row r="491" spans="1:7" ht="13.2" x14ac:dyDescent="0.25">
      <c r="A491" s="2"/>
      <c r="B491" s="2"/>
      <c r="C491" s="2"/>
      <c r="D491" s="2"/>
      <c r="E491" s="2"/>
      <c r="F491" s="2"/>
      <c r="G491" s="2"/>
    </row>
    <row r="492" spans="1:7" ht="13.2" x14ac:dyDescent="0.25">
      <c r="A492" s="2"/>
      <c r="B492" s="2"/>
      <c r="C492" s="2"/>
      <c r="D492" s="2"/>
      <c r="E492" s="2"/>
      <c r="F492" s="2"/>
      <c r="G492" s="2"/>
    </row>
    <row r="493" spans="1:7" ht="13.2" x14ac:dyDescent="0.25">
      <c r="A493" s="2"/>
      <c r="B493" s="2"/>
      <c r="C493" s="2"/>
      <c r="D493" s="2"/>
      <c r="E493" s="2"/>
      <c r="F493" s="2"/>
      <c r="G493" s="2"/>
    </row>
    <row r="494" spans="1:7" ht="13.2" x14ac:dyDescent="0.25">
      <c r="A494" s="2"/>
      <c r="B494" s="2"/>
      <c r="C494" s="2"/>
      <c r="D494" s="2"/>
      <c r="E494" s="2"/>
      <c r="F494" s="2"/>
      <c r="G494" s="2"/>
    </row>
    <row r="495" spans="1:7" ht="13.2" x14ac:dyDescent="0.25">
      <c r="A495" s="2"/>
      <c r="B495" s="2"/>
      <c r="C495" s="2"/>
      <c r="D495" s="2"/>
      <c r="E495" s="2"/>
      <c r="F495" s="2"/>
      <c r="G495" s="2"/>
    </row>
    <row r="496" spans="1:7" ht="13.2" x14ac:dyDescent="0.25">
      <c r="A496" s="2"/>
      <c r="B496" s="2"/>
      <c r="C496" s="2"/>
      <c r="D496" s="2"/>
      <c r="E496" s="2"/>
      <c r="F496" s="2"/>
      <c r="G496" s="2"/>
    </row>
    <row r="497" spans="1:7" ht="13.2" x14ac:dyDescent="0.25">
      <c r="A497" s="2"/>
      <c r="B497" s="2"/>
      <c r="C497" s="2"/>
      <c r="D497" s="2"/>
      <c r="E497" s="2"/>
      <c r="F497" s="2"/>
      <c r="G497" s="2"/>
    </row>
    <row r="498" spans="1:7" ht="13.2" x14ac:dyDescent="0.25">
      <c r="A498" s="2"/>
      <c r="B498" s="2"/>
      <c r="C498" s="2"/>
      <c r="D498" s="2"/>
      <c r="E498" s="2"/>
      <c r="F498" s="2"/>
      <c r="G498" s="2"/>
    </row>
    <row r="499" spans="1:7" ht="13.2" x14ac:dyDescent="0.25">
      <c r="A499" s="2"/>
      <c r="B499" s="2"/>
      <c r="C499" s="2"/>
      <c r="D499" s="2"/>
      <c r="E499" s="2"/>
      <c r="F499" s="2"/>
      <c r="G499" s="2"/>
    </row>
    <row r="500" spans="1:7" ht="13.2" x14ac:dyDescent="0.25">
      <c r="A500" s="2"/>
      <c r="B500" s="2"/>
      <c r="C500" s="2"/>
      <c r="D500" s="2"/>
      <c r="E500" s="2"/>
      <c r="F500" s="2"/>
      <c r="G500" s="2"/>
    </row>
    <row r="501" spans="1:7" ht="13.2" x14ac:dyDescent="0.25">
      <c r="A501" s="2"/>
      <c r="B501" s="2"/>
      <c r="C501" s="2"/>
      <c r="D501" s="2"/>
      <c r="E501" s="2"/>
      <c r="F501" s="2"/>
      <c r="G501" s="2"/>
    </row>
    <row r="502" spans="1:7" ht="13.2" x14ac:dyDescent="0.25">
      <c r="A502" s="2"/>
      <c r="B502" s="2"/>
      <c r="C502" s="2"/>
      <c r="D502" s="2"/>
      <c r="E502" s="2"/>
      <c r="F502" s="2"/>
      <c r="G502" s="2"/>
    </row>
    <row r="503" spans="1:7" ht="13.2" x14ac:dyDescent="0.25">
      <c r="A503" s="2"/>
      <c r="B503" s="2"/>
      <c r="C503" s="2"/>
      <c r="D503" s="2"/>
      <c r="E503" s="2"/>
      <c r="F503" s="2"/>
      <c r="G503" s="2"/>
    </row>
    <row r="504" spans="1:7" ht="13.2" x14ac:dyDescent="0.25">
      <c r="A504" s="2"/>
      <c r="B504" s="2"/>
      <c r="C504" s="2"/>
      <c r="D504" s="2"/>
      <c r="E504" s="2"/>
      <c r="F504" s="2"/>
      <c r="G504" s="2"/>
    </row>
    <row r="505" spans="1:7" ht="13.2" x14ac:dyDescent="0.25">
      <c r="A505" s="2"/>
      <c r="B505" s="2"/>
      <c r="C505" s="2"/>
      <c r="D505" s="2"/>
      <c r="E505" s="2"/>
      <c r="F505" s="2"/>
      <c r="G505" s="2"/>
    </row>
    <row r="506" spans="1:7" ht="13.2" x14ac:dyDescent="0.25">
      <c r="A506" s="2"/>
      <c r="B506" s="2"/>
      <c r="C506" s="2"/>
      <c r="D506" s="2"/>
      <c r="E506" s="2"/>
      <c r="F506" s="2"/>
      <c r="G506" s="2"/>
    </row>
    <row r="507" spans="1:7" ht="13.2" x14ac:dyDescent="0.25">
      <c r="A507" s="2"/>
      <c r="B507" s="2"/>
      <c r="C507" s="2"/>
      <c r="D507" s="2"/>
      <c r="E507" s="2"/>
      <c r="F507" s="2"/>
      <c r="G507" s="2"/>
    </row>
    <row r="508" spans="1:7" ht="13.2" x14ac:dyDescent="0.25">
      <c r="A508" s="2"/>
      <c r="B508" s="2"/>
      <c r="C508" s="2"/>
      <c r="D508" s="2"/>
      <c r="E508" s="2"/>
      <c r="F508" s="2"/>
      <c r="G508" s="2"/>
    </row>
    <row r="509" spans="1:7" ht="13.2" x14ac:dyDescent="0.25">
      <c r="A509" s="2"/>
      <c r="B509" s="2"/>
      <c r="C509" s="2"/>
      <c r="D509" s="2"/>
      <c r="E509" s="2"/>
      <c r="F509" s="2"/>
      <c r="G509" s="2"/>
    </row>
    <row r="510" spans="1:7" ht="13.2" x14ac:dyDescent="0.25">
      <c r="A510" s="2"/>
      <c r="B510" s="2"/>
      <c r="C510" s="2"/>
      <c r="D510" s="2"/>
      <c r="E510" s="2"/>
      <c r="F510" s="2"/>
      <c r="G510" s="2"/>
    </row>
    <row r="511" spans="1:7" ht="13.2" x14ac:dyDescent="0.25">
      <c r="A511" s="2"/>
      <c r="B511" s="2"/>
      <c r="C511" s="2"/>
      <c r="D511" s="2"/>
      <c r="E511" s="2"/>
      <c r="F511" s="2"/>
      <c r="G511" s="2"/>
    </row>
    <row r="512" spans="1:7" ht="13.2" x14ac:dyDescent="0.25">
      <c r="A512" s="2"/>
      <c r="B512" s="2"/>
      <c r="C512" s="2"/>
      <c r="D512" s="2"/>
      <c r="E512" s="2"/>
      <c r="F512" s="2"/>
      <c r="G512" s="2"/>
    </row>
    <row r="513" spans="1:7" ht="13.2" x14ac:dyDescent="0.25">
      <c r="A513" s="2"/>
      <c r="B513" s="2"/>
      <c r="C513" s="2"/>
      <c r="D513" s="2"/>
      <c r="E513" s="2"/>
      <c r="F513" s="2"/>
      <c r="G513" s="2"/>
    </row>
    <row r="514" spans="1:7" ht="13.2" x14ac:dyDescent="0.25">
      <c r="A514" s="2"/>
      <c r="B514" s="2"/>
      <c r="C514" s="2"/>
      <c r="D514" s="2"/>
      <c r="E514" s="2"/>
      <c r="F514" s="2"/>
      <c r="G514" s="2"/>
    </row>
    <row r="515" spans="1:7" ht="13.2" x14ac:dyDescent="0.25">
      <c r="A515" s="2"/>
      <c r="B515" s="2"/>
      <c r="C515" s="2"/>
      <c r="D515" s="2"/>
      <c r="E515" s="2"/>
      <c r="F515" s="2"/>
      <c r="G515" s="2"/>
    </row>
    <row r="516" spans="1:7" ht="13.2" x14ac:dyDescent="0.25">
      <c r="A516" s="2"/>
      <c r="B516" s="2"/>
      <c r="C516" s="2"/>
      <c r="D516" s="2"/>
      <c r="E516" s="2"/>
      <c r="F516" s="2"/>
      <c r="G516" s="2"/>
    </row>
    <row r="517" spans="1:7" ht="13.2" x14ac:dyDescent="0.25">
      <c r="A517" s="2"/>
      <c r="B517" s="2"/>
      <c r="C517" s="2"/>
      <c r="D517" s="2"/>
      <c r="E517" s="2"/>
      <c r="F517" s="2"/>
      <c r="G517" s="2"/>
    </row>
    <row r="518" spans="1:7" ht="13.2" x14ac:dyDescent="0.25">
      <c r="A518" s="2"/>
      <c r="B518" s="2"/>
      <c r="C518" s="2"/>
      <c r="D518" s="2"/>
      <c r="E518" s="2"/>
      <c r="F518" s="2"/>
      <c r="G518" s="2"/>
    </row>
    <row r="519" spans="1:7" ht="13.2" x14ac:dyDescent="0.25">
      <c r="A519" s="2"/>
      <c r="B519" s="2"/>
      <c r="C519" s="2"/>
      <c r="D519" s="2"/>
      <c r="E519" s="2"/>
      <c r="F519" s="2"/>
      <c r="G519" s="2"/>
    </row>
    <row r="520" spans="1:7" ht="13.2" x14ac:dyDescent="0.25">
      <c r="A520" s="2"/>
      <c r="B520" s="2"/>
      <c r="C520" s="2"/>
      <c r="D520" s="2"/>
      <c r="E520" s="2"/>
      <c r="F520" s="2"/>
      <c r="G520" s="2"/>
    </row>
    <row r="521" spans="1:7" ht="13.2" x14ac:dyDescent="0.25">
      <c r="A521" s="2"/>
      <c r="B521" s="2"/>
      <c r="C521" s="2"/>
      <c r="D521" s="2"/>
      <c r="E521" s="2"/>
      <c r="F521" s="2"/>
      <c r="G521" s="2"/>
    </row>
    <row r="522" spans="1:7" ht="13.2" x14ac:dyDescent="0.25">
      <c r="A522" s="2"/>
      <c r="B522" s="2"/>
      <c r="C522" s="2"/>
      <c r="D522" s="2"/>
      <c r="E522" s="2"/>
      <c r="F522" s="2"/>
      <c r="G522" s="2"/>
    </row>
    <row r="523" spans="1:7" ht="13.2" x14ac:dyDescent="0.25">
      <c r="A523" s="2"/>
      <c r="B523" s="2"/>
      <c r="C523" s="2"/>
      <c r="D523" s="2"/>
      <c r="E523" s="2"/>
      <c r="F523" s="2"/>
      <c r="G523" s="2"/>
    </row>
    <row r="524" spans="1:7" ht="13.2" x14ac:dyDescent="0.25">
      <c r="A524" s="2"/>
      <c r="B524" s="2"/>
      <c r="C524" s="2"/>
      <c r="D524" s="2"/>
      <c r="E524" s="2"/>
      <c r="F524" s="2"/>
      <c r="G524" s="2"/>
    </row>
    <row r="525" spans="1:7" ht="13.2" x14ac:dyDescent="0.25">
      <c r="A525" s="2"/>
      <c r="B525" s="2"/>
      <c r="C525" s="2"/>
      <c r="D525" s="2"/>
      <c r="E525" s="2"/>
      <c r="F525" s="2"/>
      <c r="G525" s="2"/>
    </row>
    <row r="526" spans="1:7" ht="13.2" x14ac:dyDescent="0.25">
      <c r="A526" s="2"/>
      <c r="B526" s="2"/>
      <c r="C526" s="2"/>
      <c r="D526" s="2"/>
      <c r="E526" s="2"/>
      <c r="F526" s="2"/>
      <c r="G526" s="2"/>
    </row>
    <row r="527" spans="1:7" ht="13.2" x14ac:dyDescent="0.25">
      <c r="A527" s="2"/>
      <c r="B527" s="2"/>
      <c r="C527" s="2"/>
      <c r="D527" s="2"/>
      <c r="E527" s="2"/>
      <c r="F527" s="2"/>
      <c r="G527" s="2"/>
    </row>
    <row r="528" spans="1:7" ht="13.2" x14ac:dyDescent="0.25">
      <c r="A528" s="2"/>
      <c r="B528" s="2"/>
      <c r="C528" s="2"/>
      <c r="D528" s="2"/>
      <c r="E528" s="2"/>
      <c r="F528" s="2"/>
      <c r="G528" s="2"/>
    </row>
    <row r="529" spans="1:7" ht="13.2" x14ac:dyDescent="0.25">
      <c r="A529" s="2"/>
      <c r="B529" s="2"/>
      <c r="C529" s="2"/>
      <c r="D529" s="2"/>
      <c r="E529" s="2"/>
      <c r="F529" s="2"/>
      <c r="G529" s="2"/>
    </row>
    <row r="530" spans="1:7" ht="13.2" x14ac:dyDescent="0.25">
      <c r="A530" s="2"/>
      <c r="B530" s="2"/>
      <c r="C530" s="2"/>
      <c r="D530" s="2"/>
      <c r="E530" s="2"/>
      <c r="F530" s="2"/>
      <c r="G530" s="2"/>
    </row>
    <row r="531" spans="1:7" ht="13.2" x14ac:dyDescent="0.25">
      <c r="A531" s="2"/>
      <c r="B531" s="2"/>
      <c r="C531" s="2"/>
      <c r="D531" s="2"/>
      <c r="E531" s="2"/>
      <c r="F531" s="2"/>
      <c r="G531" s="2"/>
    </row>
    <row r="532" spans="1:7" ht="13.2" x14ac:dyDescent="0.25">
      <c r="A532" s="2"/>
      <c r="B532" s="2"/>
      <c r="C532" s="2"/>
      <c r="D532" s="2"/>
      <c r="E532" s="2"/>
      <c r="F532" s="2"/>
      <c r="G532" s="2"/>
    </row>
    <row r="533" spans="1:7" ht="13.2" x14ac:dyDescent="0.25">
      <c r="A533" s="2"/>
      <c r="B533" s="2"/>
      <c r="C533" s="2"/>
      <c r="D533" s="2"/>
      <c r="E533" s="2"/>
      <c r="F533" s="2"/>
      <c r="G533" s="2"/>
    </row>
    <row r="534" spans="1:7" ht="13.2" x14ac:dyDescent="0.25">
      <c r="A534" s="2"/>
      <c r="B534" s="2"/>
      <c r="C534" s="2"/>
      <c r="D534" s="2"/>
      <c r="E534" s="2"/>
      <c r="F534" s="2"/>
      <c r="G534" s="2"/>
    </row>
    <row r="535" spans="1:7" ht="13.2" x14ac:dyDescent="0.25">
      <c r="A535" s="2"/>
      <c r="B535" s="2"/>
      <c r="C535" s="2"/>
      <c r="D535" s="2"/>
      <c r="E535" s="2"/>
      <c r="F535" s="2"/>
      <c r="G535" s="2"/>
    </row>
    <row r="536" spans="1:7" ht="13.2" x14ac:dyDescent="0.25">
      <c r="A536" s="2"/>
      <c r="B536" s="2"/>
      <c r="C536" s="2"/>
      <c r="D536" s="2"/>
      <c r="E536" s="2"/>
      <c r="F536" s="2"/>
      <c r="G536" s="2"/>
    </row>
    <row r="537" spans="1:7" ht="13.2" x14ac:dyDescent="0.25">
      <c r="A537" s="2"/>
      <c r="B537" s="2"/>
      <c r="C537" s="2"/>
      <c r="D537" s="2"/>
      <c r="E537" s="2"/>
      <c r="F537" s="2"/>
      <c r="G537" s="2"/>
    </row>
    <row r="538" spans="1:7" ht="13.2" x14ac:dyDescent="0.25">
      <c r="A538" s="2"/>
      <c r="B538" s="2"/>
      <c r="C538" s="2"/>
      <c r="D538" s="2"/>
      <c r="E538" s="2"/>
      <c r="F538" s="2"/>
      <c r="G538" s="2"/>
    </row>
    <row r="539" spans="1:7" ht="13.2" x14ac:dyDescent="0.25">
      <c r="A539" s="2"/>
      <c r="B539" s="2"/>
      <c r="C539" s="2"/>
      <c r="D539" s="2"/>
      <c r="E539" s="2"/>
      <c r="F539" s="2"/>
      <c r="G539" s="2"/>
    </row>
    <row r="540" spans="1:7" ht="13.2" x14ac:dyDescent="0.25">
      <c r="A540" s="2"/>
      <c r="B540" s="2"/>
      <c r="C540" s="2"/>
      <c r="D540" s="2"/>
      <c r="E540" s="2"/>
      <c r="F540" s="2"/>
      <c r="G540" s="2"/>
    </row>
    <row r="541" spans="1:7" ht="13.2" x14ac:dyDescent="0.25">
      <c r="A541" s="2"/>
      <c r="B541" s="2"/>
      <c r="C541" s="2"/>
      <c r="D541" s="2"/>
      <c r="E541" s="2"/>
      <c r="F541" s="2"/>
      <c r="G541" s="2"/>
    </row>
    <row r="542" spans="1:7" ht="13.2" x14ac:dyDescent="0.25">
      <c r="A542" s="2"/>
      <c r="B542" s="2"/>
      <c r="C542" s="2"/>
      <c r="D542" s="2"/>
      <c r="E542" s="2"/>
      <c r="F542" s="2"/>
      <c r="G542" s="2"/>
    </row>
    <row r="543" spans="1:7" ht="13.2" x14ac:dyDescent="0.25">
      <c r="A543" s="2"/>
      <c r="B543" s="2"/>
      <c r="C543" s="2"/>
      <c r="D543" s="2"/>
      <c r="E543" s="2"/>
      <c r="F543" s="2"/>
      <c r="G543" s="2"/>
    </row>
    <row r="544" spans="1:7" ht="13.2" x14ac:dyDescent="0.25">
      <c r="A544" s="2"/>
      <c r="B544" s="2"/>
      <c r="C544" s="2"/>
      <c r="D544" s="2"/>
      <c r="E544" s="2"/>
      <c r="F544" s="2"/>
      <c r="G544" s="2"/>
    </row>
    <row r="545" spans="1:7" ht="13.2" x14ac:dyDescent="0.25">
      <c r="A545" s="2"/>
      <c r="B545" s="2"/>
      <c r="C545" s="2"/>
      <c r="D545" s="2"/>
      <c r="E545" s="2"/>
      <c r="F545" s="2"/>
      <c r="G545" s="2"/>
    </row>
    <row r="546" spans="1:7" ht="13.2" x14ac:dyDescent="0.25">
      <c r="A546" s="2"/>
      <c r="B546" s="2"/>
      <c r="C546" s="2"/>
      <c r="D546" s="2"/>
      <c r="E546" s="2"/>
      <c r="F546" s="2"/>
      <c r="G546" s="2"/>
    </row>
    <row r="547" spans="1:7" ht="13.2" x14ac:dyDescent="0.25">
      <c r="A547" s="2"/>
      <c r="B547" s="2"/>
      <c r="C547" s="2"/>
      <c r="D547" s="2"/>
      <c r="E547" s="2"/>
      <c r="F547" s="2"/>
      <c r="G547" s="2"/>
    </row>
    <row r="548" spans="1:7" ht="13.2" x14ac:dyDescent="0.25">
      <c r="A548" s="2"/>
      <c r="B548" s="2"/>
      <c r="C548" s="2"/>
      <c r="D548" s="2"/>
      <c r="E548" s="2"/>
      <c r="F548" s="2"/>
      <c r="G548" s="2"/>
    </row>
    <row r="549" spans="1:7" ht="13.2" x14ac:dyDescent="0.25">
      <c r="A549" s="2"/>
      <c r="B549" s="2"/>
      <c r="C549" s="2"/>
      <c r="D549" s="2"/>
      <c r="E549" s="2"/>
      <c r="F549" s="2"/>
      <c r="G549" s="2"/>
    </row>
    <row r="550" spans="1:7" ht="13.2" x14ac:dyDescent="0.25">
      <c r="A550" s="2"/>
      <c r="B550" s="2"/>
      <c r="C550" s="2"/>
      <c r="D550" s="2"/>
      <c r="E550" s="2"/>
      <c r="F550" s="2"/>
      <c r="G550" s="2"/>
    </row>
    <row r="551" spans="1:7" ht="13.2" x14ac:dyDescent="0.25">
      <c r="A551" s="2"/>
      <c r="B551" s="2"/>
      <c r="C551" s="2"/>
      <c r="D551" s="2"/>
      <c r="E551" s="2"/>
      <c r="F551" s="2"/>
      <c r="G551" s="2"/>
    </row>
    <row r="552" spans="1:7" ht="13.2" x14ac:dyDescent="0.25">
      <c r="A552" s="2"/>
      <c r="B552" s="2"/>
      <c r="C552" s="2"/>
      <c r="D552" s="2"/>
      <c r="E552" s="2"/>
      <c r="F552" s="2"/>
      <c r="G552" s="2"/>
    </row>
    <row r="553" spans="1:7" ht="13.2" x14ac:dyDescent="0.25">
      <c r="A553" s="2"/>
      <c r="B553" s="2"/>
      <c r="C553" s="2"/>
      <c r="D553" s="2"/>
      <c r="E553" s="2"/>
      <c r="F553" s="2"/>
      <c r="G553" s="2"/>
    </row>
    <row r="554" spans="1:7" ht="13.2" x14ac:dyDescent="0.25">
      <c r="A554" s="2"/>
      <c r="B554" s="2"/>
      <c r="C554" s="2"/>
      <c r="D554" s="2"/>
      <c r="E554" s="2"/>
      <c r="F554" s="2"/>
      <c r="G554" s="2"/>
    </row>
    <row r="555" spans="1:7" ht="13.2" x14ac:dyDescent="0.25">
      <c r="A555" s="2"/>
      <c r="B555" s="2"/>
      <c r="C555" s="2"/>
      <c r="D555" s="2"/>
      <c r="E555" s="2"/>
      <c r="F555" s="2"/>
      <c r="G555" s="2"/>
    </row>
    <row r="556" spans="1:7" ht="13.2" x14ac:dyDescent="0.25">
      <c r="A556" s="2"/>
      <c r="B556" s="2"/>
      <c r="C556" s="2"/>
      <c r="D556" s="2"/>
      <c r="E556" s="2"/>
      <c r="F556" s="2"/>
      <c r="G556" s="2"/>
    </row>
    <row r="557" spans="1:7" ht="13.2" x14ac:dyDescent="0.25">
      <c r="A557" s="2"/>
      <c r="B557" s="2"/>
      <c r="C557" s="2"/>
      <c r="D557" s="2"/>
      <c r="E557" s="2"/>
      <c r="F557" s="2"/>
      <c r="G557" s="2"/>
    </row>
    <row r="558" spans="1:7" ht="13.2" x14ac:dyDescent="0.25">
      <c r="A558" s="2"/>
      <c r="B558" s="2"/>
      <c r="C558" s="2"/>
      <c r="D558" s="2"/>
      <c r="E558" s="2"/>
      <c r="F558" s="2"/>
      <c r="G558" s="2"/>
    </row>
    <row r="559" spans="1:7" ht="13.2" x14ac:dyDescent="0.25">
      <c r="A559" s="2"/>
      <c r="B559" s="2"/>
      <c r="C559" s="2"/>
      <c r="D559" s="2"/>
      <c r="E559" s="2"/>
      <c r="F559" s="2"/>
      <c r="G559" s="2"/>
    </row>
    <row r="560" spans="1:7" ht="13.2" x14ac:dyDescent="0.25">
      <c r="A560" s="2"/>
      <c r="B560" s="2"/>
      <c r="C560" s="2"/>
      <c r="D560" s="2"/>
      <c r="E560" s="2"/>
      <c r="F560" s="2"/>
      <c r="G560" s="2"/>
    </row>
    <row r="561" spans="1:7" ht="13.2" x14ac:dyDescent="0.25">
      <c r="A561" s="2"/>
      <c r="B561" s="2"/>
      <c r="C561" s="2"/>
      <c r="D561" s="2"/>
      <c r="E561" s="2"/>
      <c r="F561" s="2"/>
      <c r="G561" s="2"/>
    </row>
    <row r="562" spans="1:7" ht="13.2" x14ac:dyDescent="0.25">
      <c r="A562" s="2"/>
      <c r="B562" s="2"/>
      <c r="C562" s="2"/>
      <c r="D562" s="2"/>
      <c r="E562" s="2"/>
      <c r="F562" s="2"/>
      <c r="G562" s="2"/>
    </row>
    <row r="563" spans="1:7" ht="13.2" x14ac:dyDescent="0.25">
      <c r="A563" s="2"/>
      <c r="B563" s="2"/>
      <c r="C563" s="2"/>
      <c r="D563" s="2"/>
      <c r="E563" s="2"/>
      <c r="F563" s="2"/>
      <c r="G563" s="2"/>
    </row>
    <row r="564" spans="1:7" ht="13.2" x14ac:dyDescent="0.25">
      <c r="A564" s="2"/>
      <c r="B564" s="2"/>
      <c r="C564" s="2"/>
      <c r="D564" s="2"/>
      <c r="E564" s="2"/>
      <c r="F564" s="2"/>
      <c r="G564" s="2"/>
    </row>
    <row r="565" spans="1:7" ht="13.2" x14ac:dyDescent="0.25">
      <c r="A565" s="2"/>
      <c r="B565" s="2"/>
      <c r="C565" s="2"/>
      <c r="D565" s="2"/>
      <c r="E565" s="2"/>
      <c r="F565" s="2"/>
      <c r="G565" s="2"/>
    </row>
    <row r="566" spans="1:7" ht="13.2" x14ac:dyDescent="0.25">
      <c r="A566" s="2"/>
      <c r="B566" s="2"/>
      <c r="C566" s="2"/>
      <c r="D566" s="2"/>
      <c r="E566" s="2"/>
      <c r="F566" s="2"/>
      <c r="G566" s="2"/>
    </row>
    <row r="567" spans="1:7" ht="13.2" x14ac:dyDescent="0.25">
      <c r="A567" s="2"/>
      <c r="B567" s="2"/>
      <c r="C567" s="2"/>
      <c r="D567" s="2"/>
      <c r="E567" s="2"/>
      <c r="F567" s="2"/>
      <c r="G567" s="2"/>
    </row>
    <row r="568" spans="1:7" ht="13.2" x14ac:dyDescent="0.25">
      <c r="A568" s="2"/>
      <c r="B568" s="2"/>
      <c r="C568" s="2"/>
      <c r="D568" s="2"/>
      <c r="E568" s="2"/>
      <c r="F568" s="2"/>
      <c r="G568" s="2"/>
    </row>
    <row r="569" spans="1:7" ht="13.2" x14ac:dyDescent="0.25">
      <c r="A569" s="2"/>
      <c r="B569" s="2"/>
      <c r="C569" s="2"/>
      <c r="D569" s="2"/>
      <c r="E569" s="2"/>
      <c r="F569" s="2"/>
      <c r="G569" s="2"/>
    </row>
    <row r="570" spans="1:7" ht="13.2" x14ac:dyDescent="0.25">
      <c r="A570" s="2"/>
      <c r="B570" s="2"/>
      <c r="C570" s="2"/>
      <c r="D570" s="2"/>
      <c r="E570" s="2"/>
      <c r="F570" s="2"/>
      <c r="G570" s="2"/>
    </row>
    <row r="571" spans="1:7" ht="13.2" x14ac:dyDescent="0.25">
      <c r="A571" s="2"/>
      <c r="B571" s="2"/>
      <c r="C571" s="2"/>
      <c r="D571" s="2"/>
      <c r="E571" s="2"/>
      <c r="F571" s="2"/>
      <c r="G571" s="2"/>
    </row>
    <row r="572" spans="1:7" ht="13.2" x14ac:dyDescent="0.25">
      <c r="A572" s="2"/>
      <c r="B572" s="2"/>
      <c r="C572" s="2"/>
      <c r="D572" s="2"/>
      <c r="E572" s="2"/>
      <c r="F572" s="2"/>
      <c r="G572" s="2"/>
    </row>
    <row r="573" spans="1:7" ht="13.2" x14ac:dyDescent="0.25">
      <c r="A573" s="2"/>
      <c r="B573" s="2"/>
      <c r="C573" s="2"/>
      <c r="D573" s="2"/>
      <c r="E573" s="2"/>
      <c r="F573" s="2"/>
      <c r="G573" s="2"/>
    </row>
    <row r="574" spans="1:7" ht="13.2" x14ac:dyDescent="0.25">
      <c r="A574" s="2"/>
      <c r="B574" s="2"/>
      <c r="C574" s="2"/>
      <c r="D574" s="2"/>
      <c r="E574" s="2"/>
      <c r="F574" s="2"/>
      <c r="G574" s="2"/>
    </row>
    <row r="575" spans="1:7" ht="13.2" x14ac:dyDescent="0.25">
      <c r="A575" s="2"/>
      <c r="B575" s="2"/>
      <c r="C575" s="2"/>
      <c r="D575" s="2"/>
      <c r="E575" s="2"/>
      <c r="F575" s="2"/>
      <c r="G575" s="2"/>
    </row>
    <row r="576" spans="1:7" ht="13.2" x14ac:dyDescent="0.25">
      <c r="A576" s="2"/>
      <c r="B576" s="2"/>
      <c r="C576" s="2"/>
      <c r="D576" s="2"/>
      <c r="E576" s="2"/>
      <c r="F576" s="2"/>
      <c r="G576" s="2"/>
    </row>
    <row r="577" spans="1:7" ht="13.2" x14ac:dyDescent="0.25">
      <c r="A577" s="2"/>
      <c r="B577" s="2"/>
      <c r="C577" s="2"/>
      <c r="D577" s="2"/>
      <c r="E577" s="2"/>
      <c r="F577" s="2"/>
      <c r="G577" s="2"/>
    </row>
    <row r="578" spans="1:7" ht="13.2" x14ac:dyDescent="0.25">
      <c r="A578" s="2"/>
      <c r="B578" s="2"/>
      <c r="C578" s="2"/>
      <c r="D578" s="2"/>
      <c r="E578" s="2"/>
      <c r="F578" s="2"/>
      <c r="G578" s="2"/>
    </row>
    <row r="579" spans="1:7" ht="13.2" x14ac:dyDescent="0.25">
      <c r="A579" s="2"/>
      <c r="B579" s="2"/>
      <c r="C579" s="2"/>
      <c r="D579" s="2"/>
      <c r="E579" s="2"/>
      <c r="F579" s="2"/>
      <c r="G579" s="2"/>
    </row>
    <row r="580" spans="1:7" ht="13.2" x14ac:dyDescent="0.25">
      <c r="A580" s="2"/>
      <c r="B580" s="2"/>
      <c r="C580" s="2"/>
      <c r="D580" s="2"/>
      <c r="E580" s="2"/>
      <c r="F580" s="2"/>
      <c r="G580" s="2"/>
    </row>
    <row r="581" spans="1:7" ht="13.2" x14ac:dyDescent="0.25">
      <c r="A581" s="2"/>
      <c r="B581" s="2"/>
      <c r="C581" s="2"/>
      <c r="D581" s="2"/>
      <c r="E581" s="2"/>
      <c r="F581" s="2"/>
      <c r="G581" s="2"/>
    </row>
    <row r="582" spans="1:7" ht="13.2" x14ac:dyDescent="0.25">
      <c r="A582" s="2"/>
      <c r="B582" s="2"/>
      <c r="C582" s="2"/>
      <c r="D582" s="2"/>
      <c r="E582" s="2"/>
      <c r="F582" s="2"/>
      <c r="G582" s="2"/>
    </row>
    <row r="583" spans="1:7" ht="13.2" x14ac:dyDescent="0.25">
      <c r="A583" s="2"/>
      <c r="B583" s="2"/>
      <c r="C583" s="2"/>
      <c r="D583" s="2"/>
      <c r="E583" s="2"/>
      <c r="F583" s="2"/>
      <c r="G583" s="2"/>
    </row>
    <row r="584" spans="1:7" ht="13.2" x14ac:dyDescent="0.25">
      <c r="A584" s="2"/>
      <c r="B584" s="2"/>
      <c r="C584" s="2"/>
      <c r="D584" s="2"/>
      <c r="E584" s="2"/>
      <c r="F584" s="2"/>
      <c r="G584" s="2"/>
    </row>
    <row r="585" spans="1:7" ht="13.2" x14ac:dyDescent="0.25">
      <c r="A585" s="2"/>
      <c r="B585" s="2"/>
      <c r="C585" s="2"/>
      <c r="D585" s="2"/>
      <c r="E585" s="2"/>
      <c r="F585" s="2"/>
      <c r="G585" s="2"/>
    </row>
    <row r="586" spans="1:7" ht="13.2" x14ac:dyDescent="0.25">
      <c r="A586" s="2"/>
      <c r="B586" s="2"/>
      <c r="C586" s="2"/>
      <c r="D586" s="2"/>
      <c r="E586" s="2"/>
      <c r="F586" s="2"/>
      <c r="G586" s="2"/>
    </row>
    <row r="587" spans="1:7" ht="13.2" x14ac:dyDescent="0.25">
      <c r="A587" s="2"/>
      <c r="B587" s="2"/>
      <c r="C587" s="2"/>
      <c r="D587" s="2"/>
      <c r="E587" s="2"/>
      <c r="F587" s="2"/>
      <c r="G587" s="2"/>
    </row>
    <row r="588" spans="1:7" ht="13.2" x14ac:dyDescent="0.25">
      <c r="A588" s="2"/>
      <c r="B588" s="2"/>
      <c r="C588" s="2"/>
      <c r="D588" s="2"/>
      <c r="E588" s="2"/>
      <c r="F588" s="2"/>
      <c r="G588" s="2"/>
    </row>
    <row r="589" spans="1:7" ht="13.2" x14ac:dyDescent="0.25">
      <c r="A589" s="2"/>
      <c r="B589" s="2"/>
      <c r="C589" s="2"/>
      <c r="D589" s="2"/>
      <c r="E589" s="2"/>
      <c r="F589" s="2"/>
      <c r="G589" s="2"/>
    </row>
    <row r="590" spans="1:7" ht="13.2" x14ac:dyDescent="0.25">
      <c r="A590" s="2"/>
      <c r="B590" s="2"/>
      <c r="C590" s="2"/>
      <c r="D590" s="2"/>
      <c r="E590" s="2"/>
      <c r="F590" s="2"/>
      <c r="G590" s="2"/>
    </row>
    <row r="591" spans="1:7" ht="13.2" x14ac:dyDescent="0.25">
      <c r="A591" s="2"/>
      <c r="B591" s="2"/>
      <c r="C591" s="2"/>
      <c r="D591" s="2"/>
      <c r="E591" s="2"/>
      <c r="F591" s="2"/>
      <c r="G591" s="2"/>
    </row>
    <row r="592" spans="1:7" ht="13.2" x14ac:dyDescent="0.25">
      <c r="A592" s="2"/>
      <c r="B592" s="2"/>
      <c r="C592" s="2"/>
      <c r="D592" s="2"/>
      <c r="E592" s="2"/>
      <c r="F592" s="2"/>
      <c r="G592" s="2"/>
    </row>
    <row r="593" spans="1:7" ht="13.2" x14ac:dyDescent="0.25">
      <c r="A593" s="2"/>
      <c r="B593" s="2"/>
      <c r="C593" s="2"/>
      <c r="D593" s="2"/>
      <c r="E593" s="2"/>
      <c r="F593" s="2"/>
      <c r="G593" s="2"/>
    </row>
    <row r="594" spans="1:7" ht="13.2" x14ac:dyDescent="0.25">
      <c r="A594" s="2"/>
      <c r="B594" s="2"/>
      <c r="C594" s="2"/>
      <c r="D594" s="2"/>
      <c r="E594" s="2"/>
      <c r="F594" s="2"/>
      <c r="G594" s="2"/>
    </row>
    <row r="595" spans="1:7" ht="13.2" x14ac:dyDescent="0.25">
      <c r="A595" s="2"/>
      <c r="B595" s="2"/>
      <c r="C595" s="2"/>
      <c r="D595" s="2"/>
      <c r="E595" s="2"/>
      <c r="F595" s="2"/>
      <c r="G595" s="2"/>
    </row>
    <row r="596" spans="1:7" ht="13.2" x14ac:dyDescent="0.25">
      <c r="A596" s="2"/>
      <c r="B596" s="2"/>
      <c r="C596" s="2"/>
      <c r="D596" s="2"/>
      <c r="E596" s="2"/>
      <c r="F596" s="2"/>
      <c r="G596" s="2"/>
    </row>
    <row r="597" spans="1:7" ht="13.2" x14ac:dyDescent="0.25">
      <c r="A597" s="2"/>
      <c r="B597" s="2"/>
      <c r="C597" s="2"/>
      <c r="D597" s="2"/>
      <c r="E597" s="2"/>
      <c r="F597" s="2"/>
      <c r="G597" s="2"/>
    </row>
    <row r="598" spans="1:7" ht="13.2" x14ac:dyDescent="0.25">
      <c r="A598" s="2"/>
      <c r="B598" s="2"/>
      <c r="C598" s="2"/>
      <c r="D598" s="2"/>
      <c r="E598" s="2"/>
      <c r="F598" s="2"/>
      <c r="G598" s="2"/>
    </row>
    <row r="599" spans="1:7" ht="13.2" x14ac:dyDescent="0.25">
      <c r="A599" s="2"/>
      <c r="B599" s="2"/>
      <c r="C599" s="2"/>
      <c r="D599" s="2"/>
      <c r="E599" s="2"/>
      <c r="F599" s="2"/>
      <c r="G599" s="2"/>
    </row>
    <row r="600" spans="1:7" ht="13.2" x14ac:dyDescent="0.25">
      <c r="A600" s="2"/>
      <c r="B600" s="2"/>
      <c r="C600" s="2"/>
      <c r="D600" s="2"/>
      <c r="E600" s="2"/>
      <c r="F600" s="2"/>
      <c r="G600" s="2"/>
    </row>
    <row r="601" spans="1:7" ht="13.2" x14ac:dyDescent="0.25">
      <c r="A601" s="2"/>
      <c r="B601" s="2"/>
      <c r="C601" s="2"/>
      <c r="D601" s="2"/>
      <c r="E601" s="2"/>
      <c r="F601" s="2"/>
      <c r="G601" s="2"/>
    </row>
    <row r="602" spans="1:7" ht="13.2" x14ac:dyDescent="0.25">
      <c r="A602" s="2"/>
      <c r="B602" s="2"/>
      <c r="C602" s="2"/>
      <c r="D602" s="2"/>
      <c r="E602" s="2"/>
      <c r="F602" s="2"/>
      <c r="G602" s="2"/>
    </row>
    <row r="603" spans="1:7" ht="13.2" x14ac:dyDescent="0.25">
      <c r="A603" s="2"/>
      <c r="B603" s="2"/>
      <c r="C603" s="2"/>
      <c r="D603" s="2"/>
      <c r="E603" s="2"/>
      <c r="F603" s="2"/>
      <c r="G603" s="2"/>
    </row>
    <row r="604" spans="1:7" ht="13.2" x14ac:dyDescent="0.25">
      <c r="A604" s="2"/>
      <c r="B604" s="2"/>
      <c r="C604" s="2"/>
      <c r="D604" s="2"/>
      <c r="E604" s="2"/>
      <c r="F604" s="2"/>
      <c r="G604" s="2"/>
    </row>
    <row r="605" spans="1:7" ht="13.2" x14ac:dyDescent="0.25">
      <c r="A605" s="2"/>
      <c r="B605" s="2"/>
      <c r="C605" s="2"/>
      <c r="D605" s="2"/>
      <c r="E605" s="2"/>
      <c r="F605" s="2"/>
      <c r="G605" s="2"/>
    </row>
    <row r="606" spans="1:7" ht="13.2" x14ac:dyDescent="0.25">
      <c r="A606" s="2"/>
      <c r="B606" s="2"/>
      <c r="C606" s="2"/>
      <c r="D606" s="2"/>
      <c r="E606" s="2"/>
      <c r="F606" s="2"/>
      <c r="G606" s="2"/>
    </row>
    <row r="607" spans="1:7" ht="13.2" x14ac:dyDescent="0.25">
      <c r="A607" s="2"/>
      <c r="B607" s="2"/>
      <c r="C607" s="2"/>
      <c r="D607" s="2"/>
      <c r="E607" s="2"/>
      <c r="F607" s="2"/>
      <c r="G607" s="2"/>
    </row>
    <row r="608" spans="1:7" ht="13.2" x14ac:dyDescent="0.25">
      <c r="A608" s="2"/>
      <c r="B608" s="2"/>
      <c r="C608" s="2"/>
      <c r="D608" s="2"/>
      <c r="E608" s="2"/>
      <c r="F608" s="2"/>
      <c r="G608" s="2"/>
    </row>
    <row r="609" spans="1:7" ht="13.2" x14ac:dyDescent="0.25">
      <c r="A609" s="2"/>
      <c r="B609" s="2"/>
      <c r="C609" s="2"/>
      <c r="D609" s="2"/>
      <c r="E609" s="2"/>
      <c r="F609" s="2"/>
      <c r="G609" s="2"/>
    </row>
    <row r="610" spans="1:7" ht="13.2" x14ac:dyDescent="0.25">
      <c r="A610" s="2"/>
      <c r="B610" s="2"/>
      <c r="C610" s="2"/>
      <c r="D610" s="2"/>
      <c r="E610" s="2"/>
      <c r="F610" s="2"/>
      <c r="G610" s="2"/>
    </row>
    <row r="611" spans="1:7" ht="13.2" x14ac:dyDescent="0.25">
      <c r="A611" s="2"/>
      <c r="B611" s="2"/>
      <c r="C611" s="2"/>
      <c r="D611" s="2"/>
      <c r="E611" s="2"/>
      <c r="F611" s="2"/>
      <c r="G611" s="2"/>
    </row>
    <row r="612" spans="1:7" ht="13.2" x14ac:dyDescent="0.25">
      <c r="A612" s="2"/>
      <c r="B612" s="2"/>
      <c r="C612" s="2"/>
      <c r="D612" s="2"/>
      <c r="E612" s="2"/>
      <c r="F612" s="2"/>
      <c r="G612" s="2"/>
    </row>
    <row r="613" spans="1:7" ht="13.2" x14ac:dyDescent="0.25">
      <c r="A613" s="2"/>
      <c r="B613" s="2"/>
      <c r="C613" s="2"/>
      <c r="D613" s="2"/>
      <c r="E613" s="2"/>
      <c r="F613" s="2"/>
      <c r="G613" s="2"/>
    </row>
    <row r="614" spans="1:7" ht="13.2" x14ac:dyDescent="0.25">
      <c r="A614" s="2"/>
      <c r="B614" s="2"/>
      <c r="C614" s="2"/>
      <c r="D614" s="2"/>
      <c r="E614" s="2"/>
      <c r="F614" s="2"/>
      <c r="G614" s="2"/>
    </row>
    <row r="615" spans="1:7" ht="13.2" x14ac:dyDescent="0.25">
      <c r="A615" s="2"/>
      <c r="B615" s="2"/>
      <c r="C615" s="2"/>
      <c r="D615" s="2"/>
      <c r="E615" s="2"/>
      <c r="F615" s="2"/>
      <c r="G615" s="2"/>
    </row>
    <row r="616" spans="1:7" ht="13.2" x14ac:dyDescent="0.25">
      <c r="A616" s="2"/>
      <c r="B616" s="2"/>
      <c r="C616" s="2"/>
      <c r="D616" s="2"/>
      <c r="E616" s="2"/>
      <c r="F616" s="2"/>
      <c r="G616" s="2"/>
    </row>
    <row r="617" spans="1:7" ht="13.2" x14ac:dyDescent="0.25">
      <c r="A617" s="2"/>
      <c r="B617" s="2"/>
      <c r="C617" s="2"/>
      <c r="D617" s="2"/>
      <c r="E617" s="2"/>
      <c r="F617" s="2"/>
      <c r="G617" s="2"/>
    </row>
    <row r="618" spans="1:7" ht="13.2" x14ac:dyDescent="0.25">
      <c r="A618" s="2"/>
      <c r="B618" s="2"/>
      <c r="C618" s="2"/>
      <c r="D618" s="2"/>
      <c r="E618" s="2"/>
      <c r="F618" s="2"/>
      <c r="G618" s="2"/>
    </row>
    <row r="619" spans="1:7" ht="13.2" x14ac:dyDescent="0.25">
      <c r="A619" s="2"/>
      <c r="B619" s="2"/>
      <c r="C619" s="2"/>
      <c r="D619" s="2"/>
      <c r="E619" s="2"/>
      <c r="F619" s="2"/>
      <c r="G619" s="2"/>
    </row>
    <row r="620" spans="1:7" ht="13.2" x14ac:dyDescent="0.25">
      <c r="A620" s="2"/>
      <c r="B620" s="2"/>
      <c r="C620" s="2"/>
      <c r="D620" s="2"/>
      <c r="E620" s="2"/>
      <c r="F620" s="2"/>
      <c r="G620" s="2"/>
    </row>
    <row r="621" spans="1:7" ht="13.2" x14ac:dyDescent="0.25">
      <c r="A621" s="2"/>
      <c r="B621" s="2"/>
      <c r="C621" s="2"/>
      <c r="D621" s="2"/>
      <c r="E621" s="2"/>
      <c r="F621" s="2"/>
      <c r="G621" s="2"/>
    </row>
    <row r="622" spans="1:7" ht="13.2" x14ac:dyDescent="0.25">
      <c r="A622" s="2"/>
      <c r="B622" s="2"/>
      <c r="C622" s="2"/>
      <c r="D622" s="2"/>
      <c r="E622" s="2"/>
      <c r="F622" s="2"/>
      <c r="G622" s="2"/>
    </row>
    <row r="623" spans="1:7" ht="13.2" x14ac:dyDescent="0.25">
      <c r="A623" s="2"/>
      <c r="B623" s="2"/>
      <c r="C623" s="2"/>
      <c r="D623" s="2"/>
      <c r="E623" s="2"/>
      <c r="F623" s="2"/>
      <c r="G623" s="2"/>
    </row>
    <row r="624" spans="1:7" ht="13.2" x14ac:dyDescent="0.25">
      <c r="A624" s="2"/>
      <c r="B624" s="2"/>
      <c r="C624" s="2"/>
      <c r="D624" s="2"/>
      <c r="E624" s="2"/>
      <c r="F624" s="2"/>
      <c r="G624" s="2"/>
    </row>
    <row r="625" spans="1:7" ht="13.2" x14ac:dyDescent="0.25">
      <c r="A625" s="2"/>
      <c r="B625" s="2"/>
      <c r="C625" s="2"/>
      <c r="D625" s="2"/>
      <c r="E625" s="2"/>
      <c r="F625" s="2"/>
      <c r="G625" s="2"/>
    </row>
    <row r="626" spans="1:7" ht="13.2" x14ac:dyDescent="0.25">
      <c r="A626" s="2"/>
      <c r="B626" s="2"/>
      <c r="C626" s="2"/>
      <c r="D626" s="2"/>
      <c r="E626" s="2"/>
      <c r="F626" s="2"/>
      <c r="G626" s="2"/>
    </row>
    <row r="627" spans="1:7" ht="13.2" x14ac:dyDescent="0.25">
      <c r="A627" s="2"/>
      <c r="B627" s="2"/>
      <c r="C627" s="2"/>
      <c r="D627" s="2"/>
      <c r="E627" s="2"/>
      <c r="F627" s="2"/>
      <c r="G627" s="2"/>
    </row>
    <row r="628" spans="1:7" ht="13.2" x14ac:dyDescent="0.25">
      <c r="A628" s="2"/>
      <c r="B628" s="2"/>
      <c r="C628" s="2"/>
      <c r="D628" s="2"/>
      <c r="E628" s="2"/>
      <c r="F628" s="2"/>
      <c r="G628" s="2"/>
    </row>
    <row r="629" spans="1:7" ht="13.2" x14ac:dyDescent="0.25">
      <c r="A629" s="2"/>
      <c r="B629" s="2"/>
      <c r="C629" s="2"/>
      <c r="D629" s="2"/>
      <c r="E629" s="2"/>
      <c r="F629" s="2"/>
      <c r="G629" s="2"/>
    </row>
    <row r="630" spans="1:7" ht="13.2" x14ac:dyDescent="0.25">
      <c r="A630" s="2"/>
      <c r="B630" s="2"/>
      <c r="C630" s="2"/>
      <c r="D630" s="2"/>
      <c r="E630" s="2"/>
      <c r="F630" s="2"/>
      <c r="G630" s="2"/>
    </row>
    <row r="631" spans="1:7" ht="13.2" x14ac:dyDescent="0.25">
      <c r="A631" s="2"/>
      <c r="B631" s="2"/>
      <c r="C631" s="2"/>
      <c r="D631" s="2"/>
      <c r="E631" s="2"/>
      <c r="F631" s="2"/>
      <c r="G631" s="2"/>
    </row>
    <row r="632" spans="1:7" ht="13.2" x14ac:dyDescent="0.25">
      <c r="A632" s="2"/>
      <c r="B632" s="2"/>
      <c r="C632" s="2"/>
      <c r="D632" s="2"/>
      <c r="E632" s="2"/>
      <c r="F632" s="2"/>
      <c r="G632" s="2"/>
    </row>
    <row r="633" spans="1:7" ht="13.2" x14ac:dyDescent="0.25">
      <c r="A633" s="2"/>
      <c r="B633" s="2"/>
      <c r="C633" s="2"/>
      <c r="D633" s="2"/>
      <c r="E633" s="2"/>
      <c r="F633" s="2"/>
      <c r="G633" s="2"/>
    </row>
    <row r="634" spans="1:7" ht="13.2" x14ac:dyDescent="0.25">
      <c r="A634" s="2"/>
      <c r="B634" s="2"/>
      <c r="C634" s="2"/>
      <c r="D634" s="2"/>
      <c r="E634" s="2"/>
      <c r="F634" s="2"/>
      <c r="G634" s="2"/>
    </row>
    <row r="635" spans="1:7" ht="13.2" x14ac:dyDescent="0.25">
      <c r="A635" s="2"/>
      <c r="B635" s="2"/>
      <c r="C635" s="2"/>
      <c r="D635" s="2"/>
      <c r="E635" s="2"/>
      <c r="F635" s="2"/>
      <c r="G635" s="2"/>
    </row>
    <row r="636" spans="1:7" ht="13.2" x14ac:dyDescent="0.25">
      <c r="A636" s="2"/>
      <c r="B636" s="2"/>
      <c r="C636" s="2"/>
      <c r="D636" s="2"/>
      <c r="E636" s="2"/>
      <c r="F636" s="2"/>
      <c r="G636" s="2"/>
    </row>
    <row r="637" spans="1:7" ht="13.2" x14ac:dyDescent="0.25">
      <c r="A637" s="2"/>
      <c r="B637" s="2"/>
      <c r="C637" s="2"/>
      <c r="D637" s="2"/>
      <c r="E637" s="2"/>
      <c r="F637" s="2"/>
      <c r="G637" s="2"/>
    </row>
    <row r="638" spans="1:7" ht="13.2" x14ac:dyDescent="0.25">
      <c r="A638" s="2"/>
      <c r="B638" s="2"/>
      <c r="C638" s="2"/>
      <c r="D638" s="2"/>
      <c r="E638" s="2"/>
      <c r="F638" s="2"/>
      <c r="G638" s="2"/>
    </row>
    <row r="639" spans="1:7" ht="13.2" x14ac:dyDescent="0.25">
      <c r="A639" s="2"/>
      <c r="B639" s="2"/>
      <c r="C639" s="2"/>
      <c r="D639" s="2"/>
      <c r="E639" s="2"/>
      <c r="F639" s="2"/>
      <c r="G639" s="2"/>
    </row>
    <row r="640" spans="1:7" ht="13.2" x14ac:dyDescent="0.25">
      <c r="A640" s="2"/>
      <c r="B640" s="2"/>
      <c r="C640" s="2"/>
      <c r="D640" s="2"/>
      <c r="E640" s="2"/>
      <c r="F640" s="2"/>
      <c r="G640" s="2"/>
    </row>
    <row r="641" spans="1:7" ht="13.2" x14ac:dyDescent="0.25">
      <c r="A641" s="2"/>
      <c r="B641" s="2"/>
      <c r="C641" s="2"/>
      <c r="D641" s="2"/>
      <c r="E641" s="2"/>
      <c r="F641" s="2"/>
      <c r="G641" s="2"/>
    </row>
    <row r="642" spans="1:7" ht="13.2" x14ac:dyDescent="0.25">
      <c r="A642" s="2"/>
      <c r="B642" s="2"/>
      <c r="C642" s="2"/>
      <c r="D642" s="2"/>
      <c r="E642" s="2"/>
      <c r="F642" s="2"/>
      <c r="G642" s="2"/>
    </row>
    <row r="643" spans="1:7" ht="13.2" x14ac:dyDescent="0.25">
      <c r="A643" s="2"/>
      <c r="B643" s="2"/>
      <c r="C643" s="2"/>
      <c r="D643" s="2"/>
      <c r="E643" s="2"/>
      <c r="F643" s="2"/>
      <c r="G643" s="2"/>
    </row>
    <row r="644" spans="1:7" ht="13.2" x14ac:dyDescent="0.25">
      <c r="A644" s="2"/>
      <c r="B644" s="2"/>
      <c r="C644" s="2"/>
      <c r="D644" s="2"/>
      <c r="E644" s="2"/>
      <c r="F644" s="2"/>
      <c r="G644" s="2"/>
    </row>
    <row r="645" spans="1:7" ht="13.2" x14ac:dyDescent="0.25">
      <c r="A645" s="2"/>
      <c r="B645" s="2"/>
      <c r="C645" s="2"/>
      <c r="D645" s="2"/>
      <c r="E645" s="2"/>
      <c r="F645" s="2"/>
      <c r="G645" s="2"/>
    </row>
    <row r="646" spans="1:7" ht="13.2" x14ac:dyDescent="0.25">
      <c r="A646" s="2"/>
      <c r="B646" s="2"/>
      <c r="C646" s="2"/>
      <c r="D646" s="2"/>
      <c r="E646" s="2"/>
      <c r="F646" s="2"/>
      <c r="G646" s="2"/>
    </row>
    <row r="647" spans="1:7" ht="13.2" x14ac:dyDescent="0.25">
      <c r="A647" s="2"/>
      <c r="B647" s="2"/>
      <c r="C647" s="2"/>
      <c r="D647" s="2"/>
      <c r="E647" s="2"/>
      <c r="F647" s="2"/>
      <c r="G647" s="2"/>
    </row>
    <row r="648" spans="1:7" ht="13.2" x14ac:dyDescent="0.25">
      <c r="A648" s="2"/>
      <c r="B648" s="2"/>
      <c r="C648" s="2"/>
      <c r="D648" s="2"/>
      <c r="E648" s="2"/>
      <c r="F648" s="2"/>
      <c r="G648" s="2"/>
    </row>
    <row r="649" spans="1:7" ht="13.2" x14ac:dyDescent="0.25">
      <c r="A649" s="2"/>
      <c r="B649" s="2"/>
      <c r="C649" s="2"/>
      <c r="D649" s="2"/>
      <c r="E649" s="2"/>
      <c r="F649" s="2"/>
      <c r="G649" s="2"/>
    </row>
    <row r="650" spans="1:7" ht="13.2" x14ac:dyDescent="0.25">
      <c r="A650" s="2"/>
      <c r="B650" s="2"/>
      <c r="C650" s="2"/>
      <c r="D650" s="2"/>
      <c r="E650" s="2"/>
      <c r="F650" s="2"/>
      <c r="G650" s="2"/>
    </row>
    <row r="651" spans="1:7" ht="13.2" x14ac:dyDescent="0.25">
      <c r="A651" s="2"/>
      <c r="B651" s="2"/>
      <c r="C651" s="2"/>
      <c r="D651" s="2"/>
      <c r="E651" s="2"/>
      <c r="F651" s="2"/>
      <c r="G651" s="2"/>
    </row>
    <row r="652" spans="1:7" ht="13.2" x14ac:dyDescent="0.25">
      <c r="A652" s="2"/>
      <c r="B652" s="2"/>
      <c r="C652" s="2"/>
      <c r="D652" s="2"/>
      <c r="E652" s="2"/>
      <c r="F652" s="2"/>
      <c r="G652" s="2"/>
    </row>
    <row r="653" spans="1:7" ht="13.2" x14ac:dyDescent="0.25">
      <c r="A653" s="2"/>
      <c r="B653" s="2"/>
      <c r="C653" s="2"/>
      <c r="D653" s="2"/>
      <c r="E653" s="2"/>
      <c r="F653" s="2"/>
      <c r="G653" s="2"/>
    </row>
    <row r="654" spans="1:7" ht="13.2" x14ac:dyDescent="0.25">
      <c r="A654" s="2"/>
      <c r="B654" s="2"/>
      <c r="C654" s="2"/>
      <c r="D654" s="2"/>
      <c r="E654" s="2"/>
      <c r="F654" s="2"/>
      <c r="G654" s="2"/>
    </row>
    <row r="655" spans="1:7" ht="13.2" x14ac:dyDescent="0.25">
      <c r="A655" s="2"/>
      <c r="B655" s="2"/>
      <c r="C655" s="2"/>
      <c r="D655" s="2"/>
      <c r="E655" s="2"/>
      <c r="F655" s="2"/>
      <c r="G655" s="2"/>
    </row>
    <row r="656" spans="1:7" ht="13.2" x14ac:dyDescent="0.25">
      <c r="A656" s="2"/>
      <c r="B656" s="2"/>
      <c r="C656" s="2"/>
      <c r="D656" s="2"/>
      <c r="E656" s="2"/>
      <c r="F656" s="2"/>
      <c r="G656" s="2"/>
    </row>
    <row r="657" spans="1:7" ht="13.2" x14ac:dyDescent="0.25">
      <c r="A657" s="2"/>
      <c r="B657" s="2"/>
      <c r="C657" s="2"/>
      <c r="D657" s="2"/>
      <c r="E657" s="2"/>
      <c r="F657" s="2"/>
      <c r="G657" s="2"/>
    </row>
    <row r="658" spans="1:7" ht="13.2" x14ac:dyDescent="0.25">
      <c r="A658" s="2"/>
      <c r="B658" s="2"/>
      <c r="C658" s="2"/>
      <c r="D658" s="2"/>
      <c r="E658" s="2"/>
      <c r="F658" s="2"/>
      <c r="G658" s="2"/>
    </row>
    <row r="659" spans="1:7" ht="13.2" x14ac:dyDescent="0.25">
      <c r="A659" s="2"/>
      <c r="B659" s="2"/>
      <c r="C659" s="2"/>
      <c r="D659" s="2"/>
      <c r="E659" s="2"/>
      <c r="F659" s="2"/>
      <c r="G659" s="2"/>
    </row>
    <row r="660" spans="1:7" ht="13.2" x14ac:dyDescent="0.25">
      <c r="A660" s="2"/>
      <c r="B660" s="2"/>
      <c r="C660" s="2"/>
      <c r="D660" s="2"/>
      <c r="E660" s="2"/>
      <c r="F660" s="2"/>
      <c r="G660" s="2"/>
    </row>
    <row r="661" spans="1:7" ht="13.2" x14ac:dyDescent="0.25">
      <c r="A661" s="2"/>
      <c r="B661" s="2"/>
      <c r="C661" s="2"/>
      <c r="D661" s="2"/>
      <c r="E661" s="2"/>
      <c r="F661" s="2"/>
      <c r="G661" s="2"/>
    </row>
    <row r="662" spans="1:7" ht="13.2" x14ac:dyDescent="0.25">
      <c r="A662" s="2"/>
      <c r="B662" s="2"/>
      <c r="C662" s="2"/>
      <c r="D662" s="2"/>
      <c r="E662" s="2"/>
      <c r="F662" s="2"/>
      <c r="G662" s="2"/>
    </row>
    <row r="663" spans="1:7" ht="13.2" x14ac:dyDescent="0.25">
      <c r="A663" s="2"/>
      <c r="B663" s="2"/>
      <c r="C663" s="2"/>
      <c r="D663" s="2"/>
      <c r="E663" s="2"/>
      <c r="F663" s="2"/>
      <c r="G663" s="2"/>
    </row>
    <row r="664" spans="1:7" ht="13.2" x14ac:dyDescent="0.25">
      <c r="A664" s="2"/>
      <c r="B664" s="2"/>
      <c r="C664" s="2"/>
      <c r="D664" s="2"/>
      <c r="E664" s="2"/>
      <c r="F664" s="2"/>
      <c r="G664" s="2"/>
    </row>
    <row r="665" spans="1:7" ht="13.2" x14ac:dyDescent="0.25">
      <c r="A665" s="2"/>
      <c r="B665" s="2"/>
      <c r="C665" s="2"/>
      <c r="D665" s="2"/>
      <c r="E665" s="2"/>
      <c r="F665" s="2"/>
      <c r="G665" s="2"/>
    </row>
    <row r="666" spans="1:7" ht="13.2" x14ac:dyDescent="0.25">
      <c r="A666" s="2"/>
      <c r="B666" s="2"/>
      <c r="C666" s="2"/>
      <c r="D666" s="2"/>
      <c r="E666" s="2"/>
      <c r="F666" s="2"/>
      <c r="G666" s="2"/>
    </row>
    <row r="667" spans="1:7" ht="13.2" x14ac:dyDescent="0.25">
      <c r="A667" s="2"/>
      <c r="B667" s="2"/>
      <c r="C667" s="2"/>
      <c r="D667" s="2"/>
      <c r="E667" s="2"/>
      <c r="F667" s="2"/>
      <c r="G667" s="2"/>
    </row>
    <row r="668" spans="1:7" ht="13.2" x14ac:dyDescent="0.25">
      <c r="A668" s="2"/>
      <c r="B668" s="2"/>
      <c r="C668" s="2"/>
      <c r="D668" s="2"/>
      <c r="E668" s="2"/>
      <c r="F668" s="2"/>
      <c r="G668" s="2"/>
    </row>
    <row r="669" spans="1:7" ht="13.2" x14ac:dyDescent="0.25">
      <c r="A669" s="2"/>
      <c r="B669" s="2"/>
      <c r="C669" s="2"/>
      <c r="D669" s="2"/>
      <c r="E669" s="2"/>
      <c r="F669" s="2"/>
      <c r="G669" s="2"/>
    </row>
    <row r="670" spans="1:7" ht="13.2" x14ac:dyDescent="0.25">
      <c r="A670" s="2"/>
      <c r="B670" s="2"/>
      <c r="C670" s="2"/>
      <c r="D670" s="2"/>
      <c r="E670" s="2"/>
      <c r="F670" s="2"/>
      <c r="G670" s="2"/>
    </row>
    <row r="671" spans="1:7" ht="13.2" x14ac:dyDescent="0.25">
      <c r="A671" s="2"/>
      <c r="B671" s="2"/>
      <c r="C671" s="2"/>
      <c r="D671" s="2"/>
      <c r="E671" s="2"/>
      <c r="F671" s="2"/>
      <c r="G671" s="2"/>
    </row>
    <row r="672" spans="1:7" ht="13.2" x14ac:dyDescent="0.25">
      <c r="A672" s="2"/>
      <c r="B672" s="2"/>
      <c r="C672" s="2"/>
      <c r="D672" s="2"/>
      <c r="E672" s="2"/>
      <c r="F672" s="2"/>
      <c r="G672" s="2"/>
    </row>
    <row r="673" spans="1:7" ht="13.2" x14ac:dyDescent="0.25">
      <c r="A673" s="2"/>
      <c r="B673" s="2"/>
      <c r="C673" s="2"/>
      <c r="D673" s="2"/>
      <c r="E673" s="2"/>
      <c r="F673" s="2"/>
      <c r="G673" s="2"/>
    </row>
    <row r="674" spans="1:7" ht="13.2" x14ac:dyDescent="0.25">
      <c r="A674" s="2"/>
      <c r="B674" s="2"/>
      <c r="C674" s="2"/>
      <c r="D674" s="2"/>
      <c r="E674" s="2"/>
      <c r="F674" s="2"/>
      <c r="G674" s="2"/>
    </row>
    <row r="675" spans="1:7" ht="13.2" x14ac:dyDescent="0.25">
      <c r="A675" s="2"/>
      <c r="B675" s="2"/>
      <c r="C675" s="2"/>
      <c r="D675" s="2"/>
      <c r="E675" s="2"/>
      <c r="F675" s="2"/>
      <c r="G675" s="2"/>
    </row>
    <row r="676" spans="1:7" ht="13.2" x14ac:dyDescent="0.25">
      <c r="A676" s="2"/>
      <c r="B676" s="2"/>
      <c r="C676" s="2"/>
      <c r="D676" s="2"/>
      <c r="E676" s="2"/>
      <c r="F676" s="2"/>
      <c r="G676" s="2"/>
    </row>
    <row r="677" spans="1:7" ht="13.2" x14ac:dyDescent="0.25">
      <c r="A677" s="2"/>
      <c r="B677" s="2"/>
      <c r="C677" s="2"/>
      <c r="D677" s="2"/>
      <c r="E677" s="2"/>
      <c r="F677" s="2"/>
      <c r="G677" s="2"/>
    </row>
    <row r="678" spans="1:7" ht="13.2" x14ac:dyDescent="0.25">
      <c r="A678" s="2"/>
      <c r="B678" s="2"/>
      <c r="C678" s="2"/>
      <c r="D678" s="2"/>
      <c r="E678" s="2"/>
      <c r="F678" s="2"/>
      <c r="G678" s="2"/>
    </row>
    <row r="679" spans="1:7" ht="13.2" x14ac:dyDescent="0.25">
      <c r="A679" s="2"/>
      <c r="B679" s="2"/>
      <c r="C679" s="2"/>
      <c r="D679" s="2"/>
      <c r="E679" s="2"/>
      <c r="F679" s="2"/>
      <c r="G679" s="2"/>
    </row>
    <row r="680" spans="1:7" ht="13.2" x14ac:dyDescent="0.25">
      <c r="A680" s="2"/>
      <c r="B680" s="2"/>
      <c r="C680" s="2"/>
      <c r="D680" s="2"/>
      <c r="E680" s="2"/>
      <c r="F680" s="2"/>
      <c r="G680" s="2"/>
    </row>
    <row r="681" spans="1:7" ht="13.2" x14ac:dyDescent="0.25">
      <c r="A681" s="2"/>
      <c r="B681" s="2"/>
      <c r="C681" s="2"/>
      <c r="D681" s="2"/>
      <c r="E681" s="2"/>
      <c r="F681" s="2"/>
      <c r="G681" s="2"/>
    </row>
    <row r="682" spans="1:7" ht="13.2" x14ac:dyDescent="0.25">
      <c r="A682" s="2"/>
      <c r="B682" s="2"/>
      <c r="C682" s="2"/>
      <c r="D682" s="2"/>
      <c r="E682" s="2"/>
      <c r="F682" s="2"/>
      <c r="G682" s="2"/>
    </row>
    <row r="683" spans="1:7" ht="13.2" x14ac:dyDescent="0.25">
      <c r="A683" s="2"/>
      <c r="B683" s="2"/>
      <c r="C683" s="2"/>
      <c r="D683" s="2"/>
      <c r="E683" s="2"/>
      <c r="F683" s="2"/>
      <c r="G683" s="2"/>
    </row>
    <row r="684" spans="1:7" ht="13.2" x14ac:dyDescent="0.25">
      <c r="A684" s="2"/>
      <c r="B684" s="2"/>
      <c r="C684" s="2"/>
      <c r="D684" s="2"/>
      <c r="E684" s="2"/>
      <c r="F684" s="2"/>
      <c r="G684" s="2"/>
    </row>
    <row r="685" spans="1:7" ht="13.2" x14ac:dyDescent="0.25">
      <c r="A685" s="2"/>
      <c r="B685" s="2"/>
      <c r="C685" s="2"/>
      <c r="D685" s="2"/>
      <c r="E685" s="2"/>
      <c r="F685" s="2"/>
      <c r="G685" s="2"/>
    </row>
    <row r="686" spans="1:7" ht="13.2" x14ac:dyDescent="0.25">
      <c r="A686" s="2"/>
      <c r="B686" s="2"/>
      <c r="C686" s="2"/>
      <c r="D686" s="2"/>
      <c r="E686" s="2"/>
      <c r="F686" s="2"/>
      <c r="G686" s="2"/>
    </row>
    <row r="687" spans="1:7" ht="13.2" x14ac:dyDescent="0.25">
      <c r="A687" s="2"/>
      <c r="B687" s="2"/>
      <c r="C687" s="2"/>
      <c r="D687" s="2"/>
      <c r="E687" s="2"/>
      <c r="F687" s="2"/>
      <c r="G687" s="2"/>
    </row>
    <row r="688" spans="1:7" ht="13.2" x14ac:dyDescent="0.25">
      <c r="A688" s="2"/>
      <c r="B688" s="2"/>
      <c r="C688" s="2"/>
      <c r="D688" s="2"/>
      <c r="E688" s="2"/>
      <c r="F688" s="2"/>
      <c r="G688" s="2"/>
    </row>
    <row r="689" spans="1:7" ht="13.2" x14ac:dyDescent="0.25">
      <c r="A689" s="2"/>
      <c r="B689" s="2"/>
      <c r="C689" s="2"/>
      <c r="D689" s="2"/>
      <c r="E689" s="2"/>
      <c r="F689" s="2"/>
      <c r="G689" s="2"/>
    </row>
    <row r="690" spans="1:7" ht="13.2" x14ac:dyDescent="0.25">
      <c r="A690" s="2"/>
      <c r="B690" s="2"/>
      <c r="C690" s="2"/>
      <c r="D690" s="2"/>
      <c r="E690" s="2"/>
      <c r="F690" s="2"/>
      <c r="G690" s="2"/>
    </row>
    <row r="691" spans="1:7" ht="13.2" x14ac:dyDescent="0.25">
      <c r="A691" s="2"/>
      <c r="B691" s="2"/>
      <c r="C691" s="2"/>
      <c r="D691" s="2"/>
      <c r="E691" s="2"/>
      <c r="F691" s="2"/>
      <c r="G691" s="2"/>
    </row>
    <row r="692" spans="1:7" ht="13.2" x14ac:dyDescent="0.25">
      <c r="A692" s="2"/>
      <c r="B692" s="2"/>
      <c r="C692" s="2"/>
      <c r="D692" s="2"/>
      <c r="E692" s="2"/>
      <c r="F692" s="2"/>
      <c r="G692" s="2"/>
    </row>
    <row r="693" spans="1:7" ht="13.2" x14ac:dyDescent="0.25">
      <c r="A693" s="2"/>
      <c r="B693" s="2"/>
      <c r="C693" s="2"/>
      <c r="D693" s="2"/>
      <c r="E693" s="2"/>
      <c r="F693" s="2"/>
      <c r="G693" s="2"/>
    </row>
    <row r="694" spans="1:7" ht="13.2" x14ac:dyDescent="0.25">
      <c r="A694" s="2"/>
      <c r="B694" s="2"/>
      <c r="C694" s="2"/>
      <c r="D694" s="2"/>
      <c r="E694" s="2"/>
      <c r="F694" s="2"/>
      <c r="G694" s="2"/>
    </row>
    <row r="695" spans="1:7" ht="13.2" x14ac:dyDescent="0.25">
      <c r="A695" s="2"/>
      <c r="B695" s="2"/>
      <c r="C695" s="2"/>
      <c r="D695" s="2"/>
      <c r="E695" s="2"/>
      <c r="F695" s="2"/>
      <c r="G695" s="2"/>
    </row>
    <row r="696" spans="1:7" ht="13.2" x14ac:dyDescent="0.25">
      <c r="A696" s="2"/>
      <c r="B696" s="2"/>
      <c r="C696" s="2"/>
      <c r="D696" s="2"/>
      <c r="E696" s="2"/>
      <c r="F696" s="2"/>
      <c r="G696" s="2"/>
    </row>
    <row r="697" spans="1:7" ht="13.2" x14ac:dyDescent="0.25">
      <c r="A697" s="2"/>
      <c r="B697" s="2"/>
      <c r="C697" s="2"/>
      <c r="D697" s="2"/>
      <c r="E697" s="2"/>
      <c r="F697" s="2"/>
      <c r="G697" s="2"/>
    </row>
    <row r="698" spans="1:7" ht="13.2" x14ac:dyDescent="0.25">
      <c r="A698" s="2"/>
      <c r="B698" s="2"/>
      <c r="C698" s="2"/>
      <c r="D698" s="2"/>
      <c r="E698" s="2"/>
      <c r="F698" s="2"/>
      <c r="G698" s="2"/>
    </row>
    <row r="699" spans="1:7" ht="13.2" x14ac:dyDescent="0.25">
      <c r="A699" s="2"/>
      <c r="B699" s="2"/>
      <c r="C699" s="2"/>
      <c r="D699" s="2"/>
      <c r="E699" s="2"/>
      <c r="F699" s="2"/>
      <c r="G699" s="2"/>
    </row>
    <row r="700" spans="1:7" ht="13.2" x14ac:dyDescent="0.25">
      <c r="A700" s="2"/>
      <c r="B700" s="2"/>
      <c r="C700" s="2"/>
      <c r="D700" s="2"/>
      <c r="E700" s="2"/>
      <c r="F700" s="2"/>
      <c r="G700" s="2"/>
    </row>
    <row r="701" spans="1:7" ht="13.2" x14ac:dyDescent="0.25">
      <c r="A701" s="2"/>
      <c r="B701" s="2"/>
      <c r="C701" s="2"/>
      <c r="D701" s="2"/>
      <c r="E701" s="2"/>
      <c r="F701" s="2"/>
      <c r="G701" s="2"/>
    </row>
    <row r="702" spans="1:7" ht="13.2" x14ac:dyDescent="0.25">
      <c r="A702" s="2"/>
      <c r="B702" s="2"/>
      <c r="C702" s="2"/>
      <c r="D702" s="2"/>
      <c r="E702" s="2"/>
      <c r="F702" s="2"/>
      <c r="G702" s="2"/>
    </row>
    <row r="703" spans="1:7" ht="13.2" x14ac:dyDescent="0.25">
      <c r="A703" s="2"/>
      <c r="B703" s="2"/>
      <c r="C703" s="2"/>
      <c r="D703" s="2"/>
      <c r="E703" s="2"/>
      <c r="F703" s="2"/>
      <c r="G703" s="2"/>
    </row>
    <row r="704" spans="1:7" ht="13.2" x14ac:dyDescent="0.25">
      <c r="A704" s="2"/>
      <c r="B704" s="2"/>
      <c r="C704" s="2"/>
      <c r="D704" s="2"/>
      <c r="E704" s="2"/>
      <c r="F704" s="2"/>
      <c r="G704" s="2"/>
    </row>
    <row r="705" spans="1:7" ht="13.2" x14ac:dyDescent="0.25">
      <c r="A705" s="2"/>
      <c r="B705" s="2"/>
      <c r="C705" s="2"/>
      <c r="D705" s="2"/>
      <c r="E705" s="2"/>
      <c r="F705" s="2"/>
      <c r="G705" s="2"/>
    </row>
    <row r="706" spans="1:7" ht="13.2" x14ac:dyDescent="0.25">
      <c r="A706" s="2"/>
      <c r="B706" s="2"/>
      <c r="C706" s="2"/>
      <c r="D706" s="2"/>
      <c r="E706" s="2"/>
      <c r="F706" s="2"/>
      <c r="G706" s="2"/>
    </row>
    <row r="707" spans="1:7" ht="13.2" x14ac:dyDescent="0.25">
      <c r="A707" s="2"/>
      <c r="B707" s="2"/>
      <c r="C707" s="2"/>
      <c r="D707" s="2"/>
      <c r="E707" s="2"/>
      <c r="F707" s="2"/>
      <c r="G707" s="2"/>
    </row>
    <row r="708" spans="1:7" ht="13.2" x14ac:dyDescent="0.25">
      <c r="A708" s="2"/>
      <c r="B708" s="2"/>
      <c r="C708" s="2"/>
      <c r="D708" s="2"/>
      <c r="E708" s="2"/>
      <c r="F708" s="2"/>
      <c r="G708" s="2"/>
    </row>
    <row r="709" spans="1:7" ht="13.2" x14ac:dyDescent="0.25">
      <c r="A709" s="2"/>
      <c r="B709" s="2"/>
      <c r="C709" s="2"/>
      <c r="D709" s="2"/>
      <c r="E709" s="2"/>
      <c r="F709" s="2"/>
      <c r="G709" s="2"/>
    </row>
    <row r="710" spans="1:7" ht="13.2" x14ac:dyDescent="0.25">
      <c r="A710" s="2"/>
      <c r="B710" s="2"/>
      <c r="C710" s="2"/>
      <c r="D710" s="2"/>
      <c r="E710" s="2"/>
      <c r="F710" s="2"/>
      <c r="G710" s="2"/>
    </row>
    <row r="711" spans="1:7" ht="13.2" x14ac:dyDescent="0.25">
      <c r="A711" s="2"/>
      <c r="B711" s="2"/>
      <c r="C711" s="2"/>
      <c r="D711" s="2"/>
      <c r="E711" s="2"/>
      <c r="F711" s="2"/>
      <c r="G711" s="2"/>
    </row>
    <row r="712" spans="1:7" ht="13.2" x14ac:dyDescent="0.25">
      <c r="A712" s="2"/>
      <c r="B712" s="2"/>
      <c r="C712" s="2"/>
      <c r="D712" s="2"/>
      <c r="E712" s="2"/>
      <c r="F712" s="2"/>
      <c r="G712" s="2"/>
    </row>
    <row r="713" spans="1:7" ht="13.2" x14ac:dyDescent="0.25">
      <c r="A713" s="2"/>
      <c r="B713" s="2"/>
      <c r="C713" s="2"/>
      <c r="D713" s="2"/>
      <c r="E713" s="2"/>
      <c r="F713" s="2"/>
      <c r="G713" s="2"/>
    </row>
    <row r="714" spans="1:7" ht="13.2" x14ac:dyDescent="0.25">
      <c r="A714" s="2"/>
      <c r="B714" s="2"/>
      <c r="C714" s="2"/>
      <c r="D714" s="2"/>
      <c r="E714" s="2"/>
      <c r="F714" s="2"/>
      <c r="G714" s="2"/>
    </row>
    <row r="715" spans="1:7" ht="13.2" x14ac:dyDescent="0.25">
      <c r="A715" s="2"/>
      <c r="B715" s="2"/>
      <c r="C715" s="2"/>
      <c r="D715" s="2"/>
      <c r="E715" s="2"/>
      <c r="F715" s="2"/>
      <c r="G715" s="2"/>
    </row>
    <row r="716" spans="1:7" ht="13.2" x14ac:dyDescent="0.25">
      <c r="A716" s="2"/>
      <c r="B716" s="2"/>
      <c r="C716" s="2"/>
      <c r="D716" s="2"/>
      <c r="E716" s="2"/>
      <c r="F716" s="2"/>
      <c r="G716" s="2"/>
    </row>
    <row r="717" spans="1:7" ht="13.2" x14ac:dyDescent="0.25">
      <c r="A717" s="2"/>
      <c r="B717" s="2"/>
      <c r="C717" s="2"/>
      <c r="D717" s="2"/>
      <c r="E717" s="2"/>
      <c r="F717" s="2"/>
      <c r="G717" s="2"/>
    </row>
    <row r="718" spans="1:7" ht="13.2" x14ac:dyDescent="0.25">
      <c r="A718" s="2"/>
      <c r="B718" s="2"/>
      <c r="C718" s="2"/>
      <c r="D718" s="2"/>
      <c r="E718" s="2"/>
      <c r="F718" s="2"/>
      <c r="G718" s="2"/>
    </row>
    <row r="719" spans="1:7" ht="13.2" x14ac:dyDescent="0.25">
      <c r="A719" s="2"/>
      <c r="B719" s="2"/>
      <c r="C719" s="2"/>
      <c r="D719" s="2"/>
      <c r="E719" s="2"/>
      <c r="F719" s="2"/>
      <c r="G719" s="2"/>
    </row>
    <row r="720" spans="1:7" ht="13.2" x14ac:dyDescent="0.25">
      <c r="A720" s="2"/>
      <c r="B720" s="2"/>
      <c r="C720" s="2"/>
      <c r="D720" s="2"/>
      <c r="E720" s="2"/>
      <c r="F720" s="2"/>
      <c r="G720" s="2"/>
    </row>
    <row r="721" spans="1:7" ht="13.2" x14ac:dyDescent="0.25">
      <c r="A721" s="2"/>
      <c r="B721" s="2"/>
      <c r="C721" s="2"/>
      <c r="D721" s="2"/>
      <c r="E721" s="2"/>
      <c r="F721" s="2"/>
      <c r="G721" s="2"/>
    </row>
    <row r="722" spans="1:7" ht="13.2" x14ac:dyDescent="0.25">
      <c r="A722" s="2"/>
      <c r="B722" s="2"/>
      <c r="C722" s="2"/>
      <c r="D722" s="2"/>
      <c r="E722" s="2"/>
      <c r="F722" s="2"/>
      <c r="G722" s="2"/>
    </row>
    <row r="723" spans="1:7" ht="13.2" x14ac:dyDescent="0.25">
      <c r="A723" s="2"/>
      <c r="B723" s="2"/>
      <c r="C723" s="2"/>
      <c r="D723" s="2"/>
      <c r="E723" s="2"/>
      <c r="F723" s="2"/>
      <c r="G723" s="2"/>
    </row>
    <row r="724" spans="1:7" ht="13.2" x14ac:dyDescent="0.25">
      <c r="A724" s="2"/>
      <c r="B724" s="2"/>
      <c r="C724" s="2"/>
      <c r="D724" s="2"/>
      <c r="E724" s="2"/>
      <c r="F724" s="2"/>
      <c r="G724" s="2"/>
    </row>
    <row r="725" spans="1:7" ht="13.2" x14ac:dyDescent="0.25">
      <c r="A725" s="2"/>
      <c r="B725" s="2"/>
      <c r="C725" s="2"/>
      <c r="D725" s="2"/>
      <c r="E725" s="2"/>
      <c r="F725" s="2"/>
      <c r="G725" s="2"/>
    </row>
    <row r="726" spans="1:7" ht="13.2" x14ac:dyDescent="0.25">
      <c r="A726" s="2"/>
      <c r="B726" s="2"/>
      <c r="C726" s="2"/>
      <c r="D726" s="2"/>
      <c r="E726" s="2"/>
      <c r="F726" s="2"/>
      <c r="G726" s="2"/>
    </row>
    <row r="727" spans="1:7" ht="13.2" x14ac:dyDescent="0.25">
      <c r="A727" s="2"/>
      <c r="B727" s="2"/>
      <c r="C727" s="2"/>
      <c r="D727" s="2"/>
      <c r="E727" s="2"/>
      <c r="F727" s="2"/>
      <c r="G727" s="2"/>
    </row>
    <row r="728" spans="1:7" ht="13.2" x14ac:dyDescent="0.25">
      <c r="A728" s="2"/>
      <c r="B728" s="2"/>
      <c r="C728" s="2"/>
      <c r="D728" s="2"/>
      <c r="E728" s="2"/>
      <c r="F728" s="2"/>
      <c r="G728" s="2"/>
    </row>
    <row r="729" spans="1:7" ht="13.2" x14ac:dyDescent="0.25">
      <c r="A729" s="2"/>
      <c r="B729" s="2"/>
      <c r="C729" s="2"/>
      <c r="D729" s="2"/>
      <c r="E729" s="2"/>
      <c r="F729" s="2"/>
      <c r="G729" s="2"/>
    </row>
    <row r="730" spans="1:7" ht="13.2" x14ac:dyDescent="0.25">
      <c r="A730" s="2"/>
      <c r="B730" s="2"/>
      <c r="C730" s="2"/>
      <c r="D730" s="2"/>
      <c r="E730" s="2"/>
      <c r="F730" s="2"/>
      <c r="G730" s="2"/>
    </row>
    <row r="731" spans="1:7" ht="13.2" x14ac:dyDescent="0.25">
      <c r="A731" s="2"/>
      <c r="B731" s="2"/>
      <c r="C731" s="2"/>
      <c r="D731" s="2"/>
      <c r="E731" s="2"/>
      <c r="F731" s="2"/>
      <c r="G731" s="2"/>
    </row>
    <row r="732" spans="1:7" ht="13.2" x14ac:dyDescent="0.25">
      <c r="A732" s="2"/>
      <c r="B732" s="2"/>
      <c r="C732" s="2"/>
      <c r="D732" s="2"/>
      <c r="E732" s="2"/>
      <c r="F732" s="2"/>
      <c r="G732" s="2"/>
    </row>
    <row r="733" spans="1:7" ht="13.2" x14ac:dyDescent="0.25">
      <c r="A733" s="2"/>
      <c r="B733" s="2"/>
      <c r="C733" s="2"/>
      <c r="D733" s="2"/>
      <c r="E733" s="2"/>
      <c r="F733" s="2"/>
      <c r="G733" s="2"/>
    </row>
    <row r="734" spans="1:7" ht="13.2" x14ac:dyDescent="0.25">
      <c r="A734" s="2"/>
      <c r="B734" s="2"/>
      <c r="C734" s="2"/>
      <c r="D734" s="2"/>
      <c r="E734" s="2"/>
      <c r="F734" s="2"/>
      <c r="G734" s="2"/>
    </row>
    <row r="735" spans="1:7" ht="13.2" x14ac:dyDescent="0.25">
      <c r="A735" s="2"/>
      <c r="B735" s="2"/>
      <c r="C735" s="2"/>
      <c r="D735" s="2"/>
      <c r="E735" s="2"/>
      <c r="F735" s="2"/>
      <c r="G735" s="2"/>
    </row>
    <row r="736" spans="1:7" ht="13.2" x14ac:dyDescent="0.25">
      <c r="A736" s="2"/>
      <c r="B736" s="2"/>
      <c r="C736" s="2"/>
      <c r="D736" s="2"/>
      <c r="E736" s="2"/>
      <c r="F736" s="2"/>
      <c r="G736" s="2"/>
    </row>
    <row r="737" spans="1:7" ht="13.2" x14ac:dyDescent="0.25">
      <c r="A737" s="2"/>
      <c r="B737" s="2"/>
      <c r="C737" s="2"/>
      <c r="D737" s="2"/>
      <c r="E737" s="2"/>
      <c r="F737" s="2"/>
      <c r="G737" s="2"/>
    </row>
    <row r="738" spans="1:7" ht="13.2" x14ac:dyDescent="0.25">
      <c r="A738" s="2"/>
      <c r="B738" s="2"/>
      <c r="C738" s="2"/>
      <c r="D738" s="2"/>
      <c r="E738" s="2"/>
      <c r="F738" s="2"/>
      <c r="G738" s="2"/>
    </row>
    <row r="739" spans="1:7" ht="13.2" x14ac:dyDescent="0.25">
      <c r="A739" s="2"/>
      <c r="B739" s="2"/>
      <c r="C739" s="2"/>
      <c r="D739" s="2"/>
      <c r="E739" s="2"/>
      <c r="F739" s="2"/>
      <c r="G739" s="2"/>
    </row>
    <row r="740" spans="1:7" ht="13.2" x14ac:dyDescent="0.25">
      <c r="A740" s="2"/>
      <c r="B740" s="2"/>
      <c r="C740" s="2"/>
      <c r="D740" s="2"/>
      <c r="E740" s="2"/>
      <c r="F740" s="2"/>
      <c r="G740" s="2"/>
    </row>
    <row r="741" spans="1:7" ht="13.2" x14ac:dyDescent="0.25">
      <c r="A741" s="2"/>
      <c r="B741" s="2"/>
      <c r="C741" s="2"/>
      <c r="D741" s="2"/>
      <c r="E741" s="2"/>
      <c r="F741" s="2"/>
      <c r="G741" s="2"/>
    </row>
    <row r="742" spans="1:7" ht="13.2" x14ac:dyDescent="0.25">
      <c r="A742" s="2"/>
      <c r="B742" s="2"/>
      <c r="C742" s="2"/>
      <c r="D742" s="2"/>
      <c r="E742" s="2"/>
      <c r="F742" s="2"/>
      <c r="G742" s="2"/>
    </row>
    <row r="743" spans="1:7" ht="13.2" x14ac:dyDescent="0.25">
      <c r="A743" s="2"/>
      <c r="B743" s="2"/>
      <c r="C743" s="2"/>
      <c r="D743" s="2"/>
      <c r="E743" s="2"/>
      <c r="F743" s="2"/>
      <c r="G743" s="2"/>
    </row>
    <row r="744" spans="1:7" ht="13.2" x14ac:dyDescent="0.25">
      <c r="A744" s="2"/>
      <c r="B744" s="2"/>
      <c r="C744" s="2"/>
      <c r="D744" s="2"/>
      <c r="E744" s="2"/>
      <c r="F744" s="2"/>
      <c r="G744" s="2"/>
    </row>
    <row r="745" spans="1:7" ht="13.2" x14ac:dyDescent="0.25">
      <c r="A745" s="2"/>
      <c r="B745" s="2"/>
      <c r="C745" s="2"/>
      <c r="D745" s="2"/>
      <c r="E745" s="2"/>
      <c r="F745" s="2"/>
      <c r="G745" s="2"/>
    </row>
    <row r="746" spans="1:7" ht="13.2" x14ac:dyDescent="0.25">
      <c r="A746" s="2"/>
      <c r="B746" s="2"/>
      <c r="C746" s="2"/>
      <c r="D746" s="2"/>
      <c r="E746" s="2"/>
      <c r="F746" s="2"/>
      <c r="G746" s="2"/>
    </row>
    <row r="747" spans="1:7" ht="13.2" x14ac:dyDescent="0.25">
      <c r="A747" s="2"/>
      <c r="B747" s="2"/>
      <c r="C747" s="2"/>
      <c r="D747" s="2"/>
      <c r="E747" s="2"/>
      <c r="F747" s="2"/>
      <c r="G747" s="2"/>
    </row>
    <row r="748" spans="1:7" ht="13.2" x14ac:dyDescent="0.25">
      <c r="A748" s="2"/>
      <c r="B748" s="2"/>
      <c r="C748" s="2"/>
      <c r="D748" s="2"/>
      <c r="E748" s="2"/>
      <c r="F748" s="2"/>
      <c r="G748" s="2"/>
    </row>
    <row r="749" spans="1:7" ht="13.2" x14ac:dyDescent="0.25">
      <c r="A749" s="2"/>
      <c r="B749" s="2"/>
      <c r="C749" s="2"/>
      <c r="D749" s="2"/>
      <c r="E749" s="2"/>
      <c r="F749" s="2"/>
      <c r="G749" s="2"/>
    </row>
    <row r="750" spans="1:7" ht="13.2" x14ac:dyDescent="0.25">
      <c r="A750" s="2"/>
      <c r="B750" s="2"/>
      <c r="C750" s="2"/>
      <c r="D750" s="2"/>
      <c r="E750" s="2"/>
      <c r="F750" s="2"/>
      <c r="G750" s="2"/>
    </row>
    <row r="751" spans="1:7" ht="13.2" x14ac:dyDescent="0.25">
      <c r="A751" s="2"/>
      <c r="B751" s="2"/>
      <c r="C751" s="2"/>
      <c r="D751" s="2"/>
      <c r="E751" s="2"/>
      <c r="F751" s="2"/>
      <c r="G751" s="2"/>
    </row>
    <row r="752" spans="1:7" ht="13.2" x14ac:dyDescent="0.25">
      <c r="A752" s="2"/>
      <c r="B752" s="2"/>
      <c r="C752" s="2"/>
      <c r="D752" s="2"/>
      <c r="E752" s="2"/>
      <c r="F752" s="2"/>
      <c r="G752" s="2"/>
    </row>
    <row r="753" spans="1:7" ht="13.2" x14ac:dyDescent="0.25">
      <c r="A753" s="2"/>
      <c r="B753" s="2"/>
      <c r="C753" s="2"/>
      <c r="D753" s="2"/>
      <c r="E753" s="2"/>
      <c r="F753" s="2"/>
      <c r="G753" s="2"/>
    </row>
    <row r="754" spans="1:7" ht="13.2" x14ac:dyDescent="0.25">
      <c r="A754" s="2"/>
      <c r="B754" s="2"/>
      <c r="C754" s="2"/>
      <c r="D754" s="2"/>
      <c r="E754" s="2"/>
      <c r="F754" s="2"/>
      <c r="G754" s="2"/>
    </row>
    <row r="755" spans="1:7" ht="13.2" x14ac:dyDescent="0.25">
      <c r="A755" s="2"/>
      <c r="B755" s="2"/>
      <c r="C755" s="2"/>
      <c r="D755" s="2"/>
      <c r="E755" s="2"/>
      <c r="F755" s="2"/>
      <c r="G755" s="2"/>
    </row>
    <row r="756" spans="1:7" ht="13.2" x14ac:dyDescent="0.25">
      <c r="A756" s="2"/>
      <c r="B756" s="2"/>
      <c r="C756" s="2"/>
      <c r="D756" s="2"/>
      <c r="E756" s="2"/>
      <c r="F756" s="2"/>
      <c r="G756" s="2"/>
    </row>
    <row r="757" spans="1:7" ht="13.2" x14ac:dyDescent="0.25">
      <c r="A757" s="2"/>
      <c r="B757" s="2"/>
      <c r="C757" s="2"/>
      <c r="D757" s="2"/>
      <c r="E757" s="2"/>
      <c r="F757" s="2"/>
      <c r="G757" s="2"/>
    </row>
    <row r="758" spans="1:7" ht="13.2" x14ac:dyDescent="0.25">
      <c r="A758" s="2"/>
      <c r="B758" s="2"/>
      <c r="C758" s="2"/>
      <c r="D758" s="2"/>
      <c r="E758" s="2"/>
      <c r="F758" s="2"/>
      <c r="G758" s="2"/>
    </row>
    <row r="759" spans="1:7" ht="13.2" x14ac:dyDescent="0.25">
      <c r="A759" s="2"/>
      <c r="B759" s="2"/>
      <c r="C759" s="2"/>
      <c r="D759" s="2"/>
      <c r="E759" s="2"/>
      <c r="F759" s="2"/>
      <c r="G759" s="2"/>
    </row>
    <row r="760" spans="1:7" ht="13.2" x14ac:dyDescent="0.25">
      <c r="A760" s="2"/>
      <c r="B760" s="2"/>
      <c r="C760" s="2"/>
      <c r="D760" s="2"/>
      <c r="E760" s="2"/>
      <c r="F760" s="2"/>
      <c r="G760" s="2"/>
    </row>
    <row r="761" spans="1:7" ht="13.2" x14ac:dyDescent="0.25">
      <c r="A761" s="2"/>
      <c r="B761" s="2"/>
      <c r="C761" s="2"/>
      <c r="D761" s="2"/>
      <c r="E761" s="2"/>
      <c r="F761" s="2"/>
      <c r="G761" s="2"/>
    </row>
    <row r="762" spans="1:7" ht="13.2" x14ac:dyDescent="0.25">
      <c r="A762" s="2"/>
      <c r="B762" s="2"/>
      <c r="C762" s="2"/>
      <c r="D762" s="2"/>
      <c r="E762" s="2"/>
      <c r="F762" s="2"/>
      <c r="G762" s="2"/>
    </row>
    <row r="763" spans="1:7" ht="13.2" x14ac:dyDescent="0.25">
      <c r="A763" s="2"/>
      <c r="B763" s="2"/>
      <c r="C763" s="2"/>
      <c r="D763" s="2"/>
      <c r="E763" s="2"/>
      <c r="F763" s="2"/>
      <c r="G763" s="2"/>
    </row>
    <row r="764" spans="1:7" ht="13.2" x14ac:dyDescent="0.25">
      <c r="A764" s="2"/>
      <c r="B764" s="2"/>
      <c r="C764" s="2"/>
      <c r="D764" s="2"/>
      <c r="E764" s="2"/>
      <c r="F764" s="2"/>
      <c r="G764" s="2"/>
    </row>
    <row r="765" spans="1:7" ht="13.2" x14ac:dyDescent="0.25">
      <c r="A765" s="2"/>
      <c r="B765" s="2"/>
      <c r="C765" s="2"/>
      <c r="D765" s="2"/>
      <c r="E765" s="2"/>
      <c r="F765" s="2"/>
      <c r="G765" s="2"/>
    </row>
    <row r="766" spans="1:7" ht="13.2" x14ac:dyDescent="0.25">
      <c r="A766" s="2"/>
      <c r="B766" s="2"/>
      <c r="C766" s="2"/>
      <c r="D766" s="2"/>
      <c r="E766" s="2"/>
      <c r="F766" s="2"/>
      <c r="G766" s="2"/>
    </row>
    <row r="767" spans="1:7" ht="13.2" x14ac:dyDescent="0.25">
      <c r="A767" s="2"/>
      <c r="B767" s="2"/>
      <c r="C767" s="2"/>
      <c r="D767" s="2"/>
      <c r="E767" s="2"/>
      <c r="F767" s="2"/>
      <c r="G767" s="2"/>
    </row>
    <row r="768" spans="1:7" ht="13.2" x14ac:dyDescent="0.25">
      <c r="A768" s="2"/>
      <c r="B768" s="2"/>
      <c r="C768" s="2"/>
      <c r="D768" s="2"/>
      <c r="E768" s="2"/>
      <c r="F768" s="2"/>
      <c r="G768" s="2"/>
    </row>
    <row r="769" spans="1:7" ht="13.2" x14ac:dyDescent="0.25">
      <c r="A769" s="2"/>
      <c r="B769" s="2"/>
      <c r="C769" s="2"/>
      <c r="D769" s="2"/>
      <c r="E769" s="2"/>
      <c r="F769" s="2"/>
      <c r="G769" s="2"/>
    </row>
    <row r="770" spans="1:7" ht="13.2" x14ac:dyDescent="0.25">
      <c r="A770" s="2"/>
      <c r="B770" s="2"/>
      <c r="C770" s="2"/>
      <c r="D770" s="2"/>
      <c r="E770" s="2"/>
      <c r="F770" s="2"/>
      <c r="G770" s="2"/>
    </row>
    <row r="771" spans="1:7" ht="13.2" x14ac:dyDescent="0.25">
      <c r="A771" s="2"/>
      <c r="B771" s="2"/>
      <c r="C771" s="2"/>
      <c r="D771" s="2"/>
      <c r="E771" s="2"/>
      <c r="F771" s="2"/>
      <c r="G771" s="2"/>
    </row>
    <row r="772" spans="1:7" ht="13.2" x14ac:dyDescent="0.25">
      <c r="A772" s="2"/>
      <c r="B772" s="2"/>
      <c r="C772" s="2"/>
      <c r="D772" s="2"/>
      <c r="E772" s="2"/>
      <c r="F772" s="2"/>
      <c r="G772" s="2"/>
    </row>
    <row r="773" spans="1:7" ht="13.2" x14ac:dyDescent="0.25">
      <c r="A773" s="2"/>
      <c r="B773" s="2"/>
      <c r="C773" s="2"/>
      <c r="D773" s="2"/>
      <c r="E773" s="2"/>
      <c r="F773" s="2"/>
      <c r="G773" s="2"/>
    </row>
    <row r="774" spans="1:7" ht="13.2" x14ac:dyDescent="0.25">
      <c r="A774" s="2"/>
      <c r="B774" s="2"/>
      <c r="C774" s="2"/>
      <c r="D774" s="2"/>
      <c r="E774" s="2"/>
      <c r="F774" s="2"/>
      <c r="G774" s="2"/>
    </row>
    <row r="775" spans="1:7" ht="13.2" x14ac:dyDescent="0.25">
      <c r="A775" s="2"/>
      <c r="B775" s="2"/>
      <c r="C775" s="2"/>
      <c r="D775" s="2"/>
      <c r="E775" s="2"/>
      <c r="F775" s="2"/>
      <c r="G775" s="2"/>
    </row>
    <row r="776" spans="1:7" ht="13.2" x14ac:dyDescent="0.25">
      <c r="A776" s="2"/>
      <c r="B776" s="2"/>
      <c r="C776" s="2"/>
      <c r="D776" s="2"/>
      <c r="E776" s="2"/>
      <c r="F776" s="2"/>
      <c r="G776" s="2"/>
    </row>
    <row r="777" spans="1:7" ht="13.2" x14ac:dyDescent="0.25">
      <c r="A777" s="2"/>
      <c r="B777" s="2"/>
      <c r="C777" s="2"/>
      <c r="D777" s="2"/>
      <c r="E777" s="2"/>
      <c r="F777" s="2"/>
      <c r="G777" s="2"/>
    </row>
    <row r="778" spans="1:7" ht="13.2" x14ac:dyDescent="0.25">
      <c r="A778" s="2"/>
      <c r="B778" s="2"/>
      <c r="C778" s="2"/>
      <c r="D778" s="2"/>
      <c r="E778" s="2"/>
      <c r="F778" s="2"/>
      <c r="G778" s="2"/>
    </row>
    <row r="779" spans="1:7" ht="13.2" x14ac:dyDescent="0.25">
      <c r="A779" s="2"/>
      <c r="B779" s="2"/>
      <c r="C779" s="2"/>
      <c r="D779" s="2"/>
      <c r="E779" s="2"/>
      <c r="F779" s="2"/>
      <c r="G779" s="2"/>
    </row>
    <row r="780" spans="1:7" ht="13.2" x14ac:dyDescent="0.25">
      <c r="A780" s="2"/>
      <c r="B780" s="2"/>
      <c r="C780" s="2"/>
      <c r="D780" s="2"/>
      <c r="E780" s="2"/>
      <c r="F780" s="2"/>
      <c r="G780" s="2"/>
    </row>
    <row r="781" spans="1:7" ht="13.2" x14ac:dyDescent="0.25">
      <c r="A781" s="2"/>
      <c r="B781" s="2"/>
      <c r="C781" s="2"/>
      <c r="D781" s="2"/>
      <c r="E781" s="2"/>
      <c r="F781" s="2"/>
      <c r="G781" s="2"/>
    </row>
    <row r="782" spans="1:7" ht="13.2" x14ac:dyDescent="0.25">
      <c r="A782" s="2"/>
      <c r="B782" s="2"/>
      <c r="C782" s="2"/>
      <c r="D782" s="2"/>
      <c r="E782" s="2"/>
      <c r="F782" s="2"/>
      <c r="G782" s="2"/>
    </row>
    <row r="783" spans="1:7" ht="13.2" x14ac:dyDescent="0.25">
      <c r="A783" s="2"/>
      <c r="B783" s="2"/>
      <c r="C783" s="2"/>
      <c r="D783" s="2"/>
      <c r="E783" s="2"/>
      <c r="F783" s="2"/>
      <c r="G783" s="2"/>
    </row>
    <row r="784" spans="1:7" ht="13.2" x14ac:dyDescent="0.25">
      <c r="A784" s="2"/>
      <c r="B784" s="2"/>
      <c r="C784" s="2"/>
      <c r="D784" s="2"/>
      <c r="E784" s="2"/>
      <c r="F784" s="2"/>
      <c r="G784" s="2"/>
    </row>
    <row r="785" spans="1:7" ht="13.2" x14ac:dyDescent="0.25">
      <c r="A785" s="2"/>
      <c r="B785" s="2"/>
      <c r="C785" s="2"/>
      <c r="D785" s="2"/>
      <c r="E785" s="2"/>
      <c r="F785" s="2"/>
      <c r="G785" s="2"/>
    </row>
    <row r="786" spans="1:7" ht="13.2" x14ac:dyDescent="0.25">
      <c r="A786" s="2"/>
      <c r="B786" s="2"/>
      <c r="C786" s="2"/>
      <c r="D786" s="2"/>
      <c r="E786" s="2"/>
      <c r="F786" s="2"/>
      <c r="G786" s="2"/>
    </row>
    <row r="787" spans="1:7" ht="13.2" x14ac:dyDescent="0.25">
      <c r="A787" s="2"/>
      <c r="B787" s="2"/>
      <c r="C787" s="2"/>
      <c r="D787" s="2"/>
      <c r="E787" s="2"/>
      <c r="F787" s="2"/>
      <c r="G787" s="2"/>
    </row>
    <row r="788" spans="1:7" ht="13.2" x14ac:dyDescent="0.25">
      <c r="A788" s="2"/>
      <c r="B788" s="2"/>
      <c r="C788" s="2"/>
      <c r="D788" s="2"/>
      <c r="E788" s="2"/>
      <c r="F788" s="2"/>
      <c r="G788" s="2"/>
    </row>
    <row r="789" spans="1:7" ht="13.2" x14ac:dyDescent="0.25">
      <c r="A789" s="2"/>
      <c r="B789" s="2"/>
      <c r="C789" s="2"/>
      <c r="D789" s="2"/>
      <c r="E789" s="2"/>
      <c r="F789" s="2"/>
      <c r="G789" s="2"/>
    </row>
    <row r="790" spans="1:7" ht="13.2" x14ac:dyDescent="0.25">
      <c r="A790" s="2"/>
      <c r="B790" s="2"/>
      <c r="C790" s="2"/>
      <c r="D790" s="2"/>
      <c r="E790" s="2"/>
      <c r="F790" s="2"/>
      <c r="G790" s="2"/>
    </row>
    <row r="791" spans="1:7" ht="13.2" x14ac:dyDescent="0.25">
      <c r="A791" s="2"/>
      <c r="B791" s="2"/>
      <c r="C791" s="2"/>
      <c r="D791" s="2"/>
      <c r="E791" s="2"/>
      <c r="F791" s="2"/>
      <c r="G791" s="2"/>
    </row>
    <row r="792" spans="1:7" ht="13.2" x14ac:dyDescent="0.25">
      <c r="A792" s="2"/>
      <c r="B792" s="2"/>
      <c r="C792" s="2"/>
      <c r="D792" s="2"/>
      <c r="E792" s="2"/>
      <c r="F792" s="2"/>
      <c r="G792" s="2"/>
    </row>
    <row r="793" spans="1:7" ht="13.2" x14ac:dyDescent="0.25">
      <c r="A793" s="2"/>
      <c r="B793" s="2"/>
      <c r="C793" s="2"/>
      <c r="D793" s="2"/>
      <c r="E793" s="2"/>
      <c r="F793" s="2"/>
      <c r="G793" s="2"/>
    </row>
    <row r="794" spans="1:7" ht="13.2" x14ac:dyDescent="0.25">
      <c r="A794" s="2"/>
      <c r="B794" s="2"/>
      <c r="C794" s="2"/>
      <c r="D794" s="2"/>
      <c r="E794" s="2"/>
      <c r="F794" s="2"/>
      <c r="G794" s="2"/>
    </row>
    <row r="795" spans="1:7" ht="13.2" x14ac:dyDescent="0.25">
      <c r="A795" s="2"/>
      <c r="B795" s="2"/>
      <c r="C795" s="2"/>
      <c r="D795" s="2"/>
      <c r="E795" s="2"/>
      <c r="F795" s="2"/>
      <c r="G795" s="2"/>
    </row>
    <row r="796" spans="1:7" ht="13.2" x14ac:dyDescent="0.25">
      <c r="A796" s="2"/>
      <c r="B796" s="2"/>
      <c r="C796" s="2"/>
      <c r="D796" s="2"/>
      <c r="E796" s="2"/>
      <c r="F796" s="2"/>
      <c r="G796" s="2"/>
    </row>
    <row r="797" spans="1:7" ht="13.2" x14ac:dyDescent="0.25">
      <c r="A797" s="2"/>
      <c r="B797" s="2"/>
      <c r="C797" s="2"/>
      <c r="D797" s="2"/>
      <c r="E797" s="2"/>
      <c r="F797" s="2"/>
      <c r="G797" s="2"/>
    </row>
    <row r="798" spans="1:7" ht="13.2" x14ac:dyDescent="0.25">
      <c r="A798" s="2"/>
      <c r="B798" s="2"/>
      <c r="C798" s="2"/>
      <c r="D798" s="2"/>
      <c r="E798" s="2"/>
      <c r="F798" s="2"/>
      <c r="G798" s="2"/>
    </row>
    <row r="799" spans="1:7" ht="13.2" x14ac:dyDescent="0.25">
      <c r="A799" s="2"/>
      <c r="B799" s="2"/>
      <c r="C799" s="2"/>
      <c r="D799" s="2"/>
      <c r="E799" s="2"/>
      <c r="F799" s="2"/>
      <c r="G799" s="2"/>
    </row>
    <row r="800" spans="1:7" ht="13.2" x14ac:dyDescent="0.25">
      <c r="A800" s="2"/>
      <c r="B800" s="2"/>
      <c r="C800" s="2"/>
      <c r="D800" s="2"/>
      <c r="E800" s="2"/>
      <c r="F800" s="2"/>
      <c r="G800" s="2"/>
    </row>
    <row r="801" spans="1:7" ht="13.2" x14ac:dyDescent="0.25">
      <c r="A801" s="2"/>
      <c r="B801" s="2"/>
      <c r="C801" s="2"/>
      <c r="D801" s="2"/>
      <c r="E801" s="2"/>
      <c r="F801" s="2"/>
      <c r="G801" s="2"/>
    </row>
    <row r="802" spans="1:7" ht="13.2" x14ac:dyDescent="0.25">
      <c r="A802" s="2"/>
      <c r="B802" s="2"/>
      <c r="C802" s="2"/>
      <c r="D802" s="2"/>
      <c r="E802" s="2"/>
      <c r="F802" s="2"/>
      <c r="G802" s="2"/>
    </row>
    <row r="803" spans="1:7" ht="13.2" x14ac:dyDescent="0.25">
      <c r="A803" s="2"/>
      <c r="B803" s="2"/>
      <c r="C803" s="2"/>
      <c r="D803" s="2"/>
      <c r="E803" s="2"/>
      <c r="F803" s="2"/>
      <c r="G803" s="2"/>
    </row>
    <row r="804" spans="1:7" ht="13.2" x14ac:dyDescent="0.25">
      <c r="A804" s="2"/>
      <c r="B804" s="2"/>
      <c r="C804" s="2"/>
      <c r="D804" s="2"/>
      <c r="E804" s="2"/>
      <c r="F804" s="2"/>
      <c r="G804" s="2"/>
    </row>
    <row r="805" spans="1:7" ht="13.2" x14ac:dyDescent="0.25">
      <c r="A805" s="2"/>
      <c r="B805" s="2"/>
      <c r="C805" s="2"/>
      <c r="D805" s="2"/>
      <c r="E805" s="2"/>
      <c r="F805" s="2"/>
      <c r="G805" s="2"/>
    </row>
    <row r="806" spans="1:7" ht="13.2" x14ac:dyDescent="0.25">
      <c r="A806" s="2"/>
      <c r="B806" s="2"/>
      <c r="C806" s="2"/>
      <c r="D806" s="2"/>
      <c r="E806" s="2"/>
      <c r="F806" s="2"/>
      <c r="G806" s="2"/>
    </row>
    <row r="807" spans="1:7" ht="13.2" x14ac:dyDescent="0.25">
      <c r="A807" s="2"/>
      <c r="B807" s="2"/>
      <c r="C807" s="2"/>
      <c r="D807" s="2"/>
      <c r="E807" s="2"/>
      <c r="F807" s="2"/>
      <c r="G807" s="2"/>
    </row>
    <row r="808" spans="1:7" ht="13.2" x14ac:dyDescent="0.25">
      <c r="A808" s="2"/>
      <c r="B808" s="2"/>
      <c r="C808" s="2"/>
      <c r="D808" s="2"/>
      <c r="E808" s="2"/>
      <c r="F808" s="2"/>
      <c r="G808" s="2"/>
    </row>
    <row r="809" spans="1:7" ht="13.2" x14ac:dyDescent="0.25">
      <c r="A809" s="2"/>
      <c r="B809" s="2"/>
      <c r="C809" s="2"/>
      <c r="D809" s="2"/>
      <c r="E809" s="2"/>
      <c r="F809" s="2"/>
      <c r="G809" s="2"/>
    </row>
    <row r="810" spans="1:7" ht="13.2" x14ac:dyDescent="0.25">
      <c r="A810" s="2"/>
      <c r="B810" s="2"/>
      <c r="C810" s="2"/>
      <c r="D810" s="2"/>
      <c r="E810" s="2"/>
      <c r="F810" s="2"/>
      <c r="G810" s="2"/>
    </row>
    <row r="811" spans="1:7" ht="13.2" x14ac:dyDescent="0.25">
      <c r="A811" s="2"/>
      <c r="B811" s="2"/>
      <c r="C811" s="2"/>
      <c r="D811" s="2"/>
      <c r="E811" s="2"/>
      <c r="F811" s="2"/>
      <c r="G811" s="2"/>
    </row>
    <row r="812" spans="1:7" ht="13.2" x14ac:dyDescent="0.25">
      <c r="A812" s="2"/>
      <c r="B812" s="2"/>
      <c r="C812" s="2"/>
      <c r="D812" s="2"/>
      <c r="E812" s="2"/>
      <c r="F812" s="2"/>
      <c r="G812" s="2"/>
    </row>
    <row r="813" spans="1:7" ht="13.2" x14ac:dyDescent="0.25">
      <c r="A813" s="2"/>
      <c r="B813" s="2"/>
      <c r="C813" s="2"/>
      <c r="D813" s="2"/>
      <c r="E813" s="2"/>
      <c r="F813" s="2"/>
      <c r="G813" s="2"/>
    </row>
    <row r="814" spans="1:7" ht="13.2" x14ac:dyDescent="0.25">
      <c r="A814" s="2"/>
      <c r="B814" s="2"/>
      <c r="C814" s="2"/>
      <c r="D814" s="2"/>
      <c r="E814" s="2"/>
      <c r="F814" s="2"/>
      <c r="G814" s="2"/>
    </row>
    <row r="815" spans="1:7" ht="13.2" x14ac:dyDescent="0.25">
      <c r="A815" s="2"/>
      <c r="B815" s="2"/>
      <c r="C815" s="2"/>
      <c r="D815" s="2"/>
      <c r="E815" s="2"/>
      <c r="F815" s="2"/>
      <c r="G815" s="2"/>
    </row>
    <row r="816" spans="1:7" ht="13.2" x14ac:dyDescent="0.25">
      <c r="A816" s="2"/>
      <c r="B816" s="2"/>
      <c r="C816" s="2"/>
      <c r="D816" s="2"/>
      <c r="E816" s="2"/>
      <c r="F816" s="2"/>
      <c r="G816" s="2"/>
    </row>
    <row r="817" spans="1:7" ht="13.2" x14ac:dyDescent="0.25">
      <c r="A817" s="2"/>
      <c r="B817" s="2"/>
      <c r="C817" s="2"/>
      <c r="D817" s="2"/>
      <c r="E817" s="2"/>
      <c r="F817" s="2"/>
      <c r="G817" s="2"/>
    </row>
    <row r="818" spans="1:7" ht="13.2" x14ac:dyDescent="0.25">
      <c r="A818" s="2"/>
      <c r="B818" s="2"/>
      <c r="C818" s="2"/>
      <c r="D818" s="2"/>
      <c r="E818" s="2"/>
      <c r="F818" s="2"/>
      <c r="G818" s="2"/>
    </row>
    <row r="819" spans="1:7" ht="13.2" x14ac:dyDescent="0.25">
      <c r="A819" s="2"/>
      <c r="B819" s="2"/>
      <c r="C819" s="2"/>
      <c r="D819" s="2"/>
      <c r="E819" s="2"/>
      <c r="F819" s="2"/>
      <c r="G819" s="2"/>
    </row>
    <row r="820" spans="1:7" ht="13.2" x14ac:dyDescent="0.25">
      <c r="A820" s="2"/>
      <c r="B820" s="2"/>
      <c r="C820" s="2"/>
      <c r="D820" s="2"/>
      <c r="E820" s="2"/>
      <c r="F820" s="2"/>
      <c r="G820" s="2"/>
    </row>
    <row r="821" spans="1:7" ht="13.2" x14ac:dyDescent="0.25">
      <c r="A821" s="2"/>
      <c r="B821" s="2"/>
      <c r="C821" s="2"/>
      <c r="D821" s="2"/>
      <c r="E821" s="2"/>
      <c r="F821" s="2"/>
      <c r="G821" s="2"/>
    </row>
    <row r="822" spans="1:7" ht="13.2" x14ac:dyDescent="0.25">
      <c r="A822" s="2"/>
      <c r="B822" s="2"/>
      <c r="C822" s="2"/>
      <c r="D822" s="2"/>
      <c r="E822" s="2"/>
      <c r="F822" s="2"/>
      <c r="G822" s="2"/>
    </row>
    <row r="823" spans="1:7" ht="13.2" x14ac:dyDescent="0.25">
      <c r="A823" s="2"/>
      <c r="B823" s="2"/>
      <c r="C823" s="2"/>
      <c r="D823" s="2"/>
      <c r="E823" s="2"/>
      <c r="F823" s="2"/>
      <c r="G823" s="2"/>
    </row>
    <row r="824" spans="1:7" ht="13.2" x14ac:dyDescent="0.25">
      <c r="A824" s="2"/>
      <c r="B824" s="2"/>
      <c r="C824" s="2"/>
      <c r="D824" s="2"/>
      <c r="E824" s="2"/>
      <c r="F824" s="2"/>
      <c r="G824" s="2"/>
    </row>
    <row r="825" spans="1:7" ht="13.2" x14ac:dyDescent="0.25">
      <c r="A825" s="2"/>
      <c r="B825" s="2"/>
      <c r="C825" s="2"/>
      <c r="D825" s="2"/>
      <c r="E825" s="2"/>
      <c r="F825" s="2"/>
      <c r="G825" s="2"/>
    </row>
    <row r="826" spans="1:7" ht="13.2" x14ac:dyDescent="0.25">
      <c r="A826" s="2"/>
      <c r="B826" s="2"/>
      <c r="C826" s="2"/>
      <c r="D826" s="2"/>
      <c r="E826" s="2"/>
      <c r="F826" s="2"/>
      <c r="G826" s="2"/>
    </row>
    <row r="827" spans="1:7" ht="13.2" x14ac:dyDescent="0.25">
      <c r="A827" s="2"/>
      <c r="B827" s="2"/>
      <c r="C827" s="2"/>
      <c r="D827" s="2"/>
      <c r="E827" s="2"/>
      <c r="F827" s="2"/>
      <c r="G827" s="2"/>
    </row>
    <row r="828" spans="1:7" ht="13.2" x14ac:dyDescent="0.25">
      <c r="A828" s="2"/>
      <c r="B828" s="2"/>
      <c r="C828" s="2"/>
      <c r="D828" s="2"/>
      <c r="E828" s="2"/>
      <c r="F828" s="2"/>
      <c r="G828" s="2"/>
    </row>
    <row r="829" spans="1:7" ht="13.2" x14ac:dyDescent="0.25">
      <c r="A829" s="2"/>
      <c r="B829" s="2"/>
      <c r="C829" s="2"/>
      <c r="D829" s="2"/>
      <c r="E829" s="2"/>
      <c r="F829" s="2"/>
      <c r="G829" s="2"/>
    </row>
    <row r="830" spans="1:7" ht="13.2" x14ac:dyDescent="0.25">
      <c r="A830" s="2"/>
      <c r="B830" s="2"/>
      <c r="C830" s="2"/>
      <c r="D830" s="2"/>
      <c r="E830" s="2"/>
      <c r="F830" s="2"/>
      <c r="G830" s="2"/>
    </row>
    <row r="831" spans="1:7" ht="13.2" x14ac:dyDescent="0.25">
      <c r="A831" s="2"/>
      <c r="B831" s="2"/>
      <c r="C831" s="2"/>
      <c r="D831" s="2"/>
      <c r="E831" s="2"/>
      <c r="F831" s="2"/>
      <c r="G831" s="2"/>
    </row>
    <row r="832" spans="1:7" ht="13.2" x14ac:dyDescent="0.25">
      <c r="A832" s="2"/>
      <c r="B832" s="2"/>
      <c r="C832" s="2"/>
      <c r="D832" s="2"/>
      <c r="E832" s="2"/>
      <c r="F832" s="2"/>
      <c r="G832" s="2"/>
    </row>
    <row r="833" spans="1:7" ht="13.2" x14ac:dyDescent="0.25">
      <c r="A833" s="2"/>
      <c r="B833" s="2"/>
      <c r="C833" s="2"/>
      <c r="D833" s="2"/>
      <c r="E833" s="2"/>
      <c r="F833" s="2"/>
      <c r="G833" s="2"/>
    </row>
    <row r="834" spans="1:7" ht="13.2" x14ac:dyDescent="0.25">
      <c r="A834" s="2"/>
      <c r="B834" s="2"/>
      <c r="C834" s="2"/>
      <c r="D834" s="2"/>
      <c r="E834" s="2"/>
      <c r="F834" s="2"/>
      <c r="G834" s="2"/>
    </row>
    <row r="835" spans="1:7" ht="13.2" x14ac:dyDescent="0.25">
      <c r="A835" s="2"/>
      <c r="B835" s="2"/>
      <c r="C835" s="2"/>
      <c r="D835" s="2"/>
      <c r="E835" s="2"/>
      <c r="F835" s="2"/>
      <c r="G835" s="2"/>
    </row>
    <row r="836" spans="1:7" ht="13.2" x14ac:dyDescent="0.25">
      <c r="A836" s="2"/>
      <c r="B836" s="2"/>
      <c r="C836" s="2"/>
      <c r="D836" s="2"/>
      <c r="E836" s="2"/>
      <c r="F836" s="2"/>
      <c r="G836" s="2"/>
    </row>
    <row r="837" spans="1:7" ht="13.2" x14ac:dyDescent="0.25">
      <c r="A837" s="2"/>
      <c r="B837" s="2"/>
      <c r="C837" s="2"/>
      <c r="D837" s="2"/>
      <c r="E837" s="2"/>
      <c r="F837" s="2"/>
      <c r="G837" s="2"/>
    </row>
    <row r="838" spans="1:7" ht="13.2" x14ac:dyDescent="0.25">
      <c r="A838" s="2"/>
      <c r="B838" s="2"/>
      <c r="C838" s="2"/>
      <c r="D838" s="2"/>
      <c r="E838" s="2"/>
      <c r="F838" s="2"/>
      <c r="G838" s="2"/>
    </row>
    <row r="839" spans="1:7" ht="13.2" x14ac:dyDescent="0.25">
      <c r="A839" s="2"/>
      <c r="B839" s="2"/>
      <c r="C839" s="2"/>
      <c r="D839" s="2"/>
      <c r="E839" s="2"/>
      <c r="F839" s="2"/>
      <c r="G839" s="2"/>
    </row>
    <row r="840" spans="1:7" ht="13.2" x14ac:dyDescent="0.25">
      <c r="A840" s="2"/>
      <c r="B840" s="2"/>
      <c r="C840" s="2"/>
      <c r="D840" s="2"/>
      <c r="E840" s="2"/>
      <c r="F840" s="2"/>
      <c r="G840" s="2"/>
    </row>
    <row r="841" spans="1:7" ht="13.2" x14ac:dyDescent="0.25">
      <c r="A841" s="2"/>
      <c r="B841" s="2"/>
      <c r="C841" s="2"/>
      <c r="D841" s="2"/>
      <c r="E841" s="2"/>
      <c r="F841" s="2"/>
      <c r="G841" s="2"/>
    </row>
    <row r="842" spans="1:7" ht="13.2" x14ac:dyDescent="0.25">
      <c r="A842" s="2"/>
      <c r="B842" s="2"/>
      <c r="C842" s="2"/>
      <c r="D842" s="2"/>
      <c r="E842" s="2"/>
      <c r="F842" s="2"/>
      <c r="G842" s="2"/>
    </row>
    <row r="843" spans="1:7" ht="13.2" x14ac:dyDescent="0.25">
      <c r="A843" s="2"/>
      <c r="B843" s="2"/>
      <c r="C843" s="2"/>
      <c r="D843" s="2"/>
      <c r="E843" s="2"/>
      <c r="F843" s="2"/>
      <c r="G843" s="2"/>
    </row>
    <row r="844" spans="1:7" ht="13.2" x14ac:dyDescent="0.25">
      <c r="A844" s="2"/>
      <c r="B844" s="2"/>
      <c r="C844" s="2"/>
      <c r="D844" s="2"/>
      <c r="E844" s="2"/>
      <c r="F844" s="2"/>
      <c r="G844" s="2"/>
    </row>
    <row r="845" spans="1:7" ht="13.2" x14ac:dyDescent="0.25">
      <c r="A845" s="2"/>
      <c r="B845" s="2"/>
      <c r="C845" s="2"/>
      <c r="D845" s="2"/>
      <c r="E845" s="2"/>
      <c r="F845" s="2"/>
      <c r="G845" s="2"/>
    </row>
    <row r="846" spans="1:7" ht="13.2" x14ac:dyDescent="0.25">
      <c r="A846" s="2"/>
      <c r="B846" s="2"/>
      <c r="C846" s="2"/>
      <c r="D846" s="2"/>
      <c r="E846" s="2"/>
      <c r="F846" s="2"/>
      <c r="G846" s="2"/>
    </row>
    <row r="847" spans="1:7" ht="13.2" x14ac:dyDescent="0.25">
      <c r="A847" s="2"/>
      <c r="B847" s="2"/>
      <c r="C847" s="2"/>
      <c r="D847" s="2"/>
      <c r="E847" s="2"/>
      <c r="F847" s="2"/>
      <c r="G847" s="2"/>
    </row>
    <row r="848" spans="1:7" ht="13.2" x14ac:dyDescent="0.25">
      <c r="A848" s="2"/>
      <c r="B848" s="2"/>
      <c r="C848" s="2"/>
      <c r="D848" s="2"/>
      <c r="E848" s="2"/>
      <c r="F848" s="2"/>
      <c r="G848" s="2"/>
    </row>
    <row r="849" spans="1:7" ht="13.2" x14ac:dyDescent="0.25">
      <c r="A849" s="2"/>
      <c r="B849" s="2"/>
      <c r="C849" s="2"/>
      <c r="D849" s="2"/>
      <c r="E849" s="2"/>
      <c r="F849" s="2"/>
      <c r="G849" s="2"/>
    </row>
    <row r="850" spans="1:7" ht="13.2" x14ac:dyDescent="0.25">
      <c r="A850" s="2"/>
      <c r="B850" s="2"/>
      <c r="C850" s="2"/>
      <c r="D850" s="2"/>
      <c r="E850" s="2"/>
      <c r="F850" s="2"/>
      <c r="G850" s="2"/>
    </row>
    <row r="851" spans="1:7" ht="13.2" x14ac:dyDescent="0.25">
      <c r="A851" s="2"/>
      <c r="B851" s="2"/>
      <c r="C851" s="2"/>
      <c r="D851" s="2"/>
      <c r="E851" s="2"/>
      <c r="F851" s="2"/>
      <c r="G851" s="2"/>
    </row>
    <row r="852" spans="1:7" ht="13.2" x14ac:dyDescent="0.25">
      <c r="A852" s="2"/>
      <c r="B852" s="2"/>
      <c r="C852" s="2"/>
      <c r="D852" s="2"/>
      <c r="E852" s="2"/>
      <c r="F852" s="2"/>
      <c r="G852" s="2"/>
    </row>
    <row r="853" spans="1:7" ht="13.2" x14ac:dyDescent="0.25">
      <c r="A853" s="2"/>
      <c r="B853" s="2"/>
      <c r="C853" s="2"/>
      <c r="D853" s="2"/>
      <c r="E853" s="2"/>
      <c r="F853" s="2"/>
      <c r="G853" s="2"/>
    </row>
    <row r="854" spans="1:7" ht="13.2" x14ac:dyDescent="0.25">
      <c r="A854" s="2"/>
      <c r="B854" s="2"/>
      <c r="C854" s="2"/>
      <c r="D854" s="2"/>
      <c r="E854" s="2"/>
      <c r="F854" s="2"/>
      <c r="G854" s="2"/>
    </row>
    <row r="855" spans="1:7" ht="13.2" x14ac:dyDescent="0.25">
      <c r="A855" s="2"/>
      <c r="B855" s="2"/>
      <c r="C855" s="2"/>
      <c r="D855" s="2"/>
      <c r="E855" s="2"/>
      <c r="F855" s="2"/>
      <c r="G855" s="2"/>
    </row>
    <row r="856" spans="1:7" ht="13.2" x14ac:dyDescent="0.25">
      <c r="A856" s="2"/>
      <c r="B856" s="2"/>
      <c r="C856" s="2"/>
      <c r="D856" s="2"/>
      <c r="E856" s="2"/>
      <c r="F856" s="2"/>
      <c r="G856" s="2"/>
    </row>
    <row r="857" spans="1:7" ht="13.2" x14ac:dyDescent="0.25">
      <c r="A857" s="2"/>
      <c r="B857" s="2"/>
      <c r="C857" s="2"/>
      <c r="D857" s="2"/>
      <c r="E857" s="2"/>
      <c r="F857" s="2"/>
      <c r="G857" s="2"/>
    </row>
    <row r="858" spans="1:7" ht="13.2" x14ac:dyDescent="0.25">
      <c r="A858" s="2"/>
      <c r="B858" s="2"/>
      <c r="C858" s="2"/>
      <c r="D858" s="2"/>
      <c r="E858" s="2"/>
      <c r="F858" s="2"/>
      <c r="G858" s="2"/>
    </row>
    <row r="859" spans="1:7" ht="13.2" x14ac:dyDescent="0.25">
      <c r="A859" s="2"/>
      <c r="B859" s="2"/>
      <c r="C859" s="2"/>
      <c r="D859" s="2"/>
      <c r="E859" s="2"/>
      <c r="F859" s="2"/>
      <c r="G859" s="2"/>
    </row>
    <row r="860" spans="1:7" ht="13.2" x14ac:dyDescent="0.25">
      <c r="A860" s="2"/>
      <c r="B860" s="2"/>
      <c r="C860" s="2"/>
      <c r="D860" s="2"/>
      <c r="E860" s="2"/>
      <c r="F860" s="2"/>
      <c r="G860" s="2"/>
    </row>
    <row r="861" spans="1:7" ht="13.2" x14ac:dyDescent="0.25">
      <c r="A861" s="2"/>
      <c r="B861" s="2"/>
      <c r="C861" s="2"/>
      <c r="D861" s="2"/>
      <c r="E861" s="2"/>
      <c r="F861" s="2"/>
      <c r="G861" s="2"/>
    </row>
    <row r="862" spans="1:7" ht="13.2" x14ac:dyDescent="0.25">
      <c r="A862" s="2"/>
      <c r="B862" s="2"/>
      <c r="C862" s="2"/>
      <c r="D862" s="2"/>
      <c r="E862" s="2"/>
      <c r="F862" s="2"/>
      <c r="G862" s="2"/>
    </row>
    <row r="863" spans="1:7" ht="13.2" x14ac:dyDescent="0.25">
      <c r="A863" s="2"/>
      <c r="B863" s="2"/>
      <c r="C863" s="2"/>
      <c r="D863" s="2"/>
      <c r="E863" s="2"/>
      <c r="F863" s="2"/>
      <c r="G863" s="2"/>
    </row>
    <row r="864" spans="1:7" ht="13.2" x14ac:dyDescent="0.25">
      <c r="A864" s="2"/>
      <c r="B864" s="2"/>
      <c r="C864" s="2"/>
      <c r="D864" s="2"/>
      <c r="E864" s="2"/>
      <c r="F864" s="2"/>
      <c r="G864" s="2"/>
    </row>
    <row r="865" spans="1:7" ht="13.2" x14ac:dyDescent="0.25">
      <c r="A865" s="2"/>
      <c r="B865" s="2"/>
      <c r="C865" s="2"/>
      <c r="D865" s="2"/>
      <c r="E865" s="2"/>
      <c r="F865" s="2"/>
      <c r="G865" s="2"/>
    </row>
    <row r="866" spans="1:7" ht="13.2" x14ac:dyDescent="0.25">
      <c r="A866" s="2"/>
      <c r="B866" s="2"/>
      <c r="C866" s="2"/>
      <c r="D866" s="2"/>
      <c r="E866" s="2"/>
      <c r="F866" s="2"/>
      <c r="G866" s="2"/>
    </row>
    <row r="867" spans="1:7" ht="13.2" x14ac:dyDescent="0.25">
      <c r="A867" s="2"/>
      <c r="B867" s="2"/>
      <c r="C867" s="2"/>
      <c r="D867" s="2"/>
      <c r="E867" s="2"/>
      <c r="F867" s="2"/>
      <c r="G867" s="2"/>
    </row>
    <row r="868" spans="1:7" ht="13.2" x14ac:dyDescent="0.25">
      <c r="A868" s="2"/>
      <c r="B868" s="2"/>
      <c r="C868" s="2"/>
      <c r="D868" s="2"/>
      <c r="E868" s="2"/>
      <c r="F868" s="2"/>
      <c r="G868" s="2"/>
    </row>
    <row r="869" spans="1:7" ht="13.2" x14ac:dyDescent="0.25">
      <c r="A869" s="2"/>
      <c r="B869" s="2"/>
      <c r="C869" s="2"/>
      <c r="D869" s="2"/>
      <c r="E869" s="2"/>
      <c r="F869" s="2"/>
      <c r="G869" s="2"/>
    </row>
    <row r="870" spans="1:7" ht="13.2" x14ac:dyDescent="0.25">
      <c r="A870" s="2"/>
      <c r="B870" s="2"/>
      <c r="C870" s="2"/>
      <c r="D870" s="2"/>
      <c r="E870" s="2"/>
      <c r="F870" s="2"/>
      <c r="G870" s="2"/>
    </row>
    <row r="871" spans="1:7" ht="13.2" x14ac:dyDescent="0.25">
      <c r="A871" s="2"/>
      <c r="B871" s="2"/>
      <c r="C871" s="2"/>
      <c r="D871" s="2"/>
      <c r="E871" s="2"/>
      <c r="F871" s="2"/>
      <c r="G871" s="2"/>
    </row>
    <row r="872" spans="1:7" ht="13.2" x14ac:dyDescent="0.25">
      <c r="A872" s="2"/>
      <c r="B872" s="2"/>
      <c r="C872" s="2"/>
      <c r="D872" s="2"/>
      <c r="E872" s="2"/>
      <c r="F872" s="2"/>
      <c r="G872" s="2"/>
    </row>
    <row r="873" spans="1:7" ht="13.2" x14ac:dyDescent="0.25">
      <c r="A873" s="2"/>
      <c r="B873" s="2"/>
      <c r="C873" s="2"/>
      <c r="D873" s="2"/>
      <c r="E873" s="2"/>
      <c r="F873" s="2"/>
      <c r="G873" s="2"/>
    </row>
    <row r="874" spans="1:7" ht="13.2" x14ac:dyDescent="0.25">
      <c r="A874" s="2"/>
      <c r="B874" s="2"/>
      <c r="C874" s="2"/>
      <c r="D874" s="2"/>
      <c r="E874" s="2"/>
      <c r="F874" s="2"/>
      <c r="G874" s="2"/>
    </row>
    <row r="875" spans="1:7" ht="13.2" x14ac:dyDescent="0.25">
      <c r="A875" s="2"/>
      <c r="B875" s="2"/>
      <c r="C875" s="2"/>
      <c r="D875" s="2"/>
      <c r="E875" s="2"/>
      <c r="F875" s="2"/>
      <c r="G875" s="2"/>
    </row>
    <row r="876" spans="1:7" ht="13.2" x14ac:dyDescent="0.25">
      <c r="A876" s="2"/>
      <c r="B876" s="2"/>
      <c r="C876" s="2"/>
      <c r="D876" s="2"/>
      <c r="E876" s="2"/>
      <c r="F876" s="2"/>
      <c r="G876" s="2"/>
    </row>
    <row r="877" spans="1:7" ht="13.2" x14ac:dyDescent="0.25">
      <c r="A877" s="2"/>
      <c r="B877" s="2"/>
      <c r="C877" s="2"/>
      <c r="D877" s="2"/>
      <c r="E877" s="2"/>
      <c r="F877" s="2"/>
      <c r="G877" s="2"/>
    </row>
    <row r="878" spans="1:7" ht="13.2" x14ac:dyDescent="0.25">
      <c r="A878" s="2"/>
      <c r="B878" s="2"/>
      <c r="C878" s="2"/>
      <c r="D878" s="2"/>
      <c r="E878" s="2"/>
      <c r="F878" s="2"/>
      <c r="G878" s="2"/>
    </row>
    <row r="879" spans="1:7" ht="13.2" x14ac:dyDescent="0.25">
      <c r="A879" s="2"/>
      <c r="B879" s="2"/>
      <c r="C879" s="2"/>
      <c r="D879" s="2"/>
      <c r="E879" s="2"/>
      <c r="F879" s="2"/>
      <c r="G879" s="2"/>
    </row>
    <row r="880" spans="1:7" ht="13.2" x14ac:dyDescent="0.25">
      <c r="A880" s="2"/>
      <c r="B880" s="2"/>
      <c r="C880" s="2"/>
      <c r="D880" s="2"/>
      <c r="E880" s="2"/>
      <c r="F880" s="2"/>
      <c r="G880" s="2"/>
    </row>
    <row r="881" spans="1:7" ht="13.2" x14ac:dyDescent="0.25">
      <c r="A881" s="2"/>
      <c r="B881" s="2"/>
      <c r="C881" s="2"/>
      <c r="D881" s="2"/>
      <c r="E881" s="2"/>
      <c r="F881" s="2"/>
      <c r="G881" s="2"/>
    </row>
    <row r="882" spans="1:7" ht="13.2" x14ac:dyDescent="0.25">
      <c r="A882" s="2"/>
      <c r="B882" s="2"/>
      <c r="C882" s="2"/>
      <c r="D882" s="2"/>
      <c r="E882" s="2"/>
      <c r="F882" s="2"/>
      <c r="G882" s="2"/>
    </row>
    <row r="883" spans="1:7" ht="13.2" x14ac:dyDescent="0.25">
      <c r="A883" s="2"/>
      <c r="B883" s="2"/>
      <c r="C883" s="2"/>
      <c r="D883" s="2"/>
      <c r="E883" s="2"/>
      <c r="F883" s="2"/>
      <c r="G883" s="2"/>
    </row>
    <row r="884" spans="1:7" ht="13.2" x14ac:dyDescent="0.25">
      <c r="A884" s="2"/>
      <c r="B884" s="2"/>
      <c r="C884" s="2"/>
      <c r="D884" s="2"/>
      <c r="E884" s="2"/>
      <c r="F884" s="2"/>
      <c r="G884" s="2"/>
    </row>
    <row r="885" spans="1:7" ht="13.2" x14ac:dyDescent="0.25">
      <c r="A885" s="2"/>
      <c r="B885" s="2"/>
      <c r="C885" s="2"/>
      <c r="D885" s="2"/>
      <c r="E885" s="2"/>
      <c r="F885" s="2"/>
      <c r="G885" s="2"/>
    </row>
    <row r="886" spans="1:7" ht="13.2" x14ac:dyDescent="0.25">
      <c r="A886" s="2"/>
      <c r="B886" s="2"/>
      <c r="C886" s="2"/>
      <c r="D886" s="2"/>
      <c r="E886" s="2"/>
      <c r="F886" s="2"/>
      <c r="G886" s="2"/>
    </row>
    <row r="887" spans="1:7" ht="13.2" x14ac:dyDescent="0.25">
      <c r="A887" s="2"/>
      <c r="B887" s="2"/>
      <c r="C887" s="2"/>
      <c r="D887" s="2"/>
      <c r="E887" s="2"/>
      <c r="F887" s="2"/>
      <c r="G887" s="2"/>
    </row>
    <row r="888" spans="1:7" ht="13.2" x14ac:dyDescent="0.25">
      <c r="A888" s="2"/>
      <c r="B888" s="2"/>
      <c r="C888" s="2"/>
      <c r="D888" s="2"/>
      <c r="E888" s="2"/>
      <c r="F888" s="2"/>
      <c r="G888" s="2"/>
    </row>
    <row r="889" spans="1:7" ht="13.2" x14ac:dyDescent="0.25">
      <c r="A889" s="2"/>
      <c r="B889" s="2"/>
      <c r="C889" s="2"/>
      <c r="D889" s="2"/>
      <c r="E889" s="2"/>
      <c r="F889" s="2"/>
      <c r="G889" s="2"/>
    </row>
    <row r="890" spans="1:7" ht="13.2" x14ac:dyDescent="0.25">
      <c r="A890" s="2"/>
      <c r="B890" s="2"/>
      <c r="C890" s="2"/>
      <c r="D890" s="2"/>
      <c r="E890" s="2"/>
      <c r="F890" s="2"/>
      <c r="G890" s="2"/>
    </row>
    <row r="891" spans="1:7" ht="13.2" x14ac:dyDescent="0.25">
      <c r="A891" s="2"/>
      <c r="B891" s="2"/>
      <c r="C891" s="2"/>
      <c r="D891" s="2"/>
      <c r="E891" s="2"/>
      <c r="F891" s="2"/>
      <c r="G891" s="2"/>
    </row>
    <row r="892" spans="1:7" ht="13.2" x14ac:dyDescent="0.25">
      <c r="A892" s="2"/>
      <c r="B892" s="2"/>
      <c r="C892" s="2"/>
      <c r="D892" s="2"/>
      <c r="E892" s="2"/>
      <c r="F892" s="2"/>
      <c r="G892" s="2"/>
    </row>
    <row r="893" spans="1:7" ht="13.2" x14ac:dyDescent="0.25">
      <c r="A893" s="2"/>
      <c r="B893" s="2"/>
      <c r="C893" s="2"/>
      <c r="D893" s="2"/>
      <c r="E893" s="2"/>
      <c r="F893" s="2"/>
      <c r="G893" s="2"/>
    </row>
    <row r="894" spans="1:7" ht="13.2" x14ac:dyDescent="0.25">
      <c r="A894" s="2"/>
      <c r="B894" s="2"/>
      <c r="C894" s="2"/>
      <c r="D894" s="2"/>
      <c r="E894" s="2"/>
      <c r="F894" s="2"/>
      <c r="G894" s="2"/>
    </row>
    <row r="895" spans="1:7" ht="13.2" x14ac:dyDescent="0.25">
      <c r="A895" s="2"/>
      <c r="B895" s="2"/>
      <c r="C895" s="2"/>
      <c r="D895" s="2"/>
      <c r="E895" s="2"/>
      <c r="F895" s="2"/>
      <c r="G895" s="2"/>
    </row>
    <row r="896" spans="1:7" ht="13.2" x14ac:dyDescent="0.25">
      <c r="A896" s="2"/>
      <c r="B896" s="2"/>
      <c r="C896" s="2"/>
      <c r="D896" s="2"/>
      <c r="E896" s="2"/>
      <c r="F896" s="2"/>
      <c r="G896" s="2"/>
    </row>
    <row r="897" spans="1:7" ht="13.2" x14ac:dyDescent="0.25">
      <c r="A897" s="2"/>
      <c r="B897" s="2"/>
      <c r="C897" s="2"/>
      <c r="D897" s="2"/>
      <c r="E897" s="2"/>
      <c r="F897" s="2"/>
      <c r="G897" s="2"/>
    </row>
    <row r="898" spans="1:7" ht="13.2" x14ac:dyDescent="0.25">
      <c r="A898" s="2"/>
      <c r="B898" s="2"/>
      <c r="C898" s="2"/>
      <c r="D898" s="2"/>
      <c r="E898" s="2"/>
      <c r="F898" s="2"/>
      <c r="G898" s="2"/>
    </row>
    <row r="899" spans="1:7" ht="13.2" x14ac:dyDescent="0.25">
      <c r="A899" s="2"/>
      <c r="B899" s="2"/>
      <c r="C899" s="2"/>
      <c r="D899" s="2"/>
      <c r="E899" s="2"/>
      <c r="F899" s="2"/>
      <c r="G899" s="2"/>
    </row>
    <row r="900" spans="1:7" ht="13.2" x14ac:dyDescent="0.25">
      <c r="A900" s="2"/>
      <c r="B900" s="2"/>
      <c r="C900" s="2"/>
      <c r="D900" s="2"/>
      <c r="E900" s="2"/>
      <c r="F900" s="2"/>
      <c r="G900" s="2"/>
    </row>
    <row r="901" spans="1:7" ht="13.2" x14ac:dyDescent="0.25">
      <c r="A901" s="2"/>
      <c r="B901" s="2"/>
      <c r="C901" s="2"/>
      <c r="D901" s="2"/>
      <c r="E901" s="2"/>
      <c r="F901" s="2"/>
      <c r="G901" s="2"/>
    </row>
    <row r="902" spans="1:7" ht="13.2" x14ac:dyDescent="0.25">
      <c r="A902" s="2"/>
      <c r="B902" s="2"/>
      <c r="C902" s="2"/>
      <c r="D902" s="2"/>
      <c r="E902" s="2"/>
      <c r="F902" s="2"/>
      <c r="G902" s="2"/>
    </row>
    <row r="903" spans="1:7" ht="13.2" x14ac:dyDescent="0.25">
      <c r="A903" s="2"/>
      <c r="B903" s="2"/>
      <c r="C903" s="2"/>
      <c r="D903" s="2"/>
      <c r="E903" s="2"/>
      <c r="F903" s="2"/>
      <c r="G903" s="2"/>
    </row>
    <row r="904" spans="1:7" ht="13.2" x14ac:dyDescent="0.25">
      <c r="A904" s="2"/>
      <c r="B904" s="2"/>
      <c r="C904" s="2"/>
      <c r="D904" s="2"/>
      <c r="E904" s="2"/>
      <c r="F904" s="2"/>
      <c r="G904" s="2"/>
    </row>
    <row r="905" spans="1:7" ht="13.2" x14ac:dyDescent="0.25">
      <c r="A905" s="2"/>
      <c r="B905" s="2"/>
      <c r="C905" s="2"/>
      <c r="D905" s="2"/>
      <c r="E905" s="2"/>
      <c r="F905" s="2"/>
      <c r="G905" s="2"/>
    </row>
    <row r="906" spans="1:7" ht="13.2" x14ac:dyDescent="0.25">
      <c r="A906" s="2"/>
      <c r="B906" s="2"/>
      <c r="C906" s="2"/>
      <c r="D906" s="2"/>
      <c r="E906" s="2"/>
      <c r="F906" s="2"/>
      <c r="G906" s="2"/>
    </row>
    <row r="907" spans="1:7" ht="13.2" x14ac:dyDescent="0.25">
      <c r="A907" s="2"/>
      <c r="B907" s="2"/>
      <c r="C907" s="2"/>
      <c r="D907" s="2"/>
      <c r="E907" s="2"/>
      <c r="F907" s="2"/>
      <c r="G907" s="2"/>
    </row>
    <row r="908" spans="1:7" ht="13.2" x14ac:dyDescent="0.25">
      <c r="A908" s="2"/>
      <c r="B908" s="2"/>
      <c r="C908" s="2"/>
      <c r="D908" s="2"/>
      <c r="E908" s="2"/>
      <c r="F908" s="2"/>
      <c r="G908" s="2"/>
    </row>
    <row r="909" spans="1:7" ht="13.2" x14ac:dyDescent="0.25">
      <c r="A909" s="2"/>
      <c r="B909" s="2"/>
      <c r="C909" s="2"/>
      <c r="D909" s="2"/>
      <c r="E909" s="2"/>
      <c r="F909" s="2"/>
      <c r="G909" s="2"/>
    </row>
    <row r="910" spans="1:7" ht="13.2" x14ac:dyDescent="0.25">
      <c r="A910" s="2"/>
      <c r="B910" s="2"/>
      <c r="C910" s="2"/>
      <c r="D910" s="2"/>
      <c r="E910" s="2"/>
      <c r="F910" s="2"/>
      <c r="G910" s="2"/>
    </row>
    <row r="911" spans="1:7" ht="13.2" x14ac:dyDescent="0.25">
      <c r="A911" s="2"/>
      <c r="B911" s="2"/>
      <c r="C911" s="2"/>
      <c r="D911" s="2"/>
      <c r="E911" s="2"/>
      <c r="F911" s="2"/>
      <c r="G911" s="2"/>
    </row>
    <row r="912" spans="1:7" ht="13.2" x14ac:dyDescent="0.25">
      <c r="A912" s="2"/>
      <c r="B912" s="2"/>
      <c r="C912" s="2"/>
      <c r="D912" s="2"/>
      <c r="E912" s="2"/>
      <c r="F912" s="2"/>
      <c r="G912" s="2"/>
    </row>
    <row r="913" spans="1:7" ht="13.2" x14ac:dyDescent="0.25">
      <c r="A913" s="2"/>
      <c r="B913" s="2"/>
      <c r="C913" s="2"/>
      <c r="D913" s="2"/>
      <c r="E913" s="2"/>
      <c r="F913" s="2"/>
      <c r="G913" s="2"/>
    </row>
    <row r="914" spans="1:7" ht="13.2" x14ac:dyDescent="0.25">
      <c r="A914" s="2"/>
      <c r="B914" s="2"/>
      <c r="C914" s="2"/>
      <c r="D914" s="2"/>
      <c r="E914" s="2"/>
      <c r="F914" s="2"/>
      <c r="G914" s="2"/>
    </row>
    <row r="915" spans="1:7" ht="13.2" x14ac:dyDescent="0.25">
      <c r="A915" s="2"/>
      <c r="B915" s="2"/>
      <c r="C915" s="2"/>
      <c r="D915" s="2"/>
      <c r="E915" s="2"/>
      <c r="F915" s="2"/>
      <c r="G915" s="2"/>
    </row>
    <row r="916" spans="1:7" ht="13.2" x14ac:dyDescent="0.25">
      <c r="A916" s="2"/>
      <c r="B916" s="2"/>
      <c r="C916" s="2"/>
      <c r="D916" s="2"/>
      <c r="E916" s="2"/>
      <c r="F916" s="2"/>
      <c r="G916" s="2"/>
    </row>
    <row r="917" spans="1:7" ht="13.2" x14ac:dyDescent="0.25">
      <c r="A917" s="2"/>
      <c r="B917" s="2"/>
      <c r="C917" s="2"/>
      <c r="D917" s="2"/>
      <c r="E917" s="2"/>
      <c r="F917" s="2"/>
      <c r="G917" s="2"/>
    </row>
    <row r="918" spans="1:7" ht="13.2" x14ac:dyDescent="0.25">
      <c r="A918" s="2"/>
      <c r="B918" s="2"/>
      <c r="C918" s="2"/>
      <c r="D918" s="2"/>
      <c r="E918" s="2"/>
      <c r="F918" s="2"/>
      <c r="G918" s="2"/>
    </row>
    <row r="919" spans="1:7" ht="13.2" x14ac:dyDescent="0.25">
      <c r="A919" s="2"/>
      <c r="B919" s="2"/>
      <c r="C919" s="2"/>
      <c r="D919" s="2"/>
      <c r="E919" s="2"/>
      <c r="F919" s="2"/>
      <c r="G919" s="2"/>
    </row>
    <row r="920" spans="1:7" ht="13.2" x14ac:dyDescent="0.25">
      <c r="A920" s="2"/>
      <c r="B920" s="2"/>
      <c r="C920" s="2"/>
      <c r="D920" s="2"/>
      <c r="E920" s="2"/>
      <c r="F920" s="2"/>
      <c r="G920" s="2"/>
    </row>
    <row r="921" spans="1:7" ht="13.2" x14ac:dyDescent="0.25">
      <c r="A921" s="2"/>
      <c r="B921" s="2"/>
      <c r="C921" s="2"/>
      <c r="D921" s="2"/>
      <c r="E921" s="2"/>
      <c r="F921" s="2"/>
      <c r="G921" s="2"/>
    </row>
    <row r="922" spans="1:7" ht="13.2" x14ac:dyDescent="0.25">
      <c r="A922" s="2"/>
      <c r="B922" s="2"/>
      <c r="C922" s="2"/>
      <c r="D922" s="2"/>
      <c r="E922" s="2"/>
      <c r="F922" s="2"/>
      <c r="G922" s="2"/>
    </row>
    <row r="923" spans="1:7" ht="13.2" x14ac:dyDescent="0.25">
      <c r="A923" s="2"/>
      <c r="B923" s="2"/>
      <c r="C923" s="2"/>
      <c r="D923" s="2"/>
      <c r="E923" s="2"/>
      <c r="F923" s="2"/>
      <c r="G923" s="2"/>
    </row>
    <row r="924" spans="1:7" ht="13.2" x14ac:dyDescent="0.25">
      <c r="A924" s="2"/>
      <c r="B924" s="2"/>
      <c r="C924" s="2"/>
      <c r="D924" s="2"/>
      <c r="E924" s="2"/>
      <c r="F924" s="2"/>
      <c r="G924" s="2"/>
    </row>
    <row r="925" spans="1:7" ht="13.2" x14ac:dyDescent="0.25">
      <c r="A925" s="2"/>
      <c r="B925" s="2"/>
      <c r="C925" s="2"/>
      <c r="D925" s="2"/>
      <c r="E925" s="2"/>
      <c r="F925" s="2"/>
      <c r="G925" s="2"/>
    </row>
    <row r="926" spans="1:7" ht="13.2" x14ac:dyDescent="0.25">
      <c r="A926" s="2"/>
      <c r="B926" s="2"/>
      <c r="C926" s="2"/>
      <c r="D926" s="2"/>
      <c r="E926" s="2"/>
      <c r="F926" s="2"/>
      <c r="G926" s="2"/>
    </row>
    <row r="927" spans="1:7" ht="13.2" x14ac:dyDescent="0.25">
      <c r="A927" s="2"/>
      <c r="B927" s="2"/>
      <c r="C927" s="2"/>
      <c r="D927" s="2"/>
      <c r="E927" s="2"/>
      <c r="F927" s="2"/>
      <c r="G927" s="2"/>
    </row>
    <row r="928" spans="1:7" ht="13.2" x14ac:dyDescent="0.25">
      <c r="A928" s="2"/>
      <c r="B928" s="2"/>
      <c r="C928" s="2"/>
      <c r="D928" s="2"/>
      <c r="E928" s="2"/>
      <c r="F928" s="2"/>
      <c r="G928" s="2"/>
    </row>
    <row r="929" spans="1:7" ht="13.2" x14ac:dyDescent="0.25">
      <c r="A929" s="2"/>
      <c r="B929" s="2"/>
      <c r="C929" s="2"/>
      <c r="D929" s="2"/>
      <c r="E929" s="2"/>
      <c r="F929" s="2"/>
      <c r="G929" s="2"/>
    </row>
    <row r="930" spans="1:7" ht="13.2" x14ac:dyDescent="0.25">
      <c r="A930" s="2"/>
      <c r="B930" s="2"/>
      <c r="C930" s="2"/>
      <c r="D930" s="2"/>
      <c r="E930" s="2"/>
      <c r="F930" s="2"/>
      <c r="G930" s="2"/>
    </row>
    <row r="931" spans="1:7" ht="13.2" x14ac:dyDescent="0.25">
      <c r="A931" s="2"/>
      <c r="B931" s="2"/>
      <c r="C931" s="2"/>
      <c r="D931" s="2"/>
      <c r="E931" s="2"/>
      <c r="F931" s="2"/>
      <c r="G931" s="2"/>
    </row>
    <row r="932" spans="1:7" ht="13.2" x14ac:dyDescent="0.25">
      <c r="A932" s="2"/>
      <c r="B932" s="2"/>
      <c r="C932" s="2"/>
      <c r="D932" s="2"/>
      <c r="E932" s="2"/>
      <c r="F932" s="2"/>
      <c r="G932" s="2"/>
    </row>
    <row r="933" spans="1:7" ht="13.2" x14ac:dyDescent="0.25">
      <c r="A933" s="2"/>
      <c r="B933" s="2"/>
      <c r="C933" s="2"/>
      <c r="D933" s="2"/>
      <c r="E933" s="2"/>
      <c r="F933" s="2"/>
      <c r="G933" s="2"/>
    </row>
    <row r="934" spans="1:7" ht="13.2" x14ac:dyDescent="0.25">
      <c r="A934" s="2"/>
      <c r="B934" s="2"/>
      <c r="C934" s="2"/>
      <c r="D934" s="2"/>
      <c r="E934" s="2"/>
      <c r="F934" s="2"/>
      <c r="G934" s="2"/>
    </row>
    <row r="935" spans="1:7" ht="13.2" x14ac:dyDescent="0.25">
      <c r="A935" s="2"/>
      <c r="B935" s="2"/>
      <c r="C935" s="2"/>
      <c r="D935" s="2"/>
      <c r="E935" s="2"/>
      <c r="F935" s="2"/>
      <c r="G935" s="2"/>
    </row>
    <row r="936" spans="1:7" ht="13.2" x14ac:dyDescent="0.25">
      <c r="A936" s="2"/>
      <c r="B936" s="2"/>
      <c r="C936" s="2"/>
      <c r="D936" s="2"/>
      <c r="E936" s="2"/>
      <c r="F936" s="2"/>
      <c r="G936" s="2"/>
    </row>
    <row r="937" spans="1:7" ht="13.2" x14ac:dyDescent="0.25">
      <c r="A937" s="2"/>
      <c r="B937" s="2"/>
      <c r="C937" s="2"/>
      <c r="D937" s="2"/>
      <c r="E937" s="2"/>
      <c r="F937" s="2"/>
      <c r="G937" s="2"/>
    </row>
    <row r="938" spans="1:7" ht="13.2" x14ac:dyDescent="0.25">
      <c r="A938" s="2"/>
      <c r="B938" s="2"/>
      <c r="C938" s="2"/>
      <c r="D938" s="2"/>
      <c r="E938" s="2"/>
      <c r="F938" s="2"/>
      <c r="G938" s="2"/>
    </row>
    <row r="939" spans="1:7" ht="13.2" x14ac:dyDescent="0.25">
      <c r="A939" s="2"/>
      <c r="B939" s="2"/>
      <c r="C939" s="2"/>
      <c r="D939" s="2"/>
      <c r="E939" s="2"/>
      <c r="F939" s="2"/>
      <c r="G939" s="2"/>
    </row>
    <row r="940" spans="1:7" ht="13.2" x14ac:dyDescent="0.25">
      <c r="A940" s="2"/>
      <c r="B940" s="2"/>
      <c r="C940" s="2"/>
      <c r="D940" s="2"/>
      <c r="E940" s="2"/>
      <c r="F940" s="2"/>
      <c r="G940" s="2"/>
    </row>
    <row r="941" spans="1:7" ht="13.2" x14ac:dyDescent="0.25">
      <c r="A941" s="2"/>
      <c r="B941" s="2"/>
      <c r="C941" s="2"/>
      <c r="D941" s="2"/>
      <c r="E941" s="2"/>
      <c r="F941" s="2"/>
      <c r="G941" s="2"/>
    </row>
    <row r="942" spans="1:7" ht="13.2" x14ac:dyDescent="0.25">
      <c r="A942" s="2"/>
      <c r="B942" s="2"/>
      <c r="C942" s="2"/>
      <c r="D942" s="2"/>
      <c r="E942" s="2"/>
      <c r="F942" s="2"/>
      <c r="G942" s="2"/>
    </row>
    <row r="943" spans="1:7" ht="13.2" x14ac:dyDescent="0.25">
      <c r="A943" s="2"/>
      <c r="B943" s="2"/>
      <c r="C943" s="2"/>
      <c r="D943" s="2"/>
      <c r="E943" s="2"/>
      <c r="F943" s="2"/>
      <c r="G943" s="2"/>
    </row>
    <row r="944" spans="1:7" ht="13.2" x14ac:dyDescent="0.25">
      <c r="A944" s="2"/>
      <c r="B944" s="2"/>
      <c r="C944" s="2"/>
      <c r="D944" s="2"/>
      <c r="E944" s="2"/>
      <c r="F944" s="2"/>
      <c r="G944" s="2"/>
    </row>
    <row r="945" spans="1:7" ht="13.2" x14ac:dyDescent="0.25">
      <c r="A945" s="2"/>
      <c r="B945" s="2"/>
      <c r="C945" s="2"/>
      <c r="D945" s="2"/>
      <c r="E945" s="2"/>
      <c r="F945" s="2"/>
      <c r="G945" s="2"/>
    </row>
    <row r="946" spans="1:7" ht="13.2" x14ac:dyDescent="0.25">
      <c r="A946" s="2"/>
      <c r="B946" s="2"/>
      <c r="C946" s="2"/>
      <c r="D946" s="2"/>
      <c r="E946" s="2"/>
      <c r="F946" s="2"/>
      <c r="G946" s="2"/>
    </row>
    <row r="947" spans="1:7" ht="13.2" x14ac:dyDescent="0.25">
      <c r="A947" s="2"/>
      <c r="B947" s="2"/>
      <c r="C947" s="2"/>
      <c r="D947" s="2"/>
      <c r="E947" s="2"/>
      <c r="F947" s="2"/>
      <c r="G947" s="2"/>
    </row>
    <row r="948" spans="1:7" ht="13.2" x14ac:dyDescent="0.25">
      <c r="A948" s="2"/>
      <c r="B948" s="2"/>
      <c r="C948" s="2"/>
      <c r="D948" s="2"/>
      <c r="E948" s="2"/>
      <c r="F948" s="2"/>
      <c r="G948" s="2"/>
    </row>
    <row r="949" spans="1:7" ht="13.2" x14ac:dyDescent="0.25">
      <c r="A949" s="2"/>
      <c r="B949" s="2"/>
      <c r="C949" s="2"/>
      <c r="D949" s="2"/>
      <c r="E949" s="2"/>
      <c r="F949" s="2"/>
      <c r="G949" s="2"/>
    </row>
    <row r="950" spans="1:7" ht="13.2" x14ac:dyDescent="0.25">
      <c r="A950" s="2"/>
      <c r="B950" s="2"/>
      <c r="C950" s="2"/>
      <c r="D950" s="2"/>
      <c r="E950" s="2"/>
      <c r="F950" s="2"/>
      <c r="G950" s="2"/>
    </row>
    <row r="951" spans="1:7" ht="13.2" x14ac:dyDescent="0.25">
      <c r="A951" s="2"/>
      <c r="B951" s="2"/>
      <c r="C951" s="2"/>
      <c r="D951" s="2"/>
      <c r="E951" s="2"/>
      <c r="F951" s="2"/>
      <c r="G951" s="2"/>
    </row>
    <row r="952" spans="1:7" ht="13.2" x14ac:dyDescent="0.25">
      <c r="A952" s="2"/>
      <c r="B952" s="2"/>
      <c r="C952" s="2"/>
      <c r="D952" s="2"/>
      <c r="E952" s="2"/>
      <c r="F952" s="2"/>
      <c r="G952" s="2"/>
    </row>
    <row r="953" spans="1:7" ht="13.2" x14ac:dyDescent="0.25">
      <c r="A953" s="2"/>
      <c r="B953" s="2"/>
      <c r="C953" s="2"/>
      <c r="D953" s="2"/>
      <c r="E953" s="2"/>
      <c r="F953" s="2"/>
      <c r="G953" s="2"/>
    </row>
    <row r="954" spans="1:7" ht="13.2" x14ac:dyDescent="0.25">
      <c r="A954" s="2"/>
      <c r="B954" s="2"/>
      <c r="C954" s="2"/>
      <c r="D954" s="2"/>
      <c r="E954" s="2"/>
      <c r="F954" s="2"/>
      <c r="G954" s="2"/>
    </row>
    <row r="955" spans="1:7" ht="13.2" x14ac:dyDescent="0.25">
      <c r="A955" s="2"/>
      <c r="B955" s="2"/>
      <c r="C955" s="2"/>
      <c r="D955" s="2"/>
      <c r="E955" s="2"/>
      <c r="F955" s="2"/>
      <c r="G955" s="2"/>
    </row>
    <row r="956" spans="1:7" ht="13.2" x14ac:dyDescent="0.25">
      <c r="A956" s="2"/>
      <c r="B956" s="2"/>
      <c r="C956" s="2"/>
      <c r="D956" s="2"/>
      <c r="E956" s="2"/>
      <c r="F956" s="2"/>
      <c r="G956" s="2"/>
    </row>
    <row r="957" spans="1:7" ht="13.2" x14ac:dyDescent="0.25">
      <c r="A957" s="2"/>
      <c r="B957" s="2"/>
      <c r="C957" s="2"/>
      <c r="D957" s="2"/>
      <c r="E957" s="2"/>
      <c r="F957" s="2"/>
      <c r="G957" s="2"/>
    </row>
    <row r="958" spans="1:7" ht="13.2" x14ac:dyDescent="0.25">
      <c r="A958" s="2"/>
      <c r="B958" s="2"/>
      <c r="C958" s="2"/>
      <c r="D958" s="2"/>
      <c r="E958" s="2"/>
      <c r="F958" s="2"/>
      <c r="G958" s="2"/>
    </row>
    <row r="959" spans="1:7" ht="13.2" x14ac:dyDescent="0.25">
      <c r="A959" s="2"/>
      <c r="B959" s="2"/>
      <c r="C959" s="2"/>
      <c r="D959" s="2"/>
      <c r="E959" s="2"/>
      <c r="F959" s="2"/>
      <c r="G959" s="2"/>
    </row>
    <row r="960" spans="1:7" ht="13.2" x14ac:dyDescent="0.25">
      <c r="A960" s="2"/>
      <c r="B960" s="2"/>
      <c r="C960" s="2"/>
      <c r="D960" s="2"/>
      <c r="E960" s="2"/>
      <c r="F960" s="2"/>
      <c r="G960" s="2"/>
    </row>
    <row r="961" spans="1:7" ht="13.2" x14ac:dyDescent="0.25">
      <c r="A961" s="2"/>
      <c r="B961" s="2"/>
      <c r="C961" s="2"/>
      <c r="D961" s="2"/>
      <c r="E961" s="2"/>
      <c r="F961" s="2"/>
      <c r="G961" s="2"/>
    </row>
    <row r="962" spans="1:7" ht="13.2" x14ac:dyDescent="0.25">
      <c r="A962" s="2"/>
      <c r="B962" s="2"/>
      <c r="C962" s="2"/>
      <c r="D962" s="2"/>
      <c r="E962" s="2"/>
      <c r="F962" s="2"/>
      <c r="G962" s="2"/>
    </row>
    <row r="963" spans="1:7" ht="13.2" x14ac:dyDescent="0.25">
      <c r="A963" s="2"/>
      <c r="B963" s="2"/>
      <c r="C963" s="2"/>
      <c r="D963" s="2"/>
      <c r="E963" s="2"/>
      <c r="F963" s="2"/>
      <c r="G963" s="2"/>
    </row>
    <row r="964" spans="1:7" ht="13.2" x14ac:dyDescent="0.25">
      <c r="A964" s="2"/>
      <c r="B964" s="2"/>
      <c r="C964" s="2"/>
      <c r="D964" s="2"/>
      <c r="E964" s="2"/>
      <c r="F964" s="2"/>
      <c r="G964" s="2"/>
    </row>
    <row r="965" spans="1:7" ht="13.2" x14ac:dyDescent="0.25">
      <c r="A965" s="2"/>
      <c r="B965" s="2"/>
      <c r="C965" s="2"/>
      <c r="D965" s="2"/>
      <c r="E965" s="2"/>
      <c r="F965" s="2"/>
      <c r="G965" s="2"/>
    </row>
    <row r="966" spans="1:7" ht="13.2" x14ac:dyDescent="0.25">
      <c r="A966" s="2"/>
      <c r="B966" s="2"/>
      <c r="C966" s="2"/>
      <c r="D966" s="2"/>
      <c r="E966" s="2"/>
      <c r="F966" s="2"/>
      <c r="G966" s="2"/>
    </row>
    <row r="967" spans="1:7" ht="13.2" x14ac:dyDescent="0.25">
      <c r="A967" s="2"/>
      <c r="B967" s="2"/>
      <c r="C967" s="2"/>
      <c r="D967" s="2"/>
      <c r="E967" s="2"/>
      <c r="F967" s="2"/>
      <c r="G967" s="2"/>
    </row>
    <row r="968" spans="1:7" ht="13.2" x14ac:dyDescent="0.25">
      <c r="A968" s="2"/>
      <c r="B968" s="2"/>
      <c r="C968" s="2"/>
      <c r="D968" s="2"/>
      <c r="E968" s="2"/>
      <c r="F968" s="2"/>
      <c r="G968" s="2"/>
    </row>
    <row r="969" spans="1:7" ht="13.2" x14ac:dyDescent="0.25">
      <c r="A969" s="2"/>
      <c r="B969" s="2"/>
      <c r="C969" s="2"/>
      <c r="D969" s="2"/>
      <c r="E969" s="2"/>
      <c r="F969" s="2"/>
      <c r="G969" s="2"/>
    </row>
    <row r="970" spans="1:7" ht="13.2" x14ac:dyDescent="0.25">
      <c r="A970" s="2"/>
      <c r="B970" s="2"/>
      <c r="C970" s="2"/>
      <c r="D970" s="2"/>
      <c r="E970" s="2"/>
      <c r="F970" s="2"/>
      <c r="G970" s="2"/>
    </row>
    <row r="971" spans="1:7" ht="13.2" x14ac:dyDescent="0.25">
      <c r="A971" s="2"/>
      <c r="B971" s="2"/>
      <c r="C971" s="2"/>
      <c r="D971" s="2"/>
      <c r="E971" s="2"/>
      <c r="F971" s="2"/>
      <c r="G971" s="2"/>
    </row>
    <row r="972" spans="1:7" ht="13.2" x14ac:dyDescent="0.25">
      <c r="A972" s="2"/>
      <c r="B972" s="2"/>
      <c r="C972" s="2"/>
      <c r="D972" s="2"/>
      <c r="E972" s="2"/>
      <c r="F972" s="2"/>
      <c r="G972" s="2"/>
    </row>
    <row r="973" spans="1:7" ht="13.2" x14ac:dyDescent="0.25">
      <c r="A973" s="2"/>
      <c r="B973" s="2"/>
      <c r="C973" s="2"/>
      <c r="D973" s="2"/>
      <c r="E973" s="2"/>
      <c r="F973" s="2"/>
      <c r="G973" s="2"/>
    </row>
    <row r="974" spans="1:7" ht="13.2" x14ac:dyDescent="0.25">
      <c r="A974" s="2"/>
      <c r="B974" s="2"/>
      <c r="C974" s="2"/>
      <c r="D974" s="2"/>
      <c r="E974" s="2"/>
      <c r="F974" s="2"/>
      <c r="G974" s="2"/>
    </row>
    <row r="975" spans="1:7" ht="13.2" x14ac:dyDescent="0.25">
      <c r="A975" s="2"/>
      <c r="B975" s="2"/>
      <c r="C975" s="2"/>
      <c r="D975" s="2"/>
      <c r="E975" s="2"/>
      <c r="F975" s="2"/>
      <c r="G975" s="2"/>
    </row>
    <row r="976" spans="1:7" ht="13.2" x14ac:dyDescent="0.25">
      <c r="A976" s="2"/>
      <c r="B976" s="2"/>
      <c r="C976" s="2"/>
      <c r="D976" s="2"/>
      <c r="E976" s="2"/>
      <c r="F976" s="2"/>
      <c r="G976" s="2"/>
    </row>
    <row r="977" spans="1:7" ht="13.2" x14ac:dyDescent="0.25">
      <c r="A977" s="2"/>
      <c r="B977" s="2"/>
      <c r="C977" s="2"/>
      <c r="D977" s="2"/>
      <c r="E977" s="2"/>
      <c r="F977" s="2"/>
      <c r="G977" s="2"/>
    </row>
    <row r="978" spans="1:7" ht="13.2" x14ac:dyDescent="0.25">
      <c r="A978" s="2"/>
      <c r="B978" s="2"/>
      <c r="C978" s="2"/>
      <c r="D978" s="2"/>
      <c r="E978" s="2"/>
      <c r="F978" s="2"/>
      <c r="G978" s="2"/>
    </row>
    <row r="979" spans="1:7" ht="13.2" x14ac:dyDescent="0.25">
      <c r="A979" s="2"/>
      <c r="B979" s="2"/>
      <c r="C979" s="2"/>
      <c r="D979" s="2"/>
      <c r="E979" s="2"/>
      <c r="F979" s="2"/>
      <c r="G979" s="2"/>
    </row>
    <row r="980" spans="1:7" ht="13.2" x14ac:dyDescent="0.25">
      <c r="A980" s="2"/>
      <c r="B980" s="2"/>
      <c r="C980" s="2"/>
      <c r="D980" s="2"/>
      <c r="E980" s="2"/>
      <c r="F980" s="2"/>
      <c r="G980" s="2"/>
    </row>
    <row r="981" spans="1:7" ht="13.2" x14ac:dyDescent="0.25">
      <c r="A981" s="2"/>
      <c r="B981" s="2"/>
      <c r="C981" s="2"/>
      <c r="D981" s="2"/>
      <c r="E981" s="2"/>
      <c r="F981" s="2"/>
      <c r="G981" s="2"/>
    </row>
    <row r="982" spans="1:7" ht="13.2" x14ac:dyDescent="0.25">
      <c r="A982" s="2"/>
      <c r="B982" s="2"/>
      <c r="C982" s="2"/>
      <c r="D982" s="2"/>
      <c r="E982" s="2"/>
      <c r="F982" s="2"/>
      <c r="G982" s="2"/>
    </row>
    <row r="983" spans="1:7" ht="13.2" x14ac:dyDescent="0.25">
      <c r="A983" s="2"/>
      <c r="B983" s="2"/>
      <c r="C983" s="2"/>
      <c r="D983" s="2"/>
      <c r="E983" s="2"/>
      <c r="F983" s="2"/>
      <c r="G983" s="2"/>
    </row>
    <row r="984" spans="1:7" ht="13.2" x14ac:dyDescent="0.25">
      <c r="A984" s="2"/>
      <c r="B984" s="2"/>
      <c r="C984" s="2"/>
      <c r="D984" s="2"/>
      <c r="E984" s="2"/>
      <c r="F984" s="2"/>
      <c r="G984" s="2"/>
    </row>
    <row r="985" spans="1:7" ht="13.2" x14ac:dyDescent="0.25">
      <c r="A985" s="2"/>
      <c r="B985" s="2"/>
      <c r="C985" s="2"/>
      <c r="D985" s="2"/>
      <c r="E985" s="2"/>
      <c r="F985" s="2"/>
      <c r="G985" s="2"/>
    </row>
    <row r="986" spans="1:7" ht="13.2" x14ac:dyDescent="0.25">
      <c r="A986" s="2"/>
      <c r="B986" s="2"/>
      <c r="C986" s="2"/>
      <c r="D986" s="2"/>
      <c r="E986" s="2"/>
      <c r="F986" s="2"/>
      <c r="G986" s="2"/>
    </row>
    <row r="987" spans="1:7" ht="13.2" x14ac:dyDescent="0.25">
      <c r="A987" s="2"/>
      <c r="B987" s="2"/>
      <c r="C987" s="2"/>
      <c r="D987" s="2"/>
      <c r="E987" s="2"/>
      <c r="F987" s="2"/>
      <c r="G987" s="2"/>
    </row>
    <row r="988" spans="1:7" ht="13.2" x14ac:dyDescent="0.25">
      <c r="A988" s="2"/>
      <c r="B988" s="2"/>
      <c r="C988" s="2"/>
      <c r="D988" s="2"/>
      <c r="E988" s="2"/>
      <c r="F988" s="2"/>
      <c r="G988" s="2"/>
    </row>
    <row r="989" spans="1:7" ht="13.2" x14ac:dyDescent="0.25">
      <c r="A989" s="2"/>
      <c r="B989" s="2"/>
      <c r="C989" s="2"/>
      <c r="D989" s="2"/>
      <c r="E989" s="2"/>
      <c r="F989" s="2"/>
      <c r="G989" s="2"/>
    </row>
    <row r="990" spans="1:7" ht="13.2" x14ac:dyDescent="0.25">
      <c r="A990" s="2"/>
      <c r="B990" s="2"/>
      <c r="C990" s="2"/>
      <c r="D990" s="2"/>
      <c r="E990" s="2"/>
      <c r="F990" s="2"/>
      <c r="G990" s="2"/>
    </row>
    <row r="991" spans="1:7" ht="13.2" x14ac:dyDescent="0.25">
      <c r="A991" s="2"/>
      <c r="B991" s="2"/>
      <c r="C991" s="2"/>
      <c r="D991" s="2"/>
      <c r="E991" s="2"/>
      <c r="F991" s="2"/>
      <c r="G991" s="2"/>
    </row>
    <row r="992" spans="1:7" ht="13.2" x14ac:dyDescent="0.25">
      <c r="A992" s="2"/>
      <c r="B992" s="2"/>
      <c r="C992" s="2"/>
      <c r="D992" s="2"/>
      <c r="E992" s="2"/>
      <c r="F992" s="2"/>
      <c r="G992" s="2"/>
    </row>
    <row r="993" spans="1:7" ht="13.2" x14ac:dyDescent="0.25">
      <c r="A993" s="2"/>
      <c r="B993" s="2"/>
      <c r="C993" s="2"/>
      <c r="D993" s="2"/>
      <c r="E993" s="2"/>
      <c r="F993" s="2"/>
      <c r="G993" s="2"/>
    </row>
    <row r="994" spans="1:7" ht="13.2" x14ac:dyDescent="0.25">
      <c r="A994" s="2"/>
      <c r="B994" s="2"/>
      <c r="C994" s="2"/>
      <c r="D994" s="2"/>
      <c r="E994" s="2"/>
      <c r="F994" s="2"/>
      <c r="G994" s="2"/>
    </row>
    <row r="995" spans="1:7" ht="13.2" x14ac:dyDescent="0.25">
      <c r="A995" s="2"/>
      <c r="B995" s="2"/>
      <c r="C995" s="2"/>
      <c r="D995" s="2"/>
      <c r="E995" s="2"/>
      <c r="F995" s="2"/>
      <c r="G995" s="2"/>
    </row>
    <row r="996" spans="1:7" ht="13.2" x14ac:dyDescent="0.25">
      <c r="A996" s="2"/>
      <c r="B996" s="2"/>
      <c r="C996" s="2"/>
      <c r="D996" s="2"/>
      <c r="E996" s="2"/>
      <c r="F996" s="2"/>
      <c r="G996" s="2"/>
    </row>
    <row r="997" spans="1:7" ht="13.2" x14ac:dyDescent="0.25">
      <c r="A997" s="2"/>
      <c r="B997" s="2"/>
      <c r="C997" s="2"/>
      <c r="D997" s="2"/>
      <c r="E997" s="2"/>
      <c r="F997" s="2"/>
      <c r="G997" s="2"/>
    </row>
    <row r="998" spans="1:7" ht="13.2" x14ac:dyDescent="0.25">
      <c r="A998" s="2"/>
      <c r="B998" s="2"/>
      <c r="C998" s="2"/>
      <c r="D998" s="2"/>
      <c r="E998" s="2"/>
      <c r="F998" s="2"/>
      <c r="G998" s="2"/>
    </row>
    <row r="999" spans="1:7" ht="13.2" x14ac:dyDescent="0.25">
      <c r="A999" s="2"/>
      <c r="B999" s="2"/>
      <c r="C999" s="2"/>
      <c r="D999" s="2"/>
      <c r="E999" s="2"/>
      <c r="F999" s="2"/>
      <c r="G999" s="2"/>
    </row>
    <row r="1000" spans="1:7" ht="13.2" x14ac:dyDescent="0.25">
      <c r="A1000" s="2"/>
      <c r="B1000" s="2"/>
      <c r="C1000" s="2"/>
      <c r="D1000" s="2"/>
      <c r="E1000" s="2"/>
      <c r="F1000" s="2"/>
      <c r="G1000" s="2"/>
    </row>
    <row r="1001" spans="1:7" ht="13.2" x14ac:dyDescent="0.25">
      <c r="A1001" s="2"/>
      <c r="B1001" s="2"/>
      <c r="C1001" s="2"/>
      <c r="D1001" s="2"/>
      <c r="E1001" s="2"/>
      <c r="F1001" s="2"/>
      <c r="G1001" s="2"/>
    </row>
    <row r="1002" spans="1:7" ht="13.2" x14ac:dyDescent="0.25">
      <c r="A1002" s="2"/>
      <c r="B1002" s="2"/>
      <c r="C1002" s="2"/>
      <c r="D1002" s="2"/>
      <c r="E1002" s="2"/>
      <c r="F1002" s="2"/>
      <c r="G1002" s="2"/>
    </row>
    <row r="1003" spans="1:7" ht="13.2" x14ac:dyDescent="0.25">
      <c r="A1003" s="2"/>
      <c r="B1003" s="2"/>
      <c r="C1003" s="2"/>
      <c r="D1003" s="2"/>
      <c r="E1003" s="2"/>
      <c r="F1003" s="2"/>
      <c r="G1003" s="2"/>
    </row>
  </sheetData>
  <mergeCells count="12">
    <mergeCell ref="A26:G26"/>
    <mergeCell ref="A27:G27"/>
    <mergeCell ref="A28:G28"/>
    <mergeCell ref="A29:G29"/>
    <mergeCell ref="A30:G30"/>
    <mergeCell ref="A24:G24"/>
    <mergeCell ref="A25:G25"/>
    <mergeCell ref="A2:C2"/>
    <mergeCell ref="A7:G7"/>
    <mergeCell ref="A8:G8"/>
    <mergeCell ref="A9:G9"/>
    <mergeCell ref="A10:G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20"/>
  <sheetViews>
    <sheetView showGridLines="0" topLeftCell="A10" workbookViewId="0">
      <selection activeCell="L35" sqref="L35"/>
    </sheetView>
  </sheetViews>
  <sheetFormatPr baseColWidth="10" defaultColWidth="12.6640625" defaultRowHeight="15.75" customHeight="1" x14ac:dyDescent="0.25"/>
  <sheetData>
    <row r="1" spans="1:9" ht="13.2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ht="13.2" x14ac:dyDescent="0.25">
      <c r="A2" s="311" t="s">
        <v>1</v>
      </c>
      <c r="B2" s="312"/>
      <c r="C2" s="312"/>
      <c r="D2" s="2"/>
      <c r="E2" s="2"/>
      <c r="F2" s="2"/>
      <c r="G2" s="2"/>
    </row>
    <row r="3" spans="1:9" ht="13.2" x14ac:dyDescent="0.25">
      <c r="A3" s="2"/>
      <c r="B3" s="2"/>
      <c r="C3" s="2"/>
      <c r="D3" s="2"/>
      <c r="E3" s="2"/>
      <c r="F3" s="2"/>
      <c r="G3" s="2"/>
    </row>
    <row r="4" spans="1:9" ht="13.2" x14ac:dyDescent="0.25">
      <c r="A4" s="2"/>
      <c r="B4" s="39" t="s">
        <v>24</v>
      </c>
      <c r="C4" s="40" t="s">
        <v>25</v>
      </c>
      <c r="D4" s="2"/>
      <c r="E4" s="2"/>
      <c r="F4" s="2"/>
      <c r="G4" s="2"/>
    </row>
    <row r="5" spans="1:9" ht="13.2" x14ac:dyDescent="0.25">
      <c r="A5" s="2"/>
      <c r="B5" s="41">
        <v>1</v>
      </c>
      <c r="C5" s="42">
        <v>14</v>
      </c>
    </row>
    <row r="6" spans="1:9" ht="13.2" x14ac:dyDescent="0.25">
      <c r="A6" s="2"/>
      <c r="B6" s="41">
        <v>2</v>
      </c>
      <c r="C6" s="42">
        <v>17</v>
      </c>
      <c r="D6" s="2"/>
      <c r="E6" s="2"/>
      <c r="F6" s="2"/>
      <c r="G6" s="2"/>
    </row>
    <row r="7" spans="1:9" ht="13.2" x14ac:dyDescent="0.25">
      <c r="A7" s="2"/>
      <c r="B7" s="41">
        <v>3</v>
      </c>
      <c r="C7" s="42">
        <v>15</v>
      </c>
      <c r="D7" s="2"/>
      <c r="E7" s="2"/>
      <c r="F7" s="2"/>
      <c r="G7" s="2"/>
    </row>
    <row r="8" spans="1:9" ht="13.2" x14ac:dyDescent="0.25">
      <c r="A8" s="2"/>
      <c r="B8" s="41">
        <v>4</v>
      </c>
      <c r="C8" s="42">
        <v>19</v>
      </c>
      <c r="D8" s="2"/>
      <c r="E8" s="2"/>
      <c r="F8" s="2"/>
      <c r="G8" s="2"/>
    </row>
    <row r="9" spans="1:9" ht="13.2" x14ac:dyDescent="0.25">
      <c r="A9" s="2"/>
      <c r="B9" s="41">
        <v>5</v>
      </c>
      <c r="C9" s="42">
        <v>14</v>
      </c>
      <c r="D9" s="2"/>
      <c r="E9" s="2"/>
      <c r="F9" s="2"/>
      <c r="G9" s="2"/>
    </row>
    <row r="10" spans="1:9" ht="13.2" x14ac:dyDescent="0.25">
      <c r="A10" s="2"/>
      <c r="B10" s="41">
        <v>6</v>
      </c>
      <c r="C10" s="42">
        <v>12</v>
      </c>
      <c r="D10" s="2"/>
      <c r="E10" s="2"/>
      <c r="F10" s="2"/>
      <c r="G10" s="2"/>
    </row>
    <row r="11" spans="1:9" ht="13.2" x14ac:dyDescent="0.25">
      <c r="A11" s="2"/>
      <c r="B11" s="41">
        <v>7</v>
      </c>
      <c r="C11" s="42">
        <v>18</v>
      </c>
      <c r="D11" s="2"/>
      <c r="E11" s="2"/>
      <c r="F11" s="2"/>
      <c r="G11" s="2"/>
    </row>
    <row r="12" spans="1:9" ht="13.2" x14ac:dyDescent="0.25">
      <c r="A12" s="2"/>
      <c r="B12" s="41">
        <v>8</v>
      </c>
      <c r="C12" s="42">
        <v>14</v>
      </c>
      <c r="D12" s="2"/>
      <c r="E12" s="2"/>
      <c r="F12" s="2"/>
      <c r="G12" s="2"/>
    </row>
    <row r="13" spans="1:9" ht="13.2" x14ac:dyDescent="0.25">
      <c r="A13" s="2"/>
      <c r="B13" s="41">
        <v>9</v>
      </c>
      <c r="C13" s="42">
        <v>19</v>
      </c>
      <c r="D13" s="2"/>
      <c r="E13" s="2"/>
      <c r="F13" s="2"/>
      <c r="G13" s="2"/>
    </row>
    <row r="14" spans="1:9" ht="13.2" x14ac:dyDescent="0.25">
      <c r="A14" s="2"/>
      <c r="B14" s="41">
        <v>10</v>
      </c>
      <c r="C14" s="42">
        <v>11</v>
      </c>
      <c r="D14" s="2"/>
      <c r="E14" s="2"/>
      <c r="F14" s="2"/>
      <c r="G14" s="2"/>
    </row>
    <row r="15" spans="1:9" ht="13.2" x14ac:dyDescent="0.25">
      <c r="A15" s="2"/>
      <c r="B15" s="41">
        <v>11</v>
      </c>
      <c r="C15" s="42">
        <v>15</v>
      </c>
      <c r="D15" s="2"/>
      <c r="E15" s="2"/>
      <c r="F15" s="2"/>
      <c r="G15" s="2"/>
    </row>
    <row r="16" spans="1:9" ht="13.2" x14ac:dyDescent="0.25">
      <c r="A16" s="2"/>
      <c r="B16" s="43">
        <v>12</v>
      </c>
      <c r="C16" s="44">
        <v>21</v>
      </c>
      <c r="D16" s="2"/>
      <c r="E16" s="2"/>
      <c r="F16" s="2"/>
      <c r="G16" s="2"/>
    </row>
    <row r="17" spans="1:22" ht="13.2" x14ac:dyDescent="0.25">
      <c r="A17" s="2"/>
      <c r="B17" s="2"/>
      <c r="C17" s="2"/>
      <c r="D17" s="2"/>
      <c r="E17" s="2"/>
      <c r="F17" s="2"/>
      <c r="G17" s="2"/>
    </row>
    <row r="18" spans="1:22" ht="13.2" x14ac:dyDescent="0.25">
      <c r="A18" s="311" t="s">
        <v>26</v>
      </c>
      <c r="B18" s="312"/>
      <c r="C18" s="312"/>
      <c r="D18" s="312"/>
      <c r="E18" s="312"/>
      <c r="F18" s="312"/>
      <c r="G18" s="312"/>
    </row>
    <row r="19" spans="1:22" ht="13.2" x14ac:dyDescent="0.25">
      <c r="A19" s="311" t="s">
        <v>27</v>
      </c>
      <c r="B19" s="312"/>
      <c r="C19" s="312"/>
      <c r="D19" s="312"/>
      <c r="E19" s="312"/>
      <c r="F19" s="312"/>
      <c r="G19" s="312"/>
    </row>
    <row r="20" spans="1:22" ht="13.2" x14ac:dyDescent="0.25">
      <c r="A20" s="311" t="s">
        <v>28</v>
      </c>
      <c r="B20" s="312"/>
      <c r="C20" s="312"/>
      <c r="D20" s="312"/>
      <c r="E20" s="312"/>
      <c r="F20" s="312"/>
      <c r="G20" s="312"/>
    </row>
    <row r="21" spans="1:22" ht="13.2" x14ac:dyDescent="0.25">
      <c r="A21" s="311"/>
      <c r="B21" s="312"/>
      <c r="C21" s="312"/>
      <c r="D21" s="312"/>
      <c r="E21" s="312"/>
      <c r="F21" s="312"/>
      <c r="G21" s="312"/>
    </row>
    <row r="22" spans="1:22" ht="13.2" x14ac:dyDescent="0.25">
      <c r="A22" s="2"/>
      <c r="B22" s="2"/>
      <c r="C22" s="2"/>
      <c r="D22" s="2"/>
      <c r="E22" s="2"/>
      <c r="F22" s="2"/>
      <c r="G22" s="2"/>
    </row>
    <row r="23" spans="1:22" ht="13.2" x14ac:dyDescent="0.25">
      <c r="A23" s="4" t="s">
        <v>8</v>
      </c>
      <c r="B23" s="4">
        <v>4</v>
      </c>
      <c r="C23" s="4" t="s">
        <v>9</v>
      </c>
      <c r="D23" s="2"/>
      <c r="E23" s="2"/>
      <c r="F23" s="2"/>
      <c r="G23" s="4" t="s">
        <v>8</v>
      </c>
      <c r="H23" s="4">
        <v>5</v>
      </c>
      <c r="I23" s="4" t="s">
        <v>9</v>
      </c>
    </row>
    <row r="24" spans="1:22" ht="13.2" x14ac:dyDescent="0.25">
      <c r="A24" s="2"/>
      <c r="B24" s="2"/>
      <c r="C24" s="2"/>
      <c r="D24" s="2"/>
      <c r="E24" s="2"/>
      <c r="F24" s="2"/>
      <c r="G24" s="2"/>
    </row>
    <row r="25" spans="1:22" ht="33.75" customHeight="1" x14ac:dyDescent="0.25">
      <c r="A25" s="45" t="s">
        <v>2</v>
      </c>
      <c r="B25" s="45" t="s">
        <v>10</v>
      </c>
      <c r="C25" s="45" t="s">
        <v>11</v>
      </c>
      <c r="D25" s="45" t="s">
        <v>12</v>
      </c>
      <c r="E25" s="45" t="s">
        <v>14</v>
      </c>
      <c r="F25" s="8"/>
      <c r="G25" s="46" t="s">
        <v>2</v>
      </c>
      <c r="H25" s="47" t="s">
        <v>10</v>
      </c>
      <c r="I25" s="47" t="s">
        <v>11</v>
      </c>
      <c r="J25" s="47" t="s">
        <v>12</v>
      </c>
      <c r="K25" s="47" t="s">
        <v>14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 ht="13.2" x14ac:dyDescent="0.25">
      <c r="A26" s="48">
        <f t="shared" ref="A26:B26" si="0">B5</f>
        <v>1</v>
      </c>
      <c r="B26" s="48">
        <f t="shared" si="0"/>
        <v>14</v>
      </c>
      <c r="C26" s="49"/>
      <c r="D26" s="49"/>
      <c r="E26" s="49"/>
      <c r="F26" s="2"/>
      <c r="G26" s="50">
        <f t="shared" ref="G26:H26" si="1">B5</f>
        <v>1</v>
      </c>
      <c r="H26" s="50">
        <f t="shared" si="1"/>
        <v>14</v>
      </c>
      <c r="I26" s="51"/>
      <c r="J26" s="52"/>
      <c r="K26" s="52"/>
    </row>
    <row r="27" spans="1:22" ht="13.2" x14ac:dyDescent="0.25">
      <c r="A27" s="48">
        <f t="shared" ref="A27:B27" si="2">B6</f>
        <v>2</v>
      </c>
      <c r="B27" s="48">
        <f t="shared" si="2"/>
        <v>17</v>
      </c>
      <c r="C27" s="49"/>
      <c r="D27" s="49"/>
      <c r="E27" s="49"/>
      <c r="F27" s="2"/>
      <c r="G27" s="48">
        <f t="shared" ref="G27:H27" si="3">B6</f>
        <v>2</v>
      </c>
      <c r="H27" s="48">
        <f t="shared" si="3"/>
        <v>17</v>
      </c>
      <c r="I27" s="53"/>
      <c r="J27" s="49"/>
      <c r="K27" s="49"/>
    </row>
    <row r="28" spans="1:22" ht="13.2" x14ac:dyDescent="0.25">
      <c r="A28" s="48">
        <f t="shared" ref="A28:B28" si="4">B7</f>
        <v>3</v>
      </c>
      <c r="B28" s="48">
        <f t="shared" si="4"/>
        <v>15</v>
      </c>
      <c r="C28" s="49"/>
      <c r="D28" s="49"/>
      <c r="E28" s="49"/>
      <c r="F28" s="2"/>
      <c r="G28" s="48">
        <f t="shared" ref="G28:H28" si="5">B7</f>
        <v>3</v>
      </c>
      <c r="H28" s="48">
        <f t="shared" si="5"/>
        <v>15</v>
      </c>
      <c r="I28" s="53"/>
      <c r="J28" s="49"/>
      <c r="K28" s="54"/>
    </row>
    <row r="29" spans="1:22" ht="13.2" x14ac:dyDescent="0.25">
      <c r="A29" s="48">
        <f t="shared" ref="A29:B29" si="6">B8</f>
        <v>4</v>
      </c>
      <c r="B29" s="48">
        <f t="shared" si="6"/>
        <v>19</v>
      </c>
      <c r="C29" s="55"/>
      <c r="D29" s="49"/>
      <c r="E29" s="55"/>
      <c r="F29" s="2"/>
      <c r="G29" s="48">
        <f t="shared" ref="G29:H29" si="7">B8</f>
        <v>4</v>
      </c>
      <c r="H29" s="48">
        <f t="shared" si="7"/>
        <v>19</v>
      </c>
      <c r="I29" s="53"/>
      <c r="J29" s="49"/>
      <c r="K29" s="55"/>
    </row>
    <row r="30" spans="1:22" ht="13.2" x14ac:dyDescent="0.25">
      <c r="A30" s="48">
        <f t="shared" ref="A30:B30" si="8">B9</f>
        <v>5</v>
      </c>
      <c r="B30" s="48">
        <f t="shared" si="8"/>
        <v>14</v>
      </c>
      <c r="C30" s="56">
        <f t="shared" ref="C30:C38" si="9">AVERAGE(B26:B29)</f>
        <v>16.25</v>
      </c>
      <c r="D30" s="55">
        <f t="shared" ref="D30:D37" si="10">B30-C30</f>
        <v>-2.25</v>
      </c>
      <c r="E30" s="55">
        <f t="shared" ref="E30:E37" si="11">D30^2</f>
        <v>5.0625</v>
      </c>
      <c r="F30" s="2"/>
      <c r="G30" s="48">
        <f t="shared" ref="G30:H30" si="12">B9</f>
        <v>5</v>
      </c>
      <c r="H30" s="48">
        <f t="shared" si="12"/>
        <v>14</v>
      </c>
      <c r="I30" s="53"/>
      <c r="J30" s="49"/>
      <c r="K30" s="54"/>
    </row>
    <row r="31" spans="1:22" ht="13.2" x14ac:dyDescent="0.25">
      <c r="A31" s="48">
        <f t="shared" ref="A31:B31" si="13">B10</f>
        <v>6</v>
      </c>
      <c r="B31" s="48">
        <f t="shared" si="13"/>
        <v>12</v>
      </c>
      <c r="C31" s="56">
        <f t="shared" si="9"/>
        <v>16.25</v>
      </c>
      <c r="D31" s="55">
        <f t="shared" si="10"/>
        <v>-4.25</v>
      </c>
      <c r="E31" s="55">
        <f t="shared" si="11"/>
        <v>18.0625</v>
      </c>
      <c r="F31" s="2"/>
      <c r="G31" s="48">
        <f t="shared" ref="G31:H31" si="14">B10</f>
        <v>6</v>
      </c>
      <c r="H31" s="48">
        <f t="shared" si="14"/>
        <v>12</v>
      </c>
      <c r="I31" s="57">
        <f t="shared" ref="I31:I38" si="15">AVERAGE(H26:H30)</f>
        <v>15.8</v>
      </c>
      <c r="J31" s="49">
        <f t="shared" ref="J31:J37" si="16">H31-I31</f>
        <v>-3.8000000000000007</v>
      </c>
      <c r="K31" s="55">
        <f t="shared" ref="K31:K37" si="17">J31^2</f>
        <v>14.440000000000005</v>
      </c>
    </row>
    <row r="32" spans="1:22" ht="13.2" x14ac:dyDescent="0.25">
      <c r="A32" s="48">
        <f t="shared" ref="A32:B32" si="18">B11</f>
        <v>7</v>
      </c>
      <c r="B32" s="48">
        <f t="shared" si="18"/>
        <v>18</v>
      </c>
      <c r="C32" s="56">
        <f t="shared" si="9"/>
        <v>15</v>
      </c>
      <c r="D32" s="55">
        <f t="shared" si="10"/>
        <v>3</v>
      </c>
      <c r="E32" s="55">
        <f t="shared" si="11"/>
        <v>9</v>
      </c>
      <c r="F32" s="2"/>
      <c r="G32" s="48">
        <f t="shared" ref="G32:H32" si="19">B11</f>
        <v>7</v>
      </c>
      <c r="H32" s="48">
        <f t="shared" si="19"/>
        <v>18</v>
      </c>
      <c r="I32" s="57">
        <f t="shared" si="15"/>
        <v>15.4</v>
      </c>
      <c r="J32" s="49">
        <f t="shared" si="16"/>
        <v>2.5999999999999996</v>
      </c>
      <c r="K32" s="55">
        <f t="shared" si="17"/>
        <v>6.759999999999998</v>
      </c>
    </row>
    <row r="33" spans="1:22" ht="13.2" x14ac:dyDescent="0.25">
      <c r="A33" s="48">
        <f t="shared" ref="A33:B33" si="20">B12</f>
        <v>8</v>
      </c>
      <c r="B33" s="48">
        <f t="shared" si="20"/>
        <v>14</v>
      </c>
      <c r="C33" s="56">
        <f t="shared" si="9"/>
        <v>15.75</v>
      </c>
      <c r="D33" s="55">
        <f t="shared" si="10"/>
        <v>-1.75</v>
      </c>
      <c r="E33" s="55">
        <f t="shared" si="11"/>
        <v>3.0625</v>
      </c>
      <c r="F33" s="2"/>
      <c r="G33" s="48">
        <f t="shared" ref="G33:H33" si="21">B12</f>
        <v>8</v>
      </c>
      <c r="H33" s="48">
        <f t="shared" si="21"/>
        <v>14</v>
      </c>
      <c r="I33" s="57">
        <f t="shared" si="15"/>
        <v>15.6</v>
      </c>
      <c r="J33" s="49">
        <f t="shared" si="16"/>
        <v>-1.5999999999999996</v>
      </c>
      <c r="K33" s="55">
        <f t="shared" si="17"/>
        <v>2.5599999999999987</v>
      </c>
    </row>
    <row r="34" spans="1:22" ht="13.2" x14ac:dyDescent="0.25">
      <c r="A34" s="48">
        <f t="shared" ref="A34:B34" si="22">B13</f>
        <v>9</v>
      </c>
      <c r="B34" s="48">
        <f t="shared" si="22"/>
        <v>19</v>
      </c>
      <c r="C34" s="56">
        <f t="shared" si="9"/>
        <v>14.5</v>
      </c>
      <c r="D34" s="55">
        <f t="shared" si="10"/>
        <v>4.5</v>
      </c>
      <c r="E34" s="55">
        <f t="shared" si="11"/>
        <v>20.25</v>
      </c>
      <c r="F34" s="2"/>
      <c r="G34" s="48">
        <f t="shared" ref="G34:H34" si="23">B13</f>
        <v>9</v>
      </c>
      <c r="H34" s="48">
        <f t="shared" si="23"/>
        <v>19</v>
      </c>
      <c r="I34" s="57">
        <f t="shared" si="15"/>
        <v>15.4</v>
      </c>
      <c r="J34" s="49">
        <f t="shared" si="16"/>
        <v>3.5999999999999996</v>
      </c>
      <c r="K34" s="55">
        <f t="shared" si="17"/>
        <v>12.959999999999997</v>
      </c>
    </row>
    <row r="35" spans="1:22" ht="13.2" x14ac:dyDescent="0.25">
      <c r="A35" s="48">
        <f t="shared" ref="A35:B35" si="24">B14</f>
        <v>10</v>
      </c>
      <c r="B35" s="48">
        <f t="shared" si="24"/>
        <v>11</v>
      </c>
      <c r="C35" s="56">
        <f t="shared" si="9"/>
        <v>15.75</v>
      </c>
      <c r="D35" s="55">
        <f t="shared" si="10"/>
        <v>-4.75</v>
      </c>
      <c r="E35" s="55">
        <f t="shared" si="11"/>
        <v>22.5625</v>
      </c>
      <c r="F35" s="2"/>
      <c r="G35" s="48">
        <f t="shared" ref="G35:H35" si="25">B14</f>
        <v>10</v>
      </c>
      <c r="H35" s="48">
        <f t="shared" si="25"/>
        <v>11</v>
      </c>
      <c r="I35" s="57">
        <f t="shared" si="15"/>
        <v>15.4</v>
      </c>
      <c r="J35" s="49">
        <f t="shared" si="16"/>
        <v>-4.4000000000000004</v>
      </c>
      <c r="K35" s="55">
        <f t="shared" si="17"/>
        <v>19.360000000000003</v>
      </c>
    </row>
    <row r="36" spans="1:22" ht="13.2" x14ac:dyDescent="0.25">
      <c r="A36" s="48">
        <f t="shared" ref="A36:B36" si="26">B15</f>
        <v>11</v>
      </c>
      <c r="B36" s="48">
        <f t="shared" si="26"/>
        <v>15</v>
      </c>
      <c r="C36" s="56">
        <f t="shared" si="9"/>
        <v>15.5</v>
      </c>
      <c r="D36" s="55">
        <f t="shared" si="10"/>
        <v>-0.5</v>
      </c>
      <c r="E36" s="55">
        <f t="shared" si="11"/>
        <v>0.25</v>
      </c>
      <c r="F36" s="2"/>
      <c r="G36" s="48">
        <f t="shared" ref="G36:H36" si="27">B15</f>
        <v>11</v>
      </c>
      <c r="H36" s="48">
        <f t="shared" si="27"/>
        <v>15</v>
      </c>
      <c r="I36" s="57">
        <f t="shared" si="15"/>
        <v>14.8</v>
      </c>
      <c r="J36" s="49">
        <f t="shared" si="16"/>
        <v>0.19999999999999929</v>
      </c>
      <c r="K36" s="55">
        <f t="shared" si="17"/>
        <v>3.9999999999999716E-2</v>
      </c>
    </row>
    <row r="37" spans="1:22" ht="13.2" x14ac:dyDescent="0.25">
      <c r="A37" s="58">
        <f t="shared" ref="A37:B37" si="28">B16</f>
        <v>12</v>
      </c>
      <c r="B37" s="58">
        <f t="shared" si="28"/>
        <v>21</v>
      </c>
      <c r="C37" s="56">
        <f t="shared" si="9"/>
        <v>14.75</v>
      </c>
      <c r="D37" s="55">
        <f t="shared" si="10"/>
        <v>6.25</v>
      </c>
      <c r="E37" s="55">
        <f t="shared" si="11"/>
        <v>39.0625</v>
      </c>
      <c r="F37" s="2"/>
      <c r="G37" s="58">
        <f t="shared" ref="G37:H37" si="29">B16</f>
        <v>12</v>
      </c>
      <c r="H37" s="58">
        <f t="shared" si="29"/>
        <v>21</v>
      </c>
      <c r="I37" s="57">
        <f t="shared" si="15"/>
        <v>15.4</v>
      </c>
      <c r="J37" s="59">
        <f t="shared" si="16"/>
        <v>5.6</v>
      </c>
      <c r="K37" s="60">
        <f t="shared" si="17"/>
        <v>31.359999999999996</v>
      </c>
    </row>
    <row r="38" spans="1:22" ht="13.2" x14ac:dyDescent="0.25">
      <c r="A38" s="61">
        <v>13</v>
      </c>
      <c r="B38" s="3"/>
      <c r="C38" s="62">
        <f t="shared" si="9"/>
        <v>16.5</v>
      </c>
      <c r="D38" s="39"/>
      <c r="E38" s="63">
        <f>AVERAGE(E30:E37)</f>
        <v>14.6640625</v>
      </c>
      <c r="G38" s="64">
        <v>13</v>
      </c>
      <c r="H38" s="65"/>
      <c r="I38" s="61">
        <f t="shared" si="15"/>
        <v>16</v>
      </c>
      <c r="J38" s="66"/>
      <c r="K38" s="67">
        <f>AVERAGE(K31:K37)</f>
        <v>12.497142857142856</v>
      </c>
    </row>
    <row r="39" spans="1:22" ht="13.2" x14ac:dyDescent="0.25">
      <c r="A39" s="8"/>
      <c r="B39" s="8"/>
      <c r="C39" s="8"/>
      <c r="D39" s="8" t="s">
        <v>16</v>
      </c>
      <c r="E39" s="38" t="s">
        <v>18</v>
      </c>
      <c r="F39" s="9"/>
      <c r="G39" s="8"/>
      <c r="H39" s="8"/>
      <c r="I39" s="8"/>
      <c r="J39" s="8" t="s">
        <v>16</v>
      </c>
      <c r="K39" s="38" t="s">
        <v>18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 ht="13.2" x14ac:dyDescent="0.25">
      <c r="A40" s="2"/>
      <c r="B40" s="2"/>
      <c r="C40" s="2"/>
      <c r="D40" s="2"/>
      <c r="E40" s="2"/>
      <c r="F40" s="2"/>
      <c r="G40" s="2"/>
    </row>
    <row r="41" spans="1:22" ht="13.2" x14ac:dyDescent="0.25">
      <c r="A41" s="311" t="s">
        <v>21</v>
      </c>
      <c r="B41" s="312"/>
      <c r="C41" s="312"/>
      <c r="D41" s="312"/>
      <c r="E41" s="312"/>
      <c r="F41" s="312"/>
      <c r="G41" s="312"/>
    </row>
    <row r="42" spans="1:22" ht="13.2" x14ac:dyDescent="0.25">
      <c r="A42" s="311" t="s">
        <v>29</v>
      </c>
      <c r="B42" s="312"/>
      <c r="C42" s="312"/>
      <c r="D42" s="312"/>
      <c r="E42" s="312"/>
      <c r="F42" s="312"/>
      <c r="G42" s="312"/>
    </row>
    <row r="43" spans="1:22" ht="13.2" x14ac:dyDescent="0.25">
      <c r="A43" s="311"/>
      <c r="B43" s="312"/>
      <c r="C43" s="312"/>
      <c r="D43" s="312"/>
      <c r="E43" s="312"/>
      <c r="F43" s="312"/>
      <c r="G43" s="312"/>
    </row>
    <row r="44" spans="1:22" ht="13.2" x14ac:dyDescent="0.25">
      <c r="A44" s="311"/>
      <c r="B44" s="312"/>
      <c r="C44" s="312"/>
      <c r="D44" s="312"/>
      <c r="E44" s="312"/>
      <c r="F44" s="312"/>
      <c r="G44" s="312"/>
    </row>
    <row r="45" spans="1:22" ht="13.2" x14ac:dyDescent="0.25">
      <c r="A45" s="311"/>
      <c r="B45" s="312"/>
      <c r="C45" s="312"/>
      <c r="D45" s="312"/>
      <c r="E45" s="312"/>
      <c r="F45" s="312"/>
      <c r="G45" s="312"/>
    </row>
    <row r="46" spans="1:22" ht="13.2" x14ac:dyDescent="0.25">
      <c r="A46" s="311"/>
      <c r="B46" s="312"/>
      <c r="C46" s="312"/>
      <c r="D46" s="312"/>
      <c r="E46" s="312"/>
      <c r="F46" s="312"/>
      <c r="G46" s="312"/>
    </row>
    <row r="47" spans="1:22" ht="13.2" x14ac:dyDescent="0.25">
      <c r="A47" s="311"/>
      <c r="B47" s="312"/>
      <c r="C47" s="312"/>
      <c r="D47" s="312"/>
      <c r="E47" s="312"/>
      <c r="F47" s="312"/>
      <c r="G47" s="312"/>
    </row>
    <row r="48" spans="1:22" ht="13.2" x14ac:dyDescent="0.25">
      <c r="A48" s="2"/>
      <c r="B48" s="2"/>
      <c r="C48" s="2"/>
      <c r="D48" s="2"/>
      <c r="E48" s="2"/>
      <c r="F48" s="2"/>
      <c r="G48" s="2"/>
    </row>
    <row r="49" spans="1:7" ht="13.2" x14ac:dyDescent="0.25">
      <c r="A49" s="2"/>
      <c r="B49" s="2"/>
      <c r="C49" s="2"/>
      <c r="D49" s="2"/>
      <c r="E49" s="2"/>
      <c r="F49" s="2"/>
      <c r="G49" s="2"/>
    </row>
    <row r="50" spans="1:7" ht="13.2" x14ac:dyDescent="0.25">
      <c r="A50" s="2"/>
      <c r="B50" s="2"/>
      <c r="C50" s="2"/>
      <c r="D50" s="2"/>
      <c r="E50" s="2"/>
      <c r="F50" s="2"/>
      <c r="G50" s="2"/>
    </row>
    <row r="51" spans="1:7" ht="13.2" x14ac:dyDescent="0.25">
      <c r="A51" s="2"/>
      <c r="B51" s="2"/>
      <c r="C51" s="2"/>
      <c r="D51" s="2"/>
      <c r="E51" s="2"/>
      <c r="F51" s="2"/>
      <c r="G51" s="2"/>
    </row>
    <row r="52" spans="1:7" ht="13.2" x14ac:dyDescent="0.25">
      <c r="A52" s="2"/>
      <c r="B52" s="2"/>
      <c r="C52" s="2"/>
      <c r="D52" s="2"/>
      <c r="E52" s="2"/>
      <c r="F52" s="2"/>
      <c r="G52" s="2"/>
    </row>
    <row r="53" spans="1:7" ht="13.2" x14ac:dyDescent="0.25">
      <c r="A53" s="2"/>
      <c r="B53" s="2"/>
      <c r="C53" s="2"/>
      <c r="D53" s="2"/>
      <c r="E53" s="2"/>
      <c r="F53" s="2"/>
      <c r="G53" s="2"/>
    </row>
    <row r="54" spans="1:7" ht="13.2" x14ac:dyDescent="0.25">
      <c r="A54" s="2"/>
      <c r="B54" s="2"/>
      <c r="C54" s="2"/>
      <c r="D54" s="2"/>
      <c r="E54" s="2"/>
      <c r="F54" s="2"/>
      <c r="G54" s="2"/>
    </row>
    <row r="55" spans="1:7" ht="13.2" x14ac:dyDescent="0.25">
      <c r="A55" s="2"/>
      <c r="B55" s="2"/>
      <c r="C55" s="2"/>
      <c r="D55" s="2"/>
      <c r="E55" s="2"/>
      <c r="F55" s="2"/>
      <c r="G55" s="2"/>
    </row>
    <row r="56" spans="1:7" ht="13.2" x14ac:dyDescent="0.25">
      <c r="A56" s="2"/>
      <c r="B56" s="2"/>
      <c r="C56" s="2"/>
      <c r="D56" s="2"/>
      <c r="E56" s="2"/>
      <c r="F56" s="2"/>
      <c r="G56" s="2"/>
    </row>
    <row r="57" spans="1:7" ht="13.2" x14ac:dyDescent="0.25">
      <c r="A57" s="2"/>
      <c r="B57" s="2"/>
      <c r="C57" s="2"/>
      <c r="D57" s="2"/>
      <c r="E57" s="2"/>
      <c r="F57" s="2"/>
      <c r="G57" s="2"/>
    </row>
    <row r="58" spans="1:7" ht="13.2" x14ac:dyDescent="0.25">
      <c r="A58" s="2"/>
      <c r="B58" s="2"/>
      <c r="C58" s="2"/>
      <c r="D58" s="2"/>
      <c r="E58" s="2"/>
      <c r="F58" s="2"/>
      <c r="G58" s="2"/>
    </row>
    <row r="59" spans="1:7" ht="13.2" x14ac:dyDescent="0.25">
      <c r="A59" s="2"/>
      <c r="B59" s="2"/>
      <c r="C59" s="2"/>
      <c r="D59" s="2"/>
      <c r="E59" s="2"/>
      <c r="F59" s="2"/>
      <c r="G59" s="2"/>
    </row>
    <row r="60" spans="1:7" ht="13.2" x14ac:dyDescent="0.25">
      <c r="A60" s="2"/>
      <c r="B60" s="2"/>
      <c r="C60" s="2"/>
      <c r="D60" s="2"/>
      <c r="E60" s="2"/>
      <c r="F60" s="2"/>
      <c r="G60" s="2"/>
    </row>
    <row r="61" spans="1:7" ht="13.2" x14ac:dyDescent="0.25">
      <c r="A61" s="2"/>
      <c r="B61" s="2"/>
      <c r="C61" s="2"/>
      <c r="D61" s="2"/>
      <c r="E61" s="2"/>
      <c r="F61" s="2"/>
      <c r="G61" s="2"/>
    </row>
    <row r="62" spans="1:7" ht="13.2" x14ac:dyDescent="0.25">
      <c r="A62" s="2"/>
      <c r="B62" s="2"/>
      <c r="C62" s="2"/>
      <c r="D62" s="2"/>
      <c r="E62" s="2"/>
      <c r="F62" s="2"/>
      <c r="G62" s="2"/>
    </row>
    <row r="63" spans="1:7" ht="13.2" x14ac:dyDescent="0.25">
      <c r="A63" s="2"/>
      <c r="B63" s="2"/>
      <c r="C63" s="2"/>
      <c r="D63" s="2"/>
      <c r="E63" s="2"/>
      <c r="F63" s="2"/>
      <c r="G63" s="2"/>
    </row>
    <row r="64" spans="1:7" ht="13.2" x14ac:dyDescent="0.25">
      <c r="A64" s="2"/>
      <c r="B64" s="2"/>
      <c r="C64" s="2"/>
      <c r="D64" s="2"/>
      <c r="E64" s="2"/>
      <c r="F64" s="2"/>
      <c r="G64" s="2"/>
    </row>
    <row r="65" spans="1:7" ht="13.2" x14ac:dyDescent="0.25">
      <c r="A65" s="2"/>
      <c r="B65" s="2"/>
      <c r="C65" s="2"/>
      <c r="D65" s="2"/>
      <c r="E65" s="2"/>
      <c r="F65" s="2"/>
      <c r="G65" s="2"/>
    </row>
    <row r="66" spans="1:7" ht="13.2" x14ac:dyDescent="0.25">
      <c r="A66" s="2"/>
      <c r="B66" s="2"/>
      <c r="C66" s="2"/>
      <c r="D66" s="2"/>
      <c r="E66" s="2"/>
      <c r="F66" s="2"/>
      <c r="G66" s="2"/>
    </row>
    <row r="67" spans="1:7" ht="13.2" x14ac:dyDescent="0.25">
      <c r="A67" s="2"/>
      <c r="B67" s="2"/>
      <c r="C67" s="2"/>
      <c r="D67" s="2"/>
      <c r="E67" s="2"/>
      <c r="F67" s="2"/>
      <c r="G67" s="2"/>
    </row>
    <row r="68" spans="1:7" ht="13.2" x14ac:dyDescent="0.25">
      <c r="A68" s="2"/>
      <c r="B68" s="2"/>
      <c r="C68" s="2"/>
      <c r="D68" s="2"/>
      <c r="E68" s="2"/>
      <c r="F68" s="2"/>
      <c r="G68" s="2"/>
    </row>
    <row r="69" spans="1:7" ht="13.2" x14ac:dyDescent="0.25">
      <c r="A69" s="2"/>
      <c r="B69" s="2"/>
      <c r="C69" s="2"/>
      <c r="D69" s="2"/>
      <c r="E69" s="2"/>
      <c r="F69" s="2"/>
      <c r="G69" s="2"/>
    </row>
    <row r="70" spans="1:7" ht="13.2" x14ac:dyDescent="0.25">
      <c r="A70" s="2"/>
      <c r="B70" s="2"/>
      <c r="C70" s="2"/>
      <c r="D70" s="2"/>
      <c r="E70" s="2"/>
      <c r="F70" s="2"/>
      <c r="G70" s="2"/>
    </row>
    <row r="71" spans="1:7" ht="13.2" x14ac:dyDescent="0.25">
      <c r="A71" s="2"/>
      <c r="B71" s="2"/>
      <c r="C71" s="2"/>
      <c r="D71" s="2"/>
      <c r="E71" s="2"/>
      <c r="F71" s="2"/>
      <c r="G71" s="2"/>
    </row>
    <row r="72" spans="1:7" ht="13.2" x14ac:dyDescent="0.25">
      <c r="A72" s="2"/>
      <c r="B72" s="2"/>
      <c r="C72" s="2"/>
      <c r="D72" s="2"/>
      <c r="E72" s="2"/>
      <c r="F72" s="2"/>
      <c r="G72" s="2"/>
    </row>
    <row r="73" spans="1:7" ht="13.2" x14ac:dyDescent="0.25">
      <c r="A73" s="2"/>
      <c r="B73" s="2"/>
      <c r="C73" s="2"/>
      <c r="D73" s="2"/>
      <c r="E73" s="2"/>
      <c r="F73" s="2"/>
      <c r="G73" s="2"/>
    </row>
    <row r="74" spans="1:7" ht="13.2" x14ac:dyDescent="0.25">
      <c r="A74" s="2"/>
      <c r="B74" s="2"/>
      <c r="C74" s="2"/>
      <c r="D74" s="2"/>
      <c r="E74" s="2"/>
      <c r="F74" s="2"/>
      <c r="G74" s="2"/>
    </row>
    <row r="75" spans="1:7" ht="13.2" x14ac:dyDescent="0.25">
      <c r="A75" s="2"/>
      <c r="B75" s="2"/>
      <c r="C75" s="2"/>
      <c r="D75" s="2"/>
      <c r="E75" s="2"/>
      <c r="F75" s="2"/>
      <c r="G75" s="2"/>
    </row>
    <row r="76" spans="1:7" ht="13.2" x14ac:dyDescent="0.25">
      <c r="A76" s="2"/>
      <c r="B76" s="2"/>
      <c r="C76" s="2"/>
      <c r="D76" s="2"/>
      <c r="E76" s="2"/>
      <c r="F76" s="2"/>
      <c r="G76" s="2"/>
    </row>
    <row r="77" spans="1:7" ht="13.2" x14ac:dyDescent="0.25">
      <c r="A77" s="2"/>
      <c r="B77" s="2"/>
      <c r="C77" s="2"/>
      <c r="D77" s="2"/>
      <c r="E77" s="2"/>
      <c r="F77" s="2"/>
      <c r="G77" s="2"/>
    </row>
    <row r="78" spans="1:7" ht="13.2" x14ac:dyDescent="0.25">
      <c r="A78" s="2"/>
      <c r="B78" s="2"/>
      <c r="C78" s="2"/>
      <c r="D78" s="2"/>
      <c r="E78" s="2"/>
      <c r="F78" s="2"/>
      <c r="G78" s="2"/>
    </row>
    <row r="79" spans="1:7" ht="13.2" x14ac:dyDescent="0.25">
      <c r="A79" s="2"/>
      <c r="B79" s="2"/>
      <c r="C79" s="2"/>
      <c r="D79" s="2"/>
      <c r="E79" s="2"/>
      <c r="F79" s="2"/>
      <c r="G79" s="2"/>
    </row>
    <row r="80" spans="1:7" ht="13.2" x14ac:dyDescent="0.25">
      <c r="A80" s="2"/>
      <c r="B80" s="2"/>
      <c r="C80" s="2"/>
      <c r="D80" s="2"/>
      <c r="E80" s="2"/>
      <c r="F80" s="2"/>
      <c r="G80" s="2"/>
    </row>
    <row r="81" spans="1:7" ht="13.2" x14ac:dyDescent="0.25">
      <c r="A81" s="2"/>
      <c r="B81" s="2"/>
      <c r="C81" s="2"/>
      <c r="D81" s="2"/>
      <c r="E81" s="2"/>
      <c r="F81" s="2"/>
      <c r="G81" s="2"/>
    </row>
    <row r="82" spans="1:7" ht="13.2" x14ac:dyDescent="0.25">
      <c r="A82" s="2"/>
      <c r="B82" s="2"/>
      <c r="C82" s="2"/>
      <c r="D82" s="2"/>
      <c r="E82" s="2"/>
      <c r="F82" s="2"/>
      <c r="G82" s="2"/>
    </row>
    <row r="83" spans="1:7" ht="13.2" x14ac:dyDescent="0.25">
      <c r="A83" s="2"/>
      <c r="B83" s="2"/>
      <c r="C83" s="2"/>
      <c r="D83" s="2"/>
      <c r="E83" s="2"/>
      <c r="F83" s="2"/>
      <c r="G83" s="2"/>
    </row>
    <row r="84" spans="1:7" ht="13.2" x14ac:dyDescent="0.25">
      <c r="A84" s="2"/>
      <c r="B84" s="2"/>
      <c r="C84" s="2"/>
      <c r="D84" s="2"/>
      <c r="E84" s="2"/>
      <c r="F84" s="2"/>
      <c r="G84" s="2"/>
    </row>
    <row r="85" spans="1:7" ht="13.2" x14ac:dyDescent="0.25">
      <c r="A85" s="2"/>
      <c r="B85" s="2"/>
      <c r="C85" s="2"/>
      <c r="D85" s="2"/>
      <c r="E85" s="2"/>
      <c r="F85" s="2"/>
      <c r="G85" s="2"/>
    </row>
    <row r="86" spans="1:7" ht="13.2" x14ac:dyDescent="0.25">
      <c r="A86" s="2"/>
      <c r="B86" s="2"/>
      <c r="C86" s="2"/>
      <c r="D86" s="2"/>
      <c r="E86" s="2"/>
      <c r="F86" s="2"/>
      <c r="G86" s="2"/>
    </row>
    <row r="87" spans="1:7" ht="13.2" x14ac:dyDescent="0.25">
      <c r="A87" s="2"/>
      <c r="B87" s="2"/>
      <c r="C87" s="2"/>
      <c r="D87" s="2"/>
      <c r="E87" s="2"/>
      <c r="F87" s="2"/>
      <c r="G87" s="2"/>
    </row>
    <row r="88" spans="1:7" ht="13.2" x14ac:dyDescent="0.25">
      <c r="A88" s="2"/>
      <c r="B88" s="2"/>
      <c r="C88" s="2"/>
      <c r="D88" s="2"/>
      <c r="E88" s="2"/>
      <c r="F88" s="2"/>
      <c r="G88" s="2"/>
    </row>
    <row r="89" spans="1:7" ht="13.2" x14ac:dyDescent="0.25">
      <c r="A89" s="2"/>
      <c r="B89" s="2"/>
      <c r="C89" s="2"/>
      <c r="D89" s="2"/>
      <c r="E89" s="2"/>
      <c r="F89" s="2"/>
      <c r="G89" s="2"/>
    </row>
    <row r="90" spans="1:7" ht="13.2" x14ac:dyDescent="0.25">
      <c r="A90" s="2"/>
      <c r="B90" s="2"/>
      <c r="C90" s="2"/>
      <c r="D90" s="2"/>
      <c r="E90" s="2"/>
      <c r="F90" s="2"/>
      <c r="G90" s="2"/>
    </row>
    <row r="91" spans="1:7" ht="13.2" x14ac:dyDescent="0.25">
      <c r="A91" s="2"/>
      <c r="B91" s="2"/>
      <c r="C91" s="2"/>
      <c r="D91" s="2"/>
      <c r="E91" s="2"/>
      <c r="F91" s="2"/>
      <c r="G91" s="2"/>
    </row>
    <row r="92" spans="1:7" ht="13.2" x14ac:dyDescent="0.25">
      <c r="A92" s="2"/>
      <c r="B92" s="2"/>
      <c r="C92" s="2"/>
      <c r="D92" s="2"/>
      <c r="E92" s="2"/>
      <c r="F92" s="2"/>
      <c r="G92" s="2"/>
    </row>
    <row r="93" spans="1:7" ht="13.2" x14ac:dyDescent="0.25">
      <c r="A93" s="2"/>
      <c r="B93" s="2"/>
      <c r="C93" s="2"/>
      <c r="D93" s="2"/>
      <c r="E93" s="2"/>
      <c r="F93" s="2"/>
      <c r="G93" s="2"/>
    </row>
    <row r="94" spans="1:7" ht="13.2" x14ac:dyDescent="0.25">
      <c r="A94" s="2"/>
      <c r="B94" s="2"/>
      <c r="C94" s="2"/>
      <c r="D94" s="2"/>
      <c r="E94" s="2"/>
      <c r="F94" s="2"/>
      <c r="G94" s="2"/>
    </row>
    <row r="95" spans="1:7" ht="13.2" x14ac:dyDescent="0.25">
      <c r="A95" s="2"/>
      <c r="B95" s="2"/>
      <c r="C95" s="2"/>
      <c r="D95" s="2"/>
      <c r="E95" s="2"/>
      <c r="F95" s="2"/>
      <c r="G95" s="2"/>
    </row>
    <row r="96" spans="1:7" ht="13.2" x14ac:dyDescent="0.25">
      <c r="A96" s="2"/>
      <c r="B96" s="2"/>
      <c r="C96" s="2"/>
      <c r="D96" s="2"/>
      <c r="E96" s="2"/>
      <c r="F96" s="2"/>
      <c r="G96" s="2"/>
    </row>
    <row r="97" spans="1:7" ht="13.2" x14ac:dyDescent="0.25">
      <c r="A97" s="2"/>
      <c r="B97" s="2"/>
      <c r="C97" s="2"/>
      <c r="D97" s="2"/>
      <c r="E97" s="2"/>
      <c r="F97" s="2"/>
      <c r="G97" s="2"/>
    </row>
    <row r="98" spans="1:7" ht="13.2" x14ac:dyDescent="0.25">
      <c r="A98" s="2"/>
      <c r="B98" s="2"/>
      <c r="C98" s="2"/>
      <c r="D98" s="2"/>
      <c r="E98" s="2"/>
      <c r="F98" s="2"/>
      <c r="G98" s="2"/>
    </row>
    <row r="99" spans="1:7" ht="13.2" x14ac:dyDescent="0.25">
      <c r="A99" s="2"/>
      <c r="B99" s="2"/>
      <c r="C99" s="2"/>
      <c r="D99" s="2"/>
      <c r="E99" s="2"/>
      <c r="F99" s="2"/>
      <c r="G99" s="2"/>
    </row>
    <row r="100" spans="1:7" ht="13.2" x14ac:dyDescent="0.25">
      <c r="A100" s="2"/>
      <c r="B100" s="2"/>
      <c r="C100" s="2"/>
      <c r="D100" s="2"/>
      <c r="E100" s="2"/>
      <c r="F100" s="2"/>
      <c r="G100" s="2"/>
    </row>
    <row r="101" spans="1:7" ht="13.2" x14ac:dyDescent="0.25">
      <c r="A101" s="2"/>
      <c r="B101" s="2"/>
      <c r="C101" s="2"/>
      <c r="D101" s="2"/>
      <c r="E101" s="2"/>
      <c r="F101" s="2"/>
      <c r="G101" s="2"/>
    </row>
    <row r="102" spans="1:7" ht="13.2" x14ac:dyDescent="0.25">
      <c r="A102" s="2"/>
      <c r="B102" s="2"/>
      <c r="C102" s="2"/>
      <c r="D102" s="2"/>
      <c r="E102" s="2"/>
      <c r="F102" s="2"/>
      <c r="G102" s="2"/>
    </row>
    <row r="103" spans="1:7" ht="13.2" x14ac:dyDescent="0.25">
      <c r="A103" s="2"/>
      <c r="B103" s="2"/>
      <c r="C103" s="2"/>
      <c r="D103" s="2"/>
      <c r="E103" s="2"/>
      <c r="F103" s="2"/>
      <c r="G103" s="2"/>
    </row>
    <row r="104" spans="1:7" ht="13.2" x14ac:dyDescent="0.25">
      <c r="A104" s="2"/>
      <c r="B104" s="2"/>
      <c r="C104" s="2"/>
      <c r="D104" s="2"/>
      <c r="E104" s="2"/>
      <c r="F104" s="2"/>
      <c r="G104" s="2"/>
    </row>
    <row r="105" spans="1:7" ht="13.2" x14ac:dyDescent="0.25">
      <c r="A105" s="2"/>
      <c r="B105" s="2"/>
      <c r="C105" s="2"/>
      <c r="D105" s="2"/>
      <c r="E105" s="2"/>
      <c r="F105" s="2"/>
      <c r="G105" s="2"/>
    </row>
    <row r="106" spans="1:7" ht="13.2" x14ac:dyDescent="0.25">
      <c r="A106" s="2"/>
      <c r="B106" s="2"/>
      <c r="C106" s="2"/>
      <c r="D106" s="2"/>
      <c r="E106" s="2"/>
      <c r="F106" s="2"/>
      <c r="G106" s="2"/>
    </row>
    <row r="107" spans="1:7" ht="13.2" x14ac:dyDescent="0.25">
      <c r="A107" s="2"/>
      <c r="B107" s="2"/>
      <c r="C107" s="2"/>
      <c r="D107" s="2"/>
      <c r="E107" s="2"/>
      <c r="F107" s="2"/>
      <c r="G107" s="2"/>
    </row>
    <row r="108" spans="1:7" ht="13.2" x14ac:dyDescent="0.25">
      <c r="A108" s="2"/>
      <c r="B108" s="2"/>
      <c r="C108" s="2"/>
      <c r="D108" s="2"/>
      <c r="E108" s="2"/>
      <c r="F108" s="2"/>
      <c r="G108" s="2"/>
    </row>
    <row r="109" spans="1:7" ht="13.2" x14ac:dyDescent="0.25">
      <c r="A109" s="2"/>
      <c r="B109" s="2"/>
      <c r="C109" s="2"/>
      <c r="D109" s="2"/>
      <c r="E109" s="2"/>
      <c r="F109" s="2"/>
      <c r="G109" s="2"/>
    </row>
    <row r="110" spans="1:7" ht="13.2" x14ac:dyDescent="0.25">
      <c r="A110" s="2"/>
      <c r="B110" s="2"/>
      <c r="C110" s="2"/>
      <c r="D110" s="2"/>
      <c r="E110" s="2"/>
      <c r="F110" s="2"/>
      <c r="G110" s="2"/>
    </row>
    <row r="111" spans="1:7" ht="13.2" x14ac:dyDescent="0.25">
      <c r="A111" s="2"/>
      <c r="B111" s="2"/>
      <c r="C111" s="2"/>
      <c r="D111" s="2"/>
      <c r="E111" s="2"/>
      <c r="F111" s="2"/>
      <c r="G111" s="2"/>
    </row>
    <row r="112" spans="1:7" ht="13.2" x14ac:dyDescent="0.25">
      <c r="A112" s="2"/>
      <c r="B112" s="2"/>
      <c r="C112" s="2"/>
      <c r="D112" s="2"/>
      <c r="E112" s="2"/>
      <c r="F112" s="2"/>
      <c r="G112" s="2"/>
    </row>
    <row r="113" spans="1:7" ht="13.2" x14ac:dyDescent="0.25">
      <c r="A113" s="2"/>
      <c r="B113" s="2"/>
      <c r="C113" s="2"/>
      <c r="D113" s="2"/>
      <c r="E113" s="2"/>
      <c r="F113" s="2"/>
      <c r="G113" s="2"/>
    </row>
    <row r="114" spans="1:7" ht="13.2" x14ac:dyDescent="0.25">
      <c r="A114" s="2"/>
      <c r="B114" s="2"/>
      <c r="C114" s="2"/>
      <c r="D114" s="2"/>
      <c r="E114" s="2"/>
      <c r="F114" s="2"/>
      <c r="G114" s="2"/>
    </row>
    <row r="115" spans="1:7" ht="13.2" x14ac:dyDescent="0.25">
      <c r="A115" s="2"/>
      <c r="B115" s="2"/>
      <c r="C115" s="2"/>
      <c r="D115" s="2"/>
      <c r="E115" s="2"/>
      <c r="F115" s="2"/>
      <c r="G115" s="2"/>
    </row>
    <row r="116" spans="1:7" ht="13.2" x14ac:dyDescent="0.25">
      <c r="A116" s="2"/>
      <c r="B116" s="2"/>
      <c r="C116" s="2"/>
      <c r="D116" s="2"/>
      <c r="E116" s="2"/>
      <c r="F116" s="2"/>
      <c r="G116" s="2"/>
    </row>
    <row r="117" spans="1:7" ht="13.2" x14ac:dyDescent="0.25">
      <c r="A117" s="2"/>
      <c r="B117" s="2"/>
      <c r="C117" s="2"/>
      <c r="D117" s="2"/>
      <c r="E117" s="2"/>
      <c r="F117" s="2"/>
      <c r="G117" s="2"/>
    </row>
    <row r="118" spans="1:7" ht="13.2" x14ac:dyDescent="0.25">
      <c r="A118" s="2"/>
      <c r="B118" s="2"/>
      <c r="C118" s="2"/>
      <c r="D118" s="2"/>
      <c r="E118" s="2"/>
      <c r="F118" s="2"/>
      <c r="G118" s="2"/>
    </row>
    <row r="119" spans="1:7" ht="13.2" x14ac:dyDescent="0.25">
      <c r="A119" s="2"/>
      <c r="B119" s="2"/>
      <c r="C119" s="2"/>
      <c r="D119" s="2"/>
      <c r="E119" s="2"/>
      <c r="F119" s="2"/>
      <c r="G119" s="2"/>
    </row>
    <row r="120" spans="1:7" ht="13.2" x14ac:dyDescent="0.25">
      <c r="A120" s="2"/>
      <c r="B120" s="2"/>
      <c r="C120" s="2"/>
      <c r="D120" s="2"/>
      <c r="E120" s="2"/>
      <c r="F120" s="2"/>
      <c r="G120" s="2"/>
    </row>
    <row r="121" spans="1:7" ht="13.2" x14ac:dyDescent="0.25">
      <c r="A121" s="2"/>
      <c r="B121" s="2"/>
      <c r="C121" s="2"/>
      <c r="D121" s="2"/>
      <c r="E121" s="2"/>
      <c r="F121" s="2"/>
      <c r="G121" s="2"/>
    </row>
    <row r="122" spans="1:7" ht="13.2" x14ac:dyDescent="0.25">
      <c r="A122" s="2"/>
      <c r="B122" s="2"/>
      <c r="C122" s="2"/>
      <c r="D122" s="2"/>
      <c r="E122" s="2"/>
      <c r="F122" s="2"/>
      <c r="G122" s="2"/>
    </row>
    <row r="123" spans="1:7" ht="13.2" x14ac:dyDescent="0.25">
      <c r="A123" s="2"/>
      <c r="B123" s="2"/>
      <c r="C123" s="2"/>
      <c r="D123" s="2"/>
      <c r="E123" s="2"/>
      <c r="F123" s="2"/>
      <c r="G123" s="2"/>
    </row>
    <row r="124" spans="1:7" ht="13.2" x14ac:dyDescent="0.25">
      <c r="A124" s="2"/>
      <c r="B124" s="2"/>
      <c r="C124" s="2"/>
      <c r="D124" s="2"/>
      <c r="E124" s="2"/>
      <c r="F124" s="2"/>
      <c r="G124" s="2"/>
    </row>
    <row r="125" spans="1:7" ht="13.2" x14ac:dyDescent="0.25">
      <c r="A125" s="2"/>
      <c r="B125" s="2"/>
      <c r="C125" s="2"/>
      <c r="D125" s="2"/>
      <c r="E125" s="2"/>
      <c r="F125" s="2"/>
      <c r="G125" s="2"/>
    </row>
    <row r="126" spans="1:7" ht="13.2" x14ac:dyDescent="0.25">
      <c r="A126" s="2"/>
      <c r="B126" s="2"/>
      <c r="C126" s="2"/>
      <c r="D126" s="2"/>
      <c r="E126" s="2"/>
      <c r="F126" s="2"/>
      <c r="G126" s="2"/>
    </row>
    <row r="127" spans="1:7" ht="13.2" x14ac:dyDescent="0.25">
      <c r="A127" s="2"/>
      <c r="B127" s="2"/>
      <c r="C127" s="2"/>
      <c r="D127" s="2"/>
      <c r="E127" s="2"/>
      <c r="F127" s="2"/>
      <c r="G127" s="2"/>
    </row>
    <row r="128" spans="1:7" ht="13.2" x14ac:dyDescent="0.25">
      <c r="A128" s="2"/>
      <c r="B128" s="2"/>
      <c r="C128" s="2"/>
      <c r="D128" s="2"/>
      <c r="E128" s="2"/>
      <c r="F128" s="2"/>
      <c r="G128" s="2"/>
    </row>
    <row r="129" spans="1:7" ht="13.2" x14ac:dyDescent="0.25">
      <c r="A129" s="2"/>
      <c r="B129" s="2"/>
      <c r="C129" s="2"/>
      <c r="D129" s="2"/>
      <c r="E129" s="2"/>
      <c r="F129" s="2"/>
      <c r="G129" s="2"/>
    </row>
    <row r="130" spans="1:7" ht="13.2" x14ac:dyDescent="0.25">
      <c r="A130" s="2"/>
      <c r="B130" s="2"/>
      <c r="C130" s="2"/>
      <c r="D130" s="2"/>
      <c r="E130" s="2"/>
      <c r="F130" s="2"/>
      <c r="G130" s="2"/>
    </row>
    <row r="131" spans="1:7" ht="13.2" x14ac:dyDescent="0.25">
      <c r="A131" s="2"/>
      <c r="B131" s="2"/>
      <c r="C131" s="2"/>
      <c r="D131" s="2"/>
      <c r="E131" s="2"/>
      <c r="F131" s="2"/>
      <c r="G131" s="2"/>
    </row>
    <row r="132" spans="1:7" ht="13.2" x14ac:dyDescent="0.25">
      <c r="A132" s="2"/>
      <c r="B132" s="2"/>
      <c r="C132" s="2"/>
      <c r="D132" s="2"/>
      <c r="E132" s="2"/>
      <c r="F132" s="2"/>
      <c r="G132" s="2"/>
    </row>
    <row r="133" spans="1:7" ht="13.2" x14ac:dyDescent="0.25">
      <c r="A133" s="2"/>
      <c r="B133" s="2"/>
      <c r="C133" s="2"/>
      <c r="D133" s="2"/>
      <c r="E133" s="2"/>
      <c r="F133" s="2"/>
      <c r="G133" s="2"/>
    </row>
    <row r="134" spans="1:7" ht="13.2" x14ac:dyDescent="0.25">
      <c r="A134" s="2"/>
      <c r="B134" s="2"/>
      <c r="C134" s="2"/>
      <c r="D134" s="2"/>
      <c r="E134" s="2"/>
      <c r="F134" s="2"/>
      <c r="G134" s="2"/>
    </row>
    <row r="135" spans="1:7" ht="13.2" x14ac:dyDescent="0.25">
      <c r="A135" s="2"/>
      <c r="B135" s="2"/>
      <c r="C135" s="2"/>
      <c r="D135" s="2"/>
      <c r="E135" s="2"/>
      <c r="F135" s="2"/>
      <c r="G135" s="2"/>
    </row>
    <row r="136" spans="1:7" ht="13.2" x14ac:dyDescent="0.25">
      <c r="A136" s="2"/>
      <c r="B136" s="2"/>
      <c r="C136" s="2"/>
      <c r="D136" s="2"/>
      <c r="E136" s="2"/>
      <c r="F136" s="2"/>
      <c r="G136" s="2"/>
    </row>
    <row r="137" spans="1:7" ht="13.2" x14ac:dyDescent="0.25">
      <c r="A137" s="2"/>
      <c r="B137" s="2"/>
      <c r="C137" s="2"/>
      <c r="D137" s="2"/>
      <c r="E137" s="2"/>
      <c r="F137" s="2"/>
      <c r="G137" s="2"/>
    </row>
    <row r="138" spans="1:7" ht="13.2" x14ac:dyDescent="0.25">
      <c r="A138" s="2"/>
      <c r="B138" s="2"/>
      <c r="C138" s="2"/>
      <c r="D138" s="2"/>
      <c r="E138" s="2"/>
      <c r="F138" s="2"/>
      <c r="G138" s="2"/>
    </row>
    <row r="139" spans="1:7" ht="13.2" x14ac:dyDescent="0.25">
      <c r="A139" s="2"/>
      <c r="B139" s="2"/>
      <c r="C139" s="2"/>
      <c r="D139" s="2"/>
      <c r="E139" s="2"/>
      <c r="F139" s="2"/>
      <c r="G139" s="2"/>
    </row>
    <row r="140" spans="1:7" ht="13.2" x14ac:dyDescent="0.25">
      <c r="A140" s="2"/>
      <c r="B140" s="2"/>
      <c r="C140" s="2"/>
      <c r="D140" s="2"/>
      <c r="E140" s="2"/>
      <c r="F140" s="2"/>
      <c r="G140" s="2"/>
    </row>
    <row r="141" spans="1:7" ht="13.2" x14ac:dyDescent="0.25">
      <c r="A141" s="2"/>
      <c r="B141" s="2"/>
      <c r="C141" s="2"/>
      <c r="D141" s="2"/>
      <c r="E141" s="2"/>
      <c r="F141" s="2"/>
      <c r="G141" s="2"/>
    </row>
    <row r="142" spans="1:7" ht="13.2" x14ac:dyDescent="0.25">
      <c r="A142" s="2"/>
      <c r="B142" s="2"/>
      <c r="C142" s="2"/>
      <c r="D142" s="2"/>
      <c r="E142" s="2"/>
      <c r="F142" s="2"/>
      <c r="G142" s="2"/>
    </row>
    <row r="143" spans="1:7" ht="13.2" x14ac:dyDescent="0.25">
      <c r="A143" s="2"/>
      <c r="B143" s="2"/>
      <c r="C143" s="2"/>
      <c r="D143" s="2"/>
      <c r="E143" s="2"/>
      <c r="F143" s="2"/>
      <c r="G143" s="2"/>
    </row>
    <row r="144" spans="1:7" ht="13.2" x14ac:dyDescent="0.25">
      <c r="A144" s="2"/>
      <c r="B144" s="2"/>
      <c r="C144" s="2"/>
      <c r="D144" s="2"/>
      <c r="E144" s="2"/>
      <c r="F144" s="2"/>
      <c r="G144" s="2"/>
    </row>
    <row r="145" spans="1:7" ht="13.2" x14ac:dyDescent="0.25">
      <c r="A145" s="2"/>
      <c r="B145" s="2"/>
      <c r="C145" s="2"/>
      <c r="D145" s="2"/>
      <c r="E145" s="2"/>
      <c r="F145" s="2"/>
      <c r="G145" s="2"/>
    </row>
    <row r="146" spans="1:7" ht="13.2" x14ac:dyDescent="0.25">
      <c r="A146" s="2"/>
      <c r="B146" s="2"/>
      <c r="C146" s="2"/>
      <c r="D146" s="2"/>
      <c r="E146" s="2"/>
      <c r="F146" s="2"/>
      <c r="G146" s="2"/>
    </row>
    <row r="147" spans="1:7" ht="13.2" x14ac:dyDescent="0.25">
      <c r="A147" s="2"/>
      <c r="B147" s="2"/>
      <c r="C147" s="2"/>
      <c r="D147" s="2"/>
      <c r="E147" s="2"/>
      <c r="F147" s="2"/>
      <c r="G147" s="2"/>
    </row>
    <row r="148" spans="1:7" ht="13.2" x14ac:dyDescent="0.25">
      <c r="A148" s="2"/>
      <c r="B148" s="2"/>
      <c r="C148" s="2"/>
      <c r="D148" s="2"/>
      <c r="E148" s="2"/>
      <c r="F148" s="2"/>
      <c r="G148" s="2"/>
    </row>
    <row r="149" spans="1:7" ht="13.2" x14ac:dyDescent="0.25">
      <c r="A149" s="2"/>
      <c r="B149" s="2"/>
      <c r="C149" s="2"/>
      <c r="D149" s="2"/>
      <c r="E149" s="2"/>
      <c r="F149" s="2"/>
      <c r="G149" s="2"/>
    </row>
    <row r="150" spans="1:7" ht="13.2" x14ac:dyDescent="0.25">
      <c r="A150" s="2"/>
      <c r="B150" s="2"/>
      <c r="C150" s="2"/>
      <c r="D150" s="2"/>
      <c r="E150" s="2"/>
      <c r="F150" s="2"/>
      <c r="G150" s="2"/>
    </row>
    <row r="151" spans="1:7" ht="13.2" x14ac:dyDescent="0.25">
      <c r="A151" s="2"/>
      <c r="B151" s="2"/>
      <c r="C151" s="2"/>
      <c r="D151" s="2"/>
      <c r="E151" s="2"/>
      <c r="F151" s="2"/>
      <c r="G151" s="2"/>
    </row>
    <row r="152" spans="1:7" ht="13.2" x14ac:dyDescent="0.25">
      <c r="A152" s="2"/>
      <c r="B152" s="2"/>
      <c r="C152" s="2"/>
      <c r="D152" s="2"/>
      <c r="E152" s="2"/>
      <c r="F152" s="2"/>
      <c r="G152" s="2"/>
    </row>
    <row r="153" spans="1:7" ht="13.2" x14ac:dyDescent="0.25">
      <c r="A153" s="2"/>
      <c r="B153" s="2"/>
      <c r="C153" s="2"/>
      <c r="D153" s="2"/>
      <c r="E153" s="2"/>
      <c r="F153" s="2"/>
      <c r="G153" s="2"/>
    </row>
    <row r="154" spans="1:7" ht="13.2" x14ac:dyDescent="0.25">
      <c r="A154" s="2"/>
      <c r="B154" s="2"/>
      <c r="C154" s="2"/>
      <c r="D154" s="2"/>
      <c r="E154" s="2"/>
      <c r="F154" s="2"/>
      <c r="G154" s="2"/>
    </row>
    <row r="155" spans="1:7" ht="13.2" x14ac:dyDescent="0.25">
      <c r="A155" s="2"/>
      <c r="B155" s="2"/>
      <c r="C155" s="2"/>
      <c r="D155" s="2"/>
      <c r="E155" s="2"/>
      <c r="F155" s="2"/>
      <c r="G155" s="2"/>
    </row>
    <row r="156" spans="1:7" ht="13.2" x14ac:dyDescent="0.25">
      <c r="A156" s="2"/>
      <c r="B156" s="2"/>
      <c r="C156" s="2"/>
      <c r="D156" s="2"/>
      <c r="E156" s="2"/>
      <c r="F156" s="2"/>
      <c r="G156" s="2"/>
    </row>
    <row r="157" spans="1:7" ht="13.2" x14ac:dyDescent="0.25">
      <c r="A157" s="2"/>
      <c r="B157" s="2"/>
      <c r="C157" s="2"/>
      <c r="D157" s="2"/>
      <c r="E157" s="2"/>
      <c r="F157" s="2"/>
      <c r="G157" s="2"/>
    </row>
    <row r="158" spans="1:7" ht="13.2" x14ac:dyDescent="0.25">
      <c r="A158" s="2"/>
      <c r="B158" s="2"/>
      <c r="C158" s="2"/>
      <c r="D158" s="2"/>
      <c r="E158" s="2"/>
      <c r="F158" s="2"/>
      <c r="G158" s="2"/>
    </row>
    <row r="159" spans="1:7" ht="13.2" x14ac:dyDescent="0.25">
      <c r="A159" s="2"/>
      <c r="B159" s="2"/>
      <c r="C159" s="2"/>
      <c r="D159" s="2"/>
      <c r="E159" s="2"/>
      <c r="F159" s="2"/>
      <c r="G159" s="2"/>
    </row>
    <row r="160" spans="1:7" ht="13.2" x14ac:dyDescent="0.25">
      <c r="A160" s="2"/>
      <c r="B160" s="2"/>
      <c r="C160" s="2"/>
      <c r="D160" s="2"/>
      <c r="E160" s="2"/>
      <c r="F160" s="2"/>
      <c r="G160" s="2"/>
    </row>
    <row r="161" spans="1:7" ht="13.2" x14ac:dyDescent="0.25">
      <c r="A161" s="2"/>
      <c r="B161" s="2"/>
      <c r="C161" s="2"/>
      <c r="D161" s="2"/>
      <c r="E161" s="2"/>
      <c r="F161" s="2"/>
      <c r="G161" s="2"/>
    </row>
    <row r="162" spans="1:7" ht="13.2" x14ac:dyDescent="0.25">
      <c r="A162" s="2"/>
      <c r="B162" s="2"/>
      <c r="C162" s="2"/>
      <c r="D162" s="2"/>
      <c r="E162" s="2"/>
      <c r="F162" s="2"/>
      <c r="G162" s="2"/>
    </row>
    <row r="163" spans="1:7" ht="13.2" x14ac:dyDescent="0.25">
      <c r="A163" s="2"/>
      <c r="B163" s="2"/>
      <c r="C163" s="2"/>
      <c r="D163" s="2"/>
      <c r="E163" s="2"/>
      <c r="F163" s="2"/>
      <c r="G163" s="2"/>
    </row>
    <row r="164" spans="1:7" ht="13.2" x14ac:dyDescent="0.25">
      <c r="A164" s="2"/>
      <c r="B164" s="2"/>
      <c r="C164" s="2"/>
      <c r="D164" s="2"/>
      <c r="E164" s="2"/>
      <c r="F164" s="2"/>
      <c r="G164" s="2"/>
    </row>
    <row r="165" spans="1:7" ht="13.2" x14ac:dyDescent="0.25">
      <c r="A165" s="2"/>
      <c r="B165" s="2"/>
      <c r="C165" s="2"/>
      <c r="D165" s="2"/>
      <c r="E165" s="2"/>
      <c r="F165" s="2"/>
      <c r="G165" s="2"/>
    </row>
    <row r="166" spans="1:7" ht="13.2" x14ac:dyDescent="0.25">
      <c r="A166" s="2"/>
      <c r="B166" s="2"/>
      <c r="C166" s="2"/>
      <c r="D166" s="2"/>
      <c r="E166" s="2"/>
      <c r="F166" s="2"/>
      <c r="G166" s="2"/>
    </row>
    <row r="167" spans="1:7" ht="13.2" x14ac:dyDescent="0.25">
      <c r="A167" s="2"/>
      <c r="B167" s="2"/>
      <c r="C167" s="2"/>
      <c r="D167" s="2"/>
      <c r="E167" s="2"/>
      <c r="F167" s="2"/>
      <c r="G167" s="2"/>
    </row>
    <row r="168" spans="1:7" ht="13.2" x14ac:dyDescent="0.25">
      <c r="A168" s="2"/>
      <c r="B168" s="2"/>
      <c r="C168" s="2"/>
      <c r="D168" s="2"/>
      <c r="E168" s="2"/>
      <c r="F168" s="2"/>
      <c r="G168" s="2"/>
    </row>
    <row r="169" spans="1:7" ht="13.2" x14ac:dyDescent="0.25">
      <c r="A169" s="2"/>
      <c r="B169" s="2"/>
      <c r="C169" s="2"/>
      <c r="D169" s="2"/>
      <c r="E169" s="2"/>
      <c r="F169" s="2"/>
      <c r="G169" s="2"/>
    </row>
    <row r="170" spans="1:7" ht="13.2" x14ac:dyDescent="0.25">
      <c r="A170" s="2"/>
      <c r="B170" s="2"/>
      <c r="C170" s="2"/>
      <c r="D170" s="2"/>
      <c r="E170" s="2"/>
      <c r="F170" s="2"/>
      <c r="G170" s="2"/>
    </row>
    <row r="171" spans="1:7" ht="13.2" x14ac:dyDescent="0.25">
      <c r="A171" s="2"/>
      <c r="B171" s="2"/>
      <c r="C171" s="2"/>
      <c r="D171" s="2"/>
      <c r="E171" s="2"/>
      <c r="F171" s="2"/>
      <c r="G171" s="2"/>
    </row>
    <row r="172" spans="1:7" ht="13.2" x14ac:dyDescent="0.25">
      <c r="A172" s="2"/>
      <c r="B172" s="2"/>
      <c r="C172" s="2"/>
      <c r="D172" s="2"/>
      <c r="E172" s="2"/>
      <c r="F172" s="2"/>
      <c r="G172" s="2"/>
    </row>
    <row r="173" spans="1:7" ht="13.2" x14ac:dyDescent="0.25">
      <c r="A173" s="2"/>
      <c r="B173" s="2"/>
      <c r="C173" s="2"/>
      <c r="D173" s="2"/>
      <c r="E173" s="2"/>
      <c r="F173" s="2"/>
      <c r="G173" s="2"/>
    </row>
    <row r="174" spans="1:7" ht="13.2" x14ac:dyDescent="0.25">
      <c r="A174" s="2"/>
      <c r="B174" s="2"/>
      <c r="C174" s="2"/>
      <c r="D174" s="2"/>
      <c r="E174" s="2"/>
      <c r="F174" s="2"/>
      <c r="G174" s="2"/>
    </row>
    <row r="175" spans="1:7" ht="13.2" x14ac:dyDescent="0.25">
      <c r="A175" s="2"/>
      <c r="B175" s="2"/>
      <c r="C175" s="2"/>
      <c r="D175" s="2"/>
      <c r="E175" s="2"/>
      <c r="F175" s="2"/>
      <c r="G175" s="2"/>
    </row>
    <row r="176" spans="1:7" ht="13.2" x14ac:dyDescent="0.25">
      <c r="A176" s="2"/>
      <c r="B176" s="2"/>
      <c r="C176" s="2"/>
      <c r="D176" s="2"/>
      <c r="E176" s="2"/>
      <c r="F176" s="2"/>
      <c r="G176" s="2"/>
    </row>
    <row r="177" spans="1:7" ht="13.2" x14ac:dyDescent="0.25">
      <c r="A177" s="2"/>
      <c r="B177" s="2"/>
      <c r="C177" s="2"/>
      <c r="D177" s="2"/>
      <c r="E177" s="2"/>
      <c r="F177" s="2"/>
      <c r="G177" s="2"/>
    </row>
    <row r="178" spans="1:7" ht="13.2" x14ac:dyDescent="0.25">
      <c r="A178" s="2"/>
      <c r="B178" s="2"/>
      <c r="C178" s="2"/>
      <c r="D178" s="2"/>
      <c r="E178" s="2"/>
      <c r="F178" s="2"/>
      <c r="G178" s="2"/>
    </row>
    <row r="179" spans="1:7" ht="13.2" x14ac:dyDescent="0.25">
      <c r="A179" s="2"/>
      <c r="B179" s="2"/>
      <c r="C179" s="2"/>
      <c r="D179" s="2"/>
      <c r="E179" s="2"/>
      <c r="F179" s="2"/>
      <c r="G179" s="2"/>
    </row>
    <row r="180" spans="1:7" ht="13.2" x14ac:dyDescent="0.25">
      <c r="A180" s="2"/>
      <c r="B180" s="2"/>
      <c r="C180" s="2"/>
      <c r="D180" s="2"/>
      <c r="E180" s="2"/>
      <c r="F180" s="2"/>
      <c r="G180" s="2"/>
    </row>
    <row r="181" spans="1:7" ht="13.2" x14ac:dyDescent="0.25">
      <c r="A181" s="2"/>
      <c r="B181" s="2"/>
      <c r="C181" s="2"/>
      <c r="D181" s="2"/>
      <c r="E181" s="2"/>
      <c r="F181" s="2"/>
      <c r="G181" s="2"/>
    </row>
    <row r="182" spans="1:7" ht="13.2" x14ac:dyDescent="0.25">
      <c r="A182" s="2"/>
      <c r="B182" s="2"/>
      <c r="C182" s="2"/>
      <c r="D182" s="2"/>
      <c r="E182" s="2"/>
      <c r="F182" s="2"/>
      <c r="G182" s="2"/>
    </row>
    <row r="183" spans="1:7" ht="13.2" x14ac:dyDescent="0.25">
      <c r="A183" s="2"/>
      <c r="B183" s="2"/>
      <c r="C183" s="2"/>
      <c r="D183" s="2"/>
      <c r="E183" s="2"/>
      <c r="F183" s="2"/>
      <c r="G183" s="2"/>
    </row>
    <row r="184" spans="1:7" ht="13.2" x14ac:dyDescent="0.25">
      <c r="A184" s="2"/>
      <c r="B184" s="2"/>
      <c r="C184" s="2"/>
      <c r="D184" s="2"/>
      <c r="E184" s="2"/>
      <c r="F184" s="2"/>
      <c r="G184" s="2"/>
    </row>
    <row r="185" spans="1:7" ht="13.2" x14ac:dyDescent="0.25">
      <c r="A185" s="2"/>
      <c r="B185" s="2"/>
      <c r="C185" s="2"/>
      <c r="D185" s="2"/>
      <c r="E185" s="2"/>
      <c r="F185" s="2"/>
      <c r="G185" s="2"/>
    </row>
    <row r="186" spans="1:7" ht="13.2" x14ac:dyDescent="0.25">
      <c r="A186" s="2"/>
      <c r="B186" s="2"/>
      <c r="C186" s="2"/>
      <c r="D186" s="2"/>
      <c r="E186" s="2"/>
      <c r="F186" s="2"/>
      <c r="G186" s="2"/>
    </row>
    <row r="187" spans="1:7" ht="13.2" x14ac:dyDescent="0.25">
      <c r="A187" s="2"/>
      <c r="B187" s="2"/>
      <c r="C187" s="2"/>
      <c r="D187" s="2"/>
      <c r="E187" s="2"/>
      <c r="F187" s="2"/>
      <c r="G187" s="2"/>
    </row>
    <row r="188" spans="1:7" ht="13.2" x14ac:dyDescent="0.25">
      <c r="A188" s="2"/>
      <c r="B188" s="2"/>
      <c r="C188" s="2"/>
      <c r="D188" s="2"/>
      <c r="E188" s="2"/>
      <c r="F188" s="2"/>
      <c r="G188" s="2"/>
    </row>
    <row r="189" spans="1:7" ht="13.2" x14ac:dyDescent="0.25">
      <c r="A189" s="2"/>
      <c r="B189" s="2"/>
      <c r="C189" s="2"/>
      <c r="D189" s="2"/>
      <c r="E189" s="2"/>
      <c r="F189" s="2"/>
      <c r="G189" s="2"/>
    </row>
    <row r="190" spans="1:7" ht="13.2" x14ac:dyDescent="0.25">
      <c r="A190" s="2"/>
      <c r="B190" s="2"/>
      <c r="C190" s="2"/>
      <c r="D190" s="2"/>
      <c r="E190" s="2"/>
      <c r="F190" s="2"/>
      <c r="G190" s="2"/>
    </row>
    <row r="191" spans="1:7" ht="13.2" x14ac:dyDescent="0.25">
      <c r="A191" s="2"/>
      <c r="B191" s="2"/>
      <c r="C191" s="2"/>
      <c r="D191" s="2"/>
      <c r="E191" s="2"/>
      <c r="F191" s="2"/>
      <c r="G191" s="2"/>
    </row>
    <row r="192" spans="1:7" ht="13.2" x14ac:dyDescent="0.25">
      <c r="A192" s="2"/>
      <c r="B192" s="2"/>
      <c r="C192" s="2"/>
      <c r="D192" s="2"/>
      <c r="E192" s="2"/>
      <c r="F192" s="2"/>
      <c r="G192" s="2"/>
    </row>
    <row r="193" spans="1:7" ht="13.2" x14ac:dyDescent="0.25">
      <c r="A193" s="2"/>
      <c r="B193" s="2"/>
      <c r="C193" s="2"/>
      <c r="D193" s="2"/>
      <c r="E193" s="2"/>
      <c r="F193" s="2"/>
      <c r="G193" s="2"/>
    </row>
    <row r="194" spans="1:7" ht="13.2" x14ac:dyDescent="0.25">
      <c r="A194" s="2"/>
      <c r="B194" s="2"/>
      <c r="C194" s="2"/>
      <c r="D194" s="2"/>
      <c r="E194" s="2"/>
      <c r="F194" s="2"/>
      <c r="G194" s="2"/>
    </row>
    <row r="195" spans="1:7" ht="13.2" x14ac:dyDescent="0.25">
      <c r="A195" s="2"/>
      <c r="B195" s="2"/>
      <c r="C195" s="2"/>
      <c r="D195" s="2"/>
      <c r="E195" s="2"/>
      <c r="F195" s="2"/>
      <c r="G195" s="2"/>
    </row>
    <row r="196" spans="1:7" ht="13.2" x14ac:dyDescent="0.25">
      <c r="A196" s="2"/>
      <c r="B196" s="2"/>
      <c r="C196" s="2"/>
      <c r="D196" s="2"/>
      <c r="E196" s="2"/>
      <c r="F196" s="2"/>
      <c r="G196" s="2"/>
    </row>
    <row r="197" spans="1:7" ht="13.2" x14ac:dyDescent="0.25">
      <c r="A197" s="2"/>
      <c r="B197" s="2"/>
      <c r="C197" s="2"/>
      <c r="D197" s="2"/>
      <c r="E197" s="2"/>
      <c r="F197" s="2"/>
      <c r="G197" s="2"/>
    </row>
    <row r="198" spans="1:7" ht="13.2" x14ac:dyDescent="0.25">
      <c r="A198" s="2"/>
      <c r="B198" s="2"/>
      <c r="C198" s="2"/>
      <c r="D198" s="2"/>
      <c r="E198" s="2"/>
      <c r="F198" s="2"/>
      <c r="G198" s="2"/>
    </row>
    <row r="199" spans="1:7" ht="13.2" x14ac:dyDescent="0.25">
      <c r="A199" s="2"/>
      <c r="B199" s="2"/>
      <c r="C199" s="2"/>
      <c r="D199" s="2"/>
      <c r="E199" s="2"/>
      <c r="F199" s="2"/>
      <c r="G199" s="2"/>
    </row>
    <row r="200" spans="1:7" ht="13.2" x14ac:dyDescent="0.25">
      <c r="A200" s="2"/>
      <c r="B200" s="2"/>
      <c r="C200" s="2"/>
      <c r="D200" s="2"/>
      <c r="E200" s="2"/>
      <c r="F200" s="2"/>
      <c r="G200" s="2"/>
    </row>
    <row r="201" spans="1:7" ht="13.2" x14ac:dyDescent="0.25">
      <c r="A201" s="2"/>
      <c r="B201" s="2"/>
      <c r="C201" s="2"/>
      <c r="D201" s="2"/>
      <c r="E201" s="2"/>
      <c r="F201" s="2"/>
      <c r="G201" s="2"/>
    </row>
    <row r="202" spans="1:7" ht="13.2" x14ac:dyDescent="0.25">
      <c r="A202" s="2"/>
      <c r="B202" s="2"/>
      <c r="C202" s="2"/>
      <c r="D202" s="2"/>
      <c r="E202" s="2"/>
      <c r="F202" s="2"/>
      <c r="G202" s="2"/>
    </row>
    <row r="203" spans="1:7" ht="13.2" x14ac:dyDescent="0.25">
      <c r="A203" s="2"/>
      <c r="B203" s="2"/>
      <c r="C203" s="2"/>
      <c r="D203" s="2"/>
      <c r="E203" s="2"/>
      <c r="F203" s="2"/>
      <c r="G203" s="2"/>
    </row>
    <row r="204" spans="1:7" ht="13.2" x14ac:dyDescent="0.25">
      <c r="A204" s="2"/>
      <c r="B204" s="2"/>
      <c r="C204" s="2"/>
      <c r="D204" s="2"/>
      <c r="E204" s="2"/>
      <c r="F204" s="2"/>
      <c r="G204" s="2"/>
    </row>
    <row r="205" spans="1:7" ht="13.2" x14ac:dyDescent="0.25">
      <c r="A205" s="2"/>
      <c r="B205" s="2"/>
      <c r="C205" s="2"/>
      <c r="D205" s="2"/>
      <c r="E205" s="2"/>
      <c r="F205" s="2"/>
      <c r="G205" s="2"/>
    </row>
    <row r="206" spans="1:7" ht="13.2" x14ac:dyDescent="0.25">
      <c r="A206" s="2"/>
      <c r="B206" s="2"/>
      <c r="C206" s="2"/>
      <c r="D206" s="2"/>
      <c r="E206" s="2"/>
      <c r="F206" s="2"/>
      <c r="G206" s="2"/>
    </row>
    <row r="207" spans="1:7" ht="13.2" x14ac:dyDescent="0.25">
      <c r="A207" s="2"/>
      <c r="B207" s="2"/>
      <c r="C207" s="2"/>
      <c r="D207" s="2"/>
      <c r="E207" s="2"/>
      <c r="F207" s="2"/>
      <c r="G207" s="2"/>
    </row>
    <row r="208" spans="1:7" ht="13.2" x14ac:dyDescent="0.25">
      <c r="A208" s="2"/>
      <c r="B208" s="2"/>
      <c r="C208" s="2"/>
      <c r="D208" s="2"/>
      <c r="E208" s="2"/>
      <c r="F208" s="2"/>
      <c r="G208" s="2"/>
    </row>
    <row r="209" spans="1:7" ht="13.2" x14ac:dyDescent="0.25">
      <c r="A209" s="2"/>
      <c r="B209" s="2"/>
      <c r="C209" s="2"/>
      <c r="D209" s="2"/>
      <c r="E209" s="2"/>
      <c r="F209" s="2"/>
      <c r="G209" s="2"/>
    </row>
    <row r="210" spans="1:7" ht="13.2" x14ac:dyDescent="0.25">
      <c r="A210" s="2"/>
      <c r="B210" s="2"/>
      <c r="C210" s="2"/>
      <c r="D210" s="2"/>
      <c r="E210" s="2"/>
      <c r="F210" s="2"/>
      <c r="G210" s="2"/>
    </row>
    <row r="211" spans="1:7" ht="13.2" x14ac:dyDescent="0.25">
      <c r="A211" s="2"/>
      <c r="B211" s="2"/>
      <c r="C211" s="2"/>
      <c r="D211" s="2"/>
      <c r="E211" s="2"/>
      <c r="F211" s="2"/>
      <c r="G211" s="2"/>
    </row>
    <row r="212" spans="1:7" ht="13.2" x14ac:dyDescent="0.25">
      <c r="A212" s="2"/>
      <c r="B212" s="2"/>
      <c r="C212" s="2"/>
      <c r="D212" s="2"/>
      <c r="E212" s="2"/>
      <c r="F212" s="2"/>
      <c r="G212" s="2"/>
    </row>
    <row r="213" spans="1:7" ht="13.2" x14ac:dyDescent="0.25">
      <c r="A213" s="2"/>
      <c r="B213" s="2"/>
      <c r="C213" s="2"/>
      <c r="D213" s="2"/>
      <c r="E213" s="2"/>
      <c r="F213" s="2"/>
      <c r="G213" s="2"/>
    </row>
    <row r="214" spans="1:7" ht="13.2" x14ac:dyDescent="0.25">
      <c r="A214" s="2"/>
      <c r="B214" s="2"/>
      <c r="C214" s="2"/>
      <c r="D214" s="2"/>
      <c r="E214" s="2"/>
      <c r="F214" s="2"/>
      <c r="G214" s="2"/>
    </row>
    <row r="215" spans="1:7" ht="13.2" x14ac:dyDescent="0.25">
      <c r="A215" s="2"/>
      <c r="B215" s="2"/>
      <c r="C215" s="2"/>
      <c r="D215" s="2"/>
      <c r="E215" s="2"/>
      <c r="F215" s="2"/>
      <c r="G215" s="2"/>
    </row>
    <row r="216" spans="1:7" ht="13.2" x14ac:dyDescent="0.25">
      <c r="A216" s="2"/>
      <c r="B216" s="2"/>
      <c r="C216" s="2"/>
      <c r="D216" s="2"/>
      <c r="E216" s="2"/>
      <c r="F216" s="2"/>
      <c r="G216" s="2"/>
    </row>
    <row r="217" spans="1:7" ht="13.2" x14ac:dyDescent="0.25">
      <c r="A217" s="2"/>
      <c r="B217" s="2"/>
      <c r="C217" s="2"/>
      <c r="D217" s="2"/>
      <c r="E217" s="2"/>
      <c r="F217" s="2"/>
      <c r="G217" s="2"/>
    </row>
    <row r="218" spans="1:7" ht="13.2" x14ac:dyDescent="0.25">
      <c r="A218" s="2"/>
      <c r="B218" s="2"/>
      <c r="C218" s="2"/>
      <c r="D218" s="2"/>
      <c r="E218" s="2"/>
      <c r="F218" s="2"/>
      <c r="G218" s="2"/>
    </row>
    <row r="219" spans="1:7" ht="13.2" x14ac:dyDescent="0.25">
      <c r="A219" s="2"/>
      <c r="B219" s="2"/>
      <c r="C219" s="2"/>
      <c r="D219" s="2"/>
      <c r="E219" s="2"/>
      <c r="F219" s="2"/>
      <c r="G219" s="2"/>
    </row>
    <row r="220" spans="1:7" ht="13.2" x14ac:dyDescent="0.25">
      <c r="A220" s="2"/>
      <c r="B220" s="2"/>
      <c r="C220" s="2"/>
      <c r="D220" s="2"/>
      <c r="E220" s="2"/>
      <c r="F220" s="2"/>
      <c r="G220" s="2"/>
    </row>
    <row r="221" spans="1:7" ht="13.2" x14ac:dyDescent="0.25">
      <c r="A221" s="2"/>
      <c r="B221" s="2"/>
      <c r="C221" s="2"/>
      <c r="D221" s="2"/>
      <c r="E221" s="2"/>
      <c r="F221" s="2"/>
      <c r="G221" s="2"/>
    </row>
    <row r="222" spans="1:7" ht="13.2" x14ac:dyDescent="0.25">
      <c r="A222" s="2"/>
      <c r="B222" s="2"/>
      <c r="C222" s="2"/>
      <c r="D222" s="2"/>
      <c r="E222" s="2"/>
      <c r="F222" s="2"/>
      <c r="G222" s="2"/>
    </row>
    <row r="223" spans="1:7" ht="13.2" x14ac:dyDescent="0.25">
      <c r="A223" s="2"/>
      <c r="B223" s="2"/>
      <c r="C223" s="2"/>
      <c r="D223" s="2"/>
      <c r="E223" s="2"/>
      <c r="F223" s="2"/>
      <c r="G223" s="2"/>
    </row>
    <row r="224" spans="1:7" ht="13.2" x14ac:dyDescent="0.25">
      <c r="A224" s="2"/>
      <c r="B224" s="2"/>
      <c r="C224" s="2"/>
      <c r="D224" s="2"/>
      <c r="E224" s="2"/>
      <c r="F224" s="2"/>
      <c r="G224" s="2"/>
    </row>
    <row r="225" spans="1:7" ht="13.2" x14ac:dyDescent="0.25">
      <c r="A225" s="2"/>
      <c r="B225" s="2"/>
      <c r="C225" s="2"/>
      <c r="D225" s="2"/>
      <c r="E225" s="2"/>
      <c r="F225" s="2"/>
      <c r="G225" s="2"/>
    </row>
    <row r="226" spans="1:7" ht="13.2" x14ac:dyDescent="0.25">
      <c r="A226" s="2"/>
      <c r="B226" s="2"/>
      <c r="C226" s="2"/>
      <c r="D226" s="2"/>
      <c r="E226" s="2"/>
      <c r="F226" s="2"/>
      <c r="G226" s="2"/>
    </row>
    <row r="227" spans="1:7" ht="13.2" x14ac:dyDescent="0.25">
      <c r="A227" s="2"/>
      <c r="B227" s="2"/>
      <c r="C227" s="2"/>
      <c r="D227" s="2"/>
      <c r="E227" s="2"/>
      <c r="F227" s="2"/>
      <c r="G227" s="2"/>
    </row>
    <row r="228" spans="1:7" ht="13.2" x14ac:dyDescent="0.25">
      <c r="A228" s="2"/>
      <c r="B228" s="2"/>
      <c r="C228" s="2"/>
      <c r="D228" s="2"/>
      <c r="E228" s="2"/>
      <c r="F228" s="2"/>
      <c r="G228" s="2"/>
    </row>
    <row r="229" spans="1:7" ht="13.2" x14ac:dyDescent="0.25">
      <c r="A229" s="2"/>
      <c r="B229" s="2"/>
      <c r="C229" s="2"/>
      <c r="D229" s="2"/>
      <c r="E229" s="2"/>
      <c r="F229" s="2"/>
      <c r="G229" s="2"/>
    </row>
    <row r="230" spans="1:7" ht="13.2" x14ac:dyDescent="0.25">
      <c r="A230" s="2"/>
      <c r="B230" s="2"/>
      <c r="C230" s="2"/>
      <c r="D230" s="2"/>
      <c r="E230" s="2"/>
      <c r="F230" s="2"/>
      <c r="G230" s="2"/>
    </row>
    <row r="231" spans="1:7" ht="13.2" x14ac:dyDescent="0.25">
      <c r="A231" s="2"/>
      <c r="B231" s="2"/>
      <c r="C231" s="2"/>
      <c r="D231" s="2"/>
      <c r="E231" s="2"/>
      <c r="F231" s="2"/>
      <c r="G231" s="2"/>
    </row>
    <row r="232" spans="1:7" ht="13.2" x14ac:dyDescent="0.25">
      <c r="A232" s="2"/>
      <c r="B232" s="2"/>
      <c r="C232" s="2"/>
      <c r="D232" s="2"/>
      <c r="E232" s="2"/>
      <c r="F232" s="2"/>
      <c r="G232" s="2"/>
    </row>
    <row r="233" spans="1:7" ht="13.2" x14ac:dyDescent="0.25">
      <c r="A233" s="2"/>
      <c r="B233" s="2"/>
      <c r="C233" s="2"/>
      <c r="D233" s="2"/>
      <c r="E233" s="2"/>
      <c r="F233" s="2"/>
      <c r="G233" s="2"/>
    </row>
    <row r="234" spans="1:7" ht="13.2" x14ac:dyDescent="0.25">
      <c r="A234" s="2"/>
      <c r="B234" s="2"/>
      <c r="C234" s="2"/>
      <c r="D234" s="2"/>
      <c r="E234" s="2"/>
      <c r="F234" s="2"/>
      <c r="G234" s="2"/>
    </row>
    <row r="235" spans="1:7" ht="13.2" x14ac:dyDescent="0.25">
      <c r="A235" s="2"/>
      <c r="B235" s="2"/>
      <c r="C235" s="2"/>
      <c r="D235" s="2"/>
      <c r="E235" s="2"/>
      <c r="F235" s="2"/>
      <c r="G235" s="2"/>
    </row>
    <row r="236" spans="1:7" ht="13.2" x14ac:dyDescent="0.25">
      <c r="A236" s="2"/>
      <c r="B236" s="2"/>
      <c r="C236" s="2"/>
      <c r="D236" s="2"/>
      <c r="E236" s="2"/>
      <c r="F236" s="2"/>
      <c r="G236" s="2"/>
    </row>
    <row r="237" spans="1:7" ht="13.2" x14ac:dyDescent="0.25">
      <c r="A237" s="2"/>
      <c r="B237" s="2"/>
      <c r="C237" s="2"/>
      <c r="D237" s="2"/>
      <c r="E237" s="2"/>
      <c r="F237" s="2"/>
      <c r="G237" s="2"/>
    </row>
    <row r="238" spans="1:7" ht="13.2" x14ac:dyDescent="0.25">
      <c r="A238" s="2"/>
      <c r="B238" s="2"/>
      <c r="C238" s="2"/>
      <c r="D238" s="2"/>
      <c r="E238" s="2"/>
      <c r="F238" s="2"/>
      <c r="G238" s="2"/>
    </row>
    <row r="239" spans="1:7" ht="13.2" x14ac:dyDescent="0.25">
      <c r="A239" s="2"/>
      <c r="B239" s="2"/>
      <c r="C239" s="2"/>
      <c r="D239" s="2"/>
      <c r="E239" s="2"/>
      <c r="F239" s="2"/>
      <c r="G239" s="2"/>
    </row>
    <row r="240" spans="1:7" ht="13.2" x14ac:dyDescent="0.25">
      <c r="A240" s="2"/>
      <c r="B240" s="2"/>
      <c r="C240" s="2"/>
      <c r="D240" s="2"/>
      <c r="E240" s="2"/>
      <c r="F240" s="2"/>
      <c r="G240" s="2"/>
    </row>
    <row r="241" spans="1:7" ht="13.2" x14ac:dyDescent="0.25">
      <c r="A241" s="2"/>
      <c r="B241" s="2"/>
      <c r="C241" s="2"/>
      <c r="D241" s="2"/>
      <c r="E241" s="2"/>
      <c r="F241" s="2"/>
      <c r="G241" s="2"/>
    </row>
    <row r="242" spans="1:7" ht="13.2" x14ac:dyDescent="0.25">
      <c r="A242" s="2"/>
      <c r="B242" s="2"/>
      <c r="C242" s="2"/>
      <c r="D242" s="2"/>
      <c r="E242" s="2"/>
      <c r="F242" s="2"/>
      <c r="G242" s="2"/>
    </row>
    <row r="243" spans="1:7" ht="13.2" x14ac:dyDescent="0.25">
      <c r="A243" s="2"/>
      <c r="B243" s="2"/>
      <c r="C243" s="2"/>
      <c r="D243" s="2"/>
      <c r="E243" s="2"/>
      <c r="F243" s="2"/>
      <c r="G243" s="2"/>
    </row>
    <row r="244" spans="1:7" ht="13.2" x14ac:dyDescent="0.25">
      <c r="A244" s="2"/>
      <c r="B244" s="2"/>
      <c r="C244" s="2"/>
      <c r="D244" s="2"/>
      <c r="E244" s="2"/>
      <c r="F244" s="2"/>
      <c r="G244" s="2"/>
    </row>
    <row r="245" spans="1:7" ht="13.2" x14ac:dyDescent="0.25">
      <c r="A245" s="2"/>
      <c r="B245" s="2"/>
      <c r="C245" s="2"/>
      <c r="D245" s="2"/>
      <c r="E245" s="2"/>
      <c r="F245" s="2"/>
      <c r="G245" s="2"/>
    </row>
    <row r="246" spans="1:7" ht="13.2" x14ac:dyDescent="0.25">
      <c r="A246" s="2"/>
      <c r="B246" s="2"/>
      <c r="C246" s="2"/>
      <c r="D246" s="2"/>
      <c r="E246" s="2"/>
      <c r="F246" s="2"/>
      <c r="G246" s="2"/>
    </row>
    <row r="247" spans="1:7" ht="13.2" x14ac:dyDescent="0.25">
      <c r="A247" s="2"/>
      <c r="B247" s="2"/>
      <c r="C247" s="2"/>
      <c r="D247" s="2"/>
      <c r="E247" s="2"/>
      <c r="F247" s="2"/>
      <c r="G247" s="2"/>
    </row>
    <row r="248" spans="1:7" ht="13.2" x14ac:dyDescent="0.25">
      <c r="A248" s="2"/>
      <c r="B248" s="2"/>
      <c r="C248" s="2"/>
      <c r="D248" s="2"/>
      <c r="E248" s="2"/>
      <c r="F248" s="2"/>
      <c r="G248" s="2"/>
    </row>
    <row r="249" spans="1:7" ht="13.2" x14ac:dyDescent="0.25">
      <c r="A249" s="2"/>
      <c r="B249" s="2"/>
      <c r="C249" s="2"/>
      <c r="D249" s="2"/>
      <c r="E249" s="2"/>
      <c r="F249" s="2"/>
      <c r="G249" s="2"/>
    </row>
    <row r="250" spans="1:7" ht="13.2" x14ac:dyDescent="0.25">
      <c r="A250" s="2"/>
      <c r="B250" s="2"/>
      <c r="C250" s="2"/>
      <c r="D250" s="2"/>
      <c r="E250" s="2"/>
      <c r="F250" s="2"/>
      <c r="G250" s="2"/>
    </row>
    <row r="251" spans="1:7" ht="13.2" x14ac:dyDescent="0.25">
      <c r="A251" s="2"/>
      <c r="B251" s="2"/>
      <c r="C251" s="2"/>
      <c r="D251" s="2"/>
      <c r="E251" s="2"/>
      <c r="F251" s="2"/>
      <c r="G251" s="2"/>
    </row>
    <row r="252" spans="1:7" ht="13.2" x14ac:dyDescent="0.25">
      <c r="A252" s="2"/>
      <c r="B252" s="2"/>
      <c r="C252" s="2"/>
      <c r="D252" s="2"/>
      <c r="E252" s="2"/>
      <c r="F252" s="2"/>
      <c r="G252" s="2"/>
    </row>
    <row r="253" spans="1:7" ht="13.2" x14ac:dyDescent="0.25">
      <c r="A253" s="2"/>
      <c r="B253" s="2"/>
      <c r="C253" s="2"/>
      <c r="D253" s="2"/>
      <c r="E253" s="2"/>
      <c r="F253" s="2"/>
      <c r="G253" s="2"/>
    </row>
    <row r="254" spans="1:7" ht="13.2" x14ac:dyDescent="0.25">
      <c r="A254" s="2"/>
      <c r="B254" s="2"/>
      <c r="C254" s="2"/>
      <c r="D254" s="2"/>
      <c r="E254" s="2"/>
      <c r="F254" s="2"/>
      <c r="G254" s="2"/>
    </row>
    <row r="255" spans="1:7" ht="13.2" x14ac:dyDescent="0.25">
      <c r="A255" s="2"/>
      <c r="B255" s="2"/>
      <c r="C255" s="2"/>
      <c r="D255" s="2"/>
      <c r="E255" s="2"/>
      <c r="F255" s="2"/>
      <c r="G255" s="2"/>
    </row>
    <row r="256" spans="1:7" ht="13.2" x14ac:dyDescent="0.25">
      <c r="A256" s="2"/>
      <c r="B256" s="2"/>
      <c r="C256" s="2"/>
      <c r="D256" s="2"/>
      <c r="E256" s="2"/>
      <c r="F256" s="2"/>
      <c r="G256" s="2"/>
    </row>
    <row r="257" spans="1:7" ht="13.2" x14ac:dyDescent="0.25">
      <c r="A257" s="2"/>
      <c r="B257" s="2"/>
      <c r="C257" s="2"/>
      <c r="D257" s="2"/>
      <c r="E257" s="2"/>
      <c r="F257" s="2"/>
      <c r="G257" s="2"/>
    </row>
    <row r="258" spans="1:7" ht="13.2" x14ac:dyDescent="0.25">
      <c r="A258" s="2"/>
      <c r="B258" s="2"/>
      <c r="C258" s="2"/>
      <c r="D258" s="2"/>
      <c r="E258" s="2"/>
      <c r="F258" s="2"/>
      <c r="G258" s="2"/>
    </row>
    <row r="259" spans="1:7" ht="13.2" x14ac:dyDescent="0.25">
      <c r="A259" s="2"/>
      <c r="B259" s="2"/>
      <c r="C259" s="2"/>
      <c r="D259" s="2"/>
      <c r="E259" s="2"/>
      <c r="F259" s="2"/>
      <c r="G259" s="2"/>
    </row>
    <row r="260" spans="1:7" ht="13.2" x14ac:dyDescent="0.25">
      <c r="A260" s="2"/>
      <c r="B260" s="2"/>
      <c r="C260" s="2"/>
      <c r="D260" s="2"/>
      <c r="E260" s="2"/>
      <c r="F260" s="2"/>
      <c r="G260" s="2"/>
    </row>
    <row r="261" spans="1:7" ht="13.2" x14ac:dyDescent="0.25">
      <c r="A261" s="2"/>
      <c r="B261" s="2"/>
      <c r="C261" s="2"/>
      <c r="D261" s="2"/>
      <c r="E261" s="2"/>
      <c r="F261" s="2"/>
      <c r="G261" s="2"/>
    </row>
    <row r="262" spans="1:7" ht="13.2" x14ac:dyDescent="0.25">
      <c r="A262" s="2"/>
      <c r="B262" s="2"/>
      <c r="C262" s="2"/>
      <c r="D262" s="2"/>
      <c r="E262" s="2"/>
      <c r="F262" s="2"/>
      <c r="G262" s="2"/>
    </row>
    <row r="263" spans="1:7" ht="13.2" x14ac:dyDescent="0.25">
      <c r="A263" s="2"/>
      <c r="B263" s="2"/>
      <c r="C263" s="2"/>
      <c r="D263" s="2"/>
      <c r="E263" s="2"/>
      <c r="F263" s="2"/>
      <c r="G263" s="2"/>
    </row>
    <row r="264" spans="1:7" ht="13.2" x14ac:dyDescent="0.25">
      <c r="A264" s="2"/>
      <c r="B264" s="2"/>
      <c r="C264" s="2"/>
      <c r="D264" s="2"/>
      <c r="E264" s="2"/>
      <c r="F264" s="2"/>
      <c r="G264" s="2"/>
    </row>
    <row r="265" spans="1:7" ht="13.2" x14ac:dyDescent="0.25">
      <c r="A265" s="2"/>
      <c r="B265" s="2"/>
      <c r="C265" s="2"/>
      <c r="D265" s="2"/>
      <c r="E265" s="2"/>
      <c r="F265" s="2"/>
      <c r="G265" s="2"/>
    </row>
    <row r="266" spans="1:7" ht="13.2" x14ac:dyDescent="0.25">
      <c r="A266" s="2"/>
      <c r="B266" s="2"/>
      <c r="C266" s="2"/>
      <c r="D266" s="2"/>
      <c r="E266" s="2"/>
      <c r="F266" s="2"/>
      <c r="G266" s="2"/>
    </row>
    <row r="267" spans="1:7" ht="13.2" x14ac:dyDescent="0.25">
      <c r="A267" s="2"/>
      <c r="B267" s="2"/>
      <c r="C267" s="2"/>
      <c r="D267" s="2"/>
      <c r="E267" s="2"/>
      <c r="F267" s="2"/>
      <c r="G267" s="2"/>
    </row>
    <row r="268" spans="1:7" ht="13.2" x14ac:dyDescent="0.25">
      <c r="A268" s="2"/>
      <c r="B268" s="2"/>
      <c r="C268" s="2"/>
      <c r="D268" s="2"/>
      <c r="E268" s="2"/>
      <c r="F268" s="2"/>
      <c r="G268" s="2"/>
    </row>
    <row r="269" spans="1:7" ht="13.2" x14ac:dyDescent="0.25">
      <c r="A269" s="2"/>
      <c r="B269" s="2"/>
      <c r="C269" s="2"/>
      <c r="D269" s="2"/>
      <c r="E269" s="2"/>
      <c r="F269" s="2"/>
      <c r="G269" s="2"/>
    </row>
    <row r="270" spans="1:7" ht="13.2" x14ac:dyDescent="0.25">
      <c r="A270" s="2"/>
      <c r="B270" s="2"/>
      <c r="C270" s="2"/>
      <c r="D270" s="2"/>
      <c r="E270" s="2"/>
      <c r="F270" s="2"/>
      <c r="G270" s="2"/>
    </row>
    <row r="271" spans="1:7" ht="13.2" x14ac:dyDescent="0.25">
      <c r="A271" s="2"/>
      <c r="B271" s="2"/>
      <c r="C271" s="2"/>
      <c r="D271" s="2"/>
      <c r="E271" s="2"/>
      <c r="F271" s="2"/>
      <c r="G271" s="2"/>
    </row>
    <row r="272" spans="1:7" ht="13.2" x14ac:dyDescent="0.25">
      <c r="A272" s="2"/>
      <c r="B272" s="2"/>
      <c r="C272" s="2"/>
      <c r="D272" s="2"/>
      <c r="E272" s="2"/>
      <c r="F272" s="2"/>
      <c r="G272" s="2"/>
    </row>
    <row r="273" spans="1:7" ht="13.2" x14ac:dyDescent="0.25">
      <c r="A273" s="2"/>
      <c r="B273" s="2"/>
      <c r="C273" s="2"/>
      <c r="D273" s="2"/>
      <c r="E273" s="2"/>
      <c r="F273" s="2"/>
      <c r="G273" s="2"/>
    </row>
    <row r="274" spans="1:7" ht="13.2" x14ac:dyDescent="0.25">
      <c r="A274" s="2"/>
      <c r="B274" s="2"/>
      <c r="C274" s="2"/>
      <c r="D274" s="2"/>
      <c r="E274" s="2"/>
      <c r="F274" s="2"/>
      <c r="G274" s="2"/>
    </row>
    <row r="275" spans="1:7" ht="13.2" x14ac:dyDescent="0.25">
      <c r="A275" s="2"/>
      <c r="B275" s="2"/>
      <c r="C275" s="2"/>
      <c r="D275" s="2"/>
      <c r="E275" s="2"/>
      <c r="F275" s="2"/>
      <c r="G275" s="2"/>
    </row>
    <row r="276" spans="1:7" ht="13.2" x14ac:dyDescent="0.25">
      <c r="A276" s="2"/>
      <c r="B276" s="2"/>
      <c r="C276" s="2"/>
      <c r="D276" s="2"/>
      <c r="E276" s="2"/>
      <c r="F276" s="2"/>
      <c r="G276" s="2"/>
    </row>
    <row r="277" spans="1:7" ht="13.2" x14ac:dyDescent="0.25">
      <c r="A277" s="2"/>
      <c r="B277" s="2"/>
      <c r="C277" s="2"/>
      <c r="D277" s="2"/>
      <c r="E277" s="2"/>
      <c r="F277" s="2"/>
      <c r="G277" s="2"/>
    </row>
    <row r="278" spans="1:7" ht="13.2" x14ac:dyDescent="0.25">
      <c r="A278" s="2"/>
      <c r="B278" s="2"/>
      <c r="C278" s="2"/>
      <c r="D278" s="2"/>
      <c r="E278" s="2"/>
      <c r="F278" s="2"/>
      <c r="G278" s="2"/>
    </row>
    <row r="279" spans="1:7" ht="13.2" x14ac:dyDescent="0.25">
      <c r="A279" s="2"/>
      <c r="B279" s="2"/>
      <c r="C279" s="2"/>
      <c r="D279" s="2"/>
      <c r="E279" s="2"/>
      <c r="F279" s="2"/>
      <c r="G279" s="2"/>
    </row>
    <row r="280" spans="1:7" ht="13.2" x14ac:dyDescent="0.25">
      <c r="A280" s="2"/>
      <c r="B280" s="2"/>
      <c r="C280" s="2"/>
      <c r="D280" s="2"/>
      <c r="E280" s="2"/>
      <c r="F280" s="2"/>
      <c r="G280" s="2"/>
    </row>
    <row r="281" spans="1:7" ht="13.2" x14ac:dyDescent="0.25">
      <c r="A281" s="2"/>
      <c r="B281" s="2"/>
      <c r="C281" s="2"/>
      <c r="D281" s="2"/>
      <c r="E281" s="2"/>
      <c r="F281" s="2"/>
      <c r="G281" s="2"/>
    </row>
    <row r="282" spans="1:7" ht="13.2" x14ac:dyDescent="0.25">
      <c r="A282" s="2"/>
      <c r="B282" s="2"/>
      <c r="C282" s="2"/>
      <c r="D282" s="2"/>
      <c r="E282" s="2"/>
      <c r="F282" s="2"/>
      <c r="G282" s="2"/>
    </row>
    <row r="283" spans="1:7" ht="13.2" x14ac:dyDescent="0.25">
      <c r="A283" s="2"/>
      <c r="B283" s="2"/>
      <c r="C283" s="2"/>
      <c r="D283" s="2"/>
      <c r="E283" s="2"/>
      <c r="F283" s="2"/>
      <c r="G283" s="2"/>
    </row>
    <row r="284" spans="1:7" ht="13.2" x14ac:dyDescent="0.25">
      <c r="A284" s="2"/>
      <c r="B284" s="2"/>
      <c r="C284" s="2"/>
      <c r="D284" s="2"/>
      <c r="E284" s="2"/>
      <c r="F284" s="2"/>
      <c r="G284" s="2"/>
    </row>
    <row r="285" spans="1:7" ht="13.2" x14ac:dyDescent="0.25">
      <c r="A285" s="2"/>
      <c r="B285" s="2"/>
      <c r="C285" s="2"/>
      <c r="D285" s="2"/>
      <c r="E285" s="2"/>
      <c r="F285" s="2"/>
      <c r="G285" s="2"/>
    </row>
    <row r="286" spans="1:7" ht="13.2" x14ac:dyDescent="0.25">
      <c r="A286" s="2"/>
      <c r="B286" s="2"/>
      <c r="C286" s="2"/>
      <c r="D286" s="2"/>
      <c r="E286" s="2"/>
      <c r="F286" s="2"/>
      <c r="G286" s="2"/>
    </row>
    <row r="287" spans="1:7" ht="13.2" x14ac:dyDescent="0.25">
      <c r="A287" s="2"/>
      <c r="B287" s="2"/>
      <c r="C287" s="2"/>
      <c r="D287" s="2"/>
      <c r="E287" s="2"/>
      <c r="F287" s="2"/>
      <c r="G287" s="2"/>
    </row>
    <row r="288" spans="1:7" ht="13.2" x14ac:dyDescent="0.25">
      <c r="A288" s="2"/>
      <c r="B288" s="2"/>
      <c r="C288" s="2"/>
      <c r="D288" s="2"/>
      <c r="E288" s="2"/>
      <c r="F288" s="2"/>
      <c r="G288" s="2"/>
    </row>
    <row r="289" spans="1:7" ht="13.2" x14ac:dyDescent="0.25">
      <c r="A289" s="2"/>
      <c r="B289" s="2"/>
      <c r="C289" s="2"/>
      <c r="D289" s="2"/>
      <c r="E289" s="2"/>
      <c r="F289" s="2"/>
      <c r="G289" s="2"/>
    </row>
    <row r="290" spans="1:7" ht="13.2" x14ac:dyDescent="0.25">
      <c r="A290" s="2"/>
      <c r="B290" s="2"/>
      <c r="C290" s="2"/>
      <c r="D290" s="2"/>
      <c r="E290" s="2"/>
      <c r="F290" s="2"/>
      <c r="G290" s="2"/>
    </row>
    <row r="291" spans="1:7" ht="13.2" x14ac:dyDescent="0.25">
      <c r="A291" s="2"/>
      <c r="B291" s="2"/>
      <c r="C291" s="2"/>
      <c r="D291" s="2"/>
      <c r="E291" s="2"/>
      <c r="F291" s="2"/>
      <c r="G291" s="2"/>
    </row>
    <row r="292" spans="1:7" ht="13.2" x14ac:dyDescent="0.25">
      <c r="A292" s="2"/>
      <c r="B292" s="2"/>
      <c r="C292" s="2"/>
      <c r="D292" s="2"/>
      <c r="E292" s="2"/>
      <c r="F292" s="2"/>
      <c r="G292" s="2"/>
    </row>
    <row r="293" spans="1:7" ht="13.2" x14ac:dyDescent="0.25">
      <c r="A293" s="2"/>
      <c r="B293" s="2"/>
      <c r="C293" s="2"/>
      <c r="D293" s="2"/>
      <c r="E293" s="2"/>
      <c r="F293" s="2"/>
      <c r="G293" s="2"/>
    </row>
    <row r="294" spans="1:7" ht="13.2" x14ac:dyDescent="0.25">
      <c r="A294" s="2"/>
      <c r="B294" s="2"/>
      <c r="C294" s="2"/>
      <c r="D294" s="2"/>
      <c r="E294" s="2"/>
      <c r="F294" s="2"/>
      <c r="G294" s="2"/>
    </row>
    <row r="295" spans="1:7" ht="13.2" x14ac:dyDescent="0.25">
      <c r="A295" s="2"/>
      <c r="B295" s="2"/>
      <c r="C295" s="2"/>
      <c r="D295" s="2"/>
      <c r="E295" s="2"/>
      <c r="F295" s="2"/>
      <c r="G295" s="2"/>
    </row>
    <row r="296" spans="1:7" ht="13.2" x14ac:dyDescent="0.25">
      <c r="A296" s="2"/>
      <c r="B296" s="2"/>
      <c r="C296" s="2"/>
      <c r="D296" s="2"/>
      <c r="E296" s="2"/>
      <c r="F296" s="2"/>
      <c r="G296" s="2"/>
    </row>
    <row r="297" spans="1:7" ht="13.2" x14ac:dyDescent="0.25">
      <c r="A297" s="2"/>
      <c r="B297" s="2"/>
      <c r="C297" s="2"/>
      <c r="D297" s="2"/>
      <c r="E297" s="2"/>
      <c r="F297" s="2"/>
      <c r="G297" s="2"/>
    </row>
    <row r="298" spans="1:7" ht="13.2" x14ac:dyDescent="0.25">
      <c r="A298" s="2"/>
      <c r="B298" s="2"/>
      <c r="C298" s="2"/>
      <c r="D298" s="2"/>
      <c r="E298" s="2"/>
      <c r="F298" s="2"/>
      <c r="G298" s="2"/>
    </row>
    <row r="299" spans="1:7" ht="13.2" x14ac:dyDescent="0.25">
      <c r="A299" s="2"/>
      <c r="B299" s="2"/>
      <c r="C299" s="2"/>
      <c r="D299" s="2"/>
      <c r="E299" s="2"/>
      <c r="F299" s="2"/>
      <c r="G299" s="2"/>
    </row>
    <row r="300" spans="1:7" ht="13.2" x14ac:dyDescent="0.25">
      <c r="A300" s="2"/>
      <c r="B300" s="2"/>
      <c r="C300" s="2"/>
      <c r="D300" s="2"/>
      <c r="E300" s="2"/>
      <c r="F300" s="2"/>
      <c r="G300" s="2"/>
    </row>
    <row r="301" spans="1:7" ht="13.2" x14ac:dyDescent="0.25">
      <c r="A301" s="2"/>
      <c r="B301" s="2"/>
      <c r="C301" s="2"/>
      <c r="D301" s="2"/>
      <c r="E301" s="2"/>
      <c r="F301" s="2"/>
      <c r="G301" s="2"/>
    </row>
    <row r="302" spans="1:7" ht="13.2" x14ac:dyDescent="0.25">
      <c r="A302" s="2"/>
      <c r="B302" s="2"/>
      <c r="C302" s="2"/>
      <c r="D302" s="2"/>
      <c r="E302" s="2"/>
      <c r="F302" s="2"/>
      <c r="G302" s="2"/>
    </row>
    <row r="303" spans="1:7" ht="13.2" x14ac:dyDescent="0.25">
      <c r="A303" s="2"/>
      <c r="B303" s="2"/>
      <c r="C303" s="2"/>
      <c r="D303" s="2"/>
      <c r="E303" s="2"/>
      <c r="F303" s="2"/>
      <c r="G303" s="2"/>
    </row>
    <row r="304" spans="1:7" ht="13.2" x14ac:dyDescent="0.25">
      <c r="A304" s="2"/>
      <c r="B304" s="2"/>
      <c r="C304" s="2"/>
      <c r="D304" s="2"/>
      <c r="E304" s="2"/>
      <c r="F304" s="2"/>
      <c r="G304" s="2"/>
    </row>
    <row r="305" spans="1:7" ht="13.2" x14ac:dyDescent="0.25">
      <c r="A305" s="2"/>
      <c r="B305" s="2"/>
      <c r="C305" s="2"/>
      <c r="D305" s="2"/>
      <c r="E305" s="2"/>
      <c r="F305" s="2"/>
      <c r="G305" s="2"/>
    </row>
    <row r="306" spans="1:7" ht="13.2" x14ac:dyDescent="0.25">
      <c r="A306" s="2"/>
      <c r="B306" s="2"/>
      <c r="C306" s="2"/>
      <c r="D306" s="2"/>
      <c r="E306" s="2"/>
      <c r="F306" s="2"/>
      <c r="G306" s="2"/>
    </row>
    <row r="307" spans="1:7" ht="13.2" x14ac:dyDescent="0.25">
      <c r="A307" s="2"/>
      <c r="B307" s="2"/>
      <c r="C307" s="2"/>
      <c r="D307" s="2"/>
      <c r="E307" s="2"/>
      <c r="F307" s="2"/>
      <c r="G307" s="2"/>
    </row>
    <row r="308" spans="1:7" ht="13.2" x14ac:dyDescent="0.25">
      <c r="A308" s="2"/>
      <c r="B308" s="2"/>
      <c r="C308" s="2"/>
      <c r="D308" s="2"/>
      <c r="E308" s="2"/>
      <c r="F308" s="2"/>
      <c r="G308" s="2"/>
    </row>
    <row r="309" spans="1:7" ht="13.2" x14ac:dyDescent="0.25">
      <c r="A309" s="2"/>
      <c r="B309" s="2"/>
      <c r="C309" s="2"/>
      <c r="D309" s="2"/>
      <c r="E309" s="2"/>
      <c r="F309" s="2"/>
      <c r="G309" s="2"/>
    </row>
    <row r="310" spans="1:7" ht="13.2" x14ac:dyDescent="0.25">
      <c r="A310" s="2"/>
      <c r="B310" s="2"/>
      <c r="C310" s="2"/>
      <c r="D310" s="2"/>
      <c r="E310" s="2"/>
      <c r="F310" s="2"/>
      <c r="G310" s="2"/>
    </row>
    <row r="311" spans="1:7" ht="13.2" x14ac:dyDescent="0.25">
      <c r="A311" s="2"/>
      <c r="B311" s="2"/>
      <c r="C311" s="2"/>
      <c r="D311" s="2"/>
      <c r="E311" s="2"/>
      <c r="F311" s="2"/>
      <c r="G311" s="2"/>
    </row>
    <row r="312" spans="1:7" ht="13.2" x14ac:dyDescent="0.25">
      <c r="A312" s="2"/>
      <c r="B312" s="2"/>
      <c r="C312" s="2"/>
      <c r="D312" s="2"/>
      <c r="E312" s="2"/>
      <c r="F312" s="2"/>
      <c r="G312" s="2"/>
    </row>
    <row r="313" spans="1:7" ht="13.2" x14ac:dyDescent="0.25">
      <c r="A313" s="2"/>
      <c r="B313" s="2"/>
      <c r="C313" s="2"/>
      <c r="D313" s="2"/>
      <c r="E313" s="2"/>
      <c r="F313" s="2"/>
      <c r="G313" s="2"/>
    </row>
    <row r="314" spans="1:7" ht="13.2" x14ac:dyDescent="0.25">
      <c r="A314" s="2"/>
      <c r="B314" s="2"/>
      <c r="C314" s="2"/>
      <c r="D314" s="2"/>
      <c r="E314" s="2"/>
      <c r="F314" s="2"/>
      <c r="G314" s="2"/>
    </row>
    <row r="315" spans="1:7" ht="13.2" x14ac:dyDescent="0.25">
      <c r="A315" s="2"/>
      <c r="B315" s="2"/>
      <c r="C315" s="2"/>
      <c r="D315" s="2"/>
      <c r="E315" s="2"/>
      <c r="F315" s="2"/>
      <c r="G315" s="2"/>
    </row>
    <row r="316" spans="1:7" ht="13.2" x14ac:dyDescent="0.25">
      <c r="A316" s="2"/>
      <c r="B316" s="2"/>
      <c r="C316" s="2"/>
      <c r="D316" s="2"/>
      <c r="E316" s="2"/>
      <c r="F316" s="2"/>
      <c r="G316" s="2"/>
    </row>
    <row r="317" spans="1:7" ht="13.2" x14ac:dyDescent="0.25">
      <c r="A317" s="2"/>
      <c r="B317" s="2"/>
      <c r="C317" s="2"/>
      <c r="D317" s="2"/>
      <c r="E317" s="2"/>
      <c r="F317" s="2"/>
      <c r="G317" s="2"/>
    </row>
    <row r="318" spans="1:7" ht="13.2" x14ac:dyDescent="0.25">
      <c r="A318" s="2"/>
      <c r="B318" s="2"/>
      <c r="C318" s="2"/>
      <c r="D318" s="2"/>
      <c r="E318" s="2"/>
      <c r="F318" s="2"/>
      <c r="G318" s="2"/>
    </row>
    <row r="319" spans="1:7" ht="13.2" x14ac:dyDescent="0.25">
      <c r="A319" s="2"/>
      <c r="B319" s="2"/>
      <c r="C319" s="2"/>
      <c r="D319" s="2"/>
      <c r="E319" s="2"/>
      <c r="F319" s="2"/>
      <c r="G319" s="2"/>
    </row>
    <row r="320" spans="1:7" ht="13.2" x14ac:dyDescent="0.25">
      <c r="A320" s="2"/>
      <c r="B320" s="2"/>
      <c r="C320" s="2"/>
      <c r="D320" s="2"/>
      <c r="E320" s="2"/>
      <c r="F320" s="2"/>
      <c r="G320" s="2"/>
    </row>
    <row r="321" spans="1:7" ht="13.2" x14ac:dyDescent="0.25">
      <c r="A321" s="2"/>
      <c r="B321" s="2"/>
      <c r="C321" s="2"/>
      <c r="D321" s="2"/>
      <c r="E321" s="2"/>
      <c r="F321" s="2"/>
      <c r="G321" s="2"/>
    </row>
    <row r="322" spans="1:7" ht="13.2" x14ac:dyDescent="0.25">
      <c r="A322" s="2"/>
      <c r="B322" s="2"/>
      <c r="C322" s="2"/>
      <c r="D322" s="2"/>
      <c r="E322" s="2"/>
      <c r="F322" s="2"/>
      <c r="G322" s="2"/>
    </row>
    <row r="323" spans="1:7" ht="13.2" x14ac:dyDescent="0.25">
      <c r="A323" s="2"/>
      <c r="B323" s="2"/>
      <c r="C323" s="2"/>
      <c r="D323" s="2"/>
      <c r="E323" s="2"/>
      <c r="F323" s="2"/>
      <c r="G323" s="2"/>
    </row>
    <row r="324" spans="1:7" ht="13.2" x14ac:dyDescent="0.25">
      <c r="A324" s="2"/>
      <c r="B324" s="2"/>
      <c r="C324" s="2"/>
      <c r="D324" s="2"/>
      <c r="E324" s="2"/>
      <c r="F324" s="2"/>
      <c r="G324" s="2"/>
    </row>
    <row r="325" spans="1:7" ht="13.2" x14ac:dyDescent="0.25">
      <c r="A325" s="2"/>
      <c r="B325" s="2"/>
      <c r="C325" s="2"/>
      <c r="D325" s="2"/>
      <c r="E325" s="2"/>
      <c r="F325" s="2"/>
      <c r="G325" s="2"/>
    </row>
    <row r="326" spans="1:7" ht="13.2" x14ac:dyDescent="0.25">
      <c r="A326" s="2"/>
      <c r="B326" s="2"/>
      <c r="C326" s="2"/>
      <c r="D326" s="2"/>
      <c r="E326" s="2"/>
      <c r="F326" s="2"/>
      <c r="G326" s="2"/>
    </row>
    <row r="327" spans="1:7" ht="13.2" x14ac:dyDescent="0.25">
      <c r="A327" s="2"/>
      <c r="B327" s="2"/>
      <c r="C327" s="2"/>
      <c r="D327" s="2"/>
      <c r="E327" s="2"/>
      <c r="F327" s="2"/>
      <c r="G327" s="2"/>
    </row>
    <row r="328" spans="1:7" ht="13.2" x14ac:dyDescent="0.25">
      <c r="A328" s="2"/>
      <c r="B328" s="2"/>
      <c r="C328" s="2"/>
      <c r="D328" s="2"/>
      <c r="E328" s="2"/>
      <c r="F328" s="2"/>
      <c r="G328" s="2"/>
    </row>
    <row r="329" spans="1:7" ht="13.2" x14ac:dyDescent="0.25">
      <c r="A329" s="2"/>
      <c r="B329" s="2"/>
      <c r="C329" s="2"/>
      <c r="D329" s="2"/>
      <c r="E329" s="2"/>
      <c r="F329" s="2"/>
      <c r="G329" s="2"/>
    </row>
    <row r="330" spans="1:7" ht="13.2" x14ac:dyDescent="0.25">
      <c r="A330" s="2"/>
      <c r="B330" s="2"/>
      <c r="C330" s="2"/>
      <c r="D330" s="2"/>
      <c r="E330" s="2"/>
      <c r="F330" s="2"/>
      <c r="G330" s="2"/>
    </row>
    <row r="331" spans="1:7" ht="13.2" x14ac:dyDescent="0.25">
      <c r="A331" s="2"/>
      <c r="B331" s="2"/>
      <c r="C331" s="2"/>
      <c r="D331" s="2"/>
      <c r="E331" s="2"/>
      <c r="F331" s="2"/>
      <c r="G331" s="2"/>
    </row>
    <row r="332" spans="1:7" ht="13.2" x14ac:dyDescent="0.25">
      <c r="A332" s="2"/>
      <c r="B332" s="2"/>
      <c r="C332" s="2"/>
      <c r="D332" s="2"/>
      <c r="E332" s="2"/>
      <c r="F332" s="2"/>
      <c r="G332" s="2"/>
    </row>
    <row r="333" spans="1:7" ht="13.2" x14ac:dyDescent="0.25">
      <c r="A333" s="2"/>
      <c r="B333" s="2"/>
      <c r="C333" s="2"/>
      <c r="D333" s="2"/>
      <c r="E333" s="2"/>
      <c r="F333" s="2"/>
      <c r="G333" s="2"/>
    </row>
    <row r="334" spans="1:7" ht="13.2" x14ac:dyDescent="0.25">
      <c r="A334" s="2"/>
      <c r="B334" s="2"/>
      <c r="C334" s="2"/>
      <c r="D334" s="2"/>
      <c r="E334" s="2"/>
      <c r="F334" s="2"/>
      <c r="G334" s="2"/>
    </row>
    <row r="335" spans="1:7" ht="13.2" x14ac:dyDescent="0.25">
      <c r="A335" s="2"/>
      <c r="B335" s="2"/>
      <c r="C335" s="2"/>
      <c r="D335" s="2"/>
      <c r="E335" s="2"/>
      <c r="F335" s="2"/>
      <c r="G335" s="2"/>
    </row>
    <row r="336" spans="1:7" ht="13.2" x14ac:dyDescent="0.25">
      <c r="A336" s="2"/>
      <c r="B336" s="2"/>
      <c r="C336" s="2"/>
      <c r="D336" s="2"/>
      <c r="E336" s="2"/>
      <c r="F336" s="2"/>
      <c r="G336" s="2"/>
    </row>
    <row r="337" spans="1:7" ht="13.2" x14ac:dyDescent="0.25">
      <c r="A337" s="2"/>
      <c r="B337" s="2"/>
      <c r="C337" s="2"/>
      <c r="D337" s="2"/>
      <c r="E337" s="2"/>
      <c r="F337" s="2"/>
      <c r="G337" s="2"/>
    </row>
    <row r="338" spans="1:7" ht="13.2" x14ac:dyDescent="0.25">
      <c r="A338" s="2"/>
      <c r="B338" s="2"/>
      <c r="C338" s="2"/>
      <c r="D338" s="2"/>
      <c r="E338" s="2"/>
      <c r="F338" s="2"/>
      <c r="G338" s="2"/>
    </row>
    <row r="339" spans="1:7" ht="13.2" x14ac:dyDescent="0.25">
      <c r="A339" s="2"/>
      <c r="B339" s="2"/>
      <c r="C339" s="2"/>
      <c r="D339" s="2"/>
      <c r="E339" s="2"/>
      <c r="F339" s="2"/>
      <c r="G339" s="2"/>
    </row>
    <row r="340" spans="1:7" ht="13.2" x14ac:dyDescent="0.25">
      <c r="A340" s="2"/>
      <c r="B340" s="2"/>
      <c r="C340" s="2"/>
      <c r="D340" s="2"/>
      <c r="E340" s="2"/>
      <c r="F340" s="2"/>
      <c r="G340" s="2"/>
    </row>
    <row r="341" spans="1:7" ht="13.2" x14ac:dyDescent="0.25">
      <c r="A341" s="2"/>
      <c r="B341" s="2"/>
      <c r="C341" s="2"/>
      <c r="D341" s="2"/>
      <c r="E341" s="2"/>
      <c r="F341" s="2"/>
      <c r="G341" s="2"/>
    </row>
    <row r="342" spans="1:7" ht="13.2" x14ac:dyDescent="0.25">
      <c r="A342" s="2"/>
      <c r="B342" s="2"/>
      <c r="C342" s="2"/>
      <c r="D342" s="2"/>
      <c r="E342" s="2"/>
      <c r="F342" s="2"/>
      <c r="G342" s="2"/>
    </row>
    <row r="343" spans="1:7" ht="13.2" x14ac:dyDescent="0.25">
      <c r="A343" s="2"/>
      <c r="B343" s="2"/>
      <c r="C343" s="2"/>
      <c r="D343" s="2"/>
      <c r="E343" s="2"/>
      <c r="F343" s="2"/>
      <c r="G343" s="2"/>
    </row>
    <row r="344" spans="1:7" ht="13.2" x14ac:dyDescent="0.25">
      <c r="A344" s="2"/>
      <c r="B344" s="2"/>
      <c r="C344" s="2"/>
      <c r="D344" s="2"/>
      <c r="E344" s="2"/>
      <c r="F344" s="2"/>
      <c r="G344" s="2"/>
    </row>
    <row r="345" spans="1:7" ht="13.2" x14ac:dyDescent="0.25">
      <c r="A345" s="2"/>
      <c r="B345" s="2"/>
      <c r="C345" s="2"/>
      <c r="D345" s="2"/>
      <c r="E345" s="2"/>
      <c r="F345" s="2"/>
      <c r="G345" s="2"/>
    </row>
    <row r="346" spans="1:7" ht="13.2" x14ac:dyDescent="0.25">
      <c r="A346" s="2"/>
      <c r="B346" s="2"/>
      <c r="C346" s="2"/>
      <c r="D346" s="2"/>
      <c r="E346" s="2"/>
      <c r="F346" s="2"/>
      <c r="G346" s="2"/>
    </row>
    <row r="347" spans="1:7" ht="13.2" x14ac:dyDescent="0.25">
      <c r="A347" s="2"/>
      <c r="B347" s="2"/>
      <c r="C347" s="2"/>
      <c r="D347" s="2"/>
      <c r="E347" s="2"/>
      <c r="F347" s="2"/>
      <c r="G347" s="2"/>
    </row>
    <row r="348" spans="1:7" ht="13.2" x14ac:dyDescent="0.25">
      <c r="A348" s="2"/>
      <c r="B348" s="2"/>
      <c r="C348" s="2"/>
      <c r="D348" s="2"/>
      <c r="E348" s="2"/>
      <c r="F348" s="2"/>
      <c r="G348" s="2"/>
    </row>
    <row r="349" spans="1:7" ht="13.2" x14ac:dyDescent="0.25">
      <c r="A349" s="2"/>
      <c r="B349" s="2"/>
      <c r="C349" s="2"/>
      <c r="D349" s="2"/>
      <c r="E349" s="2"/>
      <c r="F349" s="2"/>
      <c r="G349" s="2"/>
    </row>
    <row r="350" spans="1:7" ht="13.2" x14ac:dyDescent="0.25">
      <c r="A350" s="2"/>
      <c r="B350" s="2"/>
      <c r="C350" s="2"/>
      <c r="D350" s="2"/>
      <c r="E350" s="2"/>
      <c r="F350" s="2"/>
      <c r="G350" s="2"/>
    </row>
    <row r="351" spans="1:7" ht="13.2" x14ac:dyDescent="0.25">
      <c r="A351" s="2"/>
      <c r="B351" s="2"/>
      <c r="C351" s="2"/>
      <c r="D351" s="2"/>
      <c r="E351" s="2"/>
      <c r="F351" s="2"/>
      <c r="G351" s="2"/>
    </row>
    <row r="352" spans="1:7" ht="13.2" x14ac:dyDescent="0.25">
      <c r="A352" s="2"/>
      <c r="B352" s="2"/>
      <c r="C352" s="2"/>
      <c r="D352" s="2"/>
      <c r="E352" s="2"/>
      <c r="F352" s="2"/>
      <c r="G352" s="2"/>
    </row>
    <row r="353" spans="1:7" ht="13.2" x14ac:dyDescent="0.25">
      <c r="A353" s="2"/>
      <c r="B353" s="2"/>
      <c r="C353" s="2"/>
      <c r="D353" s="2"/>
      <c r="E353" s="2"/>
      <c r="F353" s="2"/>
      <c r="G353" s="2"/>
    </row>
    <row r="354" spans="1:7" ht="13.2" x14ac:dyDescent="0.25">
      <c r="A354" s="2"/>
      <c r="B354" s="2"/>
      <c r="C354" s="2"/>
      <c r="D354" s="2"/>
      <c r="E354" s="2"/>
      <c r="F354" s="2"/>
      <c r="G354" s="2"/>
    </row>
    <row r="355" spans="1:7" ht="13.2" x14ac:dyDescent="0.25">
      <c r="A355" s="2"/>
      <c r="B355" s="2"/>
      <c r="C355" s="2"/>
      <c r="D355" s="2"/>
      <c r="E355" s="2"/>
      <c r="F355" s="2"/>
      <c r="G355" s="2"/>
    </row>
    <row r="356" spans="1:7" ht="13.2" x14ac:dyDescent="0.25">
      <c r="A356" s="2"/>
      <c r="B356" s="2"/>
      <c r="C356" s="2"/>
      <c r="D356" s="2"/>
      <c r="E356" s="2"/>
      <c r="F356" s="2"/>
      <c r="G356" s="2"/>
    </row>
    <row r="357" spans="1:7" ht="13.2" x14ac:dyDescent="0.25">
      <c r="A357" s="2"/>
      <c r="B357" s="2"/>
      <c r="C357" s="2"/>
      <c r="D357" s="2"/>
      <c r="E357" s="2"/>
      <c r="F357" s="2"/>
      <c r="G357" s="2"/>
    </row>
    <row r="358" spans="1:7" ht="13.2" x14ac:dyDescent="0.25">
      <c r="A358" s="2"/>
      <c r="B358" s="2"/>
      <c r="C358" s="2"/>
      <c r="D358" s="2"/>
      <c r="E358" s="2"/>
      <c r="F358" s="2"/>
      <c r="G358" s="2"/>
    </row>
    <row r="359" spans="1:7" ht="13.2" x14ac:dyDescent="0.25">
      <c r="A359" s="2"/>
      <c r="B359" s="2"/>
      <c r="C359" s="2"/>
      <c r="D359" s="2"/>
      <c r="E359" s="2"/>
      <c r="F359" s="2"/>
      <c r="G359" s="2"/>
    </row>
    <row r="360" spans="1:7" ht="13.2" x14ac:dyDescent="0.25">
      <c r="A360" s="2"/>
      <c r="B360" s="2"/>
      <c r="C360" s="2"/>
      <c r="D360" s="2"/>
      <c r="E360" s="2"/>
      <c r="F360" s="2"/>
      <c r="G360" s="2"/>
    </row>
    <row r="361" spans="1:7" ht="13.2" x14ac:dyDescent="0.25">
      <c r="A361" s="2"/>
      <c r="B361" s="2"/>
      <c r="C361" s="2"/>
      <c r="D361" s="2"/>
      <c r="E361" s="2"/>
      <c r="F361" s="2"/>
      <c r="G361" s="2"/>
    </row>
    <row r="362" spans="1:7" ht="13.2" x14ac:dyDescent="0.25">
      <c r="A362" s="2"/>
      <c r="B362" s="2"/>
      <c r="C362" s="2"/>
      <c r="D362" s="2"/>
      <c r="E362" s="2"/>
      <c r="F362" s="2"/>
      <c r="G362" s="2"/>
    </row>
    <row r="363" spans="1:7" ht="13.2" x14ac:dyDescent="0.25">
      <c r="A363" s="2"/>
      <c r="B363" s="2"/>
      <c r="C363" s="2"/>
      <c r="D363" s="2"/>
      <c r="E363" s="2"/>
      <c r="F363" s="2"/>
      <c r="G363" s="2"/>
    </row>
    <row r="364" spans="1:7" ht="13.2" x14ac:dyDescent="0.25">
      <c r="A364" s="2"/>
      <c r="B364" s="2"/>
      <c r="C364" s="2"/>
      <c r="D364" s="2"/>
      <c r="E364" s="2"/>
      <c r="F364" s="2"/>
      <c r="G364" s="2"/>
    </row>
    <row r="365" spans="1:7" ht="13.2" x14ac:dyDescent="0.25">
      <c r="A365" s="2"/>
      <c r="B365" s="2"/>
      <c r="C365" s="2"/>
      <c r="D365" s="2"/>
      <c r="E365" s="2"/>
      <c r="F365" s="2"/>
      <c r="G365" s="2"/>
    </row>
    <row r="366" spans="1:7" ht="13.2" x14ac:dyDescent="0.25">
      <c r="A366" s="2"/>
      <c r="B366" s="2"/>
      <c r="C366" s="2"/>
      <c r="D366" s="2"/>
      <c r="E366" s="2"/>
      <c r="F366" s="2"/>
      <c r="G366" s="2"/>
    </row>
    <row r="367" spans="1:7" ht="13.2" x14ac:dyDescent="0.25">
      <c r="A367" s="2"/>
      <c r="B367" s="2"/>
      <c r="C367" s="2"/>
      <c r="D367" s="2"/>
      <c r="E367" s="2"/>
      <c r="F367" s="2"/>
      <c r="G367" s="2"/>
    </row>
    <row r="368" spans="1:7" ht="13.2" x14ac:dyDescent="0.25">
      <c r="A368" s="2"/>
      <c r="B368" s="2"/>
      <c r="C368" s="2"/>
      <c r="D368" s="2"/>
      <c r="E368" s="2"/>
      <c r="F368" s="2"/>
      <c r="G368" s="2"/>
    </row>
    <row r="369" spans="1:7" ht="13.2" x14ac:dyDescent="0.25">
      <c r="A369" s="2"/>
      <c r="B369" s="2"/>
      <c r="C369" s="2"/>
      <c r="D369" s="2"/>
      <c r="E369" s="2"/>
      <c r="F369" s="2"/>
      <c r="G369" s="2"/>
    </row>
    <row r="370" spans="1:7" ht="13.2" x14ac:dyDescent="0.25">
      <c r="A370" s="2"/>
      <c r="B370" s="2"/>
      <c r="C370" s="2"/>
      <c r="D370" s="2"/>
      <c r="E370" s="2"/>
      <c r="F370" s="2"/>
      <c r="G370" s="2"/>
    </row>
    <row r="371" spans="1:7" ht="13.2" x14ac:dyDescent="0.25">
      <c r="A371" s="2"/>
      <c r="B371" s="2"/>
      <c r="C371" s="2"/>
      <c r="D371" s="2"/>
      <c r="E371" s="2"/>
      <c r="F371" s="2"/>
      <c r="G371" s="2"/>
    </row>
    <row r="372" spans="1:7" ht="13.2" x14ac:dyDescent="0.25">
      <c r="A372" s="2"/>
      <c r="B372" s="2"/>
      <c r="C372" s="2"/>
      <c r="D372" s="2"/>
      <c r="E372" s="2"/>
      <c r="F372" s="2"/>
      <c r="G372" s="2"/>
    </row>
    <row r="373" spans="1:7" ht="13.2" x14ac:dyDescent="0.25">
      <c r="A373" s="2"/>
      <c r="B373" s="2"/>
      <c r="C373" s="2"/>
      <c r="D373" s="2"/>
      <c r="E373" s="2"/>
      <c r="F373" s="2"/>
      <c r="G373" s="2"/>
    </row>
    <row r="374" spans="1:7" ht="13.2" x14ac:dyDescent="0.25">
      <c r="A374" s="2"/>
      <c r="B374" s="2"/>
      <c r="C374" s="2"/>
      <c r="D374" s="2"/>
      <c r="E374" s="2"/>
      <c r="F374" s="2"/>
      <c r="G374" s="2"/>
    </row>
    <row r="375" spans="1:7" ht="13.2" x14ac:dyDescent="0.25">
      <c r="A375" s="2"/>
      <c r="B375" s="2"/>
      <c r="C375" s="2"/>
      <c r="D375" s="2"/>
      <c r="E375" s="2"/>
      <c r="F375" s="2"/>
      <c r="G375" s="2"/>
    </row>
    <row r="376" spans="1:7" ht="13.2" x14ac:dyDescent="0.25">
      <c r="A376" s="2"/>
      <c r="B376" s="2"/>
      <c r="C376" s="2"/>
      <c r="D376" s="2"/>
      <c r="E376" s="2"/>
      <c r="F376" s="2"/>
      <c r="G376" s="2"/>
    </row>
    <row r="377" spans="1:7" ht="13.2" x14ac:dyDescent="0.25">
      <c r="A377" s="2"/>
      <c r="B377" s="2"/>
      <c r="C377" s="2"/>
      <c r="D377" s="2"/>
      <c r="E377" s="2"/>
      <c r="F377" s="2"/>
      <c r="G377" s="2"/>
    </row>
    <row r="378" spans="1:7" ht="13.2" x14ac:dyDescent="0.25">
      <c r="A378" s="2"/>
      <c r="B378" s="2"/>
      <c r="C378" s="2"/>
      <c r="D378" s="2"/>
      <c r="E378" s="2"/>
      <c r="F378" s="2"/>
      <c r="G378" s="2"/>
    </row>
    <row r="379" spans="1:7" ht="13.2" x14ac:dyDescent="0.25">
      <c r="A379" s="2"/>
      <c r="B379" s="2"/>
      <c r="C379" s="2"/>
      <c r="D379" s="2"/>
      <c r="E379" s="2"/>
      <c r="F379" s="2"/>
      <c r="G379" s="2"/>
    </row>
    <row r="380" spans="1:7" ht="13.2" x14ac:dyDescent="0.25">
      <c r="A380" s="2"/>
      <c r="B380" s="2"/>
      <c r="C380" s="2"/>
      <c r="D380" s="2"/>
      <c r="E380" s="2"/>
      <c r="F380" s="2"/>
      <c r="G380" s="2"/>
    </row>
    <row r="381" spans="1:7" ht="13.2" x14ac:dyDescent="0.25">
      <c r="A381" s="2"/>
      <c r="B381" s="2"/>
      <c r="C381" s="2"/>
      <c r="D381" s="2"/>
      <c r="E381" s="2"/>
      <c r="F381" s="2"/>
      <c r="G381" s="2"/>
    </row>
    <row r="382" spans="1:7" ht="13.2" x14ac:dyDescent="0.25">
      <c r="A382" s="2"/>
      <c r="B382" s="2"/>
      <c r="C382" s="2"/>
      <c r="D382" s="2"/>
      <c r="E382" s="2"/>
      <c r="F382" s="2"/>
      <c r="G382" s="2"/>
    </row>
    <row r="383" spans="1:7" ht="13.2" x14ac:dyDescent="0.25">
      <c r="A383" s="2"/>
      <c r="B383" s="2"/>
      <c r="C383" s="2"/>
      <c r="D383" s="2"/>
      <c r="E383" s="2"/>
      <c r="F383" s="2"/>
      <c r="G383" s="2"/>
    </row>
    <row r="384" spans="1:7" ht="13.2" x14ac:dyDescent="0.25">
      <c r="A384" s="2"/>
      <c r="B384" s="2"/>
      <c r="C384" s="2"/>
      <c r="D384" s="2"/>
      <c r="E384" s="2"/>
      <c r="F384" s="2"/>
      <c r="G384" s="2"/>
    </row>
    <row r="385" spans="1:7" ht="13.2" x14ac:dyDescent="0.25">
      <c r="A385" s="2"/>
      <c r="B385" s="2"/>
      <c r="C385" s="2"/>
      <c r="D385" s="2"/>
      <c r="E385" s="2"/>
      <c r="F385" s="2"/>
      <c r="G385" s="2"/>
    </row>
    <row r="386" spans="1:7" ht="13.2" x14ac:dyDescent="0.25">
      <c r="A386" s="2"/>
      <c r="B386" s="2"/>
      <c r="C386" s="2"/>
      <c r="D386" s="2"/>
      <c r="E386" s="2"/>
      <c r="F386" s="2"/>
      <c r="G386" s="2"/>
    </row>
    <row r="387" spans="1:7" ht="13.2" x14ac:dyDescent="0.25">
      <c r="A387" s="2"/>
      <c r="B387" s="2"/>
      <c r="C387" s="2"/>
      <c r="D387" s="2"/>
      <c r="E387" s="2"/>
      <c r="F387" s="2"/>
      <c r="G387" s="2"/>
    </row>
    <row r="388" spans="1:7" ht="13.2" x14ac:dyDescent="0.25">
      <c r="A388" s="2"/>
      <c r="B388" s="2"/>
      <c r="C388" s="2"/>
      <c r="D388" s="2"/>
      <c r="E388" s="2"/>
      <c r="F388" s="2"/>
      <c r="G388" s="2"/>
    </row>
    <row r="389" spans="1:7" ht="13.2" x14ac:dyDescent="0.25">
      <c r="A389" s="2"/>
      <c r="B389" s="2"/>
      <c r="C389" s="2"/>
      <c r="D389" s="2"/>
      <c r="E389" s="2"/>
      <c r="F389" s="2"/>
      <c r="G389" s="2"/>
    </row>
    <row r="390" spans="1:7" ht="13.2" x14ac:dyDescent="0.25">
      <c r="A390" s="2"/>
      <c r="B390" s="2"/>
      <c r="C390" s="2"/>
      <c r="D390" s="2"/>
      <c r="E390" s="2"/>
      <c r="F390" s="2"/>
      <c r="G390" s="2"/>
    </row>
    <row r="391" spans="1:7" ht="13.2" x14ac:dyDescent="0.25">
      <c r="A391" s="2"/>
      <c r="B391" s="2"/>
      <c r="C391" s="2"/>
      <c r="D391" s="2"/>
      <c r="E391" s="2"/>
      <c r="F391" s="2"/>
      <c r="G391" s="2"/>
    </row>
    <row r="392" spans="1:7" ht="13.2" x14ac:dyDescent="0.25">
      <c r="A392" s="2"/>
      <c r="B392" s="2"/>
      <c r="C392" s="2"/>
      <c r="D392" s="2"/>
      <c r="E392" s="2"/>
      <c r="F392" s="2"/>
      <c r="G392" s="2"/>
    </row>
    <row r="393" spans="1:7" ht="13.2" x14ac:dyDescent="0.25">
      <c r="A393" s="2"/>
      <c r="B393" s="2"/>
      <c r="C393" s="2"/>
      <c r="D393" s="2"/>
      <c r="E393" s="2"/>
      <c r="F393" s="2"/>
      <c r="G393" s="2"/>
    </row>
    <row r="394" spans="1:7" ht="13.2" x14ac:dyDescent="0.25">
      <c r="A394" s="2"/>
      <c r="B394" s="2"/>
      <c r="C394" s="2"/>
      <c r="D394" s="2"/>
      <c r="E394" s="2"/>
      <c r="F394" s="2"/>
      <c r="G394" s="2"/>
    </row>
    <row r="395" spans="1:7" ht="13.2" x14ac:dyDescent="0.25">
      <c r="A395" s="2"/>
      <c r="B395" s="2"/>
      <c r="C395" s="2"/>
      <c r="D395" s="2"/>
      <c r="E395" s="2"/>
      <c r="F395" s="2"/>
      <c r="G395" s="2"/>
    </row>
    <row r="396" spans="1:7" ht="13.2" x14ac:dyDescent="0.25">
      <c r="A396" s="2"/>
      <c r="B396" s="2"/>
      <c r="C396" s="2"/>
      <c r="D396" s="2"/>
      <c r="E396" s="2"/>
      <c r="F396" s="2"/>
      <c r="G396" s="2"/>
    </row>
    <row r="397" spans="1:7" ht="13.2" x14ac:dyDescent="0.25">
      <c r="A397" s="2"/>
      <c r="B397" s="2"/>
      <c r="C397" s="2"/>
      <c r="D397" s="2"/>
      <c r="E397" s="2"/>
      <c r="F397" s="2"/>
      <c r="G397" s="2"/>
    </row>
    <row r="398" spans="1:7" ht="13.2" x14ac:dyDescent="0.25">
      <c r="A398" s="2"/>
      <c r="B398" s="2"/>
      <c r="C398" s="2"/>
      <c r="D398" s="2"/>
      <c r="E398" s="2"/>
      <c r="F398" s="2"/>
      <c r="G398" s="2"/>
    </row>
    <row r="399" spans="1:7" ht="13.2" x14ac:dyDescent="0.25">
      <c r="A399" s="2"/>
      <c r="B399" s="2"/>
      <c r="C399" s="2"/>
      <c r="D399" s="2"/>
      <c r="E399" s="2"/>
      <c r="F399" s="2"/>
      <c r="G399" s="2"/>
    </row>
    <row r="400" spans="1:7" ht="13.2" x14ac:dyDescent="0.25">
      <c r="A400" s="2"/>
      <c r="B400" s="2"/>
      <c r="C400" s="2"/>
      <c r="D400" s="2"/>
      <c r="E400" s="2"/>
      <c r="F400" s="2"/>
      <c r="G400" s="2"/>
    </row>
    <row r="401" spans="1:7" ht="13.2" x14ac:dyDescent="0.25">
      <c r="A401" s="2"/>
      <c r="B401" s="2"/>
      <c r="C401" s="2"/>
      <c r="D401" s="2"/>
      <c r="E401" s="2"/>
      <c r="F401" s="2"/>
      <c r="G401" s="2"/>
    </row>
    <row r="402" spans="1:7" ht="13.2" x14ac:dyDescent="0.25">
      <c r="A402" s="2"/>
      <c r="B402" s="2"/>
      <c r="C402" s="2"/>
      <c r="D402" s="2"/>
      <c r="E402" s="2"/>
      <c r="F402" s="2"/>
      <c r="G402" s="2"/>
    </row>
    <row r="403" spans="1:7" ht="13.2" x14ac:dyDescent="0.25">
      <c r="A403" s="2"/>
      <c r="B403" s="2"/>
      <c r="C403" s="2"/>
      <c r="D403" s="2"/>
      <c r="E403" s="2"/>
      <c r="F403" s="2"/>
      <c r="G403" s="2"/>
    </row>
    <row r="404" spans="1:7" ht="13.2" x14ac:dyDescent="0.25">
      <c r="A404" s="2"/>
      <c r="B404" s="2"/>
      <c r="C404" s="2"/>
      <c r="D404" s="2"/>
      <c r="E404" s="2"/>
      <c r="F404" s="2"/>
      <c r="G404" s="2"/>
    </row>
    <row r="405" spans="1:7" ht="13.2" x14ac:dyDescent="0.25">
      <c r="A405" s="2"/>
      <c r="B405" s="2"/>
      <c r="C405" s="2"/>
      <c r="D405" s="2"/>
      <c r="E405" s="2"/>
      <c r="F405" s="2"/>
      <c r="G405" s="2"/>
    </row>
    <row r="406" spans="1:7" ht="13.2" x14ac:dyDescent="0.25">
      <c r="A406" s="2"/>
      <c r="B406" s="2"/>
      <c r="C406" s="2"/>
      <c r="D406" s="2"/>
      <c r="E406" s="2"/>
      <c r="F406" s="2"/>
      <c r="G406" s="2"/>
    </row>
    <row r="407" spans="1:7" ht="13.2" x14ac:dyDescent="0.25">
      <c r="A407" s="2"/>
      <c r="B407" s="2"/>
      <c r="C407" s="2"/>
      <c r="D407" s="2"/>
      <c r="E407" s="2"/>
      <c r="F407" s="2"/>
      <c r="G407" s="2"/>
    </row>
    <row r="408" spans="1:7" ht="13.2" x14ac:dyDescent="0.25">
      <c r="A408" s="2"/>
      <c r="B408" s="2"/>
      <c r="C408" s="2"/>
      <c r="D408" s="2"/>
      <c r="E408" s="2"/>
      <c r="F408" s="2"/>
      <c r="G408" s="2"/>
    </row>
    <row r="409" spans="1:7" ht="13.2" x14ac:dyDescent="0.25">
      <c r="A409" s="2"/>
      <c r="B409" s="2"/>
      <c r="C409" s="2"/>
      <c r="D409" s="2"/>
      <c r="E409" s="2"/>
      <c r="F409" s="2"/>
      <c r="G409" s="2"/>
    </row>
    <row r="410" spans="1:7" ht="13.2" x14ac:dyDescent="0.25">
      <c r="A410" s="2"/>
      <c r="B410" s="2"/>
      <c r="C410" s="2"/>
      <c r="D410" s="2"/>
      <c r="E410" s="2"/>
      <c r="F410" s="2"/>
      <c r="G410" s="2"/>
    </row>
    <row r="411" spans="1:7" ht="13.2" x14ac:dyDescent="0.25">
      <c r="A411" s="2"/>
      <c r="B411" s="2"/>
      <c r="C411" s="2"/>
      <c r="D411" s="2"/>
      <c r="E411" s="2"/>
      <c r="F411" s="2"/>
      <c r="G411" s="2"/>
    </row>
    <row r="412" spans="1:7" ht="13.2" x14ac:dyDescent="0.25">
      <c r="A412" s="2"/>
      <c r="B412" s="2"/>
      <c r="C412" s="2"/>
      <c r="D412" s="2"/>
      <c r="E412" s="2"/>
      <c r="F412" s="2"/>
      <c r="G412" s="2"/>
    </row>
    <row r="413" spans="1:7" ht="13.2" x14ac:dyDescent="0.25">
      <c r="A413" s="2"/>
      <c r="B413" s="2"/>
      <c r="C413" s="2"/>
      <c r="D413" s="2"/>
      <c r="E413" s="2"/>
      <c r="F413" s="2"/>
      <c r="G413" s="2"/>
    </row>
    <row r="414" spans="1:7" ht="13.2" x14ac:dyDescent="0.25">
      <c r="A414" s="2"/>
      <c r="B414" s="2"/>
      <c r="C414" s="2"/>
      <c r="D414" s="2"/>
      <c r="E414" s="2"/>
      <c r="F414" s="2"/>
      <c r="G414" s="2"/>
    </row>
    <row r="415" spans="1:7" ht="13.2" x14ac:dyDescent="0.25">
      <c r="A415" s="2"/>
      <c r="B415" s="2"/>
      <c r="C415" s="2"/>
      <c r="D415" s="2"/>
      <c r="E415" s="2"/>
      <c r="F415" s="2"/>
      <c r="G415" s="2"/>
    </row>
    <row r="416" spans="1:7" ht="13.2" x14ac:dyDescent="0.25">
      <c r="A416" s="2"/>
      <c r="B416" s="2"/>
      <c r="C416" s="2"/>
      <c r="D416" s="2"/>
      <c r="E416" s="2"/>
      <c r="F416" s="2"/>
      <c r="G416" s="2"/>
    </row>
    <row r="417" spans="1:7" ht="13.2" x14ac:dyDescent="0.25">
      <c r="A417" s="2"/>
      <c r="B417" s="2"/>
      <c r="C417" s="2"/>
      <c r="D417" s="2"/>
      <c r="E417" s="2"/>
      <c r="F417" s="2"/>
      <c r="G417" s="2"/>
    </row>
    <row r="418" spans="1:7" ht="13.2" x14ac:dyDescent="0.25">
      <c r="A418" s="2"/>
      <c r="B418" s="2"/>
      <c r="C418" s="2"/>
      <c r="D418" s="2"/>
      <c r="E418" s="2"/>
      <c r="F418" s="2"/>
      <c r="G418" s="2"/>
    </row>
    <row r="419" spans="1:7" ht="13.2" x14ac:dyDescent="0.25">
      <c r="A419" s="2"/>
      <c r="B419" s="2"/>
      <c r="C419" s="2"/>
      <c r="D419" s="2"/>
      <c r="E419" s="2"/>
      <c r="F419" s="2"/>
      <c r="G419" s="2"/>
    </row>
    <row r="420" spans="1:7" ht="13.2" x14ac:dyDescent="0.25">
      <c r="A420" s="2"/>
      <c r="B420" s="2"/>
      <c r="C420" s="2"/>
      <c r="D420" s="2"/>
      <c r="E420" s="2"/>
      <c r="F420" s="2"/>
      <c r="G420" s="2"/>
    </row>
    <row r="421" spans="1:7" ht="13.2" x14ac:dyDescent="0.25">
      <c r="A421" s="2"/>
      <c r="B421" s="2"/>
      <c r="C421" s="2"/>
      <c r="D421" s="2"/>
      <c r="E421" s="2"/>
      <c r="F421" s="2"/>
      <c r="G421" s="2"/>
    </row>
    <row r="422" spans="1:7" ht="13.2" x14ac:dyDescent="0.25">
      <c r="A422" s="2"/>
      <c r="B422" s="2"/>
      <c r="C422" s="2"/>
      <c r="D422" s="2"/>
      <c r="E422" s="2"/>
      <c r="F422" s="2"/>
      <c r="G422" s="2"/>
    </row>
    <row r="423" spans="1:7" ht="13.2" x14ac:dyDescent="0.25">
      <c r="A423" s="2"/>
      <c r="B423" s="2"/>
      <c r="C423" s="2"/>
      <c r="D423" s="2"/>
      <c r="E423" s="2"/>
      <c r="F423" s="2"/>
      <c r="G423" s="2"/>
    </row>
    <row r="424" spans="1:7" ht="13.2" x14ac:dyDescent="0.25">
      <c r="A424" s="2"/>
      <c r="B424" s="2"/>
      <c r="C424" s="2"/>
      <c r="D424" s="2"/>
      <c r="E424" s="2"/>
      <c r="F424" s="2"/>
      <c r="G424" s="2"/>
    </row>
    <row r="425" spans="1:7" ht="13.2" x14ac:dyDescent="0.25">
      <c r="A425" s="2"/>
      <c r="B425" s="2"/>
      <c r="C425" s="2"/>
      <c r="D425" s="2"/>
      <c r="E425" s="2"/>
      <c r="F425" s="2"/>
      <c r="G425" s="2"/>
    </row>
    <row r="426" spans="1:7" ht="13.2" x14ac:dyDescent="0.25">
      <c r="A426" s="2"/>
      <c r="B426" s="2"/>
      <c r="C426" s="2"/>
      <c r="D426" s="2"/>
      <c r="E426" s="2"/>
      <c r="F426" s="2"/>
      <c r="G426" s="2"/>
    </row>
    <row r="427" spans="1:7" ht="13.2" x14ac:dyDescent="0.25">
      <c r="A427" s="2"/>
      <c r="B427" s="2"/>
      <c r="C427" s="2"/>
      <c r="D427" s="2"/>
      <c r="E427" s="2"/>
      <c r="F427" s="2"/>
      <c r="G427" s="2"/>
    </row>
    <row r="428" spans="1:7" ht="13.2" x14ac:dyDescent="0.25">
      <c r="A428" s="2"/>
      <c r="B428" s="2"/>
      <c r="C428" s="2"/>
      <c r="D428" s="2"/>
      <c r="E428" s="2"/>
      <c r="F428" s="2"/>
      <c r="G428" s="2"/>
    </row>
    <row r="429" spans="1:7" ht="13.2" x14ac:dyDescent="0.25">
      <c r="A429" s="2"/>
      <c r="B429" s="2"/>
      <c r="C429" s="2"/>
      <c r="D429" s="2"/>
      <c r="E429" s="2"/>
      <c r="F429" s="2"/>
      <c r="G429" s="2"/>
    </row>
    <row r="430" spans="1:7" ht="13.2" x14ac:dyDescent="0.25">
      <c r="A430" s="2"/>
      <c r="B430" s="2"/>
      <c r="C430" s="2"/>
      <c r="D430" s="2"/>
      <c r="E430" s="2"/>
      <c r="F430" s="2"/>
      <c r="G430" s="2"/>
    </row>
    <row r="431" spans="1:7" ht="13.2" x14ac:dyDescent="0.25">
      <c r="A431" s="2"/>
      <c r="B431" s="2"/>
      <c r="C431" s="2"/>
      <c r="D431" s="2"/>
      <c r="E431" s="2"/>
      <c r="F431" s="2"/>
      <c r="G431" s="2"/>
    </row>
    <row r="432" spans="1:7" ht="13.2" x14ac:dyDescent="0.25">
      <c r="A432" s="2"/>
      <c r="B432" s="2"/>
      <c r="C432" s="2"/>
      <c r="D432" s="2"/>
      <c r="E432" s="2"/>
      <c r="F432" s="2"/>
      <c r="G432" s="2"/>
    </row>
    <row r="433" spans="1:7" ht="13.2" x14ac:dyDescent="0.25">
      <c r="A433" s="2"/>
      <c r="B433" s="2"/>
      <c r="C433" s="2"/>
      <c r="D433" s="2"/>
      <c r="E433" s="2"/>
      <c r="F433" s="2"/>
      <c r="G433" s="2"/>
    </row>
    <row r="434" spans="1:7" ht="13.2" x14ac:dyDescent="0.25">
      <c r="A434" s="2"/>
      <c r="B434" s="2"/>
      <c r="C434" s="2"/>
      <c r="D434" s="2"/>
      <c r="E434" s="2"/>
      <c r="F434" s="2"/>
      <c r="G434" s="2"/>
    </row>
    <row r="435" spans="1:7" ht="13.2" x14ac:dyDescent="0.25">
      <c r="A435" s="2"/>
      <c r="B435" s="2"/>
      <c r="C435" s="2"/>
      <c r="D435" s="2"/>
      <c r="E435" s="2"/>
      <c r="F435" s="2"/>
      <c r="G435" s="2"/>
    </row>
    <row r="436" spans="1:7" ht="13.2" x14ac:dyDescent="0.25">
      <c r="A436" s="2"/>
      <c r="B436" s="2"/>
      <c r="C436" s="2"/>
      <c r="D436" s="2"/>
      <c r="E436" s="2"/>
      <c r="F436" s="2"/>
      <c r="G436" s="2"/>
    </row>
    <row r="437" spans="1:7" ht="13.2" x14ac:dyDescent="0.25">
      <c r="A437" s="2"/>
      <c r="B437" s="2"/>
      <c r="C437" s="2"/>
      <c r="D437" s="2"/>
      <c r="E437" s="2"/>
      <c r="F437" s="2"/>
      <c r="G437" s="2"/>
    </row>
    <row r="438" spans="1:7" ht="13.2" x14ac:dyDescent="0.25">
      <c r="A438" s="2"/>
      <c r="B438" s="2"/>
      <c r="C438" s="2"/>
      <c r="D438" s="2"/>
      <c r="E438" s="2"/>
      <c r="F438" s="2"/>
      <c r="G438" s="2"/>
    </row>
    <row r="439" spans="1:7" ht="13.2" x14ac:dyDescent="0.25">
      <c r="A439" s="2"/>
      <c r="B439" s="2"/>
      <c r="C439" s="2"/>
      <c r="D439" s="2"/>
      <c r="E439" s="2"/>
      <c r="F439" s="2"/>
      <c r="G439" s="2"/>
    </row>
    <row r="440" spans="1:7" ht="13.2" x14ac:dyDescent="0.25">
      <c r="A440" s="2"/>
      <c r="B440" s="2"/>
      <c r="C440" s="2"/>
      <c r="D440" s="2"/>
      <c r="E440" s="2"/>
      <c r="F440" s="2"/>
      <c r="G440" s="2"/>
    </row>
    <row r="441" spans="1:7" ht="13.2" x14ac:dyDescent="0.25">
      <c r="A441" s="2"/>
      <c r="B441" s="2"/>
      <c r="C441" s="2"/>
      <c r="D441" s="2"/>
      <c r="E441" s="2"/>
      <c r="F441" s="2"/>
      <c r="G441" s="2"/>
    </row>
    <row r="442" spans="1:7" ht="13.2" x14ac:dyDescent="0.25">
      <c r="A442" s="2"/>
      <c r="B442" s="2"/>
      <c r="C442" s="2"/>
      <c r="D442" s="2"/>
      <c r="E442" s="2"/>
      <c r="F442" s="2"/>
      <c r="G442" s="2"/>
    </row>
    <row r="443" spans="1:7" ht="13.2" x14ac:dyDescent="0.25">
      <c r="A443" s="2"/>
      <c r="B443" s="2"/>
      <c r="C443" s="2"/>
      <c r="D443" s="2"/>
      <c r="E443" s="2"/>
      <c r="F443" s="2"/>
      <c r="G443" s="2"/>
    </row>
    <row r="444" spans="1:7" ht="13.2" x14ac:dyDescent="0.25">
      <c r="A444" s="2"/>
      <c r="B444" s="2"/>
      <c r="C444" s="2"/>
      <c r="D444" s="2"/>
      <c r="E444" s="2"/>
      <c r="F444" s="2"/>
      <c r="G444" s="2"/>
    </row>
    <row r="445" spans="1:7" ht="13.2" x14ac:dyDescent="0.25">
      <c r="A445" s="2"/>
      <c r="B445" s="2"/>
      <c r="C445" s="2"/>
      <c r="D445" s="2"/>
      <c r="E445" s="2"/>
      <c r="F445" s="2"/>
      <c r="G445" s="2"/>
    </row>
    <row r="446" spans="1:7" ht="13.2" x14ac:dyDescent="0.25">
      <c r="A446" s="2"/>
      <c r="B446" s="2"/>
      <c r="C446" s="2"/>
      <c r="D446" s="2"/>
      <c r="E446" s="2"/>
      <c r="F446" s="2"/>
      <c r="G446" s="2"/>
    </row>
    <row r="447" spans="1:7" ht="13.2" x14ac:dyDescent="0.25">
      <c r="A447" s="2"/>
      <c r="B447" s="2"/>
      <c r="C447" s="2"/>
      <c r="D447" s="2"/>
      <c r="E447" s="2"/>
      <c r="F447" s="2"/>
      <c r="G447" s="2"/>
    </row>
    <row r="448" spans="1:7" ht="13.2" x14ac:dyDescent="0.25">
      <c r="A448" s="2"/>
      <c r="B448" s="2"/>
      <c r="C448" s="2"/>
      <c r="D448" s="2"/>
      <c r="E448" s="2"/>
      <c r="F448" s="2"/>
      <c r="G448" s="2"/>
    </row>
    <row r="449" spans="1:7" ht="13.2" x14ac:dyDescent="0.25">
      <c r="A449" s="2"/>
      <c r="B449" s="2"/>
      <c r="C449" s="2"/>
      <c r="D449" s="2"/>
      <c r="E449" s="2"/>
      <c r="F449" s="2"/>
      <c r="G449" s="2"/>
    </row>
    <row r="450" spans="1:7" ht="13.2" x14ac:dyDescent="0.25">
      <c r="A450" s="2"/>
      <c r="B450" s="2"/>
      <c r="C450" s="2"/>
      <c r="D450" s="2"/>
      <c r="E450" s="2"/>
      <c r="F450" s="2"/>
      <c r="G450" s="2"/>
    </row>
    <row r="451" spans="1:7" ht="13.2" x14ac:dyDescent="0.25">
      <c r="A451" s="2"/>
      <c r="B451" s="2"/>
      <c r="C451" s="2"/>
      <c r="D451" s="2"/>
      <c r="E451" s="2"/>
      <c r="F451" s="2"/>
      <c r="G451" s="2"/>
    </row>
    <row r="452" spans="1:7" ht="13.2" x14ac:dyDescent="0.25">
      <c r="A452" s="2"/>
      <c r="B452" s="2"/>
      <c r="C452" s="2"/>
      <c r="D452" s="2"/>
      <c r="E452" s="2"/>
      <c r="F452" s="2"/>
      <c r="G452" s="2"/>
    </row>
    <row r="453" spans="1:7" ht="13.2" x14ac:dyDescent="0.25">
      <c r="A453" s="2"/>
      <c r="B453" s="2"/>
      <c r="C453" s="2"/>
      <c r="D453" s="2"/>
      <c r="E453" s="2"/>
      <c r="F453" s="2"/>
      <c r="G453" s="2"/>
    </row>
    <row r="454" spans="1:7" ht="13.2" x14ac:dyDescent="0.25">
      <c r="A454" s="2"/>
      <c r="B454" s="2"/>
      <c r="C454" s="2"/>
      <c r="D454" s="2"/>
      <c r="E454" s="2"/>
      <c r="F454" s="2"/>
      <c r="G454" s="2"/>
    </row>
    <row r="455" spans="1:7" ht="13.2" x14ac:dyDescent="0.25">
      <c r="A455" s="2"/>
      <c r="B455" s="2"/>
      <c r="C455" s="2"/>
      <c r="D455" s="2"/>
      <c r="E455" s="2"/>
      <c r="F455" s="2"/>
      <c r="G455" s="2"/>
    </row>
    <row r="456" spans="1:7" ht="13.2" x14ac:dyDescent="0.25">
      <c r="A456" s="2"/>
      <c r="B456" s="2"/>
      <c r="C456" s="2"/>
      <c r="D456" s="2"/>
      <c r="E456" s="2"/>
      <c r="F456" s="2"/>
      <c r="G456" s="2"/>
    </row>
    <row r="457" spans="1:7" ht="13.2" x14ac:dyDescent="0.25">
      <c r="A457" s="2"/>
      <c r="B457" s="2"/>
      <c r="C457" s="2"/>
      <c r="D457" s="2"/>
      <c r="E457" s="2"/>
      <c r="F457" s="2"/>
      <c r="G457" s="2"/>
    </row>
    <row r="458" spans="1:7" ht="13.2" x14ac:dyDescent="0.25">
      <c r="A458" s="2"/>
      <c r="B458" s="2"/>
      <c r="C458" s="2"/>
      <c r="D458" s="2"/>
      <c r="E458" s="2"/>
      <c r="F458" s="2"/>
      <c r="G458" s="2"/>
    </row>
    <row r="459" spans="1:7" ht="13.2" x14ac:dyDescent="0.25">
      <c r="A459" s="2"/>
      <c r="B459" s="2"/>
      <c r="C459" s="2"/>
      <c r="D459" s="2"/>
      <c r="E459" s="2"/>
      <c r="F459" s="2"/>
      <c r="G459" s="2"/>
    </row>
    <row r="460" spans="1:7" ht="13.2" x14ac:dyDescent="0.25">
      <c r="A460" s="2"/>
      <c r="B460" s="2"/>
      <c r="C460" s="2"/>
      <c r="D460" s="2"/>
      <c r="E460" s="2"/>
      <c r="F460" s="2"/>
      <c r="G460" s="2"/>
    </row>
    <row r="461" spans="1:7" ht="13.2" x14ac:dyDescent="0.25">
      <c r="A461" s="2"/>
      <c r="B461" s="2"/>
      <c r="C461" s="2"/>
      <c r="D461" s="2"/>
      <c r="E461" s="2"/>
      <c r="F461" s="2"/>
      <c r="G461" s="2"/>
    </row>
    <row r="462" spans="1:7" ht="13.2" x14ac:dyDescent="0.25">
      <c r="A462" s="2"/>
      <c r="B462" s="2"/>
      <c r="C462" s="2"/>
      <c r="D462" s="2"/>
      <c r="E462" s="2"/>
      <c r="F462" s="2"/>
      <c r="G462" s="2"/>
    </row>
    <row r="463" spans="1:7" ht="13.2" x14ac:dyDescent="0.25">
      <c r="A463" s="2"/>
      <c r="B463" s="2"/>
      <c r="C463" s="2"/>
      <c r="D463" s="2"/>
      <c r="E463" s="2"/>
      <c r="F463" s="2"/>
      <c r="G463" s="2"/>
    </row>
    <row r="464" spans="1:7" ht="13.2" x14ac:dyDescent="0.25">
      <c r="A464" s="2"/>
      <c r="B464" s="2"/>
      <c r="C464" s="2"/>
      <c r="D464" s="2"/>
      <c r="E464" s="2"/>
      <c r="F464" s="2"/>
      <c r="G464" s="2"/>
    </row>
    <row r="465" spans="1:7" ht="13.2" x14ac:dyDescent="0.25">
      <c r="A465" s="2"/>
      <c r="B465" s="2"/>
      <c r="C465" s="2"/>
      <c r="D465" s="2"/>
      <c r="E465" s="2"/>
      <c r="F465" s="2"/>
      <c r="G465" s="2"/>
    </row>
    <row r="466" spans="1:7" ht="13.2" x14ac:dyDescent="0.25">
      <c r="A466" s="2"/>
      <c r="B466" s="2"/>
      <c r="C466" s="2"/>
      <c r="D466" s="2"/>
      <c r="E466" s="2"/>
      <c r="F466" s="2"/>
      <c r="G466" s="2"/>
    </row>
    <row r="467" spans="1:7" ht="13.2" x14ac:dyDescent="0.25">
      <c r="A467" s="2"/>
      <c r="B467" s="2"/>
      <c r="C467" s="2"/>
      <c r="D467" s="2"/>
      <c r="E467" s="2"/>
      <c r="F467" s="2"/>
      <c r="G467" s="2"/>
    </row>
    <row r="468" spans="1:7" ht="13.2" x14ac:dyDescent="0.25">
      <c r="A468" s="2"/>
      <c r="B468" s="2"/>
      <c r="C468" s="2"/>
      <c r="D468" s="2"/>
      <c r="E468" s="2"/>
      <c r="F468" s="2"/>
      <c r="G468" s="2"/>
    </row>
    <row r="469" spans="1:7" ht="13.2" x14ac:dyDescent="0.25">
      <c r="A469" s="2"/>
      <c r="B469" s="2"/>
      <c r="C469" s="2"/>
      <c r="D469" s="2"/>
      <c r="E469" s="2"/>
      <c r="F469" s="2"/>
      <c r="G469" s="2"/>
    </row>
    <row r="470" spans="1:7" ht="13.2" x14ac:dyDescent="0.25">
      <c r="A470" s="2"/>
      <c r="B470" s="2"/>
      <c r="C470" s="2"/>
      <c r="D470" s="2"/>
      <c r="E470" s="2"/>
      <c r="F470" s="2"/>
      <c r="G470" s="2"/>
    </row>
    <row r="471" spans="1:7" ht="13.2" x14ac:dyDescent="0.25">
      <c r="A471" s="2"/>
      <c r="B471" s="2"/>
      <c r="C471" s="2"/>
      <c r="D471" s="2"/>
      <c r="E471" s="2"/>
      <c r="F471" s="2"/>
      <c r="G471" s="2"/>
    </row>
    <row r="472" spans="1:7" ht="13.2" x14ac:dyDescent="0.25">
      <c r="A472" s="2"/>
      <c r="B472" s="2"/>
      <c r="C472" s="2"/>
      <c r="D472" s="2"/>
      <c r="E472" s="2"/>
      <c r="F472" s="2"/>
      <c r="G472" s="2"/>
    </row>
    <row r="473" spans="1:7" ht="13.2" x14ac:dyDescent="0.25">
      <c r="A473" s="2"/>
      <c r="B473" s="2"/>
      <c r="C473" s="2"/>
      <c r="D473" s="2"/>
      <c r="E473" s="2"/>
      <c r="F473" s="2"/>
      <c r="G473" s="2"/>
    </row>
    <row r="474" spans="1:7" ht="13.2" x14ac:dyDescent="0.25">
      <c r="A474" s="2"/>
      <c r="B474" s="2"/>
      <c r="C474" s="2"/>
      <c r="D474" s="2"/>
      <c r="E474" s="2"/>
      <c r="F474" s="2"/>
      <c r="G474" s="2"/>
    </row>
    <row r="475" spans="1:7" ht="13.2" x14ac:dyDescent="0.25">
      <c r="A475" s="2"/>
      <c r="B475" s="2"/>
      <c r="C475" s="2"/>
      <c r="D475" s="2"/>
      <c r="E475" s="2"/>
      <c r="F475" s="2"/>
      <c r="G475" s="2"/>
    </row>
    <row r="476" spans="1:7" ht="13.2" x14ac:dyDescent="0.25">
      <c r="A476" s="2"/>
      <c r="B476" s="2"/>
      <c r="C476" s="2"/>
      <c r="D476" s="2"/>
      <c r="E476" s="2"/>
      <c r="F476" s="2"/>
      <c r="G476" s="2"/>
    </row>
    <row r="477" spans="1:7" ht="13.2" x14ac:dyDescent="0.25">
      <c r="A477" s="2"/>
      <c r="B477" s="2"/>
      <c r="C477" s="2"/>
      <c r="D477" s="2"/>
      <c r="E477" s="2"/>
      <c r="F477" s="2"/>
      <c r="G477" s="2"/>
    </row>
    <row r="478" spans="1:7" ht="13.2" x14ac:dyDescent="0.25">
      <c r="A478" s="2"/>
      <c r="B478" s="2"/>
      <c r="C478" s="2"/>
      <c r="D478" s="2"/>
      <c r="E478" s="2"/>
      <c r="F478" s="2"/>
      <c r="G478" s="2"/>
    </row>
    <row r="479" spans="1:7" ht="13.2" x14ac:dyDescent="0.25">
      <c r="A479" s="2"/>
      <c r="B479" s="2"/>
      <c r="C479" s="2"/>
      <c r="D479" s="2"/>
      <c r="E479" s="2"/>
      <c r="F479" s="2"/>
      <c r="G479" s="2"/>
    </row>
    <row r="480" spans="1:7" ht="13.2" x14ac:dyDescent="0.25">
      <c r="A480" s="2"/>
      <c r="B480" s="2"/>
      <c r="C480" s="2"/>
      <c r="D480" s="2"/>
      <c r="E480" s="2"/>
      <c r="F480" s="2"/>
      <c r="G480" s="2"/>
    </row>
    <row r="481" spans="1:7" ht="13.2" x14ac:dyDescent="0.25">
      <c r="A481" s="2"/>
      <c r="B481" s="2"/>
      <c r="C481" s="2"/>
      <c r="D481" s="2"/>
      <c r="E481" s="2"/>
      <c r="F481" s="2"/>
      <c r="G481" s="2"/>
    </row>
    <row r="482" spans="1:7" ht="13.2" x14ac:dyDescent="0.25">
      <c r="A482" s="2"/>
      <c r="B482" s="2"/>
      <c r="C482" s="2"/>
      <c r="D482" s="2"/>
      <c r="E482" s="2"/>
      <c r="F482" s="2"/>
      <c r="G482" s="2"/>
    </row>
    <row r="483" spans="1:7" ht="13.2" x14ac:dyDescent="0.25">
      <c r="A483" s="2"/>
      <c r="B483" s="2"/>
      <c r="C483" s="2"/>
      <c r="D483" s="2"/>
      <c r="E483" s="2"/>
      <c r="F483" s="2"/>
      <c r="G483" s="2"/>
    </row>
    <row r="484" spans="1:7" ht="13.2" x14ac:dyDescent="0.25">
      <c r="A484" s="2"/>
      <c r="B484" s="2"/>
      <c r="C484" s="2"/>
      <c r="D484" s="2"/>
      <c r="E484" s="2"/>
      <c r="F484" s="2"/>
      <c r="G484" s="2"/>
    </row>
    <row r="485" spans="1:7" ht="13.2" x14ac:dyDescent="0.25">
      <c r="A485" s="2"/>
      <c r="B485" s="2"/>
      <c r="C485" s="2"/>
      <c r="D485" s="2"/>
      <c r="E485" s="2"/>
      <c r="F485" s="2"/>
      <c r="G485" s="2"/>
    </row>
    <row r="486" spans="1:7" ht="13.2" x14ac:dyDescent="0.25">
      <c r="A486" s="2"/>
      <c r="B486" s="2"/>
      <c r="C486" s="2"/>
      <c r="D486" s="2"/>
      <c r="E486" s="2"/>
      <c r="F486" s="2"/>
      <c r="G486" s="2"/>
    </row>
    <row r="487" spans="1:7" ht="13.2" x14ac:dyDescent="0.25">
      <c r="A487" s="2"/>
      <c r="B487" s="2"/>
      <c r="C487" s="2"/>
      <c r="D487" s="2"/>
      <c r="E487" s="2"/>
      <c r="F487" s="2"/>
      <c r="G487" s="2"/>
    </row>
    <row r="488" spans="1:7" ht="13.2" x14ac:dyDescent="0.25">
      <c r="A488" s="2"/>
      <c r="B488" s="2"/>
      <c r="C488" s="2"/>
      <c r="D488" s="2"/>
      <c r="E488" s="2"/>
      <c r="F488" s="2"/>
      <c r="G488" s="2"/>
    </row>
    <row r="489" spans="1:7" ht="13.2" x14ac:dyDescent="0.25">
      <c r="A489" s="2"/>
      <c r="B489" s="2"/>
      <c r="C489" s="2"/>
      <c r="D489" s="2"/>
      <c r="E489" s="2"/>
      <c r="F489" s="2"/>
      <c r="G489" s="2"/>
    </row>
    <row r="490" spans="1:7" ht="13.2" x14ac:dyDescent="0.25">
      <c r="A490" s="2"/>
      <c r="B490" s="2"/>
      <c r="C490" s="2"/>
      <c r="D490" s="2"/>
      <c r="E490" s="2"/>
      <c r="F490" s="2"/>
      <c r="G490" s="2"/>
    </row>
    <row r="491" spans="1:7" ht="13.2" x14ac:dyDescent="0.25">
      <c r="A491" s="2"/>
      <c r="B491" s="2"/>
      <c r="C491" s="2"/>
      <c r="D491" s="2"/>
      <c r="E491" s="2"/>
      <c r="F491" s="2"/>
      <c r="G491" s="2"/>
    </row>
    <row r="492" spans="1:7" ht="13.2" x14ac:dyDescent="0.25">
      <c r="A492" s="2"/>
      <c r="B492" s="2"/>
      <c r="C492" s="2"/>
      <c r="D492" s="2"/>
      <c r="E492" s="2"/>
      <c r="F492" s="2"/>
      <c r="G492" s="2"/>
    </row>
    <row r="493" spans="1:7" ht="13.2" x14ac:dyDescent="0.25">
      <c r="A493" s="2"/>
      <c r="B493" s="2"/>
      <c r="C493" s="2"/>
      <c r="D493" s="2"/>
      <c r="E493" s="2"/>
      <c r="F493" s="2"/>
      <c r="G493" s="2"/>
    </row>
    <row r="494" spans="1:7" ht="13.2" x14ac:dyDescent="0.25">
      <c r="A494" s="2"/>
      <c r="B494" s="2"/>
      <c r="C494" s="2"/>
      <c r="D494" s="2"/>
      <c r="E494" s="2"/>
      <c r="F494" s="2"/>
      <c r="G494" s="2"/>
    </row>
    <row r="495" spans="1:7" ht="13.2" x14ac:dyDescent="0.25">
      <c r="A495" s="2"/>
      <c r="B495" s="2"/>
      <c r="C495" s="2"/>
      <c r="D495" s="2"/>
      <c r="E495" s="2"/>
      <c r="F495" s="2"/>
      <c r="G495" s="2"/>
    </row>
    <row r="496" spans="1:7" ht="13.2" x14ac:dyDescent="0.25">
      <c r="A496" s="2"/>
      <c r="B496" s="2"/>
      <c r="C496" s="2"/>
      <c r="D496" s="2"/>
      <c r="E496" s="2"/>
      <c r="F496" s="2"/>
      <c r="G496" s="2"/>
    </row>
    <row r="497" spans="1:7" ht="13.2" x14ac:dyDescent="0.25">
      <c r="A497" s="2"/>
      <c r="B497" s="2"/>
      <c r="C497" s="2"/>
      <c r="D497" s="2"/>
      <c r="E497" s="2"/>
      <c r="F497" s="2"/>
      <c r="G497" s="2"/>
    </row>
    <row r="498" spans="1:7" ht="13.2" x14ac:dyDescent="0.25">
      <c r="A498" s="2"/>
      <c r="B498" s="2"/>
      <c r="C498" s="2"/>
      <c r="D498" s="2"/>
      <c r="E498" s="2"/>
      <c r="F498" s="2"/>
      <c r="G498" s="2"/>
    </row>
    <row r="499" spans="1:7" ht="13.2" x14ac:dyDescent="0.25">
      <c r="A499" s="2"/>
      <c r="B499" s="2"/>
      <c r="C499" s="2"/>
      <c r="D499" s="2"/>
      <c r="E499" s="2"/>
      <c r="F499" s="2"/>
      <c r="G499" s="2"/>
    </row>
    <row r="500" spans="1:7" ht="13.2" x14ac:dyDescent="0.25">
      <c r="A500" s="2"/>
      <c r="B500" s="2"/>
      <c r="C500" s="2"/>
      <c r="D500" s="2"/>
      <c r="E500" s="2"/>
      <c r="F500" s="2"/>
      <c r="G500" s="2"/>
    </row>
    <row r="501" spans="1:7" ht="13.2" x14ac:dyDescent="0.25">
      <c r="A501" s="2"/>
      <c r="B501" s="2"/>
      <c r="C501" s="2"/>
      <c r="D501" s="2"/>
      <c r="E501" s="2"/>
      <c r="F501" s="2"/>
      <c r="G501" s="2"/>
    </row>
    <row r="502" spans="1:7" ht="13.2" x14ac:dyDescent="0.25">
      <c r="A502" s="2"/>
      <c r="B502" s="2"/>
      <c r="C502" s="2"/>
      <c r="D502" s="2"/>
      <c r="E502" s="2"/>
      <c r="F502" s="2"/>
      <c r="G502" s="2"/>
    </row>
    <row r="503" spans="1:7" ht="13.2" x14ac:dyDescent="0.25">
      <c r="A503" s="2"/>
      <c r="B503" s="2"/>
      <c r="C503" s="2"/>
      <c r="D503" s="2"/>
      <c r="E503" s="2"/>
      <c r="F503" s="2"/>
      <c r="G503" s="2"/>
    </row>
    <row r="504" spans="1:7" ht="13.2" x14ac:dyDescent="0.25">
      <c r="A504" s="2"/>
      <c r="B504" s="2"/>
      <c r="C504" s="2"/>
      <c r="D504" s="2"/>
      <c r="E504" s="2"/>
      <c r="F504" s="2"/>
      <c r="G504" s="2"/>
    </row>
    <row r="505" spans="1:7" ht="13.2" x14ac:dyDescent="0.25">
      <c r="A505" s="2"/>
      <c r="B505" s="2"/>
      <c r="C505" s="2"/>
      <c r="D505" s="2"/>
      <c r="E505" s="2"/>
      <c r="F505" s="2"/>
      <c r="G505" s="2"/>
    </row>
    <row r="506" spans="1:7" ht="13.2" x14ac:dyDescent="0.25">
      <c r="A506" s="2"/>
      <c r="B506" s="2"/>
      <c r="C506" s="2"/>
      <c r="D506" s="2"/>
      <c r="E506" s="2"/>
      <c r="F506" s="2"/>
      <c r="G506" s="2"/>
    </row>
    <row r="507" spans="1:7" ht="13.2" x14ac:dyDescent="0.25">
      <c r="A507" s="2"/>
      <c r="B507" s="2"/>
      <c r="C507" s="2"/>
      <c r="D507" s="2"/>
      <c r="E507" s="2"/>
      <c r="F507" s="2"/>
      <c r="G507" s="2"/>
    </row>
    <row r="508" spans="1:7" ht="13.2" x14ac:dyDescent="0.25">
      <c r="A508" s="2"/>
      <c r="B508" s="2"/>
      <c r="C508" s="2"/>
      <c r="D508" s="2"/>
      <c r="E508" s="2"/>
      <c r="F508" s="2"/>
      <c r="G508" s="2"/>
    </row>
    <row r="509" spans="1:7" ht="13.2" x14ac:dyDescent="0.25">
      <c r="A509" s="2"/>
      <c r="B509" s="2"/>
      <c r="C509" s="2"/>
      <c r="D509" s="2"/>
      <c r="E509" s="2"/>
      <c r="F509" s="2"/>
      <c r="G509" s="2"/>
    </row>
    <row r="510" spans="1:7" ht="13.2" x14ac:dyDescent="0.25">
      <c r="A510" s="2"/>
      <c r="B510" s="2"/>
      <c r="C510" s="2"/>
      <c r="D510" s="2"/>
      <c r="E510" s="2"/>
      <c r="F510" s="2"/>
      <c r="G510" s="2"/>
    </row>
    <row r="511" spans="1:7" ht="13.2" x14ac:dyDescent="0.25">
      <c r="A511" s="2"/>
      <c r="B511" s="2"/>
      <c r="C511" s="2"/>
      <c r="D511" s="2"/>
      <c r="E511" s="2"/>
      <c r="F511" s="2"/>
      <c r="G511" s="2"/>
    </row>
    <row r="512" spans="1:7" ht="13.2" x14ac:dyDescent="0.25">
      <c r="A512" s="2"/>
      <c r="B512" s="2"/>
      <c r="C512" s="2"/>
      <c r="D512" s="2"/>
      <c r="E512" s="2"/>
      <c r="F512" s="2"/>
      <c r="G512" s="2"/>
    </row>
    <row r="513" spans="1:7" ht="13.2" x14ac:dyDescent="0.25">
      <c r="A513" s="2"/>
      <c r="B513" s="2"/>
      <c r="C513" s="2"/>
      <c r="D513" s="2"/>
      <c r="E513" s="2"/>
      <c r="F513" s="2"/>
      <c r="G513" s="2"/>
    </row>
    <row r="514" spans="1:7" ht="13.2" x14ac:dyDescent="0.25">
      <c r="A514" s="2"/>
      <c r="B514" s="2"/>
      <c r="C514" s="2"/>
      <c r="D514" s="2"/>
      <c r="E514" s="2"/>
      <c r="F514" s="2"/>
      <c r="G514" s="2"/>
    </row>
    <row r="515" spans="1:7" ht="13.2" x14ac:dyDescent="0.25">
      <c r="A515" s="2"/>
      <c r="B515" s="2"/>
      <c r="C515" s="2"/>
      <c r="D515" s="2"/>
      <c r="E515" s="2"/>
      <c r="F515" s="2"/>
      <c r="G515" s="2"/>
    </row>
    <row r="516" spans="1:7" ht="13.2" x14ac:dyDescent="0.25">
      <c r="A516" s="2"/>
      <c r="B516" s="2"/>
      <c r="C516" s="2"/>
      <c r="D516" s="2"/>
      <c r="E516" s="2"/>
      <c r="F516" s="2"/>
      <c r="G516" s="2"/>
    </row>
    <row r="517" spans="1:7" ht="13.2" x14ac:dyDescent="0.25">
      <c r="A517" s="2"/>
      <c r="B517" s="2"/>
      <c r="C517" s="2"/>
      <c r="D517" s="2"/>
      <c r="E517" s="2"/>
      <c r="F517" s="2"/>
      <c r="G517" s="2"/>
    </row>
    <row r="518" spans="1:7" ht="13.2" x14ac:dyDescent="0.25">
      <c r="A518" s="2"/>
      <c r="B518" s="2"/>
      <c r="C518" s="2"/>
      <c r="D518" s="2"/>
      <c r="E518" s="2"/>
      <c r="F518" s="2"/>
      <c r="G518" s="2"/>
    </row>
    <row r="519" spans="1:7" ht="13.2" x14ac:dyDescent="0.25">
      <c r="A519" s="2"/>
      <c r="B519" s="2"/>
      <c r="C519" s="2"/>
      <c r="D519" s="2"/>
      <c r="E519" s="2"/>
      <c r="F519" s="2"/>
      <c r="G519" s="2"/>
    </row>
    <row r="520" spans="1:7" ht="13.2" x14ac:dyDescent="0.25">
      <c r="A520" s="2"/>
      <c r="B520" s="2"/>
      <c r="C520" s="2"/>
      <c r="D520" s="2"/>
      <c r="E520" s="2"/>
      <c r="F520" s="2"/>
      <c r="G520" s="2"/>
    </row>
    <row r="521" spans="1:7" ht="13.2" x14ac:dyDescent="0.25">
      <c r="A521" s="2"/>
      <c r="B521" s="2"/>
      <c r="C521" s="2"/>
      <c r="D521" s="2"/>
      <c r="E521" s="2"/>
      <c r="F521" s="2"/>
      <c r="G521" s="2"/>
    </row>
    <row r="522" spans="1:7" ht="13.2" x14ac:dyDescent="0.25">
      <c r="A522" s="2"/>
      <c r="B522" s="2"/>
      <c r="C522" s="2"/>
      <c r="D522" s="2"/>
      <c r="E522" s="2"/>
      <c r="F522" s="2"/>
      <c r="G522" s="2"/>
    </row>
    <row r="523" spans="1:7" ht="13.2" x14ac:dyDescent="0.25">
      <c r="A523" s="2"/>
      <c r="B523" s="2"/>
      <c r="C523" s="2"/>
      <c r="D523" s="2"/>
      <c r="E523" s="2"/>
      <c r="F523" s="2"/>
      <c r="G523" s="2"/>
    </row>
    <row r="524" spans="1:7" ht="13.2" x14ac:dyDescent="0.25">
      <c r="A524" s="2"/>
      <c r="B524" s="2"/>
      <c r="C524" s="2"/>
      <c r="D524" s="2"/>
      <c r="E524" s="2"/>
      <c r="F524" s="2"/>
      <c r="G524" s="2"/>
    </row>
    <row r="525" spans="1:7" ht="13.2" x14ac:dyDescent="0.25">
      <c r="A525" s="2"/>
      <c r="B525" s="2"/>
      <c r="C525" s="2"/>
      <c r="D525" s="2"/>
      <c r="E525" s="2"/>
      <c r="F525" s="2"/>
      <c r="G525" s="2"/>
    </row>
    <row r="526" spans="1:7" ht="13.2" x14ac:dyDescent="0.25">
      <c r="A526" s="2"/>
      <c r="B526" s="2"/>
      <c r="C526" s="2"/>
      <c r="D526" s="2"/>
      <c r="E526" s="2"/>
      <c r="F526" s="2"/>
      <c r="G526" s="2"/>
    </row>
    <row r="527" spans="1:7" ht="13.2" x14ac:dyDescent="0.25">
      <c r="A527" s="2"/>
      <c r="B527" s="2"/>
      <c r="C527" s="2"/>
      <c r="D527" s="2"/>
      <c r="E527" s="2"/>
      <c r="F527" s="2"/>
      <c r="G527" s="2"/>
    </row>
    <row r="528" spans="1:7" ht="13.2" x14ac:dyDescent="0.25">
      <c r="A528" s="2"/>
      <c r="B528" s="2"/>
      <c r="C528" s="2"/>
      <c r="D528" s="2"/>
      <c r="E528" s="2"/>
      <c r="F528" s="2"/>
      <c r="G528" s="2"/>
    </row>
    <row r="529" spans="1:7" ht="13.2" x14ac:dyDescent="0.25">
      <c r="A529" s="2"/>
      <c r="B529" s="2"/>
      <c r="C529" s="2"/>
      <c r="D529" s="2"/>
      <c r="E529" s="2"/>
      <c r="F529" s="2"/>
      <c r="G529" s="2"/>
    </row>
    <row r="530" spans="1:7" ht="13.2" x14ac:dyDescent="0.25">
      <c r="A530" s="2"/>
      <c r="B530" s="2"/>
      <c r="C530" s="2"/>
      <c r="D530" s="2"/>
      <c r="E530" s="2"/>
      <c r="F530" s="2"/>
      <c r="G530" s="2"/>
    </row>
    <row r="531" spans="1:7" ht="13.2" x14ac:dyDescent="0.25">
      <c r="A531" s="2"/>
      <c r="B531" s="2"/>
      <c r="C531" s="2"/>
      <c r="D531" s="2"/>
      <c r="E531" s="2"/>
      <c r="F531" s="2"/>
      <c r="G531" s="2"/>
    </row>
    <row r="532" spans="1:7" ht="13.2" x14ac:dyDescent="0.25">
      <c r="A532" s="2"/>
      <c r="B532" s="2"/>
      <c r="C532" s="2"/>
      <c r="D532" s="2"/>
      <c r="E532" s="2"/>
      <c r="F532" s="2"/>
      <c r="G532" s="2"/>
    </row>
    <row r="533" spans="1:7" ht="13.2" x14ac:dyDescent="0.25">
      <c r="A533" s="2"/>
      <c r="B533" s="2"/>
      <c r="C533" s="2"/>
      <c r="D533" s="2"/>
      <c r="E533" s="2"/>
      <c r="F533" s="2"/>
      <c r="G533" s="2"/>
    </row>
    <row r="534" spans="1:7" ht="13.2" x14ac:dyDescent="0.25">
      <c r="A534" s="2"/>
      <c r="B534" s="2"/>
      <c r="C534" s="2"/>
      <c r="D534" s="2"/>
      <c r="E534" s="2"/>
      <c r="F534" s="2"/>
      <c r="G534" s="2"/>
    </row>
    <row r="535" spans="1:7" ht="13.2" x14ac:dyDescent="0.25">
      <c r="A535" s="2"/>
      <c r="B535" s="2"/>
      <c r="C535" s="2"/>
      <c r="D535" s="2"/>
      <c r="E535" s="2"/>
      <c r="F535" s="2"/>
      <c r="G535" s="2"/>
    </row>
    <row r="536" spans="1:7" ht="13.2" x14ac:dyDescent="0.25">
      <c r="A536" s="2"/>
      <c r="B536" s="2"/>
      <c r="C536" s="2"/>
      <c r="D536" s="2"/>
      <c r="E536" s="2"/>
      <c r="F536" s="2"/>
      <c r="G536" s="2"/>
    </row>
    <row r="537" spans="1:7" ht="13.2" x14ac:dyDescent="0.25">
      <c r="A537" s="2"/>
      <c r="B537" s="2"/>
      <c r="C537" s="2"/>
      <c r="D537" s="2"/>
      <c r="E537" s="2"/>
      <c r="F537" s="2"/>
      <c r="G537" s="2"/>
    </row>
    <row r="538" spans="1:7" ht="13.2" x14ac:dyDescent="0.25">
      <c r="A538" s="2"/>
      <c r="B538" s="2"/>
      <c r="C538" s="2"/>
      <c r="D538" s="2"/>
      <c r="E538" s="2"/>
      <c r="F538" s="2"/>
      <c r="G538" s="2"/>
    </row>
    <row r="539" spans="1:7" ht="13.2" x14ac:dyDescent="0.25">
      <c r="A539" s="2"/>
      <c r="B539" s="2"/>
      <c r="C539" s="2"/>
      <c r="D539" s="2"/>
      <c r="E539" s="2"/>
      <c r="F539" s="2"/>
      <c r="G539" s="2"/>
    </row>
    <row r="540" spans="1:7" ht="13.2" x14ac:dyDescent="0.25">
      <c r="A540" s="2"/>
      <c r="B540" s="2"/>
      <c r="C540" s="2"/>
      <c r="D540" s="2"/>
      <c r="E540" s="2"/>
      <c r="F540" s="2"/>
      <c r="G540" s="2"/>
    </row>
    <row r="541" spans="1:7" ht="13.2" x14ac:dyDescent="0.25">
      <c r="A541" s="2"/>
      <c r="B541" s="2"/>
      <c r="C541" s="2"/>
      <c r="D541" s="2"/>
      <c r="E541" s="2"/>
      <c r="F541" s="2"/>
      <c r="G541" s="2"/>
    </row>
    <row r="542" spans="1:7" ht="13.2" x14ac:dyDescent="0.25">
      <c r="A542" s="2"/>
      <c r="B542" s="2"/>
      <c r="C542" s="2"/>
      <c r="D542" s="2"/>
      <c r="E542" s="2"/>
      <c r="F542" s="2"/>
      <c r="G542" s="2"/>
    </row>
    <row r="543" spans="1:7" ht="13.2" x14ac:dyDescent="0.25">
      <c r="A543" s="2"/>
      <c r="B543" s="2"/>
      <c r="C543" s="2"/>
      <c r="D543" s="2"/>
      <c r="E543" s="2"/>
      <c r="F543" s="2"/>
      <c r="G543" s="2"/>
    </row>
    <row r="544" spans="1:7" ht="13.2" x14ac:dyDescent="0.25">
      <c r="A544" s="2"/>
      <c r="B544" s="2"/>
      <c r="C544" s="2"/>
      <c r="D544" s="2"/>
      <c r="E544" s="2"/>
      <c r="F544" s="2"/>
      <c r="G544" s="2"/>
    </row>
    <row r="545" spans="1:7" ht="13.2" x14ac:dyDescent="0.25">
      <c r="A545" s="2"/>
      <c r="B545" s="2"/>
      <c r="C545" s="2"/>
      <c r="D545" s="2"/>
      <c r="E545" s="2"/>
      <c r="F545" s="2"/>
      <c r="G545" s="2"/>
    </row>
    <row r="546" spans="1:7" ht="13.2" x14ac:dyDescent="0.25">
      <c r="A546" s="2"/>
      <c r="B546" s="2"/>
      <c r="C546" s="2"/>
      <c r="D546" s="2"/>
      <c r="E546" s="2"/>
      <c r="F546" s="2"/>
      <c r="G546" s="2"/>
    </row>
    <row r="547" spans="1:7" ht="13.2" x14ac:dyDescent="0.25">
      <c r="A547" s="2"/>
      <c r="B547" s="2"/>
      <c r="C547" s="2"/>
      <c r="D547" s="2"/>
      <c r="E547" s="2"/>
      <c r="F547" s="2"/>
      <c r="G547" s="2"/>
    </row>
    <row r="548" spans="1:7" ht="13.2" x14ac:dyDescent="0.25">
      <c r="A548" s="2"/>
      <c r="B548" s="2"/>
      <c r="C548" s="2"/>
      <c r="D548" s="2"/>
      <c r="E548" s="2"/>
      <c r="F548" s="2"/>
      <c r="G548" s="2"/>
    </row>
    <row r="549" spans="1:7" ht="13.2" x14ac:dyDescent="0.25">
      <c r="A549" s="2"/>
      <c r="B549" s="2"/>
      <c r="C549" s="2"/>
      <c r="D549" s="2"/>
      <c r="E549" s="2"/>
      <c r="F549" s="2"/>
      <c r="G549" s="2"/>
    </row>
    <row r="550" spans="1:7" ht="13.2" x14ac:dyDescent="0.25">
      <c r="A550" s="2"/>
      <c r="B550" s="2"/>
      <c r="C550" s="2"/>
      <c r="D550" s="2"/>
      <c r="E550" s="2"/>
      <c r="F550" s="2"/>
      <c r="G550" s="2"/>
    </row>
    <row r="551" spans="1:7" ht="13.2" x14ac:dyDescent="0.25">
      <c r="A551" s="2"/>
      <c r="B551" s="2"/>
      <c r="C551" s="2"/>
      <c r="D551" s="2"/>
      <c r="E551" s="2"/>
      <c r="F551" s="2"/>
      <c r="G551" s="2"/>
    </row>
    <row r="552" spans="1:7" ht="13.2" x14ac:dyDescent="0.25">
      <c r="A552" s="2"/>
      <c r="B552" s="2"/>
      <c r="C552" s="2"/>
      <c r="D552" s="2"/>
      <c r="E552" s="2"/>
      <c r="F552" s="2"/>
      <c r="G552" s="2"/>
    </row>
    <row r="553" spans="1:7" ht="13.2" x14ac:dyDescent="0.25">
      <c r="A553" s="2"/>
      <c r="B553" s="2"/>
      <c r="C553" s="2"/>
      <c r="D553" s="2"/>
      <c r="E553" s="2"/>
      <c r="F553" s="2"/>
      <c r="G553" s="2"/>
    </row>
    <row r="554" spans="1:7" ht="13.2" x14ac:dyDescent="0.25">
      <c r="A554" s="2"/>
      <c r="B554" s="2"/>
      <c r="C554" s="2"/>
      <c r="D554" s="2"/>
      <c r="E554" s="2"/>
      <c r="F554" s="2"/>
      <c r="G554" s="2"/>
    </row>
    <row r="555" spans="1:7" ht="13.2" x14ac:dyDescent="0.25">
      <c r="A555" s="2"/>
      <c r="B555" s="2"/>
      <c r="C555" s="2"/>
      <c r="D555" s="2"/>
      <c r="E555" s="2"/>
      <c r="F555" s="2"/>
      <c r="G555" s="2"/>
    </row>
    <row r="556" spans="1:7" ht="13.2" x14ac:dyDescent="0.25">
      <c r="A556" s="2"/>
      <c r="B556" s="2"/>
      <c r="C556" s="2"/>
      <c r="D556" s="2"/>
      <c r="E556" s="2"/>
      <c r="F556" s="2"/>
      <c r="G556" s="2"/>
    </row>
    <row r="557" spans="1:7" ht="13.2" x14ac:dyDescent="0.25">
      <c r="A557" s="2"/>
      <c r="B557" s="2"/>
      <c r="C557" s="2"/>
      <c r="D557" s="2"/>
      <c r="E557" s="2"/>
      <c r="F557" s="2"/>
      <c r="G557" s="2"/>
    </row>
    <row r="558" spans="1:7" ht="13.2" x14ac:dyDescent="0.25">
      <c r="A558" s="2"/>
      <c r="B558" s="2"/>
      <c r="C558" s="2"/>
      <c r="D558" s="2"/>
      <c r="E558" s="2"/>
      <c r="F558" s="2"/>
      <c r="G558" s="2"/>
    </row>
    <row r="559" spans="1:7" ht="13.2" x14ac:dyDescent="0.25">
      <c r="A559" s="2"/>
      <c r="B559" s="2"/>
      <c r="C559" s="2"/>
      <c r="D559" s="2"/>
      <c r="E559" s="2"/>
      <c r="F559" s="2"/>
      <c r="G559" s="2"/>
    </row>
    <row r="560" spans="1:7" ht="13.2" x14ac:dyDescent="0.25">
      <c r="A560" s="2"/>
      <c r="B560" s="2"/>
      <c r="C560" s="2"/>
      <c r="D560" s="2"/>
      <c r="E560" s="2"/>
      <c r="F560" s="2"/>
      <c r="G560" s="2"/>
    </row>
    <row r="561" spans="1:7" ht="13.2" x14ac:dyDescent="0.25">
      <c r="A561" s="2"/>
      <c r="B561" s="2"/>
      <c r="C561" s="2"/>
      <c r="D561" s="2"/>
      <c r="E561" s="2"/>
      <c r="F561" s="2"/>
      <c r="G561" s="2"/>
    </row>
    <row r="562" spans="1:7" ht="13.2" x14ac:dyDescent="0.25">
      <c r="A562" s="2"/>
      <c r="B562" s="2"/>
      <c r="C562" s="2"/>
      <c r="D562" s="2"/>
      <c r="E562" s="2"/>
      <c r="F562" s="2"/>
      <c r="G562" s="2"/>
    </row>
    <row r="563" spans="1:7" ht="13.2" x14ac:dyDescent="0.25">
      <c r="A563" s="2"/>
      <c r="B563" s="2"/>
      <c r="C563" s="2"/>
      <c r="D563" s="2"/>
      <c r="E563" s="2"/>
      <c r="F563" s="2"/>
      <c r="G563" s="2"/>
    </row>
    <row r="564" spans="1:7" ht="13.2" x14ac:dyDescent="0.25">
      <c r="A564" s="2"/>
      <c r="B564" s="2"/>
      <c r="C564" s="2"/>
      <c r="D564" s="2"/>
      <c r="E564" s="2"/>
      <c r="F564" s="2"/>
      <c r="G564" s="2"/>
    </row>
    <row r="565" spans="1:7" ht="13.2" x14ac:dyDescent="0.25">
      <c r="A565" s="2"/>
      <c r="B565" s="2"/>
      <c r="C565" s="2"/>
      <c r="D565" s="2"/>
      <c r="E565" s="2"/>
      <c r="F565" s="2"/>
      <c r="G565" s="2"/>
    </row>
    <row r="566" spans="1:7" ht="13.2" x14ac:dyDescent="0.25">
      <c r="A566" s="2"/>
      <c r="B566" s="2"/>
      <c r="C566" s="2"/>
      <c r="D566" s="2"/>
      <c r="E566" s="2"/>
      <c r="F566" s="2"/>
      <c r="G566" s="2"/>
    </row>
    <row r="567" spans="1:7" ht="13.2" x14ac:dyDescent="0.25">
      <c r="A567" s="2"/>
      <c r="B567" s="2"/>
      <c r="C567" s="2"/>
      <c r="D567" s="2"/>
      <c r="E567" s="2"/>
      <c r="F567" s="2"/>
      <c r="G567" s="2"/>
    </row>
    <row r="568" spans="1:7" ht="13.2" x14ac:dyDescent="0.25">
      <c r="A568" s="2"/>
      <c r="B568" s="2"/>
      <c r="C568" s="2"/>
      <c r="D568" s="2"/>
      <c r="E568" s="2"/>
      <c r="F568" s="2"/>
      <c r="G568" s="2"/>
    </row>
    <row r="569" spans="1:7" ht="13.2" x14ac:dyDescent="0.25">
      <c r="A569" s="2"/>
      <c r="B569" s="2"/>
      <c r="C569" s="2"/>
      <c r="D569" s="2"/>
      <c r="E569" s="2"/>
      <c r="F569" s="2"/>
      <c r="G569" s="2"/>
    </row>
    <row r="570" spans="1:7" ht="13.2" x14ac:dyDescent="0.25">
      <c r="A570" s="2"/>
      <c r="B570" s="2"/>
      <c r="C570" s="2"/>
      <c r="D570" s="2"/>
      <c r="E570" s="2"/>
      <c r="F570" s="2"/>
      <c r="G570" s="2"/>
    </row>
    <row r="571" spans="1:7" ht="13.2" x14ac:dyDescent="0.25">
      <c r="A571" s="2"/>
      <c r="B571" s="2"/>
      <c r="C571" s="2"/>
      <c r="D571" s="2"/>
      <c r="E571" s="2"/>
      <c r="F571" s="2"/>
      <c r="G571" s="2"/>
    </row>
    <row r="572" spans="1:7" ht="13.2" x14ac:dyDescent="0.25">
      <c r="A572" s="2"/>
      <c r="B572" s="2"/>
      <c r="C572" s="2"/>
      <c r="D572" s="2"/>
      <c r="E572" s="2"/>
      <c r="F572" s="2"/>
      <c r="G572" s="2"/>
    </row>
    <row r="573" spans="1:7" ht="13.2" x14ac:dyDescent="0.25">
      <c r="A573" s="2"/>
      <c r="B573" s="2"/>
      <c r="C573" s="2"/>
      <c r="D573" s="2"/>
      <c r="E573" s="2"/>
      <c r="F573" s="2"/>
      <c r="G573" s="2"/>
    </row>
    <row r="574" spans="1:7" ht="13.2" x14ac:dyDescent="0.25">
      <c r="A574" s="2"/>
      <c r="B574" s="2"/>
      <c r="C574" s="2"/>
      <c r="D574" s="2"/>
      <c r="E574" s="2"/>
      <c r="F574" s="2"/>
      <c r="G574" s="2"/>
    </row>
    <row r="575" spans="1:7" ht="13.2" x14ac:dyDescent="0.25">
      <c r="A575" s="2"/>
      <c r="B575" s="2"/>
      <c r="C575" s="2"/>
      <c r="D575" s="2"/>
      <c r="E575" s="2"/>
      <c r="F575" s="2"/>
      <c r="G575" s="2"/>
    </row>
    <row r="576" spans="1:7" ht="13.2" x14ac:dyDescent="0.25">
      <c r="A576" s="2"/>
      <c r="B576" s="2"/>
      <c r="C576" s="2"/>
      <c r="D576" s="2"/>
      <c r="E576" s="2"/>
      <c r="F576" s="2"/>
      <c r="G576" s="2"/>
    </row>
    <row r="577" spans="1:7" ht="13.2" x14ac:dyDescent="0.25">
      <c r="A577" s="2"/>
      <c r="B577" s="2"/>
      <c r="C577" s="2"/>
      <c r="D577" s="2"/>
      <c r="E577" s="2"/>
      <c r="F577" s="2"/>
      <c r="G577" s="2"/>
    </row>
    <row r="578" spans="1:7" ht="13.2" x14ac:dyDescent="0.25">
      <c r="A578" s="2"/>
      <c r="B578" s="2"/>
      <c r="C578" s="2"/>
      <c r="D578" s="2"/>
      <c r="E578" s="2"/>
      <c r="F578" s="2"/>
      <c r="G578" s="2"/>
    </row>
    <row r="579" spans="1:7" ht="13.2" x14ac:dyDescent="0.25">
      <c r="A579" s="2"/>
      <c r="B579" s="2"/>
      <c r="C579" s="2"/>
      <c r="D579" s="2"/>
      <c r="E579" s="2"/>
      <c r="F579" s="2"/>
      <c r="G579" s="2"/>
    </row>
    <row r="580" spans="1:7" ht="13.2" x14ac:dyDescent="0.25">
      <c r="A580" s="2"/>
      <c r="B580" s="2"/>
      <c r="C580" s="2"/>
      <c r="D580" s="2"/>
      <c r="E580" s="2"/>
      <c r="F580" s="2"/>
      <c r="G580" s="2"/>
    </row>
    <row r="581" spans="1:7" ht="13.2" x14ac:dyDescent="0.25">
      <c r="A581" s="2"/>
      <c r="B581" s="2"/>
      <c r="C581" s="2"/>
      <c r="D581" s="2"/>
      <c r="E581" s="2"/>
      <c r="F581" s="2"/>
      <c r="G581" s="2"/>
    </row>
    <row r="582" spans="1:7" ht="13.2" x14ac:dyDescent="0.25">
      <c r="A582" s="2"/>
      <c r="B582" s="2"/>
      <c r="C582" s="2"/>
      <c r="D582" s="2"/>
      <c r="E582" s="2"/>
      <c r="F582" s="2"/>
      <c r="G582" s="2"/>
    </row>
    <row r="583" spans="1:7" ht="13.2" x14ac:dyDescent="0.25">
      <c r="A583" s="2"/>
      <c r="B583" s="2"/>
      <c r="C583" s="2"/>
      <c r="D583" s="2"/>
      <c r="E583" s="2"/>
      <c r="F583" s="2"/>
      <c r="G583" s="2"/>
    </row>
    <row r="584" spans="1:7" ht="13.2" x14ac:dyDescent="0.25">
      <c r="A584" s="2"/>
      <c r="B584" s="2"/>
      <c r="C584" s="2"/>
      <c r="D584" s="2"/>
      <c r="E584" s="2"/>
      <c r="F584" s="2"/>
      <c r="G584" s="2"/>
    </row>
    <row r="585" spans="1:7" ht="13.2" x14ac:dyDescent="0.25">
      <c r="A585" s="2"/>
      <c r="B585" s="2"/>
      <c r="C585" s="2"/>
      <c r="D585" s="2"/>
      <c r="E585" s="2"/>
      <c r="F585" s="2"/>
      <c r="G585" s="2"/>
    </row>
    <row r="586" spans="1:7" ht="13.2" x14ac:dyDescent="0.25">
      <c r="A586" s="2"/>
      <c r="B586" s="2"/>
      <c r="C586" s="2"/>
      <c r="D586" s="2"/>
      <c r="E586" s="2"/>
      <c r="F586" s="2"/>
      <c r="G586" s="2"/>
    </row>
    <row r="587" spans="1:7" ht="13.2" x14ac:dyDescent="0.25">
      <c r="A587" s="2"/>
      <c r="B587" s="2"/>
      <c r="C587" s="2"/>
      <c r="D587" s="2"/>
      <c r="E587" s="2"/>
      <c r="F587" s="2"/>
      <c r="G587" s="2"/>
    </row>
    <row r="588" spans="1:7" ht="13.2" x14ac:dyDescent="0.25">
      <c r="A588" s="2"/>
      <c r="B588" s="2"/>
      <c r="C588" s="2"/>
      <c r="D588" s="2"/>
      <c r="E588" s="2"/>
      <c r="F588" s="2"/>
      <c r="G588" s="2"/>
    </row>
    <row r="589" spans="1:7" ht="13.2" x14ac:dyDescent="0.25">
      <c r="A589" s="2"/>
      <c r="B589" s="2"/>
      <c r="C589" s="2"/>
      <c r="D589" s="2"/>
      <c r="E589" s="2"/>
      <c r="F589" s="2"/>
      <c r="G589" s="2"/>
    </row>
    <row r="590" spans="1:7" ht="13.2" x14ac:dyDescent="0.25">
      <c r="A590" s="2"/>
      <c r="B590" s="2"/>
      <c r="C590" s="2"/>
      <c r="D590" s="2"/>
      <c r="E590" s="2"/>
      <c r="F590" s="2"/>
      <c r="G590" s="2"/>
    </row>
    <row r="591" spans="1:7" ht="13.2" x14ac:dyDescent="0.25">
      <c r="A591" s="2"/>
      <c r="B591" s="2"/>
      <c r="C591" s="2"/>
      <c r="D591" s="2"/>
      <c r="E591" s="2"/>
      <c r="F591" s="2"/>
      <c r="G591" s="2"/>
    </row>
    <row r="592" spans="1:7" ht="13.2" x14ac:dyDescent="0.25">
      <c r="A592" s="2"/>
      <c r="B592" s="2"/>
      <c r="C592" s="2"/>
      <c r="D592" s="2"/>
      <c r="E592" s="2"/>
      <c r="F592" s="2"/>
      <c r="G592" s="2"/>
    </row>
    <row r="593" spans="1:7" ht="13.2" x14ac:dyDescent="0.25">
      <c r="A593" s="2"/>
      <c r="B593" s="2"/>
      <c r="C593" s="2"/>
      <c r="D593" s="2"/>
      <c r="E593" s="2"/>
      <c r="F593" s="2"/>
      <c r="G593" s="2"/>
    </row>
    <row r="594" spans="1:7" ht="13.2" x14ac:dyDescent="0.25">
      <c r="A594" s="2"/>
      <c r="B594" s="2"/>
      <c r="C594" s="2"/>
      <c r="D594" s="2"/>
      <c r="E594" s="2"/>
      <c r="F594" s="2"/>
      <c r="G594" s="2"/>
    </row>
    <row r="595" spans="1:7" ht="13.2" x14ac:dyDescent="0.25">
      <c r="A595" s="2"/>
      <c r="B595" s="2"/>
      <c r="C595" s="2"/>
      <c r="D595" s="2"/>
      <c r="E595" s="2"/>
      <c r="F595" s="2"/>
      <c r="G595" s="2"/>
    </row>
    <row r="596" spans="1:7" ht="13.2" x14ac:dyDescent="0.25">
      <c r="A596" s="2"/>
      <c r="B596" s="2"/>
      <c r="C596" s="2"/>
      <c r="D596" s="2"/>
      <c r="E596" s="2"/>
      <c r="F596" s="2"/>
      <c r="G596" s="2"/>
    </row>
    <row r="597" spans="1:7" ht="13.2" x14ac:dyDescent="0.25">
      <c r="A597" s="2"/>
      <c r="B597" s="2"/>
      <c r="C597" s="2"/>
      <c r="D597" s="2"/>
      <c r="E597" s="2"/>
      <c r="F597" s="2"/>
      <c r="G597" s="2"/>
    </row>
    <row r="598" spans="1:7" ht="13.2" x14ac:dyDescent="0.25">
      <c r="A598" s="2"/>
      <c r="B598" s="2"/>
      <c r="C598" s="2"/>
      <c r="D598" s="2"/>
      <c r="E598" s="2"/>
      <c r="F598" s="2"/>
      <c r="G598" s="2"/>
    </row>
    <row r="599" spans="1:7" ht="13.2" x14ac:dyDescent="0.25">
      <c r="A599" s="2"/>
      <c r="B599" s="2"/>
      <c r="C599" s="2"/>
      <c r="D599" s="2"/>
      <c r="E599" s="2"/>
      <c r="F599" s="2"/>
      <c r="G599" s="2"/>
    </row>
    <row r="600" spans="1:7" ht="13.2" x14ac:dyDescent="0.25">
      <c r="A600" s="2"/>
      <c r="B600" s="2"/>
      <c r="C600" s="2"/>
      <c r="D600" s="2"/>
      <c r="E600" s="2"/>
      <c r="F600" s="2"/>
      <c r="G600" s="2"/>
    </row>
    <row r="601" spans="1:7" ht="13.2" x14ac:dyDescent="0.25">
      <c r="A601" s="2"/>
      <c r="B601" s="2"/>
      <c r="C601" s="2"/>
      <c r="D601" s="2"/>
      <c r="E601" s="2"/>
      <c r="F601" s="2"/>
      <c r="G601" s="2"/>
    </row>
    <row r="602" spans="1:7" ht="13.2" x14ac:dyDescent="0.25">
      <c r="A602" s="2"/>
      <c r="B602" s="2"/>
      <c r="C602" s="2"/>
      <c r="D602" s="2"/>
      <c r="E602" s="2"/>
      <c r="F602" s="2"/>
      <c r="G602" s="2"/>
    </row>
    <row r="603" spans="1:7" ht="13.2" x14ac:dyDescent="0.25">
      <c r="A603" s="2"/>
      <c r="B603" s="2"/>
      <c r="C603" s="2"/>
      <c r="D603" s="2"/>
      <c r="E603" s="2"/>
      <c r="F603" s="2"/>
      <c r="G603" s="2"/>
    </row>
    <row r="604" spans="1:7" ht="13.2" x14ac:dyDescent="0.25">
      <c r="A604" s="2"/>
      <c r="B604" s="2"/>
      <c r="C604" s="2"/>
      <c r="D604" s="2"/>
      <c r="E604" s="2"/>
      <c r="F604" s="2"/>
      <c r="G604" s="2"/>
    </row>
    <row r="605" spans="1:7" ht="13.2" x14ac:dyDescent="0.25">
      <c r="A605" s="2"/>
      <c r="B605" s="2"/>
      <c r="C605" s="2"/>
      <c r="D605" s="2"/>
      <c r="E605" s="2"/>
      <c r="F605" s="2"/>
      <c r="G605" s="2"/>
    </row>
    <row r="606" spans="1:7" ht="13.2" x14ac:dyDescent="0.25">
      <c r="A606" s="2"/>
      <c r="B606" s="2"/>
      <c r="C606" s="2"/>
      <c r="D606" s="2"/>
      <c r="E606" s="2"/>
      <c r="F606" s="2"/>
      <c r="G606" s="2"/>
    </row>
    <row r="607" spans="1:7" ht="13.2" x14ac:dyDescent="0.25">
      <c r="A607" s="2"/>
      <c r="B607" s="2"/>
      <c r="C607" s="2"/>
      <c r="D607" s="2"/>
      <c r="E607" s="2"/>
      <c r="F607" s="2"/>
      <c r="G607" s="2"/>
    </row>
    <row r="608" spans="1:7" ht="13.2" x14ac:dyDescent="0.25">
      <c r="A608" s="2"/>
      <c r="B608" s="2"/>
      <c r="C608" s="2"/>
      <c r="D608" s="2"/>
      <c r="E608" s="2"/>
      <c r="F608" s="2"/>
      <c r="G608" s="2"/>
    </row>
    <row r="609" spans="1:7" ht="13.2" x14ac:dyDescent="0.25">
      <c r="A609" s="2"/>
      <c r="B609" s="2"/>
      <c r="C609" s="2"/>
      <c r="D609" s="2"/>
      <c r="E609" s="2"/>
      <c r="F609" s="2"/>
      <c r="G609" s="2"/>
    </row>
    <row r="610" spans="1:7" ht="13.2" x14ac:dyDescent="0.25">
      <c r="A610" s="2"/>
      <c r="B610" s="2"/>
      <c r="C610" s="2"/>
      <c r="D610" s="2"/>
      <c r="E610" s="2"/>
      <c r="F610" s="2"/>
      <c r="G610" s="2"/>
    </row>
    <row r="611" spans="1:7" ht="13.2" x14ac:dyDescent="0.25">
      <c r="A611" s="2"/>
      <c r="B611" s="2"/>
      <c r="C611" s="2"/>
      <c r="D611" s="2"/>
      <c r="E611" s="2"/>
      <c r="F611" s="2"/>
      <c r="G611" s="2"/>
    </row>
    <row r="612" spans="1:7" ht="13.2" x14ac:dyDescent="0.25">
      <c r="A612" s="2"/>
      <c r="B612" s="2"/>
      <c r="C612" s="2"/>
      <c r="D612" s="2"/>
      <c r="E612" s="2"/>
      <c r="F612" s="2"/>
      <c r="G612" s="2"/>
    </row>
    <row r="613" spans="1:7" ht="13.2" x14ac:dyDescent="0.25">
      <c r="A613" s="2"/>
      <c r="B613" s="2"/>
      <c r="C613" s="2"/>
      <c r="D613" s="2"/>
      <c r="E613" s="2"/>
      <c r="F613" s="2"/>
      <c r="G613" s="2"/>
    </row>
    <row r="614" spans="1:7" ht="13.2" x14ac:dyDescent="0.25">
      <c r="A614" s="2"/>
      <c r="B614" s="2"/>
      <c r="C614" s="2"/>
      <c r="D614" s="2"/>
      <c r="E614" s="2"/>
      <c r="F614" s="2"/>
      <c r="G614" s="2"/>
    </row>
    <row r="615" spans="1:7" ht="13.2" x14ac:dyDescent="0.25">
      <c r="A615" s="2"/>
      <c r="B615" s="2"/>
      <c r="C615" s="2"/>
      <c r="D615" s="2"/>
      <c r="E615" s="2"/>
      <c r="F615" s="2"/>
      <c r="G615" s="2"/>
    </row>
    <row r="616" spans="1:7" ht="13.2" x14ac:dyDescent="0.25">
      <c r="A616" s="2"/>
      <c r="B616" s="2"/>
      <c r="C616" s="2"/>
      <c r="D616" s="2"/>
      <c r="E616" s="2"/>
      <c r="F616" s="2"/>
      <c r="G616" s="2"/>
    </row>
    <row r="617" spans="1:7" ht="13.2" x14ac:dyDescent="0.25">
      <c r="A617" s="2"/>
      <c r="B617" s="2"/>
      <c r="C617" s="2"/>
      <c r="D617" s="2"/>
      <c r="E617" s="2"/>
      <c r="F617" s="2"/>
      <c r="G617" s="2"/>
    </row>
    <row r="618" spans="1:7" ht="13.2" x14ac:dyDescent="0.25">
      <c r="A618" s="2"/>
      <c r="B618" s="2"/>
      <c r="C618" s="2"/>
      <c r="D618" s="2"/>
      <c r="E618" s="2"/>
      <c r="F618" s="2"/>
      <c r="G618" s="2"/>
    </row>
    <row r="619" spans="1:7" ht="13.2" x14ac:dyDescent="0.25">
      <c r="A619" s="2"/>
      <c r="B619" s="2"/>
      <c r="C619" s="2"/>
      <c r="D619" s="2"/>
      <c r="E619" s="2"/>
      <c r="F619" s="2"/>
      <c r="G619" s="2"/>
    </row>
    <row r="620" spans="1:7" ht="13.2" x14ac:dyDescent="0.25">
      <c r="A620" s="2"/>
      <c r="B620" s="2"/>
      <c r="C620" s="2"/>
      <c r="D620" s="2"/>
      <c r="E620" s="2"/>
      <c r="F620" s="2"/>
      <c r="G620" s="2"/>
    </row>
    <row r="621" spans="1:7" ht="13.2" x14ac:dyDescent="0.25">
      <c r="A621" s="2"/>
      <c r="B621" s="2"/>
      <c r="C621" s="2"/>
      <c r="D621" s="2"/>
      <c r="E621" s="2"/>
      <c r="F621" s="2"/>
      <c r="G621" s="2"/>
    </row>
    <row r="622" spans="1:7" ht="13.2" x14ac:dyDescent="0.25">
      <c r="A622" s="2"/>
      <c r="B622" s="2"/>
      <c r="C622" s="2"/>
      <c r="D622" s="2"/>
      <c r="E622" s="2"/>
      <c r="F622" s="2"/>
      <c r="G622" s="2"/>
    </row>
    <row r="623" spans="1:7" ht="13.2" x14ac:dyDescent="0.25">
      <c r="A623" s="2"/>
      <c r="B623" s="2"/>
      <c r="C623" s="2"/>
      <c r="D623" s="2"/>
      <c r="E623" s="2"/>
      <c r="F623" s="2"/>
      <c r="G623" s="2"/>
    </row>
    <row r="624" spans="1:7" ht="13.2" x14ac:dyDescent="0.25">
      <c r="A624" s="2"/>
      <c r="B624" s="2"/>
      <c r="C624" s="2"/>
      <c r="D624" s="2"/>
      <c r="E624" s="2"/>
      <c r="F624" s="2"/>
      <c r="G624" s="2"/>
    </row>
    <row r="625" spans="1:7" ht="13.2" x14ac:dyDescent="0.25">
      <c r="A625" s="2"/>
      <c r="B625" s="2"/>
      <c r="C625" s="2"/>
      <c r="D625" s="2"/>
      <c r="E625" s="2"/>
      <c r="F625" s="2"/>
      <c r="G625" s="2"/>
    </row>
    <row r="626" spans="1:7" ht="13.2" x14ac:dyDescent="0.25">
      <c r="A626" s="2"/>
      <c r="B626" s="2"/>
      <c r="C626" s="2"/>
      <c r="D626" s="2"/>
      <c r="E626" s="2"/>
      <c r="F626" s="2"/>
      <c r="G626" s="2"/>
    </row>
    <row r="627" spans="1:7" ht="13.2" x14ac:dyDescent="0.25">
      <c r="A627" s="2"/>
      <c r="B627" s="2"/>
      <c r="C627" s="2"/>
      <c r="D627" s="2"/>
      <c r="E627" s="2"/>
      <c r="F627" s="2"/>
      <c r="G627" s="2"/>
    </row>
    <row r="628" spans="1:7" ht="13.2" x14ac:dyDescent="0.25">
      <c r="A628" s="2"/>
      <c r="B628" s="2"/>
      <c r="C628" s="2"/>
      <c r="D628" s="2"/>
      <c r="E628" s="2"/>
      <c r="F628" s="2"/>
      <c r="G628" s="2"/>
    </row>
    <row r="629" spans="1:7" ht="13.2" x14ac:dyDescent="0.25">
      <c r="A629" s="2"/>
      <c r="B629" s="2"/>
      <c r="C629" s="2"/>
      <c r="D629" s="2"/>
      <c r="E629" s="2"/>
      <c r="F629" s="2"/>
      <c r="G629" s="2"/>
    </row>
    <row r="630" spans="1:7" ht="13.2" x14ac:dyDescent="0.25">
      <c r="A630" s="2"/>
      <c r="B630" s="2"/>
      <c r="C630" s="2"/>
      <c r="D630" s="2"/>
      <c r="E630" s="2"/>
      <c r="F630" s="2"/>
      <c r="G630" s="2"/>
    </row>
    <row r="631" spans="1:7" ht="13.2" x14ac:dyDescent="0.25">
      <c r="A631" s="2"/>
      <c r="B631" s="2"/>
      <c r="C631" s="2"/>
      <c r="D631" s="2"/>
      <c r="E631" s="2"/>
      <c r="F631" s="2"/>
      <c r="G631" s="2"/>
    </row>
    <row r="632" spans="1:7" ht="13.2" x14ac:dyDescent="0.25">
      <c r="A632" s="2"/>
      <c r="B632" s="2"/>
      <c r="C632" s="2"/>
      <c r="D632" s="2"/>
      <c r="E632" s="2"/>
      <c r="F632" s="2"/>
      <c r="G632" s="2"/>
    </row>
    <row r="633" spans="1:7" ht="13.2" x14ac:dyDescent="0.25">
      <c r="A633" s="2"/>
      <c r="B633" s="2"/>
      <c r="C633" s="2"/>
      <c r="D633" s="2"/>
      <c r="E633" s="2"/>
      <c r="F633" s="2"/>
      <c r="G633" s="2"/>
    </row>
    <row r="634" spans="1:7" ht="13.2" x14ac:dyDescent="0.25">
      <c r="A634" s="2"/>
      <c r="B634" s="2"/>
      <c r="C634" s="2"/>
      <c r="D634" s="2"/>
      <c r="E634" s="2"/>
      <c r="F634" s="2"/>
      <c r="G634" s="2"/>
    </row>
    <row r="635" spans="1:7" ht="13.2" x14ac:dyDescent="0.25">
      <c r="A635" s="2"/>
      <c r="B635" s="2"/>
      <c r="C635" s="2"/>
      <c r="D635" s="2"/>
      <c r="E635" s="2"/>
      <c r="F635" s="2"/>
      <c r="G635" s="2"/>
    </row>
    <row r="636" spans="1:7" ht="13.2" x14ac:dyDescent="0.25">
      <c r="A636" s="2"/>
      <c r="B636" s="2"/>
      <c r="C636" s="2"/>
      <c r="D636" s="2"/>
      <c r="E636" s="2"/>
      <c r="F636" s="2"/>
      <c r="G636" s="2"/>
    </row>
    <row r="637" spans="1:7" ht="13.2" x14ac:dyDescent="0.25">
      <c r="A637" s="2"/>
      <c r="B637" s="2"/>
      <c r="C637" s="2"/>
      <c r="D637" s="2"/>
      <c r="E637" s="2"/>
      <c r="F637" s="2"/>
      <c r="G637" s="2"/>
    </row>
    <row r="638" spans="1:7" ht="13.2" x14ac:dyDescent="0.25">
      <c r="A638" s="2"/>
      <c r="B638" s="2"/>
      <c r="C638" s="2"/>
      <c r="D638" s="2"/>
      <c r="E638" s="2"/>
      <c r="F638" s="2"/>
      <c r="G638" s="2"/>
    </row>
    <row r="639" spans="1:7" ht="13.2" x14ac:dyDescent="0.25">
      <c r="A639" s="2"/>
      <c r="B639" s="2"/>
      <c r="C639" s="2"/>
      <c r="D639" s="2"/>
      <c r="E639" s="2"/>
      <c r="F639" s="2"/>
      <c r="G639" s="2"/>
    </row>
    <row r="640" spans="1:7" ht="13.2" x14ac:dyDescent="0.25">
      <c r="A640" s="2"/>
      <c r="B640" s="2"/>
      <c r="C640" s="2"/>
      <c r="D640" s="2"/>
      <c r="E640" s="2"/>
      <c r="F640" s="2"/>
      <c r="G640" s="2"/>
    </row>
    <row r="641" spans="1:7" ht="13.2" x14ac:dyDescent="0.25">
      <c r="A641" s="2"/>
      <c r="B641" s="2"/>
      <c r="C641" s="2"/>
      <c r="D641" s="2"/>
      <c r="E641" s="2"/>
      <c r="F641" s="2"/>
      <c r="G641" s="2"/>
    </row>
    <row r="642" spans="1:7" ht="13.2" x14ac:dyDescent="0.25">
      <c r="A642" s="2"/>
      <c r="B642" s="2"/>
      <c r="C642" s="2"/>
      <c r="D642" s="2"/>
      <c r="E642" s="2"/>
      <c r="F642" s="2"/>
      <c r="G642" s="2"/>
    </row>
    <row r="643" spans="1:7" ht="13.2" x14ac:dyDescent="0.25">
      <c r="A643" s="2"/>
      <c r="B643" s="2"/>
      <c r="C643" s="2"/>
      <c r="D643" s="2"/>
      <c r="E643" s="2"/>
      <c r="F643" s="2"/>
      <c r="G643" s="2"/>
    </row>
    <row r="644" spans="1:7" ht="13.2" x14ac:dyDescent="0.25">
      <c r="A644" s="2"/>
      <c r="B644" s="2"/>
      <c r="C644" s="2"/>
      <c r="D644" s="2"/>
      <c r="E644" s="2"/>
      <c r="F644" s="2"/>
      <c r="G644" s="2"/>
    </row>
    <row r="645" spans="1:7" ht="13.2" x14ac:dyDescent="0.25">
      <c r="A645" s="2"/>
      <c r="B645" s="2"/>
      <c r="C645" s="2"/>
      <c r="D645" s="2"/>
      <c r="E645" s="2"/>
      <c r="F645" s="2"/>
      <c r="G645" s="2"/>
    </row>
    <row r="646" spans="1:7" ht="13.2" x14ac:dyDescent="0.25">
      <c r="A646" s="2"/>
      <c r="B646" s="2"/>
      <c r="C646" s="2"/>
      <c r="D646" s="2"/>
      <c r="E646" s="2"/>
      <c r="F646" s="2"/>
      <c r="G646" s="2"/>
    </row>
    <row r="647" spans="1:7" ht="13.2" x14ac:dyDescent="0.25">
      <c r="A647" s="2"/>
      <c r="B647" s="2"/>
      <c r="C647" s="2"/>
      <c r="D647" s="2"/>
      <c r="E647" s="2"/>
      <c r="F647" s="2"/>
      <c r="G647" s="2"/>
    </row>
    <row r="648" spans="1:7" ht="13.2" x14ac:dyDescent="0.25">
      <c r="A648" s="2"/>
      <c r="B648" s="2"/>
      <c r="C648" s="2"/>
      <c r="D648" s="2"/>
      <c r="E648" s="2"/>
      <c r="F648" s="2"/>
      <c r="G648" s="2"/>
    </row>
    <row r="649" spans="1:7" ht="13.2" x14ac:dyDescent="0.25">
      <c r="A649" s="2"/>
      <c r="B649" s="2"/>
      <c r="C649" s="2"/>
      <c r="D649" s="2"/>
      <c r="E649" s="2"/>
      <c r="F649" s="2"/>
      <c r="G649" s="2"/>
    </row>
    <row r="650" spans="1:7" ht="13.2" x14ac:dyDescent="0.25">
      <c r="A650" s="2"/>
      <c r="B650" s="2"/>
      <c r="C650" s="2"/>
      <c r="D650" s="2"/>
      <c r="E650" s="2"/>
      <c r="F650" s="2"/>
      <c r="G650" s="2"/>
    </row>
    <row r="651" spans="1:7" ht="13.2" x14ac:dyDescent="0.25">
      <c r="A651" s="2"/>
      <c r="B651" s="2"/>
      <c r="C651" s="2"/>
      <c r="D651" s="2"/>
      <c r="E651" s="2"/>
      <c r="F651" s="2"/>
      <c r="G651" s="2"/>
    </row>
    <row r="652" spans="1:7" ht="13.2" x14ac:dyDescent="0.25">
      <c r="A652" s="2"/>
      <c r="B652" s="2"/>
      <c r="C652" s="2"/>
      <c r="D652" s="2"/>
      <c r="E652" s="2"/>
      <c r="F652" s="2"/>
      <c r="G652" s="2"/>
    </row>
    <row r="653" spans="1:7" ht="13.2" x14ac:dyDescent="0.25">
      <c r="A653" s="2"/>
      <c r="B653" s="2"/>
      <c r="C653" s="2"/>
      <c r="D653" s="2"/>
      <c r="E653" s="2"/>
      <c r="F653" s="2"/>
      <c r="G653" s="2"/>
    </row>
    <row r="654" spans="1:7" ht="13.2" x14ac:dyDescent="0.25">
      <c r="A654" s="2"/>
      <c r="B654" s="2"/>
      <c r="C654" s="2"/>
      <c r="D654" s="2"/>
      <c r="E654" s="2"/>
      <c r="F654" s="2"/>
      <c r="G654" s="2"/>
    </row>
    <row r="655" spans="1:7" ht="13.2" x14ac:dyDescent="0.25">
      <c r="A655" s="2"/>
      <c r="B655" s="2"/>
      <c r="C655" s="2"/>
      <c r="D655" s="2"/>
      <c r="E655" s="2"/>
      <c r="F655" s="2"/>
      <c r="G655" s="2"/>
    </row>
    <row r="656" spans="1:7" ht="13.2" x14ac:dyDescent="0.25">
      <c r="A656" s="2"/>
      <c r="B656" s="2"/>
      <c r="C656" s="2"/>
      <c r="D656" s="2"/>
      <c r="E656" s="2"/>
      <c r="F656" s="2"/>
      <c r="G656" s="2"/>
    </row>
    <row r="657" spans="1:7" ht="13.2" x14ac:dyDescent="0.25">
      <c r="A657" s="2"/>
      <c r="B657" s="2"/>
      <c r="C657" s="2"/>
      <c r="D657" s="2"/>
      <c r="E657" s="2"/>
      <c r="F657" s="2"/>
      <c r="G657" s="2"/>
    </row>
    <row r="658" spans="1:7" ht="13.2" x14ac:dyDescent="0.25">
      <c r="A658" s="2"/>
      <c r="B658" s="2"/>
      <c r="C658" s="2"/>
      <c r="D658" s="2"/>
      <c r="E658" s="2"/>
      <c r="F658" s="2"/>
      <c r="G658" s="2"/>
    </row>
    <row r="659" spans="1:7" ht="13.2" x14ac:dyDescent="0.25">
      <c r="A659" s="2"/>
      <c r="B659" s="2"/>
      <c r="C659" s="2"/>
      <c r="D659" s="2"/>
      <c r="E659" s="2"/>
      <c r="F659" s="2"/>
      <c r="G659" s="2"/>
    </row>
    <row r="660" spans="1:7" ht="13.2" x14ac:dyDescent="0.25">
      <c r="A660" s="2"/>
      <c r="B660" s="2"/>
      <c r="C660" s="2"/>
      <c r="D660" s="2"/>
      <c r="E660" s="2"/>
      <c r="F660" s="2"/>
      <c r="G660" s="2"/>
    </row>
    <row r="661" spans="1:7" ht="13.2" x14ac:dyDescent="0.25">
      <c r="A661" s="2"/>
      <c r="B661" s="2"/>
      <c r="C661" s="2"/>
      <c r="D661" s="2"/>
      <c r="E661" s="2"/>
      <c r="F661" s="2"/>
      <c r="G661" s="2"/>
    </row>
    <row r="662" spans="1:7" ht="13.2" x14ac:dyDescent="0.25">
      <c r="A662" s="2"/>
      <c r="B662" s="2"/>
      <c r="C662" s="2"/>
      <c r="D662" s="2"/>
      <c r="E662" s="2"/>
      <c r="F662" s="2"/>
      <c r="G662" s="2"/>
    </row>
    <row r="663" spans="1:7" ht="13.2" x14ac:dyDescent="0.25">
      <c r="A663" s="2"/>
      <c r="B663" s="2"/>
      <c r="C663" s="2"/>
      <c r="D663" s="2"/>
      <c r="E663" s="2"/>
      <c r="F663" s="2"/>
      <c r="G663" s="2"/>
    </row>
    <row r="664" spans="1:7" ht="13.2" x14ac:dyDescent="0.25">
      <c r="A664" s="2"/>
      <c r="B664" s="2"/>
      <c r="C664" s="2"/>
      <c r="D664" s="2"/>
      <c r="E664" s="2"/>
      <c r="F664" s="2"/>
      <c r="G664" s="2"/>
    </row>
    <row r="665" spans="1:7" ht="13.2" x14ac:dyDescent="0.25">
      <c r="A665" s="2"/>
      <c r="B665" s="2"/>
      <c r="C665" s="2"/>
      <c r="D665" s="2"/>
      <c r="E665" s="2"/>
      <c r="F665" s="2"/>
      <c r="G665" s="2"/>
    </row>
    <row r="666" spans="1:7" ht="13.2" x14ac:dyDescent="0.25">
      <c r="A666" s="2"/>
      <c r="B666" s="2"/>
      <c r="C666" s="2"/>
      <c r="D666" s="2"/>
      <c r="E666" s="2"/>
      <c r="F666" s="2"/>
      <c r="G666" s="2"/>
    </row>
    <row r="667" spans="1:7" ht="13.2" x14ac:dyDescent="0.25">
      <c r="A667" s="2"/>
      <c r="B667" s="2"/>
      <c r="C667" s="2"/>
      <c r="D667" s="2"/>
      <c r="E667" s="2"/>
      <c r="F667" s="2"/>
      <c r="G667" s="2"/>
    </row>
    <row r="668" spans="1:7" ht="13.2" x14ac:dyDescent="0.25">
      <c r="A668" s="2"/>
      <c r="B668" s="2"/>
      <c r="C668" s="2"/>
      <c r="D668" s="2"/>
      <c r="E668" s="2"/>
      <c r="F668" s="2"/>
      <c r="G668" s="2"/>
    </row>
    <row r="669" spans="1:7" ht="13.2" x14ac:dyDescent="0.25">
      <c r="A669" s="2"/>
      <c r="B669" s="2"/>
      <c r="C669" s="2"/>
      <c r="D669" s="2"/>
      <c r="E669" s="2"/>
      <c r="F669" s="2"/>
      <c r="G669" s="2"/>
    </row>
    <row r="670" spans="1:7" ht="13.2" x14ac:dyDescent="0.25">
      <c r="A670" s="2"/>
      <c r="B670" s="2"/>
      <c r="C670" s="2"/>
      <c r="D670" s="2"/>
      <c r="E670" s="2"/>
      <c r="F670" s="2"/>
      <c r="G670" s="2"/>
    </row>
    <row r="671" spans="1:7" ht="13.2" x14ac:dyDescent="0.25">
      <c r="A671" s="2"/>
      <c r="B671" s="2"/>
      <c r="C671" s="2"/>
      <c r="D671" s="2"/>
      <c r="E671" s="2"/>
      <c r="F671" s="2"/>
      <c r="G671" s="2"/>
    </row>
    <row r="672" spans="1:7" ht="13.2" x14ac:dyDescent="0.25">
      <c r="A672" s="2"/>
      <c r="B672" s="2"/>
      <c r="C672" s="2"/>
      <c r="D672" s="2"/>
      <c r="E672" s="2"/>
      <c r="F672" s="2"/>
      <c r="G672" s="2"/>
    </row>
    <row r="673" spans="1:7" ht="13.2" x14ac:dyDescent="0.25">
      <c r="A673" s="2"/>
      <c r="B673" s="2"/>
      <c r="C673" s="2"/>
      <c r="D673" s="2"/>
      <c r="E673" s="2"/>
      <c r="F673" s="2"/>
      <c r="G673" s="2"/>
    </row>
    <row r="674" spans="1:7" ht="13.2" x14ac:dyDescent="0.25">
      <c r="A674" s="2"/>
      <c r="B674" s="2"/>
      <c r="C674" s="2"/>
      <c r="D674" s="2"/>
      <c r="E674" s="2"/>
      <c r="F674" s="2"/>
      <c r="G674" s="2"/>
    </row>
    <row r="675" spans="1:7" ht="13.2" x14ac:dyDescent="0.25">
      <c r="A675" s="2"/>
      <c r="B675" s="2"/>
      <c r="C675" s="2"/>
      <c r="D675" s="2"/>
      <c r="E675" s="2"/>
      <c r="F675" s="2"/>
      <c r="G675" s="2"/>
    </row>
    <row r="676" spans="1:7" ht="13.2" x14ac:dyDescent="0.25">
      <c r="A676" s="2"/>
      <c r="B676" s="2"/>
      <c r="C676" s="2"/>
      <c r="D676" s="2"/>
      <c r="E676" s="2"/>
      <c r="F676" s="2"/>
      <c r="G676" s="2"/>
    </row>
    <row r="677" spans="1:7" ht="13.2" x14ac:dyDescent="0.25">
      <c r="A677" s="2"/>
      <c r="B677" s="2"/>
      <c r="C677" s="2"/>
      <c r="D677" s="2"/>
      <c r="E677" s="2"/>
      <c r="F677" s="2"/>
      <c r="G677" s="2"/>
    </row>
    <row r="678" spans="1:7" ht="13.2" x14ac:dyDescent="0.25">
      <c r="A678" s="2"/>
      <c r="B678" s="2"/>
      <c r="C678" s="2"/>
      <c r="D678" s="2"/>
      <c r="E678" s="2"/>
      <c r="F678" s="2"/>
      <c r="G678" s="2"/>
    </row>
    <row r="679" spans="1:7" ht="13.2" x14ac:dyDescent="0.25">
      <c r="A679" s="2"/>
      <c r="B679" s="2"/>
      <c r="C679" s="2"/>
      <c r="D679" s="2"/>
      <c r="E679" s="2"/>
      <c r="F679" s="2"/>
      <c r="G679" s="2"/>
    </row>
    <row r="680" spans="1:7" ht="13.2" x14ac:dyDescent="0.25">
      <c r="A680" s="2"/>
      <c r="B680" s="2"/>
      <c r="C680" s="2"/>
      <c r="D680" s="2"/>
      <c r="E680" s="2"/>
      <c r="F680" s="2"/>
      <c r="G680" s="2"/>
    </row>
    <row r="681" spans="1:7" ht="13.2" x14ac:dyDescent="0.25">
      <c r="A681" s="2"/>
      <c r="B681" s="2"/>
      <c r="C681" s="2"/>
      <c r="D681" s="2"/>
      <c r="E681" s="2"/>
      <c r="F681" s="2"/>
      <c r="G681" s="2"/>
    </row>
    <row r="682" spans="1:7" ht="13.2" x14ac:dyDescent="0.25">
      <c r="A682" s="2"/>
      <c r="B682" s="2"/>
      <c r="C682" s="2"/>
      <c r="D682" s="2"/>
      <c r="E682" s="2"/>
      <c r="F682" s="2"/>
      <c r="G682" s="2"/>
    </row>
    <row r="683" spans="1:7" ht="13.2" x14ac:dyDescent="0.25">
      <c r="A683" s="2"/>
      <c r="B683" s="2"/>
      <c r="C683" s="2"/>
      <c r="D683" s="2"/>
      <c r="E683" s="2"/>
      <c r="F683" s="2"/>
      <c r="G683" s="2"/>
    </row>
    <row r="684" spans="1:7" ht="13.2" x14ac:dyDescent="0.25">
      <c r="A684" s="2"/>
      <c r="B684" s="2"/>
      <c r="C684" s="2"/>
      <c r="D684" s="2"/>
      <c r="E684" s="2"/>
      <c r="F684" s="2"/>
      <c r="G684" s="2"/>
    </row>
    <row r="685" spans="1:7" ht="13.2" x14ac:dyDescent="0.25">
      <c r="A685" s="2"/>
      <c r="B685" s="2"/>
      <c r="C685" s="2"/>
      <c r="D685" s="2"/>
      <c r="E685" s="2"/>
      <c r="F685" s="2"/>
      <c r="G685" s="2"/>
    </row>
    <row r="686" spans="1:7" ht="13.2" x14ac:dyDescent="0.25">
      <c r="A686" s="2"/>
      <c r="B686" s="2"/>
      <c r="C686" s="2"/>
      <c r="D686" s="2"/>
      <c r="E686" s="2"/>
      <c r="F686" s="2"/>
      <c r="G686" s="2"/>
    </row>
    <row r="687" spans="1:7" ht="13.2" x14ac:dyDescent="0.25">
      <c r="A687" s="2"/>
      <c r="B687" s="2"/>
      <c r="C687" s="2"/>
      <c r="D687" s="2"/>
      <c r="E687" s="2"/>
      <c r="F687" s="2"/>
      <c r="G687" s="2"/>
    </row>
    <row r="688" spans="1:7" ht="13.2" x14ac:dyDescent="0.25">
      <c r="A688" s="2"/>
      <c r="B688" s="2"/>
      <c r="C688" s="2"/>
      <c r="D688" s="2"/>
      <c r="E688" s="2"/>
      <c r="F688" s="2"/>
      <c r="G688" s="2"/>
    </row>
    <row r="689" spans="1:7" ht="13.2" x14ac:dyDescent="0.25">
      <c r="A689" s="2"/>
      <c r="B689" s="2"/>
      <c r="C689" s="2"/>
      <c r="D689" s="2"/>
      <c r="E689" s="2"/>
      <c r="F689" s="2"/>
      <c r="G689" s="2"/>
    </row>
    <row r="690" spans="1:7" ht="13.2" x14ac:dyDescent="0.25">
      <c r="A690" s="2"/>
      <c r="B690" s="2"/>
      <c r="C690" s="2"/>
      <c r="D690" s="2"/>
      <c r="E690" s="2"/>
      <c r="F690" s="2"/>
      <c r="G690" s="2"/>
    </row>
    <row r="691" spans="1:7" ht="13.2" x14ac:dyDescent="0.25">
      <c r="A691" s="2"/>
      <c r="B691" s="2"/>
      <c r="C691" s="2"/>
      <c r="D691" s="2"/>
      <c r="E691" s="2"/>
      <c r="F691" s="2"/>
      <c r="G691" s="2"/>
    </row>
    <row r="692" spans="1:7" ht="13.2" x14ac:dyDescent="0.25">
      <c r="A692" s="2"/>
      <c r="B692" s="2"/>
      <c r="C692" s="2"/>
      <c r="D692" s="2"/>
      <c r="E692" s="2"/>
      <c r="F692" s="2"/>
      <c r="G692" s="2"/>
    </row>
    <row r="693" spans="1:7" ht="13.2" x14ac:dyDescent="0.25">
      <c r="A693" s="2"/>
      <c r="B693" s="2"/>
      <c r="C693" s="2"/>
      <c r="D693" s="2"/>
      <c r="E693" s="2"/>
      <c r="F693" s="2"/>
      <c r="G693" s="2"/>
    </row>
    <row r="694" spans="1:7" ht="13.2" x14ac:dyDescent="0.25">
      <c r="A694" s="2"/>
      <c r="B694" s="2"/>
      <c r="C694" s="2"/>
      <c r="D694" s="2"/>
      <c r="E694" s="2"/>
      <c r="F694" s="2"/>
      <c r="G694" s="2"/>
    </row>
    <row r="695" spans="1:7" ht="13.2" x14ac:dyDescent="0.25">
      <c r="A695" s="2"/>
      <c r="B695" s="2"/>
      <c r="C695" s="2"/>
      <c r="D695" s="2"/>
      <c r="E695" s="2"/>
      <c r="F695" s="2"/>
      <c r="G695" s="2"/>
    </row>
    <row r="696" spans="1:7" ht="13.2" x14ac:dyDescent="0.25">
      <c r="A696" s="2"/>
      <c r="B696" s="2"/>
      <c r="C696" s="2"/>
      <c r="D696" s="2"/>
      <c r="E696" s="2"/>
      <c r="F696" s="2"/>
      <c r="G696" s="2"/>
    </row>
    <row r="697" spans="1:7" ht="13.2" x14ac:dyDescent="0.25">
      <c r="A697" s="2"/>
      <c r="B697" s="2"/>
      <c r="C697" s="2"/>
      <c r="D697" s="2"/>
      <c r="E697" s="2"/>
      <c r="F697" s="2"/>
      <c r="G697" s="2"/>
    </row>
    <row r="698" spans="1:7" ht="13.2" x14ac:dyDescent="0.25">
      <c r="A698" s="2"/>
      <c r="B698" s="2"/>
      <c r="C698" s="2"/>
      <c r="D698" s="2"/>
      <c r="E698" s="2"/>
      <c r="F698" s="2"/>
      <c r="G698" s="2"/>
    </row>
    <row r="699" spans="1:7" ht="13.2" x14ac:dyDescent="0.25">
      <c r="A699" s="2"/>
      <c r="B699" s="2"/>
      <c r="C699" s="2"/>
      <c r="D699" s="2"/>
      <c r="E699" s="2"/>
      <c r="F699" s="2"/>
      <c r="G699" s="2"/>
    </row>
    <row r="700" spans="1:7" ht="13.2" x14ac:dyDescent="0.25">
      <c r="A700" s="2"/>
      <c r="B700" s="2"/>
      <c r="C700" s="2"/>
      <c r="D700" s="2"/>
      <c r="E700" s="2"/>
      <c r="F700" s="2"/>
      <c r="G700" s="2"/>
    </row>
    <row r="701" spans="1:7" ht="13.2" x14ac:dyDescent="0.25">
      <c r="A701" s="2"/>
      <c r="B701" s="2"/>
      <c r="C701" s="2"/>
      <c r="D701" s="2"/>
      <c r="E701" s="2"/>
      <c r="F701" s="2"/>
      <c r="G701" s="2"/>
    </row>
    <row r="702" spans="1:7" ht="13.2" x14ac:dyDescent="0.25">
      <c r="A702" s="2"/>
      <c r="B702" s="2"/>
      <c r="C702" s="2"/>
      <c r="D702" s="2"/>
      <c r="E702" s="2"/>
      <c r="F702" s="2"/>
      <c r="G702" s="2"/>
    </row>
    <row r="703" spans="1:7" ht="13.2" x14ac:dyDescent="0.25">
      <c r="A703" s="2"/>
      <c r="B703" s="2"/>
      <c r="C703" s="2"/>
      <c r="D703" s="2"/>
      <c r="E703" s="2"/>
      <c r="F703" s="2"/>
      <c r="G703" s="2"/>
    </row>
    <row r="704" spans="1:7" ht="13.2" x14ac:dyDescent="0.25">
      <c r="A704" s="2"/>
      <c r="B704" s="2"/>
      <c r="C704" s="2"/>
      <c r="D704" s="2"/>
      <c r="E704" s="2"/>
      <c r="F704" s="2"/>
      <c r="G704" s="2"/>
    </row>
    <row r="705" spans="1:7" ht="13.2" x14ac:dyDescent="0.25">
      <c r="A705" s="2"/>
      <c r="B705" s="2"/>
      <c r="C705" s="2"/>
      <c r="D705" s="2"/>
      <c r="E705" s="2"/>
      <c r="F705" s="2"/>
      <c r="G705" s="2"/>
    </row>
    <row r="706" spans="1:7" ht="13.2" x14ac:dyDescent="0.25">
      <c r="A706" s="2"/>
      <c r="B706" s="2"/>
      <c r="C706" s="2"/>
      <c r="D706" s="2"/>
      <c r="E706" s="2"/>
      <c r="F706" s="2"/>
      <c r="G706" s="2"/>
    </row>
    <row r="707" spans="1:7" ht="13.2" x14ac:dyDescent="0.25">
      <c r="A707" s="2"/>
      <c r="B707" s="2"/>
      <c r="C707" s="2"/>
      <c r="D707" s="2"/>
      <c r="E707" s="2"/>
      <c r="F707" s="2"/>
      <c r="G707" s="2"/>
    </row>
    <row r="708" spans="1:7" ht="13.2" x14ac:dyDescent="0.25">
      <c r="A708" s="2"/>
      <c r="B708" s="2"/>
      <c r="C708" s="2"/>
      <c r="D708" s="2"/>
      <c r="E708" s="2"/>
      <c r="F708" s="2"/>
      <c r="G708" s="2"/>
    </row>
    <row r="709" spans="1:7" ht="13.2" x14ac:dyDescent="0.25">
      <c r="A709" s="2"/>
      <c r="B709" s="2"/>
      <c r="C709" s="2"/>
      <c r="D709" s="2"/>
      <c r="E709" s="2"/>
      <c r="F709" s="2"/>
      <c r="G709" s="2"/>
    </row>
    <row r="710" spans="1:7" ht="13.2" x14ac:dyDescent="0.25">
      <c r="A710" s="2"/>
      <c r="B710" s="2"/>
      <c r="C710" s="2"/>
      <c r="D710" s="2"/>
      <c r="E710" s="2"/>
      <c r="F710" s="2"/>
      <c r="G710" s="2"/>
    </row>
    <row r="711" spans="1:7" ht="13.2" x14ac:dyDescent="0.25">
      <c r="A711" s="2"/>
      <c r="B711" s="2"/>
      <c r="C711" s="2"/>
      <c r="D711" s="2"/>
      <c r="E711" s="2"/>
      <c r="F711" s="2"/>
      <c r="G711" s="2"/>
    </row>
    <row r="712" spans="1:7" ht="13.2" x14ac:dyDescent="0.25">
      <c r="A712" s="2"/>
      <c r="B712" s="2"/>
      <c r="C712" s="2"/>
      <c r="D712" s="2"/>
      <c r="E712" s="2"/>
      <c r="F712" s="2"/>
      <c r="G712" s="2"/>
    </row>
    <row r="713" spans="1:7" ht="13.2" x14ac:dyDescent="0.25">
      <c r="A713" s="2"/>
      <c r="B713" s="2"/>
      <c r="C713" s="2"/>
      <c r="D713" s="2"/>
      <c r="E713" s="2"/>
      <c r="F713" s="2"/>
      <c r="G713" s="2"/>
    </row>
    <row r="714" spans="1:7" ht="13.2" x14ac:dyDescent="0.25">
      <c r="A714" s="2"/>
      <c r="B714" s="2"/>
      <c r="C714" s="2"/>
      <c r="D714" s="2"/>
      <c r="E714" s="2"/>
      <c r="F714" s="2"/>
      <c r="G714" s="2"/>
    </row>
    <row r="715" spans="1:7" ht="13.2" x14ac:dyDescent="0.25">
      <c r="A715" s="2"/>
      <c r="B715" s="2"/>
      <c r="C715" s="2"/>
      <c r="D715" s="2"/>
      <c r="E715" s="2"/>
      <c r="F715" s="2"/>
      <c r="G715" s="2"/>
    </row>
    <row r="716" spans="1:7" ht="13.2" x14ac:dyDescent="0.25">
      <c r="A716" s="2"/>
      <c r="B716" s="2"/>
      <c r="C716" s="2"/>
      <c r="D716" s="2"/>
      <c r="E716" s="2"/>
      <c r="F716" s="2"/>
      <c r="G716" s="2"/>
    </row>
    <row r="717" spans="1:7" ht="13.2" x14ac:dyDescent="0.25">
      <c r="A717" s="2"/>
      <c r="B717" s="2"/>
      <c r="C717" s="2"/>
      <c r="D717" s="2"/>
      <c r="E717" s="2"/>
      <c r="F717" s="2"/>
      <c r="G717" s="2"/>
    </row>
    <row r="718" spans="1:7" ht="13.2" x14ac:dyDescent="0.25">
      <c r="A718" s="2"/>
      <c r="B718" s="2"/>
      <c r="C718" s="2"/>
      <c r="D718" s="2"/>
      <c r="E718" s="2"/>
      <c r="F718" s="2"/>
      <c r="G718" s="2"/>
    </row>
    <row r="719" spans="1:7" ht="13.2" x14ac:dyDescent="0.25">
      <c r="A719" s="2"/>
      <c r="B719" s="2"/>
      <c r="C719" s="2"/>
      <c r="D719" s="2"/>
      <c r="E719" s="2"/>
      <c r="F719" s="2"/>
      <c r="G719" s="2"/>
    </row>
    <row r="720" spans="1:7" ht="13.2" x14ac:dyDescent="0.25">
      <c r="A720" s="2"/>
      <c r="B720" s="2"/>
      <c r="C720" s="2"/>
      <c r="D720" s="2"/>
      <c r="E720" s="2"/>
      <c r="F720" s="2"/>
      <c r="G720" s="2"/>
    </row>
    <row r="721" spans="1:7" ht="13.2" x14ac:dyDescent="0.25">
      <c r="A721" s="2"/>
      <c r="B721" s="2"/>
      <c r="C721" s="2"/>
      <c r="D721" s="2"/>
      <c r="E721" s="2"/>
      <c r="F721" s="2"/>
      <c r="G721" s="2"/>
    </row>
    <row r="722" spans="1:7" ht="13.2" x14ac:dyDescent="0.25">
      <c r="A722" s="2"/>
      <c r="B722" s="2"/>
      <c r="C722" s="2"/>
      <c r="D722" s="2"/>
      <c r="E722" s="2"/>
      <c r="F722" s="2"/>
      <c r="G722" s="2"/>
    </row>
    <row r="723" spans="1:7" ht="13.2" x14ac:dyDescent="0.25">
      <c r="A723" s="2"/>
      <c r="B723" s="2"/>
      <c r="C723" s="2"/>
      <c r="D723" s="2"/>
      <c r="E723" s="2"/>
      <c r="F723" s="2"/>
      <c r="G723" s="2"/>
    </row>
    <row r="724" spans="1:7" ht="13.2" x14ac:dyDescent="0.25">
      <c r="A724" s="2"/>
      <c r="B724" s="2"/>
      <c r="C724" s="2"/>
      <c r="D724" s="2"/>
      <c r="E724" s="2"/>
      <c r="F724" s="2"/>
      <c r="G724" s="2"/>
    </row>
    <row r="725" spans="1:7" ht="13.2" x14ac:dyDescent="0.25">
      <c r="A725" s="2"/>
      <c r="B725" s="2"/>
      <c r="C725" s="2"/>
      <c r="D725" s="2"/>
      <c r="E725" s="2"/>
      <c r="F725" s="2"/>
      <c r="G725" s="2"/>
    </row>
    <row r="726" spans="1:7" ht="13.2" x14ac:dyDescent="0.25">
      <c r="A726" s="2"/>
      <c r="B726" s="2"/>
      <c r="C726" s="2"/>
      <c r="D726" s="2"/>
      <c r="E726" s="2"/>
      <c r="F726" s="2"/>
      <c r="G726" s="2"/>
    </row>
    <row r="727" spans="1:7" ht="13.2" x14ac:dyDescent="0.25">
      <c r="A727" s="2"/>
      <c r="B727" s="2"/>
      <c r="C727" s="2"/>
      <c r="D727" s="2"/>
      <c r="E727" s="2"/>
      <c r="F727" s="2"/>
      <c r="G727" s="2"/>
    </row>
    <row r="728" spans="1:7" ht="13.2" x14ac:dyDescent="0.25">
      <c r="A728" s="2"/>
      <c r="B728" s="2"/>
      <c r="C728" s="2"/>
      <c r="D728" s="2"/>
      <c r="E728" s="2"/>
      <c r="F728" s="2"/>
      <c r="G728" s="2"/>
    </row>
    <row r="729" spans="1:7" ht="13.2" x14ac:dyDescent="0.25">
      <c r="A729" s="2"/>
      <c r="B729" s="2"/>
      <c r="C729" s="2"/>
      <c r="D729" s="2"/>
      <c r="E729" s="2"/>
      <c r="F729" s="2"/>
      <c r="G729" s="2"/>
    </row>
    <row r="730" spans="1:7" ht="13.2" x14ac:dyDescent="0.25">
      <c r="A730" s="2"/>
      <c r="B730" s="2"/>
      <c r="C730" s="2"/>
      <c r="D730" s="2"/>
      <c r="E730" s="2"/>
      <c r="F730" s="2"/>
      <c r="G730" s="2"/>
    </row>
    <row r="731" spans="1:7" ht="13.2" x14ac:dyDescent="0.25">
      <c r="A731" s="2"/>
      <c r="B731" s="2"/>
      <c r="C731" s="2"/>
      <c r="D731" s="2"/>
      <c r="E731" s="2"/>
      <c r="F731" s="2"/>
      <c r="G731" s="2"/>
    </row>
    <row r="732" spans="1:7" ht="13.2" x14ac:dyDescent="0.25">
      <c r="A732" s="2"/>
      <c r="B732" s="2"/>
      <c r="C732" s="2"/>
      <c r="D732" s="2"/>
      <c r="E732" s="2"/>
      <c r="F732" s="2"/>
      <c r="G732" s="2"/>
    </row>
    <row r="733" spans="1:7" ht="13.2" x14ac:dyDescent="0.25">
      <c r="A733" s="2"/>
      <c r="B733" s="2"/>
      <c r="C733" s="2"/>
      <c r="D733" s="2"/>
      <c r="E733" s="2"/>
      <c r="F733" s="2"/>
      <c r="G733" s="2"/>
    </row>
    <row r="734" spans="1:7" ht="13.2" x14ac:dyDescent="0.25">
      <c r="A734" s="2"/>
      <c r="B734" s="2"/>
      <c r="C734" s="2"/>
      <c r="D734" s="2"/>
      <c r="E734" s="2"/>
      <c r="F734" s="2"/>
      <c r="G734" s="2"/>
    </row>
    <row r="735" spans="1:7" ht="13.2" x14ac:dyDescent="0.25">
      <c r="A735" s="2"/>
      <c r="B735" s="2"/>
      <c r="C735" s="2"/>
      <c r="D735" s="2"/>
      <c r="E735" s="2"/>
      <c r="F735" s="2"/>
      <c r="G735" s="2"/>
    </row>
    <row r="736" spans="1:7" ht="13.2" x14ac:dyDescent="0.25">
      <c r="A736" s="2"/>
      <c r="B736" s="2"/>
      <c r="C736" s="2"/>
      <c r="D736" s="2"/>
      <c r="E736" s="2"/>
      <c r="F736" s="2"/>
      <c r="G736" s="2"/>
    </row>
    <row r="737" spans="1:7" ht="13.2" x14ac:dyDescent="0.25">
      <c r="A737" s="2"/>
      <c r="B737" s="2"/>
      <c r="C737" s="2"/>
      <c r="D737" s="2"/>
      <c r="E737" s="2"/>
      <c r="F737" s="2"/>
      <c r="G737" s="2"/>
    </row>
    <row r="738" spans="1:7" ht="13.2" x14ac:dyDescent="0.25">
      <c r="A738" s="2"/>
      <c r="B738" s="2"/>
      <c r="C738" s="2"/>
      <c r="D738" s="2"/>
      <c r="E738" s="2"/>
      <c r="F738" s="2"/>
      <c r="G738" s="2"/>
    </row>
    <row r="739" spans="1:7" ht="13.2" x14ac:dyDescent="0.25">
      <c r="A739" s="2"/>
      <c r="B739" s="2"/>
      <c r="C739" s="2"/>
      <c r="D739" s="2"/>
      <c r="E739" s="2"/>
      <c r="F739" s="2"/>
      <c r="G739" s="2"/>
    </row>
    <row r="740" spans="1:7" ht="13.2" x14ac:dyDescent="0.25">
      <c r="A740" s="2"/>
      <c r="B740" s="2"/>
      <c r="C740" s="2"/>
      <c r="D740" s="2"/>
      <c r="E740" s="2"/>
      <c r="F740" s="2"/>
      <c r="G740" s="2"/>
    </row>
    <row r="741" spans="1:7" ht="13.2" x14ac:dyDescent="0.25">
      <c r="A741" s="2"/>
      <c r="B741" s="2"/>
      <c r="C741" s="2"/>
      <c r="D741" s="2"/>
      <c r="E741" s="2"/>
      <c r="F741" s="2"/>
      <c r="G741" s="2"/>
    </row>
    <row r="742" spans="1:7" ht="13.2" x14ac:dyDescent="0.25">
      <c r="A742" s="2"/>
      <c r="B742" s="2"/>
      <c r="C742" s="2"/>
      <c r="D742" s="2"/>
      <c r="E742" s="2"/>
      <c r="F742" s="2"/>
      <c r="G742" s="2"/>
    </row>
    <row r="743" spans="1:7" ht="13.2" x14ac:dyDescent="0.25">
      <c r="A743" s="2"/>
      <c r="B743" s="2"/>
      <c r="C743" s="2"/>
      <c r="D743" s="2"/>
      <c r="E743" s="2"/>
      <c r="F743" s="2"/>
      <c r="G743" s="2"/>
    </row>
    <row r="744" spans="1:7" ht="13.2" x14ac:dyDescent="0.25">
      <c r="A744" s="2"/>
      <c r="B744" s="2"/>
      <c r="C744" s="2"/>
      <c r="D744" s="2"/>
      <c r="E744" s="2"/>
      <c r="F744" s="2"/>
      <c r="G744" s="2"/>
    </row>
    <row r="745" spans="1:7" ht="13.2" x14ac:dyDescent="0.25">
      <c r="A745" s="2"/>
      <c r="B745" s="2"/>
      <c r="C745" s="2"/>
      <c r="D745" s="2"/>
      <c r="E745" s="2"/>
      <c r="F745" s="2"/>
      <c r="G745" s="2"/>
    </row>
    <row r="746" spans="1:7" ht="13.2" x14ac:dyDescent="0.25">
      <c r="A746" s="2"/>
      <c r="B746" s="2"/>
      <c r="C746" s="2"/>
      <c r="D746" s="2"/>
      <c r="E746" s="2"/>
      <c r="F746" s="2"/>
      <c r="G746" s="2"/>
    </row>
    <row r="747" spans="1:7" ht="13.2" x14ac:dyDescent="0.25">
      <c r="A747" s="2"/>
      <c r="B747" s="2"/>
      <c r="C747" s="2"/>
      <c r="D747" s="2"/>
      <c r="E747" s="2"/>
      <c r="F747" s="2"/>
      <c r="G747" s="2"/>
    </row>
    <row r="748" spans="1:7" ht="13.2" x14ac:dyDescent="0.25">
      <c r="A748" s="2"/>
      <c r="B748" s="2"/>
      <c r="C748" s="2"/>
      <c r="D748" s="2"/>
      <c r="E748" s="2"/>
      <c r="F748" s="2"/>
      <c r="G748" s="2"/>
    </row>
    <row r="749" spans="1:7" ht="13.2" x14ac:dyDescent="0.25">
      <c r="A749" s="2"/>
      <c r="B749" s="2"/>
      <c r="C749" s="2"/>
      <c r="D749" s="2"/>
      <c r="E749" s="2"/>
      <c r="F749" s="2"/>
      <c r="G749" s="2"/>
    </row>
    <row r="750" spans="1:7" ht="13.2" x14ac:dyDescent="0.25">
      <c r="A750" s="2"/>
      <c r="B750" s="2"/>
      <c r="C750" s="2"/>
      <c r="D750" s="2"/>
      <c r="E750" s="2"/>
      <c r="F750" s="2"/>
      <c r="G750" s="2"/>
    </row>
    <row r="751" spans="1:7" ht="13.2" x14ac:dyDescent="0.25">
      <c r="A751" s="2"/>
      <c r="B751" s="2"/>
      <c r="C751" s="2"/>
      <c r="D751" s="2"/>
      <c r="E751" s="2"/>
      <c r="F751" s="2"/>
      <c r="G751" s="2"/>
    </row>
    <row r="752" spans="1:7" ht="13.2" x14ac:dyDescent="0.25">
      <c r="A752" s="2"/>
      <c r="B752" s="2"/>
      <c r="C752" s="2"/>
      <c r="D752" s="2"/>
      <c r="E752" s="2"/>
      <c r="F752" s="2"/>
      <c r="G752" s="2"/>
    </row>
    <row r="753" spans="1:7" ht="13.2" x14ac:dyDescent="0.25">
      <c r="A753" s="2"/>
      <c r="B753" s="2"/>
      <c r="C753" s="2"/>
      <c r="D753" s="2"/>
      <c r="E753" s="2"/>
      <c r="F753" s="2"/>
      <c r="G753" s="2"/>
    </row>
    <row r="754" spans="1:7" ht="13.2" x14ac:dyDescent="0.25">
      <c r="A754" s="2"/>
      <c r="B754" s="2"/>
      <c r="C754" s="2"/>
      <c r="D754" s="2"/>
      <c r="E754" s="2"/>
      <c r="F754" s="2"/>
      <c r="G754" s="2"/>
    </row>
    <row r="755" spans="1:7" ht="13.2" x14ac:dyDescent="0.25">
      <c r="A755" s="2"/>
      <c r="B755" s="2"/>
      <c r="C755" s="2"/>
      <c r="D755" s="2"/>
      <c r="E755" s="2"/>
      <c r="F755" s="2"/>
      <c r="G755" s="2"/>
    </row>
    <row r="756" spans="1:7" ht="13.2" x14ac:dyDescent="0.25">
      <c r="A756" s="2"/>
      <c r="B756" s="2"/>
      <c r="C756" s="2"/>
      <c r="D756" s="2"/>
      <c r="E756" s="2"/>
      <c r="F756" s="2"/>
      <c r="G756" s="2"/>
    </row>
    <row r="757" spans="1:7" ht="13.2" x14ac:dyDescent="0.25">
      <c r="A757" s="2"/>
      <c r="B757" s="2"/>
      <c r="C757" s="2"/>
      <c r="D757" s="2"/>
      <c r="E757" s="2"/>
      <c r="F757" s="2"/>
      <c r="G757" s="2"/>
    </row>
    <row r="758" spans="1:7" ht="13.2" x14ac:dyDescent="0.25">
      <c r="A758" s="2"/>
      <c r="B758" s="2"/>
      <c r="C758" s="2"/>
      <c r="D758" s="2"/>
      <c r="E758" s="2"/>
      <c r="F758" s="2"/>
      <c r="G758" s="2"/>
    </row>
    <row r="759" spans="1:7" ht="13.2" x14ac:dyDescent="0.25">
      <c r="A759" s="2"/>
      <c r="B759" s="2"/>
      <c r="C759" s="2"/>
      <c r="D759" s="2"/>
      <c r="E759" s="2"/>
      <c r="F759" s="2"/>
      <c r="G759" s="2"/>
    </row>
    <row r="760" spans="1:7" ht="13.2" x14ac:dyDescent="0.25">
      <c r="A760" s="2"/>
      <c r="B760" s="2"/>
      <c r="C760" s="2"/>
      <c r="D760" s="2"/>
      <c r="E760" s="2"/>
      <c r="F760" s="2"/>
      <c r="G760" s="2"/>
    </row>
    <row r="761" spans="1:7" ht="13.2" x14ac:dyDescent="0.25">
      <c r="A761" s="2"/>
      <c r="B761" s="2"/>
      <c r="C761" s="2"/>
      <c r="D761" s="2"/>
      <c r="E761" s="2"/>
      <c r="F761" s="2"/>
      <c r="G761" s="2"/>
    </row>
    <row r="762" spans="1:7" ht="13.2" x14ac:dyDescent="0.25">
      <c r="A762" s="2"/>
      <c r="B762" s="2"/>
      <c r="C762" s="2"/>
      <c r="D762" s="2"/>
      <c r="E762" s="2"/>
      <c r="F762" s="2"/>
      <c r="G762" s="2"/>
    </row>
    <row r="763" spans="1:7" ht="13.2" x14ac:dyDescent="0.25">
      <c r="A763" s="2"/>
      <c r="B763" s="2"/>
      <c r="C763" s="2"/>
      <c r="D763" s="2"/>
      <c r="E763" s="2"/>
      <c r="F763" s="2"/>
      <c r="G763" s="2"/>
    </row>
    <row r="764" spans="1:7" ht="13.2" x14ac:dyDescent="0.25">
      <c r="A764" s="2"/>
      <c r="B764" s="2"/>
      <c r="C764" s="2"/>
      <c r="D764" s="2"/>
      <c r="E764" s="2"/>
      <c r="F764" s="2"/>
      <c r="G764" s="2"/>
    </row>
    <row r="765" spans="1:7" ht="13.2" x14ac:dyDescent="0.25">
      <c r="A765" s="2"/>
      <c r="B765" s="2"/>
      <c r="C765" s="2"/>
      <c r="D765" s="2"/>
      <c r="E765" s="2"/>
      <c r="F765" s="2"/>
      <c r="G765" s="2"/>
    </row>
    <row r="766" spans="1:7" ht="13.2" x14ac:dyDescent="0.25">
      <c r="A766" s="2"/>
      <c r="B766" s="2"/>
      <c r="C766" s="2"/>
      <c r="D766" s="2"/>
      <c r="E766" s="2"/>
      <c r="F766" s="2"/>
      <c r="G766" s="2"/>
    </row>
    <row r="767" spans="1:7" ht="13.2" x14ac:dyDescent="0.25">
      <c r="A767" s="2"/>
      <c r="B767" s="2"/>
      <c r="C767" s="2"/>
      <c r="D767" s="2"/>
      <c r="E767" s="2"/>
      <c r="F767" s="2"/>
      <c r="G767" s="2"/>
    </row>
    <row r="768" spans="1:7" ht="13.2" x14ac:dyDescent="0.25">
      <c r="A768" s="2"/>
      <c r="B768" s="2"/>
      <c r="C768" s="2"/>
      <c r="D768" s="2"/>
      <c r="E768" s="2"/>
      <c r="F768" s="2"/>
      <c r="G768" s="2"/>
    </row>
    <row r="769" spans="1:7" ht="13.2" x14ac:dyDescent="0.25">
      <c r="A769" s="2"/>
      <c r="B769" s="2"/>
      <c r="C769" s="2"/>
      <c r="D769" s="2"/>
      <c r="E769" s="2"/>
      <c r="F769" s="2"/>
      <c r="G769" s="2"/>
    </row>
    <row r="770" spans="1:7" ht="13.2" x14ac:dyDescent="0.25">
      <c r="A770" s="2"/>
      <c r="B770" s="2"/>
      <c r="C770" s="2"/>
      <c r="D770" s="2"/>
      <c r="E770" s="2"/>
      <c r="F770" s="2"/>
      <c r="G770" s="2"/>
    </row>
    <row r="771" spans="1:7" ht="13.2" x14ac:dyDescent="0.25">
      <c r="A771" s="2"/>
      <c r="B771" s="2"/>
      <c r="C771" s="2"/>
      <c r="D771" s="2"/>
      <c r="E771" s="2"/>
      <c r="F771" s="2"/>
      <c r="G771" s="2"/>
    </row>
    <row r="772" spans="1:7" ht="13.2" x14ac:dyDescent="0.25">
      <c r="A772" s="2"/>
      <c r="B772" s="2"/>
      <c r="C772" s="2"/>
      <c r="D772" s="2"/>
      <c r="E772" s="2"/>
      <c r="F772" s="2"/>
      <c r="G772" s="2"/>
    </row>
    <row r="773" spans="1:7" ht="13.2" x14ac:dyDescent="0.25">
      <c r="A773" s="2"/>
      <c r="B773" s="2"/>
      <c r="C773" s="2"/>
      <c r="D773" s="2"/>
      <c r="E773" s="2"/>
      <c r="F773" s="2"/>
      <c r="G773" s="2"/>
    </row>
    <row r="774" spans="1:7" ht="13.2" x14ac:dyDescent="0.25">
      <c r="A774" s="2"/>
      <c r="B774" s="2"/>
      <c r="C774" s="2"/>
      <c r="D774" s="2"/>
      <c r="E774" s="2"/>
      <c r="F774" s="2"/>
      <c r="G774" s="2"/>
    </row>
    <row r="775" spans="1:7" ht="13.2" x14ac:dyDescent="0.25">
      <c r="A775" s="2"/>
      <c r="B775" s="2"/>
      <c r="C775" s="2"/>
      <c r="D775" s="2"/>
      <c r="E775" s="2"/>
      <c r="F775" s="2"/>
      <c r="G775" s="2"/>
    </row>
    <row r="776" spans="1:7" ht="13.2" x14ac:dyDescent="0.25">
      <c r="A776" s="2"/>
      <c r="B776" s="2"/>
      <c r="C776" s="2"/>
      <c r="D776" s="2"/>
      <c r="E776" s="2"/>
      <c r="F776" s="2"/>
      <c r="G776" s="2"/>
    </row>
    <row r="777" spans="1:7" ht="13.2" x14ac:dyDescent="0.25">
      <c r="A777" s="2"/>
      <c r="B777" s="2"/>
      <c r="C777" s="2"/>
      <c r="D777" s="2"/>
      <c r="E777" s="2"/>
      <c r="F777" s="2"/>
      <c r="G777" s="2"/>
    </row>
    <row r="778" spans="1:7" ht="13.2" x14ac:dyDescent="0.25">
      <c r="A778" s="2"/>
      <c r="B778" s="2"/>
      <c r="C778" s="2"/>
      <c r="D778" s="2"/>
      <c r="E778" s="2"/>
      <c r="F778" s="2"/>
      <c r="G778" s="2"/>
    </row>
    <row r="779" spans="1:7" ht="13.2" x14ac:dyDescent="0.25">
      <c r="A779" s="2"/>
      <c r="B779" s="2"/>
      <c r="C779" s="2"/>
      <c r="D779" s="2"/>
      <c r="E779" s="2"/>
      <c r="F779" s="2"/>
      <c r="G779" s="2"/>
    </row>
    <row r="780" spans="1:7" ht="13.2" x14ac:dyDescent="0.25">
      <c r="A780" s="2"/>
      <c r="B780" s="2"/>
      <c r="C780" s="2"/>
      <c r="D780" s="2"/>
      <c r="E780" s="2"/>
      <c r="F780" s="2"/>
      <c r="G780" s="2"/>
    </row>
    <row r="781" spans="1:7" ht="13.2" x14ac:dyDescent="0.25">
      <c r="A781" s="2"/>
      <c r="B781" s="2"/>
      <c r="C781" s="2"/>
      <c r="D781" s="2"/>
      <c r="E781" s="2"/>
      <c r="F781" s="2"/>
      <c r="G781" s="2"/>
    </row>
    <row r="782" spans="1:7" ht="13.2" x14ac:dyDescent="0.25">
      <c r="A782" s="2"/>
      <c r="B782" s="2"/>
      <c r="C782" s="2"/>
      <c r="D782" s="2"/>
      <c r="E782" s="2"/>
      <c r="F782" s="2"/>
      <c r="G782" s="2"/>
    </row>
    <row r="783" spans="1:7" ht="13.2" x14ac:dyDescent="0.25">
      <c r="A783" s="2"/>
      <c r="B783" s="2"/>
      <c r="C783" s="2"/>
      <c r="D783" s="2"/>
      <c r="E783" s="2"/>
      <c r="F783" s="2"/>
      <c r="G783" s="2"/>
    </row>
    <row r="784" spans="1:7" ht="13.2" x14ac:dyDescent="0.25">
      <c r="A784" s="2"/>
      <c r="B784" s="2"/>
      <c r="C784" s="2"/>
      <c r="D784" s="2"/>
      <c r="E784" s="2"/>
      <c r="F784" s="2"/>
      <c r="G784" s="2"/>
    </row>
    <row r="785" spans="1:7" ht="13.2" x14ac:dyDescent="0.25">
      <c r="A785" s="2"/>
      <c r="B785" s="2"/>
      <c r="C785" s="2"/>
      <c r="D785" s="2"/>
      <c r="E785" s="2"/>
      <c r="F785" s="2"/>
      <c r="G785" s="2"/>
    </row>
    <row r="786" spans="1:7" ht="13.2" x14ac:dyDescent="0.25">
      <c r="A786" s="2"/>
      <c r="B786" s="2"/>
      <c r="C786" s="2"/>
      <c r="D786" s="2"/>
      <c r="E786" s="2"/>
      <c r="F786" s="2"/>
      <c r="G786" s="2"/>
    </row>
    <row r="787" spans="1:7" ht="13.2" x14ac:dyDescent="0.25">
      <c r="A787" s="2"/>
      <c r="B787" s="2"/>
      <c r="C787" s="2"/>
      <c r="D787" s="2"/>
      <c r="E787" s="2"/>
      <c r="F787" s="2"/>
      <c r="G787" s="2"/>
    </row>
    <row r="788" spans="1:7" ht="13.2" x14ac:dyDescent="0.25">
      <c r="A788" s="2"/>
      <c r="B788" s="2"/>
      <c r="C788" s="2"/>
      <c r="D788" s="2"/>
      <c r="E788" s="2"/>
      <c r="F788" s="2"/>
      <c r="G788" s="2"/>
    </row>
    <row r="789" spans="1:7" ht="13.2" x14ac:dyDescent="0.25">
      <c r="A789" s="2"/>
      <c r="B789" s="2"/>
      <c r="C789" s="2"/>
      <c r="D789" s="2"/>
      <c r="E789" s="2"/>
      <c r="F789" s="2"/>
      <c r="G789" s="2"/>
    </row>
    <row r="790" spans="1:7" ht="13.2" x14ac:dyDescent="0.25">
      <c r="A790" s="2"/>
      <c r="B790" s="2"/>
      <c r="C790" s="2"/>
      <c r="D790" s="2"/>
      <c r="E790" s="2"/>
      <c r="F790" s="2"/>
      <c r="G790" s="2"/>
    </row>
    <row r="791" spans="1:7" ht="13.2" x14ac:dyDescent="0.25">
      <c r="A791" s="2"/>
      <c r="B791" s="2"/>
      <c r="C791" s="2"/>
      <c r="D791" s="2"/>
      <c r="E791" s="2"/>
      <c r="F791" s="2"/>
      <c r="G791" s="2"/>
    </row>
    <row r="792" spans="1:7" ht="13.2" x14ac:dyDescent="0.25">
      <c r="A792" s="2"/>
      <c r="B792" s="2"/>
      <c r="C792" s="2"/>
      <c r="D792" s="2"/>
      <c r="E792" s="2"/>
      <c r="F792" s="2"/>
      <c r="G792" s="2"/>
    </row>
    <row r="793" spans="1:7" ht="13.2" x14ac:dyDescent="0.25">
      <c r="A793" s="2"/>
      <c r="B793" s="2"/>
      <c r="C793" s="2"/>
      <c r="D793" s="2"/>
      <c r="E793" s="2"/>
      <c r="F793" s="2"/>
      <c r="G793" s="2"/>
    </row>
    <row r="794" spans="1:7" ht="13.2" x14ac:dyDescent="0.25">
      <c r="A794" s="2"/>
      <c r="B794" s="2"/>
      <c r="C794" s="2"/>
      <c r="D794" s="2"/>
      <c r="E794" s="2"/>
      <c r="F794" s="2"/>
      <c r="G794" s="2"/>
    </row>
    <row r="795" spans="1:7" ht="13.2" x14ac:dyDescent="0.25">
      <c r="A795" s="2"/>
      <c r="B795" s="2"/>
      <c r="C795" s="2"/>
      <c r="D795" s="2"/>
      <c r="E795" s="2"/>
      <c r="F795" s="2"/>
      <c r="G795" s="2"/>
    </row>
    <row r="796" spans="1:7" ht="13.2" x14ac:dyDescent="0.25">
      <c r="A796" s="2"/>
      <c r="B796" s="2"/>
      <c r="C796" s="2"/>
      <c r="D796" s="2"/>
      <c r="E796" s="2"/>
      <c r="F796" s="2"/>
      <c r="G796" s="2"/>
    </row>
    <row r="797" spans="1:7" ht="13.2" x14ac:dyDescent="0.25">
      <c r="A797" s="2"/>
      <c r="B797" s="2"/>
      <c r="C797" s="2"/>
      <c r="D797" s="2"/>
      <c r="E797" s="2"/>
      <c r="F797" s="2"/>
      <c r="G797" s="2"/>
    </row>
    <row r="798" spans="1:7" ht="13.2" x14ac:dyDescent="0.25">
      <c r="A798" s="2"/>
      <c r="B798" s="2"/>
      <c r="C798" s="2"/>
      <c r="D798" s="2"/>
      <c r="E798" s="2"/>
      <c r="F798" s="2"/>
      <c r="G798" s="2"/>
    </row>
    <row r="799" spans="1:7" ht="13.2" x14ac:dyDescent="0.25">
      <c r="A799" s="2"/>
      <c r="B799" s="2"/>
      <c r="C799" s="2"/>
      <c r="D799" s="2"/>
      <c r="E799" s="2"/>
      <c r="F799" s="2"/>
      <c r="G799" s="2"/>
    </row>
    <row r="800" spans="1:7" ht="13.2" x14ac:dyDescent="0.25">
      <c r="A800" s="2"/>
      <c r="B800" s="2"/>
      <c r="C800" s="2"/>
      <c r="D800" s="2"/>
      <c r="E800" s="2"/>
      <c r="F800" s="2"/>
      <c r="G800" s="2"/>
    </row>
    <row r="801" spans="1:7" ht="13.2" x14ac:dyDescent="0.25">
      <c r="A801" s="2"/>
      <c r="B801" s="2"/>
      <c r="C801" s="2"/>
      <c r="D801" s="2"/>
      <c r="E801" s="2"/>
      <c r="F801" s="2"/>
      <c r="G801" s="2"/>
    </row>
    <row r="802" spans="1:7" ht="13.2" x14ac:dyDescent="0.25">
      <c r="A802" s="2"/>
      <c r="B802" s="2"/>
      <c r="C802" s="2"/>
      <c r="D802" s="2"/>
      <c r="E802" s="2"/>
      <c r="F802" s="2"/>
      <c r="G802" s="2"/>
    </row>
    <row r="803" spans="1:7" ht="13.2" x14ac:dyDescent="0.25">
      <c r="A803" s="2"/>
      <c r="B803" s="2"/>
      <c r="C803" s="2"/>
      <c r="D803" s="2"/>
      <c r="E803" s="2"/>
      <c r="F803" s="2"/>
      <c r="G803" s="2"/>
    </row>
    <row r="804" spans="1:7" ht="13.2" x14ac:dyDescent="0.25">
      <c r="A804" s="2"/>
      <c r="B804" s="2"/>
      <c r="C804" s="2"/>
      <c r="D804" s="2"/>
      <c r="E804" s="2"/>
      <c r="F804" s="2"/>
      <c r="G804" s="2"/>
    </row>
    <row r="805" spans="1:7" ht="13.2" x14ac:dyDescent="0.25">
      <c r="A805" s="2"/>
      <c r="B805" s="2"/>
      <c r="C805" s="2"/>
      <c r="D805" s="2"/>
      <c r="E805" s="2"/>
      <c r="F805" s="2"/>
      <c r="G805" s="2"/>
    </row>
    <row r="806" spans="1:7" ht="13.2" x14ac:dyDescent="0.25">
      <c r="A806" s="2"/>
      <c r="B806" s="2"/>
      <c r="C806" s="2"/>
      <c r="D806" s="2"/>
      <c r="E806" s="2"/>
      <c r="F806" s="2"/>
      <c r="G806" s="2"/>
    </row>
    <row r="807" spans="1:7" ht="13.2" x14ac:dyDescent="0.25">
      <c r="A807" s="2"/>
      <c r="B807" s="2"/>
      <c r="C807" s="2"/>
      <c r="D807" s="2"/>
      <c r="E807" s="2"/>
      <c r="F807" s="2"/>
      <c r="G807" s="2"/>
    </row>
    <row r="808" spans="1:7" ht="13.2" x14ac:dyDescent="0.25">
      <c r="A808" s="2"/>
      <c r="B808" s="2"/>
      <c r="C808" s="2"/>
      <c r="D808" s="2"/>
      <c r="E808" s="2"/>
      <c r="F808" s="2"/>
      <c r="G808" s="2"/>
    </row>
    <row r="809" spans="1:7" ht="13.2" x14ac:dyDescent="0.25">
      <c r="A809" s="2"/>
      <c r="B809" s="2"/>
      <c r="C809" s="2"/>
      <c r="D809" s="2"/>
      <c r="E809" s="2"/>
      <c r="F809" s="2"/>
      <c r="G809" s="2"/>
    </row>
    <row r="810" spans="1:7" ht="13.2" x14ac:dyDescent="0.25">
      <c r="A810" s="2"/>
      <c r="B810" s="2"/>
      <c r="C810" s="2"/>
      <c r="D810" s="2"/>
      <c r="E810" s="2"/>
      <c r="F810" s="2"/>
      <c r="G810" s="2"/>
    </row>
    <row r="811" spans="1:7" ht="13.2" x14ac:dyDescent="0.25">
      <c r="A811" s="2"/>
      <c r="B811" s="2"/>
      <c r="C811" s="2"/>
      <c r="D811" s="2"/>
      <c r="E811" s="2"/>
      <c r="F811" s="2"/>
      <c r="G811" s="2"/>
    </row>
    <row r="812" spans="1:7" ht="13.2" x14ac:dyDescent="0.25">
      <c r="A812" s="2"/>
      <c r="B812" s="2"/>
      <c r="C812" s="2"/>
      <c r="D812" s="2"/>
      <c r="E812" s="2"/>
      <c r="F812" s="2"/>
      <c r="G812" s="2"/>
    </row>
    <row r="813" spans="1:7" ht="13.2" x14ac:dyDescent="0.25">
      <c r="A813" s="2"/>
      <c r="B813" s="2"/>
      <c r="C813" s="2"/>
      <c r="D813" s="2"/>
      <c r="E813" s="2"/>
      <c r="F813" s="2"/>
      <c r="G813" s="2"/>
    </row>
    <row r="814" spans="1:7" ht="13.2" x14ac:dyDescent="0.25">
      <c r="A814" s="2"/>
      <c r="B814" s="2"/>
      <c r="C814" s="2"/>
      <c r="D814" s="2"/>
      <c r="E814" s="2"/>
      <c r="F814" s="2"/>
      <c r="G814" s="2"/>
    </row>
    <row r="815" spans="1:7" ht="13.2" x14ac:dyDescent="0.25">
      <c r="A815" s="2"/>
      <c r="B815" s="2"/>
      <c r="C815" s="2"/>
      <c r="D815" s="2"/>
      <c r="E815" s="2"/>
      <c r="F815" s="2"/>
      <c r="G815" s="2"/>
    </row>
    <row r="816" spans="1:7" ht="13.2" x14ac:dyDescent="0.25">
      <c r="A816" s="2"/>
      <c r="B816" s="2"/>
      <c r="C816" s="2"/>
      <c r="D816" s="2"/>
      <c r="E816" s="2"/>
      <c r="F816" s="2"/>
      <c r="G816" s="2"/>
    </row>
    <row r="817" spans="1:7" ht="13.2" x14ac:dyDescent="0.25">
      <c r="A817" s="2"/>
      <c r="B817" s="2"/>
      <c r="C817" s="2"/>
      <c r="D817" s="2"/>
      <c r="E817" s="2"/>
      <c r="F817" s="2"/>
      <c r="G817" s="2"/>
    </row>
    <row r="818" spans="1:7" ht="13.2" x14ac:dyDescent="0.25">
      <c r="A818" s="2"/>
      <c r="B818" s="2"/>
      <c r="C818" s="2"/>
      <c r="D818" s="2"/>
      <c r="E818" s="2"/>
      <c r="F818" s="2"/>
      <c r="G818" s="2"/>
    </row>
    <row r="819" spans="1:7" ht="13.2" x14ac:dyDescent="0.25">
      <c r="A819" s="2"/>
      <c r="B819" s="2"/>
      <c r="C819" s="2"/>
      <c r="D819" s="2"/>
      <c r="E819" s="2"/>
      <c r="F819" s="2"/>
      <c r="G819" s="2"/>
    </row>
    <row r="820" spans="1:7" ht="13.2" x14ac:dyDescent="0.25">
      <c r="A820" s="2"/>
      <c r="B820" s="2"/>
      <c r="C820" s="2"/>
      <c r="D820" s="2"/>
      <c r="E820" s="2"/>
      <c r="F820" s="2"/>
      <c r="G820" s="2"/>
    </row>
    <row r="821" spans="1:7" ht="13.2" x14ac:dyDescent="0.25">
      <c r="A821" s="2"/>
      <c r="B821" s="2"/>
      <c r="C821" s="2"/>
      <c r="D821" s="2"/>
      <c r="E821" s="2"/>
      <c r="F821" s="2"/>
      <c r="G821" s="2"/>
    </row>
    <row r="822" spans="1:7" ht="13.2" x14ac:dyDescent="0.25">
      <c r="A822" s="2"/>
      <c r="B822" s="2"/>
      <c r="C822" s="2"/>
      <c r="D822" s="2"/>
      <c r="E822" s="2"/>
      <c r="F822" s="2"/>
      <c r="G822" s="2"/>
    </row>
    <row r="823" spans="1:7" ht="13.2" x14ac:dyDescent="0.25">
      <c r="A823" s="2"/>
      <c r="B823" s="2"/>
      <c r="C823" s="2"/>
      <c r="D823" s="2"/>
      <c r="E823" s="2"/>
      <c r="F823" s="2"/>
      <c r="G823" s="2"/>
    </row>
    <row r="824" spans="1:7" ht="13.2" x14ac:dyDescent="0.25">
      <c r="A824" s="2"/>
      <c r="B824" s="2"/>
      <c r="C824" s="2"/>
      <c r="D824" s="2"/>
      <c r="E824" s="2"/>
      <c r="F824" s="2"/>
      <c r="G824" s="2"/>
    </row>
    <row r="825" spans="1:7" ht="13.2" x14ac:dyDescent="0.25">
      <c r="A825" s="2"/>
      <c r="B825" s="2"/>
      <c r="C825" s="2"/>
      <c r="D825" s="2"/>
      <c r="E825" s="2"/>
      <c r="F825" s="2"/>
      <c r="G825" s="2"/>
    </row>
    <row r="826" spans="1:7" ht="13.2" x14ac:dyDescent="0.25">
      <c r="A826" s="2"/>
      <c r="B826" s="2"/>
      <c r="C826" s="2"/>
      <c r="D826" s="2"/>
      <c r="E826" s="2"/>
      <c r="F826" s="2"/>
      <c r="G826" s="2"/>
    </row>
    <row r="827" spans="1:7" ht="13.2" x14ac:dyDescent="0.25">
      <c r="A827" s="2"/>
      <c r="B827" s="2"/>
      <c r="C827" s="2"/>
      <c r="D827" s="2"/>
      <c r="E827" s="2"/>
      <c r="F827" s="2"/>
      <c r="G827" s="2"/>
    </row>
    <row r="828" spans="1:7" ht="13.2" x14ac:dyDescent="0.25">
      <c r="A828" s="2"/>
      <c r="B828" s="2"/>
      <c r="C828" s="2"/>
      <c r="D828" s="2"/>
      <c r="E828" s="2"/>
      <c r="F828" s="2"/>
      <c r="G828" s="2"/>
    </row>
    <row r="829" spans="1:7" ht="13.2" x14ac:dyDescent="0.25">
      <c r="A829" s="2"/>
      <c r="B829" s="2"/>
      <c r="C829" s="2"/>
      <c r="D829" s="2"/>
      <c r="E829" s="2"/>
      <c r="F829" s="2"/>
      <c r="G829" s="2"/>
    </row>
    <row r="830" spans="1:7" ht="13.2" x14ac:dyDescent="0.25">
      <c r="A830" s="2"/>
      <c r="B830" s="2"/>
      <c r="C830" s="2"/>
      <c r="D830" s="2"/>
      <c r="E830" s="2"/>
      <c r="F830" s="2"/>
      <c r="G830" s="2"/>
    </row>
    <row r="831" spans="1:7" ht="13.2" x14ac:dyDescent="0.25">
      <c r="A831" s="2"/>
      <c r="B831" s="2"/>
      <c r="C831" s="2"/>
      <c r="D831" s="2"/>
      <c r="E831" s="2"/>
      <c r="F831" s="2"/>
      <c r="G831" s="2"/>
    </row>
    <row r="832" spans="1:7" ht="13.2" x14ac:dyDescent="0.25">
      <c r="A832" s="2"/>
      <c r="B832" s="2"/>
      <c r="C832" s="2"/>
      <c r="D832" s="2"/>
      <c r="E832" s="2"/>
      <c r="F832" s="2"/>
      <c r="G832" s="2"/>
    </row>
    <row r="833" spans="1:7" ht="13.2" x14ac:dyDescent="0.25">
      <c r="A833" s="2"/>
      <c r="B833" s="2"/>
      <c r="C833" s="2"/>
      <c r="D833" s="2"/>
      <c r="E833" s="2"/>
      <c r="F833" s="2"/>
      <c r="G833" s="2"/>
    </row>
    <row r="834" spans="1:7" ht="13.2" x14ac:dyDescent="0.25">
      <c r="A834" s="2"/>
      <c r="B834" s="2"/>
      <c r="C834" s="2"/>
      <c r="D834" s="2"/>
      <c r="E834" s="2"/>
      <c r="F834" s="2"/>
      <c r="G834" s="2"/>
    </row>
    <row r="835" spans="1:7" ht="13.2" x14ac:dyDescent="0.25">
      <c r="A835" s="2"/>
      <c r="B835" s="2"/>
      <c r="C835" s="2"/>
      <c r="D835" s="2"/>
      <c r="E835" s="2"/>
      <c r="F835" s="2"/>
      <c r="G835" s="2"/>
    </row>
    <row r="836" spans="1:7" ht="13.2" x14ac:dyDescent="0.25">
      <c r="A836" s="2"/>
      <c r="B836" s="2"/>
      <c r="C836" s="2"/>
      <c r="D836" s="2"/>
      <c r="E836" s="2"/>
      <c r="F836" s="2"/>
      <c r="G836" s="2"/>
    </row>
    <row r="837" spans="1:7" ht="13.2" x14ac:dyDescent="0.25">
      <c r="A837" s="2"/>
      <c r="B837" s="2"/>
      <c r="C837" s="2"/>
      <c r="D837" s="2"/>
      <c r="E837" s="2"/>
      <c r="F837" s="2"/>
      <c r="G837" s="2"/>
    </row>
    <row r="838" spans="1:7" ht="13.2" x14ac:dyDescent="0.25">
      <c r="A838" s="2"/>
      <c r="B838" s="2"/>
      <c r="C838" s="2"/>
      <c r="D838" s="2"/>
      <c r="E838" s="2"/>
      <c r="F838" s="2"/>
      <c r="G838" s="2"/>
    </row>
    <row r="839" spans="1:7" ht="13.2" x14ac:dyDescent="0.25">
      <c r="A839" s="2"/>
      <c r="B839" s="2"/>
      <c r="C839" s="2"/>
      <c r="D839" s="2"/>
      <c r="E839" s="2"/>
      <c r="F839" s="2"/>
      <c r="G839" s="2"/>
    </row>
    <row r="840" spans="1:7" ht="13.2" x14ac:dyDescent="0.25">
      <c r="A840" s="2"/>
      <c r="B840" s="2"/>
      <c r="C840" s="2"/>
      <c r="D840" s="2"/>
      <c r="E840" s="2"/>
      <c r="F840" s="2"/>
      <c r="G840" s="2"/>
    </row>
    <row r="841" spans="1:7" ht="13.2" x14ac:dyDescent="0.25">
      <c r="A841" s="2"/>
      <c r="B841" s="2"/>
      <c r="C841" s="2"/>
      <c r="D841" s="2"/>
      <c r="E841" s="2"/>
      <c r="F841" s="2"/>
      <c r="G841" s="2"/>
    </row>
    <row r="842" spans="1:7" ht="13.2" x14ac:dyDescent="0.25">
      <c r="A842" s="2"/>
      <c r="B842" s="2"/>
      <c r="C842" s="2"/>
      <c r="D842" s="2"/>
      <c r="E842" s="2"/>
      <c r="F842" s="2"/>
      <c r="G842" s="2"/>
    </row>
    <row r="843" spans="1:7" ht="13.2" x14ac:dyDescent="0.25">
      <c r="A843" s="2"/>
      <c r="B843" s="2"/>
      <c r="C843" s="2"/>
      <c r="D843" s="2"/>
      <c r="E843" s="2"/>
      <c r="F843" s="2"/>
      <c r="G843" s="2"/>
    </row>
    <row r="844" spans="1:7" ht="13.2" x14ac:dyDescent="0.25">
      <c r="A844" s="2"/>
      <c r="B844" s="2"/>
      <c r="C844" s="2"/>
      <c r="D844" s="2"/>
      <c r="E844" s="2"/>
      <c r="F844" s="2"/>
      <c r="G844" s="2"/>
    </row>
    <row r="845" spans="1:7" ht="13.2" x14ac:dyDescent="0.25">
      <c r="A845" s="2"/>
      <c r="B845" s="2"/>
      <c r="C845" s="2"/>
      <c r="D845" s="2"/>
      <c r="E845" s="2"/>
      <c r="F845" s="2"/>
      <c r="G845" s="2"/>
    </row>
    <row r="846" spans="1:7" ht="13.2" x14ac:dyDescent="0.25">
      <c r="A846" s="2"/>
      <c r="B846" s="2"/>
      <c r="C846" s="2"/>
      <c r="D846" s="2"/>
      <c r="E846" s="2"/>
      <c r="F846" s="2"/>
      <c r="G846" s="2"/>
    </row>
    <row r="847" spans="1:7" ht="13.2" x14ac:dyDescent="0.25">
      <c r="A847" s="2"/>
      <c r="B847" s="2"/>
      <c r="C847" s="2"/>
      <c r="D847" s="2"/>
      <c r="E847" s="2"/>
      <c r="F847" s="2"/>
      <c r="G847" s="2"/>
    </row>
    <row r="848" spans="1:7" ht="13.2" x14ac:dyDescent="0.25">
      <c r="A848" s="2"/>
      <c r="B848" s="2"/>
      <c r="C848" s="2"/>
      <c r="D848" s="2"/>
      <c r="E848" s="2"/>
      <c r="F848" s="2"/>
      <c r="G848" s="2"/>
    </row>
    <row r="849" spans="1:7" ht="13.2" x14ac:dyDescent="0.25">
      <c r="A849" s="2"/>
      <c r="B849" s="2"/>
      <c r="C849" s="2"/>
      <c r="D849" s="2"/>
      <c r="E849" s="2"/>
      <c r="F849" s="2"/>
      <c r="G849" s="2"/>
    </row>
    <row r="850" spans="1:7" ht="13.2" x14ac:dyDescent="0.25">
      <c r="A850" s="2"/>
      <c r="B850" s="2"/>
      <c r="C850" s="2"/>
      <c r="D850" s="2"/>
      <c r="E850" s="2"/>
      <c r="F850" s="2"/>
      <c r="G850" s="2"/>
    </row>
    <row r="851" spans="1:7" ht="13.2" x14ac:dyDescent="0.25">
      <c r="A851" s="2"/>
      <c r="B851" s="2"/>
      <c r="C851" s="2"/>
      <c r="D851" s="2"/>
      <c r="E851" s="2"/>
      <c r="F851" s="2"/>
      <c r="G851" s="2"/>
    </row>
    <row r="852" spans="1:7" ht="13.2" x14ac:dyDescent="0.25">
      <c r="A852" s="2"/>
      <c r="B852" s="2"/>
      <c r="C852" s="2"/>
      <c r="D852" s="2"/>
      <c r="E852" s="2"/>
      <c r="F852" s="2"/>
      <c r="G852" s="2"/>
    </row>
    <row r="853" spans="1:7" ht="13.2" x14ac:dyDescent="0.25">
      <c r="A853" s="2"/>
      <c r="B853" s="2"/>
      <c r="C853" s="2"/>
      <c r="D853" s="2"/>
      <c r="E853" s="2"/>
      <c r="F853" s="2"/>
      <c r="G853" s="2"/>
    </row>
    <row r="854" spans="1:7" ht="13.2" x14ac:dyDescent="0.25">
      <c r="A854" s="2"/>
      <c r="B854" s="2"/>
      <c r="C854" s="2"/>
      <c r="D854" s="2"/>
      <c r="E854" s="2"/>
      <c r="F854" s="2"/>
      <c r="G854" s="2"/>
    </row>
    <row r="855" spans="1:7" ht="13.2" x14ac:dyDescent="0.25">
      <c r="A855" s="2"/>
      <c r="B855" s="2"/>
      <c r="C855" s="2"/>
      <c r="D855" s="2"/>
      <c r="E855" s="2"/>
      <c r="F855" s="2"/>
      <c r="G855" s="2"/>
    </row>
    <row r="856" spans="1:7" ht="13.2" x14ac:dyDescent="0.25">
      <c r="A856" s="2"/>
      <c r="B856" s="2"/>
      <c r="C856" s="2"/>
      <c r="D856" s="2"/>
      <c r="E856" s="2"/>
      <c r="F856" s="2"/>
      <c r="G856" s="2"/>
    </row>
    <row r="857" spans="1:7" ht="13.2" x14ac:dyDescent="0.25">
      <c r="A857" s="2"/>
      <c r="B857" s="2"/>
      <c r="C857" s="2"/>
      <c r="D857" s="2"/>
      <c r="E857" s="2"/>
      <c r="F857" s="2"/>
      <c r="G857" s="2"/>
    </row>
    <row r="858" spans="1:7" ht="13.2" x14ac:dyDescent="0.25">
      <c r="A858" s="2"/>
      <c r="B858" s="2"/>
      <c r="C858" s="2"/>
      <c r="D858" s="2"/>
      <c r="E858" s="2"/>
      <c r="F858" s="2"/>
      <c r="G858" s="2"/>
    </row>
    <row r="859" spans="1:7" ht="13.2" x14ac:dyDescent="0.25">
      <c r="A859" s="2"/>
      <c r="B859" s="2"/>
      <c r="C859" s="2"/>
      <c r="D859" s="2"/>
      <c r="E859" s="2"/>
      <c r="F859" s="2"/>
      <c r="G859" s="2"/>
    </row>
    <row r="860" spans="1:7" ht="13.2" x14ac:dyDescent="0.25">
      <c r="A860" s="2"/>
      <c r="B860" s="2"/>
      <c r="C860" s="2"/>
      <c r="D860" s="2"/>
      <c r="E860" s="2"/>
      <c r="F860" s="2"/>
      <c r="G860" s="2"/>
    </row>
    <row r="861" spans="1:7" ht="13.2" x14ac:dyDescent="0.25">
      <c r="A861" s="2"/>
      <c r="B861" s="2"/>
      <c r="C861" s="2"/>
      <c r="D861" s="2"/>
      <c r="E861" s="2"/>
      <c r="F861" s="2"/>
      <c r="G861" s="2"/>
    </row>
    <row r="862" spans="1:7" ht="13.2" x14ac:dyDescent="0.25">
      <c r="A862" s="2"/>
      <c r="B862" s="2"/>
      <c r="C862" s="2"/>
      <c r="D862" s="2"/>
      <c r="E862" s="2"/>
      <c r="F862" s="2"/>
      <c r="G862" s="2"/>
    </row>
    <row r="863" spans="1:7" ht="13.2" x14ac:dyDescent="0.25">
      <c r="A863" s="2"/>
      <c r="B863" s="2"/>
      <c r="C863" s="2"/>
      <c r="D863" s="2"/>
      <c r="E863" s="2"/>
      <c r="F863" s="2"/>
      <c r="G863" s="2"/>
    </row>
    <row r="864" spans="1:7" ht="13.2" x14ac:dyDescent="0.25">
      <c r="A864" s="2"/>
      <c r="B864" s="2"/>
      <c r="C864" s="2"/>
      <c r="D864" s="2"/>
      <c r="E864" s="2"/>
      <c r="F864" s="2"/>
      <c r="G864" s="2"/>
    </row>
    <row r="865" spans="1:7" ht="13.2" x14ac:dyDescent="0.25">
      <c r="A865" s="2"/>
      <c r="B865" s="2"/>
      <c r="C865" s="2"/>
      <c r="D865" s="2"/>
      <c r="E865" s="2"/>
      <c r="F865" s="2"/>
      <c r="G865" s="2"/>
    </row>
    <row r="866" spans="1:7" ht="13.2" x14ac:dyDescent="0.25">
      <c r="A866" s="2"/>
      <c r="B866" s="2"/>
      <c r="C866" s="2"/>
      <c r="D866" s="2"/>
      <c r="E866" s="2"/>
      <c r="F866" s="2"/>
      <c r="G866" s="2"/>
    </row>
    <row r="867" spans="1:7" ht="13.2" x14ac:dyDescent="0.25">
      <c r="A867" s="2"/>
      <c r="B867" s="2"/>
      <c r="C867" s="2"/>
      <c r="D867" s="2"/>
      <c r="E867" s="2"/>
      <c r="F867" s="2"/>
      <c r="G867" s="2"/>
    </row>
    <row r="868" spans="1:7" ht="13.2" x14ac:dyDescent="0.25">
      <c r="A868" s="2"/>
      <c r="B868" s="2"/>
      <c r="C868" s="2"/>
      <c r="D868" s="2"/>
      <c r="E868" s="2"/>
      <c r="F868" s="2"/>
      <c r="G868" s="2"/>
    </row>
    <row r="869" spans="1:7" ht="13.2" x14ac:dyDescent="0.25">
      <c r="A869" s="2"/>
      <c r="B869" s="2"/>
      <c r="C869" s="2"/>
      <c r="D869" s="2"/>
      <c r="E869" s="2"/>
      <c r="F869" s="2"/>
      <c r="G869" s="2"/>
    </row>
    <row r="870" spans="1:7" ht="13.2" x14ac:dyDescent="0.25">
      <c r="A870" s="2"/>
      <c r="B870" s="2"/>
      <c r="C870" s="2"/>
      <c r="D870" s="2"/>
      <c r="E870" s="2"/>
      <c r="F870" s="2"/>
      <c r="G870" s="2"/>
    </row>
    <row r="871" spans="1:7" ht="13.2" x14ac:dyDescent="0.25">
      <c r="A871" s="2"/>
      <c r="B871" s="2"/>
      <c r="C871" s="2"/>
      <c r="D871" s="2"/>
      <c r="E871" s="2"/>
      <c r="F871" s="2"/>
      <c r="G871" s="2"/>
    </row>
    <row r="872" spans="1:7" ht="13.2" x14ac:dyDescent="0.25">
      <c r="A872" s="2"/>
      <c r="B872" s="2"/>
      <c r="C872" s="2"/>
      <c r="D872" s="2"/>
      <c r="E872" s="2"/>
      <c r="F872" s="2"/>
      <c r="G872" s="2"/>
    </row>
    <row r="873" spans="1:7" ht="13.2" x14ac:dyDescent="0.25">
      <c r="A873" s="2"/>
      <c r="B873" s="2"/>
      <c r="C873" s="2"/>
      <c r="D873" s="2"/>
      <c r="E873" s="2"/>
      <c r="F873" s="2"/>
      <c r="G873" s="2"/>
    </row>
    <row r="874" spans="1:7" ht="13.2" x14ac:dyDescent="0.25">
      <c r="A874" s="2"/>
      <c r="B874" s="2"/>
      <c r="C874" s="2"/>
      <c r="D874" s="2"/>
      <c r="E874" s="2"/>
      <c r="F874" s="2"/>
      <c r="G874" s="2"/>
    </row>
    <row r="875" spans="1:7" ht="13.2" x14ac:dyDescent="0.25">
      <c r="A875" s="2"/>
      <c r="B875" s="2"/>
      <c r="C875" s="2"/>
      <c r="D875" s="2"/>
      <c r="E875" s="2"/>
      <c r="F875" s="2"/>
      <c r="G875" s="2"/>
    </row>
    <row r="876" spans="1:7" ht="13.2" x14ac:dyDescent="0.25">
      <c r="A876" s="2"/>
      <c r="B876" s="2"/>
      <c r="C876" s="2"/>
      <c r="D876" s="2"/>
      <c r="E876" s="2"/>
      <c r="F876" s="2"/>
      <c r="G876" s="2"/>
    </row>
    <row r="877" spans="1:7" ht="13.2" x14ac:dyDescent="0.25">
      <c r="A877" s="2"/>
      <c r="B877" s="2"/>
      <c r="C877" s="2"/>
      <c r="D877" s="2"/>
      <c r="E877" s="2"/>
      <c r="F877" s="2"/>
      <c r="G877" s="2"/>
    </row>
    <row r="878" spans="1:7" ht="13.2" x14ac:dyDescent="0.25">
      <c r="A878" s="2"/>
      <c r="B878" s="2"/>
      <c r="C878" s="2"/>
      <c r="D878" s="2"/>
      <c r="E878" s="2"/>
      <c r="F878" s="2"/>
      <c r="G878" s="2"/>
    </row>
    <row r="879" spans="1:7" ht="13.2" x14ac:dyDescent="0.25">
      <c r="A879" s="2"/>
      <c r="B879" s="2"/>
      <c r="C879" s="2"/>
      <c r="D879" s="2"/>
      <c r="E879" s="2"/>
      <c r="F879" s="2"/>
      <c r="G879" s="2"/>
    </row>
    <row r="880" spans="1:7" ht="13.2" x14ac:dyDescent="0.25">
      <c r="A880" s="2"/>
      <c r="B880" s="2"/>
      <c r="C880" s="2"/>
      <c r="D880" s="2"/>
      <c r="E880" s="2"/>
      <c r="F880" s="2"/>
      <c r="G880" s="2"/>
    </row>
    <row r="881" spans="1:7" ht="13.2" x14ac:dyDescent="0.25">
      <c r="A881" s="2"/>
      <c r="B881" s="2"/>
      <c r="C881" s="2"/>
      <c r="D881" s="2"/>
      <c r="E881" s="2"/>
      <c r="F881" s="2"/>
      <c r="G881" s="2"/>
    </row>
    <row r="882" spans="1:7" ht="13.2" x14ac:dyDescent="0.25">
      <c r="A882" s="2"/>
      <c r="B882" s="2"/>
      <c r="C882" s="2"/>
      <c r="D882" s="2"/>
      <c r="E882" s="2"/>
      <c r="F882" s="2"/>
      <c r="G882" s="2"/>
    </row>
    <row r="883" spans="1:7" ht="13.2" x14ac:dyDescent="0.25">
      <c r="A883" s="2"/>
      <c r="B883" s="2"/>
      <c r="C883" s="2"/>
      <c r="D883" s="2"/>
      <c r="E883" s="2"/>
      <c r="F883" s="2"/>
      <c r="G883" s="2"/>
    </row>
    <row r="884" spans="1:7" ht="13.2" x14ac:dyDescent="0.25">
      <c r="A884" s="2"/>
      <c r="B884" s="2"/>
      <c r="C884" s="2"/>
      <c r="D884" s="2"/>
      <c r="E884" s="2"/>
      <c r="F884" s="2"/>
      <c r="G884" s="2"/>
    </row>
    <row r="885" spans="1:7" ht="13.2" x14ac:dyDescent="0.25">
      <c r="A885" s="2"/>
      <c r="B885" s="2"/>
      <c r="C885" s="2"/>
      <c r="D885" s="2"/>
      <c r="E885" s="2"/>
      <c r="F885" s="2"/>
      <c r="G885" s="2"/>
    </row>
    <row r="886" spans="1:7" ht="13.2" x14ac:dyDescent="0.25">
      <c r="A886" s="2"/>
      <c r="B886" s="2"/>
      <c r="C886" s="2"/>
      <c r="D886" s="2"/>
      <c r="E886" s="2"/>
      <c r="F886" s="2"/>
      <c r="G886" s="2"/>
    </row>
    <row r="887" spans="1:7" ht="13.2" x14ac:dyDescent="0.25">
      <c r="A887" s="2"/>
      <c r="B887" s="2"/>
      <c r="C887" s="2"/>
      <c r="D887" s="2"/>
      <c r="E887" s="2"/>
      <c r="F887" s="2"/>
      <c r="G887" s="2"/>
    </row>
    <row r="888" spans="1:7" ht="13.2" x14ac:dyDescent="0.25">
      <c r="A888" s="2"/>
      <c r="B888" s="2"/>
      <c r="C888" s="2"/>
      <c r="D888" s="2"/>
      <c r="E888" s="2"/>
      <c r="F888" s="2"/>
      <c r="G888" s="2"/>
    </row>
    <row r="889" spans="1:7" ht="13.2" x14ac:dyDescent="0.25">
      <c r="A889" s="2"/>
      <c r="B889" s="2"/>
      <c r="C889" s="2"/>
      <c r="D889" s="2"/>
      <c r="E889" s="2"/>
      <c r="F889" s="2"/>
      <c r="G889" s="2"/>
    </row>
    <row r="890" spans="1:7" ht="13.2" x14ac:dyDescent="0.25">
      <c r="A890" s="2"/>
      <c r="B890" s="2"/>
      <c r="C890" s="2"/>
      <c r="D890" s="2"/>
      <c r="E890" s="2"/>
      <c r="F890" s="2"/>
      <c r="G890" s="2"/>
    </row>
    <row r="891" spans="1:7" ht="13.2" x14ac:dyDescent="0.25">
      <c r="A891" s="2"/>
      <c r="B891" s="2"/>
      <c r="C891" s="2"/>
      <c r="D891" s="2"/>
      <c r="E891" s="2"/>
      <c r="F891" s="2"/>
      <c r="G891" s="2"/>
    </row>
    <row r="892" spans="1:7" ht="13.2" x14ac:dyDescent="0.25">
      <c r="A892" s="2"/>
      <c r="B892" s="2"/>
      <c r="C892" s="2"/>
      <c r="D892" s="2"/>
      <c r="E892" s="2"/>
      <c r="F892" s="2"/>
      <c r="G892" s="2"/>
    </row>
    <row r="893" spans="1:7" ht="13.2" x14ac:dyDescent="0.25">
      <c r="A893" s="2"/>
      <c r="B893" s="2"/>
      <c r="C893" s="2"/>
      <c r="D893" s="2"/>
      <c r="E893" s="2"/>
      <c r="F893" s="2"/>
      <c r="G893" s="2"/>
    </row>
    <row r="894" spans="1:7" ht="13.2" x14ac:dyDescent="0.25">
      <c r="A894" s="2"/>
      <c r="B894" s="2"/>
      <c r="C894" s="2"/>
      <c r="D894" s="2"/>
      <c r="E894" s="2"/>
      <c r="F894" s="2"/>
      <c r="G894" s="2"/>
    </row>
    <row r="895" spans="1:7" ht="13.2" x14ac:dyDescent="0.25">
      <c r="A895" s="2"/>
      <c r="B895" s="2"/>
      <c r="C895" s="2"/>
      <c r="D895" s="2"/>
      <c r="E895" s="2"/>
      <c r="F895" s="2"/>
      <c r="G895" s="2"/>
    </row>
    <row r="896" spans="1:7" ht="13.2" x14ac:dyDescent="0.25">
      <c r="A896" s="2"/>
      <c r="B896" s="2"/>
      <c r="C896" s="2"/>
      <c r="D896" s="2"/>
      <c r="E896" s="2"/>
      <c r="F896" s="2"/>
      <c r="G896" s="2"/>
    </row>
    <row r="897" spans="1:7" ht="13.2" x14ac:dyDescent="0.25">
      <c r="A897" s="2"/>
      <c r="B897" s="2"/>
      <c r="C897" s="2"/>
      <c r="D897" s="2"/>
      <c r="E897" s="2"/>
      <c r="F897" s="2"/>
      <c r="G897" s="2"/>
    </row>
    <row r="898" spans="1:7" ht="13.2" x14ac:dyDescent="0.25">
      <c r="A898" s="2"/>
      <c r="B898" s="2"/>
      <c r="C898" s="2"/>
      <c r="D898" s="2"/>
      <c r="E898" s="2"/>
      <c r="F898" s="2"/>
      <c r="G898" s="2"/>
    </row>
    <row r="899" spans="1:7" ht="13.2" x14ac:dyDescent="0.25">
      <c r="A899" s="2"/>
      <c r="B899" s="2"/>
      <c r="C899" s="2"/>
      <c r="D899" s="2"/>
      <c r="E899" s="2"/>
      <c r="F899" s="2"/>
      <c r="G899" s="2"/>
    </row>
    <row r="900" spans="1:7" ht="13.2" x14ac:dyDescent="0.25">
      <c r="A900" s="2"/>
      <c r="B900" s="2"/>
      <c r="C900" s="2"/>
      <c r="D900" s="2"/>
      <c r="E900" s="2"/>
      <c r="F900" s="2"/>
      <c r="G900" s="2"/>
    </row>
    <row r="901" spans="1:7" ht="13.2" x14ac:dyDescent="0.25">
      <c r="A901" s="2"/>
      <c r="B901" s="2"/>
      <c r="C901" s="2"/>
      <c r="D901" s="2"/>
      <c r="E901" s="2"/>
      <c r="F901" s="2"/>
      <c r="G901" s="2"/>
    </row>
    <row r="902" spans="1:7" ht="13.2" x14ac:dyDescent="0.25">
      <c r="A902" s="2"/>
      <c r="B902" s="2"/>
      <c r="C902" s="2"/>
      <c r="D902" s="2"/>
      <c r="E902" s="2"/>
      <c r="F902" s="2"/>
      <c r="G902" s="2"/>
    </row>
    <row r="903" spans="1:7" ht="13.2" x14ac:dyDescent="0.25">
      <c r="A903" s="2"/>
      <c r="B903" s="2"/>
      <c r="C903" s="2"/>
      <c r="D903" s="2"/>
      <c r="E903" s="2"/>
      <c r="F903" s="2"/>
      <c r="G903" s="2"/>
    </row>
    <row r="904" spans="1:7" ht="13.2" x14ac:dyDescent="0.25">
      <c r="A904" s="2"/>
      <c r="B904" s="2"/>
      <c r="C904" s="2"/>
      <c r="D904" s="2"/>
      <c r="E904" s="2"/>
      <c r="F904" s="2"/>
      <c r="G904" s="2"/>
    </row>
    <row r="905" spans="1:7" ht="13.2" x14ac:dyDescent="0.25">
      <c r="A905" s="2"/>
      <c r="B905" s="2"/>
      <c r="C905" s="2"/>
      <c r="D905" s="2"/>
      <c r="E905" s="2"/>
      <c r="F905" s="2"/>
      <c r="G905" s="2"/>
    </row>
    <row r="906" spans="1:7" ht="13.2" x14ac:dyDescent="0.25">
      <c r="A906" s="2"/>
      <c r="B906" s="2"/>
      <c r="C906" s="2"/>
      <c r="D906" s="2"/>
      <c r="E906" s="2"/>
      <c r="F906" s="2"/>
      <c r="G906" s="2"/>
    </row>
    <row r="907" spans="1:7" ht="13.2" x14ac:dyDescent="0.25">
      <c r="A907" s="2"/>
      <c r="B907" s="2"/>
      <c r="C907" s="2"/>
      <c r="D907" s="2"/>
      <c r="E907" s="2"/>
      <c r="F907" s="2"/>
      <c r="G907" s="2"/>
    </row>
    <row r="908" spans="1:7" ht="13.2" x14ac:dyDescent="0.25">
      <c r="A908" s="2"/>
      <c r="B908" s="2"/>
      <c r="C908" s="2"/>
      <c r="D908" s="2"/>
      <c r="E908" s="2"/>
      <c r="F908" s="2"/>
      <c r="G908" s="2"/>
    </row>
    <row r="909" spans="1:7" ht="13.2" x14ac:dyDescent="0.25">
      <c r="A909" s="2"/>
      <c r="B909" s="2"/>
      <c r="C909" s="2"/>
      <c r="D909" s="2"/>
      <c r="E909" s="2"/>
      <c r="F909" s="2"/>
      <c r="G909" s="2"/>
    </row>
    <row r="910" spans="1:7" ht="13.2" x14ac:dyDescent="0.25">
      <c r="A910" s="2"/>
      <c r="B910" s="2"/>
      <c r="C910" s="2"/>
      <c r="D910" s="2"/>
      <c r="E910" s="2"/>
      <c r="F910" s="2"/>
      <c r="G910" s="2"/>
    </row>
    <row r="911" spans="1:7" ht="13.2" x14ac:dyDescent="0.25">
      <c r="A911" s="2"/>
      <c r="B911" s="2"/>
      <c r="C911" s="2"/>
      <c r="D911" s="2"/>
      <c r="E911" s="2"/>
      <c r="F911" s="2"/>
      <c r="G911" s="2"/>
    </row>
    <row r="912" spans="1:7" ht="13.2" x14ac:dyDescent="0.25">
      <c r="A912" s="2"/>
      <c r="B912" s="2"/>
      <c r="C912" s="2"/>
      <c r="D912" s="2"/>
      <c r="E912" s="2"/>
      <c r="F912" s="2"/>
      <c r="G912" s="2"/>
    </row>
    <row r="913" spans="1:7" ht="13.2" x14ac:dyDescent="0.25">
      <c r="A913" s="2"/>
      <c r="B913" s="2"/>
      <c r="C913" s="2"/>
      <c r="D913" s="2"/>
      <c r="E913" s="2"/>
      <c r="F913" s="2"/>
      <c r="G913" s="2"/>
    </row>
    <row r="914" spans="1:7" ht="13.2" x14ac:dyDescent="0.25">
      <c r="A914" s="2"/>
      <c r="B914" s="2"/>
      <c r="C914" s="2"/>
      <c r="D914" s="2"/>
      <c r="E914" s="2"/>
      <c r="F914" s="2"/>
      <c r="G914" s="2"/>
    </row>
    <row r="915" spans="1:7" ht="13.2" x14ac:dyDescent="0.25">
      <c r="A915" s="2"/>
      <c r="B915" s="2"/>
      <c r="C915" s="2"/>
      <c r="D915" s="2"/>
      <c r="E915" s="2"/>
      <c r="F915" s="2"/>
      <c r="G915" s="2"/>
    </row>
    <row r="916" spans="1:7" ht="13.2" x14ac:dyDescent="0.25">
      <c r="A916" s="2"/>
      <c r="B916" s="2"/>
      <c r="C916" s="2"/>
      <c r="D916" s="2"/>
      <c r="E916" s="2"/>
      <c r="F916" s="2"/>
      <c r="G916" s="2"/>
    </row>
    <row r="917" spans="1:7" ht="13.2" x14ac:dyDescent="0.25">
      <c r="A917" s="2"/>
      <c r="B917" s="2"/>
      <c r="C917" s="2"/>
      <c r="D917" s="2"/>
      <c r="E917" s="2"/>
      <c r="F917" s="2"/>
      <c r="G917" s="2"/>
    </row>
    <row r="918" spans="1:7" ht="13.2" x14ac:dyDescent="0.25">
      <c r="A918" s="2"/>
      <c r="B918" s="2"/>
      <c r="C918" s="2"/>
      <c r="D918" s="2"/>
      <c r="E918" s="2"/>
      <c r="F918" s="2"/>
      <c r="G918" s="2"/>
    </row>
    <row r="919" spans="1:7" ht="13.2" x14ac:dyDescent="0.25">
      <c r="A919" s="2"/>
      <c r="B919" s="2"/>
      <c r="C919" s="2"/>
      <c r="D919" s="2"/>
      <c r="E919" s="2"/>
      <c r="F919" s="2"/>
      <c r="G919" s="2"/>
    </row>
    <row r="920" spans="1:7" ht="13.2" x14ac:dyDescent="0.25">
      <c r="A920" s="2"/>
      <c r="B920" s="2"/>
      <c r="C920" s="2"/>
      <c r="D920" s="2"/>
      <c r="E920" s="2"/>
      <c r="F920" s="2"/>
      <c r="G920" s="2"/>
    </row>
    <row r="921" spans="1:7" ht="13.2" x14ac:dyDescent="0.25">
      <c r="A921" s="2"/>
      <c r="B921" s="2"/>
      <c r="C921" s="2"/>
      <c r="D921" s="2"/>
      <c r="E921" s="2"/>
      <c r="F921" s="2"/>
      <c r="G921" s="2"/>
    </row>
    <row r="922" spans="1:7" ht="13.2" x14ac:dyDescent="0.25">
      <c r="A922" s="2"/>
      <c r="B922" s="2"/>
      <c r="C922" s="2"/>
      <c r="D922" s="2"/>
      <c r="E922" s="2"/>
      <c r="F922" s="2"/>
      <c r="G922" s="2"/>
    </row>
    <row r="923" spans="1:7" ht="13.2" x14ac:dyDescent="0.25">
      <c r="A923" s="2"/>
      <c r="B923" s="2"/>
      <c r="C923" s="2"/>
      <c r="D923" s="2"/>
      <c r="E923" s="2"/>
      <c r="F923" s="2"/>
      <c r="G923" s="2"/>
    </row>
    <row r="924" spans="1:7" ht="13.2" x14ac:dyDescent="0.25">
      <c r="A924" s="2"/>
      <c r="B924" s="2"/>
      <c r="C924" s="2"/>
      <c r="D924" s="2"/>
      <c r="E924" s="2"/>
      <c r="F924" s="2"/>
      <c r="G924" s="2"/>
    </row>
    <row r="925" spans="1:7" ht="13.2" x14ac:dyDescent="0.25">
      <c r="A925" s="2"/>
      <c r="B925" s="2"/>
      <c r="C925" s="2"/>
      <c r="D925" s="2"/>
      <c r="E925" s="2"/>
      <c r="F925" s="2"/>
      <c r="G925" s="2"/>
    </row>
    <row r="926" spans="1:7" ht="13.2" x14ac:dyDescent="0.25">
      <c r="A926" s="2"/>
      <c r="B926" s="2"/>
      <c r="C926" s="2"/>
      <c r="D926" s="2"/>
      <c r="E926" s="2"/>
      <c r="F926" s="2"/>
      <c r="G926" s="2"/>
    </row>
    <row r="927" spans="1:7" ht="13.2" x14ac:dyDescent="0.25">
      <c r="A927" s="2"/>
      <c r="B927" s="2"/>
      <c r="C927" s="2"/>
      <c r="D927" s="2"/>
      <c r="E927" s="2"/>
      <c r="F927" s="2"/>
      <c r="G927" s="2"/>
    </row>
    <row r="928" spans="1:7" ht="13.2" x14ac:dyDescent="0.25">
      <c r="A928" s="2"/>
      <c r="B928" s="2"/>
      <c r="C928" s="2"/>
      <c r="D928" s="2"/>
      <c r="E928" s="2"/>
      <c r="F928" s="2"/>
      <c r="G928" s="2"/>
    </row>
    <row r="929" spans="1:7" ht="13.2" x14ac:dyDescent="0.25">
      <c r="A929" s="2"/>
      <c r="B929" s="2"/>
      <c r="C929" s="2"/>
      <c r="D929" s="2"/>
      <c r="E929" s="2"/>
      <c r="F929" s="2"/>
      <c r="G929" s="2"/>
    </row>
    <row r="930" spans="1:7" ht="13.2" x14ac:dyDescent="0.25">
      <c r="A930" s="2"/>
      <c r="B930" s="2"/>
      <c r="C930" s="2"/>
      <c r="D930" s="2"/>
      <c r="E930" s="2"/>
      <c r="F930" s="2"/>
      <c r="G930" s="2"/>
    </row>
    <row r="931" spans="1:7" ht="13.2" x14ac:dyDescent="0.25">
      <c r="A931" s="2"/>
      <c r="B931" s="2"/>
      <c r="C931" s="2"/>
      <c r="D931" s="2"/>
      <c r="E931" s="2"/>
      <c r="F931" s="2"/>
      <c r="G931" s="2"/>
    </row>
    <row r="932" spans="1:7" ht="13.2" x14ac:dyDescent="0.25">
      <c r="A932" s="2"/>
      <c r="B932" s="2"/>
      <c r="C932" s="2"/>
      <c r="D932" s="2"/>
      <c r="E932" s="2"/>
      <c r="F932" s="2"/>
      <c r="G932" s="2"/>
    </row>
    <row r="933" spans="1:7" ht="13.2" x14ac:dyDescent="0.25">
      <c r="A933" s="2"/>
      <c r="B933" s="2"/>
      <c r="C933" s="2"/>
      <c r="D933" s="2"/>
      <c r="E933" s="2"/>
      <c r="F933" s="2"/>
      <c r="G933" s="2"/>
    </row>
    <row r="934" spans="1:7" ht="13.2" x14ac:dyDescent="0.25">
      <c r="A934" s="2"/>
      <c r="B934" s="2"/>
      <c r="C934" s="2"/>
      <c r="D934" s="2"/>
      <c r="E934" s="2"/>
      <c r="F934" s="2"/>
      <c r="G934" s="2"/>
    </row>
    <row r="935" spans="1:7" ht="13.2" x14ac:dyDescent="0.25">
      <c r="A935" s="2"/>
      <c r="B935" s="2"/>
      <c r="C935" s="2"/>
      <c r="D935" s="2"/>
      <c r="E935" s="2"/>
      <c r="F935" s="2"/>
      <c r="G935" s="2"/>
    </row>
    <row r="936" spans="1:7" ht="13.2" x14ac:dyDescent="0.25">
      <c r="A936" s="2"/>
      <c r="B936" s="2"/>
      <c r="C936" s="2"/>
      <c r="D936" s="2"/>
      <c r="E936" s="2"/>
      <c r="F936" s="2"/>
      <c r="G936" s="2"/>
    </row>
    <row r="937" spans="1:7" ht="13.2" x14ac:dyDescent="0.25">
      <c r="A937" s="2"/>
      <c r="B937" s="2"/>
      <c r="C937" s="2"/>
      <c r="D937" s="2"/>
      <c r="E937" s="2"/>
      <c r="F937" s="2"/>
      <c r="G937" s="2"/>
    </row>
    <row r="938" spans="1:7" ht="13.2" x14ac:dyDescent="0.25">
      <c r="A938" s="2"/>
      <c r="B938" s="2"/>
      <c r="C938" s="2"/>
      <c r="D938" s="2"/>
      <c r="E938" s="2"/>
      <c r="F938" s="2"/>
      <c r="G938" s="2"/>
    </row>
    <row r="939" spans="1:7" ht="13.2" x14ac:dyDescent="0.25">
      <c r="A939" s="2"/>
      <c r="B939" s="2"/>
      <c r="C939" s="2"/>
      <c r="D939" s="2"/>
      <c r="E939" s="2"/>
      <c r="F939" s="2"/>
      <c r="G939" s="2"/>
    </row>
    <row r="940" spans="1:7" ht="13.2" x14ac:dyDescent="0.25">
      <c r="A940" s="2"/>
      <c r="B940" s="2"/>
      <c r="C940" s="2"/>
      <c r="D940" s="2"/>
      <c r="E940" s="2"/>
      <c r="F940" s="2"/>
      <c r="G940" s="2"/>
    </row>
    <row r="941" spans="1:7" ht="13.2" x14ac:dyDescent="0.25">
      <c r="A941" s="2"/>
      <c r="B941" s="2"/>
      <c r="C941" s="2"/>
      <c r="D941" s="2"/>
      <c r="E941" s="2"/>
      <c r="F941" s="2"/>
      <c r="G941" s="2"/>
    </row>
    <row r="942" spans="1:7" ht="13.2" x14ac:dyDescent="0.25">
      <c r="A942" s="2"/>
      <c r="B942" s="2"/>
      <c r="C942" s="2"/>
      <c r="D942" s="2"/>
      <c r="E942" s="2"/>
      <c r="F942" s="2"/>
      <c r="G942" s="2"/>
    </row>
    <row r="943" spans="1:7" ht="13.2" x14ac:dyDescent="0.25">
      <c r="A943" s="2"/>
      <c r="B943" s="2"/>
      <c r="C943" s="2"/>
      <c r="D943" s="2"/>
      <c r="E943" s="2"/>
      <c r="F943" s="2"/>
      <c r="G943" s="2"/>
    </row>
    <row r="944" spans="1:7" ht="13.2" x14ac:dyDescent="0.25">
      <c r="A944" s="2"/>
      <c r="B944" s="2"/>
      <c r="C944" s="2"/>
      <c r="D944" s="2"/>
      <c r="E944" s="2"/>
      <c r="F944" s="2"/>
      <c r="G944" s="2"/>
    </row>
    <row r="945" spans="1:7" ht="13.2" x14ac:dyDescent="0.25">
      <c r="A945" s="2"/>
      <c r="B945" s="2"/>
      <c r="C945" s="2"/>
      <c r="D945" s="2"/>
      <c r="E945" s="2"/>
      <c r="F945" s="2"/>
      <c r="G945" s="2"/>
    </row>
    <row r="946" spans="1:7" ht="13.2" x14ac:dyDescent="0.25">
      <c r="A946" s="2"/>
      <c r="B946" s="2"/>
      <c r="C946" s="2"/>
      <c r="D946" s="2"/>
      <c r="E946" s="2"/>
      <c r="F946" s="2"/>
      <c r="G946" s="2"/>
    </row>
    <row r="947" spans="1:7" ht="13.2" x14ac:dyDescent="0.25">
      <c r="A947" s="2"/>
      <c r="B947" s="2"/>
      <c r="C947" s="2"/>
      <c r="D947" s="2"/>
      <c r="E947" s="2"/>
      <c r="F947" s="2"/>
      <c r="G947" s="2"/>
    </row>
    <row r="948" spans="1:7" ht="13.2" x14ac:dyDescent="0.25">
      <c r="A948" s="2"/>
      <c r="B948" s="2"/>
      <c r="C948" s="2"/>
      <c r="D948" s="2"/>
      <c r="E948" s="2"/>
      <c r="F948" s="2"/>
      <c r="G948" s="2"/>
    </row>
    <row r="949" spans="1:7" ht="13.2" x14ac:dyDescent="0.25">
      <c r="A949" s="2"/>
      <c r="B949" s="2"/>
      <c r="C949" s="2"/>
      <c r="D949" s="2"/>
      <c r="E949" s="2"/>
      <c r="F949" s="2"/>
      <c r="G949" s="2"/>
    </row>
    <row r="950" spans="1:7" ht="13.2" x14ac:dyDescent="0.25">
      <c r="A950" s="2"/>
      <c r="B950" s="2"/>
      <c r="C950" s="2"/>
      <c r="D950" s="2"/>
      <c r="E950" s="2"/>
      <c r="F950" s="2"/>
      <c r="G950" s="2"/>
    </row>
    <row r="951" spans="1:7" ht="13.2" x14ac:dyDescent="0.25">
      <c r="A951" s="2"/>
      <c r="B951" s="2"/>
      <c r="C951" s="2"/>
      <c r="D951" s="2"/>
      <c r="E951" s="2"/>
      <c r="F951" s="2"/>
      <c r="G951" s="2"/>
    </row>
    <row r="952" spans="1:7" ht="13.2" x14ac:dyDescent="0.25">
      <c r="A952" s="2"/>
      <c r="B952" s="2"/>
      <c r="C952" s="2"/>
      <c r="D952" s="2"/>
      <c r="E952" s="2"/>
      <c r="F952" s="2"/>
      <c r="G952" s="2"/>
    </row>
    <row r="953" spans="1:7" ht="13.2" x14ac:dyDescent="0.25">
      <c r="A953" s="2"/>
      <c r="B953" s="2"/>
      <c r="C953" s="2"/>
      <c r="D953" s="2"/>
      <c r="E953" s="2"/>
      <c r="F953" s="2"/>
      <c r="G953" s="2"/>
    </row>
    <row r="954" spans="1:7" ht="13.2" x14ac:dyDescent="0.25">
      <c r="A954" s="2"/>
      <c r="B954" s="2"/>
      <c r="C954" s="2"/>
      <c r="D954" s="2"/>
      <c r="E954" s="2"/>
      <c r="F954" s="2"/>
      <c r="G954" s="2"/>
    </row>
    <row r="955" spans="1:7" ht="13.2" x14ac:dyDescent="0.25">
      <c r="A955" s="2"/>
      <c r="B955" s="2"/>
      <c r="C955" s="2"/>
      <c r="D955" s="2"/>
      <c r="E955" s="2"/>
      <c r="F955" s="2"/>
      <c r="G955" s="2"/>
    </row>
    <row r="956" spans="1:7" ht="13.2" x14ac:dyDescent="0.25">
      <c r="A956" s="2"/>
      <c r="B956" s="2"/>
      <c r="C956" s="2"/>
      <c r="D956" s="2"/>
      <c r="E956" s="2"/>
      <c r="F956" s="2"/>
      <c r="G956" s="2"/>
    </row>
    <row r="957" spans="1:7" ht="13.2" x14ac:dyDescent="0.25">
      <c r="A957" s="2"/>
      <c r="B957" s="2"/>
      <c r="C957" s="2"/>
      <c r="D957" s="2"/>
      <c r="E957" s="2"/>
      <c r="F957" s="2"/>
      <c r="G957" s="2"/>
    </row>
    <row r="958" spans="1:7" ht="13.2" x14ac:dyDescent="0.25">
      <c r="A958" s="2"/>
      <c r="B958" s="2"/>
      <c r="C958" s="2"/>
      <c r="D958" s="2"/>
      <c r="E958" s="2"/>
      <c r="F958" s="2"/>
      <c r="G958" s="2"/>
    </row>
    <row r="959" spans="1:7" ht="13.2" x14ac:dyDescent="0.25">
      <c r="A959" s="2"/>
      <c r="B959" s="2"/>
      <c r="C959" s="2"/>
      <c r="D959" s="2"/>
      <c r="E959" s="2"/>
      <c r="F959" s="2"/>
      <c r="G959" s="2"/>
    </row>
    <row r="960" spans="1:7" ht="13.2" x14ac:dyDescent="0.25">
      <c r="A960" s="2"/>
      <c r="B960" s="2"/>
      <c r="C960" s="2"/>
      <c r="D960" s="2"/>
      <c r="E960" s="2"/>
      <c r="F960" s="2"/>
      <c r="G960" s="2"/>
    </row>
    <row r="961" spans="1:7" ht="13.2" x14ac:dyDescent="0.25">
      <c r="A961" s="2"/>
      <c r="B961" s="2"/>
      <c r="C961" s="2"/>
      <c r="D961" s="2"/>
      <c r="E961" s="2"/>
      <c r="F961" s="2"/>
      <c r="G961" s="2"/>
    </row>
    <row r="962" spans="1:7" ht="13.2" x14ac:dyDescent="0.25">
      <c r="A962" s="2"/>
      <c r="B962" s="2"/>
      <c r="C962" s="2"/>
      <c r="D962" s="2"/>
      <c r="E962" s="2"/>
      <c r="F962" s="2"/>
      <c r="G962" s="2"/>
    </row>
    <row r="963" spans="1:7" ht="13.2" x14ac:dyDescent="0.25">
      <c r="A963" s="2"/>
      <c r="B963" s="2"/>
      <c r="C963" s="2"/>
      <c r="D963" s="2"/>
      <c r="E963" s="2"/>
      <c r="F963" s="2"/>
      <c r="G963" s="2"/>
    </row>
    <row r="964" spans="1:7" ht="13.2" x14ac:dyDescent="0.25">
      <c r="A964" s="2"/>
      <c r="B964" s="2"/>
      <c r="C964" s="2"/>
      <c r="D964" s="2"/>
      <c r="E964" s="2"/>
      <c r="F964" s="2"/>
      <c r="G964" s="2"/>
    </row>
    <row r="965" spans="1:7" ht="13.2" x14ac:dyDescent="0.25">
      <c r="A965" s="2"/>
      <c r="B965" s="2"/>
      <c r="C965" s="2"/>
      <c r="D965" s="2"/>
      <c r="E965" s="2"/>
      <c r="F965" s="2"/>
      <c r="G965" s="2"/>
    </row>
    <row r="966" spans="1:7" ht="13.2" x14ac:dyDescent="0.25">
      <c r="A966" s="2"/>
      <c r="B966" s="2"/>
      <c r="C966" s="2"/>
      <c r="D966" s="2"/>
      <c r="E966" s="2"/>
      <c r="F966" s="2"/>
      <c r="G966" s="2"/>
    </row>
    <row r="967" spans="1:7" ht="13.2" x14ac:dyDescent="0.25">
      <c r="A967" s="2"/>
      <c r="B967" s="2"/>
      <c r="C967" s="2"/>
      <c r="D967" s="2"/>
      <c r="E967" s="2"/>
      <c r="F967" s="2"/>
      <c r="G967" s="2"/>
    </row>
    <row r="968" spans="1:7" ht="13.2" x14ac:dyDescent="0.25">
      <c r="A968" s="2"/>
      <c r="B968" s="2"/>
      <c r="C968" s="2"/>
      <c r="D968" s="2"/>
      <c r="E968" s="2"/>
      <c r="F968" s="2"/>
      <c r="G968" s="2"/>
    </row>
    <row r="969" spans="1:7" ht="13.2" x14ac:dyDescent="0.25">
      <c r="A969" s="2"/>
      <c r="B969" s="2"/>
      <c r="C969" s="2"/>
      <c r="D969" s="2"/>
      <c r="E969" s="2"/>
      <c r="F969" s="2"/>
      <c r="G969" s="2"/>
    </row>
    <row r="970" spans="1:7" ht="13.2" x14ac:dyDescent="0.25">
      <c r="A970" s="2"/>
      <c r="B970" s="2"/>
      <c r="C970" s="2"/>
      <c r="D970" s="2"/>
      <c r="E970" s="2"/>
      <c r="F970" s="2"/>
      <c r="G970" s="2"/>
    </row>
    <row r="971" spans="1:7" ht="13.2" x14ac:dyDescent="0.25">
      <c r="A971" s="2"/>
      <c r="B971" s="2"/>
      <c r="C971" s="2"/>
      <c r="D971" s="2"/>
      <c r="E971" s="2"/>
      <c r="F971" s="2"/>
      <c r="G971" s="2"/>
    </row>
    <row r="972" spans="1:7" ht="13.2" x14ac:dyDescent="0.25">
      <c r="A972" s="2"/>
      <c r="B972" s="2"/>
      <c r="C972" s="2"/>
      <c r="D972" s="2"/>
      <c r="E972" s="2"/>
      <c r="F972" s="2"/>
      <c r="G972" s="2"/>
    </row>
    <row r="973" spans="1:7" ht="13.2" x14ac:dyDescent="0.25">
      <c r="A973" s="2"/>
      <c r="B973" s="2"/>
      <c r="C973" s="2"/>
      <c r="D973" s="2"/>
      <c r="E973" s="2"/>
      <c r="F973" s="2"/>
      <c r="G973" s="2"/>
    </row>
    <row r="974" spans="1:7" ht="13.2" x14ac:dyDescent="0.25">
      <c r="A974" s="2"/>
      <c r="B974" s="2"/>
      <c r="C974" s="2"/>
      <c r="D974" s="2"/>
      <c r="E974" s="2"/>
      <c r="F974" s="2"/>
      <c r="G974" s="2"/>
    </row>
    <row r="975" spans="1:7" ht="13.2" x14ac:dyDescent="0.25">
      <c r="A975" s="2"/>
      <c r="B975" s="2"/>
      <c r="C975" s="2"/>
      <c r="D975" s="2"/>
      <c r="E975" s="2"/>
      <c r="F975" s="2"/>
      <c r="G975" s="2"/>
    </row>
    <row r="976" spans="1:7" ht="13.2" x14ac:dyDescent="0.25">
      <c r="A976" s="2"/>
      <c r="B976" s="2"/>
      <c r="C976" s="2"/>
      <c r="D976" s="2"/>
      <c r="E976" s="2"/>
      <c r="F976" s="2"/>
      <c r="G976" s="2"/>
    </row>
    <row r="977" spans="1:7" ht="13.2" x14ac:dyDescent="0.25">
      <c r="A977" s="2"/>
      <c r="B977" s="2"/>
      <c r="C977" s="2"/>
      <c r="D977" s="2"/>
      <c r="E977" s="2"/>
      <c r="F977" s="2"/>
      <c r="G977" s="2"/>
    </row>
    <row r="978" spans="1:7" ht="13.2" x14ac:dyDescent="0.25">
      <c r="A978" s="2"/>
      <c r="B978" s="2"/>
      <c r="C978" s="2"/>
      <c r="D978" s="2"/>
      <c r="E978" s="2"/>
      <c r="F978" s="2"/>
      <c r="G978" s="2"/>
    </row>
    <row r="979" spans="1:7" ht="13.2" x14ac:dyDescent="0.25">
      <c r="A979" s="2"/>
      <c r="B979" s="2"/>
      <c r="C979" s="2"/>
      <c r="D979" s="2"/>
      <c r="E979" s="2"/>
      <c r="F979" s="2"/>
      <c r="G979" s="2"/>
    </row>
    <row r="980" spans="1:7" ht="13.2" x14ac:dyDescent="0.25">
      <c r="A980" s="2"/>
      <c r="B980" s="2"/>
      <c r="C980" s="2"/>
      <c r="D980" s="2"/>
      <c r="E980" s="2"/>
      <c r="F980" s="2"/>
      <c r="G980" s="2"/>
    </row>
    <row r="981" spans="1:7" ht="13.2" x14ac:dyDescent="0.25">
      <c r="A981" s="2"/>
      <c r="B981" s="2"/>
      <c r="C981" s="2"/>
      <c r="D981" s="2"/>
      <c r="E981" s="2"/>
      <c r="F981" s="2"/>
      <c r="G981" s="2"/>
    </row>
    <row r="982" spans="1:7" ht="13.2" x14ac:dyDescent="0.25">
      <c r="A982" s="2"/>
      <c r="B982" s="2"/>
      <c r="C982" s="2"/>
      <c r="D982" s="2"/>
      <c r="E982" s="2"/>
      <c r="F982" s="2"/>
      <c r="G982" s="2"/>
    </row>
    <row r="983" spans="1:7" ht="13.2" x14ac:dyDescent="0.25">
      <c r="A983" s="2"/>
      <c r="B983" s="2"/>
      <c r="C983" s="2"/>
      <c r="D983" s="2"/>
      <c r="E983" s="2"/>
      <c r="F983" s="2"/>
      <c r="G983" s="2"/>
    </row>
    <row r="984" spans="1:7" ht="13.2" x14ac:dyDescent="0.25">
      <c r="A984" s="2"/>
      <c r="B984" s="2"/>
      <c r="C984" s="2"/>
      <c r="D984" s="2"/>
      <c r="E984" s="2"/>
      <c r="F984" s="2"/>
      <c r="G984" s="2"/>
    </row>
    <row r="985" spans="1:7" ht="13.2" x14ac:dyDescent="0.25">
      <c r="A985" s="2"/>
      <c r="B985" s="2"/>
      <c r="C985" s="2"/>
      <c r="D985" s="2"/>
      <c r="E985" s="2"/>
      <c r="F985" s="2"/>
      <c r="G985" s="2"/>
    </row>
    <row r="986" spans="1:7" ht="13.2" x14ac:dyDescent="0.25">
      <c r="A986" s="2"/>
      <c r="B986" s="2"/>
      <c r="C986" s="2"/>
      <c r="D986" s="2"/>
      <c r="E986" s="2"/>
      <c r="F986" s="2"/>
      <c r="G986" s="2"/>
    </row>
    <row r="987" spans="1:7" ht="13.2" x14ac:dyDescent="0.25">
      <c r="A987" s="2"/>
      <c r="B987" s="2"/>
      <c r="C987" s="2"/>
      <c r="D987" s="2"/>
      <c r="E987" s="2"/>
      <c r="F987" s="2"/>
      <c r="G987" s="2"/>
    </row>
    <row r="988" spans="1:7" ht="13.2" x14ac:dyDescent="0.25">
      <c r="A988" s="2"/>
      <c r="B988" s="2"/>
      <c r="C988" s="2"/>
      <c r="D988" s="2"/>
      <c r="E988" s="2"/>
      <c r="F988" s="2"/>
      <c r="G988" s="2"/>
    </row>
    <row r="989" spans="1:7" ht="13.2" x14ac:dyDescent="0.25">
      <c r="A989" s="2"/>
      <c r="B989" s="2"/>
      <c r="C989" s="2"/>
      <c r="D989" s="2"/>
      <c r="E989" s="2"/>
      <c r="F989" s="2"/>
      <c r="G989" s="2"/>
    </row>
    <row r="990" spans="1:7" ht="13.2" x14ac:dyDescent="0.25">
      <c r="A990" s="2"/>
      <c r="B990" s="2"/>
      <c r="C990" s="2"/>
      <c r="D990" s="2"/>
      <c r="E990" s="2"/>
      <c r="F990" s="2"/>
      <c r="G990" s="2"/>
    </row>
    <row r="991" spans="1:7" ht="13.2" x14ac:dyDescent="0.25">
      <c r="A991" s="2"/>
      <c r="B991" s="2"/>
      <c r="C991" s="2"/>
      <c r="D991" s="2"/>
      <c r="E991" s="2"/>
      <c r="F991" s="2"/>
      <c r="G991" s="2"/>
    </row>
    <row r="992" spans="1:7" ht="13.2" x14ac:dyDescent="0.25">
      <c r="A992" s="2"/>
      <c r="B992" s="2"/>
      <c r="C992" s="2"/>
      <c r="D992" s="2"/>
      <c r="E992" s="2"/>
      <c r="F992" s="2"/>
      <c r="G992" s="2"/>
    </row>
    <row r="993" spans="1:7" ht="13.2" x14ac:dyDescent="0.25">
      <c r="A993" s="2"/>
      <c r="B993" s="2"/>
      <c r="C993" s="2"/>
      <c r="D993" s="2"/>
      <c r="E993" s="2"/>
      <c r="F993" s="2"/>
      <c r="G993" s="2"/>
    </row>
    <row r="994" spans="1:7" ht="13.2" x14ac:dyDescent="0.25">
      <c r="A994" s="2"/>
      <c r="B994" s="2"/>
      <c r="C994" s="2"/>
      <c r="D994" s="2"/>
      <c r="E994" s="2"/>
      <c r="F994" s="2"/>
      <c r="G994" s="2"/>
    </row>
    <row r="995" spans="1:7" ht="13.2" x14ac:dyDescent="0.25">
      <c r="A995" s="2"/>
      <c r="B995" s="2"/>
      <c r="C995" s="2"/>
      <c r="D995" s="2"/>
      <c r="E995" s="2"/>
      <c r="F995" s="2"/>
      <c r="G995" s="2"/>
    </row>
    <row r="996" spans="1:7" ht="13.2" x14ac:dyDescent="0.25">
      <c r="A996" s="2"/>
      <c r="B996" s="2"/>
      <c r="C996" s="2"/>
      <c r="D996" s="2"/>
      <c r="E996" s="2"/>
      <c r="F996" s="2"/>
      <c r="G996" s="2"/>
    </row>
    <row r="997" spans="1:7" ht="13.2" x14ac:dyDescent="0.25">
      <c r="A997" s="2"/>
      <c r="B997" s="2"/>
      <c r="C997" s="2"/>
      <c r="D997" s="2"/>
      <c r="E997" s="2"/>
      <c r="F997" s="2"/>
      <c r="G997" s="2"/>
    </row>
    <row r="998" spans="1:7" ht="13.2" x14ac:dyDescent="0.25">
      <c r="A998" s="2"/>
      <c r="B998" s="2"/>
      <c r="C998" s="2"/>
      <c r="D998" s="2"/>
      <c r="E998" s="2"/>
      <c r="F998" s="2"/>
      <c r="G998" s="2"/>
    </row>
    <row r="999" spans="1:7" ht="13.2" x14ac:dyDescent="0.25">
      <c r="A999" s="2"/>
      <c r="B999" s="2"/>
      <c r="C999" s="2"/>
      <c r="D999" s="2"/>
      <c r="E999" s="2"/>
      <c r="F999" s="2"/>
      <c r="G999" s="2"/>
    </row>
    <row r="1000" spans="1:7" ht="13.2" x14ac:dyDescent="0.25">
      <c r="A1000" s="2"/>
      <c r="B1000" s="2"/>
      <c r="C1000" s="2"/>
      <c r="D1000" s="2"/>
      <c r="E1000" s="2"/>
      <c r="F1000" s="2"/>
      <c r="G1000" s="2"/>
    </row>
    <row r="1001" spans="1:7" ht="13.2" x14ac:dyDescent="0.25">
      <c r="A1001" s="2"/>
      <c r="B1001" s="2"/>
      <c r="C1001" s="2"/>
      <c r="D1001" s="2"/>
      <c r="E1001" s="2"/>
      <c r="F1001" s="2"/>
      <c r="G1001" s="2"/>
    </row>
    <row r="1002" spans="1:7" ht="13.2" x14ac:dyDescent="0.25">
      <c r="A1002" s="2"/>
      <c r="B1002" s="2"/>
      <c r="C1002" s="2"/>
      <c r="D1002" s="2"/>
      <c r="E1002" s="2"/>
      <c r="F1002" s="2"/>
      <c r="G1002" s="2"/>
    </row>
    <row r="1003" spans="1:7" ht="13.2" x14ac:dyDescent="0.25">
      <c r="A1003" s="2"/>
      <c r="B1003" s="2"/>
      <c r="C1003" s="2"/>
      <c r="D1003" s="2"/>
      <c r="E1003" s="2"/>
      <c r="F1003" s="2"/>
      <c r="G1003" s="2"/>
    </row>
    <row r="1004" spans="1:7" ht="13.2" x14ac:dyDescent="0.25">
      <c r="A1004" s="2"/>
      <c r="B1004" s="2"/>
      <c r="C1004" s="2"/>
      <c r="D1004" s="2"/>
      <c r="E1004" s="2"/>
      <c r="F1004" s="2"/>
      <c r="G1004" s="2"/>
    </row>
    <row r="1005" spans="1:7" ht="13.2" x14ac:dyDescent="0.25">
      <c r="A1005" s="2"/>
      <c r="B1005" s="2"/>
      <c r="C1005" s="2"/>
      <c r="D1005" s="2"/>
      <c r="E1005" s="2"/>
      <c r="F1005" s="2"/>
      <c r="G1005" s="2"/>
    </row>
    <row r="1006" spans="1:7" ht="13.2" x14ac:dyDescent="0.25">
      <c r="A1006" s="2"/>
      <c r="B1006" s="2"/>
      <c r="C1006" s="2"/>
      <c r="D1006" s="2"/>
      <c r="E1006" s="2"/>
      <c r="F1006" s="2"/>
      <c r="G1006" s="2"/>
    </row>
    <row r="1007" spans="1:7" ht="13.2" x14ac:dyDescent="0.25">
      <c r="A1007" s="2"/>
      <c r="B1007" s="2"/>
      <c r="C1007" s="2"/>
      <c r="D1007" s="2"/>
      <c r="E1007" s="2"/>
      <c r="F1007" s="2"/>
      <c r="G1007" s="2"/>
    </row>
    <row r="1008" spans="1:7" ht="13.2" x14ac:dyDescent="0.25">
      <c r="A1008" s="2"/>
      <c r="B1008" s="2"/>
      <c r="C1008" s="2"/>
      <c r="D1008" s="2"/>
      <c r="E1008" s="2"/>
      <c r="F1008" s="2"/>
      <c r="G1008" s="2"/>
    </row>
    <row r="1009" spans="1:7" ht="13.2" x14ac:dyDescent="0.25">
      <c r="A1009" s="2"/>
      <c r="B1009" s="2"/>
      <c r="C1009" s="2"/>
      <c r="D1009" s="2"/>
      <c r="E1009" s="2"/>
      <c r="F1009" s="2"/>
      <c r="G1009" s="2"/>
    </row>
    <row r="1010" spans="1:7" ht="13.2" x14ac:dyDescent="0.25">
      <c r="A1010" s="2"/>
      <c r="B1010" s="2"/>
      <c r="C1010" s="2"/>
      <c r="D1010" s="2"/>
      <c r="E1010" s="2"/>
      <c r="F1010" s="2"/>
      <c r="G1010" s="2"/>
    </row>
    <row r="1011" spans="1:7" ht="13.2" x14ac:dyDescent="0.25">
      <c r="A1011" s="2"/>
      <c r="B1011" s="2"/>
      <c r="C1011" s="2"/>
      <c r="D1011" s="2"/>
      <c r="E1011" s="2"/>
      <c r="F1011" s="2"/>
      <c r="G1011" s="2"/>
    </row>
    <row r="1012" spans="1:7" ht="13.2" x14ac:dyDescent="0.25">
      <c r="A1012" s="2"/>
      <c r="B1012" s="2"/>
      <c r="C1012" s="2"/>
      <c r="D1012" s="2"/>
      <c r="E1012" s="2"/>
      <c r="F1012" s="2"/>
      <c r="G1012" s="2"/>
    </row>
    <row r="1013" spans="1:7" ht="13.2" x14ac:dyDescent="0.25">
      <c r="A1013" s="2"/>
      <c r="B1013" s="2"/>
      <c r="C1013" s="2"/>
      <c r="D1013" s="2"/>
      <c r="E1013" s="2"/>
      <c r="F1013" s="2"/>
      <c r="G1013" s="2"/>
    </row>
    <row r="1014" spans="1:7" ht="13.2" x14ac:dyDescent="0.25">
      <c r="A1014" s="2"/>
      <c r="B1014" s="2"/>
      <c r="C1014" s="2"/>
      <c r="D1014" s="2"/>
      <c r="E1014" s="2"/>
      <c r="F1014" s="2"/>
      <c r="G1014" s="2"/>
    </row>
    <row r="1015" spans="1:7" ht="13.2" x14ac:dyDescent="0.25">
      <c r="A1015" s="2"/>
      <c r="B1015" s="2"/>
      <c r="C1015" s="2"/>
      <c r="D1015" s="2"/>
      <c r="E1015" s="2"/>
      <c r="F1015" s="2"/>
      <c r="G1015" s="2"/>
    </row>
    <row r="1016" spans="1:7" ht="13.2" x14ac:dyDescent="0.25">
      <c r="A1016" s="2"/>
      <c r="B1016" s="2"/>
      <c r="C1016" s="2"/>
      <c r="D1016" s="2"/>
      <c r="E1016" s="2"/>
      <c r="F1016" s="2"/>
      <c r="G1016" s="2"/>
    </row>
    <row r="1017" spans="1:7" ht="13.2" x14ac:dyDescent="0.25">
      <c r="A1017" s="2"/>
      <c r="B1017" s="2"/>
      <c r="C1017" s="2"/>
      <c r="D1017" s="2"/>
      <c r="E1017" s="2"/>
      <c r="F1017" s="2"/>
      <c r="G1017" s="2"/>
    </row>
    <row r="1018" spans="1:7" ht="13.2" x14ac:dyDescent="0.25">
      <c r="A1018" s="2"/>
      <c r="B1018" s="2"/>
      <c r="C1018" s="2"/>
      <c r="D1018" s="2"/>
      <c r="E1018" s="2"/>
      <c r="F1018" s="2"/>
      <c r="G1018" s="2"/>
    </row>
    <row r="1019" spans="1:7" ht="13.2" x14ac:dyDescent="0.25">
      <c r="A1019" s="2"/>
      <c r="B1019" s="2"/>
      <c r="C1019" s="2"/>
      <c r="D1019" s="2"/>
      <c r="E1019" s="2"/>
      <c r="F1019" s="2"/>
      <c r="G1019" s="2"/>
    </row>
    <row r="1020" spans="1:7" ht="13.2" x14ac:dyDescent="0.25">
      <c r="A1020" s="2"/>
      <c r="B1020" s="2"/>
      <c r="C1020" s="2"/>
      <c r="D1020" s="2"/>
      <c r="E1020" s="2"/>
      <c r="F1020" s="2"/>
      <c r="G1020" s="2"/>
    </row>
  </sheetData>
  <mergeCells count="12">
    <mergeCell ref="A44:G44"/>
    <mergeCell ref="A45:G45"/>
    <mergeCell ref="A46:G46"/>
    <mergeCell ref="A47:G47"/>
    <mergeCell ref="A2:C2"/>
    <mergeCell ref="A18:G18"/>
    <mergeCell ref="A21:G21"/>
    <mergeCell ref="A19:G19"/>
    <mergeCell ref="A20:G20"/>
    <mergeCell ref="A41:G41"/>
    <mergeCell ref="A42:G42"/>
    <mergeCell ref="A43:G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999"/>
  <sheetViews>
    <sheetView showGridLines="0" workbookViewId="0">
      <selection activeCell="H20" sqref="H20"/>
    </sheetView>
  </sheetViews>
  <sheetFormatPr baseColWidth="10" defaultColWidth="12.6640625" defaultRowHeight="15.75" customHeight="1" x14ac:dyDescent="0.25"/>
  <sheetData>
    <row r="1" spans="1:9" ht="13.2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</row>
    <row r="2" spans="1:9" ht="13.2" x14ac:dyDescent="0.25">
      <c r="A2" s="314" t="s">
        <v>31</v>
      </c>
      <c r="B2" s="312"/>
      <c r="C2" s="312"/>
      <c r="D2" s="312"/>
      <c r="E2" s="312"/>
      <c r="F2" s="312"/>
      <c r="G2" s="312"/>
      <c r="H2" s="312"/>
    </row>
    <row r="3" spans="1:9" ht="13.2" x14ac:dyDescent="0.25">
      <c r="A3" s="314" t="s">
        <v>32</v>
      </c>
      <c r="B3" s="312"/>
      <c r="C3" s="312"/>
      <c r="D3" s="312"/>
      <c r="E3" s="312"/>
      <c r="F3" s="312"/>
      <c r="G3" s="312"/>
      <c r="H3" s="312"/>
    </row>
    <row r="4" spans="1:9" ht="13.2" x14ac:dyDescent="0.25">
      <c r="A4" s="2"/>
      <c r="B4" s="2"/>
      <c r="C4" s="2"/>
      <c r="D4" s="2"/>
      <c r="E4" s="2"/>
      <c r="F4" s="2"/>
      <c r="G4" s="2"/>
    </row>
    <row r="5" spans="1:9" ht="13.2" x14ac:dyDescent="0.25">
      <c r="A5" s="2"/>
      <c r="B5" s="2"/>
      <c r="C5" s="2"/>
      <c r="D5" s="2"/>
      <c r="E5" s="2"/>
      <c r="F5" s="2"/>
      <c r="G5" s="2"/>
    </row>
    <row r="6" spans="1:9" ht="13.2" x14ac:dyDescent="0.25">
      <c r="A6" s="2"/>
      <c r="B6" s="39" t="s">
        <v>24</v>
      </c>
      <c r="C6" s="40" t="s">
        <v>33</v>
      </c>
      <c r="D6" s="2"/>
      <c r="E6" s="2"/>
      <c r="F6" s="2"/>
      <c r="G6" s="2"/>
    </row>
    <row r="7" spans="1:9" ht="13.2" x14ac:dyDescent="0.25">
      <c r="A7" s="2"/>
      <c r="B7" s="68">
        <v>1</v>
      </c>
      <c r="C7" s="51">
        <v>66.900000000000006</v>
      </c>
    </row>
    <row r="8" spans="1:9" ht="13.2" x14ac:dyDescent="0.25">
      <c r="A8" s="2"/>
      <c r="B8" s="69">
        <v>2</v>
      </c>
      <c r="C8" s="53">
        <v>74.8</v>
      </c>
      <c r="D8" s="2"/>
      <c r="E8" s="2"/>
      <c r="F8" s="2"/>
      <c r="G8" s="2"/>
    </row>
    <row r="9" spans="1:9" ht="13.2" x14ac:dyDescent="0.25">
      <c r="A9" s="2"/>
      <c r="B9" s="69">
        <v>3</v>
      </c>
      <c r="C9" s="53">
        <v>81.2</v>
      </c>
      <c r="D9" s="2"/>
      <c r="E9" s="2"/>
      <c r="F9" s="2"/>
      <c r="G9" s="2"/>
    </row>
    <row r="10" spans="1:9" ht="13.2" x14ac:dyDescent="0.25">
      <c r="A10" s="2"/>
      <c r="B10" s="69">
        <v>4</v>
      </c>
      <c r="C10" s="53">
        <v>85</v>
      </c>
      <c r="D10" s="2"/>
      <c r="E10" s="2"/>
      <c r="F10" s="2"/>
      <c r="G10" s="2"/>
    </row>
    <row r="11" spans="1:9" ht="13.2" x14ac:dyDescent="0.25">
      <c r="A11" s="2"/>
      <c r="B11" s="69">
        <v>5</v>
      </c>
      <c r="C11" s="53">
        <v>89.2</v>
      </c>
      <c r="D11" s="2"/>
      <c r="E11" s="2"/>
      <c r="F11" s="2"/>
      <c r="G11" s="2"/>
    </row>
    <row r="12" spans="1:9" ht="13.2" x14ac:dyDescent="0.25">
      <c r="A12" s="2"/>
      <c r="B12" s="69">
        <v>6</v>
      </c>
      <c r="C12" s="53">
        <v>94.6</v>
      </c>
      <c r="D12" s="2"/>
      <c r="E12" s="2"/>
      <c r="F12" s="2"/>
      <c r="G12" s="2"/>
    </row>
    <row r="13" spans="1:9" ht="13.2" x14ac:dyDescent="0.25">
      <c r="A13" s="2"/>
      <c r="B13" s="69">
        <v>7</v>
      </c>
      <c r="C13" s="53">
        <v>97.8</v>
      </c>
      <c r="D13" s="2"/>
      <c r="E13" s="2"/>
      <c r="F13" s="2"/>
      <c r="G13" s="2"/>
    </row>
    <row r="14" spans="1:9" ht="13.2" x14ac:dyDescent="0.25">
      <c r="A14" s="2"/>
      <c r="B14" s="69">
        <v>8</v>
      </c>
      <c r="C14" s="53">
        <v>101.9</v>
      </c>
      <c r="D14" s="2"/>
      <c r="E14" s="2"/>
      <c r="F14" s="2"/>
      <c r="G14" s="2"/>
    </row>
    <row r="15" spans="1:9" ht="13.2" x14ac:dyDescent="0.25">
      <c r="A15" s="2"/>
      <c r="B15" s="70">
        <v>9</v>
      </c>
      <c r="C15" s="71">
        <v>106.9</v>
      </c>
      <c r="D15" s="2"/>
      <c r="E15" s="2"/>
      <c r="F15" s="2"/>
      <c r="G15" s="2"/>
    </row>
    <row r="16" spans="1:9" ht="13.2" x14ac:dyDescent="0.25">
      <c r="A16" s="2"/>
      <c r="B16" s="2"/>
      <c r="C16" s="2"/>
      <c r="D16" s="2"/>
      <c r="E16" s="2"/>
      <c r="F16" s="2"/>
      <c r="G16" s="2"/>
    </row>
    <row r="17" spans="1:14" ht="13.2" x14ac:dyDescent="0.25">
      <c r="A17" s="2"/>
      <c r="B17" s="2"/>
      <c r="C17" s="2"/>
      <c r="D17" s="2"/>
      <c r="E17" s="2"/>
      <c r="F17" s="2"/>
      <c r="G17" s="2"/>
    </row>
    <row r="18" spans="1:14" ht="13.2" x14ac:dyDescent="0.25">
      <c r="A18" s="311" t="s">
        <v>34</v>
      </c>
      <c r="B18" s="312"/>
      <c r="C18" s="312"/>
      <c r="D18" s="312"/>
      <c r="E18" s="312"/>
      <c r="F18" s="312"/>
      <c r="G18" s="312"/>
    </row>
    <row r="19" spans="1:14" ht="13.2" x14ac:dyDescent="0.25">
      <c r="A19" s="2"/>
      <c r="B19" s="2"/>
      <c r="C19" s="2"/>
      <c r="D19" s="2"/>
      <c r="E19" s="2"/>
      <c r="F19" s="2"/>
      <c r="G19" s="2"/>
    </row>
    <row r="20" spans="1:14" ht="33.75" customHeight="1" x14ac:dyDescent="0.25">
      <c r="A20" s="8"/>
      <c r="B20" s="72" t="s">
        <v>35</v>
      </c>
      <c r="C20" s="247" t="s">
        <v>36</v>
      </c>
      <c r="D20" s="74" t="s">
        <v>37</v>
      </c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ht="13.2" x14ac:dyDescent="0.25">
      <c r="A21" s="2"/>
      <c r="B21" s="75">
        <v>1</v>
      </c>
      <c r="C21" s="249">
        <f>C7</f>
        <v>66.900000000000006</v>
      </c>
      <c r="D21" s="79">
        <f>$G$23*B21+$G$22</f>
        <v>69.759999999999991</v>
      </c>
    </row>
    <row r="22" spans="1:14" ht="13.2" x14ac:dyDescent="0.25">
      <c r="A22" s="2"/>
      <c r="B22" s="78">
        <v>2</v>
      </c>
      <c r="C22" s="250">
        <f t="shared" ref="C22:C29" si="0">C8</f>
        <v>74.8</v>
      </c>
      <c r="D22" s="246">
        <f t="shared" ref="D22:D31" si="1">$G$23*B22+$G$22</f>
        <v>74.49499999999999</v>
      </c>
      <c r="F22" s="68" t="s">
        <v>38</v>
      </c>
      <c r="G22" s="79">
        <f>INTERCEPT(C21:C29,B21:B29)</f>
        <v>65.024999999999991</v>
      </c>
    </row>
    <row r="23" spans="1:14" ht="13.2" x14ac:dyDescent="0.25">
      <c r="A23" s="2"/>
      <c r="B23" s="78">
        <v>3</v>
      </c>
      <c r="C23" s="250">
        <f>C9</f>
        <v>81.2</v>
      </c>
      <c r="D23" s="246">
        <f t="shared" si="1"/>
        <v>79.22999999999999</v>
      </c>
      <c r="F23" s="70" t="s">
        <v>39</v>
      </c>
      <c r="G23" s="80">
        <f>SLOPE(C21:C29,B21:B29)</f>
        <v>4.7350000000000003</v>
      </c>
    </row>
    <row r="24" spans="1:14" ht="13.2" x14ac:dyDescent="0.25">
      <c r="A24" s="2"/>
      <c r="B24" s="78">
        <v>4</v>
      </c>
      <c r="C24" s="250">
        <f t="shared" si="0"/>
        <v>85</v>
      </c>
      <c r="D24" s="246">
        <f t="shared" si="1"/>
        <v>83.964999999999989</v>
      </c>
    </row>
    <row r="25" spans="1:14" ht="13.2" x14ac:dyDescent="0.25">
      <c r="A25" s="2"/>
      <c r="B25" s="78">
        <v>5</v>
      </c>
      <c r="C25" s="250">
        <f t="shared" si="0"/>
        <v>89.2</v>
      </c>
      <c r="D25" s="246">
        <f t="shared" si="1"/>
        <v>88.699999999999989</v>
      </c>
    </row>
    <row r="26" spans="1:14" ht="13.2" x14ac:dyDescent="0.25">
      <c r="A26" s="2"/>
      <c r="B26" s="78">
        <v>6</v>
      </c>
      <c r="C26" s="250">
        <f t="shared" si="0"/>
        <v>94.6</v>
      </c>
      <c r="D26" s="246">
        <f t="shared" si="1"/>
        <v>93.435000000000002</v>
      </c>
    </row>
    <row r="27" spans="1:14" ht="13.2" x14ac:dyDescent="0.25">
      <c r="A27" s="2"/>
      <c r="B27" s="78">
        <v>7</v>
      </c>
      <c r="C27" s="250">
        <f t="shared" si="0"/>
        <v>97.8</v>
      </c>
      <c r="D27" s="246">
        <f t="shared" si="1"/>
        <v>98.169999999999987</v>
      </c>
    </row>
    <row r="28" spans="1:14" ht="13.2" x14ac:dyDescent="0.25">
      <c r="A28" s="2"/>
      <c r="B28" s="78">
        <v>8</v>
      </c>
      <c r="C28" s="250">
        <f t="shared" si="0"/>
        <v>101.9</v>
      </c>
      <c r="D28" s="246">
        <f t="shared" si="1"/>
        <v>102.905</v>
      </c>
    </row>
    <row r="29" spans="1:14" ht="13.2" x14ac:dyDescent="0.25">
      <c r="A29" s="2"/>
      <c r="B29" s="78">
        <v>9</v>
      </c>
      <c r="C29" s="251">
        <f t="shared" si="0"/>
        <v>106.9</v>
      </c>
      <c r="D29" s="246">
        <f t="shared" si="1"/>
        <v>107.63999999999999</v>
      </c>
    </row>
    <row r="30" spans="1:14" ht="13.2" x14ac:dyDescent="0.25">
      <c r="A30" s="81"/>
      <c r="B30" s="82">
        <v>10</v>
      </c>
      <c r="C30" s="248"/>
      <c r="D30" s="83">
        <f t="shared" si="1"/>
        <v>112.375</v>
      </c>
    </row>
    <row r="31" spans="1:14" ht="13.2" x14ac:dyDescent="0.25">
      <c r="A31" s="8"/>
      <c r="B31" s="84">
        <v>11</v>
      </c>
      <c r="C31" s="85"/>
      <c r="D31" s="86">
        <f t="shared" si="1"/>
        <v>117.10999999999999</v>
      </c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3.2" x14ac:dyDescent="0.25">
      <c r="A32" s="2"/>
      <c r="B32" s="2"/>
      <c r="C32" s="2"/>
      <c r="D32" s="2"/>
      <c r="E32" s="2"/>
      <c r="F32" s="2"/>
      <c r="G32" s="2"/>
    </row>
    <row r="33" spans="1:7" ht="13.2" x14ac:dyDescent="0.25">
      <c r="A33" s="2"/>
      <c r="B33" s="2"/>
      <c r="C33" s="2"/>
      <c r="D33" s="2"/>
      <c r="E33" s="2"/>
      <c r="F33" s="2"/>
      <c r="G33" s="2"/>
    </row>
    <row r="34" spans="1:7" ht="13.2" x14ac:dyDescent="0.25">
      <c r="A34" s="2"/>
      <c r="B34" s="2"/>
      <c r="C34" s="2"/>
      <c r="D34" s="2"/>
      <c r="E34" s="2"/>
      <c r="F34" s="2"/>
      <c r="G34" s="2"/>
    </row>
    <row r="35" spans="1:7" ht="13.2" x14ac:dyDescent="0.25">
      <c r="A35" s="2"/>
      <c r="B35" s="2"/>
      <c r="C35" s="2"/>
      <c r="D35" s="2"/>
      <c r="E35" s="2"/>
      <c r="F35" s="2"/>
      <c r="G35" s="2"/>
    </row>
    <row r="36" spans="1:7" ht="13.2" x14ac:dyDescent="0.25">
      <c r="A36" s="2"/>
      <c r="B36" s="2"/>
      <c r="C36" s="2"/>
      <c r="D36" s="2"/>
      <c r="E36" s="2"/>
      <c r="F36" s="2"/>
      <c r="G36" s="2"/>
    </row>
    <row r="37" spans="1:7" ht="13.2" x14ac:dyDescent="0.25">
      <c r="A37" s="2"/>
      <c r="B37" s="2"/>
      <c r="C37" s="2"/>
      <c r="D37" s="2"/>
      <c r="E37" s="2"/>
      <c r="F37" s="2"/>
      <c r="G37" s="2"/>
    </row>
    <row r="38" spans="1:7" ht="13.2" x14ac:dyDescent="0.25">
      <c r="A38" s="2"/>
      <c r="B38" s="2"/>
      <c r="C38" s="2"/>
      <c r="D38" s="2"/>
      <c r="E38" s="2"/>
      <c r="F38" s="2"/>
      <c r="G38" s="2"/>
    </row>
    <row r="39" spans="1:7" ht="13.2" x14ac:dyDescent="0.25">
      <c r="A39" s="2"/>
      <c r="B39" s="2"/>
      <c r="C39" s="2"/>
      <c r="D39" s="2"/>
      <c r="E39" s="2"/>
      <c r="F39" s="2"/>
      <c r="G39" s="2"/>
    </row>
    <row r="40" spans="1:7" ht="13.2" x14ac:dyDescent="0.25">
      <c r="A40" s="2"/>
      <c r="B40" s="2"/>
      <c r="C40" s="2"/>
      <c r="D40" s="2"/>
      <c r="E40" s="2"/>
      <c r="F40" s="2"/>
      <c r="G40" s="2"/>
    </row>
    <row r="41" spans="1:7" ht="13.2" x14ac:dyDescent="0.25">
      <c r="A41" s="2"/>
      <c r="B41" s="2"/>
      <c r="C41" s="2"/>
      <c r="D41" s="2"/>
      <c r="E41" s="2"/>
      <c r="F41" s="2"/>
      <c r="G41" s="2"/>
    </row>
    <row r="42" spans="1:7" ht="13.2" x14ac:dyDescent="0.25">
      <c r="A42" s="2"/>
      <c r="B42" s="2"/>
      <c r="C42" s="2"/>
      <c r="D42" s="2"/>
      <c r="E42" s="2"/>
      <c r="F42" s="2"/>
      <c r="G42" s="2"/>
    </row>
    <row r="43" spans="1:7" ht="13.2" x14ac:dyDescent="0.25">
      <c r="A43" s="2"/>
      <c r="B43" s="2"/>
      <c r="C43" s="2"/>
      <c r="D43" s="2"/>
      <c r="E43" s="2"/>
      <c r="F43" s="2"/>
      <c r="G43" s="2"/>
    </row>
    <row r="44" spans="1:7" ht="13.2" x14ac:dyDescent="0.25">
      <c r="A44" s="2"/>
      <c r="B44" s="2"/>
      <c r="C44" s="2"/>
      <c r="D44" s="2"/>
      <c r="E44" s="2"/>
      <c r="F44" s="2"/>
      <c r="G44" s="2"/>
    </row>
    <row r="45" spans="1:7" ht="13.2" x14ac:dyDescent="0.25">
      <c r="A45" s="2"/>
      <c r="B45" s="2"/>
      <c r="C45" s="2"/>
      <c r="D45" s="2"/>
      <c r="E45" s="2"/>
      <c r="F45" s="2"/>
      <c r="G45" s="2"/>
    </row>
    <row r="46" spans="1:7" ht="13.2" x14ac:dyDescent="0.25">
      <c r="A46" s="2"/>
      <c r="B46" s="2"/>
      <c r="C46" s="2"/>
      <c r="D46" s="2"/>
      <c r="E46" s="2"/>
      <c r="F46" s="2"/>
      <c r="G46" s="2"/>
    </row>
    <row r="47" spans="1:7" ht="13.2" x14ac:dyDescent="0.25">
      <c r="A47" s="2"/>
      <c r="B47" s="2"/>
      <c r="C47" s="2"/>
      <c r="D47" s="2"/>
      <c r="E47" s="2"/>
      <c r="F47" s="2"/>
      <c r="G47" s="2"/>
    </row>
    <row r="48" spans="1:7" ht="13.2" x14ac:dyDescent="0.25">
      <c r="A48" s="2"/>
      <c r="B48" s="2"/>
      <c r="C48" s="2"/>
      <c r="D48" s="2"/>
      <c r="E48" s="2"/>
      <c r="F48" s="2"/>
      <c r="G48" s="2"/>
    </row>
    <row r="49" spans="1:7" ht="13.2" x14ac:dyDescent="0.25">
      <c r="A49" s="2"/>
      <c r="B49" s="2"/>
      <c r="C49" s="2"/>
      <c r="D49" s="2"/>
      <c r="E49" s="2"/>
      <c r="F49" s="2"/>
      <c r="G49" s="2"/>
    </row>
    <row r="50" spans="1:7" ht="13.2" x14ac:dyDescent="0.25">
      <c r="A50" s="2"/>
      <c r="B50" s="2"/>
      <c r="C50" s="2"/>
      <c r="D50" s="2"/>
      <c r="E50" s="2"/>
      <c r="F50" s="2"/>
      <c r="G50" s="2"/>
    </row>
    <row r="51" spans="1:7" ht="13.2" x14ac:dyDescent="0.25">
      <c r="A51" s="2"/>
      <c r="B51" s="2"/>
      <c r="C51" s="2"/>
      <c r="D51" s="2"/>
      <c r="E51" s="2"/>
      <c r="F51" s="2"/>
      <c r="G51" s="2"/>
    </row>
    <row r="52" spans="1:7" ht="13.2" x14ac:dyDescent="0.25">
      <c r="A52" s="2"/>
      <c r="B52" s="2"/>
      <c r="C52" s="2"/>
      <c r="D52" s="2"/>
      <c r="E52" s="2"/>
      <c r="F52" s="2"/>
      <c r="G52" s="2"/>
    </row>
    <row r="53" spans="1:7" ht="13.2" x14ac:dyDescent="0.25">
      <c r="A53" s="2"/>
      <c r="B53" s="2"/>
      <c r="C53" s="2"/>
      <c r="D53" s="2"/>
      <c r="E53" s="2"/>
      <c r="F53" s="2"/>
      <c r="G53" s="2"/>
    </row>
    <row r="54" spans="1:7" ht="13.2" x14ac:dyDescent="0.25">
      <c r="A54" s="2"/>
      <c r="B54" s="2"/>
      <c r="C54" s="2"/>
      <c r="D54" s="2"/>
      <c r="E54" s="2"/>
      <c r="F54" s="2"/>
      <c r="G54" s="2"/>
    </row>
    <row r="55" spans="1:7" ht="13.2" x14ac:dyDescent="0.25">
      <c r="A55" s="2"/>
      <c r="B55" s="2"/>
      <c r="C55" s="2"/>
      <c r="D55" s="2"/>
      <c r="E55" s="2"/>
      <c r="F55" s="2"/>
      <c r="G55" s="2"/>
    </row>
    <row r="56" spans="1:7" ht="13.2" x14ac:dyDescent="0.25">
      <c r="A56" s="2"/>
      <c r="B56" s="2"/>
      <c r="C56" s="2"/>
      <c r="D56" s="2"/>
      <c r="E56" s="2"/>
      <c r="F56" s="2"/>
      <c r="G56" s="2"/>
    </row>
    <row r="57" spans="1:7" ht="13.2" x14ac:dyDescent="0.25">
      <c r="A57" s="2"/>
      <c r="B57" s="2"/>
      <c r="C57" s="2"/>
      <c r="D57" s="2"/>
      <c r="E57" s="2"/>
      <c r="F57" s="2"/>
      <c r="G57" s="2"/>
    </row>
    <row r="58" spans="1:7" ht="13.2" x14ac:dyDescent="0.25">
      <c r="A58" s="2"/>
      <c r="B58" s="2"/>
      <c r="C58" s="2"/>
      <c r="D58" s="2"/>
      <c r="E58" s="2"/>
      <c r="F58" s="2"/>
      <c r="G58" s="2"/>
    </row>
    <row r="59" spans="1:7" ht="13.2" x14ac:dyDescent="0.25">
      <c r="A59" s="2"/>
      <c r="B59" s="2"/>
      <c r="C59" s="2"/>
      <c r="D59" s="2"/>
      <c r="E59" s="2"/>
      <c r="F59" s="2"/>
      <c r="G59" s="2"/>
    </row>
    <row r="60" spans="1:7" ht="13.2" x14ac:dyDescent="0.25">
      <c r="A60" s="2"/>
      <c r="B60" s="2"/>
      <c r="C60" s="2"/>
      <c r="D60" s="2"/>
      <c r="E60" s="2"/>
      <c r="F60" s="2"/>
      <c r="G60" s="2"/>
    </row>
    <row r="61" spans="1:7" ht="13.2" x14ac:dyDescent="0.25">
      <c r="A61" s="2"/>
      <c r="B61" s="2"/>
      <c r="C61" s="2"/>
      <c r="D61" s="2"/>
      <c r="E61" s="2"/>
      <c r="F61" s="2"/>
      <c r="G61" s="2"/>
    </row>
    <row r="62" spans="1:7" ht="13.2" x14ac:dyDescent="0.25">
      <c r="A62" s="2"/>
      <c r="B62" s="2"/>
      <c r="C62" s="2"/>
      <c r="D62" s="2"/>
      <c r="E62" s="2"/>
      <c r="F62" s="2"/>
      <c r="G62" s="2"/>
    </row>
    <row r="63" spans="1:7" ht="13.2" x14ac:dyDescent="0.25">
      <c r="A63" s="2"/>
      <c r="B63" s="2"/>
      <c r="C63" s="2"/>
      <c r="D63" s="2"/>
      <c r="E63" s="2"/>
      <c r="F63" s="2"/>
      <c r="G63" s="2"/>
    </row>
    <row r="64" spans="1:7" ht="13.2" x14ac:dyDescent="0.25">
      <c r="A64" s="2"/>
      <c r="B64" s="2"/>
      <c r="C64" s="2"/>
      <c r="D64" s="2"/>
      <c r="E64" s="2"/>
      <c r="F64" s="2"/>
      <c r="G64" s="2"/>
    </row>
    <row r="65" spans="1:7" ht="13.2" x14ac:dyDescent="0.25">
      <c r="A65" s="2"/>
      <c r="B65" s="2"/>
      <c r="C65" s="2"/>
      <c r="D65" s="2"/>
      <c r="E65" s="2"/>
      <c r="F65" s="2"/>
      <c r="G65" s="2"/>
    </row>
    <row r="66" spans="1:7" ht="13.2" x14ac:dyDescent="0.25">
      <c r="A66" s="2"/>
      <c r="B66" s="2"/>
      <c r="C66" s="2"/>
      <c r="D66" s="2"/>
      <c r="E66" s="2"/>
      <c r="F66" s="2"/>
      <c r="G66" s="2"/>
    </row>
    <row r="67" spans="1:7" ht="13.2" x14ac:dyDescent="0.25">
      <c r="A67" s="2"/>
      <c r="B67" s="2"/>
      <c r="C67" s="2"/>
      <c r="D67" s="2"/>
      <c r="E67" s="2"/>
      <c r="F67" s="2"/>
      <c r="G67" s="2"/>
    </row>
    <row r="68" spans="1:7" ht="13.2" x14ac:dyDescent="0.25">
      <c r="A68" s="2"/>
      <c r="B68" s="2"/>
      <c r="C68" s="2"/>
      <c r="D68" s="2"/>
      <c r="E68" s="2"/>
      <c r="F68" s="2"/>
      <c r="G68" s="2"/>
    </row>
    <row r="69" spans="1:7" ht="13.2" x14ac:dyDescent="0.25">
      <c r="A69" s="2"/>
      <c r="B69" s="2"/>
      <c r="C69" s="2"/>
      <c r="D69" s="2"/>
      <c r="E69" s="2"/>
      <c r="F69" s="2"/>
      <c r="G69" s="2"/>
    </row>
    <row r="70" spans="1:7" ht="13.2" x14ac:dyDescent="0.25">
      <c r="A70" s="2"/>
      <c r="B70" s="2"/>
      <c r="C70" s="2"/>
      <c r="D70" s="2"/>
      <c r="E70" s="2"/>
      <c r="F70" s="2"/>
      <c r="G70" s="2"/>
    </row>
    <row r="71" spans="1:7" ht="13.2" x14ac:dyDescent="0.25">
      <c r="A71" s="2"/>
      <c r="B71" s="2"/>
      <c r="C71" s="2"/>
      <c r="D71" s="2"/>
      <c r="E71" s="2"/>
      <c r="F71" s="2"/>
      <c r="G71" s="2"/>
    </row>
    <row r="72" spans="1:7" ht="13.2" x14ac:dyDescent="0.25">
      <c r="A72" s="2"/>
      <c r="B72" s="2"/>
      <c r="C72" s="2"/>
      <c r="D72" s="2"/>
      <c r="E72" s="2"/>
      <c r="F72" s="2"/>
      <c r="G72" s="2"/>
    </row>
    <row r="73" spans="1:7" ht="13.2" x14ac:dyDescent="0.25">
      <c r="A73" s="2"/>
      <c r="B73" s="2"/>
      <c r="C73" s="2"/>
      <c r="D73" s="2"/>
      <c r="E73" s="2"/>
      <c r="F73" s="2"/>
      <c r="G73" s="2"/>
    </row>
    <row r="74" spans="1:7" ht="13.2" x14ac:dyDescent="0.25">
      <c r="A74" s="2"/>
      <c r="B74" s="2"/>
      <c r="C74" s="2"/>
      <c r="D74" s="2"/>
      <c r="E74" s="2"/>
      <c r="F74" s="2"/>
      <c r="G74" s="2"/>
    </row>
    <row r="75" spans="1:7" ht="13.2" x14ac:dyDescent="0.25">
      <c r="A75" s="2"/>
      <c r="B75" s="2"/>
      <c r="C75" s="2"/>
      <c r="D75" s="2"/>
      <c r="E75" s="2"/>
      <c r="F75" s="2"/>
      <c r="G75" s="2"/>
    </row>
    <row r="76" spans="1:7" ht="13.2" x14ac:dyDescent="0.25">
      <c r="A76" s="2"/>
      <c r="B76" s="2"/>
      <c r="C76" s="2"/>
      <c r="D76" s="2"/>
      <c r="E76" s="2"/>
      <c r="F76" s="2"/>
      <c r="G76" s="2"/>
    </row>
    <row r="77" spans="1:7" ht="13.2" x14ac:dyDescent="0.25">
      <c r="A77" s="2"/>
      <c r="B77" s="2"/>
      <c r="C77" s="2"/>
      <c r="D77" s="2"/>
      <c r="E77" s="2"/>
      <c r="F77" s="2"/>
      <c r="G77" s="2"/>
    </row>
    <row r="78" spans="1:7" ht="13.2" x14ac:dyDescent="0.25">
      <c r="A78" s="2"/>
      <c r="B78" s="2"/>
      <c r="C78" s="2"/>
      <c r="D78" s="2"/>
      <c r="E78" s="2"/>
      <c r="F78" s="2"/>
      <c r="G78" s="2"/>
    </row>
    <row r="79" spans="1:7" ht="13.2" x14ac:dyDescent="0.25">
      <c r="A79" s="2"/>
      <c r="B79" s="2"/>
      <c r="C79" s="2"/>
      <c r="D79" s="2"/>
      <c r="E79" s="2"/>
      <c r="F79" s="2"/>
      <c r="G79" s="2"/>
    </row>
    <row r="80" spans="1:7" ht="13.2" x14ac:dyDescent="0.25">
      <c r="A80" s="2"/>
      <c r="B80" s="2"/>
      <c r="C80" s="2"/>
      <c r="D80" s="2"/>
      <c r="E80" s="2"/>
      <c r="F80" s="2"/>
      <c r="G80" s="2"/>
    </row>
    <row r="81" spans="1:7" ht="13.2" x14ac:dyDescent="0.25">
      <c r="A81" s="2"/>
      <c r="B81" s="2"/>
      <c r="C81" s="2"/>
      <c r="D81" s="2"/>
      <c r="E81" s="2"/>
      <c r="F81" s="2"/>
      <c r="G81" s="2"/>
    </row>
    <row r="82" spans="1:7" ht="13.2" x14ac:dyDescent="0.25">
      <c r="A82" s="2"/>
      <c r="B82" s="2"/>
      <c r="C82" s="2"/>
      <c r="D82" s="2"/>
      <c r="E82" s="2"/>
      <c r="F82" s="2"/>
      <c r="G82" s="2"/>
    </row>
    <row r="83" spans="1:7" ht="13.2" x14ac:dyDescent="0.25">
      <c r="A83" s="2"/>
      <c r="B83" s="2"/>
      <c r="C83" s="2"/>
      <c r="D83" s="2"/>
      <c r="E83" s="2"/>
      <c r="F83" s="2"/>
      <c r="G83" s="2"/>
    </row>
    <row r="84" spans="1:7" ht="13.2" x14ac:dyDescent="0.25">
      <c r="A84" s="2"/>
      <c r="B84" s="2"/>
      <c r="C84" s="2"/>
      <c r="D84" s="2"/>
      <c r="E84" s="2"/>
      <c r="F84" s="2"/>
      <c r="G84" s="2"/>
    </row>
    <row r="85" spans="1:7" ht="13.2" x14ac:dyDescent="0.25">
      <c r="A85" s="2"/>
      <c r="B85" s="2"/>
      <c r="C85" s="2"/>
      <c r="D85" s="2"/>
      <c r="E85" s="2"/>
      <c r="F85" s="2"/>
      <c r="G85" s="2"/>
    </row>
    <row r="86" spans="1:7" ht="13.2" x14ac:dyDescent="0.25">
      <c r="A86" s="2"/>
      <c r="B86" s="2"/>
      <c r="C86" s="2"/>
      <c r="D86" s="2"/>
      <c r="E86" s="2"/>
      <c r="F86" s="2"/>
      <c r="G86" s="2"/>
    </row>
    <row r="87" spans="1:7" ht="13.2" x14ac:dyDescent="0.25">
      <c r="A87" s="2"/>
      <c r="B87" s="2"/>
      <c r="C87" s="2"/>
      <c r="D87" s="2"/>
      <c r="E87" s="2"/>
      <c r="F87" s="2"/>
      <c r="G87" s="2"/>
    </row>
    <row r="88" spans="1:7" ht="13.2" x14ac:dyDescent="0.25">
      <c r="A88" s="2"/>
      <c r="B88" s="2"/>
      <c r="C88" s="2"/>
      <c r="D88" s="2"/>
      <c r="E88" s="2"/>
      <c r="F88" s="2"/>
      <c r="G88" s="2"/>
    </row>
    <row r="89" spans="1:7" ht="13.2" x14ac:dyDescent="0.25">
      <c r="A89" s="2"/>
      <c r="B89" s="2"/>
      <c r="C89" s="2"/>
      <c r="D89" s="2"/>
      <c r="E89" s="2"/>
      <c r="F89" s="2"/>
      <c r="G89" s="2"/>
    </row>
    <row r="90" spans="1:7" ht="13.2" x14ac:dyDescent="0.25">
      <c r="A90" s="2"/>
      <c r="B90" s="2"/>
      <c r="C90" s="2"/>
      <c r="D90" s="2"/>
      <c r="E90" s="2"/>
      <c r="F90" s="2"/>
      <c r="G90" s="2"/>
    </row>
    <row r="91" spans="1:7" ht="13.2" x14ac:dyDescent="0.25">
      <c r="A91" s="2"/>
      <c r="B91" s="2"/>
      <c r="C91" s="2"/>
      <c r="D91" s="2"/>
      <c r="E91" s="2"/>
      <c r="F91" s="2"/>
      <c r="G91" s="2"/>
    </row>
    <row r="92" spans="1:7" ht="13.2" x14ac:dyDescent="0.25">
      <c r="A92" s="2"/>
      <c r="B92" s="2"/>
      <c r="C92" s="2"/>
      <c r="D92" s="2"/>
      <c r="E92" s="2"/>
      <c r="F92" s="2"/>
      <c r="G92" s="2"/>
    </row>
    <row r="93" spans="1:7" ht="13.2" x14ac:dyDescent="0.25">
      <c r="A93" s="2"/>
      <c r="B93" s="2"/>
      <c r="C93" s="2"/>
      <c r="D93" s="2"/>
      <c r="E93" s="2"/>
      <c r="F93" s="2"/>
      <c r="G93" s="2"/>
    </row>
    <row r="94" spans="1:7" ht="13.2" x14ac:dyDescent="0.25">
      <c r="A94" s="2"/>
      <c r="B94" s="2"/>
      <c r="C94" s="2"/>
      <c r="D94" s="2"/>
      <c r="E94" s="2"/>
      <c r="F94" s="2"/>
      <c r="G94" s="2"/>
    </row>
    <row r="95" spans="1:7" ht="13.2" x14ac:dyDescent="0.25">
      <c r="A95" s="2"/>
      <c r="B95" s="2"/>
      <c r="C95" s="2"/>
      <c r="D95" s="2"/>
      <c r="E95" s="2"/>
      <c r="F95" s="2"/>
      <c r="G95" s="2"/>
    </row>
    <row r="96" spans="1:7" ht="13.2" x14ac:dyDescent="0.25">
      <c r="A96" s="2"/>
      <c r="B96" s="2"/>
      <c r="C96" s="2"/>
      <c r="D96" s="2"/>
      <c r="E96" s="2"/>
      <c r="F96" s="2"/>
      <c r="G96" s="2"/>
    </row>
    <row r="97" spans="1:7" ht="13.2" x14ac:dyDescent="0.25">
      <c r="A97" s="2"/>
      <c r="B97" s="2"/>
      <c r="C97" s="2"/>
      <c r="D97" s="2"/>
      <c r="E97" s="2"/>
      <c r="F97" s="2"/>
      <c r="G97" s="2"/>
    </row>
    <row r="98" spans="1:7" ht="13.2" x14ac:dyDescent="0.25">
      <c r="A98" s="2"/>
      <c r="B98" s="2"/>
      <c r="C98" s="2"/>
      <c r="D98" s="2"/>
      <c r="E98" s="2"/>
      <c r="F98" s="2"/>
      <c r="G98" s="2"/>
    </row>
    <row r="99" spans="1:7" ht="13.2" x14ac:dyDescent="0.25">
      <c r="A99" s="2"/>
      <c r="B99" s="2"/>
      <c r="C99" s="2"/>
      <c r="D99" s="2"/>
      <c r="E99" s="2"/>
      <c r="F99" s="2"/>
      <c r="G99" s="2"/>
    </row>
    <row r="100" spans="1:7" ht="13.2" x14ac:dyDescent="0.25">
      <c r="A100" s="2"/>
      <c r="B100" s="2"/>
      <c r="C100" s="2"/>
      <c r="D100" s="2"/>
      <c r="E100" s="2"/>
      <c r="F100" s="2"/>
      <c r="G100" s="2"/>
    </row>
    <row r="101" spans="1:7" ht="13.2" x14ac:dyDescent="0.25">
      <c r="A101" s="2"/>
      <c r="B101" s="2"/>
      <c r="C101" s="2"/>
      <c r="D101" s="2"/>
      <c r="E101" s="2"/>
      <c r="F101" s="2"/>
      <c r="G101" s="2"/>
    </row>
    <row r="102" spans="1:7" ht="13.2" x14ac:dyDescent="0.25">
      <c r="A102" s="2"/>
      <c r="B102" s="2"/>
      <c r="C102" s="2"/>
      <c r="D102" s="2"/>
      <c r="E102" s="2"/>
      <c r="F102" s="2"/>
      <c r="G102" s="2"/>
    </row>
    <row r="103" spans="1:7" ht="13.2" x14ac:dyDescent="0.25">
      <c r="A103" s="2"/>
      <c r="B103" s="2"/>
      <c r="C103" s="2"/>
      <c r="D103" s="2"/>
      <c r="E103" s="2"/>
      <c r="F103" s="2"/>
      <c r="G103" s="2"/>
    </row>
    <row r="104" spans="1:7" ht="13.2" x14ac:dyDescent="0.25">
      <c r="A104" s="2"/>
      <c r="B104" s="2"/>
      <c r="C104" s="2"/>
      <c r="D104" s="2"/>
      <c r="E104" s="2"/>
      <c r="F104" s="2"/>
      <c r="G104" s="2"/>
    </row>
    <row r="105" spans="1:7" ht="13.2" x14ac:dyDescent="0.25">
      <c r="A105" s="2"/>
      <c r="B105" s="2"/>
      <c r="C105" s="2"/>
      <c r="D105" s="2"/>
      <c r="E105" s="2"/>
      <c r="F105" s="2"/>
      <c r="G105" s="2"/>
    </row>
    <row r="106" spans="1:7" ht="13.2" x14ac:dyDescent="0.25">
      <c r="A106" s="2"/>
      <c r="B106" s="2"/>
      <c r="C106" s="2"/>
      <c r="D106" s="2"/>
      <c r="E106" s="2"/>
      <c r="F106" s="2"/>
      <c r="G106" s="2"/>
    </row>
    <row r="107" spans="1:7" ht="13.2" x14ac:dyDescent="0.25">
      <c r="A107" s="2"/>
      <c r="B107" s="2"/>
      <c r="C107" s="2"/>
      <c r="D107" s="2"/>
      <c r="E107" s="2"/>
      <c r="F107" s="2"/>
      <c r="G107" s="2"/>
    </row>
    <row r="108" spans="1:7" ht="13.2" x14ac:dyDescent="0.25">
      <c r="A108" s="2"/>
      <c r="B108" s="2"/>
      <c r="C108" s="2"/>
      <c r="D108" s="2"/>
      <c r="E108" s="2"/>
      <c r="F108" s="2"/>
      <c r="G108" s="2"/>
    </row>
    <row r="109" spans="1:7" ht="13.2" x14ac:dyDescent="0.25">
      <c r="A109" s="2"/>
      <c r="B109" s="2"/>
      <c r="C109" s="2"/>
      <c r="D109" s="2"/>
      <c r="E109" s="2"/>
      <c r="F109" s="2"/>
      <c r="G109" s="2"/>
    </row>
    <row r="110" spans="1:7" ht="13.2" x14ac:dyDescent="0.25">
      <c r="A110" s="2"/>
      <c r="B110" s="2"/>
      <c r="C110" s="2"/>
      <c r="D110" s="2"/>
      <c r="E110" s="2"/>
      <c r="F110" s="2"/>
      <c r="G110" s="2"/>
    </row>
    <row r="111" spans="1:7" ht="13.2" x14ac:dyDescent="0.25">
      <c r="A111" s="2"/>
      <c r="B111" s="2"/>
      <c r="C111" s="2"/>
      <c r="D111" s="2"/>
      <c r="E111" s="2"/>
      <c r="F111" s="2"/>
      <c r="G111" s="2"/>
    </row>
    <row r="112" spans="1:7" ht="13.2" x14ac:dyDescent="0.25">
      <c r="A112" s="2"/>
      <c r="B112" s="2"/>
      <c r="C112" s="2"/>
      <c r="D112" s="2"/>
      <c r="E112" s="2"/>
      <c r="F112" s="2"/>
      <c r="G112" s="2"/>
    </row>
    <row r="113" spans="1:7" ht="13.2" x14ac:dyDescent="0.25">
      <c r="A113" s="2"/>
      <c r="B113" s="2"/>
      <c r="C113" s="2"/>
      <c r="D113" s="2"/>
      <c r="E113" s="2"/>
      <c r="F113" s="2"/>
      <c r="G113" s="2"/>
    </row>
    <row r="114" spans="1:7" ht="13.2" x14ac:dyDescent="0.25">
      <c r="A114" s="2"/>
      <c r="B114" s="2"/>
      <c r="C114" s="2"/>
      <c r="D114" s="2"/>
      <c r="E114" s="2"/>
      <c r="F114" s="2"/>
      <c r="G114" s="2"/>
    </row>
    <row r="115" spans="1:7" ht="13.2" x14ac:dyDescent="0.25">
      <c r="A115" s="2"/>
      <c r="B115" s="2"/>
      <c r="C115" s="2"/>
      <c r="D115" s="2"/>
      <c r="E115" s="2"/>
      <c r="F115" s="2"/>
      <c r="G115" s="2"/>
    </row>
    <row r="116" spans="1:7" ht="13.2" x14ac:dyDescent="0.25">
      <c r="A116" s="2"/>
      <c r="B116" s="2"/>
      <c r="C116" s="2"/>
      <c r="D116" s="2"/>
      <c r="E116" s="2"/>
      <c r="F116" s="2"/>
      <c r="G116" s="2"/>
    </row>
    <row r="117" spans="1:7" ht="13.2" x14ac:dyDescent="0.25">
      <c r="A117" s="2"/>
      <c r="B117" s="2"/>
      <c r="C117" s="2"/>
      <c r="D117" s="2"/>
      <c r="E117" s="2"/>
      <c r="F117" s="2"/>
      <c r="G117" s="2"/>
    </row>
    <row r="118" spans="1:7" ht="13.2" x14ac:dyDescent="0.25">
      <c r="A118" s="2"/>
      <c r="B118" s="2"/>
      <c r="C118" s="2"/>
      <c r="D118" s="2"/>
      <c r="E118" s="2"/>
      <c r="F118" s="2"/>
      <c r="G118" s="2"/>
    </row>
    <row r="119" spans="1:7" ht="13.2" x14ac:dyDescent="0.25">
      <c r="A119" s="2"/>
      <c r="B119" s="2"/>
      <c r="C119" s="2"/>
      <c r="D119" s="2"/>
      <c r="E119" s="2"/>
      <c r="F119" s="2"/>
      <c r="G119" s="2"/>
    </row>
    <row r="120" spans="1:7" ht="13.2" x14ac:dyDescent="0.25">
      <c r="A120" s="2"/>
      <c r="B120" s="2"/>
      <c r="C120" s="2"/>
      <c r="D120" s="2"/>
      <c r="E120" s="2"/>
      <c r="F120" s="2"/>
      <c r="G120" s="2"/>
    </row>
    <row r="121" spans="1:7" ht="13.2" x14ac:dyDescent="0.25">
      <c r="A121" s="2"/>
      <c r="B121" s="2"/>
      <c r="C121" s="2"/>
      <c r="D121" s="2"/>
      <c r="E121" s="2"/>
      <c r="F121" s="2"/>
      <c r="G121" s="2"/>
    </row>
    <row r="122" spans="1:7" ht="13.2" x14ac:dyDescent="0.25">
      <c r="A122" s="2"/>
      <c r="B122" s="2"/>
      <c r="C122" s="2"/>
      <c r="D122" s="2"/>
      <c r="E122" s="2"/>
      <c r="F122" s="2"/>
      <c r="G122" s="2"/>
    </row>
    <row r="123" spans="1:7" ht="13.2" x14ac:dyDescent="0.25">
      <c r="A123" s="2"/>
      <c r="B123" s="2"/>
      <c r="C123" s="2"/>
      <c r="D123" s="2"/>
      <c r="E123" s="2"/>
      <c r="F123" s="2"/>
      <c r="G123" s="2"/>
    </row>
    <row r="124" spans="1:7" ht="13.2" x14ac:dyDescent="0.25">
      <c r="A124" s="2"/>
      <c r="B124" s="2"/>
      <c r="C124" s="2"/>
      <c r="D124" s="2"/>
      <c r="E124" s="2"/>
      <c r="F124" s="2"/>
      <c r="G124" s="2"/>
    </row>
    <row r="125" spans="1:7" ht="13.2" x14ac:dyDescent="0.25">
      <c r="A125" s="2"/>
      <c r="B125" s="2"/>
      <c r="C125" s="2"/>
      <c r="D125" s="2"/>
      <c r="E125" s="2"/>
      <c r="F125" s="2"/>
      <c r="G125" s="2"/>
    </row>
    <row r="126" spans="1:7" ht="13.2" x14ac:dyDescent="0.25">
      <c r="A126" s="2"/>
      <c r="B126" s="2"/>
      <c r="C126" s="2"/>
      <c r="D126" s="2"/>
      <c r="E126" s="2"/>
      <c r="F126" s="2"/>
      <c r="G126" s="2"/>
    </row>
    <row r="127" spans="1:7" ht="13.2" x14ac:dyDescent="0.25">
      <c r="A127" s="2"/>
      <c r="B127" s="2"/>
      <c r="C127" s="2"/>
      <c r="D127" s="2"/>
      <c r="E127" s="2"/>
      <c r="F127" s="2"/>
      <c r="G127" s="2"/>
    </row>
    <row r="128" spans="1:7" ht="13.2" x14ac:dyDescent="0.25">
      <c r="A128" s="2"/>
      <c r="B128" s="2"/>
      <c r="C128" s="2"/>
      <c r="D128" s="2"/>
      <c r="E128" s="2"/>
      <c r="F128" s="2"/>
      <c r="G128" s="2"/>
    </row>
    <row r="129" spans="1:7" ht="13.2" x14ac:dyDescent="0.25">
      <c r="A129" s="2"/>
      <c r="B129" s="2"/>
      <c r="C129" s="2"/>
      <c r="D129" s="2"/>
      <c r="E129" s="2"/>
      <c r="F129" s="2"/>
      <c r="G129" s="2"/>
    </row>
    <row r="130" spans="1:7" ht="13.2" x14ac:dyDescent="0.25">
      <c r="A130" s="2"/>
      <c r="B130" s="2"/>
      <c r="C130" s="2"/>
      <c r="D130" s="2"/>
      <c r="E130" s="2"/>
      <c r="F130" s="2"/>
      <c r="G130" s="2"/>
    </row>
    <row r="131" spans="1:7" ht="13.2" x14ac:dyDescent="0.25">
      <c r="A131" s="2"/>
      <c r="B131" s="2"/>
      <c r="C131" s="2"/>
      <c r="D131" s="2"/>
      <c r="E131" s="2"/>
      <c r="F131" s="2"/>
      <c r="G131" s="2"/>
    </row>
    <row r="132" spans="1:7" ht="13.2" x14ac:dyDescent="0.25">
      <c r="A132" s="2"/>
      <c r="B132" s="2"/>
      <c r="C132" s="2"/>
      <c r="D132" s="2"/>
      <c r="E132" s="2"/>
      <c r="F132" s="2"/>
      <c r="G132" s="2"/>
    </row>
    <row r="133" spans="1:7" ht="13.2" x14ac:dyDescent="0.25">
      <c r="A133" s="2"/>
      <c r="B133" s="2"/>
      <c r="C133" s="2"/>
      <c r="D133" s="2"/>
      <c r="E133" s="2"/>
      <c r="F133" s="2"/>
      <c r="G133" s="2"/>
    </row>
    <row r="134" spans="1:7" ht="13.2" x14ac:dyDescent="0.25">
      <c r="A134" s="2"/>
      <c r="B134" s="2"/>
      <c r="C134" s="2"/>
      <c r="D134" s="2"/>
      <c r="E134" s="2"/>
      <c r="F134" s="2"/>
      <c r="G134" s="2"/>
    </row>
    <row r="135" spans="1:7" ht="13.2" x14ac:dyDescent="0.25">
      <c r="A135" s="2"/>
      <c r="B135" s="2"/>
      <c r="C135" s="2"/>
      <c r="D135" s="2"/>
      <c r="E135" s="2"/>
      <c r="F135" s="2"/>
      <c r="G135" s="2"/>
    </row>
    <row r="136" spans="1:7" ht="13.2" x14ac:dyDescent="0.25">
      <c r="A136" s="2"/>
      <c r="B136" s="2"/>
      <c r="C136" s="2"/>
      <c r="D136" s="2"/>
      <c r="E136" s="2"/>
      <c r="F136" s="2"/>
      <c r="G136" s="2"/>
    </row>
    <row r="137" spans="1:7" ht="13.2" x14ac:dyDescent="0.25">
      <c r="A137" s="2"/>
      <c r="B137" s="2"/>
      <c r="C137" s="2"/>
      <c r="D137" s="2"/>
      <c r="E137" s="2"/>
      <c r="F137" s="2"/>
      <c r="G137" s="2"/>
    </row>
    <row r="138" spans="1:7" ht="13.2" x14ac:dyDescent="0.25">
      <c r="A138" s="2"/>
      <c r="B138" s="2"/>
      <c r="C138" s="2"/>
      <c r="D138" s="2"/>
      <c r="E138" s="2"/>
      <c r="F138" s="2"/>
      <c r="G138" s="2"/>
    </row>
    <row r="139" spans="1:7" ht="13.2" x14ac:dyDescent="0.25">
      <c r="A139" s="2"/>
      <c r="B139" s="2"/>
      <c r="C139" s="2"/>
      <c r="D139" s="2"/>
      <c r="E139" s="2"/>
      <c r="F139" s="2"/>
      <c r="G139" s="2"/>
    </row>
    <row r="140" spans="1:7" ht="13.2" x14ac:dyDescent="0.25">
      <c r="A140" s="2"/>
      <c r="B140" s="2"/>
      <c r="C140" s="2"/>
      <c r="D140" s="2"/>
      <c r="E140" s="2"/>
      <c r="F140" s="2"/>
      <c r="G140" s="2"/>
    </row>
    <row r="141" spans="1:7" ht="13.2" x14ac:dyDescent="0.25">
      <c r="A141" s="2"/>
      <c r="B141" s="2"/>
      <c r="C141" s="2"/>
      <c r="D141" s="2"/>
      <c r="E141" s="2"/>
      <c r="F141" s="2"/>
      <c r="G141" s="2"/>
    </row>
    <row r="142" spans="1:7" ht="13.2" x14ac:dyDescent="0.25">
      <c r="A142" s="2"/>
      <c r="B142" s="2"/>
      <c r="C142" s="2"/>
      <c r="D142" s="2"/>
      <c r="E142" s="2"/>
      <c r="F142" s="2"/>
      <c r="G142" s="2"/>
    </row>
    <row r="143" spans="1:7" ht="13.2" x14ac:dyDescent="0.25">
      <c r="A143" s="2"/>
      <c r="B143" s="2"/>
      <c r="C143" s="2"/>
      <c r="D143" s="2"/>
      <c r="E143" s="2"/>
      <c r="F143" s="2"/>
      <c r="G143" s="2"/>
    </row>
    <row r="144" spans="1:7" ht="13.2" x14ac:dyDescent="0.25">
      <c r="A144" s="2"/>
      <c r="B144" s="2"/>
      <c r="C144" s="2"/>
      <c r="D144" s="2"/>
      <c r="E144" s="2"/>
      <c r="F144" s="2"/>
      <c r="G144" s="2"/>
    </row>
    <row r="145" spans="1:7" ht="13.2" x14ac:dyDescent="0.25">
      <c r="A145" s="2"/>
      <c r="B145" s="2"/>
      <c r="C145" s="2"/>
      <c r="D145" s="2"/>
      <c r="E145" s="2"/>
      <c r="F145" s="2"/>
      <c r="G145" s="2"/>
    </row>
    <row r="146" spans="1:7" ht="13.2" x14ac:dyDescent="0.25">
      <c r="A146" s="2"/>
      <c r="B146" s="2"/>
      <c r="C146" s="2"/>
      <c r="D146" s="2"/>
      <c r="E146" s="2"/>
      <c r="F146" s="2"/>
      <c r="G146" s="2"/>
    </row>
    <row r="147" spans="1:7" ht="13.2" x14ac:dyDescent="0.25">
      <c r="A147" s="2"/>
      <c r="B147" s="2"/>
      <c r="C147" s="2"/>
      <c r="D147" s="2"/>
      <c r="E147" s="2"/>
      <c r="F147" s="2"/>
      <c r="G147" s="2"/>
    </row>
    <row r="148" spans="1:7" ht="13.2" x14ac:dyDescent="0.25">
      <c r="A148" s="2"/>
      <c r="B148" s="2"/>
      <c r="C148" s="2"/>
      <c r="D148" s="2"/>
      <c r="E148" s="2"/>
      <c r="F148" s="2"/>
      <c r="G148" s="2"/>
    </row>
    <row r="149" spans="1:7" ht="13.2" x14ac:dyDescent="0.25">
      <c r="A149" s="2"/>
      <c r="B149" s="2"/>
      <c r="C149" s="2"/>
      <c r="D149" s="2"/>
      <c r="E149" s="2"/>
      <c r="F149" s="2"/>
      <c r="G149" s="2"/>
    </row>
    <row r="150" spans="1:7" ht="13.2" x14ac:dyDescent="0.25">
      <c r="A150" s="2"/>
      <c r="B150" s="2"/>
      <c r="C150" s="2"/>
      <c r="D150" s="2"/>
      <c r="E150" s="2"/>
      <c r="F150" s="2"/>
      <c r="G150" s="2"/>
    </row>
    <row r="151" spans="1:7" ht="13.2" x14ac:dyDescent="0.25">
      <c r="A151" s="2"/>
      <c r="B151" s="2"/>
      <c r="C151" s="2"/>
      <c r="D151" s="2"/>
      <c r="E151" s="2"/>
      <c r="F151" s="2"/>
      <c r="G151" s="2"/>
    </row>
    <row r="152" spans="1:7" ht="13.2" x14ac:dyDescent="0.25">
      <c r="A152" s="2"/>
      <c r="B152" s="2"/>
      <c r="C152" s="2"/>
      <c r="D152" s="2"/>
      <c r="E152" s="2"/>
      <c r="F152" s="2"/>
      <c r="G152" s="2"/>
    </row>
    <row r="153" spans="1:7" ht="13.2" x14ac:dyDescent="0.25">
      <c r="A153" s="2"/>
      <c r="B153" s="2"/>
      <c r="C153" s="2"/>
      <c r="D153" s="2"/>
      <c r="E153" s="2"/>
      <c r="F153" s="2"/>
      <c r="G153" s="2"/>
    </row>
    <row r="154" spans="1:7" ht="13.2" x14ac:dyDescent="0.25">
      <c r="A154" s="2"/>
      <c r="B154" s="2"/>
      <c r="C154" s="2"/>
      <c r="D154" s="2"/>
      <c r="E154" s="2"/>
      <c r="F154" s="2"/>
      <c r="G154" s="2"/>
    </row>
    <row r="155" spans="1:7" ht="13.2" x14ac:dyDescent="0.25">
      <c r="A155" s="2"/>
      <c r="B155" s="2"/>
      <c r="C155" s="2"/>
      <c r="D155" s="2"/>
      <c r="E155" s="2"/>
      <c r="F155" s="2"/>
      <c r="G155" s="2"/>
    </row>
    <row r="156" spans="1:7" ht="13.2" x14ac:dyDescent="0.25">
      <c r="A156" s="2"/>
      <c r="B156" s="2"/>
      <c r="C156" s="2"/>
      <c r="D156" s="2"/>
      <c r="E156" s="2"/>
      <c r="F156" s="2"/>
      <c r="G156" s="2"/>
    </row>
    <row r="157" spans="1:7" ht="13.2" x14ac:dyDescent="0.25">
      <c r="A157" s="2"/>
      <c r="B157" s="2"/>
      <c r="C157" s="2"/>
      <c r="D157" s="2"/>
      <c r="E157" s="2"/>
      <c r="F157" s="2"/>
      <c r="G157" s="2"/>
    </row>
    <row r="158" spans="1:7" ht="13.2" x14ac:dyDescent="0.25">
      <c r="A158" s="2"/>
      <c r="B158" s="2"/>
      <c r="C158" s="2"/>
      <c r="D158" s="2"/>
      <c r="E158" s="2"/>
      <c r="F158" s="2"/>
      <c r="G158" s="2"/>
    </row>
    <row r="159" spans="1:7" ht="13.2" x14ac:dyDescent="0.25">
      <c r="A159" s="2"/>
      <c r="B159" s="2"/>
      <c r="C159" s="2"/>
      <c r="D159" s="2"/>
      <c r="E159" s="2"/>
      <c r="F159" s="2"/>
      <c r="G159" s="2"/>
    </row>
    <row r="160" spans="1:7" ht="13.2" x14ac:dyDescent="0.25">
      <c r="A160" s="2"/>
      <c r="B160" s="2"/>
      <c r="C160" s="2"/>
      <c r="D160" s="2"/>
      <c r="E160" s="2"/>
      <c r="F160" s="2"/>
      <c r="G160" s="2"/>
    </row>
    <row r="161" spans="1:7" ht="13.2" x14ac:dyDescent="0.25">
      <c r="A161" s="2"/>
      <c r="B161" s="2"/>
      <c r="C161" s="2"/>
      <c r="D161" s="2"/>
      <c r="E161" s="2"/>
      <c r="F161" s="2"/>
      <c r="G161" s="2"/>
    </row>
    <row r="162" spans="1:7" ht="13.2" x14ac:dyDescent="0.25">
      <c r="A162" s="2"/>
      <c r="B162" s="2"/>
      <c r="C162" s="2"/>
      <c r="D162" s="2"/>
      <c r="E162" s="2"/>
      <c r="F162" s="2"/>
      <c r="G162" s="2"/>
    </row>
    <row r="163" spans="1:7" ht="13.2" x14ac:dyDescent="0.25">
      <c r="A163" s="2"/>
      <c r="B163" s="2"/>
      <c r="C163" s="2"/>
      <c r="D163" s="2"/>
      <c r="E163" s="2"/>
      <c r="F163" s="2"/>
      <c r="G163" s="2"/>
    </row>
    <row r="164" spans="1:7" ht="13.2" x14ac:dyDescent="0.25">
      <c r="A164" s="2"/>
      <c r="B164" s="2"/>
      <c r="C164" s="2"/>
      <c r="D164" s="2"/>
      <c r="E164" s="2"/>
      <c r="F164" s="2"/>
      <c r="G164" s="2"/>
    </row>
    <row r="165" spans="1:7" ht="13.2" x14ac:dyDescent="0.25">
      <c r="A165" s="2"/>
      <c r="B165" s="2"/>
      <c r="C165" s="2"/>
      <c r="D165" s="2"/>
      <c r="E165" s="2"/>
      <c r="F165" s="2"/>
      <c r="G165" s="2"/>
    </row>
    <row r="166" spans="1:7" ht="13.2" x14ac:dyDescent="0.25">
      <c r="A166" s="2"/>
      <c r="B166" s="2"/>
      <c r="C166" s="2"/>
      <c r="D166" s="2"/>
      <c r="E166" s="2"/>
      <c r="F166" s="2"/>
      <c r="G166" s="2"/>
    </row>
    <row r="167" spans="1:7" ht="13.2" x14ac:dyDescent="0.25">
      <c r="A167" s="2"/>
      <c r="B167" s="2"/>
      <c r="C167" s="2"/>
      <c r="D167" s="2"/>
      <c r="E167" s="2"/>
      <c r="F167" s="2"/>
      <c r="G167" s="2"/>
    </row>
    <row r="168" spans="1:7" ht="13.2" x14ac:dyDescent="0.25">
      <c r="A168" s="2"/>
      <c r="B168" s="2"/>
      <c r="C168" s="2"/>
      <c r="D168" s="2"/>
      <c r="E168" s="2"/>
      <c r="F168" s="2"/>
      <c r="G168" s="2"/>
    </row>
    <row r="169" spans="1:7" ht="13.2" x14ac:dyDescent="0.25">
      <c r="A169" s="2"/>
      <c r="B169" s="2"/>
      <c r="C169" s="2"/>
      <c r="D169" s="2"/>
      <c r="E169" s="2"/>
      <c r="F169" s="2"/>
      <c r="G169" s="2"/>
    </row>
    <row r="170" spans="1:7" ht="13.2" x14ac:dyDescent="0.25">
      <c r="A170" s="2"/>
      <c r="B170" s="2"/>
      <c r="C170" s="2"/>
      <c r="D170" s="2"/>
      <c r="E170" s="2"/>
      <c r="F170" s="2"/>
      <c r="G170" s="2"/>
    </row>
    <row r="171" spans="1:7" ht="13.2" x14ac:dyDescent="0.25">
      <c r="A171" s="2"/>
      <c r="B171" s="2"/>
      <c r="C171" s="2"/>
      <c r="D171" s="2"/>
      <c r="E171" s="2"/>
      <c r="F171" s="2"/>
      <c r="G171" s="2"/>
    </row>
    <row r="172" spans="1:7" ht="13.2" x14ac:dyDescent="0.25">
      <c r="A172" s="2"/>
      <c r="B172" s="2"/>
      <c r="C172" s="2"/>
      <c r="D172" s="2"/>
      <c r="E172" s="2"/>
      <c r="F172" s="2"/>
      <c r="G172" s="2"/>
    </row>
    <row r="173" spans="1:7" ht="13.2" x14ac:dyDescent="0.25">
      <c r="A173" s="2"/>
      <c r="B173" s="2"/>
      <c r="C173" s="2"/>
      <c r="D173" s="2"/>
      <c r="E173" s="2"/>
      <c r="F173" s="2"/>
      <c r="G173" s="2"/>
    </row>
    <row r="174" spans="1:7" ht="13.2" x14ac:dyDescent="0.25">
      <c r="A174" s="2"/>
      <c r="B174" s="2"/>
      <c r="C174" s="2"/>
      <c r="D174" s="2"/>
      <c r="E174" s="2"/>
      <c r="F174" s="2"/>
      <c r="G174" s="2"/>
    </row>
    <row r="175" spans="1:7" ht="13.2" x14ac:dyDescent="0.25">
      <c r="A175" s="2"/>
      <c r="B175" s="2"/>
      <c r="C175" s="2"/>
      <c r="D175" s="2"/>
      <c r="E175" s="2"/>
      <c r="F175" s="2"/>
      <c r="G175" s="2"/>
    </row>
    <row r="176" spans="1:7" ht="13.2" x14ac:dyDescent="0.25">
      <c r="A176" s="2"/>
      <c r="B176" s="2"/>
      <c r="C176" s="2"/>
      <c r="D176" s="2"/>
      <c r="E176" s="2"/>
      <c r="F176" s="2"/>
      <c r="G176" s="2"/>
    </row>
    <row r="177" spans="1:7" ht="13.2" x14ac:dyDescent="0.25">
      <c r="A177" s="2"/>
      <c r="B177" s="2"/>
      <c r="C177" s="2"/>
      <c r="D177" s="2"/>
      <c r="E177" s="2"/>
      <c r="F177" s="2"/>
      <c r="G177" s="2"/>
    </row>
    <row r="178" spans="1:7" ht="13.2" x14ac:dyDescent="0.25">
      <c r="A178" s="2"/>
      <c r="B178" s="2"/>
      <c r="C178" s="2"/>
      <c r="D178" s="2"/>
      <c r="E178" s="2"/>
      <c r="F178" s="2"/>
      <c r="G178" s="2"/>
    </row>
    <row r="179" spans="1:7" ht="13.2" x14ac:dyDescent="0.25">
      <c r="A179" s="2"/>
      <c r="B179" s="2"/>
      <c r="C179" s="2"/>
      <c r="D179" s="2"/>
      <c r="E179" s="2"/>
      <c r="F179" s="2"/>
      <c r="G179" s="2"/>
    </row>
    <row r="180" spans="1:7" ht="13.2" x14ac:dyDescent="0.25">
      <c r="A180" s="2"/>
      <c r="B180" s="2"/>
      <c r="C180" s="2"/>
      <c r="D180" s="2"/>
      <c r="E180" s="2"/>
      <c r="F180" s="2"/>
      <c r="G180" s="2"/>
    </row>
    <row r="181" spans="1:7" ht="13.2" x14ac:dyDescent="0.25">
      <c r="A181" s="2"/>
      <c r="B181" s="2"/>
      <c r="C181" s="2"/>
      <c r="D181" s="2"/>
      <c r="E181" s="2"/>
      <c r="F181" s="2"/>
      <c r="G181" s="2"/>
    </row>
    <row r="182" spans="1:7" ht="13.2" x14ac:dyDescent="0.25">
      <c r="A182" s="2"/>
      <c r="B182" s="2"/>
      <c r="C182" s="2"/>
      <c r="D182" s="2"/>
      <c r="E182" s="2"/>
      <c r="F182" s="2"/>
      <c r="G182" s="2"/>
    </row>
    <row r="183" spans="1:7" ht="13.2" x14ac:dyDescent="0.25">
      <c r="A183" s="2"/>
      <c r="B183" s="2"/>
      <c r="C183" s="2"/>
      <c r="D183" s="2"/>
      <c r="E183" s="2"/>
      <c r="F183" s="2"/>
      <c r="G183" s="2"/>
    </row>
    <row r="184" spans="1:7" ht="13.2" x14ac:dyDescent="0.25">
      <c r="A184" s="2"/>
      <c r="B184" s="2"/>
      <c r="C184" s="2"/>
      <c r="D184" s="2"/>
      <c r="E184" s="2"/>
      <c r="F184" s="2"/>
      <c r="G184" s="2"/>
    </row>
    <row r="185" spans="1:7" ht="13.2" x14ac:dyDescent="0.25">
      <c r="A185" s="2"/>
      <c r="B185" s="2"/>
      <c r="C185" s="2"/>
      <c r="D185" s="2"/>
      <c r="E185" s="2"/>
      <c r="F185" s="2"/>
      <c r="G185" s="2"/>
    </row>
    <row r="186" spans="1:7" ht="13.2" x14ac:dyDescent="0.25">
      <c r="A186" s="2"/>
      <c r="B186" s="2"/>
      <c r="C186" s="2"/>
      <c r="D186" s="2"/>
      <c r="E186" s="2"/>
      <c r="F186" s="2"/>
      <c r="G186" s="2"/>
    </row>
    <row r="187" spans="1:7" ht="13.2" x14ac:dyDescent="0.25">
      <c r="A187" s="2"/>
      <c r="B187" s="2"/>
      <c r="C187" s="2"/>
      <c r="D187" s="2"/>
      <c r="E187" s="2"/>
      <c r="F187" s="2"/>
      <c r="G187" s="2"/>
    </row>
    <row r="188" spans="1:7" ht="13.2" x14ac:dyDescent="0.25">
      <c r="A188" s="2"/>
      <c r="B188" s="2"/>
      <c r="C188" s="2"/>
      <c r="D188" s="2"/>
      <c r="E188" s="2"/>
      <c r="F188" s="2"/>
      <c r="G188" s="2"/>
    </row>
    <row r="189" spans="1:7" ht="13.2" x14ac:dyDescent="0.25">
      <c r="A189" s="2"/>
      <c r="B189" s="2"/>
      <c r="C189" s="2"/>
      <c r="D189" s="2"/>
      <c r="E189" s="2"/>
      <c r="F189" s="2"/>
      <c r="G189" s="2"/>
    </row>
    <row r="190" spans="1:7" ht="13.2" x14ac:dyDescent="0.25">
      <c r="A190" s="2"/>
      <c r="B190" s="2"/>
      <c r="C190" s="2"/>
      <c r="D190" s="2"/>
      <c r="E190" s="2"/>
      <c r="F190" s="2"/>
      <c r="G190" s="2"/>
    </row>
    <row r="191" spans="1:7" ht="13.2" x14ac:dyDescent="0.25">
      <c r="A191" s="2"/>
      <c r="B191" s="2"/>
      <c r="C191" s="2"/>
      <c r="D191" s="2"/>
      <c r="E191" s="2"/>
      <c r="F191" s="2"/>
      <c r="G191" s="2"/>
    </row>
    <row r="192" spans="1:7" ht="13.2" x14ac:dyDescent="0.25">
      <c r="A192" s="2"/>
      <c r="B192" s="2"/>
      <c r="C192" s="2"/>
      <c r="D192" s="2"/>
      <c r="E192" s="2"/>
      <c r="F192" s="2"/>
      <c r="G192" s="2"/>
    </row>
    <row r="193" spans="1:7" ht="13.2" x14ac:dyDescent="0.25">
      <c r="A193" s="2"/>
      <c r="B193" s="2"/>
      <c r="C193" s="2"/>
      <c r="D193" s="2"/>
      <c r="E193" s="2"/>
      <c r="F193" s="2"/>
      <c r="G193" s="2"/>
    </row>
    <row r="194" spans="1:7" ht="13.2" x14ac:dyDescent="0.25">
      <c r="A194" s="2"/>
      <c r="B194" s="2"/>
      <c r="C194" s="2"/>
      <c r="D194" s="2"/>
      <c r="E194" s="2"/>
      <c r="F194" s="2"/>
      <c r="G194" s="2"/>
    </row>
    <row r="195" spans="1:7" ht="13.2" x14ac:dyDescent="0.25">
      <c r="A195" s="2"/>
      <c r="B195" s="2"/>
      <c r="C195" s="2"/>
      <c r="D195" s="2"/>
      <c r="E195" s="2"/>
      <c r="F195" s="2"/>
      <c r="G195" s="2"/>
    </row>
    <row r="196" spans="1:7" ht="13.2" x14ac:dyDescent="0.25">
      <c r="A196" s="2"/>
      <c r="B196" s="2"/>
      <c r="C196" s="2"/>
      <c r="D196" s="2"/>
      <c r="E196" s="2"/>
      <c r="F196" s="2"/>
      <c r="G196" s="2"/>
    </row>
    <row r="197" spans="1:7" ht="13.2" x14ac:dyDescent="0.25">
      <c r="A197" s="2"/>
      <c r="B197" s="2"/>
      <c r="C197" s="2"/>
      <c r="D197" s="2"/>
      <c r="E197" s="2"/>
      <c r="F197" s="2"/>
      <c r="G197" s="2"/>
    </row>
    <row r="198" spans="1:7" ht="13.2" x14ac:dyDescent="0.25">
      <c r="A198" s="2"/>
      <c r="B198" s="2"/>
      <c r="C198" s="2"/>
      <c r="D198" s="2"/>
      <c r="E198" s="2"/>
      <c r="F198" s="2"/>
      <c r="G198" s="2"/>
    </row>
    <row r="199" spans="1:7" ht="13.2" x14ac:dyDescent="0.25">
      <c r="A199" s="2"/>
      <c r="B199" s="2"/>
      <c r="C199" s="2"/>
      <c r="D199" s="2"/>
      <c r="E199" s="2"/>
      <c r="F199" s="2"/>
      <c r="G199" s="2"/>
    </row>
    <row r="200" spans="1:7" ht="13.2" x14ac:dyDescent="0.25">
      <c r="A200" s="2"/>
      <c r="B200" s="2"/>
      <c r="C200" s="2"/>
      <c r="D200" s="2"/>
      <c r="E200" s="2"/>
      <c r="F200" s="2"/>
      <c r="G200" s="2"/>
    </row>
    <row r="201" spans="1:7" ht="13.2" x14ac:dyDescent="0.25">
      <c r="A201" s="2"/>
      <c r="B201" s="2"/>
      <c r="C201" s="2"/>
      <c r="D201" s="2"/>
      <c r="E201" s="2"/>
      <c r="F201" s="2"/>
      <c r="G201" s="2"/>
    </row>
    <row r="202" spans="1:7" ht="13.2" x14ac:dyDescent="0.25">
      <c r="A202" s="2"/>
      <c r="B202" s="2"/>
      <c r="C202" s="2"/>
      <c r="D202" s="2"/>
      <c r="E202" s="2"/>
      <c r="F202" s="2"/>
      <c r="G202" s="2"/>
    </row>
    <row r="203" spans="1:7" ht="13.2" x14ac:dyDescent="0.25">
      <c r="A203" s="2"/>
      <c r="B203" s="2"/>
      <c r="C203" s="2"/>
      <c r="D203" s="2"/>
      <c r="E203" s="2"/>
      <c r="F203" s="2"/>
      <c r="G203" s="2"/>
    </row>
    <row r="204" spans="1:7" ht="13.2" x14ac:dyDescent="0.25">
      <c r="A204" s="2"/>
      <c r="B204" s="2"/>
      <c r="C204" s="2"/>
      <c r="D204" s="2"/>
      <c r="E204" s="2"/>
      <c r="F204" s="2"/>
      <c r="G204" s="2"/>
    </row>
    <row r="205" spans="1:7" ht="13.2" x14ac:dyDescent="0.25">
      <c r="A205" s="2"/>
      <c r="B205" s="2"/>
      <c r="C205" s="2"/>
      <c r="D205" s="2"/>
      <c r="E205" s="2"/>
      <c r="F205" s="2"/>
      <c r="G205" s="2"/>
    </row>
    <row r="206" spans="1:7" ht="13.2" x14ac:dyDescent="0.25">
      <c r="A206" s="2"/>
      <c r="B206" s="2"/>
      <c r="C206" s="2"/>
      <c r="D206" s="2"/>
      <c r="E206" s="2"/>
      <c r="F206" s="2"/>
      <c r="G206" s="2"/>
    </row>
    <row r="207" spans="1:7" ht="13.2" x14ac:dyDescent="0.25">
      <c r="A207" s="2"/>
      <c r="B207" s="2"/>
      <c r="C207" s="2"/>
      <c r="D207" s="2"/>
      <c r="E207" s="2"/>
      <c r="F207" s="2"/>
      <c r="G207" s="2"/>
    </row>
    <row r="208" spans="1:7" ht="13.2" x14ac:dyDescent="0.25">
      <c r="A208" s="2"/>
      <c r="B208" s="2"/>
      <c r="C208" s="2"/>
      <c r="D208" s="2"/>
      <c r="E208" s="2"/>
      <c r="F208" s="2"/>
      <c r="G208" s="2"/>
    </row>
    <row r="209" spans="1:7" ht="13.2" x14ac:dyDescent="0.25">
      <c r="A209" s="2"/>
      <c r="B209" s="2"/>
      <c r="C209" s="2"/>
      <c r="D209" s="2"/>
      <c r="E209" s="2"/>
      <c r="F209" s="2"/>
      <c r="G209" s="2"/>
    </row>
    <row r="210" spans="1:7" ht="13.2" x14ac:dyDescent="0.25">
      <c r="A210" s="2"/>
      <c r="B210" s="2"/>
      <c r="C210" s="2"/>
      <c r="D210" s="2"/>
      <c r="E210" s="2"/>
      <c r="F210" s="2"/>
      <c r="G210" s="2"/>
    </row>
    <row r="211" spans="1:7" ht="13.2" x14ac:dyDescent="0.25">
      <c r="A211" s="2"/>
      <c r="B211" s="2"/>
      <c r="C211" s="2"/>
      <c r="D211" s="2"/>
      <c r="E211" s="2"/>
      <c r="F211" s="2"/>
      <c r="G211" s="2"/>
    </row>
    <row r="212" spans="1:7" ht="13.2" x14ac:dyDescent="0.25">
      <c r="A212" s="2"/>
      <c r="B212" s="2"/>
      <c r="C212" s="2"/>
      <c r="D212" s="2"/>
      <c r="E212" s="2"/>
      <c r="F212" s="2"/>
      <c r="G212" s="2"/>
    </row>
    <row r="213" spans="1:7" ht="13.2" x14ac:dyDescent="0.25">
      <c r="A213" s="2"/>
      <c r="B213" s="2"/>
      <c r="C213" s="2"/>
      <c r="D213" s="2"/>
      <c r="E213" s="2"/>
      <c r="F213" s="2"/>
      <c r="G213" s="2"/>
    </row>
    <row r="214" spans="1:7" ht="13.2" x14ac:dyDescent="0.25">
      <c r="A214" s="2"/>
      <c r="B214" s="2"/>
      <c r="C214" s="2"/>
      <c r="D214" s="2"/>
      <c r="E214" s="2"/>
      <c r="F214" s="2"/>
      <c r="G214" s="2"/>
    </row>
    <row r="215" spans="1:7" ht="13.2" x14ac:dyDescent="0.25">
      <c r="A215" s="2"/>
      <c r="B215" s="2"/>
      <c r="C215" s="2"/>
      <c r="D215" s="2"/>
      <c r="E215" s="2"/>
      <c r="F215" s="2"/>
      <c r="G215" s="2"/>
    </row>
    <row r="216" spans="1:7" ht="13.2" x14ac:dyDescent="0.25">
      <c r="A216" s="2"/>
      <c r="B216" s="2"/>
      <c r="C216" s="2"/>
      <c r="D216" s="2"/>
      <c r="E216" s="2"/>
      <c r="F216" s="2"/>
      <c r="G216" s="2"/>
    </row>
    <row r="217" spans="1:7" ht="13.2" x14ac:dyDescent="0.25">
      <c r="A217" s="2"/>
      <c r="B217" s="2"/>
      <c r="C217" s="2"/>
      <c r="D217" s="2"/>
      <c r="E217" s="2"/>
      <c r="F217" s="2"/>
      <c r="G217" s="2"/>
    </row>
    <row r="218" spans="1:7" ht="13.2" x14ac:dyDescent="0.25">
      <c r="A218" s="2"/>
      <c r="B218" s="2"/>
      <c r="C218" s="2"/>
      <c r="D218" s="2"/>
      <c r="E218" s="2"/>
      <c r="F218" s="2"/>
      <c r="G218" s="2"/>
    </row>
    <row r="219" spans="1:7" ht="13.2" x14ac:dyDescent="0.25">
      <c r="A219" s="2"/>
      <c r="B219" s="2"/>
      <c r="C219" s="2"/>
      <c r="D219" s="2"/>
      <c r="E219" s="2"/>
      <c r="F219" s="2"/>
      <c r="G219" s="2"/>
    </row>
    <row r="220" spans="1:7" ht="13.2" x14ac:dyDescent="0.25">
      <c r="A220" s="2"/>
      <c r="B220" s="2"/>
      <c r="C220" s="2"/>
      <c r="D220" s="2"/>
      <c r="E220" s="2"/>
      <c r="F220" s="2"/>
      <c r="G220" s="2"/>
    </row>
    <row r="221" spans="1:7" ht="13.2" x14ac:dyDescent="0.25">
      <c r="A221" s="2"/>
      <c r="B221" s="2"/>
      <c r="C221" s="2"/>
      <c r="D221" s="2"/>
      <c r="E221" s="2"/>
      <c r="F221" s="2"/>
      <c r="G221" s="2"/>
    </row>
    <row r="222" spans="1:7" ht="13.2" x14ac:dyDescent="0.25">
      <c r="A222" s="2"/>
      <c r="B222" s="2"/>
      <c r="C222" s="2"/>
      <c r="D222" s="2"/>
      <c r="E222" s="2"/>
      <c r="F222" s="2"/>
      <c r="G222" s="2"/>
    </row>
    <row r="223" spans="1:7" ht="13.2" x14ac:dyDescent="0.25">
      <c r="A223" s="2"/>
      <c r="B223" s="2"/>
      <c r="C223" s="2"/>
      <c r="D223" s="2"/>
      <c r="E223" s="2"/>
      <c r="F223" s="2"/>
      <c r="G223" s="2"/>
    </row>
    <row r="224" spans="1:7" ht="13.2" x14ac:dyDescent="0.25">
      <c r="A224" s="2"/>
      <c r="B224" s="2"/>
      <c r="C224" s="2"/>
      <c r="D224" s="2"/>
      <c r="E224" s="2"/>
      <c r="F224" s="2"/>
      <c r="G224" s="2"/>
    </row>
    <row r="225" spans="1:7" ht="13.2" x14ac:dyDescent="0.25">
      <c r="A225" s="2"/>
      <c r="B225" s="2"/>
      <c r="C225" s="2"/>
      <c r="D225" s="2"/>
      <c r="E225" s="2"/>
      <c r="F225" s="2"/>
      <c r="G225" s="2"/>
    </row>
    <row r="226" spans="1:7" ht="13.2" x14ac:dyDescent="0.25">
      <c r="A226" s="2"/>
      <c r="B226" s="2"/>
      <c r="C226" s="2"/>
      <c r="D226" s="2"/>
      <c r="E226" s="2"/>
      <c r="F226" s="2"/>
      <c r="G226" s="2"/>
    </row>
    <row r="227" spans="1:7" ht="13.2" x14ac:dyDescent="0.25">
      <c r="A227" s="2"/>
      <c r="B227" s="2"/>
      <c r="C227" s="2"/>
      <c r="D227" s="2"/>
      <c r="E227" s="2"/>
      <c r="F227" s="2"/>
      <c r="G227" s="2"/>
    </row>
    <row r="228" spans="1:7" ht="13.2" x14ac:dyDescent="0.25">
      <c r="A228" s="2"/>
      <c r="B228" s="2"/>
      <c r="C228" s="2"/>
      <c r="D228" s="2"/>
      <c r="E228" s="2"/>
      <c r="F228" s="2"/>
      <c r="G228" s="2"/>
    </row>
    <row r="229" spans="1:7" ht="13.2" x14ac:dyDescent="0.25">
      <c r="A229" s="2"/>
      <c r="B229" s="2"/>
      <c r="C229" s="2"/>
      <c r="D229" s="2"/>
      <c r="E229" s="2"/>
      <c r="F229" s="2"/>
      <c r="G229" s="2"/>
    </row>
    <row r="230" spans="1:7" ht="13.2" x14ac:dyDescent="0.25">
      <c r="A230" s="2"/>
      <c r="B230" s="2"/>
      <c r="C230" s="2"/>
      <c r="D230" s="2"/>
      <c r="E230" s="2"/>
      <c r="F230" s="2"/>
      <c r="G230" s="2"/>
    </row>
    <row r="231" spans="1:7" ht="13.2" x14ac:dyDescent="0.25">
      <c r="A231" s="2"/>
      <c r="B231" s="2"/>
      <c r="C231" s="2"/>
      <c r="D231" s="2"/>
      <c r="E231" s="2"/>
      <c r="F231" s="2"/>
      <c r="G231" s="2"/>
    </row>
    <row r="232" spans="1:7" ht="13.2" x14ac:dyDescent="0.25">
      <c r="A232" s="2"/>
      <c r="B232" s="2"/>
      <c r="C232" s="2"/>
      <c r="D232" s="2"/>
      <c r="E232" s="2"/>
      <c r="F232" s="2"/>
      <c r="G232" s="2"/>
    </row>
    <row r="233" spans="1:7" ht="13.2" x14ac:dyDescent="0.25">
      <c r="A233" s="2"/>
      <c r="B233" s="2"/>
      <c r="C233" s="2"/>
      <c r="D233" s="2"/>
      <c r="E233" s="2"/>
      <c r="F233" s="2"/>
      <c r="G233" s="2"/>
    </row>
    <row r="234" spans="1:7" ht="13.2" x14ac:dyDescent="0.25">
      <c r="A234" s="2"/>
      <c r="B234" s="2"/>
      <c r="C234" s="2"/>
      <c r="D234" s="2"/>
      <c r="E234" s="2"/>
      <c r="F234" s="2"/>
      <c r="G234" s="2"/>
    </row>
    <row r="235" spans="1:7" ht="13.2" x14ac:dyDescent="0.25">
      <c r="A235" s="2"/>
      <c r="B235" s="2"/>
      <c r="C235" s="2"/>
      <c r="D235" s="2"/>
      <c r="E235" s="2"/>
      <c r="F235" s="2"/>
      <c r="G235" s="2"/>
    </row>
    <row r="236" spans="1:7" ht="13.2" x14ac:dyDescent="0.25">
      <c r="A236" s="2"/>
      <c r="B236" s="2"/>
      <c r="C236" s="2"/>
      <c r="D236" s="2"/>
      <c r="E236" s="2"/>
      <c r="F236" s="2"/>
      <c r="G236" s="2"/>
    </row>
    <row r="237" spans="1:7" ht="13.2" x14ac:dyDescent="0.25">
      <c r="A237" s="2"/>
      <c r="B237" s="2"/>
      <c r="C237" s="2"/>
      <c r="D237" s="2"/>
      <c r="E237" s="2"/>
      <c r="F237" s="2"/>
      <c r="G237" s="2"/>
    </row>
    <row r="238" spans="1:7" ht="13.2" x14ac:dyDescent="0.25">
      <c r="A238" s="2"/>
      <c r="B238" s="2"/>
      <c r="C238" s="2"/>
      <c r="D238" s="2"/>
      <c r="E238" s="2"/>
      <c r="F238" s="2"/>
      <c r="G238" s="2"/>
    </row>
    <row r="239" spans="1:7" ht="13.2" x14ac:dyDescent="0.25">
      <c r="A239" s="2"/>
      <c r="B239" s="2"/>
      <c r="C239" s="2"/>
      <c r="D239" s="2"/>
      <c r="E239" s="2"/>
      <c r="F239" s="2"/>
      <c r="G239" s="2"/>
    </row>
    <row r="240" spans="1:7" ht="13.2" x14ac:dyDescent="0.25">
      <c r="A240" s="2"/>
      <c r="B240" s="2"/>
      <c r="C240" s="2"/>
      <c r="D240" s="2"/>
      <c r="E240" s="2"/>
      <c r="F240" s="2"/>
      <c r="G240" s="2"/>
    </row>
    <row r="241" spans="1:7" ht="13.2" x14ac:dyDescent="0.25">
      <c r="A241" s="2"/>
      <c r="B241" s="2"/>
      <c r="C241" s="2"/>
      <c r="D241" s="2"/>
      <c r="E241" s="2"/>
      <c r="F241" s="2"/>
      <c r="G241" s="2"/>
    </row>
    <row r="242" spans="1:7" ht="13.2" x14ac:dyDescent="0.25">
      <c r="A242" s="2"/>
      <c r="B242" s="2"/>
      <c r="C242" s="2"/>
      <c r="D242" s="2"/>
      <c r="E242" s="2"/>
      <c r="F242" s="2"/>
      <c r="G242" s="2"/>
    </row>
    <row r="243" spans="1:7" ht="13.2" x14ac:dyDescent="0.25">
      <c r="A243" s="2"/>
      <c r="B243" s="2"/>
      <c r="C243" s="2"/>
      <c r="D243" s="2"/>
      <c r="E243" s="2"/>
      <c r="F243" s="2"/>
      <c r="G243" s="2"/>
    </row>
    <row r="244" spans="1:7" ht="13.2" x14ac:dyDescent="0.25">
      <c r="A244" s="2"/>
      <c r="B244" s="2"/>
      <c r="C244" s="2"/>
      <c r="D244" s="2"/>
      <c r="E244" s="2"/>
      <c r="F244" s="2"/>
      <c r="G244" s="2"/>
    </row>
    <row r="245" spans="1:7" ht="13.2" x14ac:dyDescent="0.25">
      <c r="A245" s="2"/>
      <c r="B245" s="2"/>
      <c r="C245" s="2"/>
      <c r="D245" s="2"/>
      <c r="E245" s="2"/>
      <c r="F245" s="2"/>
      <c r="G245" s="2"/>
    </row>
    <row r="246" spans="1:7" ht="13.2" x14ac:dyDescent="0.25">
      <c r="A246" s="2"/>
      <c r="B246" s="2"/>
      <c r="C246" s="2"/>
      <c r="D246" s="2"/>
      <c r="E246" s="2"/>
      <c r="F246" s="2"/>
      <c r="G246" s="2"/>
    </row>
    <row r="247" spans="1:7" ht="13.2" x14ac:dyDescent="0.25">
      <c r="A247" s="2"/>
      <c r="B247" s="2"/>
      <c r="C247" s="2"/>
      <c r="D247" s="2"/>
      <c r="E247" s="2"/>
      <c r="F247" s="2"/>
      <c r="G247" s="2"/>
    </row>
    <row r="248" spans="1:7" ht="13.2" x14ac:dyDescent="0.25">
      <c r="A248" s="2"/>
      <c r="B248" s="2"/>
      <c r="C248" s="2"/>
      <c r="D248" s="2"/>
      <c r="E248" s="2"/>
      <c r="F248" s="2"/>
      <c r="G248" s="2"/>
    </row>
    <row r="249" spans="1:7" ht="13.2" x14ac:dyDescent="0.25">
      <c r="A249" s="2"/>
      <c r="B249" s="2"/>
      <c r="C249" s="2"/>
      <c r="D249" s="2"/>
      <c r="E249" s="2"/>
      <c r="F249" s="2"/>
      <c r="G249" s="2"/>
    </row>
    <row r="250" spans="1:7" ht="13.2" x14ac:dyDescent="0.25">
      <c r="A250" s="2"/>
      <c r="B250" s="2"/>
      <c r="C250" s="2"/>
      <c r="D250" s="2"/>
      <c r="E250" s="2"/>
      <c r="F250" s="2"/>
      <c r="G250" s="2"/>
    </row>
    <row r="251" spans="1:7" ht="13.2" x14ac:dyDescent="0.25">
      <c r="A251" s="2"/>
      <c r="B251" s="2"/>
      <c r="C251" s="2"/>
      <c r="D251" s="2"/>
      <c r="E251" s="2"/>
      <c r="F251" s="2"/>
      <c r="G251" s="2"/>
    </row>
    <row r="252" spans="1:7" ht="13.2" x14ac:dyDescent="0.25">
      <c r="A252" s="2"/>
      <c r="B252" s="2"/>
      <c r="C252" s="2"/>
      <c r="D252" s="2"/>
      <c r="E252" s="2"/>
      <c r="F252" s="2"/>
      <c r="G252" s="2"/>
    </row>
    <row r="253" spans="1:7" ht="13.2" x14ac:dyDescent="0.25">
      <c r="A253" s="2"/>
      <c r="B253" s="2"/>
      <c r="C253" s="2"/>
      <c r="D253" s="2"/>
      <c r="E253" s="2"/>
      <c r="F253" s="2"/>
      <c r="G253" s="2"/>
    </row>
    <row r="254" spans="1:7" ht="13.2" x14ac:dyDescent="0.25">
      <c r="A254" s="2"/>
      <c r="B254" s="2"/>
      <c r="C254" s="2"/>
      <c r="D254" s="2"/>
      <c r="E254" s="2"/>
      <c r="F254" s="2"/>
      <c r="G254" s="2"/>
    </row>
    <row r="255" spans="1:7" ht="13.2" x14ac:dyDescent="0.25">
      <c r="A255" s="2"/>
      <c r="B255" s="2"/>
      <c r="C255" s="2"/>
      <c r="D255" s="2"/>
      <c r="E255" s="2"/>
      <c r="F255" s="2"/>
      <c r="G255" s="2"/>
    </row>
    <row r="256" spans="1:7" ht="13.2" x14ac:dyDescent="0.25">
      <c r="A256" s="2"/>
      <c r="B256" s="2"/>
      <c r="C256" s="2"/>
      <c r="D256" s="2"/>
      <c r="E256" s="2"/>
      <c r="F256" s="2"/>
      <c r="G256" s="2"/>
    </row>
    <row r="257" spans="1:7" ht="13.2" x14ac:dyDescent="0.25">
      <c r="A257" s="2"/>
      <c r="B257" s="2"/>
      <c r="C257" s="2"/>
      <c r="D257" s="2"/>
      <c r="E257" s="2"/>
      <c r="F257" s="2"/>
      <c r="G257" s="2"/>
    </row>
    <row r="258" spans="1:7" ht="13.2" x14ac:dyDescent="0.25">
      <c r="A258" s="2"/>
      <c r="B258" s="2"/>
      <c r="C258" s="2"/>
      <c r="D258" s="2"/>
      <c r="E258" s="2"/>
      <c r="F258" s="2"/>
      <c r="G258" s="2"/>
    </row>
    <row r="259" spans="1:7" ht="13.2" x14ac:dyDescent="0.25">
      <c r="A259" s="2"/>
      <c r="B259" s="2"/>
      <c r="C259" s="2"/>
      <c r="D259" s="2"/>
      <c r="E259" s="2"/>
      <c r="F259" s="2"/>
      <c r="G259" s="2"/>
    </row>
    <row r="260" spans="1:7" ht="13.2" x14ac:dyDescent="0.25">
      <c r="A260" s="2"/>
      <c r="B260" s="2"/>
      <c r="C260" s="2"/>
      <c r="D260" s="2"/>
      <c r="E260" s="2"/>
      <c r="F260" s="2"/>
      <c r="G260" s="2"/>
    </row>
    <row r="261" spans="1:7" ht="13.2" x14ac:dyDescent="0.25">
      <c r="A261" s="2"/>
      <c r="B261" s="2"/>
      <c r="C261" s="2"/>
      <c r="D261" s="2"/>
      <c r="E261" s="2"/>
      <c r="F261" s="2"/>
      <c r="G261" s="2"/>
    </row>
    <row r="262" spans="1:7" ht="13.2" x14ac:dyDescent="0.25">
      <c r="A262" s="2"/>
      <c r="B262" s="2"/>
      <c r="C262" s="2"/>
      <c r="D262" s="2"/>
      <c r="E262" s="2"/>
      <c r="F262" s="2"/>
      <c r="G262" s="2"/>
    </row>
    <row r="263" spans="1:7" ht="13.2" x14ac:dyDescent="0.25">
      <c r="A263" s="2"/>
      <c r="B263" s="2"/>
      <c r="C263" s="2"/>
      <c r="D263" s="2"/>
      <c r="E263" s="2"/>
      <c r="F263" s="2"/>
      <c r="G263" s="2"/>
    </row>
    <row r="264" spans="1:7" ht="13.2" x14ac:dyDescent="0.25">
      <c r="A264" s="2"/>
      <c r="B264" s="2"/>
      <c r="C264" s="2"/>
      <c r="D264" s="2"/>
      <c r="E264" s="2"/>
      <c r="F264" s="2"/>
      <c r="G264" s="2"/>
    </row>
    <row r="265" spans="1:7" ht="13.2" x14ac:dyDescent="0.25">
      <c r="A265" s="2"/>
      <c r="B265" s="2"/>
      <c r="C265" s="2"/>
      <c r="D265" s="2"/>
      <c r="E265" s="2"/>
      <c r="F265" s="2"/>
      <c r="G265" s="2"/>
    </row>
    <row r="266" spans="1:7" ht="13.2" x14ac:dyDescent="0.25">
      <c r="A266" s="2"/>
      <c r="B266" s="2"/>
      <c r="C266" s="2"/>
      <c r="D266" s="2"/>
      <c r="E266" s="2"/>
      <c r="F266" s="2"/>
      <c r="G266" s="2"/>
    </row>
    <row r="267" spans="1:7" ht="13.2" x14ac:dyDescent="0.25">
      <c r="A267" s="2"/>
      <c r="B267" s="2"/>
      <c r="C267" s="2"/>
      <c r="D267" s="2"/>
      <c r="E267" s="2"/>
      <c r="F267" s="2"/>
      <c r="G267" s="2"/>
    </row>
    <row r="268" spans="1:7" ht="13.2" x14ac:dyDescent="0.25">
      <c r="A268" s="2"/>
      <c r="B268" s="2"/>
      <c r="C268" s="2"/>
      <c r="D268" s="2"/>
      <c r="E268" s="2"/>
      <c r="F268" s="2"/>
      <c r="G268" s="2"/>
    </row>
    <row r="269" spans="1:7" ht="13.2" x14ac:dyDescent="0.25">
      <c r="A269" s="2"/>
      <c r="B269" s="2"/>
      <c r="C269" s="2"/>
      <c r="D269" s="2"/>
      <c r="E269" s="2"/>
      <c r="F269" s="2"/>
      <c r="G269" s="2"/>
    </row>
    <row r="270" spans="1:7" ht="13.2" x14ac:dyDescent="0.25">
      <c r="A270" s="2"/>
      <c r="B270" s="2"/>
      <c r="C270" s="2"/>
      <c r="D270" s="2"/>
      <c r="E270" s="2"/>
      <c r="F270" s="2"/>
      <c r="G270" s="2"/>
    </row>
    <row r="271" spans="1:7" ht="13.2" x14ac:dyDescent="0.25">
      <c r="A271" s="2"/>
      <c r="B271" s="2"/>
      <c r="C271" s="2"/>
      <c r="D271" s="2"/>
      <c r="E271" s="2"/>
      <c r="F271" s="2"/>
      <c r="G271" s="2"/>
    </row>
    <row r="272" spans="1:7" ht="13.2" x14ac:dyDescent="0.25">
      <c r="A272" s="2"/>
      <c r="B272" s="2"/>
      <c r="C272" s="2"/>
      <c r="D272" s="2"/>
      <c r="E272" s="2"/>
      <c r="F272" s="2"/>
      <c r="G272" s="2"/>
    </row>
    <row r="273" spans="1:7" ht="13.2" x14ac:dyDescent="0.25">
      <c r="A273" s="2"/>
      <c r="B273" s="2"/>
      <c r="C273" s="2"/>
      <c r="D273" s="2"/>
      <c r="E273" s="2"/>
      <c r="F273" s="2"/>
      <c r="G273" s="2"/>
    </row>
    <row r="274" spans="1:7" ht="13.2" x14ac:dyDescent="0.25">
      <c r="A274" s="2"/>
      <c r="B274" s="2"/>
      <c r="C274" s="2"/>
      <c r="D274" s="2"/>
      <c r="E274" s="2"/>
      <c r="F274" s="2"/>
      <c r="G274" s="2"/>
    </row>
    <row r="275" spans="1:7" ht="13.2" x14ac:dyDescent="0.25">
      <c r="A275" s="2"/>
      <c r="B275" s="2"/>
      <c r="C275" s="2"/>
      <c r="D275" s="2"/>
      <c r="E275" s="2"/>
      <c r="F275" s="2"/>
      <c r="G275" s="2"/>
    </row>
    <row r="276" spans="1:7" ht="13.2" x14ac:dyDescent="0.25">
      <c r="A276" s="2"/>
      <c r="B276" s="2"/>
      <c r="C276" s="2"/>
      <c r="D276" s="2"/>
      <c r="E276" s="2"/>
      <c r="F276" s="2"/>
      <c r="G276" s="2"/>
    </row>
    <row r="277" spans="1:7" ht="13.2" x14ac:dyDescent="0.25">
      <c r="A277" s="2"/>
      <c r="B277" s="2"/>
      <c r="C277" s="2"/>
      <c r="D277" s="2"/>
      <c r="E277" s="2"/>
      <c r="F277" s="2"/>
      <c r="G277" s="2"/>
    </row>
    <row r="278" spans="1:7" ht="13.2" x14ac:dyDescent="0.25">
      <c r="A278" s="2"/>
      <c r="B278" s="2"/>
      <c r="C278" s="2"/>
      <c r="D278" s="2"/>
      <c r="E278" s="2"/>
      <c r="F278" s="2"/>
      <c r="G278" s="2"/>
    </row>
    <row r="279" spans="1:7" ht="13.2" x14ac:dyDescent="0.25">
      <c r="A279" s="2"/>
      <c r="B279" s="2"/>
      <c r="C279" s="2"/>
      <c r="D279" s="2"/>
      <c r="E279" s="2"/>
      <c r="F279" s="2"/>
      <c r="G279" s="2"/>
    </row>
    <row r="280" spans="1:7" ht="13.2" x14ac:dyDescent="0.25">
      <c r="A280" s="2"/>
      <c r="B280" s="2"/>
      <c r="C280" s="2"/>
      <c r="D280" s="2"/>
      <c r="E280" s="2"/>
      <c r="F280" s="2"/>
      <c r="G280" s="2"/>
    </row>
    <row r="281" spans="1:7" ht="13.2" x14ac:dyDescent="0.25">
      <c r="A281" s="2"/>
      <c r="B281" s="2"/>
      <c r="C281" s="2"/>
      <c r="D281" s="2"/>
      <c r="E281" s="2"/>
      <c r="F281" s="2"/>
      <c r="G281" s="2"/>
    </row>
    <row r="282" spans="1:7" ht="13.2" x14ac:dyDescent="0.25">
      <c r="A282" s="2"/>
      <c r="B282" s="2"/>
      <c r="C282" s="2"/>
      <c r="D282" s="2"/>
      <c r="E282" s="2"/>
      <c r="F282" s="2"/>
      <c r="G282" s="2"/>
    </row>
    <row r="283" spans="1:7" ht="13.2" x14ac:dyDescent="0.25">
      <c r="A283" s="2"/>
      <c r="B283" s="2"/>
      <c r="C283" s="2"/>
      <c r="D283" s="2"/>
      <c r="E283" s="2"/>
      <c r="F283" s="2"/>
      <c r="G283" s="2"/>
    </row>
    <row r="284" spans="1:7" ht="13.2" x14ac:dyDescent="0.25">
      <c r="A284" s="2"/>
      <c r="B284" s="2"/>
      <c r="C284" s="2"/>
      <c r="D284" s="2"/>
      <c r="E284" s="2"/>
      <c r="F284" s="2"/>
      <c r="G284" s="2"/>
    </row>
    <row r="285" spans="1:7" ht="13.2" x14ac:dyDescent="0.25">
      <c r="A285" s="2"/>
      <c r="B285" s="2"/>
      <c r="C285" s="2"/>
      <c r="D285" s="2"/>
      <c r="E285" s="2"/>
      <c r="F285" s="2"/>
      <c r="G285" s="2"/>
    </row>
    <row r="286" spans="1:7" ht="13.2" x14ac:dyDescent="0.25">
      <c r="A286" s="2"/>
      <c r="B286" s="2"/>
      <c r="C286" s="2"/>
      <c r="D286" s="2"/>
      <c r="E286" s="2"/>
      <c r="F286" s="2"/>
      <c r="G286" s="2"/>
    </row>
    <row r="287" spans="1:7" ht="13.2" x14ac:dyDescent="0.25">
      <c r="A287" s="2"/>
      <c r="B287" s="2"/>
      <c r="C287" s="2"/>
      <c r="D287" s="2"/>
      <c r="E287" s="2"/>
      <c r="F287" s="2"/>
      <c r="G287" s="2"/>
    </row>
    <row r="288" spans="1:7" ht="13.2" x14ac:dyDescent="0.25">
      <c r="A288" s="2"/>
      <c r="B288" s="2"/>
      <c r="C288" s="2"/>
      <c r="D288" s="2"/>
      <c r="E288" s="2"/>
      <c r="F288" s="2"/>
      <c r="G288" s="2"/>
    </row>
    <row r="289" spans="1:7" ht="13.2" x14ac:dyDescent="0.25">
      <c r="A289" s="2"/>
      <c r="B289" s="2"/>
      <c r="C289" s="2"/>
      <c r="D289" s="2"/>
      <c r="E289" s="2"/>
      <c r="F289" s="2"/>
      <c r="G289" s="2"/>
    </row>
    <row r="290" spans="1:7" ht="13.2" x14ac:dyDescent="0.25">
      <c r="A290" s="2"/>
      <c r="B290" s="2"/>
      <c r="C290" s="2"/>
      <c r="D290" s="2"/>
      <c r="E290" s="2"/>
      <c r="F290" s="2"/>
      <c r="G290" s="2"/>
    </row>
    <row r="291" spans="1:7" ht="13.2" x14ac:dyDescent="0.25">
      <c r="A291" s="2"/>
      <c r="B291" s="2"/>
      <c r="C291" s="2"/>
      <c r="D291" s="2"/>
      <c r="E291" s="2"/>
      <c r="F291" s="2"/>
      <c r="G291" s="2"/>
    </row>
    <row r="292" spans="1:7" ht="13.2" x14ac:dyDescent="0.25">
      <c r="A292" s="2"/>
      <c r="B292" s="2"/>
      <c r="C292" s="2"/>
      <c r="D292" s="2"/>
      <c r="E292" s="2"/>
      <c r="F292" s="2"/>
      <c r="G292" s="2"/>
    </row>
    <row r="293" spans="1:7" ht="13.2" x14ac:dyDescent="0.25">
      <c r="A293" s="2"/>
      <c r="B293" s="2"/>
      <c r="C293" s="2"/>
      <c r="D293" s="2"/>
      <c r="E293" s="2"/>
      <c r="F293" s="2"/>
      <c r="G293" s="2"/>
    </row>
    <row r="294" spans="1:7" ht="13.2" x14ac:dyDescent="0.25">
      <c r="A294" s="2"/>
      <c r="B294" s="2"/>
      <c r="C294" s="2"/>
      <c r="D294" s="2"/>
      <c r="E294" s="2"/>
      <c r="F294" s="2"/>
      <c r="G294" s="2"/>
    </row>
    <row r="295" spans="1:7" ht="13.2" x14ac:dyDescent="0.25">
      <c r="A295" s="2"/>
      <c r="B295" s="2"/>
      <c r="C295" s="2"/>
      <c r="D295" s="2"/>
      <c r="E295" s="2"/>
      <c r="F295" s="2"/>
      <c r="G295" s="2"/>
    </row>
    <row r="296" spans="1:7" ht="13.2" x14ac:dyDescent="0.25">
      <c r="A296" s="2"/>
      <c r="B296" s="2"/>
      <c r="C296" s="2"/>
      <c r="D296" s="2"/>
      <c r="E296" s="2"/>
      <c r="F296" s="2"/>
      <c r="G296" s="2"/>
    </row>
    <row r="297" spans="1:7" ht="13.2" x14ac:dyDescent="0.25">
      <c r="A297" s="2"/>
      <c r="B297" s="2"/>
      <c r="C297" s="2"/>
      <c r="D297" s="2"/>
      <c r="E297" s="2"/>
      <c r="F297" s="2"/>
      <c r="G297" s="2"/>
    </row>
    <row r="298" spans="1:7" ht="13.2" x14ac:dyDescent="0.25">
      <c r="A298" s="2"/>
      <c r="B298" s="2"/>
      <c r="C298" s="2"/>
      <c r="D298" s="2"/>
      <c r="E298" s="2"/>
      <c r="F298" s="2"/>
      <c r="G298" s="2"/>
    </row>
    <row r="299" spans="1:7" ht="13.2" x14ac:dyDescent="0.25">
      <c r="A299" s="2"/>
      <c r="B299" s="2"/>
      <c r="C299" s="2"/>
      <c r="D299" s="2"/>
      <c r="E299" s="2"/>
      <c r="F299" s="2"/>
      <c r="G299" s="2"/>
    </row>
    <row r="300" spans="1:7" ht="13.2" x14ac:dyDescent="0.25">
      <c r="A300" s="2"/>
      <c r="B300" s="2"/>
      <c r="C300" s="2"/>
      <c r="D300" s="2"/>
      <c r="E300" s="2"/>
      <c r="F300" s="2"/>
      <c r="G300" s="2"/>
    </row>
    <row r="301" spans="1:7" ht="13.2" x14ac:dyDescent="0.25">
      <c r="A301" s="2"/>
      <c r="B301" s="2"/>
      <c r="C301" s="2"/>
      <c r="D301" s="2"/>
      <c r="E301" s="2"/>
      <c r="F301" s="2"/>
      <c r="G301" s="2"/>
    </row>
    <row r="302" spans="1:7" ht="13.2" x14ac:dyDescent="0.25">
      <c r="A302" s="2"/>
      <c r="B302" s="2"/>
      <c r="C302" s="2"/>
      <c r="D302" s="2"/>
      <c r="E302" s="2"/>
      <c r="F302" s="2"/>
      <c r="G302" s="2"/>
    </row>
    <row r="303" spans="1:7" ht="13.2" x14ac:dyDescent="0.25">
      <c r="A303" s="2"/>
      <c r="B303" s="2"/>
      <c r="C303" s="2"/>
      <c r="D303" s="2"/>
      <c r="E303" s="2"/>
      <c r="F303" s="2"/>
      <c r="G303" s="2"/>
    </row>
    <row r="304" spans="1:7" ht="13.2" x14ac:dyDescent="0.25">
      <c r="A304" s="2"/>
      <c r="B304" s="2"/>
      <c r="C304" s="2"/>
      <c r="D304" s="2"/>
      <c r="E304" s="2"/>
      <c r="F304" s="2"/>
      <c r="G304" s="2"/>
    </row>
    <row r="305" spans="1:7" ht="13.2" x14ac:dyDescent="0.25">
      <c r="A305" s="2"/>
      <c r="B305" s="2"/>
      <c r="C305" s="2"/>
      <c r="D305" s="2"/>
      <c r="E305" s="2"/>
      <c r="F305" s="2"/>
      <c r="G305" s="2"/>
    </row>
    <row r="306" spans="1:7" ht="13.2" x14ac:dyDescent="0.25">
      <c r="A306" s="2"/>
      <c r="B306" s="2"/>
      <c r="C306" s="2"/>
      <c r="D306" s="2"/>
      <c r="E306" s="2"/>
      <c r="F306" s="2"/>
      <c r="G306" s="2"/>
    </row>
    <row r="307" spans="1:7" ht="13.2" x14ac:dyDescent="0.25">
      <c r="A307" s="2"/>
      <c r="B307" s="2"/>
      <c r="C307" s="2"/>
      <c r="D307" s="2"/>
      <c r="E307" s="2"/>
      <c r="F307" s="2"/>
      <c r="G307" s="2"/>
    </row>
    <row r="308" spans="1:7" ht="13.2" x14ac:dyDescent="0.25">
      <c r="A308" s="2"/>
      <c r="B308" s="2"/>
      <c r="C308" s="2"/>
      <c r="D308" s="2"/>
      <c r="E308" s="2"/>
      <c r="F308" s="2"/>
      <c r="G308" s="2"/>
    </row>
    <row r="309" spans="1:7" ht="13.2" x14ac:dyDescent="0.25">
      <c r="A309" s="2"/>
      <c r="B309" s="2"/>
      <c r="C309" s="2"/>
      <c r="D309" s="2"/>
      <c r="E309" s="2"/>
      <c r="F309" s="2"/>
      <c r="G309" s="2"/>
    </row>
    <row r="310" spans="1:7" ht="13.2" x14ac:dyDescent="0.25">
      <c r="A310" s="2"/>
      <c r="B310" s="2"/>
      <c r="C310" s="2"/>
      <c r="D310" s="2"/>
      <c r="E310" s="2"/>
      <c r="F310" s="2"/>
      <c r="G310" s="2"/>
    </row>
    <row r="311" spans="1:7" ht="13.2" x14ac:dyDescent="0.25">
      <c r="A311" s="2"/>
      <c r="B311" s="2"/>
      <c r="C311" s="2"/>
      <c r="D311" s="2"/>
      <c r="E311" s="2"/>
      <c r="F311" s="2"/>
      <c r="G311" s="2"/>
    </row>
    <row r="312" spans="1:7" ht="13.2" x14ac:dyDescent="0.25">
      <c r="A312" s="2"/>
      <c r="B312" s="2"/>
      <c r="C312" s="2"/>
      <c r="D312" s="2"/>
      <c r="E312" s="2"/>
      <c r="F312" s="2"/>
      <c r="G312" s="2"/>
    </row>
    <row r="313" spans="1:7" ht="13.2" x14ac:dyDescent="0.25">
      <c r="A313" s="2"/>
      <c r="B313" s="2"/>
      <c r="C313" s="2"/>
      <c r="D313" s="2"/>
      <c r="E313" s="2"/>
      <c r="F313" s="2"/>
      <c r="G313" s="2"/>
    </row>
    <row r="314" spans="1:7" ht="13.2" x14ac:dyDescent="0.25">
      <c r="A314" s="2"/>
      <c r="B314" s="2"/>
      <c r="C314" s="2"/>
      <c r="D314" s="2"/>
      <c r="E314" s="2"/>
      <c r="F314" s="2"/>
      <c r="G314" s="2"/>
    </row>
    <row r="315" spans="1:7" ht="13.2" x14ac:dyDescent="0.25">
      <c r="A315" s="2"/>
      <c r="B315" s="2"/>
      <c r="C315" s="2"/>
      <c r="D315" s="2"/>
      <c r="E315" s="2"/>
      <c r="F315" s="2"/>
      <c r="G315" s="2"/>
    </row>
    <row r="316" spans="1:7" ht="13.2" x14ac:dyDescent="0.25">
      <c r="A316" s="2"/>
      <c r="B316" s="2"/>
      <c r="C316" s="2"/>
      <c r="D316" s="2"/>
      <c r="E316" s="2"/>
      <c r="F316" s="2"/>
      <c r="G316" s="2"/>
    </row>
    <row r="317" spans="1:7" ht="13.2" x14ac:dyDescent="0.25">
      <c r="A317" s="2"/>
      <c r="B317" s="2"/>
      <c r="C317" s="2"/>
      <c r="D317" s="2"/>
      <c r="E317" s="2"/>
      <c r="F317" s="2"/>
      <c r="G317" s="2"/>
    </row>
    <row r="318" spans="1:7" ht="13.2" x14ac:dyDescent="0.25">
      <c r="A318" s="2"/>
      <c r="B318" s="2"/>
      <c r="C318" s="2"/>
      <c r="D318" s="2"/>
      <c r="E318" s="2"/>
      <c r="F318" s="2"/>
      <c r="G318" s="2"/>
    </row>
    <row r="319" spans="1:7" ht="13.2" x14ac:dyDescent="0.25">
      <c r="A319" s="2"/>
      <c r="B319" s="2"/>
      <c r="C319" s="2"/>
      <c r="D319" s="2"/>
      <c r="E319" s="2"/>
      <c r="F319" s="2"/>
      <c r="G319" s="2"/>
    </row>
    <row r="320" spans="1:7" ht="13.2" x14ac:dyDescent="0.25">
      <c r="A320" s="2"/>
      <c r="B320" s="2"/>
      <c r="C320" s="2"/>
      <c r="D320" s="2"/>
      <c r="E320" s="2"/>
      <c r="F320" s="2"/>
      <c r="G320" s="2"/>
    </row>
    <row r="321" spans="1:7" ht="13.2" x14ac:dyDescent="0.25">
      <c r="A321" s="2"/>
      <c r="B321" s="2"/>
      <c r="C321" s="2"/>
      <c r="D321" s="2"/>
      <c r="E321" s="2"/>
      <c r="F321" s="2"/>
      <c r="G321" s="2"/>
    </row>
    <row r="322" spans="1:7" ht="13.2" x14ac:dyDescent="0.25">
      <c r="A322" s="2"/>
      <c r="B322" s="2"/>
      <c r="C322" s="2"/>
      <c r="D322" s="2"/>
      <c r="E322" s="2"/>
      <c r="F322" s="2"/>
      <c r="G322" s="2"/>
    </row>
    <row r="323" spans="1:7" ht="13.2" x14ac:dyDescent="0.25">
      <c r="A323" s="2"/>
      <c r="B323" s="2"/>
      <c r="C323" s="2"/>
      <c r="D323" s="2"/>
      <c r="E323" s="2"/>
      <c r="F323" s="2"/>
      <c r="G323" s="2"/>
    </row>
    <row r="324" spans="1:7" ht="13.2" x14ac:dyDescent="0.25">
      <c r="A324" s="2"/>
      <c r="B324" s="2"/>
      <c r="C324" s="2"/>
      <c r="D324" s="2"/>
      <c r="E324" s="2"/>
      <c r="F324" s="2"/>
      <c r="G324" s="2"/>
    </row>
    <row r="325" spans="1:7" ht="13.2" x14ac:dyDescent="0.25">
      <c r="A325" s="2"/>
      <c r="B325" s="2"/>
      <c r="C325" s="2"/>
      <c r="D325" s="2"/>
      <c r="E325" s="2"/>
      <c r="F325" s="2"/>
      <c r="G325" s="2"/>
    </row>
    <row r="326" spans="1:7" ht="13.2" x14ac:dyDescent="0.25">
      <c r="A326" s="2"/>
      <c r="B326" s="2"/>
      <c r="C326" s="2"/>
      <c r="D326" s="2"/>
      <c r="E326" s="2"/>
      <c r="F326" s="2"/>
      <c r="G326" s="2"/>
    </row>
    <row r="327" spans="1:7" ht="13.2" x14ac:dyDescent="0.25">
      <c r="A327" s="2"/>
      <c r="B327" s="2"/>
      <c r="C327" s="2"/>
      <c r="D327" s="2"/>
      <c r="E327" s="2"/>
      <c r="F327" s="2"/>
      <c r="G327" s="2"/>
    </row>
    <row r="328" spans="1:7" ht="13.2" x14ac:dyDescent="0.25">
      <c r="A328" s="2"/>
      <c r="B328" s="2"/>
      <c r="C328" s="2"/>
      <c r="D328" s="2"/>
      <c r="E328" s="2"/>
      <c r="F328" s="2"/>
      <c r="G328" s="2"/>
    </row>
    <row r="329" spans="1:7" ht="13.2" x14ac:dyDescent="0.25">
      <c r="A329" s="2"/>
      <c r="B329" s="2"/>
      <c r="C329" s="2"/>
      <c r="D329" s="2"/>
      <c r="E329" s="2"/>
      <c r="F329" s="2"/>
      <c r="G329" s="2"/>
    </row>
    <row r="330" spans="1:7" ht="13.2" x14ac:dyDescent="0.25">
      <c r="A330" s="2"/>
      <c r="B330" s="2"/>
      <c r="C330" s="2"/>
      <c r="D330" s="2"/>
      <c r="E330" s="2"/>
      <c r="F330" s="2"/>
      <c r="G330" s="2"/>
    </row>
    <row r="331" spans="1:7" ht="13.2" x14ac:dyDescent="0.25">
      <c r="A331" s="2"/>
      <c r="B331" s="2"/>
      <c r="C331" s="2"/>
      <c r="D331" s="2"/>
      <c r="E331" s="2"/>
      <c r="F331" s="2"/>
      <c r="G331" s="2"/>
    </row>
    <row r="332" spans="1:7" ht="13.2" x14ac:dyDescent="0.25">
      <c r="A332" s="2"/>
      <c r="B332" s="2"/>
      <c r="C332" s="2"/>
      <c r="D332" s="2"/>
      <c r="E332" s="2"/>
      <c r="F332" s="2"/>
      <c r="G332" s="2"/>
    </row>
    <row r="333" spans="1:7" ht="13.2" x14ac:dyDescent="0.25">
      <c r="A333" s="2"/>
      <c r="B333" s="2"/>
      <c r="C333" s="2"/>
      <c r="D333" s="2"/>
      <c r="E333" s="2"/>
      <c r="F333" s="2"/>
      <c r="G333" s="2"/>
    </row>
    <row r="334" spans="1:7" ht="13.2" x14ac:dyDescent="0.25">
      <c r="A334" s="2"/>
      <c r="B334" s="2"/>
      <c r="C334" s="2"/>
      <c r="D334" s="2"/>
      <c r="E334" s="2"/>
      <c r="F334" s="2"/>
      <c r="G334" s="2"/>
    </row>
    <row r="335" spans="1:7" ht="13.2" x14ac:dyDescent="0.25">
      <c r="A335" s="2"/>
      <c r="B335" s="2"/>
      <c r="C335" s="2"/>
      <c r="D335" s="2"/>
      <c r="E335" s="2"/>
      <c r="F335" s="2"/>
      <c r="G335" s="2"/>
    </row>
    <row r="336" spans="1:7" ht="13.2" x14ac:dyDescent="0.25">
      <c r="A336" s="2"/>
      <c r="B336" s="2"/>
      <c r="C336" s="2"/>
      <c r="D336" s="2"/>
      <c r="E336" s="2"/>
      <c r="F336" s="2"/>
      <c r="G336" s="2"/>
    </row>
    <row r="337" spans="1:7" ht="13.2" x14ac:dyDescent="0.25">
      <c r="A337" s="2"/>
      <c r="B337" s="2"/>
      <c r="C337" s="2"/>
      <c r="D337" s="2"/>
      <c r="E337" s="2"/>
      <c r="F337" s="2"/>
      <c r="G337" s="2"/>
    </row>
    <row r="338" spans="1:7" ht="13.2" x14ac:dyDescent="0.25">
      <c r="A338" s="2"/>
      <c r="B338" s="2"/>
      <c r="C338" s="2"/>
      <c r="D338" s="2"/>
      <c r="E338" s="2"/>
      <c r="F338" s="2"/>
      <c r="G338" s="2"/>
    </row>
    <row r="339" spans="1:7" ht="13.2" x14ac:dyDescent="0.25">
      <c r="A339" s="2"/>
      <c r="B339" s="2"/>
      <c r="C339" s="2"/>
      <c r="D339" s="2"/>
      <c r="E339" s="2"/>
      <c r="F339" s="2"/>
      <c r="G339" s="2"/>
    </row>
    <row r="340" spans="1:7" ht="13.2" x14ac:dyDescent="0.25">
      <c r="A340" s="2"/>
      <c r="B340" s="2"/>
      <c r="C340" s="2"/>
      <c r="D340" s="2"/>
      <c r="E340" s="2"/>
      <c r="F340" s="2"/>
      <c r="G340" s="2"/>
    </row>
    <row r="341" spans="1:7" ht="13.2" x14ac:dyDescent="0.25">
      <c r="A341" s="2"/>
      <c r="B341" s="2"/>
      <c r="C341" s="2"/>
      <c r="D341" s="2"/>
      <c r="E341" s="2"/>
      <c r="F341" s="2"/>
      <c r="G341" s="2"/>
    </row>
    <row r="342" spans="1:7" ht="13.2" x14ac:dyDescent="0.25">
      <c r="A342" s="2"/>
      <c r="B342" s="2"/>
      <c r="C342" s="2"/>
      <c r="D342" s="2"/>
      <c r="E342" s="2"/>
      <c r="F342" s="2"/>
      <c r="G342" s="2"/>
    </row>
    <row r="343" spans="1:7" ht="13.2" x14ac:dyDescent="0.25">
      <c r="A343" s="2"/>
      <c r="B343" s="2"/>
      <c r="C343" s="2"/>
      <c r="D343" s="2"/>
      <c r="E343" s="2"/>
      <c r="F343" s="2"/>
      <c r="G343" s="2"/>
    </row>
    <row r="344" spans="1:7" ht="13.2" x14ac:dyDescent="0.25">
      <c r="A344" s="2"/>
      <c r="B344" s="2"/>
      <c r="C344" s="2"/>
      <c r="D344" s="2"/>
      <c r="E344" s="2"/>
      <c r="F344" s="2"/>
      <c r="G344" s="2"/>
    </row>
    <row r="345" spans="1:7" ht="13.2" x14ac:dyDescent="0.25">
      <c r="A345" s="2"/>
      <c r="B345" s="2"/>
      <c r="C345" s="2"/>
      <c r="D345" s="2"/>
      <c r="E345" s="2"/>
      <c r="F345" s="2"/>
      <c r="G345" s="2"/>
    </row>
    <row r="346" spans="1:7" ht="13.2" x14ac:dyDescent="0.25">
      <c r="A346" s="2"/>
      <c r="B346" s="2"/>
      <c r="C346" s="2"/>
      <c r="D346" s="2"/>
      <c r="E346" s="2"/>
      <c r="F346" s="2"/>
      <c r="G346" s="2"/>
    </row>
    <row r="347" spans="1:7" ht="13.2" x14ac:dyDescent="0.25">
      <c r="A347" s="2"/>
      <c r="B347" s="2"/>
      <c r="C347" s="2"/>
      <c r="D347" s="2"/>
      <c r="E347" s="2"/>
      <c r="F347" s="2"/>
      <c r="G347" s="2"/>
    </row>
    <row r="348" spans="1:7" ht="13.2" x14ac:dyDescent="0.25">
      <c r="A348" s="2"/>
      <c r="B348" s="2"/>
      <c r="C348" s="2"/>
      <c r="D348" s="2"/>
      <c r="E348" s="2"/>
      <c r="F348" s="2"/>
      <c r="G348" s="2"/>
    </row>
    <row r="349" spans="1:7" ht="13.2" x14ac:dyDescent="0.25">
      <c r="A349" s="2"/>
      <c r="B349" s="2"/>
      <c r="C349" s="2"/>
      <c r="D349" s="2"/>
      <c r="E349" s="2"/>
      <c r="F349" s="2"/>
      <c r="G349" s="2"/>
    </row>
    <row r="350" spans="1:7" ht="13.2" x14ac:dyDescent="0.25">
      <c r="A350" s="2"/>
      <c r="B350" s="2"/>
      <c r="C350" s="2"/>
      <c r="D350" s="2"/>
      <c r="E350" s="2"/>
      <c r="F350" s="2"/>
      <c r="G350" s="2"/>
    </row>
    <row r="351" spans="1:7" ht="13.2" x14ac:dyDescent="0.25">
      <c r="A351" s="2"/>
      <c r="B351" s="2"/>
      <c r="C351" s="2"/>
      <c r="D351" s="2"/>
      <c r="E351" s="2"/>
      <c r="F351" s="2"/>
      <c r="G351" s="2"/>
    </row>
    <row r="352" spans="1:7" ht="13.2" x14ac:dyDescent="0.25">
      <c r="A352" s="2"/>
      <c r="B352" s="2"/>
      <c r="C352" s="2"/>
      <c r="D352" s="2"/>
      <c r="E352" s="2"/>
      <c r="F352" s="2"/>
      <c r="G352" s="2"/>
    </row>
    <row r="353" spans="1:7" ht="13.2" x14ac:dyDescent="0.25">
      <c r="A353" s="2"/>
      <c r="B353" s="2"/>
      <c r="C353" s="2"/>
      <c r="D353" s="2"/>
      <c r="E353" s="2"/>
      <c r="F353" s="2"/>
      <c r="G353" s="2"/>
    </row>
    <row r="354" spans="1:7" ht="13.2" x14ac:dyDescent="0.25">
      <c r="A354" s="2"/>
      <c r="B354" s="2"/>
      <c r="C354" s="2"/>
      <c r="D354" s="2"/>
      <c r="E354" s="2"/>
      <c r="F354" s="2"/>
      <c r="G354" s="2"/>
    </row>
    <row r="355" spans="1:7" ht="13.2" x14ac:dyDescent="0.25">
      <c r="A355" s="2"/>
      <c r="B355" s="2"/>
      <c r="C355" s="2"/>
      <c r="D355" s="2"/>
      <c r="E355" s="2"/>
      <c r="F355" s="2"/>
      <c r="G355" s="2"/>
    </row>
    <row r="356" spans="1:7" ht="13.2" x14ac:dyDescent="0.25">
      <c r="A356" s="2"/>
      <c r="B356" s="2"/>
      <c r="C356" s="2"/>
      <c r="D356" s="2"/>
      <c r="E356" s="2"/>
      <c r="F356" s="2"/>
      <c r="G356" s="2"/>
    </row>
    <row r="357" spans="1:7" ht="13.2" x14ac:dyDescent="0.25">
      <c r="A357" s="2"/>
      <c r="B357" s="2"/>
      <c r="C357" s="2"/>
      <c r="D357" s="2"/>
      <c r="E357" s="2"/>
      <c r="F357" s="2"/>
      <c r="G357" s="2"/>
    </row>
    <row r="358" spans="1:7" ht="13.2" x14ac:dyDescent="0.25">
      <c r="A358" s="2"/>
      <c r="B358" s="2"/>
      <c r="C358" s="2"/>
      <c r="D358" s="2"/>
      <c r="E358" s="2"/>
      <c r="F358" s="2"/>
      <c r="G358" s="2"/>
    </row>
    <row r="359" spans="1:7" ht="13.2" x14ac:dyDescent="0.25">
      <c r="A359" s="2"/>
      <c r="B359" s="2"/>
      <c r="C359" s="2"/>
      <c r="D359" s="2"/>
      <c r="E359" s="2"/>
      <c r="F359" s="2"/>
      <c r="G359" s="2"/>
    </row>
    <row r="360" spans="1:7" ht="13.2" x14ac:dyDescent="0.25">
      <c r="A360" s="2"/>
      <c r="B360" s="2"/>
      <c r="C360" s="2"/>
      <c r="D360" s="2"/>
      <c r="E360" s="2"/>
      <c r="F360" s="2"/>
      <c r="G360" s="2"/>
    </row>
    <row r="361" spans="1:7" ht="13.2" x14ac:dyDescent="0.25">
      <c r="A361" s="2"/>
      <c r="B361" s="2"/>
      <c r="C361" s="2"/>
      <c r="D361" s="2"/>
      <c r="E361" s="2"/>
      <c r="F361" s="2"/>
      <c r="G361" s="2"/>
    </row>
    <row r="362" spans="1:7" ht="13.2" x14ac:dyDescent="0.25">
      <c r="A362" s="2"/>
      <c r="B362" s="2"/>
      <c r="C362" s="2"/>
      <c r="D362" s="2"/>
      <c r="E362" s="2"/>
      <c r="F362" s="2"/>
      <c r="G362" s="2"/>
    </row>
    <row r="363" spans="1:7" ht="13.2" x14ac:dyDescent="0.25">
      <c r="A363" s="2"/>
      <c r="B363" s="2"/>
      <c r="C363" s="2"/>
      <c r="D363" s="2"/>
      <c r="E363" s="2"/>
      <c r="F363" s="2"/>
      <c r="G363" s="2"/>
    </row>
    <row r="364" spans="1:7" ht="13.2" x14ac:dyDescent="0.25">
      <c r="A364" s="2"/>
      <c r="B364" s="2"/>
      <c r="C364" s="2"/>
      <c r="D364" s="2"/>
      <c r="E364" s="2"/>
      <c r="F364" s="2"/>
      <c r="G364" s="2"/>
    </row>
    <row r="365" spans="1:7" ht="13.2" x14ac:dyDescent="0.25">
      <c r="A365" s="2"/>
      <c r="B365" s="2"/>
      <c r="C365" s="2"/>
      <c r="D365" s="2"/>
      <c r="E365" s="2"/>
      <c r="F365" s="2"/>
      <c r="G365" s="2"/>
    </row>
    <row r="366" spans="1:7" ht="13.2" x14ac:dyDescent="0.25">
      <c r="A366" s="2"/>
      <c r="B366" s="2"/>
      <c r="C366" s="2"/>
      <c r="D366" s="2"/>
      <c r="E366" s="2"/>
      <c r="F366" s="2"/>
      <c r="G366" s="2"/>
    </row>
    <row r="367" spans="1:7" ht="13.2" x14ac:dyDescent="0.25">
      <c r="A367" s="2"/>
      <c r="B367" s="2"/>
      <c r="C367" s="2"/>
      <c r="D367" s="2"/>
      <c r="E367" s="2"/>
      <c r="F367" s="2"/>
      <c r="G367" s="2"/>
    </row>
    <row r="368" spans="1:7" ht="13.2" x14ac:dyDescent="0.25">
      <c r="A368" s="2"/>
      <c r="B368" s="2"/>
      <c r="C368" s="2"/>
      <c r="D368" s="2"/>
      <c r="E368" s="2"/>
      <c r="F368" s="2"/>
      <c r="G368" s="2"/>
    </row>
    <row r="369" spans="1:7" ht="13.2" x14ac:dyDescent="0.25">
      <c r="A369" s="2"/>
      <c r="B369" s="2"/>
      <c r="C369" s="2"/>
      <c r="D369" s="2"/>
      <c r="E369" s="2"/>
      <c r="F369" s="2"/>
      <c r="G369" s="2"/>
    </row>
    <row r="370" spans="1:7" ht="13.2" x14ac:dyDescent="0.25">
      <c r="A370" s="2"/>
      <c r="B370" s="2"/>
      <c r="C370" s="2"/>
      <c r="D370" s="2"/>
      <c r="E370" s="2"/>
      <c r="F370" s="2"/>
      <c r="G370" s="2"/>
    </row>
    <row r="371" spans="1:7" ht="13.2" x14ac:dyDescent="0.25">
      <c r="A371" s="2"/>
      <c r="B371" s="2"/>
      <c r="C371" s="2"/>
      <c r="D371" s="2"/>
      <c r="E371" s="2"/>
      <c r="F371" s="2"/>
      <c r="G371" s="2"/>
    </row>
    <row r="372" spans="1:7" ht="13.2" x14ac:dyDescent="0.25">
      <c r="A372" s="2"/>
      <c r="B372" s="2"/>
      <c r="C372" s="2"/>
      <c r="D372" s="2"/>
      <c r="E372" s="2"/>
      <c r="F372" s="2"/>
      <c r="G372" s="2"/>
    </row>
    <row r="373" spans="1:7" ht="13.2" x14ac:dyDescent="0.25">
      <c r="A373" s="2"/>
      <c r="B373" s="2"/>
      <c r="C373" s="2"/>
      <c r="D373" s="2"/>
      <c r="E373" s="2"/>
      <c r="F373" s="2"/>
      <c r="G373" s="2"/>
    </row>
    <row r="374" spans="1:7" ht="13.2" x14ac:dyDescent="0.25">
      <c r="A374" s="2"/>
      <c r="B374" s="2"/>
      <c r="C374" s="2"/>
      <c r="D374" s="2"/>
      <c r="E374" s="2"/>
      <c r="F374" s="2"/>
      <c r="G374" s="2"/>
    </row>
    <row r="375" spans="1:7" ht="13.2" x14ac:dyDescent="0.25">
      <c r="A375" s="2"/>
      <c r="B375" s="2"/>
      <c r="C375" s="2"/>
      <c r="D375" s="2"/>
      <c r="E375" s="2"/>
      <c r="F375" s="2"/>
      <c r="G375" s="2"/>
    </row>
    <row r="376" spans="1:7" ht="13.2" x14ac:dyDescent="0.25">
      <c r="A376" s="2"/>
      <c r="B376" s="2"/>
      <c r="C376" s="2"/>
      <c r="D376" s="2"/>
      <c r="E376" s="2"/>
      <c r="F376" s="2"/>
      <c r="G376" s="2"/>
    </row>
    <row r="377" spans="1:7" ht="13.2" x14ac:dyDescent="0.25">
      <c r="A377" s="2"/>
      <c r="B377" s="2"/>
      <c r="C377" s="2"/>
      <c r="D377" s="2"/>
      <c r="E377" s="2"/>
      <c r="F377" s="2"/>
      <c r="G377" s="2"/>
    </row>
    <row r="378" spans="1:7" ht="13.2" x14ac:dyDescent="0.25">
      <c r="A378" s="2"/>
      <c r="B378" s="2"/>
      <c r="C378" s="2"/>
      <c r="D378" s="2"/>
      <c r="E378" s="2"/>
      <c r="F378" s="2"/>
      <c r="G378" s="2"/>
    </row>
    <row r="379" spans="1:7" ht="13.2" x14ac:dyDescent="0.25">
      <c r="A379" s="2"/>
      <c r="B379" s="2"/>
      <c r="C379" s="2"/>
      <c r="D379" s="2"/>
      <c r="E379" s="2"/>
      <c r="F379" s="2"/>
      <c r="G379" s="2"/>
    </row>
    <row r="380" spans="1:7" ht="13.2" x14ac:dyDescent="0.25">
      <c r="A380" s="2"/>
      <c r="B380" s="2"/>
      <c r="C380" s="2"/>
      <c r="D380" s="2"/>
      <c r="E380" s="2"/>
      <c r="F380" s="2"/>
      <c r="G380" s="2"/>
    </row>
    <row r="381" spans="1:7" ht="13.2" x14ac:dyDescent="0.25">
      <c r="A381" s="2"/>
      <c r="B381" s="2"/>
      <c r="C381" s="2"/>
      <c r="D381" s="2"/>
      <c r="E381" s="2"/>
      <c r="F381" s="2"/>
      <c r="G381" s="2"/>
    </row>
    <row r="382" spans="1:7" ht="13.2" x14ac:dyDescent="0.25">
      <c r="A382" s="2"/>
      <c r="B382" s="2"/>
      <c r="C382" s="2"/>
      <c r="D382" s="2"/>
      <c r="E382" s="2"/>
      <c r="F382" s="2"/>
      <c r="G382" s="2"/>
    </row>
    <row r="383" spans="1:7" ht="13.2" x14ac:dyDescent="0.25">
      <c r="A383" s="2"/>
      <c r="B383" s="2"/>
      <c r="C383" s="2"/>
      <c r="D383" s="2"/>
      <c r="E383" s="2"/>
      <c r="F383" s="2"/>
      <c r="G383" s="2"/>
    </row>
    <row r="384" spans="1:7" ht="13.2" x14ac:dyDescent="0.25">
      <c r="A384" s="2"/>
      <c r="B384" s="2"/>
      <c r="C384" s="2"/>
      <c r="D384" s="2"/>
      <c r="E384" s="2"/>
      <c r="F384" s="2"/>
      <c r="G384" s="2"/>
    </row>
    <row r="385" spans="1:7" ht="13.2" x14ac:dyDescent="0.25">
      <c r="A385" s="2"/>
      <c r="B385" s="2"/>
      <c r="C385" s="2"/>
      <c r="D385" s="2"/>
      <c r="E385" s="2"/>
      <c r="F385" s="2"/>
      <c r="G385" s="2"/>
    </row>
    <row r="386" spans="1:7" ht="13.2" x14ac:dyDescent="0.25">
      <c r="A386" s="2"/>
      <c r="B386" s="2"/>
      <c r="C386" s="2"/>
      <c r="D386" s="2"/>
      <c r="E386" s="2"/>
      <c r="F386" s="2"/>
      <c r="G386" s="2"/>
    </row>
    <row r="387" spans="1:7" ht="13.2" x14ac:dyDescent="0.25">
      <c r="A387" s="2"/>
      <c r="B387" s="2"/>
      <c r="C387" s="2"/>
      <c r="D387" s="2"/>
      <c r="E387" s="2"/>
      <c r="F387" s="2"/>
      <c r="G387" s="2"/>
    </row>
    <row r="388" spans="1:7" ht="13.2" x14ac:dyDescent="0.25">
      <c r="A388" s="2"/>
      <c r="B388" s="2"/>
      <c r="C388" s="2"/>
      <c r="D388" s="2"/>
      <c r="E388" s="2"/>
      <c r="F388" s="2"/>
      <c r="G388" s="2"/>
    </row>
    <row r="389" spans="1:7" ht="13.2" x14ac:dyDescent="0.25">
      <c r="A389" s="2"/>
      <c r="B389" s="2"/>
      <c r="C389" s="2"/>
      <c r="D389" s="2"/>
      <c r="E389" s="2"/>
      <c r="F389" s="2"/>
      <c r="G389" s="2"/>
    </row>
    <row r="390" spans="1:7" ht="13.2" x14ac:dyDescent="0.25">
      <c r="A390" s="2"/>
      <c r="B390" s="2"/>
      <c r="C390" s="2"/>
      <c r="D390" s="2"/>
      <c r="E390" s="2"/>
      <c r="F390" s="2"/>
      <c r="G390" s="2"/>
    </row>
    <row r="391" spans="1:7" ht="13.2" x14ac:dyDescent="0.25">
      <c r="A391" s="2"/>
      <c r="B391" s="2"/>
      <c r="C391" s="2"/>
      <c r="D391" s="2"/>
      <c r="E391" s="2"/>
      <c r="F391" s="2"/>
      <c r="G391" s="2"/>
    </row>
    <row r="392" spans="1:7" ht="13.2" x14ac:dyDescent="0.25">
      <c r="A392" s="2"/>
      <c r="B392" s="2"/>
      <c r="C392" s="2"/>
      <c r="D392" s="2"/>
      <c r="E392" s="2"/>
      <c r="F392" s="2"/>
      <c r="G392" s="2"/>
    </row>
    <row r="393" spans="1:7" ht="13.2" x14ac:dyDescent="0.25">
      <c r="A393" s="2"/>
      <c r="B393" s="2"/>
      <c r="C393" s="2"/>
      <c r="D393" s="2"/>
      <c r="E393" s="2"/>
      <c r="F393" s="2"/>
      <c r="G393" s="2"/>
    </row>
    <row r="394" spans="1:7" ht="13.2" x14ac:dyDescent="0.25">
      <c r="A394" s="2"/>
      <c r="B394" s="2"/>
      <c r="C394" s="2"/>
      <c r="D394" s="2"/>
      <c r="E394" s="2"/>
      <c r="F394" s="2"/>
      <c r="G394" s="2"/>
    </row>
    <row r="395" spans="1:7" ht="13.2" x14ac:dyDescent="0.25">
      <c r="A395" s="2"/>
      <c r="B395" s="2"/>
      <c r="C395" s="2"/>
      <c r="D395" s="2"/>
      <c r="E395" s="2"/>
      <c r="F395" s="2"/>
      <c r="G395" s="2"/>
    </row>
    <row r="396" spans="1:7" ht="13.2" x14ac:dyDescent="0.25">
      <c r="A396" s="2"/>
      <c r="B396" s="2"/>
      <c r="C396" s="2"/>
      <c r="D396" s="2"/>
      <c r="E396" s="2"/>
      <c r="F396" s="2"/>
      <c r="G396" s="2"/>
    </row>
    <row r="397" spans="1:7" ht="13.2" x14ac:dyDescent="0.25">
      <c r="A397" s="2"/>
      <c r="B397" s="2"/>
      <c r="C397" s="2"/>
      <c r="D397" s="2"/>
      <c r="E397" s="2"/>
      <c r="F397" s="2"/>
      <c r="G397" s="2"/>
    </row>
    <row r="398" spans="1:7" ht="13.2" x14ac:dyDescent="0.25">
      <c r="A398" s="2"/>
      <c r="B398" s="2"/>
      <c r="C398" s="2"/>
      <c r="D398" s="2"/>
      <c r="E398" s="2"/>
      <c r="F398" s="2"/>
      <c r="G398" s="2"/>
    </row>
    <row r="399" spans="1:7" ht="13.2" x14ac:dyDescent="0.25">
      <c r="A399" s="2"/>
      <c r="B399" s="2"/>
      <c r="C399" s="2"/>
      <c r="D399" s="2"/>
      <c r="E399" s="2"/>
      <c r="F399" s="2"/>
      <c r="G399" s="2"/>
    </row>
    <row r="400" spans="1:7" ht="13.2" x14ac:dyDescent="0.25">
      <c r="A400" s="2"/>
      <c r="B400" s="2"/>
      <c r="C400" s="2"/>
      <c r="D400" s="2"/>
      <c r="E400" s="2"/>
      <c r="F400" s="2"/>
      <c r="G400" s="2"/>
    </row>
    <row r="401" spans="1:7" ht="13.2" x14ac:dyDescent="0.25">
      <c r="A401" s="2"/>
      <c r="B401" s="2"/>
      <c r="C401" s="2"/>
      <c r="D401" s="2"/>
      <c r="E401" s="2"/>
      <c r="F401" s="2"/>
      <c r="G401" s="2"/>
    </row>
    <row r="402" spans="1:7" ht="13.2" x14ac:dyDescent="0.25">
      <c r="A402" s="2"/>
      <c r="B402" s="2"/>
      <c r="C402" s="2"/>
      <c r="D402" s="2"/>
      <c r="E402" s="2"/>
      <c r="F402" s="2"/>
      <c r="G402" s="2"/>
    </row>
    <row r="403" spans="1:7" ht="13.2" x14ac:dyDescent="0.25">
      <c r="A403" s="2"/>
      <c r="B403" s="2"/>
      <c r="C403" s="2"/>
      <c r="D403" s="2"/>
      <c r="E403" s="2"/>
      <c r="F403" s="2"/>
      <c r="G403" s="2"/>
    </row>
    <row r="404" spans="1:7" ht="13.2" x14ac:dyDescent="0.25">
      <c r="A404" s="2"/>
      <c r="B404" s="2"/>
      <c r="C404" s="2"/>
      <c r="D404" s="2"/>
      <c r="E404" s="2"/>
      <c r="F404" s="2"/>
      <c r="G404" s="2"/>
    </row>
    <row r="405" spans="1:7" ht="13.2" x14ac:dyDescent="0.25">
      <c r="A405" s="2"/>
      <c r="B405" s="2"/>
      <c r="C405" s="2"/>
      <c r="D405" s="2"/>
      <c r="E405" s="2"/>
      <c r="F405" s="2"/>
      <c r="G405" s="2"/>
    </row>
    <row r="406" spans="1:7" ht="13.2" x14ac:dyDescent="0.25">
      <c r="A406" s="2"/>
      <c r="B406" s="2"/>
      <c r="C406" s="2"/>
      <c r="D406" s="2"/>
      <c r="E406" s="2"/>
      <c r="F406" s="2"/>
      <c r="G406" s="2"/>
    </row>
    <row r="407" spans="1:7" ht="13.2" x14ac:dyDescent="0.25">
      <c r="A407" s="2"/>
      <c r="B407" s="2"/>
      <c r="C407" s="2"/>
      <c r="D407" s="2"/>
      <c r="E407" s="2"/>
      <c r="F407" s="2"/>
      <c r="G407" s="2"/>
    </row>
    <row r="408" spans="1:7" ht="13.2" x14ac:dyDescent="0.25">
      <c r="A408" s="2"/>
      <c r="B408" s="2"/>
      <c r="C408" s="2"/>
      <c r="D408" s="2"/>
      <c r="E408" s="2"/>
      <c r="F408" s="2"/>
      <c r="G408" s="2"/>
    </row>
    <row r="409" spans="1:7" ht="13.2" x14ac:dyDescent="0.25">
      <c r="A409" s="2"/>
      <c r="B409" s="2"/>
      <c r="C409" s="2"/>
      <c r="D409" s="2"/>
      <c r="E409" s="2"/>
      <c r="F409" s="2"/>
      <c r="G409" s="2"/>
    </row>
    <row r="410" spans="1:7" ht="13.2" x14ac:dyDescent="0.25">
      <c r="A410" s="2"/>
      <c r="B410" s="2"/>
      <c r="C410" s="2"/>
      <c r="D410" s="2"/>
      <c r="E410" s="2"/>
      <c r="F410" s="2"/>
      <c r="G410" s="2"/>
    </row>
    <row r="411" spans="1:7" ht="13.2" x14ac:dyDescent="0.25">
      <c r="A411" s="2"/>
      <c r="B411" s="2"/>
      <c r="C411" s="2"/>
      <c r="D411" s="2"/>
      <c r="E411" s="2"/>
      <c r="F411" s="2"/>
      <c r="G411" s="2"/>
    </row>
    <row r="412" spans="1:7" ht="13.2" x14ac:dyDescent="0.25">
      <c r="A412" s="2"/>
      <c r="B412" s="2"/>
      <c r="C412" s="2"/>
      <c r="D412" s="2"/>
      <c r="E412" s="2"/>
      <c r="F412" s="2"/>
      <c r="G412" s="2"/>
    </row>
    <row r="413" spans="1:7" ht="13.2" x14ac:dyDescent="0.25">
      <c r="A413" s="2"/>
      <c r="B413" s="2"/>
      <c r="C413" s="2"/>
      <c r="D413" s="2"/>
      <c r="E413" s="2"/>
      <c r="F413" s="2"/>
      <c r="G413" s="2"/>
    </row>
    <row r="414" spans="1:7" ht="13.2" x14ac:dyDescent="0.25">
      <c r="A414" s="2"/>
      <c r="B414" s="2"/>
      <c r="C414" s="2"/>
      <c r="D414" s="2"/>
      <c r="E414" s="2"/>
      <c r="F414" s="2"/>
      <c r="G414" s="2"/>
    </row>
    <row r="415" spans="1:7" ht="13.2" x14ac:dyDescent="0.25">
      <c r="A415" s="2"/>
      <c r="B415" s="2"/>
      <c r="C415" s="2"/>
      <c r="D415" s="2"/>
      <c r="E415" s="2"/>
      <c r="F415" s="2"/>
      <c r="G415" s="2"/>
    </row>
    <row r="416" spans="1:7" ht="13.2" x14ac:dyDescent="0.25">
      <c r="A416" s="2"/>
      <c r="B416" s="2"/>
      <c r="C416" s="2"/>
      <c r="D416" s="2"/>
      <c r="E416" s="2"/>
      <c r="F416" s="2"/>
      <c r="G416" s="2"/>
    </row>
    <row r="417" spans="1:7" ht="13.2" x14ac:dyDescent="0.25">
      <c r="A417" s="2"/>
      <c r="B417" s="2"/>
      <c r="C417" s="2"/>
      <c r="D417" s="2"/>
      <c r="E417" s="2"/>
      <c r="F417" s="2"/>
      <c r="G417" s="2"/>
    </row>
    <row r="418" spans="1:7" ht="13.2" x14ac:dyDescent="0.25">
      <c r="A418" s="2"/>
      <c r="B418" s="2"/>
      <c r="C418" s="2"/>
      <c r="D418" s="2"/>
      <c r="E418" s="2"/>
      <c r="F418" s="2"/>
      <c r="G418" s="2"/>
    </row>
    <row r="419" spans="1:7" ht="13.2" x14ac:dyDescent="0.25">
      <c r="A419" s="2"/>
      <c r="B419" s="2"/>
      <c r="C419" s="2"/>
      <c r="D419" s="2"/>
      <c r="E419" s="2"/>
      <c r="F419" s="2"/>
      <c r="G419" s="2"/>
    </row>
    <row r="420" spans="1:7" ht="13.2" x14ac:dyDescent="0.25">
      <c r="A420" s="2"/>
      <c r="B420" s="2"/>
      <c r="C420" s="2"/>
      <c r="D420" s="2"/>
      <c r="E420" s="2"/>
      <c r="F420" s="2"/>
      <c r="G420" s="2"/>
    </row>
    <row r="421" spans="1:7" ht="13.2" x14ac:dyDescent="0.25">
      <c r="A421" s="2"/>
      <c r="B421" s="2"/>
      <c r="C421" s="2"/>
      <c r="D421" s="2"/>
      <c r="E421" s="2"/>
      <c r="F421" s="2"/>
      <c r="G421" s="2"/>
    </row>
    <row r="422" spans="1:7" ht="13.2" x14ac:dyDescent="0.25">
      <c r="A422" s="2"/>
      <c r="B422" s="2"/>
      <c r="C422" s="2"/>
      <c r="D422" s="2"/>
      <c r="E422" s="2"/>
      <c r="F422" s="2"/>
      <c r="G422" s="2"/>
    </row>
    <row r="423" spans="1:7" ht="13.2" x14ac:dyDescent="0.25">
      <c r="A423" s="2"/>
      <c r="B423" s="2"/>
      <c r="C423" s="2"/>
      <c r="D423" s="2"/>
      <c r="E423" s="2"/>
      <c r="F423" s="2"/>
      <c r="G423" s="2"/>
    </row>
    <row r="424" spans="1:7" ht="13.2" x14ac:dyDescent="0.25">
      <c r="A424" s="2"/>
      <c r="B424" s="2"/>
      <c r="C424" s="2"/>
      <c r="D424" s="2"/>
      <c r="E424" s="2"/>
      <c r="F424" s="2"/>
      <c r="G424" s="2"/>
    </row>
    <row r="425" spans="1:7" ht="13.2" x14ac:dyDescent="0.25">
      <c r="A425" s="2"/>
      <c r="B425" s="2"/>
      <c r="C425" s="2"/>
      <c r="D425" s="2"/>
      <c r="E425" s="2"/>
      <c r="F425" s="2"/>
      <c r="G425" s="2"/>
    </row>
    <row r="426" spans="1:7" ht="13.2" x14ac:dyDescent="0.25">
      <c r="A426" s="2"/>
      <c r="B426" s="2"/>
      <c r="C426" s="2"/>
      <c r="D426" s="2"/>
      <c r="E426" s="2"/>
      <c r="F426" s="2"/>
      <c r="G426" s="2"/>
    </row>
    <row r="427" spans="1:7" ht="13.2" x14ac:dyDescent="0.25">
      <c r="A427" s="2"/>
      <c r="B427" s="2"/>
      <c r="C427" s="2"/>
      <c r="D427" s="2"/>
      <c r="E427" s="2"/>
      <c r="F427" s="2"/>
      <c r="G427" s="2"/>
    </row>
    <row r="428" spans="1:7" ht="13.2" x14ac:dyDescent="0.25">
      <c r="A428" s="2"/>
      <c r="B428" s="2"/>
      <c r="C428" s="2"/>
      <c r="D428" s="2"/>
      <c r="E428" s="2"/>
      <c r="F428" s="2"/>
      <c r="G428" s="2"/>
    </row>
    <row r="429" spans="1:7" ht="13.2" x14ac:dyDescent="0.25">
      <c r="A429" s="2"/>
      <c r="B429" s="2"/>
      <c r="C429" s="2"/>
      <c r="D429" s="2"/>
      <c r="E429" s="2"/>
      <c r="F429" s="2"/>
      <c r="G429" s="2"/>
    </row>
    <row r="430" spans="1:7" ht="13.2" x14ac:dyDescent="0.25">
      <c r="A430" s="2"/>
      <c r="B430" s="2"/>
      <c r="C430" s="2"/>
      <c r="D430" s="2"/>
      <c r="E430" s="2"/>
      <c r="F430" s="2"/>
      <c r="G430" s="2"/>
    </row>
    <row r="431" spans="1:7" ht="13.2" x14ac:dyDescent="0.25">
      <c r="A431" s="2"/>
      <c r="B431" s="2"/>
      <c r="C431" s="2"/>
      <c r="D431" s="2"/>
      <c r="E431" s="2"/>
      <c r="F431" s="2"/>
      <c r="G431" s="2"/>
    </row>
    <row r="432" spans="1:7" ht="13.2" x14ac:dyDescent="0.25">
      <c r="A432" s="2"/>
      <c r="B432" s="2"/>
      <c r="C432" s="2"/>
      <c r="D432" s="2"/>
      <c r="E432" s="2"/>
      <c r="F432" s="2"/>
      <c r="G432" s="2"/>
    </row>
    <row r="433" spans="1:7" ht="13.2" x14ac:dyDescent="0.25">
      <c r="A433" s="2"/>
      <c r="B433" s="2"/>
      <c r="C433" s="2"/>
      <c r="D433" s="2"/>
      <c r="E433" s="2"/>
      <c r="F433" s="2"/>
      <c r="G433" s="2"/>
    </row>
    <row r="434" spans="1:7" ht="13.2" x14ac:dyDescent="0.25">
      <c r="A434" s="2"/>
      <c r="B434" s="2"/>
      <c r="C434" s="2"/>
      <c r="D434" s="2"/>
      <c r="E434" s="2"/>
      <c r="F434" s="2"/>
      <c r="G434" s="2"/>
    </row>
    <row r="435" spans="1:7" ht="13.2" x14ac:dyDescent="0.25">
      <c r="A435" s="2"/>
      <c r="B435" s="2"/>
      <c r="C435" s="2"/>
      <c r="D435" s="2"/>
      <c r="E435" s="2"/>
      <c r="F435" s="2"/>
      <c r="G435" s="2"/>
    </row>
    <row r="436" spans="1:7" ht="13.2" x14ac:dyDescent="0.25">
      <c r="A436" s="2"/>
      <c r="B436" s="2"/>
      <c r="C436" s="2"/>
      <c r="D436" s="2"/>
      <c r="E436" s="2"/>
      <c r="F436" s="2"/>
      <c r="G436" s="2"/>
    </row>
    <row r="437" spans="1:7" ht="13.2" x14ac:dyDescent="0.25">
      <c r="A437" s="2"/>
      <c r="B437" s="2"/>
      <c r="C437" s="2"/>
      <c r="D437" s="2"/>
      <c r="E437" s="2"/>
      <c r="F437" s="2"/>
      <c r="G437" s="2"/>
    </row>
    <row r="438" spans="1:7" ht="13.2" x14ac:dyDescent="0.25">
      <c r="A438" s="2"/>
      <c r="B438" s="2"/>
      <c r="C438" s="2"/>
      <c r="D438" s="2"/>
      <c r="E438" s="2"/>
      <c r="F438" s="2"/>
      <c r="G438" s="2"/>
    </row>
    <row r="439" spans="1:7" ht="13.2" x14ac:dyDescent="0.25">
      <c r="A439" s="2"/>
      <c r="B439" s="2"/>
      <c r="C439" s="2"/>
      <c r="D439" s="2"/>
      <c r="E439" s="2"/>
      <c r="F439" s="2"/>
      <c r="G439" s="2"/>
    </row>
    <row r="440" spans="1:7" ht="13.2" x14ac:dyDescent="0.25">
      <c r="A440" s="2"/>
      <c r="B440" s="2"/>
      <c r="C440" s="2"/>
      <c r="D440" s="2"/>
      <c r="E440" s="2"/>
      <c r="F440" s="2"/>
      <c r="G440" s="2"/>
    </row>
    <row r="441" spans="1:7" ht="13.2" x14ac:dyDescent="0.25">
      <c r="A441" s="2"/>
      <c r="B441" s="2"/>
      <c r="C441" s="2"/>
      <c r="D441" s="2"/>
      <c r="E441" s="2"/>
      <c r="F441" s="2"/>
      <c r="G441" s="2"/>
    </row>
    <row r="442" spans="1:7" ht="13.2" x14ac:dyDescent="0.25">
      <c r="A442" s="2"/>
      <c r="B442" s="2"/>
      <c r="C442" s="2"/>
      <c r="D442" s="2"/>
      <c r="E442" s="2"/>
      <c r="F442" s="2"/>
      <c r="G442" s="2"/>
    </row>
    <row r="443" spans="1:7" ht="13.2" x14ac:dyDescent="0.25">
      <c r="A443" s="2"/>
      <c r="B443" s="2"/>
      <c r="C443" s="2"/>
      <c r="D443" s="2"/>
      <c r="E443" s="2"/>
      <c r="F443" s="2"/>
      <c r="G443" s="2"/>
    </row>
    <row r="444" spans="1:7" ht="13.2" x14ac:dyDescent="0.25">
      <c r="A444" s="2"/>
      <c r="B444" s="2"/>
      <c r="C444" s="2"/>
      <c r="D444" s="2"/>
      <c r="E444" s="2"/>
      <c r="F444" s="2"/>
      <c r="G444" s="2"/>
    </row>
    <row r="445" spans="1:7" ht="13.2" x14ac:dyDescent="0.25">
      <c r="A445" s="2"/>
      <c r="B445" s="2"/>
      <c r="C445" s="2"/>
      <c r="D445" s="2"/>
      <c r="E445" s="2"/>
      <c r="F445" s="2"/>
      <c r="G445" s="2"/>
    </row>
    <row r="446" spans="1:7" ht="13.2" x14ac:dyDescent="0.25">
      <c r="A446" s="2"/>
      <c r="B446" s="2"/>
      <c r="C446" s="2"/>
      <c r="D446" s="2"/>
      <c r="E446" s="2"/>
      <c r="F446" s="2"/>
      <c r="G446" s="2"/>
    </row>
    <row r="447" spans="1:7" ht="13.2" x14ac:dyDescent="0.25">
      <c r="A447" s="2"/>
      <c r="B447" s="2"/>
      <c r="C447" s="2"/>
      <c r="D447" s="2"/>
      <c r="E447" s="2"/>
      <c r="F447" s="2"/>
      <c r="G447" s="2"/>
    </row>
    <row r="448" spans="1:7" ht="13.2" x14ac:dyDescent="0.25">
      <c r="A448" s="2"/>
      <c r="B448" s="2"/>
      <c r="C448" s="2"/>
      <c r="D448" s="2"/>
      <c r="E448" s="2"/>
      <c r="F448" s="2"/>
      <c r="G448" s="2"/>
    </row>
    <row r="449" spans="1:7" ht="13.2" x14ac:dyDescent="0.25">
      <c r="A449" s="2"/>
      <c r="B449" s="2"/>
      <c r="C449" s="2"/>
      <c r="D449" s="2"/>
      <c r="E449" s="2"/>
      <c r="F449" s="2"/>
      <c r="G449" s="2"/>
    </row>
    <row r="450" spans="1:7" ht="13.2" x14ac:dyDescent="0.25">
      <c r="A450" s="2"/>
      <c r="B450" s="2"/>
      <c r="C450" s="2"/>
      <c r="D450" s="2"/>
      <c r="E450" s="2"/>
      <c r="F450" s="2"/>
      <c r="G450" s="2"/>
    </row>
    <row r="451" spans="1:7" ht="13.2" x14ac:dyDescent="0.25">
      <c r="A451" s="2"/>
      <c r="B451" s="2"/>
      <c r="C451" s="2"/>
      <c r="D451" s="2"/>
      <c r="E451" s="2"/>
      <c r="F451" s="2"/>
      <c r="G451" s="2"/>
    </row>
    <row r="452" spans="1:7" ht="13.2" x14ac:dyDescent="0.25">
      <c r="A452" s="2"/>
      <c r="B452" s="2"/>
      <c r="C452" s="2"/>
      <c r="D452" s="2"/>
      <c r="E452" s="2"/>
      <c r="F452" s="2"/>
      <c r="G452" s="2"/>
    </row>
    <row r="453" spans="1:7" ht="13.2" x14ac:dyDescent="0.25">
      <c r="A453" s="2"/>
      <c r="B453" s="2"/>
      <c r="C453" s="2"/>
      <c r="D453" s="2"/>
      <c r="E453" s="2"/>
      <c r="F453" s="2"/>
      <c r="G453" s="2"/>
    </row>
    <row r="454" spans="1:7" ht="13.2" x14ac:dyDescent="0.25">
      <c r="A454" s="2"/>
      <c r="B454" s="2"/>
      <c r="C454" s="2"/>
      <c r="D454" s="2"/>
      <c r="E454" s="2"/>
      <c r="F454" s="2"/>
      <c r="G454" s="2"/>
    </row>
    <row r="455" spans="1:7" ht="13.2" x14ac:dyDescent="0.25">
      <c r="A455" s="2"/>
      <c r="B455" s="2"/>
      <c r="C455" s="2"/>
      <c r="D455" s="2"/>
      <c r="E455" s="2"/>
      <c r="F455" s="2"/>
      <c r="G455" s="2"/>
    </row>
    <row r="456" spans="1:7" ht="13.2" x14ac:dyDescent="0.25">
      <c r="A456" s="2"/>
      <c r="B456" s="2"/>
      <c r="C456" s="2"/>
      <c r="D456" s="2"/>
      <c r="E456" s="2"/>
      <c r="F456" s="2"/>
      <c r="G456" s="2"/>
    </row>
    <row r="457" spans="1:7" ht="13.2" x14ac:dyDescent="0.25">
      <c r="A457" s="2"/>
      <c r="B457" s="2"/>
      <c r="C457" s="2"/>
      <c r="D457" s="2"/>
      <c r="E457" s="2"/>
      <c r="F457" s="2"/>
      <c r="G457" s="2"/>
    </row>
    <row r="458" spans="1:7" ht="13.2" x14ac:dyDescent="0.25">
      <c r="A458" s="2"/>
      <c r="B458" s="2"/>
      <c r="C458" s="2"/>
      <c r="D458" s="2"/>
      <c r="E458" s="2"/>
      <c r="F458" s="2"/>
      <c r="G458" s="2"/>
    </row>
    <row r="459" spans="1:7" ht="13.2" x14ac:dyDescent="0.25">
      <c r="A459" s="2"/>
      <c r="B459" s="2"/>
      <c r="C459" s="2"/>
      <c r="D459" s="2"/>
      <c r="E459" s="2"/>
      <c r="F459" s="2"/>
      <c r="G459" s="2"/>
    </row>
    <row r="460" spans="1:7" ht="13.2" x14ac:dyDescent="0.25">
      <c r="A460" s="2"/>
      <c r="B460" s="2"/>
      <c r="C460" s="2"/>
      <c r="D460" s="2"/>
      <c r="E460" s="2"/>
      <c r="F460" s="2"/>
      <c r="G460" s="2"/>
    </row>
    <row r="461" spans="1:7" ht="13.2" x14ac:dyDescent="0.25">
      <c r="A461" s="2"/>
      <c r="B461" s="2"/>
      <c r="C461" s="2"/>
      <c r="D461" s="2"/>
      <c r="E461" s="2"/>
      <c r="F461" s="2"/>
      <c r="G461" s="2"/>
    </row>
    <row r="462" spans="1:7" ht="13.2" x14ac:dyDescent="0.25">
      <c r="A462" s="2"/>
      <c r="B462" s="2"/>
      <c r="C462" s="2"/>
      <c r="D462" s="2"/>
      <c r="E462" s="2"/>
      <c r="F462" s="2"/>
      <c r="G462" s="2"/>
    </row>
    <row r="463" spans="1:7" ht="13.2" x14ac:dyDescent="0.25">
      <c r="A463" s="2"/>
      <c r="B463" s="2"/>
      <c r="C463" s="2"/>
      <c r="D463" s="2"/>
      <c r="E463" s="2"/>
      <c r="F463" s="2"/>
      <c r="G463" s="2"/>
    </row>
    <row r="464" spans="1:7" ht="13.2" x14ac:dyDescent="0.25">
      <c r="A464" s="2"/>
      <c r="B464" s="2"/>
      <c r="C464" s="2"/>
      <c r="D464" s="2"/>
      <c r="E464" s="2"/>
      <c r="F464" s="2"/>
      <c r="G464" s="2"/>
    </row>
    <row r="465" spans="1:7" ht="13.2" x14ac:dyDescent="0.25">
      <c r="A465" s="2"/>
      <c r="B465" s="2"/>
      <c r="C465" s="2"/>
      <c r="D465" s="2"/>
      <c r="E465" s="2"/>
      <c r="F465" s="2"/>
      <c r="G465" s="2"/>
    </row>
    <row r="466" spans="1:7" ht="13.2" x14ac:dyDescent="0.25">
      <c r="A466" s="2"/>
      <c r="B466" s="2"/>
      <c r="C466" s="2"/>
      <c r="D466" s="2"/>
      <c r="E466" s="2"/>
      <c r="F466" s="2"/>
      <c r="G466" s="2"/>
    </row>
    <row r="467" spans="1:7" ht="13.2" x14ac:dyDescent="0.25">
      <c r="A467" s="2"/>
      <c r="B467" s="2"/>
      <c r="C467" s="2"/>
      <c r="D467" s="2"/>
      <c r="E467" s="2"/>
      <c r="F467" s="2"/>
      <c r="G467" s="2"/>
    </row>
    <row r="468" spans="1:7" ht="13.2" x14ac:dyDescent="0.25">
      <c r="A468" s="2"/>
      <c r="B468" s="2"/>
      <c r="C468" s="2"/>
      <c r="D468" s="2"/>
      <c r="E468" s="2"/>
      <c r="F468" s="2"/>
      <c r="G468" s="2"/>
    </row>
    <row r="469" spans="1:7" ht="13.2" x14ac:dyDescent="0.25">
      <c r="A469" s="2"/>
      <c r="B469" s="2"/>
      <c r="C469" s="2"/>
      <c r="D469" s="2"/>
      <c r="E469" s="2"/>
      <c r="F469" s="2"/>
      <c r="G469" s="2"/>
    </row>
    <row r="470" spans="1:7" ht="13.2" x14ac:dyDescent="0.25">
      <c r="A470" s="2"/>
      <c r="B470" s="2"/>
      <c r="C470" s="2"/>
      <c r="D470" s="2"/>
      <c r="E470" s="2"/>
      <c r="F470" s="2"/>
      <c r="G470" s="2"/>
    </row>
    <row r="471" spans="1:7" ht="13.2" x14ac:dyDescent="0.25">
      <c r="A471" s="2"/>
      <c r="B471" s="2"/>
      <c r="C471" s="2"/>
      <c r="D471" s="2"/>
      <c r="E471" s="2"/>
      <c r="F471" s="2"/>
      <c r="G471" s="2"/>
    </row>
    <row r="472" spans="1:7" ht="13.2" x14ac:dyDescent="0.25">
      <c r="A472" s="2"/>
      <c r="B472" s="2"/>
      <c r="C472" s="2"/>
      <c r="D472" s="2"/>
      <c r="E472" s="2"/>
      <c r="F472" s="2"/>
      <c r="G472" s="2"/>
    </row>
    <row r="473" spans="1:7" ht="13.2" x14ac:dyDescent="0.25">
      <c r="A473" s="2"/>
      <c r="B473" s="2"/>
      <c r="C473" s="2"/>
      <c r="D473" s="2"/>
      <c r="E473" s="2"/>
      <c r="F473" s="2"/>
      <c r="G473" s="2"/>
    </row>
    <row r="474" spans="1:7" ht="13.2" x14ac:dyDescent="0.25">
      <c r="A474" s="2"/>
      <c r="B474" s="2"/>
      <c r="C474" s="2"/>
      <c r="D474" s="2"/>
      <c r="E474" s="2"/>
      <c r="F474" s="2"/>
      <c r="G474" s="2"/>
    </row>
    <row r="475" spans="1:7" ht="13.2" x14ac:dyDescent="0.25">
      <c r="A475" s="2"/>
      <c r="B475" s="2"/>
      <c r="C475" s="2"/>
      <c r="D475" s="2"/>
      <c r="E475" s="2"/>
      <c r="F475" s="2"/>
      <c r="G475" s="2"/>
    </row>
    <row r="476" spans="1:7" ht="13.2" x14ac:dyDescent="0.25">
      <c r="A476" s="2"/>
      <c r="B476" s="2"/>
      <c r="C476" s="2"/>
      <c r="D476" s="2"/>
      <c r="E476" s="2"/>
      <c r="F476" s="2"/>
      <c r="G476" s="2"/>
    </row>
    <row r="477" spans="1:7" ht="13.2" x14ac:dyDescent="0.25">
      <c r="A477" s="2"/>
      <c r="B477" s="2"/>
      <c r="C477" s="2"/>
      <c r="D477" s="2"/>
      <c r="E477" s="2"/>
      <c r="F477" s="2"/>
      <c r="G477" s="2"/>
    </row>
    <row r="478" spans="1:7" ht="13.2" x14ac:dyDescent="0.25">
      <c r="A478" s="2"/>
      <c r="B478" s="2"/>
      <c r="C478" s="2"/>
      <c r="D478" s="2"/>
      <c r="E478" s="2"/>
      <c r="F478" s="2"/>
      <c r="G478" s="2"/>
    </row>
    <row r="479" spans="1:7" ht="13.2" x14ac:dyDescent="0.25">
      <c r="A479" s="2"/>
      <c r="B479" s="2"/>
      <c r="C479" s="2"/>
      <c r="D479" s="2"/>
      <c r="E479" s="2"/>
      <c r="F479" s="2"/>
      <c r="G479" s="2"/>
    </row>
    <row r="480" spans="1:7" ht="13.2" x14ac:dyDescent="0.25">
      <c r="A480" s="2"/>
      <c r="B480" s="2"/>
      <c r="C480" s="2"/>
      <c r="D480" s="2"/>
      <c r="E480" s="2"/>
      <c r="F480" s="2"/>
      <c r="G480" s="2"/>
    </row>
    <row r="481" spans="1:7" ht="13.2" x14ac:dyDescent="0.25">
      <c r="A481" s="2"/>
      <c r="B481" s="2"/>
      <c r="C481" s="2"/>
      <c r="D481" s="2"/>
      <c r="E481" s="2"/>
      <c r="F481" s="2"/>
      <c r="G481" s="2"/>
    </row>
    <row r="482" spans="1:7" ht="13.2" x14ac:dyDescent="0.25">
      <c r="A482" s="2"/>
      <c r="B482" s="2"/>
      <c r="C482" s="2"/>
      <c r="D482" s="2"/>
      <c r="E482" s="2"/>
      <c r="F482" s="2"/>
      <c r="G482" s="2"/>
    </row>
    <row r="483" spans="1:7" ht="13.2" x14ac:dyDescent="0.25">
      <c r="A483" s="2"/>
      <c r="B483" s="2"/>
      <c r="C483" s="2"/>
      <c r="D483" s="2"/>
      <c r="E483" s="2"/>
      <c r="F483" s="2"/>
      <c r="G483" s="2"/>
    </row>
    <row r="484" spans="1:7" ht="13.2" x14ac:dyDescent="0.25">
      <c r="A484" s="2"/>
      <c r="B484" s="2"/>
      <c r="C484" s="2"/>
      <c r="D484" s="2"/>
      <c r="E484" s="2"/>
      <c r="F484" s="2"/>
      <c r="G484" s="2"/>
    </row>
    <row r="485" spans="1:7" ht="13.2" x14ac:dyDescent="0.25">
      <c r="A485" s="2"/>
      <c r="B485" s="2"/>
      <c r="C485" s="2"/>
      <c r="D485" s="2"/>
      <c r="E485" s="2"/>
      <c r="F485" s="2"/>
      <c r="G485" s="2"/>
    </row>
    <row r="486" spans="1:7" ht="13.2" x14ac:dyDescent="0.25">
      <c r="A486" s="2"/>
      <c r="B486" s="2"/>
      <c r="C486" s="2"/>
      <c r="D486" s="2"/>
      <c r="E486" s="2"/>
      <c r="F486" s="2"/>
      <c r="G486" s="2"/>
    </row>
    <row r="487" spans="1:7" ht="13.2" x14ac:dyDescent="0.25">
      <c r="A487" s="2"/>
      <c r="B487" s="2"/>
      <c r="C487" s="2"/>
      <c r="D487" s="2"/>
      <c r="E487" s="2"/>
      <c r="F487" s="2"/>
      <c r="G487" s="2"/>
    </row>
    <row r="488" spans="1:7" ht="13.2" x14ac:dyDescent="0.25">
      <c r="A488" s="2"/>
      <c r="B488" s="2"/>
      <c r="C488" s="2"/>
      <c r="D488" s="2"/>
      <c r="E488" s="2"/>
      <c r="F488" s="2"/>
      <c r="G488" s="2"/>
    </row>
    <row r="489" spans="1:7" ht="13.2" x14ac:dyDescent="0.25">
      <c r="A489" s="2"/>
      <c r="B489" s="2"/>
      <c r="C489" s="2"/>
      <c r="D489" s="2"/>
      <c r="E489" s="2"/>
      <c r="F489" s="2"/>
      <c r="G489" s="2"/>
    </row>
    <row r="490" spans="1:7" ht="13.2" x14ac:dyDescent="0.25">
      <c r="A490" s="2"/>
      <c r="B490" s="2"/>
      <c r="C490" s="2"/>
      <c r="D490" s="2"/>
      <c r="E490" s="2"/>
      <c r="F490" s="2"/>
      <c r="G490" s="2"/>
    </row>
    <row r="491" spans="1:7" ht="13.2" x14ac:dyDescent="0.25">
      <c r="A491" s="2"/>
      <c r="B491" s="2"/>
      <c r="C491" s="2"/>
      <c r="D491" s="2"/>
      <c r="E491" s="2"/>
      <c r="F491" s="2"/>
      <c r="G491" s="2"/>
    </row>
    <row r="492" spans="1:7" ht="13.2" x14ac:dyDescent="0.25">
      <c r="A492" s="2"/>
      <c r="B492" s="2"/>
      <c r="C492" s="2"/>
      <c r="D492" s="2"/>
      <c r="E492" s="2"/>
      <c r="F492" s="2"/>
      <c r="G492" s="2"/>
    </row>
    <row r="493" spans="1:7" ht="13.2" x14ac:dyDescent="0.25">
      <c r="A493" s="2"/>
      <c r="B493" s="2"/>
      <c r="C493" s="2"/>
      <c r="D493" s="2"/>
      <c r="E493" s="2"/>
      <c r="F493" s="2"/>
      <c r="G493" s="2"/>
    </row>
    <row r="494" spans="1:7" ht="13.2" x14ac:dyDescent="0.25">
      <c r="A494" s="2"/>
      <c r="B494" s="2"/>
      <c r="C494" s="2"/>
      <c r="D494" s="2"/>
      <c r="E494" s="2"/>
      <c r="F494" s="2"/>
      <c r="G494" s="2"/>
    </row>
    <row r="495" spans="1:7" ht="13.2" x14ac:dyDescent="0.25">
      <c r="A495" s="2"/>
      <c r="B495" s="2"/>
      <c r="C495" s="2"/>
      <c r="D495" s="2"/>
      <c r="E495" s="2"/>
      <c r="F495" s="2"/>
      <c r="G495" s="2"/>
    </row>
    <row r="496" spans="1:7" ht="13.2" x14ac:dyDescent="0.25">
      <c r="A496" s="2"/>
      <c r="B496" s="2"/>
      <c r="C496" s="2"/>
      <c r="D496" s="2"/>
      <c r="E496" s="2"/>
      <c r="F496" s="2"/>
      <c r="G496" s="2"/>
    </row>
    <row r="497" spans="1:7" ht="13.2" x14ac:dyDescent="0.25">
      <c r="A497" s="2"/>
      <c r="B497" s="2"/>
      <c r="C497" s="2"/>
      <c r="D497" s="2"/>
      <c r="E497" s="2"/>
      <c r="F497" s="2"/>
      <c r="G497" s="2"/>
    </row>
    <row r="498" spans="1:7" ht="13.2" x14ac:dyDescent="0.25">
      <c r="A498" s="2"/>
      <c r="B498" s="2"/>
      <c r="C498" s="2"/>
      <c r="D498" s="2"/>
      <c r="E498" s="2"/>
      <c r="F498" s="2"/>
      <c r="G498" s="2"/>
    </row>
    <row r="499" spans="1:7" ht="13.2" x14ac:dyDescent="0.25">
      <c r="A499" s="2"/>
      <c r="B499" s="2"/>
      <c r="C499" s="2"/>
      <c r="D499" s="2"/>
      <c r="E499" s="2"/>
      <c r="F499" s="2"/>
      <c r="G499" s="2"/>
    </row>
    <row r="500" spans="1:7" ht="13.2" x14ac:dyDescent="0.25">
      <c r="A500" s="2"/>
      <c r="B500" s="2"/>
      <c r="C500" s="2"/>
      <c r="D500" s="2"/>
      <c r="E500" s="2"/>
      <c r="F500" s="2"/>
      <c r="G500" s="2"/>
    </row>
    <row r="501" spans="1:7" ht="13.2" x14ac:dyDescent="0.25">
      <c r="A501" s="2"/>
      <c r="B501" s="2"/>
      <c r="C501" s="2"/>
      <c r="D501" s="2"/>
      <c r="E501" s="2"/>
      <c r="F501" s="2"/>
      <c r="G501" s="2"/>
    </row>
    <row r="502" spans="1:7" ht="13.2" x14ac:dyDescent="0.25">
      <c r="A502" s="2"/>
      <c r="B502" s="2"/>
      <c r="C502" s="2"/>
      <c r="D502" s="2"/>
      <c r="E502" s="2"/>
      <c r="F502" s="2"/>
      <c r="G502" s="2"/>
    </row>
    <row r="503" spans="1:7" ht="13.2" x14ac:dyDescent="0.25">
      <c r="A503" s="2"/>
      <c r="B503" s="2"/>
      <c r="C503" s="2"/>
      <c r="D503" s="2"/>
      <c r="E503" s="2"/>
      <c r="F503" s="2"/>
      <c r="G503" s="2"/>
    </row>
    <row r="504" spans="1:7" ht="13.2" x14ac:dyDescent="0.25">
      <c r="A504" s="2"/>
      <c r="B504" s="2"/>
      <c r="C504" s="2"/>
      <c r="D504" s="2"/>
      <c r="E504" s="2"/>
      <c r="F504" s="2"/>
      <c r="G504" s="2"/>
    </row>
    <row r="505" spans="1:7" ht="13.2" x14ac:dyDescent="0.25">
      <c r="A505" s="2"/>
      <c r="B505" s="2"/>
      <c r="C505" s="2"/>
      <c r="D505" s="2"/>
      <c r="E505" s="2"/>
      <c r="F505" s="2"/>
      <c r="G505" s="2"/>
    </row>
    <row r="506" spans="1:7" ht="13.2" x14ac:dyDescent="0.25">
      <c r="A506" s="2"/>
      <c r="B506" s="2"/>
      <c r="C506" s="2"/>
      <c r="D506" s="2"/>
      <c r="E506" s="2"/>
      <c r="F506" s="2"/>
      <c r="G506" s="2"/>
    </row>
    <row r="507" spans="1:7" ht="13.2" x14ac:dyDescent="0.25">
      <c r="A507" s="2"/>
      <c r="B507" s="2"/>
      <c r="C507" s="2"/>
      <c r="D507" s="2"/>
      <c r="E507" s="2"/>
      <c r="F507" s="2"/>
      <c r="G507" s="2"/>
    </row>
    <row r="508" spans="1:7" ht="13.2" x14ac:dyDescent="0.25">
      <c r="A508" s="2"/>
      <c r="B508" s="2"/>
      <c r="C508" s="2"/>
      <c r="D508" s="2"/>
      <c r="E508" s="2"/>
      <c r="F508" s="2"/>
      <c r="G508" s="2"/>
    </row>
    <row r="509" spans="1:7" ht="13.2" x14ac:dyDescent="0.25">
      <c r="A509" s="2"/>
      <c r="B509" s="2"/>
      <c r="C509" s="2"/>
      <c r="D509" s="2"/>
      <c r="E509" s="2"/>
      <c r="F509" s="2"/>
      <c r="G509" s="2"/>
    </row>
    <row r="510" spans="1:7" ht="13.2" x14ac:dyDescent="0.25">
      <c r="A510" s="2"/>
      <c r="B510" s="2"/>
      <c r="C510" s="2"/>
      <c r="D510" s="2"/>
      <c r="E510" s="2"/>
      <c r="F510" s="2"/>
      <c r="G510" s="2"/>
    </row>
    <row r="511" spans="1:7" ht="13.2" x14ac:dyDescent="0.25">
      <c r="A511" s="2"/>
      <c r="B511" s="2"/>
      <c r="C511" s="2"/>
      <c r="D511" s="2"/>
      <c r="E511" s="2"/>
      <c r="F511" s="2"/>
      <c r="G511" s="2"/>
    </row>
    <row r="512" spans="1:7" ht="13.2" x14ac:dyDescent="0.25">
      <c r="A512" s="2"/>
      <c r="B512" s="2"/>
      <c r="C512" s="2"/>
      <c r="D512" s="2"/>
      <c r="E512" s="2"/>
      <c r="F512" s="2"/>
      <c r="G512" s="2"/>
    </row>
    <row r="513" spans="1:7" ht="13.2" x14ac:dyDescent="0.25">
      <c r="A513" s="2"/>
      <c r="B513" s="2"/>
      <c r="C513" s="2"/>
      <c r="D513" s="2"/>
      <c r="E513" s="2"/>
      <c r="F513" s="2"/>
      <c r="G513" s="2"/>
    </row>
    <row r="514" spans="1:7" ht="13.2" x14ac:dyDescent="0.25">
      <c r="A514" s="2"/>
      <c r="B514" s="2"/>
      <c r="C514" s="2"/>
      <c r="D514" s="2"/>
      <c r="E514" s="2"/>
      <c r="F514" s="2"/>
      <c r="G514" s="2"/>
    </row>
    <row r="515" spans="1:7" ht="13.2" x14ac:dyDescent="0.25">
      <c r="A515" s="2"/>
      <c r="B515" s="2"/>
      <c r="C515" s="2"/>
      <c r="D515" s="2"/>
      <c r="E515" s="2"/>
      <c r="F515" s="2"/>
      <c r="G515" s="2"/>
    </row>
    <row r="516" spans="1:7" ht="13.2" x14ac:dyDescent="0.25">
      <c r="A516" s="2"/>
      <c r="B516" s="2"/>
      <c r="C516" s="2"/>
      <c r="D516" s="2"/>
      <c r="E516" s="2"/>
      <c r="F516" s="2"/>
      <c r="G516" s="2"/>
    </row>
    <row r="517" spans="1:7" ht="13.2" x14ac:dyDescent="0.25">
      <c r="A517" s="2"/>
      <c r="B517" s="2"/>
      <c r="C517" s="2"/>
      <c r="D517" s="2"/>
      <c r="E517" s="2"/>
      <c r="F517" s="2"/>
      <c r="G517" s="2"/>
    </row>
    <row r="518" spans="1:7" ht="13.2" x14ac:dyDescent="0.25">
      <c r="A518" s="2"/>
      <c r="B518" s="2"/>
      <c r="C518" s="2"/>
      <c r="D518" s="2"/>
      <c r="E518" s="2"/>
      <c r="F518" s="2"/>
      <c r="G518" s="2"/>
    </row>
    <row r="519" spans="1:7" ht="13.2" x14ac:dyDescent="0.25">
      <c r="A519" s="2"/>
      <c r="B519" s="2"/>
      <c r="C519" s="2"/>
      <c r="D519" s="2"/>
      <c r="E519" s="2"/>
      <c r="F519" s="2"/>
      <c r="G519" s="2"/>
    </row>
    <row r="520" spans="1:7" ht="13.2" x14ac:dyDescent="0.25">
      <c r="A520" s="2"/>
      <c r="B520" s="2"/>
      <c r="C520" s="2"/>
      <c r="D520" s="2"/>
      <c r="E520" s="2"/>
      <c r="F520" s="2"/>
      <c r="G520" s="2"/>
    </row>
    <row r="521" spans="1:7" ht="13.2" x14ac:dyDescent="0.25">
      <c r="A521" s="2"/>
      <c r="B521" s="2"/>
      <c r="C521" s="2"/>
      <c r="D521" s="2"/>
      <c r="E521" s="2"/>
      <c r="F521" s="2"/>
      <c r="G521" s="2"/>
    </row>
    <row r="522" spans="1:7" ht="13.2" x14ac:dyDescent="0.25">
      <c r="A522" s="2"/>
      <c r="B522" s="2"/>
      <c r="C522" s="2"/>
      <c r="D522" s="2"/>
      <c r="E522" s="2"/>
      <c r="F522" s="2"/>
      <c r="G522" s="2"/>
    </row>
    <row r="523" spans="1:7" ht="13.2" x14ac:dyDescent="0.25">
      <c r="A523" s="2"/>
      <c r="B523" s="2"/>
      <c r="C523" s="2"/>
      <c r="D523" s="2"/>
      <c r="E523" s="2"/>
      <c r="F523" s="2"/>
      <c r="G523" s="2"/>
    </row>
    <row r="524" spans="1:7" ht="13.2" x14ac:dyDescent="0.25">
      <c r="A524" s="2"/>
      <c r="B524" s="2"/>
      <c r="C524" s="2"/>
      <c r="D524" s="2"/>
      <c r="E524" s="2"/>
      <c r="F524" s="2"/>
      <c r="G524" s="2"/>
    </row>
    <row r="525" spans="1:7" ht="13.2" x14ac:dyDescent="0.25">
      <c r="A525" s="2"/>
      <c r="B525" s="2"/>
      <c r="C525" s="2"/>
      <c r="D525" s="2"/>
      <c r="E525" s="2"/>
      <c r="F525" s="2"/>
      <c r="G525" s="2"/>
    </row>
    <row r="526" spans="1:7" ht="13.2" x14ac:dyDescent="0.25">
      <c r="A526" s="2"/>
      <c r="B526" s="2"/>
      <c r="C526" s="2"/>
      <c r="D526" s="2"/>
      <c r="E526" s="2"/>
      <c r="F526" s="2"/>
      <c r="G526" s="2"/>
    </row>
    <row r="527" spans="1:7" ht="13.2" x14ac:dyDescent="0.25">
      <c r="A527" s="2"/>
      <c r="B527" s="2"/>
      <c r="C527" s="2"/>
      <c r="D527" s="2"/>
      <c r="E527" s="2"/>
      <c r="F527" s="2"/>
      <c r="G527" s="2"/>
    </row>
    <row r="528" spans="1:7" ht="13.2" x14ac:dyDescent="0.25">
      <c r="A528" s="2"/>
      <c r="B528" s="2"/>
      <c r="C528" s="2"/>
      <c r="D528" s="2"/>
      <c r="E528" s="2"/>
      <c r="F528" s="2"/>
      <c r="G528" s="2"/>
    </row>
    <row r="529" spans="1:7" ht="13.2" x14ac:dyDescent="0.25">
      <c r="A529" s="2"/>
      <c r="B529" s="2"/>
      <c r="C529" s="2"/>
      <c r="D529" s="2"/>
      <c r="E529" s="2"/>
      <c r="F529" s="2"/>
      <c r="G529" s="2"/>
    </row>
    <row r="530" spans="1:7" ht="13.2" x14ac:dyDescent="0.25">
      <c r="A530" s="2"/>
      <c r="B530" s="2"/>
      <c r="C530" s="2"/>
      <c r="D530" s="2"/>
      <c r="E530" s="2"/>
      <c r="F530" s="2"/>
      <c r="G530" s="2"/>
    </row>
    <row r="531" spans="1:7" ht="13.2" x14ac:dyDescent="0.25">
      <c r="A531" s="2"/>
      <c r="B531" s="2"/>
      <c r="C531" s="2"/>
      <c r="D531" s="2"/>
      <c r="E531" s="2"/>
      <c r="F531" s="2"/>
      <c r="G531" s="2"/>
    </row>
    <row r="532" spans="1:7" ht="13.2" x14ac:dyDescent="0.25">
      <c r="A532" s="2"/>
      <c r="B532" s="2"/>
      <c r="C532" s="2"/>
      <c r="D532" s="2"/>
      <c r="E532" s="2"/>
      <c r="F532" s="2"/>
      <c r="G532" s="2"/>
    </row>
    <row r="533" spans="1:7" ht="13.2" x14ac:dyDescent="0.25">
      <c r="A533" s="2"/>
      <c r="B533" s="2"/>
      <c r="C533" s="2"/>
      <c r="D533" s="2"/>
      <c r="E533" s="2"/>
      <c r="F533" s="2"/>
      <c r="G533" s="2"/>
    </row>
    <row r="534" spans="1:7" ht="13.2" x14ac:dyDescent="0.25">
      <c r="A534" s="2"/>
      <c r="B534" s="2"/>
      <c r="C534" s="2"/>
      <c r="D534" s="2"/>
      <c r="E534" s="2"/>
      <c r="F534" s="2"/>
      <c r="G534" s="2"/>
    </row>
    <row r="535" spans="1:7" ht="13.2" x14ac:dyDescent="0.25">
      <c r="A535" s="2"/>
      <c r="B535" s="2"/>
      <c r="C535" s="2"/>
      <c r="D535" s="2"/>
      <c r="E535" s="2"/>
      <c r="F535" s="2"/>
      <c r="G535" s="2"/>
    </row>
    <row r="536" spans="1:7" ht="13.2" x14ac:dyDescent="0.25">
      <c r="A536" s="2"/>
      <c r="B536" s="2"/>
      <c r="C536" s="2"/>
      <c r="D536" s="2"/>
      <c r="E536" s="2"/>
      <c r="F536" s="2"/>
      <c r="G536" s="2"/>
    </row>
    <row r="537" spans="1:7" ht="13.2" x14ac:dyDescent="0.25">
      <c r="A537" s="2"/>
      <c r="B537" s="2"/>
      <c r="C537" s="2"/>
      <c r="D537" s="2"/>
      <c r="E537" s="2"/>
      <c r="F537" s="2"/>
      <c r="G537" s="2"/>
    </row>
    <row r="538" spans="1:7" ht="13.2" x14ac:dyDescent="0.25">
      <c r="A538" s="2"/>
      <c r="B538" s="2"/>
      <c r="C538" s="2"/>
      <c r="D538" s="2"/>
      <c r="E538" s="2"/>
      <c r="F538" s="2"/>
      <c r="G538" s="2"/>
    </row>
    <row r="539" spans="1:7" ht="13.2" x14ac:dyDescent="0.25">
      <c r="A539" s="2"/>
      <c r="B539" s="2"/>
      <c r="C539" s="2"/>
      <c r="D539" s="2"/>
      <c r="E539" s="2"/>
      <c r="F539" s="2"/>
      <c r="G539" s="2"/>
    </row>
    <row r="540" spans="1:7" ht="13.2" x14ac:dyDescent="0.25">
      <c r="A540" s="2"/>
      <c r="B540" s="2"/>
      <c r="C540" s="2"/>
      <c r="D540" s="2"/>
      <c r="E540" s="2"/>
      <c r="F540" s="2"/>
      <c r="G540" s="2"/>
    </row>
    <row r="541" spans="1:7" ht="13.2" x14ac:dyDescent="0.25">
      <c r="A541" s="2"/>
      <c r="B541" s="2"/>
      <c r="C541" s="2"/>
      <c r="D541" s="2"/>
      <c r="E541" s="2"/>
      <c r="F541" s="2"/>
      <c r="G541" s="2"/>
    </row>
    <row r="542" spans="1:7" ht="13.2" x14ac:dyDescent="0.25">
      <c r="A542" s="2"/>
      <c r="B542" s="2"/>
      <c r="C542" s="2"/>
      <c r="D542" s="2"/>
      <c r="E542" s="2"/>
      <c r="F542" s="2"/>
      <c r="G542" s="2"/>
    </row>
    <row r="543" spans="1:7" ht="13.2" x14ac:dyDescent="0.25">
      <c r="A543" s="2"/>
      <c r="B543" s="2"/>
      <c r="C543" s="2"/>
      <c r="D543" s="2"/>
      <c r="E543" s="2"/>
      <c r="F543" s="2"/>
      <c r="G543" s="2"/>
    </row>
    <row r="544" spans="1:7" ht="13.2" x14ac:dyDescent="0.25">
      <c r="A544" s="2"/>
      <c r="B544" s="2"/>
      <c r="C544" s="2"/>
      <c r="D544" s="2"/>
      <c r="E544" s="2"/>
      <c r="F544" s="2"/>
      <c r="G544" s="2"/>
    </row>
    <row r="545" spans="1:7" ht="13.2" x14ac:dyDescent="0.25">
      <c r="A545" s="2"/>
      <c r="B545" s="2"/>
      <c r="C545" s="2"/>
      <c r="D545" s="2"/>
      <c r="E545" s="2"/>
      <c r="F545" s="2"/>
      <c r="G545" s="2"/>
    </row>
    <row r="546" spans="1:7" ht="13.2" x14ac:dyDescent="0.25">
      <c r="A546" s="2"/>
      <c r="B546" s="2"/>
      <c r="C546" s="2"/>
      <c r="D546" s="2"/>
      <c r="E546" s="2"/>
      <c r="F546" s="2"/>
      <c r="G546" s="2"/>
    </row>
    <row r="547" spans="1:7" ht="13.2" x14ac:dyDescent="0.25">
      <c r="A547" s="2"/>
      <c r="B547" s="2"/>
      <c r="C547" s="2"/>
      <c r="D547" s="2"/>
      <c r="E547" s="2"/>
      <c r="F547" s="2"/>
      <c r="G547" s="2"/>
    </row>
    <row r="548" spans="1:7" ht="13.2" x14ac:dyDescent="0.25">
      <c r="A548" s="2"/>
      <c r="B548" s="2"/>
      <c r="C548" s="2"/>
      <c r="D548" s="2"/>
      <c r="E548" s="2"/>
      <c r="F548" s="2"/>
      <c r="G548" s="2"/>
    </row>
    <row r="549" spans="1:7" ht="13.2" x14ac:dyDescent="0.25">
      <c r="A549" s="2"/>
      <c r="B549" s="2"/>
      <c r="C549" s="2"/>
      <c r="D549" s="2"/>
      <c r="E549" s="2"/>
      <c r="F549" s="2"/>
      <c r="G549" s="2"/>
    </row>
    <row r="550" spans="1:7" ht="13.2" x14ac:dyDescent="0.25">
      <c r="A550" s="2"/>
      <c r="B550" s="2"/>
      <c r="C550" s="2"/>
      <c r="D550" s="2"/>
      <c r="E550" s="2"/>
      <c r="F550" s="2"/>
      <c r="G550" s="2"/>
    </row>
    <row r="551" spans="1:7" ht="13.2" x14ac:dyDescent="0.25">
      <c r="A551" s="2"/>
      <c r="B551" s="2"/>
      <c r="C551" s="2"/>
      <c r="D551" s="2"/>
      <c r="E551" s="2"/>
      <c r="F551" s="2"/>
      <c r="G551" s="2"/>
    </row>
    <row r="552" spans="1:7" ht="13.2" x14ac:dyDescent="0.25">
      <c r="A552" s="2"/>
      <c r="B552" s="2"/>
      <c r="C552" s="2"/>
      <c r="D552" s="2"/>
      <c r="E552" s="2"/>
      <c r="F552" s="2"/>
      <c r="G552" s="2"/>
    </row>
    <row r="553" spans="1:7" ht="13.2" x14ac:dyDescent="0.25">
      <c r="A553" s="2"/>
      <c r="B553" s="2"/>
      <c r="C553" s="2"/>
      <c r="D553" s="2"/>
      <c r="E553" s="2"/>
      <c r="F553" s="2"/>
      <c r="G553" s="2"/>
    </row>
    <row r="554" spans="1:7" ht="13.2" x14ac:dyDescent="0.25">
      <c r="A554" s="2"/>
      <c r="B554" s="2"/>
      <c r="C554" s="2"/>
      <c r="D554" s="2"/>
      <c r="E554" s="2"/>
      <c r="F554" s="2"/>
      <c r="G554" s="2"/>
    </row>
    <row r="555" spans="1:7" ht="13.2" x14ac:dyDescent="0.25">
      <c r="A555" s="2"/>
      <c r="B555" s="2"/>
      <c r="C555" s="2"/>
      <c r="D555" s="2"/>
      <c r="E555" s="2"/>
      <c r="F555" s="2"/>
      <c r="G555" s="2"/>
    </row>
    <row r="556" spans="1:7" ht="13.2" x14ac:dyDescent="0.25">
      <c r="A556" s="2"/>
      <c r="B556" s="2"/>
      <c r="C556" s="2"/>
      <c r="D556" s="2"/>
      <c r="E556" s="2"/>
      <c r="F556" s="2"/>
      <c r="G556" s="2"/>
    </row>
    <row r="557" spans="1:7" ht="13.2" x14ac:dyDescent="0.25">
      <c r="A557" s="2"/>
      <c r="B557" s="2"/>
      <c r="C557" s="2"/>
      <c r="D557" s="2"/>
      <c r="E557" s="2"/>
      <c r="F557" s="2"/>
      <c r="G557" s="2"/>
    </row>
    <row r="558" spans="1:7" ht="13.2" x14ac:dyDescent="0.25">
      <c r="A558" s="2"/>
      <c r="B558" s="2"/>
      <c r="C558" s="2"/>
      <c r="D558" s="2"/>
      <c r="E558" s="2"/>
      <c r="F558" s="2"/>
      <c r="G558" s="2"/>
    </row>
    <row r="559" spans="1:7" ht="13.2" x14ac:dyDescent="0.25">
      <c r="A559" s="2"/>
      <c r="B559" s="2"/>
      <c r="C559" s="2"/>
      <c r="D559" s="2"/>
      <c r="E559" s="2"/>
      <c r="F559" s="2"/>
      <c r="G559" s="2"/>
    </row>
    <row r="560" spans="1:7" ht="13.2" x14ac:dyDescent="0.25">
      <c r="A560" s="2"/>
      <c r="B560" s="2"/>
      <c r="C560" s="2"/>
      <c r="D560" s="2"/>
      <c r="E560" s="2"/>
      <c r="F560" s="2"/>
      <c r="G560" s="2"/>
    </row>
    <row r="561" spans="1:7" ht="13.2" x14ac:dyDescent="0.25">
      <c r="A561" s="2"/>
      <c r="B561" s="2"/>
      <c r="C561" s="2"/>
      <c r="D561" s="2"/>
      <c r="E561" s="2"/>
      <c r="F561" s="2"/>
      <c r="G561" s="2"/>
    </row>
    <row r="562" spans="1:7" ht="13.2" x14ac:dyDescent="0.25">
      <c r="A562" s="2"/>
      <c r="B562" s="2"/>
      <c r="C562" s="2"/>
      <c r="D562" s="2"/>
      <c r="E562" s="2"/>
      <c r="F562" s="2"/>
      <c r="G562" s="2"/>
    </row>
    <row r="563" spans="1:7" ht="13.2" x14ac:dyDescent="0.25">
      <c r="A563" s="2"/>
      <c r="B563" s="2"/>
      <c r="C563" s="2"/>
      <c r="D563" s="2"/>
      <c r="E563" s="2"/>
      <c r="F563" s="2"/>
      <c r="G563" s="2"/>
    </row>
    <row r="564" spans="1:7" ht="13.2" x14ac:dyDescent="0.25">
      <c r="A564" s="2"/>
      <c r="B564" s="2"/>
      <c r="C564" s="2"/>
      <c r="D564" s="2"/>
      <c r="E564" s="2"/>
      <c r="F564" s="2"/>
      <c r="G564" s="2"/>
    </row>
    <row r="565" spans="1:7" ht="13.2" x14ac:dyDescent="0.25">
      <c r="A565" s="2"/>
      <c r="B565" s="2"/>
      <c r="C565" s="2"/>
      <c r="D565" s="2"/>
      <c r="E565" s="2"/>
      <c r="F565" s="2"/>
      <c r="G565" s="2"/>
    </row>
    <row r="566" spans="1:7" ht="13.2" x14ac:dyDescent="0.25">
      <c r="A566" s="2"/>
      <c r="B566" s="2"/>
      <c r="C566" s="2"/>
      <c r="D566" s="2"/>
      <c r="E566" s="2"/>
      <c r="F566" s="2"/>
      <c r="G566" s="2"/>
    </row>
    <row r="567" spans="1:7" ht="13.2" x14ac:dyDescent="0.25">
      <c r="A567" s="2"/>
      <c r="B567" s="2"/>
      <c r="C567" s="2"/>
      <c r="D567" s="2"/>
      <c r="E567" s="2"/>
      <c r="F567" s="2"/>
      <c r="G567" s="2"/>
    </row>
    <row r="568" spans="1:7" ht="13.2" x14ac:dyDescent="0.25">
      <c r="A568" s="2"/>
      <c r="B568" s="2"/>
      <c r="C568" s="2"/>
      <c r="D568" s="2"/>
      <c r="E568" s="2"/>
      <c r="F568" s="2"/>
      <c r="G568" s="2"/>
    </row>
    <row r="569" spans="1:7" ht="13.2" x14ac:dyDescent="0.25">
      <c r="A569" s="2"/>
      <c r="B569" s="2"/>
      <c r="C569" s="2"/>
      <c r="D569" s="2"/>
      <c r="E569" s="2"/>
      <c r="F569" s="2"/>
      <c r="G569" s="2"/>
    </row>
    <row r="570" spans="1:7" ht="13.2" x14ac:dyDescent="0.25">
      <c r="A570" s="2"/>
      <c r="B570" s="2"/>
      <c r="C570" s="2"/>
      <c r="D570" s="2"/>
      <c r="E570" s="2"/>
      <c r="F570" s="2"/>
      <c r="G570" s="2"/>
    </row>
    <row r="571" spans="1:7" ht="13.2" x14ac:dyDescent="0.25">
      <c r="A571" s="2"/>
      <c r="B571" s="2"/>
      <c r="C571" s="2"/>
      <c r="D571" s="2"/>
      <c r="E571" s="2"/>
      <c r="F571" s="2"/>
      <c r="G571" s="2"/>
    </row>
    <row r="572" spans="1:7" ht="13.2" x14ac:dyDescent="0.25">
      <c r="A572" s="2"/>
      <c r="B572" s="2"/>
      <c r="C572" s="2"/>
      <c r="D572" s="2"/>
      <c r="E572" s="2"/>
      <c r="F572" s="2"/>
      <c r="G572" s="2"/>
    </row>
    <row r="573" spans="1:7" ht="13.2" x14ac:dyDescent="0.25">
      <c r="A573" s="2"/>
      <c r="B573" s="2"/>
      <c r="C573" s="2"/>
      <c r="D573" s="2"/>
      <c r="E573" s="2"/>
      <c r="F573" s="2"/>
      <c r="G573" s="2"/>
    </row>
    <row r="574" spans="1:7" ht="13.2" x14ac:dyDescent="0.25">
      <c r="A574" s="2"/>
      <c r="B574" s="2"/>
      <c r="C574" s="2"/>
      <c r="D574" s="2"/>
      <c r="E574" s="2"/>
      <c r="F574" s="2"/>
      <c r="G574" s="2"/>
    </row>
    <row r="575" spans="1:7" ht="13.2" x14ac:dyDescent="0.25">
      <c r="A575" s="2"/>
      <c r="B575" s="2"/>
      <c r="C575" s="2"/>
      <c r="D575" s="2"/>
      <c r="E575" s="2"/>
      <c r="F575" s="2"/>
      <c r="G575" s="2"/>
    </row>
    <row r="576" spans="1:7" ht="13.2" x14ac:dyDescent="0.25">
      <c r="A576" s="2"/>
      <c r="B576" s="2"/>
      <c r="C576" s="2"/>
      <c r="D576" s="2"/>
      <c r="E576" s="2"/>
      <c r="F576" s="2"/>
      <c r="G576" s="2"/>
    </row>
    <row r="577" spans="1:7" ht="13.2" x14ac:dyDescent="0.25">
      <c r="A577" s="2"/>
      <c r="B577" s="2"/>
      <c r="C577" s="2"/>
      <c r="D577" s="2"/>
      <c r="E577" s="2"/>
      <c r="F577" s="2"/>
      <c r="G577" s="2"/>
    </row>
    <row r="578" spans="1:7" ht="13.2" x14ac:dyDescent="0.25">
      <c r="A578" s="2"/>
      <c r="B578" s="2"/>
      <c r="C578" s="2"/>
      <c r="D578" s="2"/>
      <c r="E578" s="2"/>
      <c r="F578" s="2"/>
      <c r="G578" s="2"/>
    </row>
    <row r="579" spans="1:7" ht="13.2" x14ac:dyDescent="0.25">
      <c r="A579" s="2"/>
      <c r="B579" s="2"/>
      <c r="C579" s="2"/>
      <c r="D579" s="2"/>
      <c r="E579" s="2"/>
      <c r="F579" s="2"/>
      <c r="G579" s="2"/>
    </row>
    <row r="580" spans="1:7" ht="13.2" x14ac:dyDescent="0.25">
      <c r="A580" s="2"/>
      <c r="B580" s="2"/>
      <c r="C580" s="2"/>
      <c r="D580" s="2"/>
      <c r="E580" s="2"/>
      <c r="F580" s="2"/>
      <c r="G580" s="2"/>
    </row>
    <row r="581" spans="1:7" ht="13.2" x14ac:dyDescent="0.25">
      <c r="A581" s="2"/>
      <c r="B581" s="2"/>
      <c r="C581" s="2"/>
      <c r="D581" s="2"/>
      <c r="E581" s="2"/>
      <c r="F581" s="2"/>
      <c r="G581" s="2"/>
    </row>
    <row r="582" spans="1:7" ht="13.2" x14ac:dyDescent="0.25">
      <c r="A582" s="2"/>
      <c r="B582" s="2"/>
      <c r="C582" s="2"/>
      <c r="D582" s="2"/>
      <c r="E582" s="2"/>
      <c r="F582" s="2"/>
      <c r="G582" s="2"/>
    </row>
    <row r="583" spans="1:7" ht="13.2" x14ac:dyDescent="0.25">
      <c r="A583" s="2"/>
      <c r="B583" s="2"/>
      <c r="C583" s="2"/>
      <c r="D583" s="2"/>
      <c r="E583" s="2"/>
      <c r="F583" s="2"/>
      <c r="G583" s="2"/>
    </row>
    <row r="584" spans="1:7" ht="13.2" x14ac:dyDescent="0.25">
      <c r="A584" s="2"/>
      <c r="B584" s="2"/>
      <c r="C584" s="2"/>
      <c r="D584" s="2"/>
      <c r="E584" s="2"/>
      <c r="F584" s="2"/>
      <c r="G584" s="2"/>
    </row>
    <row r="585" spans="1:7" ht="13.2" x14ac:dyDescent="0.25">
      <c r="A585" s="2"/>
      <c r="B585" s="2"/>
      <c r="C585" s="2"/>
      <c r="D585" s="2"/>
      <c r="E585" s="2"/>
      <c r="F585" s="2"/>
      <c r="G585" s="2"/>
    </row>
    <row r="586" spans="1:7" ht="13.2" x14ac:dyDescent="0.25">
      <c r="A586" s="2"/>
      <c r="B586" s="2"/>
      <c r="C586" s="2"/>
      <c r="D586" s="2"/>
      <c r="E586" s="2"/>
      <c r="F586" s="2"/>
      <c r="G586" s="2"/>
    </row>
    <row r="587" spans="1:7" ht="13.2" x14ac:dyDescent="0.25">
      <c r="A587" s="2"/>
      <c r="B587" s="2"/>
      <c r="C587" s="2"/>
      <c r="D587" s="2"/>
      <c r="E587" s="2"/>
      <c r="F587" s="2"/>
      <c r="G587" s="2"/>
    </row>
    <row r="588" spans="1:7" ht="13.2" x14ac:dyDescent="0.25">
      <c r="A588" s="2"/>
      <c r="B588" s="2"/>
      <c r="C588" s="2"/>
      <c r="D588" s="2"/>
      <c r="E588" s="2"/>
      <c r="F588" s="2"/>
      <c r="G588" s="2"/>
    </row>
    <row r="589" spans="1:7" ht="13.2" x14ac:dyDescent="0.25">
      <c r="A589" s="2"/>
      <c r="B589" s="2"/>
      <c r="C589" s="2"/>
      <c r="D589" s="2"/>
      <c r="E589" s="2"/>
      <c r="F589" s="2"/>
      <c r="G589" s="2"/>
    </row>
    <row r="590" spans="1:7" ht="13.2" x14ac:dyDescent="0.25">
      <c r="A590" s="2"/>
      <c r="B590" s="2"/>
      <c r="C590" s="2"/>
      <c r="D590" s="2"/>
      <c r="E590" s="2"/>
      <c r="F590" s="2"/>
      <c r="G590" s="2"/>
    </row>
    <row r="591" spans="1:7" ht="13.2" x14ac:dyDescent="0.25">
      <c r="A591" s="2"/>
      <c r="B591" s="2"/>
      <c r="C591" s="2"/>
      <c r="D591" s="2"/>
      <c r="E591" s="2"/>
      <c r="F591" s="2"/>
      <c r="G591" s="2"/>
    </row>
    <row r="592" spans="1:7" ht="13.2" x14ac:dyDescent="0.25">
      <c r="A592" s="2"/>
      <c r="B592" s="2"/>
      <c r="C592" s="2"/>
      <c r="D592" s="2"/>
      <c r="E592" s="2"/>
      <c r="F592" s="2"/>
      <c r="G592" s="2"/>
    </row>
    <row r="593" spans="1:7" ht="13.2" x14ac:dyDescent="0.25">
      <c r="A593" s="2"/>
      <c r="B593" s="2"/>
      <c r="C593" s="2"/>
      <c r="D593" s="2"/>
      <c r="E593" s="2"/>
      <c r="F593" s="2"/>
      <c r="G593" s="2"/>
    </row>
    <row r="594" spans="1:7" ht="13.2" x14ac:dyDescent="0.25">
      <c r="A594" s="2"/>
      <c r="B594" s="2"/>
      <c r="C594" s="2"/>
      <c r="D594" s="2"/>
      <c r="E594" s="2"/>
      <c r="F594" s="2"/>
      <c r="G594" s="2"/>
    </row>
    <row r="595" spans="1:7" ht="13.2" x14ac:dyDescent="0.25">
      <c r="A595" s="2"/>
      <c r="B595" s="2"/>
      <c r="C595" s="2"/>
      <c r="D595" s="2"/>
      <c r="E595" s="2"/>
      <c r="F595" s="2"/>
      <c r="G595" s="2"/>
    </row>
    <row r="596" spans="1:7" ht="13.2" x14ac:dyDescent="0.25">
      <c r="A596" s="2"/>
      <c r="B596" s="2"/>
      <c r="C596" s="2"/>
      <c r="D596" s="2"/>
      <c r="E596" s="2"/>
      <c r="F596" s="2"/>
      <c r="G596" s="2"/>
    </row>
    <row r="597" spans="1:7" ht="13.2" x14ac:dyDescent="0.25">
      <c r="A597" s="2"/>
      <c r="B597" s="2"/>
      <c r="C597" s="2"/>
      <c r="D597" s="2"/>
      <c r="E597" s="2"/>
      <c r="F597" s="2"/>
      <c r="G597" s="2"/>
    </row>
    <row r="598" spans="1:7" ht="13.2" x14ac:dyDescent="0.25">
      <c r="A598" s="2"/>
      <c r="B598" s="2"/>
      <c r="C598" s="2"/>
      <c r="D598" s="2"/>
      <c r="E598" s="2"/>
      <c r="F598" s="2"/>
      <c r="G598" s="2"/>
    </row>
    <row r="599" spans="1:7" ht="13.2" x14ac:dyDescent="0.25">
      <c r="A599" s="2"/>
      <c r="B599" s="2"/>
      <c r="C599" s="2"/>
      <c r="D599" s="2"/>
      <c r="E599" s="2"/>
      <c r="F599" s="2"/>
      <c r="G599" s="2"/>
    </row>
    <row r="600" spans="1:7" ht="13.2" x14ac:dyDescent="0.25">
      <c r="A600" s="2"/>
      <c r="B600" s="2"/>
      <c r="C600" s="2"/>
      <c r="D600" s="2"/>
      <c r="E600" s="2"/>
      <c r="F600" s="2"/>
      <c r="G600" s="2"/>
    </row>
    <row r="601" spans="1:7" ht="13.2" x14ac:dyDescent="0.25">
      <c r="A601" s="2"/>
      <c r="B601" s="2"/>
      <c r="C601" s="2"/>
      <c r="D601" s="2"/>
      <c r="E601" s="2"/>
      <c r="F601" s="2"/>
      <c r="G601" s="2"/>
    </row>
    <row r="602" spans="1:7" ht="13.2" x14ac:dyDescent="0.25">
      <c r="A602" s="2"/>
      <c r="B602" s="2"/>
      <c r="C602" s="2"/>
      <c r="D602" s="2"/>
      <c r="E602" s="2"/>
      <c r="F602" s="2"/>
      <c r="G602" s="2"/>
    </row>
    <row r="603" spans="1:7" ht="13.2" x14ac:dyDescent="0.25">
      <c r="A603" s="2"/>
      <c r="B603" s="2"/>
      <c r="C603" s="2"/>
      <c r="D603" s="2"/>
      <c r="E603" s="2"/>
      <c r="F603" s="2"/>
      <c r="G603" s="2"/>
    </row>
    <row r="604" spans="1:7" ht="13.2" x14ac:dyDescent="0.25">
      <c r="A604" s="2"/>
      <c r="B604" s="2"/>
      <c r="C604" s="2"/>
      <c r="D604" s="2"/>
      <c r="E604" s="2"/>
      <c r="F604" s="2"/>
      <c r="G604" s="2"/>
    </row>
    <row r="605" spans="1:7" ht="13.2" x14ac:dyDescent="0.25">
      <c r="A605" s="2"/>
      <c r="B605" s="2"/>
      <c r="C605" s="2"/>
      <c r="D605" s="2"/>
      <c r="E605" s="2"/>
      <c r="F605" s="2"/>
      <c r="G605" s="2"/>
    </row>
    <row r="606" spans="1:7" ht="13.2" x14ac:dyDescent="0.25">
      <c r="A606" s="2"/>
      <c r="B606" s="2"/>
      <c r="C606" s="2"/>
      <c r="D606" s="2"/>
      <c r="E606" s="2"/>
      <c r="F606" s="2"/>
      <c r="G606" s="2"/>
    </row>
    <row r="607" spans="1:7" ht="13.2" x14ac:dyDescent="0.25">
      <c r="A607" s="2"/>
      <c r="B607" s="2"/>
      <c r="C607" s="2"/>
      <c r="D607" s="2"/>
      <c r="E607" s="2"/>
      <c r="F607" s="2"/>
      <c r="G607" s="2"/>
    </row>
    <row r="608" spans="1:7" ht="13.2" x14ac:dyDescent="0.25">
      <c r="A608" s="2"/>
      <c r="B608" s="2"/>
      <c r="C608" s="2"/>
      <c r="D608" s="2"/>
      <c r="E608" s="2"/>
      <c r="F608" s="2"/>
      <c r="G608" s="2"/>
    </row>
    <row r="609" spans="1:7" ht="13.2" x14ac:dyDescent="0.25">
      <c r="A609" s="2"/>
      <c r="B609" s="2"/>
      <c r="C609" s="2"/>
      <c r="D609" s="2"/>
      <c r="E609" s="2"/>
      <c r="F609" s="2"/>
      <c r="G609" s="2"/>
    </row>
    <row r="610" spans="1:7" ht="13.2" x14ac:dyDescent="0.25">
      <c r="A610" s="2"/>
      <c r="B610" s="2"/>
      <c r="C610" s="2"/>
      <c r="D610" s="2"/>
      <c r="E610" s="2"/>
      <c r="F610" s="2"/>
      <c r="G610" s="2"/>
    </row>
    <row r="611" spans="1:7" ht="13.2" x14ac:dyDescent="0.25">
      <c r="A611" s="2"/>
      <c r="B611" s="2"/>
      <c r="C611" s="2"/>
      <c r="D611" s="2"/>
      <c r="E611" s="2"/>
      <c r="F611" s="2"/>
      <c r="G611" s="2"/>
    </row>
    <row r="612" spans="1:7" ht="13.2" x14ac:dyDescent="0.25">
      <c r="A612" s="2"/>
      <c r="B612" s="2"/>
      <c r="C612" s="2"/>
      <c r="D612" s="2"/>
      <c r="E612" s="2"/>
      <c r="F612" s="2"/>
      <c r="G612" s="2"/>
    </row>
    <row r="613" spans="1:7" ht="13.2" x14ac:dyDescent="0.25">
      <c r="A613" s="2"/>
      <c r="B613" s="2"/>
      <c r="C613" s="2"/>
      <c r="D613" s="2"/>
      <c r="E613" s="2"/>
      <c r="F613" s="2"/>
      <c r="G613" s="2"/>
    </row>
    <row r="614" spans="1:7" ht="13.2" x14ac:dyDescent="0.25">
      <c r="A614" s="2"/>
      <c r="B614" s="2"/>
      <c r="C614" s="2"/>
      <c r="D614" s="2"/>
      <c r="E614" s="2"/>
      <c r="F614" s="2"/>
      <c r="G614" s="2"/>
    </row>
    <row r="615" spans="1:7" ht="13.2" x14ac:dyDescent="0.25">
      <c r="A615" s="2"/>
      <c r="B615" s="2"/>
      <c r="C615" s="2"/>
      <c r="D615" s="2"/>
      <c r="E615" s="2"/>
      <c r="F615" s="2"/>
      <c r="G615" s="2"/>
    </row>
    <row r="616" spans="1:7" ht="13.2" x14ac:dyDescent="0.25">
      <c r="A616" s="2"/>
      <c r="B616" s="2"/>
      <c r="C616" s="2"/>
      <c r="D616" s="2"/>
      <c r="E616" s="2"/>
      <c r="F616" s="2"/>
      <c r="G616" s="2"/>
    </row>
    <row r="617" spans="1:7" ht="13.2" x14ac:dyDescent="0.25">
      <c r="A617" s="2"/>
      <c r="B617" s="2"/>
      <c r="C617" s="2"/>
      <c r="D617" s="2"/>
      <c r="E617" s="2"/>
      <c r="F617" s="2"/>
      <c r="G617" s="2"/>
    </row>
    <row r="618" spans="1:7" ht="13.2" x14ac:dyDescent="0.25">
      <c r="A618" s="2"/>
      <c r="B618" s="2"/>
      <c r="C618" s="2"/>
      <c r="D618" s="2"/>
      <c r="E618" s="2"/>
      <c r="F618" s="2"/>
      <c r="G618" s="2"/>
    </row>
    <row r="619" spans="1:7" ht="13.2" x14ac:dyDescent="0.25">
      <c r="A619" s="2"/>
      <c r="B619" s="2"/>
      <c r="C619" s="2"/>
      <c r="D619" s="2"/>
      <c r="E619" s="2"/>
      <c r="F619" s="2"/>
      <c r="G619" s="2"/>
    </row>
    <row r="620" spans="1:7" ht="13.2" x14ac:dyDescent="0.25">
      <c r="A620" s="2"/>
      <c r="B620" s="2"/>
      <c r="C620" s="2"/>
      <c r="D620" s="2"/>
      <c r="E620" s="2"/>
      <c r="F620" s="2"/>
      <c r="G620" s="2"/>
    </row>
    <row r="621" spans="1:7" ht="13.2" x14ac:dyDescent="0.25">
      <c r="A621" s="2"/>
      <c r="B621" s="2"/>
      <c r="C621" s="2"/>
      <c r="D621" s="2"/>
      <c r="E621" s="2"/>
      <c r="F621" s="2"/>
      <c r="G621" s="2"/>
    </row>
    <row r="622" spans="1:7" ht="13.2" x14ac:dyDescent="0.25">
      <c r="A622" s="2"/>
      <c r="B622" s="2"/>
      <c r="C622" s="2"/>
      <c r="D622" s="2"/>
      <c r="E622" s="2"/>
      <c r="F622" s="2"/>
      <c r="G622" s="2"/>
    </row>
    <row r="623" spans="1:7" ht="13.2" x14ac:dyDescent="0.25">
      <c r="A623" s="2"/>
      <c r="B623" s="2"/>
      <c r="C623" s="2"/>
      <c r="D623" s="2"/>
      <c r="E623" s="2"/>
      <c r="F623" s="2"/>
      <c r="G623" s="2"/>
    </row>
    <row r="624" spans="1:7" ht="13.2" x14ac:dyDescent="0.25">
      <c r="A624" s="2"/>
      <c r="B624" s="2"/>
      <c r="C624" s="2"/>
      <c r="D624" s="2"/>
      <c r="E624" s="2"/>
      <c r="F624" s="2"/>
      <c r="G624" s="2"/>
    </row>
    <row r="625" spans="1:7" ht="13.2" x14ac:dyDescent="0.25">
      <c r="A625" s="2"/>
      <c r="B625" s="2"/>
      <c r="C625" s="2"/>
      <c r="D625" s="2"/>
      <c r="E625" s="2"/>
      <c r="F625" s="2"/>
      <c r="G625" s="2"/>
    </row>
    <row r="626" spans="1:7" ht="13.2" x14ac:dyDescent="0.25">
      <c r="A626" s="2"/>
      <c r="B626" s="2"/>
      <c r="C626" s="2"/>
      <c r="D626" s="2"/>
      <c r="E626" s="2"/>
      <c r="F626" s="2"/>
      <c r="G626" s="2"/>
    </row>
    <row r="627" spans="1:7" ht="13.2" x14ac:dyDescent="0.25">
      <c r="A627" s="2"/>
      <c r="B627" s="2"/>
      <c r="C627" s="2"/>
      <c r="D627" s="2"/>
      <c r="E627" s="2"/>
      <c r="F627" s="2"/>
      <c r="G627" s="2"/>
    </row>
    <row r="628" spans="1:7" ht="13.2" x14ac:dyDescent="0.25">
      <c r="A628" s="2"/>
      <c r="B628" s="2"/>
      <c r="C628" s="2"/>
      <c r="D628" s="2"/>
      <c r="E628" s="2"/>
      <c r="F628" s="2"/>
      <c r="G628" s="2"/>
    </row>
    <row r="629" spans="1:7" ht="13.2" x14ac:dyDescent="0.25">
      <c r="A629" s="2"/>
      <c r="B629" s="2"/>
      <c r="C629" s="2"/>
      <c r="D629" s="2"/>
      <c r="E629" s="2"/>
      <c r="F629" s="2"/>
      <c r="G629" s="2"/>
    </row>
    <row r="630" spans="1:7" ht="13.2" x14ac:dyDescent="0.25">
      <c r="A630" s="2"/>
      <c r="B630" s="2"/>
      <c r="C630" s="2"/>
      <c r="D630" s="2"/>
      <c r="E630" s="2"/>
      <c r="F630" s="2"/>
      <c r="G630" s="2"/>
    </row>
    <row r="631" spans="1:7" ht="13.2" x14ac:dyDescent="0.25">
      <c r="A631" s="2"/>
      <c r="B631" s="2"/>
      <c r="C631" s="2"/>
      <c r="D631" s="2"/>
      <c r="E631" s="2"/>
      <c r="F631" s="2"/>
      <c r="G631" s="2"/>
    </row>
    <row r="632" spans="1:7" ht="13.2" x14ac:dyDescent="0.25">
      <c r="A632" s="2"/>
      <c r="B632" s="2"/>
      <c r="C632" s="2"/>
      <c r="D632" s="2"/>
      <c r="E632" s="2"/>
      <c r="F632" s="2"/>
      <c r="G632" s="2"/>
    </row>
    <row r="633" spans="1:7" ht="13.2" x14ac:dyDescent="0.25">
      <c r="A633" s="2"/>
      <c r="B633" s="2"/>
      <c r="C633" s="2"/>
      <c r="D633" s="2"/>
      <c r="E633" s="2"/>
      <c r="F633" s="2"/>
      <c r="G633" s="2"/>
    </row>
    <row r="634" spans="1:7" ht="13.2" x14ac:dyDescent="0.25">
      <c r="A634" s="2"/>
      <c r="B634" s="2"/>
      <c r="C634" s="2"/>
      <c r="D634" s="2"/>
      <c r="E634" s="2"/>
      <c r="F634" s="2"/>
      <c r="G634" s="2"/>
    </row>
    <row r="635" spans="1:7" ht="13.2" x14ac:dyDescent="0.25">
      <c r="A635" s="2"/>
      <c r="B635" s="2"/>
      <c r="C635" s="2"/>
      <c r="D635" s="2"/>
      <c r="E635" s="2"/>
      <c r="F635" s="2"/>
      <c r="G635" s="2"/>
    </row>
    <row r="636" spans="1:7" ht="13.2" x14ac:dyDescent="0.25">
      <c r="A636" s="2"/>
      <c r="B636" s="2"/>
      <c r="C636" s="2"/>
      <c r="D636" s="2"/>
      <c r="E636" s="2"/>
      <c r="F636" s="2"/>
      <c r="G636" s="2"/>
    </row>
    <row r="637" spans="1:7" ht="13.2" x14ac:dyDescent="0.25">
      <c r="A637" s="2"/>
      <c r="B637" s="2"/>
      <c r="C637" s="2"/>
      <c r="D637" s="2"/>
      <c r="E637" s="2"/>
      <c r="F637" s="2"/>
      <c r="G637" s="2"/>
    </row>
    <row r="638" spans="1:7" ht="13.2" x14ac:dyDescent="0.25">
      <c r="A638" s="2"/>
      <c r="B638" s="2"/>
      <c r="C638" s="2"/>
      <c r="D638" s="2"/>
      <c r="E638" s="2"/>
      <c r="F638" s="2"/>
      <c r="G638" s="2"/>
    </row>
    <row r="639" spans="1:7" ht="13.2" x14ac:dyDescent="0.25">
      <c r="A639" s="2"/>
      <c r="B639" s="2"/>
      <c r="C639" s="2"/>
      <c r="D639" s="2"/>
      <c r="E639" s="2"/>
      <c r="F639" s="2"/>
      <c r="G639" s="2"/>
    </row>
    <row r="640" spans="1:7" ht="13.2" x14ac:dyDescent="0.25">
      <c r="A640" s="2"/>
      <c r="B640" s="2"/>
      <c r="C640" s="2"/>
      <c r="D640" s="2"/>
      <c r="E640" s="2"/>
      <c r="F640" s="2"/>
      <c r="G640" s="2"/>
    </row>
    <row r="641" spans="1:7" ht="13.2" x14ac:dyDescent="0.25">
      <c r="A641" s="2"/>
      <c r="B641" s="2"/>
      <c r="C641" s="2"/>
      <c r="D641" s="2"/>
      <c r="E641" s="2"/>
      <c r="F641" s="2"/>
      <c r="G641" s="2"/>
    </row>
    <row r="642" spans="1:7" ht="13.2" x14ac:dyDescent="0.25">
      <c r="A642" s="2"/>
      <c r="B642" s="2"/>
      <c r="C642" s="2"/>
      <c r="D642" s="2"/>
      <c r="E642" s="2"/>
      <c r="F642" s="2"/>
      <c r="G642" s="2"/>
    </row>
    <row r="643" spans="1:7" ht="13.2" x14ac:dyDescent="0.25">
      <c r="A643" s="2"/>
      <c r="B643" s="2"/>
      <c r="C643" s="2"/>
      <c r="D643" s="2"/>
      <c r="E643" s="2"/>
      <c r="F643" s="2"/>
      <c r="G643" s="2"/>
    </row>
    <row r="644" spans="1:7" ht="13.2" x14ac:dyDescent="0.25">
      <c r="A644" s="2"/>
      <c r="B644" s="2"/>
      <c r="C644" s="2"/>
      <c r="D644" s="2"/>
      <c r="E644" s="2"/>
      <c r="F644" s="2"/>
      <c r="G644" s="2"/>
    </row>
    <row r="645" spans="1:7" ht="13.2" x14ac:dyDescent="0.25">
      <c r="A645" s="2"/>
      <c r="B645" s="2"/>
      <c r="C645" s="2"/>
      <c r="D645" s="2"/>
      <c r="E645" s="2"/>
      <c r="F645" s="2"/>
      <c r="G645" s="2"/>
    </row>
    <row r="646" spans="1:7" ht="13.2" x14ac:dyDescent="0.25">
      <c r="A646" s="2"/>
      <c r="B646" s="2"/>
      <c r="C646" s="2"/>
      <c r="D646" s="2"/>
      <c r="E646" s="2"/>
      <c r="F646" s="2"/>
      <c r="G646" s="2"/>
    </row>
    <row r="647" spans="1:7" ht="13.2" x14ac:dyDescent="0.25">
      <c r="A647" s="2"/>
      <c r="B647" s="2"/>
      <c r="C647" s="2"/>
      <c r="D647" s="2"/>
      <c r="E647" s="2"/>
      <c r="F647" s="2"/>
      <c r="G647" s="2"/>
    </row>
    <row r="648" spans="1:7" ht="13.2" x14ac:dyDescent="0.25">
      <c r="A648" s="2"/>
      <c r="B648" s="2"/>
      <c r="C648" s="2"/>
      <c r="D648" s="2"/>
      <c r="E648" s="2"/>
      <c r="F648" s="2"/>
      <c r="G648" s="2"/>
    </row>
    <row r="649" spans="1:7" ht="13.2" x14ac:dyDescent="0.25">
      <c r="A649" s="2"/>
      <c r="B649" s="2"/>
      <c r="C649" s="2"/>
      <c r="D649" s="2"/>
      <c r="E649" s="2"/>
      <c r="F649" s="2"/>
      <c r="G649" s="2"/>
    </row>
    <row r="650" spans="1:7" ht="13.2" x14ac:dyDescent="0.25">
      <c r="A650" s="2"/>
      <c r="B650" s="2"/>
      <c r="C650" s="2"/>
      <c r="D650" s="2"/>
      <c r="E650" s="2"/>
      <c r="F650" s="2"/>
      <c r="G650" s="2"/>
    </row>
    <row r="651" spans="1:7" ht="13.2" x14ac:dyDescent="0.25">
      <c r="A651" s="2"/>
      <c r="B651" s="2"/>
      <c r="C651" s="2"/>
      <c r="D651" s="2"/>
      <c r="E651" s="2"/>
      <c r="F651" s="2"/>
      <c r="G651" s="2"/>
    </row>
    <row r="652" spans="1:7" ht="13.2" x14ac:dyDescent="0.25">
      <c r="A652" s="2"/>
      <c r="B652" s="2"/>
      <c r="C652" s="2"/>
      <c r="D652" s="2"/>
      <c r="E652" s="2"/>
      <c r="F652" s="2"/>
      <c r="G652" s="2"/>
    </row>
    <row r="653" spans="1:7" ht="13.2" x14ac:dyDescent="0.25">
      <c r="A653" s="2"/>
      <c r="B653" s="2"/>
      <c r="C653" s="2"/>
      <c r="D653" s="2"/>
      <c r="E653" s="2"/>
      <c r="F653" s="2"/>
      <c r="G653" s="2"/>
    </row>
    <row r="654" spans="1:7" ht="13.2" x14ac:dyDescent="0.25">
      <c r="A654" s="2"/>
      <c r="B654" s="2"/>
      <c r="C654" s="2"/>
      <c r="D654" s="2"/>
      <c r="E654" s="2"/>
      <c r="F654" s="2"/>
      <c r="G654" s="2"/>
    </row>
    <row r="655" spans="1:7" ht="13.2" x14ac:dyDescent="0.25">
      <c r="A655" s="2"/>
      <c r="B655" s="2"/>
      <c r="C655" s="2"/>
      <c r="D655" s="2"/>
      <c r="E655" s="2"/>
      <c r="F655" s="2"/>
      <c r="G655" s="2"/>
    </row>
    <row r="656" spans="1:7" ht="13.2" x14ac:dyDescent="0.25">
      <c r="A656" s="2"/>
      <c r="B656" s="2"/>
      <c r="C656" s="2"/>
      <c r="D656" s="2"/>
      <c r="E656" s="2"/>
      <c r="F656" s="2"/>
      <c r="G656" s="2"/>
    </row>
    <row r="657" spans="1:7" ht="13.2" x14ac:dyDescent="0.25">
      <c r="A657" s="2"/>
      <c r="B657" s="2"/>
      <c r="C657" s="2"/>
      <c r="D657" s="2"/>
      <c r="E657" s="2"/>
      <c r="F657" s="2"/>
      <c r="G657" s="2"/>
    </row>
    <row r="658" spans="1:7" ht="13.2" x14ac:dyDescent="0.25">
      <c r="A658" s="2"/>
      <c r="B658" s="2"/>
      <c r="C658" s="2"/>
      <c r="D658" s="2"/>
      <c r="E658" s="2"/>
      <c r="F658" s="2"/>
      <c r="G658" s="2"/>
    </row>
    <row r="659" spans="1:7" ht="13.2" x14ac:dyDescent="0.25">
      <c r="A659" s="2"/>
      <c r="B659" s="2"/>
      <c r="C659" s="2"/>
      <c r="D659" s="2"/>
      <c r="E659" s="2"/>
      <c r="F659" s="2"/>
      <c r="G659" s="2"/>
    </row>
    <row r="660" spans="1:7" ht="13.2" x14ac:dyDescent="0.25">
      <c r="A660" s="2"/>
      <c r="B660" s="2"/>
      <c r="C660" s="2"/>
      <c r="D660" s="2"/>
      <c r="E660" s="2"/>
      <c r="F660" s="2"/>
      <c r="G660" s="2"/>
    </row>
    <row r="661" spans="1:7" ht="13.2" x14ac:dyDescent="0.25">
      <c r="A661" s="2"/>
      <c r="B661" s="2"/>
      <c r="C661" s="2"/>
      <c r="D661" s="2"/>
      <c r="E661" s="2"/>
      <c r="F661" s="2"/>
      <c r="G661" s="2"/>
    </row>
    <row r="662" spans="1:7" ht="13.2" x14ac:dyDescent="0.25">
      <c r="A662" s="2"/>
      <c r="B662" s="2"/>
      <c r="C662" s="2"/>
      <c r="D662" s="2"/>
      <c r="E662" s="2"/>
      <c r="F662" s="2"/>
      <c r="G662" s="2"/>
    </row>
    <row r="663" spans="1:7" ht="13.2" x14ac:dyDescent="0.25">
      <c r="A663" s="2"/>
      <c r="B663" s="2"/>
      <c r="C663" s="2"/>
      <c r="D663" s="2"/>
      <c r="E663" s="2"/>
      <c r="F663" s="2"/>
      <c r="G663" s="2"/>
    </row>
    <row r="664" spans="1:7" ht="13.2" x14ac:dyDescent="0.25">
      <c r="A664" s="2"/>
      <c r="B664" s="2"/>
      <c r="C664" s="2"/>
      <c r="D664" s="2"/>
      <c r="E664" s="2"/>
      <c r="F664" s="2"/>
      <c r="G664" s="2"/>
    </row>
    <row r="665" spans="1:7" ht="13.2" x14ac:dyDescent="0.25">
      <c r="A665" s="2"/>
      <c r="B665" s="2"/>
      <c r="C665" s="2"/>
      <c r="D665" s="2"/>
      <c r="E665" s="2"/>
      <c r="F665" s="2"/>
      <c r="G665" s="2"/>
    </row>
    <row r="666" spans="1:7" ht="13.2" x14ac:dyDescent="0.25">
      <c r="A666" s="2"/>
      <c r="B666" s="2"/>
      <c r="C666" s="2"/>
      <c r="D666" s="2"/>
      <c r="E666" s="2"/>
      <c r="F666" s="2"/>
      <c r="G666" s="2"/>
    </row>
    <row r="667" spans="1:7" ht="13.2" x14ac:dyDescent="0.25">
      <c r="A667" s="2"/>
      <c r="B667" s="2"/>
      <c r="C667" s="2"/>
      <c r="D667" s="2"/>
      <c r="E667" s="2"/>
      <c r="F667" s="2"/>
      <c r="G667" s="2"/>
    </row>
    <row r="668" spans="1:7" ht="13.2" x14ac:dyDescent="0.25">
      <c r="A668" s="2"/>
      <c r="B668" s="2"/>
      <c r="C668" s="2"/>
      <c r="D668" s="2"/>
      <c r="E668" s="2"/>
      <c r="F668" s="2"/>
      <c r="G668" s="2"/>
    </row>
    <row r="669" spans="1:7" ht="13.2" x14ac:dyDescent="0.25">
      <c r="A669" s="2"/>
      <c r="B669" s="2"/>
      <c r="C669" s="2"/>
      <c r="D669" s="2"/>
      <c r="E669" s="2"/>
      <c r="F669" s="2"/>
      <c r="G669" s="2"/>
    </row>
    <row r="670" spans="1:7" ht="13.2" x14ac:dyDescent="0.25">
      <c r="A670" s="2"/>
      <c r="B670" s="2"/>
      <c r="C670" s="2"/>
      <c r="D670" s="2"/>
      <c r="E670" s="2"/>
      <c r="F670" s="2"/>
      <c r="G670" s="2"/>
    </row>
    <row r="671" spans="1:7" ht="13.2" x14ac:dyDescent="0.25">
      <c r="A671" s="2"/>
      <c r="B671" s="2"/>
      <c r="C671" s="2"/>
      <c r="D671" s="2"/>
      <c r="E671" s="2"/>
      <c r="F671" s="2"/>
      <c r="G671" s="2"/>
    </row>
    <row r="672" spans="1:7" ht="13.2" x14ac:dyDescent="0.25">
      <c r="A672" s="2"/>
      <c r="B672" s="2"/>
      <c r="C672" s="2"/>
      <c r="D672" s="2"/>
      <c r="E672" s="2"/>
      <c r="F672" s="2"/>
      <c r="G672" s="2"/>
    </row>
    <row r="673" spans="1:7" ht="13.2" x14ac:dyDescent="0.25">
      <c r="A673" s="2"/>
      <c r="B673" s="2"/>
      <c r="C673" s="2"/>
      <c r="D673" s="2"/>
      <c r="E673" s="2"/>
      <c r="F673" s="2"/>
      <c r="G673" s="2"/>
    </row>
    <row r="674" spans="1:7" ht="13.2" x14ac:dyDescent="0.25">
      <c r="A674" s="2"/>
      <c r="B674" s="2"/>
      <c r="C674" s="2"/>
      <c r="D674" s="2"/>
      <c r="E674" s="2"/>
      <c r="F674" s="2"/>
      <c r="G674" s="2"/>
    </row>
    <row r="675" spans="1:7" ht="13.2" x14ac:dyDescent="0.25">
      <c r="A675" s="2"/>
      <c r="B675" s="2"/>
      <c r="C675" s="2"/>
      <c r="D675" s="2"/>
      <c r="E675" s="2"/>
      <c r="F675" s="2"/>
      <c r="G675" s="2"/>
    </row>
    <row r="676" spans="1:7" ht="13.2" x14ac:dyDescent="0.25">
      <c r="A676" s="2"/>
      <c r="B676" s="2"/>
      <c r="C676" s="2"/>
      <c r="D676" s="2"/>
      <c r="E676" s="2"/>
      <c r="F676" s="2"/>
      <c r="G676" s="2"/>
    </row>
    <row r="677" spans="1:7" ht="13.2" x14ac:dyDescent="0.25">
      <c r="A677" s="2"/>
      <c r="B677" s="2"/>
      <c r="C677" s="2"/>
      <c r="D677" s="2"/>
      <c r="E677" s="2"/>
      <c r="F677" s="2"/>
      <c r="G677" s="2"/>
    </row>
    <row r="678" spans="1:7" ht="13.2" x14ac:dyDescent="0.25">
      <c r="A678" s="2"/>
      <c r="B678" s="2"/>
      <c r="C678" s="2"/>
      <c r="D678" s="2"/>
      <c r="E678" s="2"/>
      <c r="F678" s="2"/>
      <c r="G678" s="2"/>
    </row>
    <row r="679" spans="1:7" ht="13.2" x14ac:dyDescent="0.25">
      <c r="A679" s="2"/>
      <c r="B679" s="2"/>
      <c r="C679" s="2"/>
      <c r="D679" s="2"/>
      <c r="E679" s="2"/>
      <c r="F679" s="2"/>
      <c r="G679" s="2"/>
    </row>
    <row r="680" spans="1:7" ht="13.2" x14ac:dyDescent="0.25">
      <c r="A680" s="2"/>
      <c r="B680" s="2"/>
      <c r="C680" s="2"/>
      <c r="D680" s="2"/>
      <c r="E680" s="2"/>
      <c r="F680" s="2"/>
      <c r="G680" s="2"/>
    </row>
    <row r="681" spans="1:7" ht="13.2" x14ac:dyDescent="0.25">
      <c r="A681" s="2"/>
      <c r="B681" s="2"/>
      <c r="C681" s="2"/>
      <c r="D681" s="2"/>
      <c r="E681" s="2"/>
      <c r="F681" s="2"/>
      <c r="G681" s="2"/>
    </row>
    <row r="682" spans="1:7" ht="13.2" x14ac:dyDescent="0.25">
      <c r="A682" s="2"/>
      <c r="B682" s="2"/>
      <c r="C682" s="2"/>
      <c r="D682" s="2"/>
      <c r="E682" s="2"/>
      <c r="F682" s="2"/>
      <c r="G682" s="2"/>
    </row>
    <row r="683" spans="1:7" ht="13.2" x14ac:dyDescent="0.25">
      <c r="A683" s="2"/>
      <c r="B683" s="2"/>
      <c r="C683" s="2"/>
      <c r="D683" s="2"/>
      <c r="E683" s="2"/>
      <c r="F683" s="2"/>
      <c r="G683" s="2"/>
    </row>
    <row r="684" spans="1:7" ht="13.2" x14ac:dyDescent="0.25">
      <c r="A684" s="2"/>
      <c r="B684" s="2"/>
      <c r="C684" s="2"/>
      <c r="D684" s="2"/>
      <c r="E684" s="2"/>
      <c r="F684" s="2"/>
      <c r="G684" s="2"/>
    </row>
    <row r="685" spans="1:7" ht="13.2" x14ac:dyDescent="0.25">
      <c r="A685" s="2"/>
      <c r="B685" s="2"/>
      <c r="C685" s="2"/>
      <c r="D685" s="2"/>
      <c r="E685" s="2"/>
      <c r="F685" s="2"/>
      <c r="G685" s="2"/>
    </row>
    <row r="686" spans="1:7" ht="13.2" x14ac:dyDescent="0.25">
      <c r="A686" s="2"/>
      <c r="B686" s="2"/>
      <c r="C686" s="2"/>
      <c r="D686" s="2"/>
      <c r="E686" s="2"/>
      <c r="F686" s="2"/>
      <c r="G686" s="2"/>
    </row>
    <row r="687" spans="1:7" ht="13.2" x14ac:dyDescent="0.25">
      <c r="A687" s="2"/>
      <c r="B687" s="2"/>
      <c r="C687" s="2"/>
      <c r="D687" s="2"/>
      <c r="E687" s="2"/>
      <c r="F687" s="2"/>
      <c r="G687" s="2"/>
    </row>
    <row r="688" spans="1:7" ht="13.2" x14ac:dyDescent="0.25">
      <c r="A688" s="2"/>
      <c r="B688" s="2"/>
      <c r="C688" s="2"/>
      <c r="D688" s="2"/>
      <c r="E688" s="2"/>
      <c r="F688" s="2"/>
      <c r="G688" s="2"/>
    </row>
    <row r="689" spans="1:7" ht="13.2" x14ac:dyDescent="0.25">
      <c r="A689" s="2"/>
      <c r="B689" s="2"/>
      <c r="C689" s="2"/>
      <c r="D689" s="2"/>
      <c r="E689" s="2"/>
      <c r="F689" s="2"/>
      <c r="G689" s="2"/>
    </row>
    <row r="690" spans="1:7" ht="13.2" x14ac:dyDescent="0.25">
      <c r="A690" s="2"/>
      <c r="B690" s="2"/>
      <c r="C690" s="2"/>
      <c r="D690" s="2"/>
      <c r="E690" s="2"/>
      <c r="F690" s="2"/>
      <c r="G690" s="2"/>
    </row>
    <row r="691" spans="1:7" ht="13.2" x14ac:dyDescent="0.25">
      <c r="A691" s="2"/>
      <c r="B691" s="2"/>
      <c r="C691" s="2"/>
      <c r="D691" s="2"/>
      <c r="E691" s="2"/>
      <c r="F691" s="2"/>
      <c r="G691" s="2"/>
    </row>
    <row r="692" spans="1:7" ht="13.2" x14ac:dyDescent="0.25">
      <c r="A692" s="2"/>
      <c r="B692" s="2"/>
      <c r="C692" s="2"/>
      <c r="D692" s="2"/>
      <c r="E692" s="2"/>
      <c r="F692" s="2"/>
      <c r="G692" s="2"/>
    </row>
    <row r="693" spans="1:7" ht="13.2" x14ac:dyDescent="0.25">
      <c r="A693" s="2"/>
      <c r="B693" s="2"/>
      <c r="C693" s="2"/>
      <c r="D693" s="2"/>
      <c r="E693" s="2"/>
      <c r="F693" s="2"/>
      <c r="G693" s="2"/>
    </row>
    <row r="694" spans="1:7" ht="13.2" x14ac:dyDescent="0.25">
      <c r="A694" s="2"/>
      <c r="B694" s="2"/>
      <c r="C694" s="2"/>
      <c r="D694" s="2"/>
      <c r="E694" s="2"/>
      <c r="F694" s="2"/>
      <c r="G694" s="2"/>
    </row>
    <row r="695" spans="1:7" ht="13.2" x14ac:dyDescent="0.25">
      <c r="A695" s="2"/>
      <c r="B695" s="2"/>
      <c r="C695" s="2"/>
      <c r="D695" s="2"/>
      <c r="E695" s="2"/>
      <c r="F695" s="2"/>
      <c r="G695" s="2"/>
    </row>
    <row r="696" spans="1:7" ht="13.2" x14ac:dyDescent="0.25">
      <c r="A696" s="2"/>
      <c r="B696" s="2"/>
      <c r="C696" s="2"/>
      <c r="D696" s="2"/>
      <c r="E696" s="2"/>
      <c r="F696" s="2"/>
      <c r="G696" s="2"/>
    </row>
    <row r="697" spans="1:7" ht="13.2" x14ac:dyDescent="0.25">
      <c r="A697" s="2"/>
      <c r="B697" s="2"/>
      <c r="C697" s="2"/>
      <c r="D697" s="2"/>
      <c r="E697" s="2"/>
      <c r="F697" s="2"/>
      <c r="G697" s="2"/>
    </row>
    <row r="698" spans="1:7" ht="13.2" x14ac:dyDescent="0.25">
      <c r="A698" s="2"/>
      <c r="B698" s="2"/>
      <c r="C698" s="2"/>
      <c r="D698" s="2"/>
      <c r="E698" s="2"/>
      <c r="F698" s="2"/>
      <c r="G698" s="2"/>
    </row>
    <row r="699" spans="1:7" ht="13.2" x14ac:dyDescent="0.25">
      <c r="A699" s="2"/>
      <c r="B699" s="2"/>
      <c r="C699" s="2"/>
      <c r="D699" s="2"/>
      <c r="E699" s="2"/>
      <c r="F699" s="2"/>
      <c r="G699" s="2"/>
    </row>
    <row r="700" spans="1:7" ht="13.2" x14ac:dyDescent="0.25">
      <c r="A700" s="2"/>
      <c r="B700" s="2"/>
      <c r="C700" s="2"/>
      <c r="D700" s="2"/>
      <c r="E700" s="2"/>
      <c r="F700" s="2"/>
      <c r="G700" s="2"/>
    </row>
    <row r="701" spans="1:7" ht="13.2" x14ac:dyDescent="0.25">
      <c r="A701" s="2"/>
      <c r="B701" s="2"/>
      <c r="C701" s="2"/>
      <c r="D701" s="2"/>
      <c r="E701" s="2"/>
      <c r="F701" s="2"/>
      <c r="G701" s="2"/>
    </row>
    <row r="702" spans="1:7" ht="13.2" x14ac:dyDescent="0.25">
      <c r="A702" s="2"/>
      <c r="B702" s="2"/>
      <c r="C702" s="2"/>
      <c r="D702" s="2"/>
      <c r="E702" s="2"/>
      <c r="F702" s="2"/>
      <c r="G702" s="2"/>
    </row>
    <row r="703" spans="1:7" ht="13.2" x14ac:dyDescent="0.25">
      <c r="A703" s="2"/>
      <c r="B703" s="2"/>
      <c r="C703" s="2"/>
      <c r="D703" s="2"/>
      <c r="E703" s="2"/>
      <c r="F703" s="2"/>
      <c r="G703" s="2"/>
    </row>
    <row r="704" spans="1:7" ht="13.2" x14ac:dyDescent="0.25">
      <c r="A704" s="2"/>
      <c r="B704" s="2"/>
      <c r="C704" s="2"/>
      <c r="D704" s="2"/>
      <c r="E704" s="2"/>
      <c r="F704" s="2"/>
      <c r="G704" s="2"/>
    </row>
    <row r="705" spans="1:7" ht="13.2" x14ac:dyDescent="0.25">
      <c r="A705" s="2"/>
      <c r="B705" s="2"/>
      <c r="C705" s="2"/>
      <c r="D705" s="2"/>
      <c r="E705" s="2"/>
      <c r="F705" s="2"/>
      <c r="G705" s="2"/>
    </row>
    <row r="706" spans="1:7" ht="13.2" x14ac:dyDescent="0.25">
      <c r="A706" s="2"/>
      <c r="B706" s="2"/>
      <c r="C706" s="2"/>
      <c r="D706" s="2"/>
      <c r="E706" s="2"/>
      <c r="F706" s="2"/>
      <c r="G706" s="2"/>
    </row>
    <row r="707" spans="1:7" ht="13.2" x14ac:dyDescent="0.25">
      <c r="A707" s="2"/>
      <c r="B707" s="2"/>
      <c r="C707" s="2"/>
      <c r="D707" s="2"/>
      <c r="E707" s="2"/>
      <c r="F707" s="2"/>
      <c r="G707" s="2"/>
    </row>
    <row r="708" spans="1:7" ht="13.2" x14ac:dyDescent="0.25">
      <c r="A708" s="2"/>
      <c r="B708" s="2"/>
      <c r="C708" s="2"/>
      <c r="D708" s="2"/>
      <c r="E708" s="2"/>
      <c r="F708" s="2"/>
      <c r="G708" s="2"/>
    </row>
    <row r="709" spans="1:7" ht="13.2" x14ac:dyDescent="0.25">
      <c r="A709" s="2"/>
      <c r="B709" s="2"/>
      <c r="C709" s="2"/>
      <c r="D709" s="2"/>
      <c r="E709" s="2"/>
      <c r="F709" s="2"/>
      <c r="G709" s="2"/>
    </row>
    <row r="710" spans="1:7" ht="13.2" x14ac:dyDescent="0.25">
      <c r="A710" s="2"/>
      <c r="B710" s="2"/>
      <c r="C710" s="2"/>
      <c r="D710" s="2"/>
      <c r="E710" s="2"/>
      <c r="F710" s="2"/>
      <c r="G710" s="2"/>
    </row>
    <row r="711" spans="1:7" ht="13.2" x14ac:dyDescent="0.25">
      <c r="A711" s="2"/>
      <c r="B711" s="2"/>
      <c r="C711" s="2"/>
      <c r="D711" s="2"/>
      <c r="E711" s="2"/>
      <c r="F711" s="2"/>
      <c r="G711" s="2"/>
    </row>
    <row r="712" spans="1:7" ht="13.2" x14ac:dyDescent="0.25">
      <c r="A712" s="2"/>
      <c r="B712" s="2"/>
      <c r="C712" s="2"/>
      <c r="D712" s="2"/>
      <c r="E712" s="2"/>
      <c r="F712" s="2"/>
      <c r="G712" s="2"/>
    </row>
    <row r="713" spans="1:7" ht="13.2" x14ac:dyDescent="0.25">
      <c r="A713" s="2"/>
      <c r="B713" s="2"/>
      <c r="C713" s="2"/>
      <c r="D713" s="2"/>
      <c r="E713" s="2"/>
      <c r="F713" s="2"/>
      <c r="G713" s="2"/>
    </row>
    <row r="714" spans="1:7" ht="13.2" x14ac:dyDescent="0.25">
      <c r="A714" s="2"/>
      <c r="B714" s="2"/>
      <c r="C714" s="2"/>
      <c r="D714" s="2"/>
      <c r="E714" s="2"/>
      <c r="F714" s="2"/>
      <c r="G714" s="2"/>
    </row>
    <row r="715" spans="1:7" ht="13.2" x14ac:dyDescent="0.25">
      <c r="A715" s="2"/>
      <c r="B715" s="2"/>
      <c r="C715" s="2"/>
      <c r="D715" s="2"/>
      <c r="E715" s="2"/>
      <c r="F715" s="2"/>
      <c r="G715" s="2"/>
    </row>
    <row r="716" spans="1:7" ht="13.2" x14ac:dyDescent="0.25">
      <c r="A716" s="2"/>
      <c r="B716" s="2"/>
      <c r="C716" s="2"/>
      <c r="D716" s="2"/>
      <c r="E716" s="2"/>
      <c r="F716" s="2"/>
      <c r="G716" s="2"/>
    </row>
    <row r="717" spans="1:7" ht="13.2" x14ac:dyDescent="0.25">
      <c r="A717" s="2"/>
      <c r="B717" s="2"/>
      <c r="C717" s="2"/>
      <c r="D717" s="2"/>
      <c r="E717" s="2"/>
      <c r="F717" s="2"/>
      <c r="G717" s="2"/>
    </row>
    <row r="718" spans="1:7" ht="13.2" x14ac:dyDescent="0.25">
      <c r="A718" s="2"/>
      <c r="B718" s="2"/>
      <c r="C718" s="2"/>
      <c r="D718" s="2"/>
      <c r="E718" s="2"/>
      <c r="F718" s="2"/>
      <c r="G718" s="2"/>
    </row>
    <row r="719" spans="1:7" ht="13.2" x14ac:dyDescent="0.25">
      <c r="A719" s="2"/>
      <c r="B719" s="2"/>
      <c r="C719" s="2"/>
      <c r="D719" s="2"/>
      <c r="E719" s="2"/>
      <c r="F719" s="2"/>
      <c r="G719" s="2"/>
    </row>
    <row r="720" spans="1:7" ht="13.2" x14ac:dyDescent="0.25">
      <c r="A720" s="2"/>
      <c r="B720" s="2"/>
      <c r="C720" s="2"/>
      <c r="D720" s="2"/>
      <c r="E720" s="2"/>
      <c r="F720" s="2"/>
      <c r="G720" s="2"/>
    </row>
    <row r="721" spans="1:7" ht="13.2" x14ac:dyDescent="0.25">
      <c r="A721" s="2"/>
      <c r="B721" s="2"/>
      <c r="C721" s="2"/>
      <c r="D721" s="2"/>
      <c r="E721" s="2"/>
      <c r="F721" s="2"/>
      <c r="G721" s="2"/>
    </row>
    <row r="722" spans="1:7" ht="13.2" x14ac:dyDescent="0.25">
      <c r="A722" s="2"/>
      <c r="B722" s="2"/>
      <c r="C722" s="2"/>
      <c r="D722" s="2"/>
      <c r="E722" s="2"/>
      <c r="F722" s="2"/>
      <c r="G722" s="2"/>
    </row>
    <row r="723" spans="1:7" ht="13.2" x14ac:dyDescent="0.25">
      <c r="A723" s="2"/>
      <c r="B723" s="2"/>
      <c r="C723" s="2"/>
      <c r="D723" s="2"/>
      <c r="E723" s="2"/>
      <c r="F723" s="2"/>
      <c r="G723" s="2"/>
    </row>
    <row r="724" spans="1:7" ht="13.2" x14ac:dyDescent="0.25">
      <c r="A724" s="2"/>
      <c r="B724" s="2"/>
      <c r="C724" s="2"/>
      <c r="D724" s="2"/>
      <c r="E724" s="2"/>
      <c r="F724" s="2"/>
      <c r="G724" s="2"/>
    </row>
    <row r="725" spans="1:7" ht="13.2" x14ac:dyDescent="0.25">
      <c r="A725" s="2"/>
      <c r="B725" s="2"/>
      <c r="C725" s="2"/>
      <c r="D725" s="2"/>
      <c r="E725" s="2"/>
      <c r="F725" s="2"/>
      <c r="G725" s="2"/>
    </row>
    <row r="726" spans="1:7" ht="13.2" x14ac:dyDescent="0.25">
      <c r="A726" s="2"/>
      <c r="B726" s="2"/>
      <c r="C726" s="2"/>
      <c r="D726" s="2"/>
      <c r="E726" s="2"/>
      <c r="F726" s="2"/>
      <c r="G726" s="2"/>
    </row>
    <row r="727" spans="1:7" ht="13.2" x14ac:dyDescent="0.25">
      <c r="A727" s="2"/>
      <c r="B727" s="2"/>
      <c r="C727" s="2"/>
      <c r="D727" s="2"/>
      <c r="E727" s="2"/>
      <c r="F727" s="2"/>
      <c r="G727" s="2"/>
    </row>
    <row r="728" spans="1:7" ht="13.2" x14ac:dyDescent="0.25">
      <c r="A728" s="2"/>
      <c r="B728" s="2"/>
      <c r="C728" s="2"/>
      <c r="D728" s="2"/>
      <c r="E728" s="2"/>
      <c r="F728" s="2"/>
      <c r="G728" s="2"/>
    </row>
    <row r="729" spans="1:7" ht="13.2" x14ac:dyDescent="0.25">
      <c r="A729" s="2"/>
      <c r="B729" s="2"/>
      <c r="C729" s="2"/>
      <c r="D729" s="2"/>
      <c r="E729" s="2"/>
      <c r="F729" s="2"/>
      <c r="G729" s="2"/>
    </row>
    <row r="730" spans="1:7" ht="13.2" x14ac:dyDescent="0.25">
      <c r="A730" s="2"/>
      <c r="B730" s="2"/>
      <c r="C730" s="2"/>
      <c r="D730" s="2"/>
      <c r="E730" s="2"/>
      <c r="F730" s="2"/>
      <c r="G730" s="2"/>
    </row>
    <row r="731" spans="1:7" ht="13.2" x14ac:dyDescent="0.25">
      <c r="A731" s="2"/>
      <c r="B731" s="2"/>
      <c r="C731" s="2"/>
      <c r="D731" s="2"/>
      <c r="E731" s="2"/>
      <c r="F731" s="2"/>
      <c r="G731" s="2"/>
    </row>
    <row r="732" spans="1:7" ht="13.2" x14ac:dyDescent="0.25">
      <c r="A732" s="2"/>
      <c r="B732" s="2"/>
      <c r="C732" s="2"/>
      <c r="D732" s="2"/>
      <c r="E732" s="2"/>
      <c r="F732" s="2"/>
      <c r="G732" s="2"/>
    </row>
    <row r="733" spans="1:7" ht="13.2" x14ac:dyDescent="0.25">
      <c r="A733" s="2"/>
      <c r="B733" s="2"/>
      <c r="C733" s="2"/>
      <c r="D733" s="2"/>
      <c r="E733" s="2"/>
      <c r="F733" s="2"/>
      <c r="G733" s="2"/>
    </row>
    <row r="734" spans="1:7" ht="13.2" x14ac:dyDescent="0.25">
      <c r="A734" s="2"/>
      <c r="B734" s="2"/>
      <c r="C734" s="2"/>
      <c r="D734" s="2"/>
      <c r="E734" s="2"/>
      <c r="F734" s="2"/>
      <c r="G734" s="2"/>
    </row>
    <row r="735" spans="1:7" ht="13.2" x14ac:dyDescent="0.25">
      <c r="A735" s="2"/>
      <c r="B735" s="2"/>
      <c r="C735" s="2"/>
      <c r="D735" s="2"/>
      <c r="E735" s="2"/>
      <c r="F735" s="2"/>
      <c r="G735" s="2"/>
    </row>
    <row r="736" spans="1:7" ht="13.2" x14ac:dyDescent="0.25">
      <c r="A736" s="2"/>
      <c r="B736" s="2"/>
      <c r="C736" s="2"/>
      <c r="D736" s="2"/>
      <c r="E736" s="2"/>
      <c r="F736" s="2"/>
      <c r="G736" s="2"/>
    </row>
    <row r="737" spans="1:7" ht="13.2" x14ac:dyDescent="0.25">
      <c r="A737" s="2"/>
      <c r="B737" s="2"/>
      <c r="C737" s="2"/>
      <c r="D737" s="2"/>
      <c r="E737" s="2"/>
      <c r="F737" s="2"/>
      <c r="G737" s="2"/>
    </row>
    <row r="738" spans="1:7" ht="13.2" x14ac:dyDescent="0.25">
      <c r="A738" s="2"/>
      <c r="B738" s="2"/>
      <c r="C738" s="2"/>
      <c r="D738" s="2"/>
      <c r="E738" s="2"/>
      <c r="F738" s="2"/>
      <c r="G738" s="2"/>
    </row>
    <row r="739" spans="1:7" ht="13.2" x14ac:dyDescent="0.25">
      <c r="A739" s="2"/>
      <c r="B739" s="2"/>
      <c r="C739" s="2"/>
      <c r="D739" s="2"/>
      <c r="E739" s="2"/>
      <c r="F739" s="2"/>
      <c r="G739" s="2"/>
    </row>
    <row r="740" spans="1:7" ht="13.2" x14ac:dyDescent="0.25">
      <c r="A740" s="2"/>
      <c r="B740" s="2"/>
      <c r="C740" s="2"/>
      <c r="D740" s="2"/>
      <c r="E740" s="2"/>
      <c r="F740" s="2"/>
      <c r="G740" s="2"/>
    </row>
    <row r="741" spans="1:7" ht="13.2" x14ac:dyDescent="0.25">
      <c r="A741" s="2"/>
      <c r="B741" s="2"/>
      <c r="C741" s="2"/>
      <c r="D741" s="2"/>
      <c r="E741" s="2"/>
      <c r="F741" s="2"/>
      <c r="G741" s="2"/>
    </row>
    <row r="742" spans="1:7" ht="13.2" x14ac:dyDescent="0.25">
      <c r="A742" s="2"/>
      <c r="B742" s="2"/>
      <c r="C742" s="2"/>
      <c r="D742" s="2"/>
      <c r="E742" s="2"/>
      <c r="F742" s="2"/>
      <c r="G742" s="2"/>
    </row>
    <row r="743" spans="1:7" ht="13.2" x14ac:dyDescent="0.25">
      <c r="A743" s="2"/>
      <c r="B743" s="2"/>
      <c r="C743" s="2"/>
      <c r="D743" s="2"/>
      <c r="E743" s="2"/>
      <c r="F743" s="2"/>
      <c r="G743" s="2"/>
    </row>
    <row r="744" spans="1:7" ht="13.2" x14ac:dyDescent="0.25">
      <c r="A744" s="2"/>
      <c r="B744" s="2"/>
      <c r="C744" s="2"/>
      <c r="D744" s="2"/>
      <c r="E744" s="2"/>
      <c r="F744" s="2"/>
      <c r="G744" s="2"/>
    </row>
    <row r="745" spans="1:7" ht="13.2" x14ac:dyDescent="0.25">
      <c r="A745" s="2"/>
      <c r="B745" s="2"/>
      <c r="C745" s="2"/>
      <c r="D745" s="2"/>
      <c r="E745" s="2"/>
      <c r="F745" s="2"/>
      <c r="G745" s="2"/>
    </row>
    <row r="746" spans="1:7" ht="13.2" x14ac:dyDescent="0.25">
      <c r="A746" s="2"/>
      <c r="B746" s="2"/>
      <c r="C746" s="2"/>
      <c r="D746" s="2"/>
      <c r="E746" s="2"/>
      <c r="F746" s="2"/>
      <c r="G746" s="2"/>
    </row>
    <row r="747" spans="1:7" ht="13.2" x14ac:dyDescent="0.25">
      <c r="A747" s="2"/>
      <c r="B747" s="2"/>
      <c r="C747" s="2"/>
      <c r="D747" s="2"/>
      <c r="E747" s="2"/>
      <c r="F747" s="2"/>
      <c r="G747" s="2"/>
    </row>
    <row r="748" spans="1:7" ht="13.2" x14ac:dyDescent="0.25">
      <c r="A748" s="2"/>
      <c r="B748" s="2"/>
      <c r="C748" s="2"/>
      <c r="D748" s="2"/>
      <c r="E748" s="2"/>
      <c r="F748" s="2"/>
      <c r="G748" s="2"/>
    </row>
    <row r="749" spans="1:7" ht="13.2" x14ac:dyDescent="0.25">
      <c r="A749" s="2"/>
      <c r="B749" s="2"/>
      <c r="C749" s="2"/>
      <c r="D749" s="2"/>
      <c r="E749" s="2"/>
      <c r="F749" s="2"/>
      <c r="G749" s="2"/>
    </row>
    <row r="750" spans="1:7" ht="13.2" x14ac:dyDescent="0.25">
      <c r="A750" s="2"/>
      <c r="B750" s="2"/>
      <c r="C750" s="2"/>
      <c r="D750" s="2"/>
      <c r="E750" s="2"/>
      <c r="F750" s="2"/>
      <c r="G750" s="2"/>
    </row>
    <row r="751" spans="1:7" ht="13.2" x14ac:dyDescent="0.25">
      <c r="A751" s="2"/>
      <c r="B751" s="2"/>
      <c r="C751" s="2"/>
      <c r="D751" s="2"/>
      <c r="E751" s="2"/>
      <c r="F751" s="2"/>
      <c r="G751" s="2"/>
    </row>
    <row r="752" spans="1:7" ht="13.2" x14ac:dyDescent="0.25">
      <c r="A752" s="2"/>
      <c r="B752" s="2"/>
      <c r="C752" s="2"/>
      <c r="D752" s="2"/>
      <c r="E752" s="2"/>
      <c r="F752" s="2"/>
      <c r="G752" s="2"/>
    </row>
    <row r="753" spans="1:7" ht="13.2" x14ac:dyDescent="0.25">
      <c r="A753" s="2"/>
      <c r="B753" s="2"/>
      <c r="C753" s="2"/>
      <c r="D753" s="2"/>
      <c r="E753" s="2"/>
      <c r="F753" s="2"/>
      <c r="G753" s="2"/>
    </row>
    <row r="754" spans="1:7" ht="13.2" x14ac:dyDescent="0.25">
      <c r="A754" s="2"/>
      <c r="B754" s="2"/>
      <c r="C754" s="2"/>
      <c r="D754" s="2"/>
      <c r="E754" s="2"/>
      <c r="F754" s="2"/>
      <c r="G754" s="2"/>
    </row>
    <row r="755" spans="1:7" ht="13.2" x14ac:dyDescent="0.25">
      <c r="A755" s="2"/>
      <c r="B755" s="2"/>
      <c r="C755" s="2"/>
      <c r="D755" s="2"/>
      <c r="E755" s="2"/>
      <c r="F755" s="2"/>
      <c r="G755" s="2"/>
    </row>
    <row r="756" spans="1:7" ht="13.2" x14ac:dyDescent="0.25">
      <c r="A756" s="2"/>
      <c r="B756" s="2"/>
      <c r="C756" s="2"/>
      <c r="D756" s="2"/>
      <c r="E756" s="2"/>
      <c r="F756" s="2"/>
      <c r="G756" s="2"/>
    </row>
    <row r="757" spans="1:7" ht="13.2" x14ac:dyDescent="0.25">
      <c r="A757" s="2"/>
      <c r="B757" s="2"/>
      <c r="C757" s="2"/>
      <c r="D757" s="2"/>
      <c r="E757" s="2"/>
      <c r="F757" s="2"/>
      <c r="G757" s="2"/>
    </row>
    <row r="758" spans="1:7" ht="13.2" x14ac:dyDescent="0.25">
      <c r="A758" s="2"/>
      <c r="B758" s="2"/>
      <c r="C758" s="2"/>
      <c r="D758" s="2"/>
      <c r="E758" s="2"/>
      <c r="F758" s="2"/>
      <c r="G758" s="2"/>
    </row>
    <row r="759" spans="1:7" ht="13.2" x14ac:dyDescent="0.25">
      <c r="A759" s="2"/>
      <c r="B759" s="2"/>
      <c r="C759" s="2"/>
      <c r="D759" s="2"/>
      <c r="E759" s="2"/>
      <c r="F759" s="2"/>
      <c r="G759" s="2"/>
    </row>
    <row r="760" spans="1:7" ht="13.2" x14ac:dyDescent="0.25">
      <c r="A760" s="2"/>
      <c r="B760" s="2"/>
      <c r="C760" s="2"/>
      <c r="D760" s="2"/>
      <c r="E760" s="2"/>
      <c r="F760" s="2"/>
      <c r="G760" s="2"/>
    </row>
    <row r="761" spans="1:7" ht="13.2" x14ac:dyDescent="0.25">
      <c r="A761" s="2"/>
      <c r="B761" s="2"/>
      <c r="C761" s="2"/>
      <c r="D761" s="2"/>
      <c r="E761" s="2"/>
      <c r="F761" s="2"/>
      <c r="G761" s="2"/>
    </row>
    <row r="762" spans="1:7" ht="13.2" x14ac:dyDescent="0.25">
      <c r="A762" s="2"/>
      <c r="B762" s="2"/>
      <c r="C762" s="2"/>
      <c r="D762" s="2"/>
      <c r="E762" s="2"/>
      <c r="F762" s="2"/>
      <c r="G762" s="2"/>
    </row>
    <row r="763" spans="1:7" ht="13.2" x14ac:dyDescent="0.25">
      <c r="A763" s="2"/>
      <c r="B763" s="2"/>
      <c r="C763" s="2"/>
      <c r="D763" s="2"/>
      <c r="E763" s="2"/>
      <c r="F763" s="2"/>
      <c r="G763" s="2"/>
    </row>
    <row r="764" spans="1:7" ht="13.2" x14ac:dyDescent="0.25">
      <c r="A764" s="2"/>
      <c r="B764" s="2"/>
      <c r="C764" s="2"/>
      <c r="D764" s="2"/>
      <c r="E764" s="2"/>
      <c r="F764" s="2"/>
      <c r="G764" s="2"/>
    </row>
    <row r="765" spans="1:7" ht="13.2" x14ac:dyDescent="0.25">
      <c r="A765" s="2"/>
      <c r="B765" s="2"/>
      <c r="C765" s="2"/>
      <c r="D765" s="2"/>
      <c r="E765" s="2"/>
      <c r="F765" s="2"/>
      <c r="G765" s="2"/>
    </row>
    <row r="766" spans="1:7" ht="13.2" x14ac:dyDescent="0.25">
      <c r="A766" s="2"/>
      <c r="B766" s="2"/>
      <c r="C766" s="2"/>
      <c r="D766" s="2"/>
      <c r="E766" s="2"/>
      <c r="F766" s="2"/>
      <c r="G766" s="2"/>
    </row>
    <row r="767" spans="1:7" ht="13.2" x14ac:dyDescent="0.25">
      <c r="A767" s="2"/>
      <c r="B767" s="2"/>
      <c r="C767" s="2"/>
      <c r="D767" s="2"/>
      <c r="E767" s="2"/>
      <c r="F767" s="2"/>
      <c r="G767" s="2"/>
    </row>
    <row r="768" spans="1:7" ht="13.2" x14ac:dyDescent="0.25">
      <c r="A768" s="2"/>
      <c r="B768" s="2"/>
      <c r="C768" s="2"/>
      <c r="D768" s="2"/>
      <c r="E768" s="2"/>
      <c r="F768" s="2"/>
      <c r="G768" s="2"/>
    </row>
    <row r="769" spans="1:7" ht="13.2" x14ac:dyDescent="0.25">
      <c r="A769" s="2"/>
      <c r="B769" s="2"/>
      <c r="C769" s="2"/>
      <c r="D769" s="2"/>
      <c r="E769" s="2"/>
      <c r="F769" s="2"/>
      <c r="G769" s="2"/>
    </row>
    <row r="770" spans="1:7" ht="13.2" x14ac:dyDescent="0.25">
      <c r="A770" s="2"/>
      <c r="B770" s="2"/>
      <c r="C770" s="2"/>
      <c r="D770" s="2"/>
      <c r="E770" s="2"/>
      <c r="F770" s="2"/>
      <c r="G770" s="2"/>
    </row>
    <row r="771" spans="1:7" ht="13.2" x14ac:dyDescent="0.25">
      <c r="A771" s="2"/>
      <c r="B771" s="2"/>
      <c r="C771" s="2"/>
      <c r="D771" s="2"/>
      <c r="E771" s="2"/>
      <c r="F771" s="2"/>
      <c r="G771" s="2"/>
    </row>
    <row r="772" spans="1:7" ht="13.2" x14ac:dyDescent="0.25">
      <c r="A772" s="2"/>
      <c r="B772" s="2"/>
      <c r="C772" s="2"/>
      <c r="D772" s="2"/>
      <c r="E772" s="2"/>
      <c r="F772" s="2"/>
      <c r="G772" s="2"/>
    </row>
    <row r="773" spans="1:7" ht="13.2" x14ac:dyDescent="0.25">
      <c r="A773" s="2"/>
      <c r="B773" s="2"/>
      <c r="C773" s="2"/>
      <c r="D773" s="2"/>
      <c r="E773" s="2"/>
      <c r="F773" s="2"/>
      <c r="G773" s="2"/>
    </row>
    <row r="774" spans="1:7" ht="13.2" x14ac:dyDescent="0.25">
      <c r="A774" s="2"/>
      <c r="B774" s="2"/>
      <c r="C774" s="2"/>
      <c r="D774" s="2"/>
      <c r="E774" s="2"/>
      <c r="F774" s="2"/>
      <c r="G774" s="2"/>
    </row>
    <row r="775" spans="1:7" ht="13.2" x14ac:dyDescent="0.25">
      <c r="A775" s="2"/>
      <c r="B775" s="2"/>
      <c r="C775" s="2"/>
      <c r="D775" s="2"/>
      <c r="E775" s="2"/>
      <c r="F775" s="2"/>
      <c r="G775" s="2"/>
    </row>
    <row r="776" spans="1:7" ht="13.2" x14ac:dyDescent="0.25">
      <c r="A776" s="2"/>
      <c r="B776" s="2"/>
      <c r="C776" s="2"/>
      <c r="D776" s="2"/>
      <c r="E776" s="2"/>
      <c r="F776" s="2"/>
      <c r="G776" s="2"/>
    </row>
    <row r="777" spans="1:7" ht="13.2" x14ac:dyDescent="0.25">
      <c r="A777" s="2"/>
      <c r="B777" s="2"/>
      <c r="C777" s="2"/>
      <c r="D777" s="2"/>
      <c r="E777" s="2"/>
      <c r="F777" s="2"/>
      <c r="G777" s="2"/>
    </row>
    <row r="778" spans="1:7" ht="13.2" x14ac:dyDescent="0.25">
      <c r="A778" s="2"/>
      <c r="B778" s="2"/>
      <c r="C778" s="2"/>
      <c r="D778" s="2"/>
      <c r="E778" s="2"/>
      <c r="F778" s="2"/>
      <c r="G778" s="2"/>
    </row>
    <row r="779" spans="1:7" ht="13.2" x14ac:dyDescent="0.25">
      <c r="A779" s="2"/>
      <c r="B779" s="2"/>
      <c r="C779" s="2"/>
      <c r="D779" s="2"/>
      <c r="E779" s="2"/>
      <c r="F779" s="2"/>
      <c r="G779" s="2"/>
    </row>
    <row r="780" spans="1:7" ht="13.2" x14ac:dyDescent="0.25">
      <c r="A780" s="2"/>
      <c r="B780" s="2"/>
      <c r="C780" s="2"/>
      <c r="D780" s="2"/>
      <c r="E780" s="2"/>
      <c r="F780" s="2"/>
      <c r="G780" s="2"/>
    </row>
    <row r="781" spans="1:7" ht="13.2" x14ac:dyDescent="0.25">
      <c r="A781" s="2"/>
      <c r="B781" s="2"/>
      <c r="C781" s="2"/>
      <c r="D781" s="2"/>
      <c r="E781" s="2"/>
      <c r="F781" s="2"/>
      <c r="G781" s="2"/>
    </row>
    <row r="782" spans="1:7" ht="13.2" x14ac:dyDescent="0.25">
      <c r="A782" s="2"/>
      <c r="B782" s="2"/>
      <c r="C782" s="2"/>
      <c r="D782" s="2"/>
      <c r="E782" s="2"/>
      <c r="F782" s="2"/>
      <c r="G782" s="2"/>
    </row>
    <row r="783" spans="1:7" ht="13.2" x14ac:dyDescent="0.25">
      <c r="A783" s="2"/>
      <c r="B783" s="2"/>
      <c r="C783" s="2"/>
      <c r="D783" s="2"/>
      <c r="E783" s="2"/>
      <c r="F783" s="2"/>
      <c r="G783" s="2"/>
    </row>
    <row r="784" spans="1:7" ht="13.2" x14ac:dyDescent="0.25">
      <c r="A784" s="2"/>
      <c r="B784" s="2"/>
      <c r="C784" s="2"/>
      <c r="D784" s="2"/>
      <c r="E784" s="2"/>
      <c r="F784" s="2"/>
      <c r="G784" s="2"/>
    </row>
    <row r="785" spans="1:7" ht="13.2" x14ac:dyDescent="0.25">
      <c r="A785" s="2"/>
      <c r="B785" s="2"/>
      <c r="C785" s="2"/>
      <c r="D785" s="2"/>
      <c r="E785" s="2"/>
      <c r="F785" s="2"/>
      <c r="G785" s="2"/>
    </row>
    <row r="786" spans="1:7" ht="13.2" x14ac:dyDescent="0.25">
      <c r="A786" s="2"/>
      <c r="B786" s="2"/>
      <c r="C786" s="2"/>
      <c r="D786" s="2"/>
      <c r="E786" s="2"/>
      <c r="F786" s="2"/>
      <c r="G786" s="2"/>
    </row>
    <row r="787" spans="1:7" ht="13.2" x14ac:dyDescent="0.25">
      <c r="A787" s="2"/>
      <c r="B787" s="2"/>
      <c r="C787" s="2"/>
      <c r="D787" s="2"/>
      <c r="E787" s="2"/>
      <c r="F787" s="2"/>
      <c r="G787" s="2"/>
    </row>
    <row r="788" spans="1:7" ht="13.2" x14ac:dyDescent="0.25">
      <c r="A788" s="2"/>
      <c r="B788" s="2"/>
      <c r="C788" s="2"/>
      <c r="D788" s="2"/>
      <c r="E788" s="2"/>
      <c r="F788" s="2"/>
      <c r="G788" s="2"/>
    </row>
    <row r="789" spans="1:7" ht="13.2" x14ac:dyDescent="0.25">
      <c r="A789" s="2"/>
      <c r="B789" s="2"/>
      <c r="C789" s="2"/>
      <c r="D789" s="2"/>
      <c r="E789" s="2"/>
      <c r="F789" s="2"/>
      <c r="G789" s="2"/>
    </row>
    <row r="790" spans="1:7" ht="13.2" x14ac:dyDescent="0.25">
      <c r="A790" s="2"/>
      <c r="B790" s="2"/>
      <c r="C790" s="2"/>
      <c r="D790" s="2"/>
      <c r="E790" s="2"/>
      <c r="F790" s="2"/>
      <c r="G790" s="2"/>
    </row>
    <row r="791" spans="1:7" ht="13.2" x14ac:dyDescent="0.25">
      <c r="A791" s="2"/>
      <c r="B791" s="2"/>
      <c r="C791" s="2"/>
      <c r="D791" s="2"/>
      <c r="E791" s="2"/>
      <c r="F791" s="2"/>
      <c r="G791" s="2"/>
    </row>
    <row r="792" spans="1:7" ht="13.2" x14ac:dyDescent="0.25">
      <c r="A792" s="2"/>
      <c r="B792" s="2"/>
      <c r="C792" s="2"/>
      <c r="D792" s="2"/>
      <c r="E792" s="2"/>
      <c r="F792" s="2"/>
      <c r="G792" s="2"/>
    </row>
    <row r="793" spans="1:7" ht="13.2" x14ac:dyDescent="0.25">
      <c r="A793" s="2"/>
      <c r="B793" s="2"/>
      <c r="C793" s="2"/>
      <c r="D793" s="2"/>
      <c r="E793" s="2"/>
      <c r="F793" s="2"/>
      <c r="G793" s="2"/>
    </row>
    <row r="794" spans="1:7" ht="13.2" x14ac:dyDescent="0.25">
      <c r="A794" s="2"/>
      <c r="B794" s="2"/>
      <c r="C794" s="2"/>
      <c r="D794" s="2"/>
      <c r="E794" s="2"/>
      <c r="F794" s="2"/>
      <c r="G794" s="2"/>
    </row>
    <row r="795" spans="1:7" ht="13.2" x14ac:dyDescent="0.25">
      <c r="A795" s="2"/>
      <c r="B795" s="2"/>
      <c r="C795" s="2"/>
      <c r="D795" s="2"/>
      <c r="E795" s="2"/>
      <c r="F795" s="2"/>
      <c r="G795" s="2"/>
    </row>
    <row r="796" spans="1:7" ht="13.2" x14ac:dyDescent="0.25">
      <c r="A796" s="2"/>
      <c r="B796" s="2"/>
      <c r="C796" s="2"/>
      <c r="D796" s="2"/>
      <c r="E796" s="2"/>
      <c r="F796" s="2"/>
      <c r="G796" s="2"/>
    </row>
    <row r="797" spans="1:7" ht="13.2" x14ac:dyDescent="0.25">
      <c r="A797" s="2"/>
      <c r="B797" s="2"/>
      <c r="C797" s="2"/>
      <c r="D797" s="2"/>
      <c r="E797" s="2"/>
      <c r="F797" s="2"/>
      <c r="G797" s="2"/>
    </row>
    <row r="798" spans="1:7" ht="13.2" x14ac:dyDescent="0.25">
      <c r="A798" s="2"/>
      <c r="B798" s="2"/>
      <c r="C798" s="2"/>
      <c r="D798" s="2"/>
      <c r="E798" s="2"/>
      <c r="F798" s="2"/>
      <c r="G798" s="2"/>
    </row>
    <row r="799" spans="1:7" ht="13.2" x14ac:dyDescent="0.25">
      <c r="A799" s="2"/>
      <c r="B799" s="2"/>
      <c r="C799" s="2"/>
      <c r="D799" s="2"/>
      <c r="E799" s="2"/>
      <c r="F799" s="2"/>
      <c r="G799" s="2"/>
    </row>
    <row r="800" spans="1:7" ht="13.2" x14ac:dyDescent="0.25">
      <c r="A800" s="2"/>
      <c r="B800" s="2"/>
      <c r="C800" s="2"/>
      <c r="D800" s="2"/>
      <c r="E800" s="2"/>
      <c r="F800" s="2"/>
      <c r="G800" s="2"/>
    </row>
    <row r="801" spans="1:7" ht="13.2" x14ac:dyDescent="0.25">
      <c r="A801" s="2"/>
      <c r="B801" s="2"/>
      <c r="C801" s="2"/>
      <c r="D801" s="2"/>
      <c r="E801" s="2"/>
      <c r="F801" s="2"/>
      <c r="G801" s="2"/>
    </row>
    <row r="802" spans="1:7" ht="13.2" x14ac:dyDescent="0.25">
      <c r="A802" s="2"/>
      <c r="B802" s="2"/>
      <c r="C802" s="2"/>
      <c r="D802" s="2"/>
      <c r="E802" s="2"/>
      <c r="F802" s="2"/>
      <c r="G802" s="2"/>
    </row>
    <row r="803" spans="1:7" ht="13.2" x14ac:dyDescent="0.25">
      <c r="A803" s="2"/>
      <c r="B803" s="2"/>
      <c r="C803" s="2"/>
      <c r="D803" s="2"/>
      <c r="E803" s="2"/>
      <c r="F803" s="2"/>
      <c r="G803" s="2"/>
    </row>
    <row r="804" spans="1:7" ht="13.2" x14ac:dyDescent="0.25">
      <c r="A804" s="2"/>
      <c r="B804" s="2"/>
      <c r="C804" s="2"/>
      <c r="D804" s="2"/>
      <c r="E804" s="2"/>
      <c r="F804" s="2"/>
      <c r="G804" s="2"/>
    </row>
    <row r="805" spans="1:7" ht="13.2" x14ac:dyDescent="0.25">
      <c r="A805" s="2"/>
      <c r="B805" s="2"/>
      <c r="C805" s="2"/>
      <c r="D805" s="2"/>
      <c r="E805" s="2"/>
      <c r="F805" s="2"/>
      <c r="G805" s="2"/>
    </row>
    <row r="806" spans="1:7" ht="13.2" x14ac:dyDescent="0.25">
      <c r="A806" s="2"/>
      <c r="B806" s="2"/>
      <c r="C806" s="2"/>
      <c r="D806" s="2"/>
      <c r="E806" s="2"/>
      <c r="F806" s="2"/>
      <c r="G806" s="2"/>
    </row>
    <row r="807" spans="1:7" ht="13.2" x14ac:dyDescent="0.25">
      <c r="A807" s="2"/>
      <c r="B807" s="2"/>
      <c r="C807" s="2"/>
      <c r="D807" s="2"/>
      <c r="E807" s="2"/>
      <c r="F807" s="2"/>
      <c r="G807" s="2"/>
    </row>
    <row r="808" spans="1:7" ht="13.2" x14ac:dyDescent="0.25">
      <c r="A808" s="2"/>
      <c r="B808" s="2"/>
      <c r="C808" s="2"/>
      <c r="D808" s="2"/>
      <c r="E808" s="2"/>
      <c r="F808" s="2"/>
      <c r="G808" s="2"/>
    </row>
    <row r="809" spans="1:7" ht="13.2" x14ac:dyDescent="0.25">
      <c r="A809" s="2"/>
      <c r="B809" s="2"/>
      <c r="C809" s="2"/>
      <c r="D809" s="2"/>
      <c r="E809" s="2"/>
      <c r="F809" s="2"/>
      <c r="G809" s="2"/>
    </row>
    <row r="810" spans="1:7" ht="13.2" x14ac:dyDescent="0.25">
      <c r="A810" s="2"/>
      <c r="B810" s="2"/>
      <c r="C810" s="2"/>
      <c r="D810" s="2"/>
      <c r="E810" s="2"/>
      <c r="F810" s="2"/>
      <c r="G810" s="2"/>
    </row>
    <row r="811" spans="1:7" ht="13.2" x14ac:dyDescent="0.25">
      <c r="A811" s="2"/>
      <c r="B811" s="2"/>
      <c r="C811" s="2"/>
      <c r="D811" s="2"/>
      <c r="E811" s="2"/>
      <c r="F811" s="2"/>
      <c r="G811" s="2"/>
    </row>
    <row r="812" spans="1:7" ht="13.2" x14ac:dyDescent="0.25">
      <c r="A812" s="2"/>
      <c r="B812" s="2"/>
      <c r="C812" s="2"/>
      <c r="D812" s="2"/>
      <c r="E812" s="2"/>
      <c r="F812" s="2"/>
      <c r="G812" s="2"/>
    </row>
    <row r="813" spans="1:7" ht="13.2" x14ac:dyDescent="0.25">
      <c r="A813" s="2"/>
      <c r="B813" s="2"/>
      <c r="C813" s="2"/>
      <c r="D813" s="2"/>
      <c r="E813" s="2"/>
      <c r="F813" s="2"/>
      <c r="G813" s="2"/>
    </row>
    <row r="814" spans="1:7" ht="13.2" x14ac:dyDescent="0.25">
      <c r="A814" s="2"/>
      <c r="B814" s="2"/>
      <c r="C814" s="2"/>
      <c r="D814" s="2"/>
      <c r="E814" s="2"/>
      <c r="F814" s="2"/>
      <c r="G814" s="2"/>
    </row>
    <row r="815" spans="1:7" ht="13.2" x14ac:dyDescent="0.25">
      <c r="A815" s="2"/>
      <c r="B815" s="2"/>
      <c r="C815" s="2"/>
      <c r="D815" s="2"/>
      <c r="E815" s="2"/>
      <c r="F815" s="2"/>
      <c r="G815" s="2"/>
    </row>
    <row r="816" spans="1:7" ht="13.2" x14ac:dyDescent="0.25">
      <c r="A816" s="2"/>
      <c r="B816" s="2"/>
      <c r="C816" s="2"/>
      <c r="D816" s="2"/>
      <c r="E816" s="2"/>
      <c r="F816" s="2"/>
      <c r="G816" s="2"/>
    </row>
    <row r="817" spans="1:7" ht="13.2" x14ac:dyDescent="0.25">
      <c r="A817" s="2"/>
      <c r="B817" s="2"/>
      <c r="C817" s="2"/>
      <c r="D817" s="2"/>
      <c r="E817" s="2"/>
      <c r="F817" s="2"/>
      <c r="G817" s="2"/>
    </row>
    <row r="818" spans="1:7" ht="13.2" x14ac:dyDescent="0.25">
      <c r="A818" s="2"/>
      <c r="B818" s="2"/>
      <c r="C818" s="2"/>
      <c r="D818" s="2"/>
      <c r="E818" s="2"/>
      <c r="F818" s="2"/>
      <c r="G818" s="2"/>
    </row>
    <row r="819" spans="1:7" ht="13.2" x14ac:dyDescent="0.25">
      <c r="A819" s="2"/>
      <c r="B819" s="2"/>
      <c r="C819" s="2"/>
      <c r="D819" s="2"/>
      <c r="E819" s="2"/>
      <c r="F819" s="2"/>
      <c r="G819" s="2"/>
    </row>
    <row r="820" spans="1:7" ht="13.2" x14ac:dyDescent="0.25">
      <c r="A820" s="2"/>
      <c r="B820" s="2"/>
      <c r="C820" s="2"/>
      <c r="D820" s="2"/>
      <c r="E820" s="2"/>
      <c r="F820" s="2"/>
      <c r="G820" s="2"/>
    </row>
    <row r="821" spans="1:7" ht="13.2" x14ac:dyDescent="0.25">
      <c r="A821" s="2"/>
      <c r="B821" s="2"/>
      <c r="C821" s="2"/>
      <c r="D821" s="2"/>
      <c r="E821" s="2"/>
      <c r="F821" s="2"/>
      <c r="G821" s="2"/>
    </row>
    <row r="822" spans="1:7" ht="13.2" x14ac:dyDescent="0.25">
      <c r="A822" s="2"/>
      <c r="B822" s="2"/>
      <c r="C822" s="2"/>
      <c r="D822" s="2"/>
      <c r="E822" s="2"/>
      <c r="F822" s="2"/>
      <c r="G822" s="2"/>
    </row>
    <row r="823" spans="1:7" ht="13.2" x14ac:dyDescent="0.25">
      <c r="A823" s="2"/>
      <c r="B823" s="2"/>
      <c r="C823" s="2"/>
      <c r="D823" s="2"/>
      <c r="E823" s="2"/>
      <c r="F823" s="2"/>
      <c r="G823" s="2"/>
    </row>
    <row r="824" spans="1:7" ht="13.2" x14ac:dyDescent="0.25">
      <c r="A824" s="2"/>
      <c r="B824" s="2"/>
      <c r="C824" s="2"/>
      <c r="D824" s="2"/>
      <c r="E824" s="2"/>
      <c r="F824" s="2"/>
      <c r="G824" s="2"/>
    </row>
    <row r="825" spans="1:7" ht="13.2" x14ac:dyDescent="0.25">
      <c r="A825" s="2"/>
      <c r="B825" s="2"/>
      <c r="C825" s="2"/>
      <c r="D825" s="2"/>
      <c r="E825" s="2"/>
      <c r="F825" s="2"/>
      <c r="G825" s="2"/>
    </row>
    <row r="826" spans="1:7" ht="13.2" x14ac:dyDescent="0.25">
      <c r="A826" s="2"/>
      <c r="B826" s="2"/>
      <c r="C826" s="2"/>
      <c r="D826" s="2"/>
      <c r="E826" s="2"/>
      <c r="F826" s="2"/>
      <c r="G826" s="2"/>
    </row>
    <row r="827" spans="1:7" ht="13.2" x14ac:dyDescent="0.25">
      <c r="A827" s="2"/>
      <c r="B827" s="2"/>
      <c r="C827" s="2"/>
      <c r="D827" s="2"/>
      <c r="E827" s="2"/>
      <c r="F827" s="2"/>
      <c r="G827" s="2"/>
    </row>
    <row r="828" spans="1:7" ht="13.2" x14ac:dyDescent="0.25">
      <c r="A828" s="2"/>
      <c r="B828" s="2"/>
      <c r="C828" s="2"/>
      <c r="D828" s="2"/>
      <c r="E828" s="2"/>
      <c r="F828" s="2"/>
      <c r="G828" s="2"/>
    </row>
    <row r="829" spans="1:7" ht="13.2" x14ac:dyDescent="0.25">
      <c r="A829" s="2"/>
      <c r="B829" s="2"/>
      <c r="C829" s="2"/>
      <c r="D829" s="2"/>
      <c r="E829" s="2"/>
      <c r="F829" s="2"/>
      <c r="G829" s="2"/>
    </row>
    <row r="830" spans="1:7" ht="13.2" x14ac:dyDescent="0.25">
      <c r="A830" s="2"/>
      <c r="B830" s="2"/>
      <c r="C830" s="2"/>
      <c r="D830" s="2"/>
      <c r="E830" s="2"/>
      <c r="F830" s="2"/>
      <c r="G830" s="2"/>
    </row>
    <row r="831" spans="1:7" ht="13.2" x14ac:dyDescent="0.25">
      <c r="A831" s="2"/>
      <c r="B831" s="2"/>
      <c r="C831" s="2"/>
      <c r="D831" s="2"/>
      <c r="E831" s="2"/>
      <c r="F831" s="2"/>
      <c r="G831" s="2"/>
    </row>
    <row r="832" spans="1:7" ht="13.2" x14ac:dyDescent="0.25">
      <c r="A832" s="2"/>
      <c r="B832" s="2"/>
      <c r="C832" s="2"/>
      <c r="D832" s="2"/>
      <c r="E832" s="2"/>
      <c r="F832" s="2"/>
      <c r="G832" s="2"/>
    </row>
    <row r="833" spans="1:7" ht="13.2" x14ac:dyDescent="0.25">
      <c r="A833" s="2"/>
      <c r="B833" s="2"/>
      <c r="C833" s="2"/>
      <c r="D833" s="2"/>
      <c r="E833" s="2"/>
      <c r="F833" s="2"/>
      <c r="G833" s="2"/>
    </row>
    <row r="834" spans="1:7" ht="13.2" x14ac:dyDescent="0.25">
      <c r="A834" s="2"/>
      <c r="B834" s="2"/>
      <c r="C834" s="2"/>
      <c r="D834" s="2"/>
      <c r="E834" s="2"/>
      <c r="F834" s="2"/>
      <c r="G834" s="2"/>
    </row>
    <row r="835" spans="1:7" ht="13.2" x14ac:dyDescent="0.25">
      <c r="A835" s="2"/>
      <c r="B835" s="2"/>
      <c r="C835" s="2"/>
      <c r="D835" s="2"/>
      <c r="E835" s="2"/>
      <c r="F835" s="2"/>
      <c r="G835" s="2"/>
    </row>
    <row r="836" spans="1:7" ht="13.2" x14ac:dyDescent="0.25">
      <c r="A836" s="2"/>
      <c r="B836" s="2"/>
      <c r="C836" s="2"/>
      <c r="D836" s="2"/>
      <c r="E836" s="2"/>
      <c r="F836" s="2"/>
      <c r="G836" s="2"/>
    </row>
    <row r="837" spans="1:7" ht="13.2" x14ac:dyDescent="0.25">
      <c r="A837" s="2"/>
      <c r="B837" s="2"/>
      <c r="C837" s="2"/>
      <c r="D837" s="2"/>
      <c r="E837" s="2"/>
      <c r="F837" s="2"/>
      <c r="G837" s="2"/>
    </row>
    <row r="838" spans="1:7" ht="13.2" x14ac:dyDescent="0.25">
      <c r="A838" s="2"/>
      <c r="B838" s="2"/>
      <c r="C838" s="2"/>
      <c r="D838" s="2"/>
      <c r="E838" s="2"/>
      <c r="F838" s="2"/>
      <c r="G838" s="2"/>
    </row>
    <row r="839" spans="1:7" ht="13.2" x14ac:dyDescent="0.25">
      <c r="A839" s="2"/>
      <c r="B839" s="2"/>
      <c r="C839" s="2"/>
      <c r="D839" s="2"/>
      <c r="E839" s="2"/>
      <c r="F839" s="2"/>
      <c r="G839" s="2"/>
    </row>
    <row r="840" spans="1:7" ht="13.2" x14ac:dyDescent="0.25">
      <c r="A840" s="2"/>
      <c r="B840" s="2"/>
      <c r="C840" s="2"/>
      <c r="D840" s="2"/>
      <c r="E840" s="2"/>
      <c r="F840" s="2"/>
      <c r="G840" s="2"/>
    </row>
    <row r="841" spans="1:7" ht="13.2" x14ac:dyDescent="0.25">
      <c r="A841" s="2"/>
      <c r="B841" s="2"/>
      <c r="C841" s="2"/>
      <c r="D841" s="2"/>
      <c r="E841" s="2"/>
      <c r="F841" s="2"/>
      <c r="G841" s="2"/>
    </row>
    <row r="842" spans="1:7" ht="13.2" x14ac:dyDescent="0.25">
      <c r="A842" s="2"/>
      <c r="B842" s="2"/>
      <c r="C842" s="2"/>
      <c r="D842" s="2"/>
      <c r="E842" s="2"/>
      <c r="F842" s="2"/>
      <c r="G842" s="2"/>
    </row>
    <row r="843" spans="1:7" ht="13.2" x14ac:dyDescent="0.25">
      <c r="A843" s="2"/>
      <c r="B843" s="2"/>
      <c r="C843" s="2"/>
      <c r="D843" s="2"/>
      <c r="E843" s="2"/>
      <c r="F843" s="2"/>
      <c r="G843" s="2"/>
    </row>
    <row r="844" spans="1:7" ht="13.2" x14ac:dyDescent="0.25">
      <c r="A844" s="2"/>
      <c r="B844" s="2"/>
      <c r="C844" s="2"/>
      <c r="D844" s="2"/>
      <c r="E844" s="2"/>
      <c r="F844" s="2"/>
      <c r="G844" s="2"/>
    </row>
    <row r="845" spans="1:7" ht="13.2" x14ac:dyDescent="0.25">
      <c r="A845" s="2"/>
      <c r="B845" s="2"/>
      <c r="C845" s="2"/>
      <c r="D845" s="2"/>
      <c r="E845" s="2"/>
      <c r="F845" s="2"/>
      <c r="G845" s="2"/>
    </row>
    <row r="846" spans="1:7" ht="13.2" x14ac:dyDescent="0.25">
      <c r="A846" s="2"/>
      <c r="B846" s="2"/>
      <c r="C846" s="2"/>
      <c r="D846" s="2"/>
      <c r="E846" s="2"/>
      <c r="F846" s="2"/>
      <c r="G846" s="2"/>
    </row>
    <row r="847" spans="1:7" ht="13.2" x14ac:dyDescent="0.25">
      <c r="A847" s="2"/>
      <c r="B847" s="2"/>
      <c r="C847" s="2"/>
      <c r="D847" s="2"/>
      <c r="E847" s="2"/>
      <c r="F847" s="2"/>
      <c r="G847" s="2"/>
    </row>
    <row r="848" spans="1:7" ht="13.2" x14ac:dyDescent="0.25">
      <c r="A848" s="2"/>
      <c r="B848" s="2"/>
      <c r="C848" s="2"/>
      <c r="D848" s="2"/>
      <c r="E848" s="2"/>
      <c r="F848" s="2"/>
      <c r="G848" s="2"/>
    </row>
    <row r="849" spans="1:7" ht="13.2" x14ac:dyDescent="0.25">
      <c r="A849" s="2"/>
      <c r="B849" s="2"/>
      <c r="C849" s="2"/>
      <c r="D849" s="2"/>
      <c r="E849" s="2"/>
      <c r="F849" s="2"/>
      <c r="G849" s="2"/>
    </row>
    <row r="850" spans="1:7" ht="13.2" x14ac:dyDescent="0.25">
      <c r="A850" s="2"/>
      <c r="B850" s="2"/>
      <c r="C850" s="2"/>
      <c r="D850" s="2"/>
      <c r="E850" s="2"/>
      <c r="F850" s="2"/>
      <c r="G850" s="2"/>
    </row>
    <row r="851" spans="1:7" ht="13.2" x14ac:dyDescent="0.25">
      <c r="A851" s="2"/>
      <c r="B851" s="2"/>
      <c r="C851" s="2"/>
      <c r="D851" s="2"/>
      <c r="E851" s="2"/>
      <c r="F851" s="2"/>
      <c r="G851" s="2"/>
    </row>
    <row r="852" spans="1:7" ht="13.2" x14ac:dyDescent="0.25">
      <c r="A852" s="2"/>
      <c r="B852" s="2"/>
      <c r="C852" s="2"/>
      <c r="D852" s="2"/>
      <c r="E852" s="2"/>
      <c r="F852" s="2"/>
      <c r="G852" s="2"/>
    </row>
    <row r="853" spans="1:7" ht="13.2" x14ac:dyDescent="0.25">
      <c r="A853" s="2"/>
      <c r="B853" s="2"/>
      <c r="C853" s="2"/>
      <c r="D853" s="2"/>
      <c r="E853" s="2"/>
      <c r="F853" s="2"/>
      <c r="G853" s="2"/>
    </row>
    <row r="854" spans="1:7" ht="13.2" x14ac:dyDescent="0.25">
      <c r="A854" s="2"/>
      <c r="B854" s="2"/>
      <c r="C854" s="2"/>
      <c r="D854" s="2"/>
      <c r="E854" s="2"/>
      <c r="F854" s="2"/>
      <c r="G854" s="2"/>
    </row>
    <row r="855" spans="1:7" ht="13.2" x14ac:dyDescent="0.25">
      <c r="A855" s="2"/>
      <c r="B855" s="2"/>
      <c r="C855" s="2"/>
      <c r="D855" s="2"/>
      <c r="E855" s="2"/>
      <c r="F855" s="2"/>
      <c r="G855" s="2"/>
    </row>
    <row r="856" spans="1:7" ht="13.2" x14ac:dyDescent="0.25">
      <c r="A856" s="2"/>
      <c r="B856" s="2"/>
      <c r="C856" s="2"/>
      <c r="D856" s="2"/>
      <c r="E856" s="2"/>
      <c r="F856" s="2"/>
      <c r="G856" s="2"/>
    </row>
    <row r="857" spans="1:7" ht="13.2" x14ac:dyDescent="0.25">
      <c r="A857" s="2"/>
      <c r="B857" s="2"/>
      <c r="C857" s="2"/>
      <c r="D857" s="2"/>
      <c r="E857" s="2"/>
      <c r="F857" s="2"/>
      <c r="G857" s="2"/>
    </row>
    <row r="858" spans="1:7" ht="13.2" x14ac:dyDescent="0.25">
      <c r="A858" s="2"/>
      <c r="B858" s="2"/>
      <c r="C858" s="2"/>
      <c r="D858" s="2"/>
      <c r="E858" s="2"/>
      <c r="F858" s="2"/>
      <c r="G858" s="2"/>
    </row>
    <row r="859" spans="1:7" ht="13.2" x14ac:dyDescent="0.25">
      <c r="A859" s="2"/>
      <c r="B859" s="2"/>
      <c r="C859" s="2"/>
      <c r="D859" s="2"/>
      <c r="E859" s="2"/>
      <c r="F859" s="2"/>
      <c r="G859" s="2"/>
    </row>
    <row r="860" spans="1:7" ht="13.2" x14ac:dyDescent="0.25">
      <c r="A860" s="2"/>
      <c r="B860" s="2"/>
      <c r="C860" s="2"/>
      <c r="D860" s="2"/>
      <c r="E860" s="2"/>
      <c r="F860" s="2"/>
      <c r="G860" s="2"/>
    </row>
    <row r="861" spans="1:7" ht="13.2" x14ac:dyDescent="0.25">
      <c r="A861" s="2"/>
      <c r="B861" s="2"/>
      <c r="C861" s="2"/>
      <c r="D861" s="2"/>
      <c r="E861" s="2"/>
      <c r="F861" s="2"/>
      <c r="G861" s="2"/>
    </row>
    <row r="862" spans="1:7" ht="13.2" x14ac:dyDescent="0.25">
      <c r="A862" s="2"/>
      <c r="B862" s="2"/>
      <c r="C862" s="2"/>
      <c r="D862" s="2"/>
      <c r="E862" s="2"/>
      <c r="F862" s="2"/>
      <c r="G862" s="2"/>
    </row>
    <row r="863" spans="1:7" ht="13.2" x14ac:dyDescent="0.25">
      <c r="A863" s="2"/>
      <c r="B863" s="2"/>
      <c r="C863" s="2"/>
      <c r="D863" s="2"/>
      <c r="E863" s="2"/>
      <c r="F863" s="2"/>
      <c r="G863" s="2"/>
    </row>
    <row r="864" spans="1:7" ht="13.2" x14ac:dyDescent="0.25">
      <c r="A864" s="2"/>
      <c r="B864" s="2"/>
      <c r="C864" s="2"/>
      <c r="D864" s="2"/>
      <c r="E864" s="2"/>
      <c r="F864" s="2"/>
      <c r="G864" s="2"/>
    </row>
    <row r="865" spans="1:7" ht="13.2" x14ac:dyDescent="0.25">
      <c r="A865" s="2"/>
      <c r="B865" s="2"/>
      <c r="C865" s="2"/>
      <c r="D865" s="2"/>
      <c r="E865" s="2"/>
      <c r="F865" s="2"/>
      <c r="G865" s="2"/>
    </row>
    <row r="866" spans="1:7" ht="13.2" x14ac:dyDescent="0.25">
      <c r="A866" s="2"/>
      <c r="B866" s="2"/>
      <c r="C866" s="2"/>
      <c r="D866" s="2"/>
      <c r="E866" s="2"/>
      <c r="F866" s="2"/>
      <c r="G866" s="2"/>
    </row>
    <row r="867" spans="1:7" ht="13.2" x14ac:dyDescent="0.25">
      <c r="A867" s="2"/>
      <c r="B867" s="2"/>
      <c r="C867" s="2"/>
      <c r="D867" s="2"/>
      <c r="E867" s="2"/>
      <c r="F867" s="2"/>
      <c r="G867" s="2"/>
    </row>
    <row r="868" spans="1:7" ht="13.2" x14ac:dyDescent="0.25">
      <c r="A868" s="2"/>
      <c r="B868" s="2"/>
      <c r="C868" s="2"/>
      <c r="D868" s="2"/>
      <c r="E868" s="2"/>
      <c r="F868" s="2"/>
      <c r="G868" s="2"/>
    </row>
    <row r="869" spans="1:7" ht="13.2" x14ac:dyDescent="0.25">
      <c r="A869" s="2"/>
      <c r="B869" s="2"/>
      <c r="C869" s="2"/>
      <c r="D869" s="2"/>
      <c r="E869" s="2"/>
      <c r="F869" s="2"/>
      <c r="G869" s="2"/>
    </row>
    <row r="870" spans="1:7" ht="13.2" x14ac:dyDescent="0.25">
      <c r="A870" s="2"/>
      <c r="B870" s="2"/>
      <c r="C870" s="2"/>
      <c r="D870" s="2"/>
      <c r="E870" s="2"/>
      <c r="F870" s="2"/>
      <c r="G870" s="2"/>
    </row>
    <row r="871" spans="1:7" ht="13.2" x14ac:dyDescent="0.25">
      <c r="A871" s="2"/>
      <c r="B871" s="2"/>
      <c r="C871" s="2"/>
      <c r="D871" s="2"/>
      <c r="E871" s="2"/>
      <c r="F871" s="2"/>
      <c r="G871" s="2"/>
    </row>
    <row r="872" spans="1:7" ht="13.2" x14ac:dyDescent="0.25">
      <c r="A872" s="2"/>
      <c r="B872" s="2"/>
      <c r="C872" s="2"/>
      <c r="D872" s="2"/>
      <c r="E872" s="2"/>
      <c r="F872" s="2"/>
      <c r="G872" s="2"/>
    </row>
    <row r="873" spans="1:7" ht="13.2" x14ac:dyDescent="0.25">
      <c r="A873" s="2"/>
      <c r="B873" s="2"/>
      <c r="C873" s="2"/>
      <c r="D873" s="2"/>
      <c r="E873" s="2"/>
      <c r="F873" s="2"/>
      <c r="G873" s="2"/>
    </row>
    <row r="874" spans="1:7" ht="13.2" x14ac:dyDescent="0.25">
      <c r="A874" s="2"/>
      <c r="B874" s="2"/>
      <c r="C874" s="2"/>
      <c r="D874" s="2"/>
      <c r="E874" s="2"/>
      <c r="F874" s="2"/>
      <c r="G874" s="2"/>
    </row>
    <row r="875" spans="1:7" ht="13.2" x14ac:dyDescent="0.25">
      <c r="A875" s="2"/>
      <c r="B875" s="2"/>
      <c r="C875" s="2"/>
      <c r="D875" s="2"/>
      <c r="E875" s="2"/>
      <c r="F875" s="2"/>
      <c r="G875" s="2"/>
    </row>
    <row r="876" spans="1:7" ht="13.2" x14ac:dyDescent="0.25">
      <c r="A876" s="2"/>
      <c r="B876" s="2"/>
      <c r="C876" s="2"/>
      <c r="D876" s="2"/>
      <c r="E876" s="2"/>
      <c r="F876" s="2"/>
      <c r="G876" s="2"/>
    </row>
    <row r="877" spans="1:7" ht="13.2" x14ac:dyDescent="0.25">
      <c r="A877" s="2"/>
      <c r="B877" s="2"/>
      <c r="C877" s="2"/>
      <c r="D877" s="2"/>
      <c r="E877" s="2"/>
      <c r="F877" s="2"/>
      <c r="G877" s="2"/>
    </row>
    <row r="878" spans="1:7" ht="13.2" x14ac:dyDescent="0.25">
      <c r="A878" s="2"/>
      <c r="B878" s="2"/>
      <c r="C878" s="2"/>
      <c r="D878" s="2"/>
      <c r="E878" s="2"/>
      <c r="F878" s="2"/>
      <c r="G878" s="2"/>
    </row>
    <row r="879" spans="1:7" ht="13.2" x14ac:dyDescent="0.25">
      <c r="A879" s="2"/>
      <c r="B879" s="2"/>
      <c r="C879" s="2"/>
      <c r="D879" s="2"/>
      <c r="E879" s="2"/>
      <c r="F879" s="2"/>
      <c r="G879" s="2"/>
    </row>
    <row r="880" spans="1:7" ht="13.2" x14ac:dyDescent="0.25">
      <c r="A880" s="2"/>
      <c r="B880" s="2"/>
      <c r="C880" s="2"/>
      <c r="D880" s="2"/>
      <c r="E880" s="2"/>
      <c r="F880" s="2"/>
      <c r="G880" s="2"/>
    </row>
    <row r="881" spans="1:7" ht="13.2" x14ac:dyDescent="0.25">
      <c r="A881" s="2"/>
      <c r="B881" s="2"/>
      <c r="C881" s="2"/>
      <c r="D881" s="2"/>
      <c r="E881" s="2"/>
      <c r="F881" s="2"/>
      <c r="G881" s="2"/>
    </row>
    <row r="882" spans="1:7" ht="13.2" x14ac:dyDescent="0.25">
      <c r="A882" s="2"/>
      <c r="B882" s="2"/>
      <c r="C882" s="2"/>
      <c r="D882" s="2"/>
      <c r="E882" s="2"/>
      <c r="F882" s="2"/>
      <c r="G882" s="2"/>
    </row>
    <row r="883" spans="1:7" ht="13.2" x14ac:dyDescent="0.25">
      <c r="A883" s="2"/>
      <c r="B883" s="2"/>
      <c r="C883" s="2"/>
      <c r="D883" s="2"/>
      <c r="E883" s="2"/>
      <c r="F883" s="2"/>
      <c r="G883" s="2"/>
    </row>
    <row r="884" spans="1:7" ht="13.2" x14ac:dyDescent="0.25">
      <c r="A884" s="2"/>
      <c r="B884" s="2"/>
      <c r="C884" s="2"/>
      <c r="D884" s="2"/>
      <c r="E884" s="2"/>
      <c r="F884" s="2"/>
      <c r="G884" s="2"/>
    </row>
    <row r="885" spans="1:7" ht="13.2" x14ac:dyDescent="0.25">
      <c r="A885" s="2"/>
      <c r="B885" s="2"/>
      <c r="C885" s="2"/>
      <c r="D885" s="2"/>
      <c r="E885" s="2"/>
      <c r="F885" s="2"/>
      <c r="G885" s="2"/>
    </row>
    <row r="886" spans="1:7" ht="13.2" x14ac:dyDescent="0.25">
      <c r="A886" s="2"/>
      <c r="B886" s="2"/>
      <c r="C886" s="2"/>
      <c r="D886" s="2"/>
      <c r="E886" s="2"/>
      <c r="F886" s="2"/>
      <c r="G886" s="2"/>
    </row>
    <row r="887" spans="1:7" ht="13.2" x14ac:dyDescent="0.25">
      <c r="A887" s="2"/>
      <c r="B887" s="2"/>
      <c r="C887" s="2"/>
      <c r="D887" s="2"/>
      <c r="E887" s="2"/>
      <c r="F887" s="2"/>
      <c r="G887" s="2"/>
    </row>
    <row r="888" spans="1:7" ht="13.2" x14ac:dyDescent="0.25">
      <c r="A888" s="2"/>
      <c r="B888" s="2"/>
      <c r="C888" s="2"/>
      <c r="D888" s="2"/>
      <c r="E888" s="2"/>
      <c r="F888" s="2"/>
      <c r="G888" s="2"/>
    </row>
    <row r="889" spans="1:7" ht="13.2" x14ac:dyDescent="0.25">
      <c r="A889" s="2"/>
      <c r="B889" s="2"/>
      <c r="C889" s="2"/>
      <c r="D889" s="2"/>
      <c r="E889" s="2"/>
      <c r="F889" s="2"/>
      <c r="G889" s="2"/>
    </row>
    <row r="890" spans="1:7" ht="13.2" x14ac:dyDescent="0.25">
      <c r="A890" s="2"/>
      <c r="B890" s="2"/>
      <c r="C890" s="2"/>
      <c r="D890" s="2"/>
      <c r="E890" s="2"/>
      <c r="F890" s="2"/>
      <c r="G890" s="2"/>
    </row>
    <row r="891" spans="1:7" ht="13.2" x14ac:dyDescent="0.25">
      <c r="A891" s="2"/>
      <c r="B891" s="2"/>
      <c r="C891" s="2"/>
      <c r="D891" s="2"/>
      <c r="E891" s="2"/>
      <c r="F891" s="2"/>
      <c r="G891" s="2"/>
    </row>
    <row r="892" spans="1:7" ht="13.2" x14ac:dyDescent="0.25">
      <c r="A892" s="2"/>
      <c r="B892" s="2"/>
      <c r="C892" s="2"/>
      <c r="D892" s="2"/>
      <c r="E892" s="2"/>
      <c r="F892" s="2"/>
      <c r="G892" s="2"/>
    </row>
    <row r="893" spans="1:7" ht="13.2" x14ac:dyDescent="0.25">
      <c r="A893" s="2"/>
      <c r="B893" s="2"/>
      <c r="C893" s="2"/>
      <c r="D893" s="2"/>
      <c r="E893" s="2"/>
      <c r="F893" s="2"/>
      <c r="G893" s="2"/>
    </row>
    <row r="894" spans="1:7" ht="13.2" x14ac:dyDescent="0.25">
      <c r="A894" s="2"/>
      <c r="B894" s="2"/>
      <c r="C894" s="2"/>
      <c r="D894" s="2"/>
      <c r="E894" s="2"/>
      <c r="F894" s="2"/>
      <c r="G894" s="2"/>
    </row>
    <row r="895" spans="1:7" ht="13.2" x14ac:dyDescent="0.25">
      <c r="A895" s="2"/>
      <c r="B895" s="2"/>
      <c r="C895" s="2"/>
      <c r="D895" s="2"/>
      <c r="E895" s="2"/>
      <c r="F895" s="2"/>
      <c r="G895" s="2"/>
    </row>
    <row r="896" spans="1:7" ht="13.2" x14ac:dyDescent="0.25">
      <c r="A896" s="2"/>
      <c r="B896" s="2"/>
      <c r="C896" s="2"/>
      <c r="D896" s="2"/>
      <c r="E896" s="2"/>
      <c r="F896" s="2"/>
      <c r="G896" s="2"/>
    </row>
    <row r="897" spans="1:7" ht="13.2" x14ac:dyDescent="0.25">
      <c r="A897" s="2"/>
      <c r="B897" s="2"/>
      <c r="C897" s="2"/>
      <c r="D897" s="2"/>
      <c r="E897" s="2"/>
      <c r="F897" s="2"/>
      <c r="G897" s="2"/>
    </row>
    <row r="898" spans="1:7" ht="13.2" x14ac:dyDescent="0.25">
      <c r="A898" s="2"/>
      <c r="B898" s="2"/>
      <c r="C898" s="2"/>
      <c r="D898" s="2"/>
      <c r="E898" s="2"/>
      <c r="F898" s="2"/>
      <c r="G898" s="2"/>
    </row>
    <row r="899" spans="1:7" ht="13.2" x14ac:dyDescent="0.25">
      <c r="A899" s="2"/>
      <c r="B899" s="2"/>
      <c r="C899" s="2"/>
      <c r="D899" s="2"/>
      <c r="E899" s="2"/>
      <c r="F899" s="2"/>
      <c r="G899" s="2"/>
    </row>
    <row r="900" spans="1:7" ht="13.2" x14ac:dyDescent="0.25">
      <c r="A900" s="2"/>
      <c r="B900" s="2"/>
      <c r="C900" s="2"/>
      <c r="D900" s="2"/>
      <c r="E900" s="2"/>
      <c r="F900" s="2"/>
      <c r="G900" s="2"/>
    </row>
    <row r="901" spans="1:7" ht="13.2" x14ac:dyDescent="0.25">
      <c r="A901" s="2"/>
      <c r="B901" s="2"/>
      <c r="C901" s="2"/>
      <c r="D901" s="2"/>
      <c r="E901" s="2"/>
      <c r="F901" s="2"/>
      <c r="G901" s="2"/>
    </row>
    <row r="902" spans="1:7" ht="13.2" x14ac:dyDescent="0.25">
      <c r="A902" s="2"/>
      <c r="B902" s="2"/>
      <c r="C902" s="2"/>
      <c r="D902" s="2"/>
      <c r="E902" s="2"/>
      <c r="F902" s="2"/>
      <c r="G902" s="2"/>
    </row>
    <row r="903" spans="1:7" ht="13.2" x14ac:dyDescent="0.25">
      <c r="A903" s="2"/>
      <c r="B903" s="2"/>
      <c r="C903" s="2"/>
      <c r="D903" s="2"/>
      <c r="E903" s="2"/>
      <c r="F903" s="2"/>
      <c r="G903" s="2"/>
    </row>
    <row r="904" spans="1:7" ht="13.2" x14ac:dyDescent="0.25">
      <c r="A904" s="2"/>
      <c r="B904" s="2"/>
      <c r="C904" s="2"/>
      <c r="D904" s="2"/>
      <c r="E904" s="2"/>
      <c r="F904" s="2"/>
      <c r="G904" s="2"/>
    </row>
    <row r="905" spans="1:7" ht="13.2" x14ac:dyDescent="0.25">
      <c r="A905" s="2"/>
      <c r="B905" s="2"/>
      <c r="C905" s="2"/>
      <c r="D905" s="2"/>
      <c r="E905" s="2"/>
      <c r="F905" s="2"/>
      <c r="G905" s="2"/>
    </row>
    <row r="906" spans="1:7" ht="13.2" x14ac:dyDescent="0.25">
      <c r="A906" s="2"/>
      <c r="B906" s="2"/>
      <c r="C906" s="2"/>
      <c r="D906" s="2"/>
      <c r="E906" s="2"/>
      <c r="F906" s="2"/>
      <c r="G906" s="2"/>
    </row>
    <row r="907" spans="1:7" ht="13.2" x14ac:dyDescent="0.25">
      <c r="A907" s="2"/>
      <c r="B907" s="2"/>
      <c r="C907" s="2"/>
      <c r="D907" s="2"/>
      <c r="E907" s="2"/>
      <c r="F907" s="2"/>
      <c r="G907" s="2"/>
    </row>
    <row r="908" spans="1:7" ht="13.2" x14ac:dyDescent="0.25">
      <c r="A908" s="2"/>
      <c r="B908" s="2"/>
      <c r="C908" s="2"/>
      <c r="D908" s="2"/>
      <c r="E908" s="2"/>
      <c r="F908" s="2"/>
      <c r="G908" s="2"/>
    </row>
    <row r="909" spans="1:7" ht="13.2" x14ac:dyDescent="0.25">
      <c r="A909" s="2"/>
      <c r="B909" s="2"/>
      <c r="C909" s="2"/>
      <c r="D909" s="2"/>
      <c r="E909" s="2"/>
      <c r="F909" s="2"/>
      <c r="G909" s="2"/>
    </row>
    <row r="910" spans="1:7" ht="13.2" x14ac:dyDescent="0.25">
      <c r="A910" s="2"/>
      <c r="B910" s="2"/>
      <c r="C910" s="2"/>
      <c r="D910" s="2"/>
      <c r="E910" s="2"/>
      <c r="F910" s="2"/>
      <c r="G910" s="2"/>
    </row>
    <row r="911" spans="1:7" ht="13.2" x14ac:dyDescent="0.25">
      <c r="A911" s="2"/>
      <c r="B911" s="2"/>
      <c r="C911" s="2"/>
      <c r="D911" s="2"/>
      <c r="E911" s="2"/>
      <c r="F911" s="2"/>
      <c r="G911" s="2"/>
    </row>
    <row r="912" spans="1:7" ht="13.2" x14ac:dyDescent="0.25">
      <c r="A912" s="2"/>
      <c r="B912" s="2"/>
      <c r="C912" s="2"/>
      <c r="D912" s="2"/>
      <c r="E912" s="2"/>
      <c r="F912" s="2"/>
      <c r="G912" s="2"/>
    </row>
    <row r="913" spans="1:7" ht="13.2" x14ac:dyDescent="0.25">
      <c r="A913" s="2"/>
      <c r="B913" s="2"/>
      <c r="C913" s="2"/>
      <c r="D913" s="2"/>
      <c r="E913" s="2"/>
      <c r="F913" s="2"/>
      <c r="G913" s="2"/>
    </row>
    <row r="914" spans="1:7" ht="13.2" x14ac:dyDescent="0.25">
      <c r="A914" s="2"/>
      <c r="B914" s="2"/>
      <c r="C914" s="2"/>
      <c r="D914" s="2"/>
      <c r="E914" s="2"/>
      <c r="F914" s="2"/>
      <c r="G914" s="2"/>
    </row>
    <row r="915" spans="1:7" ht="13.2" x14ac:dyDescent="0.25">
      <c r="A915" s="2"/>
      <c r="B915" s="2"/>
      <c r="C915" s="2"/>
      <c r="D915" s="2"/>
      <c r="E915" s="2"/>
      <c r="F915" s="2"/>
      <c r="G915" s="2"/>
    </row>
    <row r="916" spans="1:7" ht="13.2" x14ac:dyDescent="0.25">
      <c r="A916" s="2"/>
      <c r="B916" s="2"/>
      <c r="C916" s="2"/>
      <c r="D916" s="2"/>
      <c r="E916" s="2"/>
      <c r="F916" s="2"/>
      <c r="G916" s="2"/>
    </row>
    <row r="917" spans="1:7" ht="13.2" x14ac:dyDescent="0.25">
      <c r="A917" s="2"/>
      <c r="B917" s="2"/>
      <c r="C917" s="2"/>
      <c r="D917" s="2"/>
      <c r="E917" s="2"/>
      <c r="F917" s="2"/>
      <c r="G917" s="2"/>
    </row>
    <row r="918" spans="1:7" ht="13.2" x14ac:dyDescent="0.25">
      <c r="A918" s="2"/>
      <c r="B918" s="2"/>
      <c r="C918" s="2"/>
      <c r="D918" s="2"/>
      <c r="E918" s="2"/>
      <c r="F918" s="2"/>
      <c r="G918" s="2"/>
    </row>
    <row r="919" spans="1:7" ht="13.2" x14ac:dyDescent="0.25">
      <c r="A919" s="2"/>
      <c r="B919" s="2"/>
      <c r="C919" s="2"/>
      <c r="D919" s="2"/>
      <c r="E919" s="2"/>
      <c r="F919" s="2"/>
      <c r="G919" s="2"/>
    </row>
    <row r="920" spans="1:7" ht="13.2" x14ac:dyDescent="0.25">
      <c r="A920" s="2"/>
      <c r="B920" s="2"/>
      <c r="C920" s="2"/>
      <c r="D920" s="2"/>
      <c r="E920" s="2"/>
      <c r="F920" s="2"/>
      <c r="G920" s="2"/>
    </row>
    <row r="921" spans="1:7" ht="13.2" x14ac:dyDescent="0.25">
      <c r="A921" s="2"/>
      <c r="B921" s="2"/>
      <c r="C921" s="2"/>
      <c r="D921" s="2"/>
      <c r="E921" s="2"/>
      <c r="F921" s="2"/>
      <c r="G921" s="2"/>
    </row>
    <row r="922" spans="1:7" ht="13.2" x14ac:dyDescent="0.25">
      <c r="A922" s="2"/>
      <c r="B922" s="2"/>
      <c r="C922" s="2"/>
      <c r="D922" s="2"/>
      <c r="E922" s="2"/>
      <c r="F922" s="2"/>
      <c r="G922" s="2"/>
    </row>
    <row r="923" spans="1:7" ht="13.2" x14ac:dyDescent="0.25">
      <c r="A923" s="2"/>
      <c r="B923" s="2"/>
      <c r="C923" s="2"/>
      <c r="D923" s="2"/>
      <c r="E923" s="2"/>
      <c r="F923" s="2"/>
      <c r="G923" s="2"/>
    </row>
    <row r="924" spans="1:7" ht="13.2" x14ac:dyDescent="0.25">
      <c r="A924" s="2"/>
      <c r="B924" s="2"/>
      <c r="C924" s="2"/>
      <c r="D924" s="2"/>
      <c r="E924" s="2"/>
      <c r="F924" s="2"/>
      <c r="G924" s="2"/>
    </row>
    <row r="925" spans="1:7" ht="13.2" x14ac:dyDescent="0.25">
      <c r="A925" s="2"/>
      <c r="B925" s="2"/>
      <c r="C925" s="2"/>
      <c r="D925" s="2"/>
      <c r="E925" s="2"/>
      <c r="F925" s="2"/>
      <c r="G925" s="2"/>
    </row>
    <row r="926" spans="1:7" ht="13.2" x14ac:dyDescent="0.25">
      <c r="A926" s="2"/>
      <c r="B926" s="2"/>
      <c r="C926" s="2"/>
      <c r="D926" s="2"/>
      <c r="E926" s="2"/>
      <c r="F926" s="2"/>
      <c r="G926" s="2"/>
    </row>
    <row r="927" spans="1:7" ht="13.2" x14ac:dyDescent="0.25">
      <c r="A927" s="2"/>
      <c r="B927" s="2"/>
      <c r="C927" s="2"/>
      <c r="D927" s="2"/>
      <c r="E927" s="2"/>
      <c r="F927" s="2"/>
      <c r="G927" s="2"/>
    </row>
    <row r="928" spans="1:7" ht="13.2" x14ac:dyDescent="0.25">
      <c r="A928" s="2"/>
      <c r="B928" s="2"/>
      <c r="C928" s="2"/>
      <c r="D928" s="2"/>
      <c r="E928" s="2"/>
      <c r="F928" s="2"/>
      <c r="G928" s="2"/>
    </row>
    <row r="929" spans="1:7" ht="13.2" x14ac:dyDescent="0.25">
      <c r="A929" s="2"/>
      <c r="B929" s="2"/>
      <c r="C929" s="2"/>
      <c r="D929" s="2"/>
      <c r="E929" s="2"/>
      <c r="F929" s="2"/>
      <c r="G929" s="2"/>
    </row>
    <row r="930" spans="1:7" ht="13.2" x14ac:dyDescent="0.25">
      <c r="A930" s="2"/>
      <c r="B930" s="2"/>
      <c r="C930" s="2"/>
      <c r="D930" s="2"/>
      <c r="E930" s="2"/>
      <c r="F930" s="2"/>
      <c r="G930" s="2"/>
    </row>
    <row r="931" spans="1:7" ht="13.2" x14ac:dyDescent="0.25">
      <c r="A931" s="2"/>
      <c r="B931" s="2"/>
      <c r="C931" s="2"/>
      <c r="D931" s="2"/>
      <c r="E931" s="2"/>
      <c r="F931" s="2"/>
      <c r="G931" s="2"/>
    </row>
    <row r="932" spans="1:7" ht="13.2" x14ac:dyDescent="0.25">
      <c r="A932" s="2"/>
      <c r="B932" s="2"/>
      <c r="C932" s="2"/>
      <c r="D932" s="2"/>
      <c r="E932" s="2"/>
      <c r="F932" s="2"/>
      <c r="G932" s="2"/>
    </row>
    <row r="933" spans="1:7" ht="13.2" x14ac:dyDescent="0.25">
      <c r="A933" s="2"/>
      <c r="B933" s="2"/>
      <c r="C933" s="2"/>
      <c r="D933" s="2"/>
      <c r="E933" s="2"/>
      <c r="F933" s="2"/>
      <c r="G933" s="2"/>
    </row>
    <row r="934" spans="1:7" ht="13.2" x14ac:dyDescent="0.25">
      <c r="A934" s="2"/>
      <c r="B934" s="2"/>
      <c r="C934" s="2"/>
      <c r="D934" s="2"/>
      <c r="E934" s="2"/>
      <c r="F934" s="2"/>
      <c r="G934" s="2"/>
    </row>
    <row r="935" spans="1:7" ht="13.2" x14ac:dyDescent="0.25">
      <c r="A935" s="2"/>
      <c r="B935" s="2"/>
      <c r="C935" s="2"/>
      <c r="D935" s="2"/>
      <c r="E935" s="2"/>
      <c r="F935" s="2"/>
      <c r="G935" s="2"/>
    </row>
    <row r="936" spans="1:7" ht="13.2" x14ac:dyDescent="0.25">
      <c r="A936" s="2"/>
      <c r="B936" s="2"/>
      <c r="C936" s="2"/>
      <c r="D936" s="2"/>
      <c r="E936" s="2"/>
      <c r="F936" s="2"/>
      <c r="G936" s="2"/>
    </row>
    <row r="937" spans="1:7" ht="13.2" x14ac:dyDescent="0.25">
      <c r="A937" s="2"/>
      <c r="B937" s="2"/>
      <c r="C937" s="2"/>
      <c r="D937" s="2"/>
      <c r="E937" s="2"/>
      <c r="F937" s="2"/>
      <c r="G937" s="2"/>
    </row>
    <row r="938" spans="1:7" ht="13.2" x14ac:dyDescent="0.25">
      <c r="A938" s="2"/>
      <c r="B938" s="2"/>
      <c r="C938" s="2"/>
      <c r="D938" s="2"/>
      <c r="E938" s="2"/>
      <c r="F938" s="2"/>
      <c r="G938" s="2"/>
    </row>
    <row r="939" spans="1:7" ht="13.2" x14ac:dyDescent="0.25">
      <c r="A939" s="2"/>
      <c r="B939" s="2"/>
      <c r="C939" s="2"/>
      <c r="D939" s="2"/>
      <c r="E939" s="2"/>
      <c r="F939" s="2"/>
      <c r="G939" s="2"/>
    </row>
    <row r="940" spans="1:7" ht="13.2" x14ac:dyDescent="0.25">
      <c r="A940" s="2"/>
      <c r="B940" s="2"/>
      <c r="C940" s="2"/>
      <c r="D940" s="2"/>
      <c r="E940" s="2"/>
      <c r="F940" s="2"/>
      <c r="G940" s="2"/>
    </row>
    <row r="941" spans="1:7" ht="13.2" x14ac:dyDescent="0.25">
      <c r="A941" s="2"/>
      <c r="B941" s="2"/>
      <c r="C941" s="2"/>
      <c r="D941" s="2"/>
      <c r="E941" s="2"/>
      <c r="F941" s="2"/>
      <c r="G941" s="2"/>
    </row>
    <row r="942" spans="1:7" ht="13.2" x14ac:dyDescent="0.25">
      <c r="A942" s="2"/>
      <c r="B942" s="2"/>
      <c r="C942" s="2"/>
      <c r="D942" s="2"/>
      <c r="E942" s="2"/>
      <c r="F942" s="2"/>
      <c r="G942" s="2"/>
    </row>
    <row r="943" spans="1:7" ht="13.2" x14ac:dyDescent="0.25">
      <c r="A943" s="2"/>
      <c r="B943" s="2"/>
      <c r="C943" s="2"/>
      <c r="D943" s="2"/>
      <c r="E943" s="2"/>
      <c r="F943" s="2"/>
      <c r="G943" s="2"/>
    </row>
    <row r="944" spans="1:7" ht="13.2" x14ac:dyDescent="0.25">
      <c r="A944" s="2"/>
      <c r="B944" s="2"/>
      <c r="C944" s="2"/>
      <c r="D944" s="2"/>
      <c r="E944" s="2"/>
      <c r="F944" s="2"/>
      <c r="G944" s="2"/>
    </row>
    <row r="945" spans="1:7" ht="13.2" x14ac:dyDescent="0.25">
      <c r="A945" s="2"/>
      <c r="B945" s="2"/>
      <c r="C945" s="2"/>
      <c r="D945" s="2"/>
      <c r="E945" s="2"/>
      <c r="F945" s="2"/>
      <c r="G945" s="2"/>
    </row>
    <row r="946" spans="1:7" ht="13.2" x14ac:dyDescent="0.25">
      <c r="A946" s="2"/>
      <c r="B946" s="2"/>
      <c r="C946" s="2"/>
      <c r="D946" s="2"/>
      <c r="E946" s="2"/>
      <c r="F946" s="2"/>
      <c r="G946" s="2"/>
    </row>
    <row r="947" spans="1:7" ht="13.2" x14ac:dyDescent="0.25">
      <c r="A947" s="2"/>
      <c r="B947" s="2"/>
      <c r="C947" s="2"/>
      <c r="D947" s="2"/>
      <c r="E947" s="2"/>
      <c r="F947" s="2"/>
      <c r="G947" s="2"/>
    </row>
    <row r="948" spans="1:7" ht="13.2" x14ac:dyDescent="0.25">
      <c r="A948" s="2"/>
      <c r="B948" s="2"/>
      <c r="C948" s="2"/>
      <c r="D948" s="2"/>
      <c r="E948" s="2"/>
      <c r="F948" s="2"/>
      <c r="G948" s="2"/>
    </row>
    <row r="949" spans="1:7" ht="13.2" x14ac:dyDescent="0.25">
      <c r="A949" s="2"/>
      <c r="B949" s="2"/>
      <c r="C949" s="2"/>
      <c r="D949" s="2"/>
      <c r="E949" s="2"/>
      <c r="F949" s="2"/>
      <c r="G949" s="2"/>
    </row>
    <row r="950" spans="1:7" ht="13.2" x14ac:dyDescent="0.25">
      <c r="A950" s="2"/>
      <c r="B950" s="2"/>
      <c r="C950" s="2"/>
      <c r="D950" s="2"/>
      <c r="E950" s="2"/>
      <c r="F950" s="2"/>
      <c r="G950" s="2"/>
    </row>
    <row r="951" spans="1:7" ht="13.2" x14ac:dyDescent="0.25">
      <c r="A951" s="2"/>
      <c r="B951" s="2"/>
      <c r="C951" s="2"/>
      <c r="D951" s="2"/>
      <c r="E951" s="2"/>
      <c r="F951" s="2"/>
      <c r="G951" s="2"/>
    </row>
    <row r="952" spans="1:7" ht="13.2" x14ac:dyDescent="0.25">
      <c r="A952" s="2"/>
      <c r="B952" s="2"/>
      <c r="C952" s="2"/>
      <c r="D952" s="2"/>
      <c r="E952" s="2"/>
      <c r="F952" s="2"/>
      <c r="G952" s="2"/>
    </row>
    <row r="953" spans="1:7" ht="13.2" x14ac:dyDescent="0.25">
      <c r="A953" s="2"/>
      <c r="B953" s="2"/>
      <c r="C953" s="2"/>
      <c r="D953" s="2"/>
      <c r="E953" s="2"/>
      <c r="F953" s="2"/>
      <c r="G953" s="2"/>
    </row>
    <row r="954" spans="1:7" ht="13.2" x14ac:dyDescent="0.25">
      <c r="A954" s="2"/>
      <c r="B954" s="2"/>
      <c r="C954" s="2"/>
      <c r="D954" s="2"/>
      <c r="E954" s="2"/>
      <c r="F954" s="2"/>
      <c r="G954" s="2"/>
    </row>
    <row r="955" spans="1:7" ht="13.2" x14ac:dyDescent="0.25">
      <c r="A955" s="2"/>
      <c r="B955" s="2"/>
      <c r="C955" s="2"/>
      <c r="D955" s="2"/>
      <c r="E955" s="2"/>
      <c r="F955" s="2"/>
      <c r="G955" s="2"/>
    </row>
    <row r="956" spans="1:7" ht="13.2" x14ac:dyDescent="0.25">
      <c r="A956" s="2"/>
      <c r="B956" s="2"/>
      <c r="C956" s="2"/>
      <c r="D956" s="2"/>
      <c r="E956" s="2"/>
      <c r="F956" s="2"/>
      <c r="G956" s="2"/>
    </row>
    <row r="957" spans="1:7" ht="13.2" x14ac:dyDescent="0.25">
      <c r="A957" s="2"/>
      <c r="B957" s="2"/>
      <c r="C957" s="2"/>
      <c r="D957" s="2"/>
      <c r="E957" s="2"/>
      <c r="F957" s="2"/>
      <c r="G957" s="2"/>
    </row>
    <row r="958" spans="1:7" ht="13.2" x14ac:dyDescent="0.25">
      <c r="A958" s="2"/>
      <c r="B958" s="2"/>
      <c r="C958" s="2"/>
      <c r="D958" s="2"/>
      <c r="E958" s="2"/>
      <c r="F958" s="2"/>
      <c r="G958" s="2"/>
    </row>
    <row r="959" spans="1:7" ht="13.2" x14ac:dyDescent="0.25">
      <c r="A959" s="2"/>
      <c r="B959" s="2"/>
      <c r="C959" s="2"/>
      <c r="D959" s="2"/>
      <c r="E959" s="2"/>
      <c r="F959" s="2"/>
      <c r="G959" s="2"/>
    </row>
    <row r="960" spans="1:7" ht="13.2" x14ac:dyDescent="0.25">
      <c r="A960" s="2"/>
      <c r="B960" s="2"/>
      <c r="C960" s="2"/>
      <c r="D960" s="2"/>
      <c r="E960" s="2"/>
      <c r="F960" s="2"/>
      <c r="G960" s="2"/>
    </row>
    <row r="961" spans="1:7" ht="13.2" x14ac:dyDescent="0.25">
      <c r="A961" s="2"/>
      <c r="B961" s="2"/>
      <c r="C961" s="2"/>
      <c r="D961" s="2"/>
      <c r="E961" s="2"/>
      <c r="F961" s="2"/>
      <c r="G961" s="2"/>
    </row>
    <row r="962" spans="1:7" ht="13.2" x14ac:dyDescent="0.25">
      <c r="A962" s="2"/>
      <c r="B962" s="2"/>
      <c r="C962" s="2"/>
      <c r="D962" s="2"/>
      <c r="E962" s="2"/>
      <c r="F962" s="2"/>
      <c r="G962" s="2"/>
    </row>
    <row r="963" spans="1:7" ht="13.2" x14ac:dyDescent="0.25">
      <c r="A963" s="2"/>
      <c r="B963" s="2"/>
      <c r="C963" s="2"/>
      <c r="D963" s="2"/>
      <c r="E963" s="2"/>
      <c r="F963" s="2"/>
      <c r="G963" s="2"/>
    </row>
    <row r="964" spans="1:7" ht="13.2" x14ac:dyDescent="0.25">
      <c r="A964" s="2"/>
      <c r="B964" s="2"/>
      <c r="C964" s="2"/>
      <c r="D964" s="2"/>
      <c r="E964" s="2"/>
      <c r="F964" s="2"/>
      <c r="G964" s="2"/>
    </row>
    <row r="965" spans="1:7" ht="13.2" x14ac:dyDescent="0.25">
      <c r="A965" s="2"/>
      <c r="B965" s="2"/>
      <c r="C965" s="2"/>
      <c r="D965" s="2"/>
      <c r="E965" s="2"/>
      <c r="F965" s="2"/>
      <c r="G965" s="2"/>
    </row>
    <row r="966" spans="1:7" ht="13.2" x14ac:dyDescent="0.25">
      <c r="A966" s="2"/>
      <c r="B966" s="2"/>
      <c r="C966" s="2"/>
      <c r="D966" s="2"/>
      <c r="E966" s="2"/>
      <c r="F966" s="2"/>
      <c r="G966" s="2"/>
    </row>
    <row r="967" spans="1:7" ht="13.2" x14ac:dyDescent="0.25">
      <c r="A967" s="2"/>
      <c r="B967" s="2"/>
      <c r="C967" s="2"/>
      <c r="D967" s="2"/>
      <c r="E967" s="2"/>
      <c r="F967" s="2"/>
      <c r="G967" s="2"/>
    </row>
    <row r="968" spans="1:7" ht="13.2" x14ac:dyDescent="0.25">
      <c r="A968" s="2"/>
      <c r="B968" s="2"/>
      <c r="C968" s="2"/>
      <c r="D968" s="2"/>
      <c r="E968" s="2"/>
      <c r="F968" s="2"/>
      <c r="G968" s="2"/>
    </row>
    <row r="969" spans="1:7" ht="13.2" x14ac:dyDescent="0.25">
      <c r="A969" s="2"/>
      <c r="B969" s="2"/>
      <c r="C969" s="2"/>
      <c r="D969" s="2"/>
      <c r="E969" s="2"/>
      <c r="F969" s="2"/>
      <c r="G969" s="2"/>
    </row>
    <row r="970" spans="1:7" ht="13.2" x14ac:dyDescent="0.25">
      <c r="A970" s="2"/>
      <c r="B970" s="2"/>
      <c r="C970" s="2"/>
      <c r="D970" s="2"/>
      <c r="E970" s="2"/>
      <c r="F970" s="2"/>
      <c r="G970" s="2"/>
    </row>
    <row r="971" spans="1:7" ht="13.2" x14ac:dyDescent="0.25">
      <c r="A971" s="2"/>
      <c r="B971" s="2"/>
      <c r="C971" s="2"/>
      <c r="D971" s="2"/>
      <c r="E971" s="2"/>
      <c r="F971" s="2"/>
      <c r="G971" s="2"/>
    </row>
    <row r="972" spans="1:7" ht="13.2" x14ac:dyDescent="0.25">
      <c r="A972" s="2"/>
      <c r="B972" s="2"/>
      <c r="C972" s="2"/>
      <c r="D972" s="2"/>
      <c r="E972" s="2"/>
      <c r="F972" s="2"/>
      <c r="G972" s="2"/>
    </row>
    <row r="973" spans="1:7" ht="13.2" x14ac:dyDescent="0.25">
      <c r="A973" s="2"/>
      <c r="B973" s="2"/>
      <c r="C973" s="2"/>
      <c r="D973" s="2"/>
      <c r="E973" s="2"/>
      <c r="F973" s="2"/>
      <c r="G973" s="2"/>
    </row>
    <row r="974" spans="1:7" ht="13.2" x14ac:dyDescent="0.25">
      <c r="A974" s="2"/>
      <c r="B974" s="2"/>
      <c r="C974" s="2"/>
      <c r="D974" s="2"/>
      <c r="E974" s="2"/>
      <c r="F974" s="2"/>
      <c r="G974" s="2"/>
    </row>
    <row r="975" spans="1:7" ht="13.2" x14ac:dyDescent="0.25">
      <c r="A975" s="2"/>
      <c r="B975" s="2"/>
      <c r="C975" s="2"/>
      <c r="D975" s="2"/>
      <c r="E975" s="2"/>
      <c r="F975" s="2"/>
      <c r="G975" s="2"/>
    </row>
    <row r="976" spans="1:7" ht="13.2" x14ac:dyDescent="0.25">
      <c r="A976" s="2"/>
      <c r="B976" s="2"/>
      <c r="C976" s="2"/>
      <c r="D976" s="2"/>
      <c r="E976" s="2"/>
      <c r="F976" s="2"/>
      <c r="G976" s="2"/>
    </row>
    <row r="977" spans="1:7" ht="13.2" x14ac:dyDescent="0.25">
      <c r="A977" s="2"/>
      <c r="B977" s="2"/>
      <c r="C977" s="2"/>
      <c r="D977" s="2"/>
      <c r="E977" s="2"/>
      <c r="F977" s="2"/>
      <c r="G977" s="2"/>
    </row>
    <row r="978" spans="1:7" ht="13.2" x14ac:dyDescent="0.25">
      <c r="A978" s="2"/>
      <c r="B978" s="2"/>
      <c r="C978" s="2"/>
      <c r="D978" s="2"/>
      <c r="E978" s="2"/>
      <c r="F978" s="2"/>
      <c r="G978" s="2"/>
    </row>
    <row r="979" spans="1:7" ht="13.2" x14ac:dyDescent="0.25">
      <c r="A979" s="2"/>
      <c r="B979" s="2"/>
      <c r="C979" s="2"/>
      <c r="D979" s="2"/>
      <c r="E979" s="2"/>
      <c r="F979" s="2"/>
      <c r="G979" s="2"/>
    </row>
    <row r="980" spans="1:7" ht="13.2" x14ac:dyDescent="0.25">
      <c r="A980" s="2"/>
      <c r="B980" s="2"/>
      <c r="C980" s="2"/>
      <c r="D980" s="2"/>
      <c r="E980" s="2"/>
      <c r="F980" s="2"/>
      <c r="G980" s="2"/>
    </row>
    <row r="981" spans="1:7" ht="13.2" x14ac:dyDescent="0.25">
      <c r="A981" s="2"/>
      <c r="B981" s="2"/>
      <c r="C981" s="2"/>
      <c r="D981" s="2"/>
      <c r="E981" s="2"/>
      <c r="F981" s="2"/>
      <c r="G981" s="2"/>
    </row>
    <row r="982" spans="1:7" ht="13.2" x14ac:dyDescent="0.25">
      <c r="A982" s="2"/>
      <c r="B982" s="2"/>
      <c r="C982" s="2"/>
      <c r="D982" s="2"/>
      <c r="E982" s="2"/>
      <c r="F982" s="2"/>
      <c r="G982" s="2"/>
    </row>
    <row r="983" spans="1:7" ht="13.2" x14ac:dyDescent="0.25">
      <c r="A983" s="2"/>
      <c r="B983" s="2"/>
      <c r="C983" s="2"/>
      <c r="D983" s="2"/>
      <c r="E983" s="2"/>
      <c r="F983" s="2"/>
      <c r="G983" s="2"/>
    </row>
    <row r="984" spans="1:7" ht="13.2" x14ac:dyDescent="0.25">
      <c r="A984" s="2"/>
      <c r="B984" s="2"/>
      <c r="C984" s="2"/>
      <c r="D984" s="2"/>
      <c r="E984" s="2"/>
      <c r="F984" s="2"/>
      <c r="G984" s="2"/>
    </row>
    <row r="985" spans="1:7" ht="13.2" x14ac:dyDescent="0.25">
      <c r="A985" s="2"/>
      <c r="B985" s="2"/>
      <c r="C985" s="2"/>
      <c r="D985" s="2"/>
      <c r="E985" s="2"/>
      <c r="F985" s="2"/>
      <c r="G985" s="2"/>
    </row>
    <row r="986" spans="1:7" ht="13.2" x14ac:dyDescent="0.25">
      <c r="A986" s="2"/>
      <c r="B986" s="2"/>
      <c r="C986" s="2"/>
      <c r="D986" s="2"/>
      <c r="E986" s="2"/>
      <c r="F986" s="2"/>
      <c r="G986" s="2"/>
    </row>
    <row r="987" spans="1:7" ht="13.2" x14ac:dyDescent="0.25">
      <c r="A987" s="2"/>
      <c r="B987" s="2"/>
      <c r="C987" s="2"/>
      <c r="D987" s="2"/>
      <c r="E987" s="2"/>
      <c r="F987" s="2"/>
      <c r="G987" s="2"/>
    </row>
    <row r="988" spans="1:7" ht="13.2" x14ac:dyDescent="0.25">
      <c r="A988" s="2"/>
      <c r="B988" s="2"/>
      <c r="C988" s="2"/>
      <c r="D988" s="2"/>
      <c r="E988" s="2"/>
      <c r="F988" s="2"/>
      <c r="G988" s="2"/>
    </row>
    <row r="989" spans="1:7" ht="13.2" x14ac:dyDescent="0.25">
      <c r="A989" s="2"/>
      <c r="B989" s="2"/>
      <c r="C989" s="2"/>
      <c r="D989" s="2"/>
      <c r="E989" s="2"/>
      <c r="F989" s="2"/>
      <c r="G989" s="2"/>
    </row>
    <row r="990" spans="1:7" ht="13.2" x14ac:dyDescent="0.25">
      <c r="A990" s="2"/>
      <c r="B990" s="2"/>
      <c r="C990" s="2"/>
      <c r="D990" s="2"/>
      <c r="E990" s="2"/>
      <c r="F990" s="2"/>
      <c r="G990" s="2"/>
    </row>
    <row r="991" spans="1:7" ht="13.2" x14ac:dyDescent="0.25">
      <c r="A991" s="2"/>
      <c r="B991" s="2"/>
      <c r="C991" s="2"/>
      <c r="D991" s="2"/>
      <c r="E991" s="2"/>
      <c r="F991" s="2"/>
      <c r="G991" s="2"/>
    </row>
    <row r="992" spans="1:7" ht="13.2" x14ac:dyDescent="0.25">
      <c r="A992" s="2"/>
      <c r="B992" s="2"/>
      <c r="C992" s="2"/>
      <c r="D992" s="2"/>
      <c r="E992" s="2"/>
      <c r="F992" s="2"/>
      <c r="G992" s="2"/>
    </row>
    <row r="993" spans="1:7" ht="13.2" x14ac:dyDescent="0.25">
      <c r="A993" s="2"/>
      <c r="B993" s="2"/>
      <c r="C993" s="2"/>
      <c r="D993" s="2"/>
      <c r="E993" s="2"/>
      <c r="F993" s="2"/>
      <c r="G993" s="2"/>
    </row>
    <row r="994" spans="1:7" ht="13.2" x14ac:dyDescent="0.25">
      <c r="A994" s="2"/>
      <c r="B994" s="2"/>
      <c r="C994" s="2"/>
      <c r="D994" s="2"/>
      <c r="E994" s="2"/>
      <c r="F994" s="2"/>
      <c r="G994" s="2"/>
    </row>
    <row r="995" spans="1:7" ht="13.2" x14ac:dyDescent="0.25">
      <c r="A995" s="2"/>
      <c r="B995" s="2"/>
      <c r="C995" s="2"/>
      <c r="D995" s="2"/>
      <c r="E995" s="2"/>
      <c r="F995" s="2"/>
      <c r="G995" s="2"/>
    </row>
    <row r="996" spans="1:7" ht="13.2" x14ac:dyDescent="0.25">
      <c r="A996" s="2"/>
      <c r="B996" s="2"/>
      <c r="C996" s="2"/>
      <c r="D996" s="2"/>
      <c r="E996" s="2"/>
      <c r="F996" s="2"/>
      <c r="G996" s="2"/>
    </row>
    <row r="997" spans="1:7" ht="13.2" x14ac:dyDescent="0.25">
      <c r="A997" s="2"/>
      <c r="B997" s="2"/>
      <c r="C997" s="2"/>
      <c r="D997" s="2"/>
      <c r="E997" s="2"/>
      <c r="F997" s="2"/>
      <c r="G997" s="2"/>
    </row>
    <row r="998" spans="1:7" ht="13.2" x14ac:dyDescent="0.25">
      <c r="A998" s="2"/>
      <c r="B998" s="2"/>
      <c r="C998" s="2"/>
      <c r="D998" s="2"/>
      <c r="E998" s="2"/>
      <c r="F998" s="2"/>
      <c r="G998" s="2"/>
    </row>
    <row r="999" spans="1:7" ht="13.2" x14ac:dyDescent="0.25">
      <c r="A999" s="2"/>
      <c r="B999" s="2"/>
      <c r="C999" s="2"/>
      <c r="D999" s="2"/>
      <c r="E999" s="2"/>
      <c r="F999" s="2"/>
      <c r="G999" s="2"/>
    </row>
  </sheetData>
  <mergeCells count="3">
    <mergeCell ref="A2:H2"/>
    <mergeCell ref="A3:H3"/>
    <mergeCell ref="A18:G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95"/>
  <sheetViews>
    <sheetView showGridLines="0" workbookViewId="0">
      <selection activeCell="L13" sqref="L13"/>
    </sheetView>
  </sheetViews>
  <sheetFormatPr baseColWidth="10" defaultColWidth="12.6640625" defaultRowHeight="15.75" customHeight="1" x14ac:dyDescent="0.25"/>
  <sheetData>
    <row r="1" spans="1:9" ht="13.2" x14ac:dyDescent="0.25">
      <c r="A1" s="1" t="s">
        <v>40</v>
      </c>
      <c r="B1" s="1"/>
      <c r="C1" s="1"/>
      <c r="D1" s="1"/>
      <c r="E1" s="1"/>
      <c r="F1" s="1"/>
      <c r="G1" s="1"/>
      <c r="H1" s="1"/>
      <c r="I1" s="1"/>
    </row>
    <row r="2" spans="1:9" ht="13.2" x14ac:dyDescent="0.25">
      <c r="A2" s="314" t="s">
        <v>41</v>
      </c>
      <c r="B2" s="312"/>
      <c r="C2" s="312"/>
      <c r="D2" s="312"/>
      <c r="E2" s="312"/>
      <c r="F2" s="312"/>
      <c r="G2" s="312"/>
      <c r="H2" s="312"/>
      <c r="I2" s="312"/>
    </row>
    <row r="3" spans="1:9" ht="13.2" x14ac:dyDescent="0.25">
      <c r="A3" s="2"/>
      <c r="B3" s="2"/>
      <c r="C3" s="2"/>
      <c r="D3" s="2"/>
      <c r="E3" s="2"/>
      <c r="F3" s="2"/>
      <c r="G3" s="2"/>
    </row>
    <row r="4" spans="1:9" ht="13.2" x14ac:dyDescent="0.25">
      <c r="A4" s="2"/>
      <c r="B4" s="2"/>
      <c r="C4" s="2"/>
      <c r="D4" s="2"/>
      <c r="E4" s="2"/>
      <c r="F4" s="2"/>
      <c r="G4" s="2"/>
    </row>
    <row r="5" spans="1:9" ht="13.2" x14ac:dyDescent="0.25">
      <c r="A5" s="2"/>
      <c r="B5" s="39" t="s">
        <v>42</v>
      </c>
      <c r="C5" s="40" t="s">
        <v>25</v>
      </c>
      <c r="D5" s="2"/>
      <c r="E5" s="2"/>
      <c r="F5" s="2"/>
      <c r="G5" s="2"/>
    </row>
    <row r="6" spans="1:9" ht="13.2" x14ac:dyDescent="0.25">
      <c r="A6" s="2"/>
      <c r="B6" s="68">
        <v>1</v>
      </c>
      <c r="C6" s="51">
        <v>33</v>
      </c>
      <c r="E6" s="87" t="s">
        <v>43</v>
      </c>
    </row>
    <row r="7" spans="1:9" ht="13.2" x14ac:dyDescent="0.25">
      <c r="A7" s="2"/>
      <c r="B7" s="69">
        <v>2</v>
      </c>
      <c r="C7" s="53">
        <v>58</v>
      </c>
      <c r="D7" s="2"/>
      <c r="E7" s="2"/>
      <c r="F7" s="2"/>
      <c r="G7" s="2"/>
    </row>
    <row r="8" spans="1:9" ht="13.2" x14ac:dyDescent="0.25">
      <c r="A8" s="2"/>
      <c r="B8" s="69">
        <v>3</v>
      </c>
      <c r="C8" s="53">
        <v>83</v>
      </c>
      <c r="D8" s="2"/>
      <c r="E8" s="2"/>
      <c r="F8" s="2"/>
      <c r="G8" s="2"/>
    </row>
    <row r="9" spans="1:9" ht="13.2" x14ac:dyDescent="0.25">
      <c r="A9" s="2"/>
      <c r="B9" s="69">
        <v>4</v>
      </c>
      <c r="C9" s="53">
        <v>85</v>
      </c>
      <c r="D9" s="2"/>
      <c r="E9" s="2"/>
      <c r="F9" s="2"/>
      <c r="G9" s="2"/>
    </row>
    <row r="10" spans="1:9" ht="13.2" x14ac:dyDescent="0.25">
      <c r="A10" s="2"/>
      <c r="B10" s="69">
        <v>5</v>
      </c>
      <c r="C10" s="53">
        <v>104</v>
      </c>
      <c r="D10" s="2"/>
      <c r="E10" s="2"/>
      <c r="F10" s="2"/>
      <c r="G10" s="2"/>
    </row>
    <row r="11" spans="1:9" ht="13.2" x14ac:dyDescent="0.25">
      <c r="A11" s="2"/>
      <c r="B11" s="69">
        <v>6</v>
      </c>
      <c r="C11" s="53">
        <v>105</v>
      </c>
      <c r="D11" s="2"/>
      <c r="E11" s="2"/>
      <c r="F11" s="2"/>
      <c r="G11" s="2"/>
    </row>
    <row r="12" spans="1:9" ht="13.2" x14ac:dyDescent="0.25">
      <c r="A12" s="2"/>
      <c r="B12" s="70">
        <v>7</v>
      </c>
      <c r="C12" s="71">
        <v>128</v>
      </c>
      <c r="D12" s="2"/>
      <c r="E12" s="2"/>
      <c r="F12" s="2"/>
      <c r="G12" s="2"/>
    </row>
    <row r="13" spans="1:9" ht="13.2" x14ac:dyDescent="0.25">
      <c r="A13" s="2"/>
      <c r="B13" s="2"/>
      <c r="C13" s="2"/>
      <c r="D13" s="2"/>
      <c r="E13" s="2"/>
      <c r="F13" s="2"/>
      <c r="G13" s="2"/>
    </row>
    <row r="14" spans="1:9" ht="13.2" x14ac:dyDescent="0.25">
      <c r="A14" s="2"/>
      <c r="B14" s="2"/>
      <c r="C14" s="2"/>
      <c r="D14" s="2"/>
      <c r="E14" s="2"/>
      <c r="F14" s="2"/>
      <c r="G14" s="2"/>
    </row>
    <row r="15" spans="1:9" ht="13.2" x14ac:dyDescent="0.25">
      <c r="A15" s="314" t="s">
        <v>44</v>
      </c>
      <c r="B15" s="312"/>
      <c r="C15" s="312"/>
      <c r="D15" s="312"/>
      <c r="E15" s="312"/>
      <c r="F15" s="312"/>
      <c r="G15" s="312"/>
      <c r="H15" s="312"/>
    </row>
    <row r="16" spans="1:9" ht="13.2" x14ac:dyDescent="0.25">
      <c r="A16" s="314" t="s">
        <v>45</v>
      </c>
      <c r="B16" s="312"/>
      <c r="C16" s="312"/>
      <c r="D16" s="312"/>
      <c r="E16" s="312"/>
      <c r="F16" s="312"/>
      <c r="G16" s="312"/>
      <c r="H16" s="312"/>
    </row>
    <row r="17" spans="1:14" ht="13.2" x14ac:dyDescent="0.25">
      <c r="A17" s="314" t="s">
        <v>46</v>
      </c>
      <c r="B17" s="312"/>
      <c r="C17" s="312"/>
      <c r="D17" s="312"/>
      <c r="E17" s="312"/>
      <c r="F17" s="312"/>
      <c r="G17" s="312"/>
      <c r="H17" s="312"/>
    </row>
    <row r="18" spans="1:14" ht="13.2" x14ac:dyDescent="0.25">
      <c r="A18" s="2"/>
      <c r="B18" s="2"/>
      <c r="C18" s="2"/>
      <c r="D18" s="2"/>
      <c r="E18" s="2"/>
      <c r="F18" s="2"/>
      <c r="G18" s="2"/>
    </row>
    <row r="19" spans="1:14" ht="33.75" customHeight="1" x14ac:dyDescent="0.25">
      <c r="A19" s="8"/>
      <c r="B19" s="72" t="s">
        <v>42</v>
      </c>
      <c r="C19" s="73" t="s">
        <v>25</v>
      </c>
      <c r="D19" s="74" t="s">
        <v>37</v>
      </c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3.2" x14ac:dyDescent="0.25">
      <c r="A20" s="2"/>
      <c r="B20" s="75">
        <v>1</v>
      </c>
      <c r="C20" s="76">
        <v>33</v>
      </c>
      <c r="D20" s="77">
        <f t="shared" ref="D20:D27" si="0">$G$22*B20+$G$21</f>
        <v>42.285714285714278</v>
      </c>
    </row>
    <row r="21" spans="1:14" ht="13.2" x14ac:dyDescent="0.25">
      <c r="A21" s="2"/>
      <c r="B21" s="78">
        <v>2</v>
      </c>
      <c r="C21" s="2">
        <v>58</v>
      </c>
      <c r="D21" s="55">
        <f t="shared" si="0"/>
        <v>56.571428571428569</v>
      </c>
      <c r="F21" s="68" t="s">
        <v>38</v>
      </c>
      <c r="G21" s="79">
        <f>INTERCEPT(C20:C26,B20:B26)</f>
        <v>27.999999999999993</v>
      </c>
    </row>
    <row r="22" spans="1:14" ht="13.2" x14ac:dyDescent="0.25">
      <c r="A22" s="2"/>
      <c r="B22" s="78">
        <v>3</v>
      </c>
      <c r="C22" s="2">
        <v>83</v>
      </c>
      <c r="D22" s="55">
        <f t="shared" si="0"/>
        <v>70.857142857142861</v>
      </c>
      <c r="F22" s="70" t="s">
        <v>39</v>
      </c>
      <c r="G22" s="80">
        <f>SLOPE(C20:C26,B20:B26)</f>
        <v>14.285714285714286</v>
      </c>
    </row>
    <row r="23" spans="1:14" ht="13.2" x14ac:dyDescent="0.25">
      <c r="A23" s="2"/>
      <c r="B23" s="78">
        <v>4</v>
      </c>
      <c r="C23" s="2">
        <v>85</v>
      </c>
      <c r="D23" s="55">
        <f t="shared" si="0"/>
        <v>85.142857142857139</v>
      </c>
    </row>
    <row r="24" spans="1:14" ht="13.2" x14ac:dyDescent="0.25">
      <c r="A24" s="2"/>
      <c r="B24" s="78">
        <v>5</v>
      </c>
      <c r="C24" s="2">
        <v>104</v>
      </c>
      <c r="D24" s="55">
        <f t="shared" si="0"/>
        <v>99.428571428571416</v>
      </c>
      <c r="F24" s="87" t="s">
        <v>16</v>
      </c>
      <c r="G24" s="87"/>
    </row>
    <row r="25" spans="1:14" ht="13.2" x14ac:dyDescent="0.25">
      <c r="A25" s="2"/>
      <c r="B25" s="78">
        <v>6</v>
      </c>
      <c r="C25" s="2">
        <v>105</v>
      </c>
      <c r="D25" s="55">
        <f t="shared" si="0"/>
        <v>113.71428571428572</v>
      </c>
      <c r="F25" s="318" t="s">
        <v>47</v>
      </c>
      <c r="G25" s="319"/>
      <c r="H25" s="320"/>
    </row>
    <row r="26" spans="1:14" ht="13.2" x14ac:dyDescent="0.25">
      <c r="A26" s="2"/>
      <c r="B26" s="88">
        <v>7</v>
      </c>
      <c r="C26" s="89">
        <v>128</v>
      </c>
      <c r="D26" s="60">
        <f t="shared" si="0"/>
        <v>128</v>
      </c>
      <c r="F26" s="315" t="s">
        <v>48</v>
      </c>
      <c r="G26" s="316"/>
      <c r="H26" s="317"/>
    </row>
    <row r="27" spans="1:14" ht="13.2" x14ac:dyDescent="0.25">
      <c r="A27" s="81" t="s">
        <v>20</v>
      </c>
      <c r="B27" s="84">
        <v>8</v>
      </c>
      <c r="C27" s="85"/>
      <c r="D27" s="86">
        <f t="shared" si="0"/>
        <v>142.28571428571428</v>
      </c>
    </row>
    <row r="28" spans="1:14" ht="13.2" x14ac:dyDescent="0.25">
      <c r="A28" s="2"/>
      <c r="B28" s="2"/>
      <c r="C28" s="2"/>
      <c r="D28" s="2"/>
      <c r="E28" s="2"/>
      <c r="F28" s="2"/>
      <c r="G28" s="2"/>
    </row>
    <row r="29" spans="1:14" ht="13.2" x14ac:dyDescent="0.25">
      <c r="A29" s="2"/>
      <c r="B29" s="2"/>
      <c r="C29" s="2"/>
      <c r="D29" s="2"/>
      <c r="E29" s="2"/>
      <c r="F29" s="2"/>
      <c r="G29" s="2"/>
    </row>
    <row r="30" spans="1:14" ht="13.2" x14ac:dyDescent="0.25">
      <c r="A30" s="2"/>
      <c r="B30" s="2"/>
      <c r="C30" s="2"/>
      <c r="D30" s="2"/>
      <c r="E30" s="2"/>
      <c r="F30" s="2"/>
      <c r="G30" s="2"/>
    </row>
    <row r="31" spans="1:14" ht="13.2" x14ac:dyDescent="0.25">
      <c r="A31" s="2"/>
      <c r="B31" s="2"/>
      <c r="C31" s="2"/>
      <c r="D31" s="2"/>
      <c r="E31" s="2"/>
      <c r="F31" s="2"/>
      <c r="G31" s="2"/>
    </row>
    <row r="32" spans="1:14" ht="13.2" x14ac:dyDescent="0.25">
      <c r="A32" s="2"/>
      <c r="B32" s="2"/>
      <c r="C32" s="2"/>
      <c r="D32" s="2"/>
      <c r="E32" s="2"/>
      <c r="F32" s="2"/>
      <c r="G32" s="2"/>
    </row>
    <row r="33" spans="1:7" ht="13.2" x14ac:dyDescent="0.25">
      <c r="A33" s="2"/>
      <c r="B33" s="2"/>
      <c r="C33" s="2"/>
      <c r="D33" s="2"/>
      <c r="E33" s="2"/>
      <c r="F33" s="2"/>
      <c r="G33" s="2"/>
    </row>
    <row r="34" spans="1:7" ht="13.2" x14ac:dyDescent="0.25">
      <c r="A34" s="2"/>
      <c r="B34" s="2"/>
      <c r="C34" s="2"/>
      <c r="D34" s="2"/>
      <c r="E34" s="2"/>
      <c r="F34" s="2"/>
      <c r="G34" s="2"/>
    </row>
    <row r="35" spans="1:7" ht="13.2" x14ac:dyDescent="0.25">
      <c r="A35" s="2"/>
      <c r="B35" s="2"/>
      <c r="C35" s="2"/>
      <c r="D35" s="2"/>
      <c r="E35" s="2"/>
      <c r="F35" s="2"/>
      <c r="G35" s="2"/>
    </row>
    <row r="36" spans="1:7" ht="13.2" x14ac:dyDescent="0.25">
      <c r="A36" s="2"/>
      <c r="B36" s="2"/>
      <c r="C36" s="2"/>
      <c r="D36" s="2"/>
      <c r="E36" s="2"/>
      <c r="F36" s="2"/>
      <c r="G36" s="2"/>
    </row>
    <row r="37" spans="1:7" ht="13.2" x14ac:dyDescent="0.25">
      <c r="A37" s="2"/>
      <c r="B37" s="2"/>
      <c r="C37" s="2"/>
      <c r="D37" s="2"/>
      <c r="E37" s="2"/>
      <c r="F37" s="2"/>
      <c r="G37" s="2"/>
    </row>
    <row r="38" spans="1:7" ht="13.2" x14ac:dyDescent="0.25">
      <c r="A38" s="2"/>
      <c r="B38" s="2"/>
      <c r="C38" s="2"/>
      <c r="D38" s="2"/>
      <c r="E38" s="2"/>
      <c r="F38" s="2"/>
      <c r="G38" s="2"/>
    </row>
    <row r="39" spans="1:7" ht="13.2" x14ac:dyDescent="0.25">
      <c r="A39" s="2"/>
      <c r="B39" s="2"/>
      <c r="C39" s="2"/>
      <c r="D39" s="2"/>
      <c r="E39" s="2"/>
      <c r="F39" s="2"/>
      <c r="G39" s="2"/>
    </row>
    <row r="40" spans="1:7" ht="13.2" x14ac:dyDescent="0.25">
      <c r="A40" s="2"/>
      <c r="B40" s="2"/>
      <c r="C40" s="2"/>
      <c r="D40" s="2"/>
      <c r="E40" s="2"/>
      <c r="F40" s="2"/>
      <c r="G40" s="2"/>
    </row>
    <row r="41" spans="1:7" ht="13.2" x14ac:dyDescent="0.25">
      <c r="A41" s="2"/>
      <c r="B41" s="2"/>
      <c r="C41" s="2"/>
      <c r="D41" s="2"/>
      <c r="E41" s="2"/>
      <c r="F41" s="2"/>
      <c r="G41" s="2"/>
    </row>
    <row r="42" spans="1:7" ht="13.2" x14ac:dyDescent="0.25">
      <c r="A42" s="2"/>
      <c r="B42" s="2"/>
      <c r="C42" s="2"/>
      <c r="D42" s="2"/>
      <c r="E42" s="2"/>
      <c r="F42" s="2"/>
      <c r="G42" s="2"/>
    </row>
    <row r="43" spans="1:7" ht="13.2" x14ac:dyDescent="0.25">
      <c r="A43" s="2"/>
      <c r="B43" s="2"/>
      <c r="C43" s="2"/>
      <c r="D43" s="2"/>
      <c r="E43" s="2"/>
      <c r="F43" s="2"/>
      <c r="G43" s="2"/>
    </row>
    <row r="44" spans="1:7" ht="13.2" x14ac:dyDescent="0.25">
      <c r="A44" s="2"/>
      <c r="B44" s="2"/>
      <c r="C44" s="2"/>
      <c r="D44" s="2"/>
      <c r="E44" s="2"/>
      <c r="F44" s="2"/>
      <c r="G44" s="2"/>
    </row>
    <row r="45" spans="1:7" ht="13.2" x14ac:dyDescent="0.25">
      <c r="A45" s="2"/>
      <c r="B45" s="2"/>
      <c r="C45" s="2"/>
      <c r="D45" s="2"/>
      <c r="E45" s="2"/>
      <c r="F45" s="2"/>
      <c r="G45" s="2"/>
    </row>
    <row r="46" spans="1:7" ht="13.2" x14ac:dyDescent="0.25">
      <c r="A46" s="2"/>
      <c r="B46" s="2"/>
      <c r="C46" s="2"/>
      <c r="D46" s="2"/>
      <c r="E46" s="2"/>
      <c r="F46" s="2"/>
      <c r="G46" s="2"/>
    </row>
    <row r="47" spans="1:7" ht="13.2" x14ac:dyDescent="0.25">
      <c r="A47" s="2"/>
      <c r="B47" s="2"/>
      <c r="C47" s="2"/>
      <c r="D47" s="2"/>
      <c r="E47" s="2"/>
      <c r="F47" s="2"/>
      <c r="G47" s="2"/>
    </row>
    <row r="48" spans="1:7" ht="13.2" x14ac:dyDescent="0.25">
      <c r="A48" s="2"/>
      <c r="B48" s="2"/>
      <c r="C48" s="2"/>
      <c r="D48" s="2"/>
      <c r="E48" s="2"/>
      <c r="F48" s="2"/>
      <c r="G48" s="2"/>
    </row>
    <row r="49" spans="1:7" ht="13.2" x14ac:dyDescent="0.25">
      <c r="A49" s="2"/>
      <c r="B49" s="2"/>
      <c r="C49" s="2"/>
      <c r="D49" s="2"/>
      <c r="E49" s="2"/>
      <c r="F49" s="2"/>
      <c r="G49" s="2"/>
    </row>
    <row r="50" spans="1:7" ht="13.2" x14ac:dyDescent="0.25">
      <c r="A50" s="2"/>
      <c r="B50" s="2"/>
      <c r="C50" s="2"/>
      <c r="D50" s="2"/>
      <c r="E50" s="2"/>
      <c r="F50" s="2"/>
      <c r="G50" s="2"/>
    </row>
    <row r="51" spans="1:7" ht="13.2" x14ac:dyDescent="0.25">
      <c r="A51" s="2"/>
      <c r="B51" s="2"/>
      <c r="C51" s="2"/>
      <c r="D51" s="2"/>
      <c r="E51" s="2"/>
      <c r="F51" s="2"/>
      <c r="G51" s="2"/>
    </row>
    <row r="52" spans="1:7" ht="13.2" x14ac:dyDescent="0.25">
      <c r="A52" s="2"/>
      <c r="B52" s="2"/>
      <c r="C52" s="2"/>
      <c r="D52" s="2"/>
      <c r="E52" s="2"/>
      <c r="F52" s="2"/>
      <c r="G52" s="2"/>
    </row>
    <row r="53" spans="1:7" ht="13.2" x14ac:dyDescent="0.25">
      <c r="A53" s="2"/>
      <c r="B53" s="2"/>
      <c r="C53" s="2"/>
      <c r="D53" s="2"/>
      <c r="E53" s="2"/>
      <c r="F53" s="2"/>
      <c r="G53" s="2"/>
    </row>
    <row r="54" spans="1:7" ht="13.2" x14ac:dyDescent="0.25">
      <c r="A54" s="2"/>
      <c r="B54" s="2"/>
      <c r="C54" s="2"/>
      <c r="D54" s="2"/>
      <c r="E54" s="2"/>
      <c r="F54" s="2"/>
      <c r="G54" s="2"/>
    </row>
    <row r="55" spans="1:7" ht="13.2" x14ac:dyDescent="0.25">
      <c r="A55" s="2"/>
      <c r="B55" s="2"/>
      <c r="C55" s="2"/>
      <c r="D55" s="2"/>
      <c r="E55" s="2"/>
      <c r="F55" s="2"/>
      <c r="G55" s="2"/>
    </row>
    <row r="56" spans="1:7" ht="13.2" x14ac:dyDescent="0.25">
      <c r="A56" s="2"/>
      <c r="B56" s="2"/>
      <c r="C56" s="2"/>
      <c r="D56" s="2"/>
      <c r="E56" s="2"/>
      <c r="F56" s="2"/>
      <c r="G56" s="2"/>
    </row>
    <row r="57" spans="1:7" ht="13.2" x14ac:dyDescent="0.25">
      <c r="A57" s="2"/>
      <c r="B57" s="2"/>
      <c r="C57" s="2"/>
      <c r="D57" s="2"/>
      <c r="E57" s="2"/>
      <c r="F57" s="2"/>
      <c r="G57" s="2"/>
    </row>
    <row r="58" spans="1:7" ht="13.2" x14ac:dyDescent="0.25">
      <c r="A58" s="2"/>
      <c r="B58" s="2"/>
      <c r="C58" s="2"/>
      <c r="D58" s="2"/>
      <c r="E58" s="2"/>
      <c r="F58" s="2"/>
      <c r="G58" s="2"/>
    </row>
    <row r="59" spans="1:7" ht="13.2" x14ac:dyDescent="0.25">
      <c r="A59" s="2"/>
      <c r="B59" s="2"/>
      <c r="C59" s="2"/>
      <c r="D59" s="2"/>
      <c r="E59" s="2"/>
      <c r="F59" s="2"/>
      <c r="G59" s="2"/>
    </row>
    <row r="60" spans="1:7" ht="13.2" x14ac:dyDescent="0.25">
      <c r="A60" s="2"/>
      <c r="B60" s="2"/>
      <c r="C60" s="2"/>
      <c r="D60" s="2"/>
      <c r="E60" s="2"/>
      <c r="F60" s="2"/>
      <c r="G60" s="2"/>
    </row>
    <row r="61" spans="1:7" ht="13.2" x14ac:dyDescent="0.25">
      <c r="A61" s="2"/>
      <c r="B61" s="2"/>
      <c r="C61" s="2"/>
      <c r="D61" s="2"/>
      <c r="E61" s="2"/>
      <c r="F61" s="2"/>
      <c r="G61" s="2"/>
    </row>
    <row r="62" spans="1:7" ht="13.2" x14ac:dyDescent="0.25">
      <c r="A62" s="2"/>
      <c r="B62" s="2"/>
      <c r="C62" s="2"/>
      <c r="D62" s="2"/>
      <c r="E62" s="2"/>
      <c r="F62" s="2"/>
      <c r="G62" s="2"/>
    </row>
    <row r="63" spans="1:7" ht="13.2" x14ac:dyDescent="0.25">
      <c r="A63" s="2"/>
      <c r="B63" s="2"/>
      <c r="C63" s="2"/>
      <c r="D63" s="2"/>
      <c r="E63" s="2"/>
      <c r="F63" s="2"/>
      <c r="G63" s="2"/>
    </row>
    <row r="64" spans="1:7" ht="13.2" x14ac:dyDescent="0.25">
      <c r="A64" s="2"/>
      <c r="B64" s="2"/>
      <c r="C64" s="2"/>
      <c r="D64" s="2"/>
      <c r="E64" s="2"/>
      <c r="F64" s="2"/>
      <c r="G64" s="2"/>
    </row>
    <row r="65" spans="1:7" ht="13.2" x14ac:dyDescent="0.25">
      <c r="A65" s="2"/>
      <c r="B65" s="2"/>
      <c r="C65" s="2"/>
      <c r="D65" s="2"/>
      <c r="E65" s="2"/>
      <c r="F65" s="2"/>
      <c r="G65" s="2"/>
    </row>
    <row r="66" spans="1:7" ht="13.2" x14ac:dyDescent="0.25">
      <c r="A66" s="2"/>
      <c r="B66" s="2"/>
      <c r="C66" s="2"/>
      <c r="D66" s="2"/>
      <c r="E66" s="2"/>
      <c r="F66" s="2"/>
      <c r="G66" s="2"/>
    </row>
    <row r="67" spans="1:7" ht="13.2" x14ac:dyDescent="0.25">
      <c r="A67" s="2"/>
      <c r="B67" s="2"/>
      <c r="C67" s="2"/>
      <c r="D67" s="2"/>
      <c r="E67" s="2"/>
      <c r="F67" s="2"/>
      <c r="G67" s="2"/>
    </row>
    <row r="68" spans="1:7" ht="13.2" x14ac:dyDescent="0.25">
      <c r="A68" s="2"/>
      <c r="B68" s="2"/>
      <c r="C68" s="2"/>
      <c r="D68" s="2"/>
      <c r="E68" s="2"/>
      <c r="F68" s="2"/>
      <c r="G68" s="2"/>
    </row>
    <row r="69" spans="1:7" ht="13.2" x14ac:dyDescent="0.25">
      <c r="A69" s="2"/>
      <c r="B69" s="2"/>
      <c r="C69" s="2"/>
      <c r="D69" s="2"/>
      <c r="E69" s="2"/>
      <c r="F69" s="2"/>
      <c r="G69" s="2"/>
    </row>
    <row r="70" spans="1:7" ht="13.2" x14ac:dyDescent="0.25">
      <c r="A70" s="2"/>
      <c r="B70" s="2"/>
      <c r="C70" s="2"/>
      <c r="D70" s="2"/>
      <c r="E70" s="2"/>
      <c r="F70" s="2"/>
      <c r="G70" s="2"/>
    </row>
    <row r="71" spans="1:7" ht="13.2" x14ac:dyDescent="0.25">
      <c r="A71" s="2"/>
      <c r="B71" s="2"/>
      <c r="C71" s="2"/>
      <c r="D71" s="2"/>
      <c r="E71" s="2"/>
      <c r="F71" s="2"/>
      <c r="G71" s="2"/>
    </row>
    <row r="72" spans="1:7" ht="13.2" x14ac:dyDescent="0.25">
      <c r="A72" s="2"/>
      <c r="B72" s="2"/>
      <c r="C72" s="2"/>
      <c r="D72" s="2"/>
      <c r="E72" s="2"/>
      <c r="F72" s="2"/>
      <c r="G72" s="2"/>
    </row>
    <row r="73" spans="1:7" ht="13.2" x14ac:dyDescent="0.25">
      <c r="A73" s="2"/>
      <c r="B73" s="2"/>
      <c r="C73" s="2"/>
      <c r="D73" s="2"/>
      <c r="E73" s="2"/>
      <c r="F73" s="2"/>
      <c r="G73" s="2"/>
    </row>
    <row r="74" spans="1:7" ht="13.2" x14ac:dyDescent="0.25">
      <c r="A74" s="2"/>
      <c r="B74" s="2"/>
      <c r="C74" s="2"/>
      <c r="D74" s="2"/>
      <c r="E74" s="2"/>
      <c r="F74" s="2"/>
      <c r="G74" s="2"/>
    </row>
    <row r="75" spans="1:7" ht="13.2" x14ac:dyDescent="0.25">
      <c r="A75" s="2"/>
      <c r="B75" s="2"/>
      <c r="C75" s="2"/>
      <c r="D75" s="2"/>
      <c r="E75" s="2"/>
      <c r="F75" s="2"/>
      <c r="G75" s="2"/>
    </row>
    <row r="76" spans="1:7" ht="13.2" x14ac:dyDescent="0.25">
      <c r="A76" s="2"/>
      <c r="B76" s="2"/>
      <c r="C76" s="2"/>
      <c r="D76" s="2"/>
      <c r="E76" s="2"/>
      <c r="F76" s="2"/>
      <c r="G76" s="2"/>
    </row>
    <row r="77" spans="1:7" ht="13.2" x14ac:dyDescent="0.25">
      <c r="A77" s="2"/>
      <c r="B77" s="2"/>
      <c r="C77" s="2"/>
      <c r="D77" s="2"/>
      <c r="E77" s="2"/>
      <c r="F77" s="2"/>
      <c r="G77" s="2"/>
    </row>
    <row r="78" spans="1:7" ht="13.2" x14ac:dyDescent="0.25">
      <c r="A78" s="2"/>
      <c r="B78" s="2"/>
      <c r="C78" s="2"/>
      <c r="D78" s="2"/>
      <c r="E78" s="2"/>
      <c r="F78" s="2"/>
      <c r="G78" s="2"/>
    </row>
    <row r="79" spans="1:7" ht="13.2" x14ac:dyDescent="0.25">
      <c r="A79" s="2"/>
      <c r="B79" s="2"/>
      <c r="C79" s="2"/>
      <c r="D79" s="2"/>
      <c r="E79" s="2"/>
      <c r="F79" s="2"/>
      <c r="G79" s="2"/>
    </row>
    <row r="80" spans="1:7" ht="13.2" x14ac:dyDescent="0.25">
      <c r="A80" s="2"/>
      <c r="B80" s="2"/>
      <c r="C80" s="2"/>
      <c r="D80" s="2"/>
      <c r="E80" s="2"/>
      <c r="F80" s="2"/>
      <c r="G80" s="2"/>
    </row>
    <row r="81" spans="1:7" ht="13.2" x14ac:dyDescent="0.25">
      <c r="A81" s="2"/>
      <c r="B81" s="2"/>
      <c r="C81" s="2"/>
      <c r="D81" s="2"/>
      <c r="E81" s="2"/>
      <c r="F81" s="2"/>
      <c r="G81" s="2"/>
    </row>
    <row r="82" spans="1:7" ht="13.2" x14ac:dyDescent="0.25">
      <c r="A82" s="2"/>
      <c r="B82" s="2"/>
      <c r="C82" s="2"/>
      <c r="D82" s="2"/>
      <c r="E82" s="2"/>
      <c r="F82" s="2"/>
      <c r="G82" s="2"/>
    </row>
    <row r="83" spans="1:7" ht="13.2" x14ac:dyDescent="0.25">
      <c r="A83" s="2"/>
      <c r="B83" s="2"/>
      <c r="C83" s="2"/>
      <c r="D83" s="2"/>
      <c r="E83" s="2"/>
      <c r="F83" s="2"/>
      <c r="G83" s="2"/>
    </row>
    <row r="84" spans="1:7" ht="13.2" x14ac:dyDescent="0.25">
      <c r="A84" s="2"/>
      <c r="B84" s="2"/>
      <c r="C84" s="2"/>
      <c r="D84" s="2"/>
      <c r="E84" s="2"/>
      <c r="F84" s="2"/>
      <c r="G84" s="2"/>
    </row>
    <row r="85" spans="1:7" ht="13.2" x14ac:dyDescent="0.25">
      <c r="A85" s="2"/>
      <c r="B85" s="2"/>
      <c r="C85" s="2"/>
      <c r="D85" s="2"/>
      <c r="E85" s="2"/>
      <c r="F85" s="2"/>
      <c r="G85" s="2"/>
    </row>
    <row r="86" spans="1:7" ht="13.2" x14ac:dyDescent="0.25">
      <c r="A86" s="2"/>
      <c r="B86" s="2"/>
      <c r="C86" s="2"/>
      <c r="D86" s="2"/>
      <c r="E86" s="2"/>
      <c r="F86" s="2"/>
      <c r="G86" s="2"/>
    </row>
    <row r="87" spans="1:7" ht="13.2" x14ac:dyDescent="0.25">
      <c r="A87" s="2"/>
      <c r="B87" s="2"/>
      <c r="C87" s="2"/>
      <c r="D87" s="2"/>
      <c r="E87" s="2"/>
      <c r="F87" s="2"/>
      <c r="G87" s="2"/>
    </row>
    <row r="88" spans="1:7" ht="13.2" x14ac:dyDescent="0.25">
      <c r="A88" s="2"/>
      <c r="B88" s="2"/>
      <c r="C88" s="2"/>
      <c r="D88" s="2"/>
      <c r="E88" s="2"/>
      <c r="F88" s="2"/>
      <c r="G88" s="2"/>
    </row>
    <row r="89" spans="1:7" ht="13.2" x14ac:dyDescent="0.25">
      <c r="A89" s="2"/>
      <c r="B89" s="2"/>
      <c r="C89" s="2"/>
      <c r="D89" s="2"/>
      <c r="E89" s="2"/>
      <c r="F89" s="2"/>
      <c r="G89" s="2"/>
    </row>
    <row r="90" spans="1:7" ht="13.2" x14ac:dyDescent="0.25">
      <c r="A90" s="2"/>
      <c r="B90" s="2"/>
      <c r="C90" s="2"/>
      <c r="D90" s="2"/>
      <c r="E90" s="2"/>
      <c r="F90" s="2"/>
      <c r="G90" s="2"/>
    </row>
    <row r="91" spans="1:7" ht="13.2" x14ac:dyDescent="0.25">
      <c r="A91" s="2"/>
      <c r="B91" s="2"/>
      <c r="C91" s="2"/>
      <c r="D91" s="2"/>
      <c r="E91" s="2"/>
      <c r="F91" s="2"/>
      <c r="G91" s="2"/>
    </row>
    <row r="92" spans="1:7" ht="13.2" x14ac:dyDescent="0.25">
      <c r="A92" s="2"/>
      <c r="B92" s="2"/>
      <c r="C92" s="2"/>
      <c r="D92" s="2"/>
      <c r="E92" s="2"/>
      <c r="F92" s="2"/>
      <c r="G92" s="2"/>
    </row>
    <row r="93" spans="1:7" ht="13.2" x14ac:dyDescent="0.25">
      <c r="A93" s="2"/>
      <c r="B93" s="2"/>
      <c r="C93" s="2"/>
      <c r="D93" s="2"/>
      <c r="E93" s="2"/>
      <c r="F93" s="2"/>
      <c r="G93" s="2"/>
    </row>
    <row r="94" spans="1:7" ht="13.2" x14ac:dyDescent="0.25">
      <c r="A94" s="2"/>
      <c r="B94" s="2"/>
      <c r="C94" s="2"/>
      <c r="D94" s="2"/>
      <c r="E94" s="2"/>
      <c r="F94" s="2"/>
      <c r="G94" s="2"/>
    </row>
    <row r="95" spans="1:7" ht="13.2" x14ac:dyDescent="0.25">
      <c r="A95" s="2"/>
      <c r="B95" s="2"/>
      <c r="C95" s="2"/>
      <c r="D95" s="2"/>
      <c r="E95" s="2"/>
      <c r="F95" s="2"/>
      <c r="G95" s="2"/>
    </row>
    <row r="96" spans="1:7" ht="13.2" x14ac:dyDescent="0.25">
      <c r="A96" s="2"/>
      <c r="B96" s="2"/>
      <c r="C96" s="2"/>
      <c r="D96" s="2"/>
      <c r="E96" s="2"/>
      <c r="F96" s="2"/>
      <c r="G96" s="2"/>
    </row>
    <row r="97" spans="1:7" ht="13.2" x14ac:dyDescent="0.25">
      <c r="A97" s="2"/>
      <c r="B97" s="2"/>
      <c r="C97" s="2"/>
      <c r="D97" s="2"/>
      <c r="E97" s="2"/>
      <c r="F97" s="2"/>
      <c r="G97" s="2"/>
    </row>
    <row r="98" spans="1:7" ht="13.2" x14ac:dyDescent="0.25">
      <c r="A98" s="2"/>
      <c r="B98" s="2"/>
      <c r="C98" s="2"/>
      <c r="D98" s="2"/>
      <c r="E98" s="2"/>
      <c r="F98" s="2"/>
      <c r="G98" s="2"/>
    </row>
    <row r="99" spans="1:7" ht="13.2" x14ac:dyDescent="0.25">
      <c r="A99" s="2"/>
      <c r="B99" s="2"/>
      <c r="C99" s="2"/>
      <c r="D99" s="2"/>
      <c r="E99" s="2"/>
      <c r="F99" s="2"/>
      <c r="G99" s="2"/>
    </row>
    <row r="100" spans="1:7" ht="13.2" x14ac:dyDescent="0.25">
      <c r="A100" s="2"/>
      <c r="B100" s="2"/>
      <c r="C100" s="2"/>
      <c r="D100" s="2"/>
      <c r="E100" s="2"/>
      <c r="F100" s="2"/>
      <c r="G100" s="2"/>
    </row>
    <row r="101" spans="1:7" ht="13.2" x14ac:dyDescent="0.25">
      <c r="A101" s="2"/>
      <c r="B101" s="2"/>
      <c r="C101" s="2"/>
      <c r="D101" s="2"/>
      <c r="E101" s="2"/>
      <c r="F101" s="2"/>
      <c r="G101" s="2"/>
    </row>
    <row r="102" spans="1:7" ht="13.2" x14ac:dyDescent="0.25">
      <c r="A102" s="2"/>
      <c r="B102" s="2"/>
      <c r="C102" s="2"/>
      <c r="D102" s="2"/>
      <c r="E102" s="2"/>
      <c r="F102" s="2"/>
      <c r="G102" s="2"/>
    </row>
    <row r="103" spans="1:7" ht="13.2" x14ac:dyDescent="0.25">
      <c r="A103" s="2"/>
      <c r="B103" s="2"/>
      <c r="C103" s="2"/>
      <c r="D103" s="2"/>
      <c r="E103" s="2"/>
      <c r="F103" s="2"/>
      <c r="G103" s="2"/>
    </row>
    <row r="104" spans="1:7" ht="13.2" x14ac:dyDescent="0.25">
      <c r="A104" s="2"/>
      <c r="B104" s="2"/>
      <c r="C104" s="2"/>
      <c r="D104" s="2"/>
      <c r="E104" s="2"/>
      <c r="F104" s="2"/>
      <c r="G104" s="2"/>
    </row>
    <row r="105" spans="1:7" ht="13.2" x14ac:dyDescent="0.25">
      <c r="A105" s="2"/>
      <c r="B105" s="2"/>
      <c r="C105" s="2"/>
      <c r="D105" s="2"/>
      <c r="E105" s="2"/>
      <c r="F105" s="2"/>
      <c r="G105" s="2"/>
    </row>
    <row r="106" spans="1:7" ht="13.2" x14ac:dyDescent="0.25">
      <c r="A106" s="2"/>
      <c r="B106" s="2"/>
      <c r="C106" s="2"/>
      <c r="D106" s="2"/>
      <c r="E106" s="2"/>
      <c r="F106" s="2"/>
      <c r="G106" s="2"/>
    </row>
    <row r="107" spans="1:7" ht="13.2" x14ac:dyDescent="0.25">
      <c r="A107" s="2"/>
      <c r="B107" s="2"/>
      <c r="C107" s="2"/>
      <c r="D107" s="2"/>
      <c r="E107" s="2"/>
      <c r="F107" s="2"/>
      <c r="G107" s="2"/>
    </row>
    <row r="108" spans="1:7" ht="13.2" x14ac:dyDescent="0.25">
      <c r="A108" s="2"/>
      <c r="B108" s="2"/>
      <c r="C108" s="2"/>
      <c r="D108" s="2"/>
      <c r="E108" s="2"/>
      <c r="F108" s="2"/>
      <c r="G108" s="2"/>
    </row>
    <row r="109" spans="1:7" ht="13.2" x14ac:dyDescent="0.25">
      <c r="A109" s="2"/>
      <c r="B109" s="2"/>
      <c r="C109" s="2"/>
      <c r="D109" s="2"/>
      <c r="E109" s="2"/>
      <c r="F109" s="2"/>
      <c r="G109" s="2"/>
    </row>
    <row r="110" spans="1:7" ht="13.2" x14ac:dyDescent="0.25">
      <c r="A110" s="2"/>
      <c r="B110" s="2"/>
      <c r="C110" s="2"/>
      <c r="D110" s="2"/>
      <c r="E110" s="2"/>
      <c r="F110" s="2"/>
      <c r="G110" s="2"/>
    </row>
    <row r="111" spans="1:7" ht="13.2" x14ac:dyDescent="0.25">
      <c r="A111" s="2"/>
      <c r="B111" s="2"/>
      <c r="C111" s="2"/>
      <c r="D111" s="2"/>
      <c r="E111" s="2"/>
      <c r="F111" s="2"/>
      <c r="G111" s="2"/>
    </row>
    <row r="112" spans="1:7" ht="13.2" x14ac:dyDescent="0.25">
      <c r="A112" s="2"/>
      <c r="B112" s="2"/>
      <c r="C112" s="2"/>
      <c r="D112" s="2"/>
      <c r="E112" s="2"/>
      <c r="F112" s="2"/>
      <c r="G112" s="2"/>
    </row>
    <row r="113" spans="1:7" ht="13.2" x14ac:dyDescent="0.25">
      <c r="A113" s="2"/>
      <c r="B113" s="2"/>
      <c r="C113" s="2"/>
      <c r="D113" s="2"/>
      <c r="E113" s="2"/>
      <c r="F113" s="2"/>
      <c r="G113" s="2"/>
    </row>
    <row r="114" spans="1:7" ht="13.2" x14ac:dyDescent="0.25">
      <c r="A114" s="2"/>
      <c r="B114" s="2"/>
      <c r="C114" s="2"/>
      <c r="D114" s="2"/>
      <c r="E114" s="2"/>
      <c r="F114" s="2"/>
      <c r="G114" s="2"/>
    </row>
    <row r="115" spans="1:7" ht="13.2" x14ac:dyDescent="0.25">
      <c r="A115" s="2"/>
      <c r="B115" s="2"/>
      <c r="C115" s="2"/>
      <c r="D115" s="2"/>
      <c r="E115" s="2"/>
      <c r="F115" s="2"/>
      <c r="G115" s="2"/>
    </row>
    <row r="116" spans="1:7" ht="13.2" x14ac:dyDescent="0.25">
      <c r="A116" s="2"/>
      <c r="B116" s="2"/>
      <c r="C116" s="2"/>
      <c r="D116" s="2"/>
      <c r="E116" s="2"/>
      <c r="F116" s="2"/>
      <c r="G116" s="2"/>
    </row>
    <row r="117" spans="1:7" ht="13.2" x14ac:dyDescent="0.25">
      <c r="A117" s="2"/>
      <c r="B117" s="2"/>
      <c r="C117" s="2"/>
      <c r="D117" s="2"/>
      <c r="E117" s="2"/>
      <c r="F117" s="2"/>
      <c r="G117" s="2"/>
    </row>
    <row r="118" spans="1:7" ht="13.2" x14ac:dyDescent="0.25">
      <c r="A118" s="2"/>
      <c r="B118" s="2"/>
      <c r="C118" s="2"/>
      <c r="D118" s="2"/>
      <c r="E118" s="2"/>
      <c r="F118" s="2"/>
      <c r="G118" s="2"/>
    </row>
    <row r="119" spans="1:7" ht="13.2" x14ac:dyDescent="0.25">
      <c r="A119" s="2"/>
      <c r="B119" s="2"/>
      <c r="C119" s="2"/>
      <c r="D119" s="2"/>
      <c r="E119" s="2"/>
      <c r="F119" s="2"/>
      <c r="G119" s="2"/>
    </row>
    <row r="120" spans="1:7" ht="13.2" x14ac:dyDescent="0.25">
      <c r="A120" s="2"/>
      <c r="B120" s="2"/>
      <c r="C120" s="2"/>
      <c r="D120" s="2"/>
      <c r="E120" s="2"/>
      <c r="F120" s="2"/>
      <c r="G120" s="2"/>
    </row>
    <row r="121" spans="1:7" ht="13.2" x14ac:dyDescent="0.25">
      <c r="A121" s="2"/>
      <c r="B121" s="2"/>
      <c r="C121" s="2"/>
      <c r="D121" s="2"/>
      <c r="E121" s="2"/>
      <c r="F121" s="2"/>
      <c r="G121" s="2"/>
    </row>
    <row r="122" spans="1:7" ht="13.2" x14ac:dyDescent="0.25">
      <c r="A122" s="2"/>
      <c r="B122" s="2"/>
      <c r="C122" s="2"/>
      <c r="D122" s="2"/>
      <c r="E122" s="2"/>
      <c r="F122" s="2"/>
      <c r="G122" s="2"/>
    </row>
    <row r="123" spans="1:7" ht="13.2" x14ac:dyDescent="0.25">
      <c r="A123" s="2"/>
      <c r="B123" s="2"/>
      <c r="C123" s="2"/>
      <c r="D123" s="2"/>
      <c r="E123" s="2"/>
      <c r="F123" s="2"/>
      <c r="G123" s="2"/>
    </row>
    <row r="124" spans="1:7" ht="13.2" x14ac:dyDescent="0.25">
      <c r="A124" s="2"/>
      <c r="B124" s="2"/>
      <c r="C124" s="2"/>
      <c r="D124" s="2"/>
      <c r="E124" s="2"/>
      <c r="F124" s="2"/>
      <c r="G124" s="2"/>
    </row>
    <row r="125" spans="1:7" ht="13.2" x14ac:dyDescent="0.25">
      <c r="A125" s="2"/>
      <c r="B125" s="2"/>
      <c r="C125" s="2"/>
      <c r="D125" s="2"/>
      <c r="E125" s="2"/>
      <c r="F125" s="2"/>
      <c r="G125" s="2"/>
    </row>
    <row r="126" spans="1:7" ht="13.2" x14ac:dyDescent="0.25">
      <c r="A126" s="2"/>
      <c r="B126" s="2"/>
      <c r="C126" s="2"/>
      <c r="D126" s="2"/>
      <c r="E126" s="2"/>
      <c r="F126" s="2"/>
      <c r="G126" s="2"/>
    </row>
    <row r="127" spans="1:7" ht="13.2" x14ac:dyDescent="0.25">
      <c r="A127" s="2"/>
      <c r="B127" s="2"/>
      <c r="C127" s="2"/>
      <c r="D127" s="2"/>
      <c r="E127" s="2"/>
      <c r="F127" s="2"/>
      <c r="G127" s="2"/>
    </row>
    <row r="128" spans="1:7" ht="13.2" x14ac:dyDescent="0.25">
      <c r="A128" s="2"/>
      <c r="B128" s="2"/>
      <c r="C128" s="2"/>
      <c r="D128" s="2"/>
      <c r="E128" s="2"/>
      <c r="F128" s="2"/>
      <c r="G128" s="2"/>
    </row>
    <row r="129" spans="1:7" ht="13.2" x14ac:dyDescent="0.25">
      <c r="A129" s="2"/>
      <c r="B129" s="2"/>
      <c r="C129" s="2"/>
      <c r="D129" s="2"/>
      <c r="E129" s="2"/>
      <c r="F129" s="2"/>
      <c r="G129" s="2"/>
    </row>
    <row r="130" spans="1:7" ht="13.2" x14ac:dyDescent="0.25">
      <c r="A130" s="2"/>
      <c r="B130" s="2"/>
      <c r="C130" s="2"/>
      <c r="D130" s="2"/>
      <c r="E130" s="2"/>
      <c r="F130" s="2"/>
      <c r="G130" s="2"/>
    </row>
    <row r="131" spans="1:7" ht="13.2" x14ac:dyDescent="0.25">
      <c r="A131" s="2"/>
      <c r="B131" s="2"/>
      <c r="C131" s="2"/>
      <c r="D131" s="2"/>
      <c r="E131" s="2"/>
      <c r="F131" s="2"/>
      <c r="G131" s="2"/>
    </row>
    <row r="132" spans="1:7" ht="13.2" x14ac:dyDescent="0.25">
      <c r="A132" s="2"/>
      <c r="B132" s="2"/>
      <c r="C132" s="2"/>
      <c r="D132" s="2"/>
      <c r="E132" s="2"/>
      <c r="F132" s="2"/>
      <c r="G132" s="2"/>
    </row>
    <row r="133" spans="1:7" ht="13.2" x14ac:dyDescent="0.25">
      <c r="A133" s="2"/>
      <c r="B133" s="2"/>
      <c r="C133" s="2"/>
      <c r="D133" s="2"/>
      <c r="E133" s="2"/>
      <c r="F133" s="2"/>
      <c r="G133" s="2"/>
    </row>
    <row r="134" spans="1:7" ht="13.2" x14ac:dyDescent="0.25">
      <c r="A134" s="2"/>
      <c r="B134" s="2"/>
      <c r="C134" s="2"/>
      <c r="D134" s="2"/>
      <c r="E134" s="2"/>
      <c r="F134" s="2"/>
      <c r="G134" s="2"/>
    </row>
    <row r="135" spans="1:7" ht="13.2" x14ac:dyDescent="0.25">
      <c r="A135" s="2"/>
      <c r="B135" s="2"/>
      <c r="C135" s="2"/>
      <c r="D135" s="2"/>
      <c r="E135" s="2"/>
      <c r="F135" s="2"/>
      <c r="G135" s="2"/>
    </row>
    <row r="136" spans="1:7" ht="13.2" x14ac:dyDescent="0.25">
      <c r="A136" s="2"/>
      <c r="B136" s="2"/>
      <c r="C136" s="2"/>
      <c r="D136" s="2"/>
      <c r="E136" s="2"/>
      <c r="F136" s="2"/>
      <c r="G136" s="2"/>
    </row>
    <row r="137" spans="1:7" ht="13.2" x14ac:dyDescent="0.25">
      <c r="A137" s="2"/>
      <c r="B137" s="2"/>
      <c r="C137" s="2"/>
      <c r="D137" s="2"/>
      <c r="E137" s="2"/>
      <c r="F137" s="2"/>
      <c r="G137" s="2"/>
    </row>
    <row r="138" spans="1:7" ht="13.2" x14ac:dyDescent="0.25">
      <c r="A138" s="2"/>
      <c r="B138" s="2"/>
      <c r="C138" s="2"/>
      <c r="D138" s="2"/>
      <c r="E138" s="2"/>
      <c r="F138" s="2"/>
      <c r="G138" s="2"/>
    </row>
    <row r="139" spans="1:7" ht="13.2" x14ac:dyDescent="0.25">
      <c r="A139" s="2"/>
      <c r="B139" s="2"/>
      <c r="C139" s="2"/>
      <c r="D139" s="2"/>
      <c r="E139" s="2"/>
      <c r="F139" s="2"/>
      <c r="G139" s="2"/>
    </row>
    <row r="140" spans="1:7" ht="13.2" x14ac:dyDescent="0.25">
      <c r="A140" s="2"/>
      <c r="B140" s="2"/>
      <c r="C140" s="2"/>
      <c r="D140" s="2"/>
      <c r="E140" s="2"/>
      <c r="F140" s="2"/>
      <c r="G140" s="2"/>
    </row>
    <row r="141" spans="1:7" ht="13.2" x14ac:dyDescent="0.25">
      <c r="A141" s="2"/>
      <c r="B141" s="2"/>
      <c r="C141" s="2"/>
      <c r="D141" s="2"/>
      <c r="E141" s="2"/>
      <c r="F141" s="2"/>
      <c r="G141" s="2"/>
    </row>
    <row r="142" spans="1:7" ht="13.2" x14ac:dyDescent="0.25">
      <c r="A142" s="2"/>
      <c r="B142" s="2"/>
      <c r="C142" s="2"/>
      <c r="D142" s="2"/>
      <c r="E142" s="2"/>
      <c r="F142" s="2"/>
      <c r="G142" s="2"/>
    </row>
    <row r="143" spans="1:7" ht="13.2" x14ac:dyDescent="0.25">
      <c r="A143" s="2"/>
      <c r="B143" s="2"/>
      <c r="C143" s="2"/>
      <c r="D143" s="2"/>
      <c r="E143" s="2"/>
      <c r="F143" s="2"/>
      <c r="G143" s="2"/>
    </row>
    <row r="144" spans="1:7" ht="13.2" x14ac:dyDescent="0.25">
      <c r="A144" s="2"/>
      <c r="B144" s="2"/>
      <c r="C144" s="2"/>
      <c r="D144" s="2"/>
      <c r="E144" s="2"/>
      <c r="F144" s="2"/>
      <c r="G144" s="2"/>
    </row>
    <row r="145" spans="1:7" ht="13.2" x14ac:dyDescent="0.25">
      <c r="A145" s="2"/>
      <c r="B145" s="2"/>
      <c r="C145" s="2"/>
      <c r="D145" s="2"/>
      <c r="E145" s="2"/>
      <c r="F145" s="2"/>
      <c r="G145" s="2"/>
    </row>
    <row r="146" spans="1:7" ht="13.2" x14ac:dyDescent="0.25">
      <c r="A146" s="2"/>
      <c r="B146" s="2"/>
      <c r="C146" s="2"/>
      <c r="D146" s="2"/>
      <c r="E146" s="2"/>
      <c r="F146" s="2"/>
      <c r="G146" s="2"/>
    </row>
    <row r="147" spans="1:7" ht="13.2" x14ac:dyDescent="0.25">
      <c r="A147" s="2"/>
      <c r="B147" s="2"/>
      <c r="C147" s="2"/>
      <c r="D147" s="2"/>
      <c r="E147" s="2"/>
      <c r="F147" s="2"/>
      <c r="G147" s="2"/>
    </row>
    <row r="148" spans="1:7" ht="13.2" x14ac:dyDescent="0.25">
      <c r="A148" s="2"/>
      <c r="B148" s="2"/>
      <c r="C148" s="2"/>
      <c r="D148" s="2"/>
      <c r="E148" s="2"/>
      <c r="F148" s="2"/>
      <c r="G148" s="2"/>
    </row>
    <row r="149" spans="1:7" ht="13.2" x14ac:dyDescent="0.25">
      <c r="A149" s="2"/>
      <c r="B149" s="2"/>
      <c r="C149" s="2"/>
      <c r="D149" s="2"/>
      <c r="E149" s="2"/>
      <c r="F149" s="2"/>
      <c r="G149" s="2"/>
    </row>
    <row r="150" spans="1:7" ht="13.2" x14ac:dyDescent="0.25">
      <c r="A150" s="2"/>
      <c r="B150" s="2"/>
      <c r="C150" s="2"/>
      <c r="D150" s="2"/>
      <c r="E150" s="2"/>
      <c r="F150" s="2"/>
      <c r="G150" s="2"/>
    </row>
    <row r="151" spans="1:7" ht="13.2" x14ac:dyDescent="0.25">
      <c r="A151" s="2"/>
      <c r="B151" s="2"/>
      <c r="C151" s="2"/>
      <c r="D151" s="2"/>
      <c r="E151" s="2"/>
      <c r="F151" s="2"/>
      <c r="G151" s="2"/>
    </row>
    <row r="152" spans="1:7" ht="13.2" x14ac:dyDescent="0.25">
      <c r="A152" s="2"/>
      <c r="B152" s="2"/>
      <c r="C152" s="2"/>
      <c r="D152" s="2"/>
      <c r="E152" s="2"/>
      <c r="F152" s="2"/>
      <c r="G152" s="2"/>
    </row>
    <row r="153" spans="1:7" ht="13.2" x14ac:dyDescent="0.25">
      <c r="A153" s="2"/>
      <c r="B153" s="2"/>
      <c r="C153" s="2"/>
      <c r="D153" s="2"/>
      <c r="E153" s="2"/>
      <c r="F153" s="2"/>
      <c r="G153" s="2"/>
    </row>
    <row r="154" spans="1:7" ht="13.2" x14ac:dyDescent="0.25">
      <c r="A154" s="2"/>
      <c r="B154" s="2"/>
      <c r="C154" s="2"/>
      <c r="D154" s="2"/>
      <c r="E154" s="2"/>
      <c r="F154" s="2"/>
      <c r="G154" s="2"/>
    </row>
    <row r="155" spans="1:7" ht="13.2" x14ac:dyDescent="0.25">
      <c r="A155" s="2"/>
      <c r="B155" s="2"/>
      <c r="C155" s="2"/>
      <c r="D155" s="2"/>
      <c r="E155" s="2"/>
      <c r="F155" s="2"/>
      <c r="G155" s="2"/>
    </row>
    <row r="156" spans="1:7" ht="13.2" x14ac:dyDescent="0.25">
      <c r="A156" s="2"/>
      <c r="B156" s="2"/>
      <c r="C156" s="2"/>
      <c r="D156" s="2"/>
      <c r="E156" s="2"/>
      <c r="F156" s="2"/>
      <c r="G156" s="2"/>
    </row>
    <row r="157" spans="1:7" ht="13.2" x14ac:dyDescent="0.25">
      <c r="A157" s="2"/>
      <c r="B157" s="2"/>
      <c r="C157" s="2"/>
      <c r="D157" s="2"/>
      <c r="E157" s="2"/>
      <c r="F157" s="2"/>
      <c r="G157" s="2"/>
    </row>
    <row r="158" spans="1:7" ht="13.2" x14ac:dyDescent="0.25">
      <c r="A158" s="2"/>
      <c r="B158" s="2"/>
      <c r="C158" s="2"/>
      <c r="D158" s="2"/>
      <c r="E158" s="2"/>
      <c r="F158" s="2"/>
      <c r="G158" s="2"/>
    </row>
    <row r="159" spans="1:7" ht="13.2" x14ac:dyDescent="0.25">
      <c r="A159" s="2"/>
      <c r="B159" s="2"/>
      <c r="C159" s="2"/>
      <c r="D159" s="2"/>
      <c r="E159" s="2"/>
      <c r="F159" s="2"/>
      <c r="G159" s="2"/>
    </row>
    <row r="160" spans="1:7" ht="13.2" x14ac:dyDescent="0.25">
      <c r="A160" s="2"/>
      <c r="B160" s="2"/>
      <c r="C160" s="2"/>
      <c r="D160" s="2"/>
      <c r="E160" s="2"/>
      <c r="F160" s="2"/>
      <c r="G160" s="2"/>
    </row>
    <row r="161" spans="1:7" ht="13.2" x14ac:dyDescent="0.25">
      <c r="A161" s="2"/>
      <c r="B161" s="2"/>
      <c r="C161" s="2"/>
      <c r="D161" s="2"/>
      <c r="E161" s="2"/>
      <c r="F161" s="2"/>
      <c r="G161" s="2"/>
    </row>
    <row r="162" spans="1:7" ht="13.2" x14ac:dyDescent="0.25">
      <c r="A162" s="2"/>
      <c r="B162" s="2"/>
      <c r="C162" s="2"/>
      <c r="D162" s="2"/>
      <c r="E162" s="2"/>
      <c r="F162" s="2"/>
      <c r="G162" s="2"/>
    </row>
    <row r="163" spans="1:7" ht="13.2" x14ac:dyDescent="0.25">
      <c r="A163" s="2"/>
      <c r="B163" s="2"/>
      <c r="C163" s="2"/>
      <c r="D163" s="2"/>
      <c r="E163" s="2"/>
      <c r="F163" s="2"/>
      <c r="G163" s="2"/>
    </row>
    <row r="164" spans="1:7" ht="13.2" x14ac:dyDescent="0.25">
      <c r="A164" s="2"/>
      <c r="B164" s="2"/>
      <c r="C164" s="2"/>
      <c r="D164" s="2"/>
      <c r="E164" s="2"/>
      <c r="F164" s="2"/>
      <c r="G164" s="2"/>
    </row>
    <row r="165" spans="1:7" ht="13.2" x14ac:dyDescent="0.25">
      <c r="A165" s="2"/>
      <c r="B165" s="2"/>
      <c r="C165" s="2"/>
      <c r="D165" s="2"/>
      <c r="E165" s="2"/>
      <c r="F165" s="2"/>
      <c r="G165" s="2"/>
    </row>
    <row r="166" spans="1:7" ht="13.2" x14ac:dyDescent="0.25">
      <c r="A166" s="2"/>
      <c r="B166" s="2"/>
      <c r="C166" s="2"/>
      <c r="D166" s="2"/>
      <c r="E166" s="2"/>
      <c r="F166" s="2"/>
      <c r="G166" s="2"/>
    </row>
    <row r="167" spans="1:7" ht="13.2" x14ac:dyDescent="0.25">
      <c r="A167" s="2"/>
      <c r="B167" s="2"/>
      <c r="C167" s="2"/>
      <c r="D167" s="2"/>
      <c r="E167" s="2"/>
      <c r="F167" s="2"/>
      <c r="G167" s="2"/>
    </row>
    <row r="168" spans="1:7" ht="13.2" x14ac:dyDescent="0.25">
      <c r="A168" s="2"/>
      <c r="B168" s="2"/>
      <c r="C168" s="2"/>
      <c r="D168" s="2"/>
      <c r="E168" s="2"/>
      <c r="F168" s="2"/>
      <c r="G168" s="2"/>
    </row>
    <row r="169" spans="1:7" ht="13.2" x14ac:dyDescent="0.25">
      <c r="A169" s="2"/>
      <c r="B169" s="2"/>
      <c r="C169" s="2"/>
      <c r="D169" s="2"/>
      <c r="E169" s="2"/>
      <c r="F169" s="2"/>
      <c r="G169" s="2"/>
    </row>
    <row r="170" spans="1:7" ht="13.2" x14ac:dyDescent="0.25">
      <c r="A170" s="2"/>
      <c r="B170" s="2"/>
      <c r="C170" s="2"/>
      <c r="D170" s="2"/>
      <c r="E170" s="2"/>
      <c r="F170" s="2"/>
      <c r="G170" s="2"/>
    </row>
    <row r="171" spans="1:7" ht="13.2" x14ac:dyDescent="0.25">
      <c r="A171" s="2"/>
      <c r="B171" s="2"/>
      <c r="C171" s="2"/>
      <c r="D171" s="2"/>
      <c r="E171" s="2"/>
      <c r="F171" s="2"/>
      <c r="G171" s="2"/>
    </row>
    <row r="172" spans="1:7" ht="13.2" x14ac:dyDescent="0.25">
      <c r="A172" s="2"/>
      <c r="B172" s="2"/>
      <c r="C172" s="2"/>
      <c r="D172" s="2"/>
      <c r="E172" s="2"/>
      <c r="F172" s="2"/>
      <c r="G172" s="2"/>
    </row>
    <row r="173" spans="1:7" ht="13.2" x14ac:dyDescent="0.25">
      <c r="A173" s="2"/>
      <c r="B173" s="2"/>
      <c r="C173" s="2"/>
      <c r="D173" s="2"/>
      <c r="E173" s="2"/>
      <c r="F173" s="2"/>
      <c r="G173" s="2"/>
    </row>
    <row r="174" spans="1:7" ht="13.2" x14ac:dyDescent="0.25">
      <c r="A174" s="2"/>
      <c r="B174" s="2"/>
      <c r="C174" s="2"/>
      <c r="D174" s="2"/>
      <c r="E174" s="2"/>
      <c r="F174" s="2"/>
      <c r="G174" s="2"/>
    </row>
    <row r="175" spans="1:7" ht="13.2" x14ac:dyDescent="0.25">
      <c r="A175" s="2"/>
      <c r="B175" s="2"/>
      <c r="C175" s="2"/>
      <c r="D175" s="2"/>
      <c r="E175" s="2"/>
      <c r="F175" s="2"/>
      <c r="G175" s="2"/>
    </row>
    <row r="176" spans="1:7" ht="13.2" x14ac:dyDescent="0.25">
      <c r="A176" s="2"/>
      <c r="B176" s="2"/>
      <c r="C176" s="2"/>
      <c r="D176" s="2"/>
      <c r="E176" s="2"/>
      <c r="F176" s="2"/>
      <c r="G176" s="2"/>
    </row>
    <row r="177" spans="1:7" ht="13.2" x14ac:dyDescent="0.25">
      <c r="A177" s="2"/>
      <c r="B177" s="2"/>
      <c r="C177" s="2"/>
      <c r="D177" s="2"/>
      <c r="E177" s="2"/>
      <c r="F177" s="2"/>
      <c r="G177" s="2"/>
    </row>
    <row r="178" spans="1:7" ht="13.2" x14ac:dyDescent="0.25">
      <c r="A178" s="2"/>
      <c r="B178" s="2"/>
      <c r="C178" s="2"/>
      <c r="D178" s="2"/>
      <c r="E178" s="2"/>
      <c r="F178" s="2"/>
      <c r="G178" s="2"/>
    </row>
    <row r="179" spans="1:7" ht="13.2" x14ac:dyDescent="0.25">
      <c r="A179" s="2"/>
      <c r="B179" s="2"/>
      <c r="C179" s="2"/>
      <c r="D179" s="2"/>
      <c r="E179" s="2"/>
      <c r="F179" s="2"/>
      <c r="G179" s="2"/>
    </row>
    <row r="180" spans="1:7" ht="13.2" x14ac:dyDescent="0.25">
      <c r="A180" s="2"/>
      <c r="B180" s="2"/>
      <c r="C180" s="2"/>
      <c r="D180" s="2"/>
      <c r="E180" s="2"/>
      <c r="F180" s="2"/>
      <c r="G180" s="2"/>
    </row>
    <row r="181" spans="1:7" ht="13.2" x14ac:dyDescent="0.25">
      <c r="A181" s="2"/>
      <c r="B181" s="2"/>
      <c r="C181" s="2"/>
      <c r="D181" s="2"/>
      <c r="E181" s="2"/>
      <c r="F181" s="2"/>
      <c r="G181" s="2"/>
    </row>
    <row r="182" spans="1:7" ht="13.2" x14ac:dyDescent="0.25">
      <c r="A182" s="2"/>
      <c r="B182" s="2"/>
      <c r="C182" s="2"/>
      <c r="D182" s="2"/>
      <c r="E182" s="2"/>
      <c r="F182" s="2"/>
      <c r="G182" s="2"/>
    </row>
    <row r="183" spans="1:7" ht="13.2" x14ac:dyDescent="0.25">
      <c r="A183" s="2"/>
      <c r="B183" s="2"/>
      <c r="C183" s="2"/>
      <c r="D183" s="2"/>
      <c r="E183" s="2"/>
      <c r="F183" s="2"/>
      <c r="G183" s="2"/>
    </row>
    <row r="184" spans="1:7" ht="13.2" x14ac:dyDescent="0.25">
      <c r="A184" s="2"/>
      <c r="B184" s="2"/>
      <c r="C184" s="2"/>
      <c r="D184" s="2"/>
      <c r="E184" s="2"/>
      <c r="F184" s="2"/>
      <c r="G184" s="2"/>
    </row>
    <row r="185" spans="1:7" ht="13.2" x14ac:dyDescent="0.25">
      <c r="A185" s="2"/>
      <c r="B185" s="2"/>
      <c r="C185" s="2"/>
      <c r="D185" s="2"/>
      <c r="E185" s="2"/>
      <c r="F185" s="2"/>
      <c r="G185" s="2"/>
    </row>
    <row r="186" spans="1:7" ht="13.2" x14ac:dyDescent="0.25">
      <c r="A186" s="2"/>
      <c r="B186" s="2"/>
      <c r="C186" s="2"/>
      <c r="D186" s="2"/>
      <c r="E186" s="2"/>
      <c r="F186" s="2"/>
      <c r="G186" s="2"/>
    </row>
    <row r="187" spans="1:7" ht="13.2" x14ac:dyDescent="0.25">
      <c r="A187" s="2"/>
      <c r="B187" s="2"/>
      <c r="C187" s="2"/>
      <c r="D187" s="2"/>
      <c r="E187" s="2"/>
      <c r="F187" s="2"/>
      <c r="G187" s="2"/>
    </row>
    <row r="188" spans="1:7" ht="13.2" x14ac:dyDescent="0.25">
      <c r="A188" s="2"/>
      <c r="B188" s="2"/>
      <c r="C188" s="2"/>
      <c r="D188" s="2"/>
      <c r="E188" s="2"/>
      <c r="F188" s="2"/>
      <c r="G188" s="2"/>
    </row>
    <row r="189" spans="1:7" ht="13.2" x14ac:dyDescent="0.25">
      <c r="A189" s="2"/>
      <c r="B189" s="2"/>
      <c r="C189" s="2"/>
      <c r="D189" s="2"/>
      <c r="E189" s="2"/>
      <c r="F189" s="2"/>
      <c r="G189" s="2"/>
    </row>
    <row r="190" spans="1:7" ht="13.2" x14ac:dyDescent="0.25">
      <c r="A190" s="2"/>
      <c r="B190" s="2"/>
      <c r="C190" s="2"/>
      <c r="D190" s="2"/>
      <c r="E190" s="2"/>
      <c r="F190" s="2"/>
      <c r="G190" s="2"/>
    </row>
    <row r="191" spans="1:7" ht="13.2" x14ac:dyDescent="0.25">
      <c r="A191" s="2"/>
      <c r="B191" s="2"/>
      <c r="C191" s="2"/>
      <c r="D191" s="2"/>
      <c r="E191" s="2"/>
      <c r="F191" s="2"/>
      <c r="G191" s="2"/>
    </row>
    <row r="192" spans="1:7" ht="13.2" x14ac:dyDescent="0.25">
      <c r="A192" s="2"/>
      <c r="B192" s="2"/>
      <c r="C192" s="2"/>
      <c r="D192" s="2"/>
      <c r="E192" s="2"/>
      <c r="F192" s="2"/>
      <c r="G192" s="2"/>
    </row>
    <row r="193" spans="1:7" ht="13.2" x14ac:dyDescent="0.25">
      <c r="A193" s="2"/>
      <c r="B193" s="2"/>
      <c r="C193" s="2"/>
      <c r="D193" s="2"/>
      <c r="E193" s="2"/>
      <c r="F193" s="2"/>
      <c r="G193" s="2"/>
    </row>
    <row r="194" spans="1:7" ht="13.2" x14ac:dyDescent="0.25">
      <c r="A194" s="2"/>
      <c r="B194" s="2"/>
      <c r="C194" s="2"/>
      <c r="D194" s="2"/>
      <c r="E194" s="2"/>
      <c r="F194" s="2"/>
      <c r="G194" s="2"/>
    </row>
    <row r="195" spans="1:7" ht="13.2" x14ac:dyDescent="0.25">
      <c r="A195" s="2"/>
      <c r="B195" s="2"/>
      <c r="C195" s="2"/>
      <c r="D195" s="2"/>
      <c r="E195" s="2"/>
      <c r="F195" s="2"/>
      <c r="G195" s="2"/>
    </row>
    <row r="196" spans="1:7" ht="13.2" x14ac:dyDescent="0.25">
      <c r="A196" s="2"/>
      <c r="B196" s="2"/>
      <c r="C196" s="2"/>
      <c r="D196" s="2"/>
      <c r="E196" s="2"/>
      <c r="F196" s="2"/>
      <c r="G196" s="2"/>
    </row>
    <row r="197" spans="1:7" ht="13.2" x14ac:dyDescent="0.25">
      <c r="A197" s="2"/>
      <c r="B197" s="2"/>
      <c r="C197" s="2"/>
      <c r="D197" s="2"/>
      <c r="E197" s="2"/>
      <c r="F197" s="2"/>
      <c r="G197" s="2"/>
    </row>
    <row r="198" spans="1:7" ht="13.2" x14ac:dyDescent="0.25">
      <c r="A198" s="2"/>
      <c r="B198" s="2"/>
      <c r="C198" s="2"/>
      <c r="D198" s="2"/>
      <c r="E198" s="2"/>
      <c r="F198" s="2"/>
      <c r="G198" s="2"/>
    </row>
    <row r="199" spans="1:7" ht="13.2" x14ac:dyDescent="0.25">
      <c r="A199" s="2"/>
      <c r="B199" s="2"/>
      <c r="C199" s="2"/>
      <c r="D199" s="2"/>
      <c r="E199" s="2"/>
      <c r="F199" s="2"/>
      <c r="G199" s="2"/>
    </row>
    <row r="200" spans="1:7" ht="13.2" x14ac:dyDescent="0.25">
      <c r="A200" s="2"/>
      <c r="B200" s="2"/>
      <c r="C200" s="2"/>
      <c r="D200" s="2"/>
      <c r="E200" s="2"/>
      <c r="F200" s="2"/>
      <c r="G200" s="2"/>
    </row>
    <row r="201" spans="1:7" ht="13.2" x14ac:dyDescent="0.25">
      <c r="A201" s="2"/>
      <c r="B201" s="2"/>
      <c r="C201" s="2"/>
      <c r="D201" s="2"/>
      <c r="E201" s="2"/>
      <c r="F201" s="2"/>
      <c r="G201" s="2"/>
    </row>
    <row r="202" spans="1:7" ht="13.2" x14ac:dyDescent="0.25">
      <c r="A202" s="2"/>
      <c r="B202" s="2"/>
      <c r="C202" s="2"/>
      <c r="D202" s="2"/>
      <c r="E202" s="2"/>
      <c r="F202" s="2"/>
      <c r="G202" s="2"/>
    </row>
    <row r="203" spans="1:7" ht="13.2" x14ac:dyDescent="0.25">
      <c r="A203" s="2"/>
      <c r="B203" s="2"/>
      <c r="C203" s="2"/>
      <c r="D203" s="2"/>
      <c r="E203" s="2"/>
      <c r="F203" s="2"/>
      <c r="G203" s="2"/>
    </row>
    <row r="204" spans="1:7" ht="13.2" x14ac:dyDescent="0.25">
      <c r="A204" s="2"/>
      <c r="B204" s="2"/>
      <c r="C204" s="2"/>
      <c r="D204" s="2"/>
      <c r="E204" s="2"/>
      <c r="F204" s="2"/>
      <c r="G204" s="2"/>
    </row>
    <row r="205" spans="1:7" ht="13.2" x14ac:dyDescent="0.25">
      <c r="A205" s="2"/>
      <c r="B205" s="2"/>
      <c r="C205" s="2"/>
      <c r="D205" s="2"/>
      <c r="E205" s="2"/>
      <c r="F205" s="2"/>
      <c r="G205" s="2"/>
    </row>
    <row r="206" spans="1:7" ht="13.2" x14ac:dyDescent="0.25">
      <c r="A206" s="2"/>
      <c r="B206" s="2"/>
      <c r="C206" s="2"/>
      <c r="D206" s="2"/>
      <c r="E206" s="2"/>
      <c r="F206" s="2"/>
      <c r="G206" s="2"/>
    </row>
    <row r="207" spans="1:7" ht="13.2" x14ac:dyDescent="0.25">
      <c r="A207" s="2"/>
      <c r="B207" s="2"/>
      <c r="C207" s="2"/>
      <c r="D207" s="2"/>
      <c r="E207" s="2"/>
      <c r="F207" s="2"/>
      <c r="G207" s="2"/>
    </row>
    <row r="208" spans="1:7" ht="13.2" x14ac:dyDescent="0.25">
      <c r="A208" s="2"/>
      <c r="B208" s="2"/>
      <c r="C208" s="2"/>
      <c r="D208" s="2"/>
      <c r="E208" s="2"/>
      <c r="F208" s="2"/>
      <c r="G208" s="2"/>
    </row>
    <row r="209" spans="1:7" ht="13.2" x14ac:dyDescent="0.25">
      <c r="A209" s="2"/>
      <c r="B209" s="2"/>
      <c r="C209" s="2"/>
      <c r="D209" s="2"/>
      <c r="E209" s="2"/>
      <c r="F209" s="2"/>
      <c r="G209" s="2"/>
    </row>
    <row r="210" spans="1:7" ht="13.2" x14ac:dyDescent="0.25">
      <c r="A210" s="2"/>
      <c r="B210" s="2"/>
      <c r="C210" s="2"/>
      <c r="D210" s="2"/>
      <c r="E210" s="2"/>
      <c r="F210" s="2"/>
      <c r="G210" s="2"/>
    </row>
    <row r="211" spans="1:7" ht="13.2" x14ac:dyDescent="0.25">
      <c r="A211" s="2"/>
      <c r="B211" s="2"/>
      <c r="C211" s="2"/>
      <c r="D211" s="2"/>
      <c r="E211" s="2"/>
      <c r="F211" s="2"/>
      <c r="G211" s="2"/>
    </row>
    <row r="212" spans="1:7" ht="13.2" x14ac:dyDescent="0.25">
      <c r="A212" s="2"/>
      <c r="B212" s="2"/>
      <c r="C212" s="2"/>
      <c r="D212" s="2"/>
      <c r="E212" s="2"/>
      <c r="F212" s="2"/>
      <c r="G212" s="2"/>
    </row>
    <row r="213" spans="1:7" ht="13.2" x14ac:dyDescent="0.25">
      <c r="A213" s="2"/>
      <c r="B213" s="2"/>
      <c r="C213" s="2"/>
      <c r="D213" s="2"/>
      <c r="E213" s="2"/>
      <c r="F213" s="2"/>
      <c r="G213" s="2"/>
    </row>
    <row r="214" spans="1:7" ht="13.2" x14ac:dyDescent="0.25">
      <c r="A214" s="2"/>
      <c r="B214" s="2"/>
      <c r="C214" s="2"/>
      <c r="D214" s="2"/>
      <c r="E214" s="2"/>
      <c r="F214" s="2"/>
      <c r="G214" s="2"/>
    </row>
    <row r="215" spans="1:7" ht="13.2" x14ac:dyDescent="0.25">
      <c r="A215" s="2"/>
      <c r="B215" s="2"/>
      <c r="C215" s="2"/>
      <c r="D215" s="2"/>
      <c r="E215" s="2"/>
      <c r="F215" s="2"/>
      <c r="G215" s="2"/>
    </row>
    <row r="216" spans="1:7" ht="13.2" x14ac:dyDescent="0.25">
      <c r="A216" s="2"/>
      <c r="B216" s="2"/>
      <c r="C216" s="2"/>
      <c r="D216" s="2"/>
      <c r="E216" s="2"/>
      <c r="F216" s="2"/>
      <c r="G216" s="2"/>
    </row>
    <row r="217" spans="1:7" ht="13.2" x14ac:dyDescent="0.25">
      <c r="A217" s="2"/>
      <c r="B217" s="2"/>
      <c r="C217" s="2"/>
      <c r="D217" s="2"/>
      <c r="E217" s="2"/>
      <c r="F217" s="2"/>
      <c r="G217" s="2"/>
    </row>
    <row r="218" spans="1:7" ht="13.2" x14ac:dyDescent="0.25">
      <c r="A218" s="2"/>
      <c r="B218" s="2"/>
      <c r="C218" s="2"/>
      <c r="D218" s="2"/>
      <c r="E218" s="2"/>
      <c r="F218" s="2"/>
      <c r="G218" s="2"/>
    </row>
    <row r="219" spans="1:7" ht="13.2" x14ac:dyDescent="0.25">
      <c r="A219" s="2"/>
      <c r="B219" s="2"/>
      <c r="C219" s="2"/>
      <c r="D219" s="2"/>
      <c r="E219" s="2"/>
      <c r="F219" s="2"/>
      <c r="G219" s="2"/>
    </row>
    <row r="220" spans="1:7" ht="13.2" x14ac:dyDescent="0.25">
      <c r="A220" s="2"/>
      <c r="B220" s="2"/>
      <c r="C220" s="2"/>
      <c r="D220" s="2"/>
      <c r="E220" s="2"/>
      <c r="F220" s="2"/>
      <c r="G220" s="2"/>
    </row>
    <row r="221" spans="1:7" ht="13.2" x14ac:dyDescent="0.25">
      <c r="A221" s="2"/>
      <c r="B221" s="2"/>
      <c r="C221" s="2"/>
      <c r="D221" s="2"/>
      <c r="E221" s="2"/>
      <c r="F221" s="2"/>
      <c r="G221" s="2"/>
    </row>
    <row r="222" spans="1:7" ht="13.2" x14ac:dyDescent="0.25">
      <c r="A222" s="2"/>
      <c r="B222" s="2"/>
      <c r="C222" s="2"/>
      <c r="D222" s="2"/>
      <c r="E222" s="2"/>
      <c r="F222" s="2"/>
      <c r="G222" s="2"/>
    </row>
    <row r="223" spans="1:7" ht="13.2" x14ac:dyDescent="0.25">
      <c r="A223" s="2"/>
      <c r="B223" s="2"/>
      <c r="C223" s="2"/>
      <c r="D223" s="2"/>
      <c r="E223" s="2"/>
      <c r="F223" s="2"/>
      <c r="G223" s="2"/>
    </row>
    <row r="224" spans="1:7" ht="13.2" x14ac:dyDescent="0.25">
      <c r="A224" s="2"/>
      <c r="B224" s="2"/>
      <c r="C224" s="2"/>
      <c r="D224" s="2"/>
      <c r="E224" s="2"/>
      <c r="F224" s="2"/>
      <c r="G224" s="2"/>
    </row>
    <row r="225" spans="1:7" ht="13.2" x14ac:dyDescent="0.25">
      <c r="A225" s="2"/>
      <c r="B225" s="2"/>
      <c r="C225" s="2"/>
      <c r="D225" s="2"/>
      <c r="E225" s="2"/>
      <c r="F225" s="2"/>
      <c r="G225" s="2"/>
    </row>
    <row r="226" spans="1:7" ht="13.2" x14ac:dyDescent="0.25">
      <c r="A226" s="2"/>
      <c r="B226" s="2"/>
      <c r="C226" s="2"/>
      <c r="D226" s="2"/>
      <c r="E226" s="2"/>
      <c r="F226" s="2"/>
      <c r="G226" s="2"/>
    </row>
    <row r="227" spans="1:7" ht="13.2" x14ac:dyDescent="0.25">
      <c r="A227" s="2"/>
      <c r="B227" s="2"/>
      <c r="C227" s="2"/>
      <c r="D227" s="2"/>
      <c r="E227" s="2"/>
      <c r="F227" s="2"/>
      <c r="G227" s="2"/>
    </row>
    <row r="228" spans="1:7" ht="13.2" x14ac:dyDescent="0.25">
      <c r="A228" s="2"/>
      <c r="B228" s="2"/>
      <c r="C228" s="2"/>
      <c r="D228" s="2"/>
      <c r="E228" s="2"/>
      <c r="F228" s="2"/>
      <c r="G228" s="2"/>
    </row>
    <row r="229" spans="1:7" ht="13.2" x14ac:dyDescent="0.25">
      <c r="A229" s="2"/>
      <c r="B229" s="2"/>
      <c r="C229" s="2"/>
      <c r="D229" s="2"/>
      <c r="E229" s="2"/>
      <c r="F229" s="2"/>
      <c r="G229" s="2"/>
    </row>
    <row r="230" spans="1:7" ht="13.2" x14ac:dyDescent="0.25">
      <c r="A230" s="2"/>
      <c r="B230" s="2"/>
      <c r="C230" s="2"/>
      <c r="D230" s="2"/>
      <c r="E230" s="2"/>
      <c r="F230" s="2"/>
      <c r="G230" s="2"/>
    </row>
    <row r="231" spans="1:7" ht="13.2" x14ac:dyDescent="0.25">
      <c r="A231" s="2"/>
      <c r="B231" s="2"/>
      <c r="C231" s="2"/>
      <c r="D231" s="2"/>
      <c r="E231" s="2"/>
      <c r="F231" s="2"/>
      <c r="G231" s="2"/>
    </row>
    <row r="232" spans="1:7" ht="13.2" x14ac:dyDescent="0.25">
      <c r="A232" s="2"/>
      <c r="B232" s="2"/>
      <c r="C232" s="2"/>
      <c r="D232" s="2"/>
      <c r="E232" s="2"/>
      <c r="F232" s="2"/>
      <c r="G232" s="2"/>
    </row>
    <row r="233" spans="1:7" ht="13.2" x14ac:dyDescent="0.25">
      <c r="A233" s="2"/>
      <c r="B233" s="2"/>
      <c r="C233" s="2"/>
      <c r="D233" s="2"/>
      <c r="E233" s="2"/>
      <c r="F233" s="2"/>
      <c r="G233" s="2"/>
    </row>
    <row r="234" spans="1:7" ht="13.2" x14ac:dyDescent="0.25">
      <c r="A234" s="2"/>
      <c r="B234" s="2"/>
      <c r="C234" s="2"/>
      <c r="D234" s="2"/>
      <c r="E234" s="2"/>
      <c r="F234" s="2"/>
      <c r="G234" s="2"/>
    </row>
    <row r="235" spans="1:7" ht="13.2" x14ac:dyDescent="0.25">
      <c r="A235" s="2"/>
      <c r="B235" s="2"/>
      <c r="C235" s="2"/>
      <c r="D235" s="2"/>
      <c r="E235" s="2"/>
      <c r="F235" s="2"/>
      <c r="G235" s="2"/>
    </row>
    <row r="236" spans="1:7" ht="13.2" x14ac:dyDescent="0.25">
      <c r="A236" s="2"/>
      <c r="B236" s="2"/>
      <c r="C236" s="2"/>
      <c r="D236" s="2"/>
      <c r="E236" s="2"/>
      <c r="F236" s="2"/>
      <c r="G236" s="2"/>
    </row>
    <row r="237" spans="1:7" ht="13.2" x14ac:dyDescent="0.25">
      <c r="A237" s="2"/>
      <c r="B237" s="2"/>
      <c r="C237" s="2"/>
      <c r="D237" s="2"/>
      <c r="E237" s="2"/>
      <c r="F237" s="2"/>
      <c r="G237" s="2"/>
    </row>
    <row r="238" spans="1:7" ht="13.2" x14ac:dyDescent="0.25">
      <c r="A238" s="2"/>
      <c r="B238" s="2"/>
      <c r="C238" s="2"/>
      <c r="D238" s="2"/>
      <c r="E238" s="2"/>
      <c r="F238" s="2"/>
      <c r="G238" s="2"/>
    </row>
    <row r="239" spans="1:7" ht="13.2" x14ac:dyDescent="0.25">
      <c r="A239" s="2"/>
      <c r="B239" s="2"/>
      <c r="C239" s="2"/>
      <c r="D239" s="2"/>
      <c r="E239" s="2"/>
      <c r="F239" s="2"/>
      <c r="G239" s="2"/>
    </row>
    <row r="240" spans="1:7" ht="13.2" x14ac:dyDescent="0.25">
      <c r="A240" s="2"/>
      <c r="B240" s="2"/>
      <c r="C240" s="2"/>
      <c r="D240" s="2"/>
      <c r="E240" s="2"/>
      <c r="F240" s="2"/>
      <c r="G240" s="2"/>
    </row>
    <row r="241" spans="1:7" ht="13.2" x14ac:dyDescent="0.25">
      <c r="A241" s="2"/>
      <c r="B241" s="2"/>
      <c r="C241" s="2"/>
      <c r="D241" s="2"/>
      <c r="E241" s="2"/>
      <c r="F241" s="2"/>
      <c r="G241" s="2"/>
    </row>
    <row r="242" spans="1:7" ht="13.2" x14ac:dyDescent="0.25">
      <c r="A242" s="2"/>
      <c r="B242" s="2"/>
      <c r="C242" s="2"/>
      <c r="D242" s="2"/>
      <c r="E242" s="2"/>
      <c r="F242" s="2"/>
      <c r="G242" s="2"/>
    </row>
    <row r="243" spans="1:7" ht="13.2" x14ac:dyDescent="0.25">
      <c r="A243" s="2"/>
      <c r="B243" s="2"/>
      <c r="C243" s="2"/>
      <c r="D243" s="2"/>
      <c r="E243" s="2"/>
      <c r="F243" s="2"/>
      <c r="G243" s="2"/>
    </row>
    <row r="244" spans="1:7" ht="13.2" x14ac:dyDescent="0.25">
      <c r="A244" s="2"/>
      <c r="B244" s="2"/>
      <c r="C244" s="2"/>
      <c r="D244" s="2"/>
      <c r="E244" s="2"/>
      <c r="F244" s="2"/>
      <c r="G244" s="2"/>
    </row>
    <row r="245" spans="1:7" ht="13.2" x14ac:dyDescent="0.25">
      <c r="A245" s="2"/>
      <c r="B245" s="2"/>
      <c r="C245" s="2"/>
      <c r="D245" s="2"/>
      <c r="E245" s="2"/>
      <c r="F245" s="2"/>
      <c r="G245" s="2"/>
    </row>
    <row r="246" spans="1:7" ht="13.2" x14ac:dyDescent="0.25">
      <c r="A246" s="2"/>
      <c r="B246" s="2"/>
      <c r="C246" s="2"/>
      <c r="D246" s="2"/>
      <c r="E246" s="2"/>
      <c r="F246" s="2"/>
      <c r="G246" s="2"/>
    </row>
    <row r="247" spans="1:7" ht="13.2" x14ac:dyDescent="0.25">
      <c r="A247" s="2"/>
      <c r="B247" s="2"/>
      <c r="C247" s="2"/>
      <c r="D247" s="2"/>
      <c r="E247" s="2"/>
      <c r="F247" s="2"/>
      <c r="G247" s="2"/>
    </row>
    <row r="248" spans="1:7" ht="13.2" x14ac:dyDescent="0.25">
      <c r="A248" s="2"/>
      <c r="B248" s="2"/>
      <c r="C248" s="2"/>
      <c r="D248" s="2"/>
      <c r="E248" s="2"/>
      <c r="F248" s="2"/>
      <c r="G248" s="2"/>
    </row>
    <row r="249" spans="1:7" ht="13.2" x14ac:dyDescent="0.25">
      <c r="A249" s="2"/>
      <c r="B249" s="2"/>
      <c r="C249" s="2"/>
      <c r="D249" s="2"/>
      <c r="E249" s="2"/>
      <c r="F249" s="2"/>
      <c r="G249" s="2"/>
    </row>
    <row r="250" spans="1:7" ht="13.2" x14ac:dyDescent="0.25">
      <c r="A250" s="2"/>
      <c r="B250" s="2"/>
      <c r="C250" s="2"/>
      <c r="D250" s="2"/>
      <c r="E250" s="2"/>
      <c r="F250" s="2"/>
      <c r="G250" s="2"/>
    </row>
    <row r="251" spans="1:7" ht="13.2" x14ac:dyDescent="0.25">
      <c r="A251" s="2"/>
      <c r="B251" s="2"/>
      <c r="C251" s="2"/>
      <c r="D251" s="2"/>
      <c r="E251" s="2"/>
      <c r="F251" s="2"/>
      <c r="G251" s="2"/>
    </row>
    <row r="252" spans="1:7" ht="13.2" x14ac:dyDescent="0.25">
      <c r="A252" s="2"/>
      <c r="B252" s="2"/>
      <c r="C252" s="2"/>
      <c r="D252" s="2"/>
      <c r="E252" s="2"/>
      <c r="F252" s="2"/>
      <c r="G252" s="2"/>
    </row>
    <row r="253" spans="1:7" ht="13.2" x14ac:dyDescent="0.25">
      <c r="A253" s="2"/>
      <c r="B253" s="2"/>
      <c r="C253" s="2"/>
      <c r="D253" s="2"/>
      <c r="E253" s="2"/>
      <c r="F253" s="2"/>
      <c r="G253" s="2"/>
    </row>
    <row r="254" spans="1:7" ht="13.2" x14ac:dyDescent="0.25">
      <c r="A254" s="2"/>
      <c r="B254" s="2"/>
      <c r="C254" s="2"/>
      <c r="D254" s="2"/>
      <c r="E254" s="2"/>
      <c r="F254" s="2"/>
      <c r="G254" s="2"/>
    </row>
    <row r="255" spans="1:7" ht="13.2" x14ac:dyDescent="0.25">
      <c r="A255" s="2"/>
      <c r="B255" s="2"/>
      <c r="C255" s="2"/>
      <c r="D255" s="2"/>
      <c r="E255" s="2"/>
      <c r="F255" s="2"/>
      <c r="G255" s="2"/>
    </row>
    <row r="256" spans="1:7" ht="13.2" x14ac:dyDescent="0.25">
      <c r="A256" s="2"/>
      <c r="B256" s="2"/>
      <c r="C256" s="2"/>
      <c r="D256" s="2"/>
      <c r="E256" s="2"/>
      <c r="F256" s="2"/>
      <c r="G256" s="2"/>
    </row>
    <row r="257" spans="1:7" ht="13.2" x14ac:dyDescent="0.25">
      <c r="A257" s="2"/>
      <c r="B257" s="2"/>
      <c r="C257" s="2"/>
      <c r="D257" s="2"/>
      <c r="E257" s="2"/>
      <c r="F257" s="2"/>
      <c r="G257" s="2"/>
    </row>
    <row r="258" spans="1:7" ht="13.2" x14ac:dyDescent="0.25">
      <c r="A258" s="2"/>
      <c r="B258" s="2"/>
      <c r="C258" s="2"/>
      <c r="D258" s="2"/>
      <c r="E258" s="2"/>
      <c r="F258" s="2"/>
      <c r="G258" s="2"/>
    </row>
    <row r="259" spans="1:7" ht="13.2" x14ac:dyDescent="0.25">
      <c r="A259" s="2"/>
      <c r="B259" s="2"/>
      <c r="C259" s="2"/>
      <c r="D259" s="2"/>
      <c r="E259" s="2"/>
      <c r="F259" s="2"/>
      <c r="G259" s="2"/>
    </row>
    <row r="260" spans="1:7" ht="13.2" x14ac:dyDescent="0.25">
      <c r="A260" s="2"/>
      <c r="B260" s="2"/>
      <c r="C260" s="2"/>
      <c r="D260" s="2"/>
      <c r="E260" s="2"/>
      <c r="F260" s="2"/>
      <c r="G260" s="2"/>
    </row>
    <row r="261" spans="1:7" ht="13.2" x14ac:dyDescent="0.25">
      <c r="A261" s="2"/>
      <c r="B261" s="2"/>
      <c r="C261" s="2"/>
      <c r="D261" s="2"/>
      <c r="E261" s="2"/>
      <c r="F261" s="2"/>
      <c r="G261" s="2"/>
    </row>
    <row r="262" spans="1:7" ht="13.2" x14ac:dyDescent="0.25">
      <c r="A262" s="2"/>
      <c r="B262" s="2"/>
      <c r="C262" s="2"/>
      <c r="D262" s="2"/>
      <c r="E262" s="2"/>
      <c r="F262" s="2"/>
      <c r="G262" s="2"/>
    </row>
    <row r="263" spans="1:7" ht="13.2" x14ac:dyDescent="0.25">
      <c r="A263" s="2"/>
      <c r="B263" s="2"/>
      <c r="C263" s="2"/>
      <c r="D263" s="2"/>
      <c r="E263" s="2"/>
      <c r="F263" s="2"/>
      <c r="G263" s="2"/>
    </row>
    <row r="264" spans="1:7" ht="13.2" x14ac:dyDescent="0.25">
      <c r="A264" s="2"/>
      <c r="B264" s="2"/>
      <c r="C264" s="2"/>
      <c r="D264" s="2"/>
      <c r="E264" s="2"/>
      <c r="F264" s="2"/>
      <c r="G264" s="2"/>
    </row>
    <row r="265" spans="1:7" ht="13.2" x14ac:dyDescent="0.25">
      <c r="A265" s="2"/>
      <c r="B265" s="2"/>
      <c r="C265" s="2"/>
      <c r="D265" s="2"/>
      <c r="E265" s="2"/>
      <c r="F265" s="2"/>
      <c r="G265" s="2"/>
    </row>
    <row r="266" spans="1:7" ht="13.2" x14ac:dyDescent="0.25">
      <c r="A266" s="2"/>
      <c r="B266" s="2"/>
      <c r="C266" s="2"/>
      <c r="D266" s="2"/>
      <c r="E266" s="2"/>
      <c r="F266" s="2"/>
      <c r="G266" s="2"/>
    </row>
    <row r="267" spans="1:7" ht="13.2" x14ac:dyDescent="0.25">
      <c r="A267" s="2"/>
      <c r="B267" s="2"/>
      <c r="C267" s="2"/>
      <c r="D267" s="2"/>
      <c r="E267" s="2"/>
      <c r="F267" s="2"/>
      <c r="G267" s="2"/>
    </row>
    <row r="268" spans="1:7" ht="13.2" x14ac:dyDescent="0.25">
      <c r="A268" s="2"/>
      <c r="B268" s="2"/>
      <c r="C268" s="2"/>
      <c r="D268" s="2"/>
      <c r="E268" s="2"/>
      <c r="F268" s="2"/>
      <c r="G268" s="2"/>
    </row>
    <row r="269" spans="1:7" ht="13.2" x14ac:dyDescent="0.25">
      <c r="A269" s="2"/>
      <c r="B269" s="2"/>
      <c r="C269" s="2"/>
      <c r="D269" s="2"/>
      <c r="E269" s="2"/>
      <c r="F269" s="2"/>
      <c r="G269" s="2"/>
    </row>
    <row r="270" spans="1:7" ht="13.2" x14ac:dyDescent="0.25">
      <c r="A270" s="2"/>
      <c r="B270" s="2"/>
      <c r="C270" s="2"/>
      <c r="D270" s="2"/>
      <c r="E270" s="2"/>
      <c r="F270" s="2"/>
      <c r="G270" s="2"/>
    </row>
    <row r="271" spans="1:7" ht="13.2" x14ac:dyDescent="0.25">
      <c r="A271" s="2"/>
      <c r="B271" s="2"/>
      <c r="C271" s="2"/>
      <c r="D271" s="2"/>
      <c r="E271" s="2"/>
      <c r="F271" s="2"/>
      <c r="G271" s="2"/>
    </row>
    <row r="272" spans="1:7" ht="13.2" x14ac:dyDescent="0.25">
      <c r="A272" s="2"/>
      <c r="B272" s="2"/>
      <c r="C272" s="2"/>
      <c r="D272" s="2"/>
      <c r="E272" s="2"/>
      <c r="F272" s="2"/>
      <c r="G272" s="2"/>
    </row>
    <row r="273" spans="1:7" ht="13.2" x14ac:dyDescent="0.25">
      <c r="A273" s="2"/>
      <c r="B273" s="2"/>
      <c r="C273" s="2"/>
      <c r="D273" s="2"/>
      <c r="E273" s="2"/>
      <c r="F273" s="2"/>
      <c r="G273" s="2"/>
    </row>
    <row r="274" spans="1:7" ht="13.2" x14ac:dyDescent="0.25">
      <c r="A274" s="2"/>
      <c r="B274" s="2"/>
      <c r="C274" s="2"/>
      <c r="D274" s="2"/>
      <c r="E274" s="2"/>
      <c r="F274" s="2"/>
      <c r="G274" s="2"/>
    </row>
    <row r="275" spans="1:7" ht="13.2" x14ac:dyDescent="0.25">
      <c r="A275" s="2"/>
      <c r="B275" s="2"/>
      <c r="C275" s="2"/>
      <c r="D275" s="2"/>
      <c r="E275" s="2"/>
      <c r="F275" s="2"/>
      <c r="G275" s="2"/>
    </row>
    <row r="276" spans="1:7" ht="13.2" x14ac:dyDescent="0.25">
      <c r="A276" s="2"/>
      <c r="B276" s="2"/>
      <c r="C276" s="2"/>
      <c r="D276" s="2"/>
      <c r="E276" s="2"/>
      <c r="F276" s="2"/>
      <c r="G276" s="2"/>
    </row>
    <row r="277" spans="1:7" ht="13.2" x14ac:dyDescent="0.25">
      <c r="A277" s="2"/>
      <c r="B277" s="2"/>
      <c r="C277" s="2"/>
      <c r="D277" s="2"/>
      <c r="E277" s="2"/>
      <c r="F277" s="2"/>
      <c r="G277" s="2"/>
    </row>
    <row r="278" spans="1:7" ht="13.2" x14ac:dyDescent="0.25">
      <c r="A278" s="2"/>
      <c r="B278" s="2"/>
      <c r="C278" s="2"/>
      <c r="D278" s="2"/>
      <c r="E278" s="2"/>
      <c r="F278" s="2"/>
      <c r="G278" s="2"/>
    </row>
    <row r="279" spans="1:7" ht="13.2" x14ac:dyDescent="0.25">
      <c r="A279" s="2"/>
      <c r="B279" s="2"/>
      <c r="C279" s="2"/>
      <c r="D279" s="2"/>
      <c r="E279" s="2"/>
      <c r="F279" s="2"/>
      <c r="G279" s="2"/>
    </row>
    <row r="280" spans="1:7" ht="13.2" x14ac:dyDescent="0.25">
      <c r="A280" s="2"/>
      <c r="B280" s="2"/>
      <c r="C280" s="2"/>
      <c r="D280" s="2"/>
      <c r="E280" s="2"/>
      <c r="F280" s="2"/>
      <c r="G280" s="2"/>
    </row>
    <row r="281" spans="1:7" ht="13.2" x14ac:dyDescent="0.25">
      <c r="A281" s="2"/>
      <c r="B281" s="2"/>
      <c r="C281" s="2"/>
      <c r="D281" s="2"/>
      <c r="E281" s="2"/>
      <c r="F281" s="2"/>
      <c r="G281" s="2"/>
    </row>
    <row r="282" spans="1:7" ht="13.2" x14ac:dyDescent="0.25">
      <c r="A282" s="2"/>
      <c r="B282" s="2"/>
      <c r="C282" s="2"/>
      <c r="D282" s="2"/>
      <c r="E282" s="2"/>
      <c r="F282" s="2"/>
      <c r="G282" s="2"/>
    </row>
    <row r="283" spans="1:7" ht="13.2" x14ac:dyDescent="0.25">
      <c r="A283" s="2"/>
      <c r="B283" s="2"/>
      <c r="C283" s="2"/>
      <c r="D283" s="2"/>
      <c r="E283" s="2"/>
      <c r="F283" s="2"/>
      <c r="G283" s="2"/>
    </row>
    <row r="284" spans="1:7" ht="13.2" x14ac:dyDescent="0.25">
      <c r="A284" s="2"/>
      <c r="B284" s="2"/>
      <c r="C284" s="2"/>
      <c r="D284" s="2"/>
      <c r="E284" s="2"/>
      <c r="F284" s="2"/>
      <c r="G284" s="2"/>
    </row>
    <row r="285" spans="1:7" ht="13.2" x14ac:dyDescent="0.25">
      <c r="A285" s="2"/>
      <c r="B285" s="2"/>
      <c r="C285" s="2"/>
      <c r="D285" s="2"/>
      <c r="E285" s="2"/>
      <c r="F285" s="2"/>
      <c r="G285" s="2"/>
    </row>
    <row r="286" spans="1:7" ht="13.2" x14ac:dyDescent="0.25">
      <c r="A286" s="2"/>
      <c r="B286" s="2"/>
      <c r="C286" s="2"/>
      <c r="D286" s="2"/>
      <c r="E286" s="2"/>
      <c r="F286" s="2"/>
      <c r="G286" s="2"/>
    </row>
    <row r="287" spans="1:7" ht="13.2" x14ac:dyDescent="0.25">
      <c r="A287" s="2"/>
      <c r="B287" s="2"/>
      <c r="C287" s="2"/>
      <c r="D287" s="2"/>
      <c r="E287" s="2"/>
      <c r="F287" s="2"/>
      <c r="G287" s="2"/>
    </row>
    <row r="288" spans="1:7" ht="13.2" x14ac:dyDescent="0.25">
      <c r="A288" s="2"/>
      <c r="B288" s="2"/>
      <c r="C288" s="2"/>
      <c r="D288" s="2"/>
      <c r="E288" s="2"/>
      <c r="F288" s="2"/>
      <c r="G288" s="2"/>
    </row>
    <row r="289" spans="1:7" ht="13.2" x14ac:dyDescent="0.25">
      <c r="A289" s="2"/>
      <c r="B289" s="2"/>
      <c r="C289" s="2"/>
      <c r="D289" s="2"/>
      <c r="E289" s="2"/>
      <c r="F289" s="2"/>
      <c r="G289" s="2"/>
    </row>
    <row r="290" spans="1:7" ht="13.2" x14ac:dyDescent="0.25">
      <c r="A290" s="2"/>
      <c r="B290" s="2"/>
      <c r="C290" s="2"/>
      <c r="D290" s="2"/>
      <c r="E290" s="2"/>
      <c r="F290" s="2"/>
      <c r="G290" s="2"/>
    </row>
    <row r="291" spans="1:7" ht="13.2" x14ac:dyDescent="0.25">
      <c r="A291" s="2"/>
      <c r="B291" s="2"/>
      <c r="C291" s="2"/>
      <c r="D291" s="2"/>
      <c r="E291" s="2"/>
      <c r="F291" s="2"/>
      <c r="G291" s="2"/>
    </row>
    <row r="292" spans="1:7" ht="13.2" x14ac:dyDescent="0.25">
      <c r="A292" s="2"/>
      <c r="B292" s="2"/>
      <c r="C292" s="2"/>
      <c r="D292" s="2"/>
      <c r="E292" s="2"/>
      <c r="F292" s="2"/>
      <c r="G292" s="2"/>
    </row>
    <row r="293" spans="1:7" ht="13.2" x14ac:dyDescent="0.25">
      <c r="A293" s="2"/>
      <c r="B293" s="2"/>
      <c r="C293" s="2"/>
      <c r="D293" s="2"/>
      <c r="E293" s="2"/>
      <c r="F293" s="2"/>
      <c r="G293" s="2"/>
    </row>
    <row r="294" spans="1:7" ht="13.2" x14ac:dyDescent="0.25">
      <c r="A294" s="2"/>
      <c r="B294" s="2"/>
      <c r="C294" s="2"/>
      <c r="D294" s="2"/>
      <c r="E294" s="2"/>
      <c r="F294" s="2"/>
      <c r="G294" s="2"/>
    </row>
    <row r="295" spans="1:7" ht="13.2" x14ac:dyDescent="0.25">
      <c r="A295" s="2"/>
      <c r="B295" s="2"/>
      <c r="C295" s="2"/>
      <c r="D295" s="2"/>
      <c r="E295" s="2"/>
      <c r="F295" s="2"/>
      <c r="G295" s="2"/>
    </row>
    <row r="296" spans="1:7" ht="13.2" x14ac:dyDescent="0.25">
      <c r="A296" s="2"/>
      <c r="B296" s="2"/>
      <c r="C296" s="2"/>
      <c r="D296" s="2"/>
      <c r="E296" s="2"/>
      <c r="F296" s="2"/>
      <c r="G296" s="2"/>
    </row>
    <row r="297" spans="1:7" ht="13.2" x14ac:dyDescent="0.25">
      <c r="A297" s="2"/>
      <c r="B297" s="2"/>
      <c r="C297" s="2"/>
      <c r="D297" s="2"/>
      <c r="E297" s="2"/>
      <c r="F297" s="2"/>
      <c r="G297" s="2"/>
    </row>
    <row r="298" spans="1:7" ht="13.2" x14ac:dyDescent="0.25">
      <c r="A298" s="2"/>
      <c r="B298" s="2"/>
      <c r="C298" s="2"/>
      <c r="D298" s="2"/>
      <c r="E298" s="2"/>
      <c r="F298" s="2"/>
      <c r="G298" s="2"/>
    </row>
    <row r="299" spans="1:7" ht="13.2" x14ac:dyDescent="0.25">
      <c r="A299" s="2"/>
      <c r="B299" s="2"/>
      <c r="C299" s="2"/>
      <c r="D299" s="2"/>
      <c r="E299" s="2"/>
      <c r="F299" s="2"/>
      <c r="G299" s="2"/>
    </row>
    <row r="300" spans="1:7" ht="13.2" x14ac:dyDescent="0.25">
      <c r="A300" s="2"/>
      <c r="B300" s="2"/>
      <c r="C300" s="2"/>
      <c r="D300" s="2"/>
      <c r="E300" s="2"/>
      <c r="F300" s="2"/>
      <c r="G300" s="2"/>
    </row>
    <row r="301" spans="1:7" ht="13.2" x14ac:dyDescent="0.25">
      <c r="A301" s="2"/>
      <c r="B301" s="2"/>
      <c r="C301" s="2"/>
      <c r="D301" s="2"/>
      <c r="E301" s="2"/>
      <c r="F301" s="2"/>
      <c r="G301" s="2"/>
    </row>
    <row r="302" spans="1:7" ht="13.2" x14ac:dyDescent="0.25">
      <c r="A302" s="2"/>
      <c r="B302" s="2"/>
      <c r="C302" s="2"/>
      <c r="D302" s="2"/>
      <c r="E302" s="2"/>
      <c r="F302" s="2"/>
      <c r="G302" s="2"/>
    </row>
    <row r="303" spans="1:7" ht="13.2" x14ac:dyDescent="0.25">
      <c r="A303" s="2"/>
      <c r="B303" s="2"/>
      <c r="C303" s="2"/>
      <c r="D303" s="2"/>
      <c r="E303" s="2"/>
      <c r="F303" s="2"/>
      <c r="G303" s="2"/>
    </row>
    <row r="304" spans="1:7" ht="13.2" x14ac:dyDescent="0.25">
      <c r="A304" s="2"/>
      <c r="B304" s="2"/>
      <c r="C304" s="2"/>
      <c r="D304" s="2"/>
      <c r="E304" s="2"/>
      <c r="F304" s="2"/>
      <c r="G304" s="2"/>
    </row>
    <row r="305" spans="1:7" ht="13.2" x14ac:dyDescent="0.25">
      <c r="A305" s="2"/>
      <c r="B305" s="2"/>
      <c r="C305" s="2"/>
      <c r="D305" s="2"/>
      <c r="E305" s="2"/>
      <c r="F305" s="2"/>
      <c r="G305" s="2"/>
    </row>
    <row r="306" spans="1:7" ht="13.2" x14ac:dyDescent="0.25">
      <c r="A306" s="2"/>
      <c r="B306" s="2"/>
      <c r="C306" s="2"/>
      <c r="D306" s="2"/>
      <c r="E306" s="2"/>
      <c r="F306" s="2"/>
      <c r="G306" s="2"/>
    </row>
    <row r="307" spans="1:7" ht="13.2" x14ac:dyDescent="0.25">
      <c r="A307" s="2"/>
      <c r="B307" s="2"/>
      <c r="C307" s="2"/>
      <c r="D307" s="2"/>
      <c r="E307" s="2"/>
      <c r="F307" s="2"/>
      <c r="G307" s="2"/>
    </row>
    <row r="308" spans="1:7" ht="13.2" x14ac:dyDescent="0.25">
      <c r="A308" s="2"/>
      <c r="B308" s="2"/>
      <c r="C308" s="2"/>
      <c r="D308" s="2"/>
      <c r="E308" s="2"/>
      <c r="F308" s="2"/>
      <c r="G308" s="2"/>
    </row>
    <row r="309" spans="1:7" ht="13.2" x14ac:dyDescent="0.25">
      <c r="A309" s="2"/>
      <c r="B309" s="2"/>
      <c r="C309" s="2"/>
      <c r="D309" s="2"/>
      <c r="E309" s="2"/>
      <c r="F309" s="2"/>
      <c r="G309" s="2"/>
    </row>
    <row r="310" spans="1:7" ht="13.2" x14ac:dyDescent="0.25">
      <c r="A310" s="2"/>
      <c r="B310" s="2"/>
      <c r="C310" s="2"/>
      <c r="D310" s="2"/>
      <c r="E310" s="2"/>
      <c r="F310" s="2"/>
      <c r="G310" s="2"/>
    </row>
    <row r="311" spans="1:7" ht="13.2" x14ac:dyDescent="0.25">
      <c r="A311" s="2"/>
      <c r="B311" s="2"/>
      <c r="C311" s="2"/>
      <c r="D311" s="2"/>
      <c r="E311" s="2"/>
      <c r="F311" s="2"/>
      <c r="G311" s="2"/>
    </row>
    <row r="312" spans="1:7" ht="13.2" x14ac:dyDescent="0.25">
      <c r="A312" s="2"/>
      <c r="B312" s="2"/>
      <c r="C312" s="2"/>
      <c r="D312" s="2"/>
      <c r="E312" s="2"/>
      <c r="F312" s="2"/>
      <c r="G312" s="2"/>
    </row>
    <row r="313" spans="1:7" ht="13.2" x14ac:dyDescent="0.25">
      <c r="A313" s="2"/>
      <c r="B313" s="2"/>
      <c r="C313" s="2"/>
      <c r="D313" s="2"/>
      <c r="E313" s="2"/>
      <c r="F313" s="2"/>
      <c r="G313" s="2"/>
    </row>
    <row r="314" spans="1:7" ht="13.2" x14ac:dyDescent="0.25">
      <c r="A314" s="2"/>
      <c r="B314" s="2"/>
      <c r="C314" s="2"/>
      <c r="D314" s="2"/>
      <c r="E314" s="2"/>
      <c r="F314" s="2"/>
      <c r="G314" s="2"/>
    </row>
    <row r="315" spans="1:7" ht="13.2" x14ac:dyDescent="0.25">
      <c r="A315" s="2"/>
      <c r="B315" s="2"/>
      <c r="C315" s="2"/>
      <c r="D315" s="2"/>
      <c r="E315" s="2"/>
      <c r="F315" s="2"/>
      <c r="G315" s="2"/>
    </row>
    <row r="316" spans="1:7" ht="13.2" x14ac:dyDescent="0.25">
      <c r="A316" s="2"/>
      <c r="B316" s="2"/>
      <c r="C316" s="2"/>
      <c r="D316" s="2"/>
      <c r="E316" s="2"/>
      <c r="F316" s="2"/>
      <c r="G316" s="2"/>
    </row>
    <row r="317" spans="1:7" ht="13.2" x14ac:dyDescent="0.25">
      <c r="A317" s="2"/>
      <c r="B317" s="2"/>
      <c r="C317" s="2"/>
      <c r="D317" s="2"/>
      <c r="E317" s="2"/>
      <c r="F317" s="2"/>
      <c r="G317" s="2"/>
    </row>
    <row r="318" spans="1:7" ht="13.2" x14ac:dyDescent="0.25">
      <c r="A318" s="2"/>
      <c r="B318" s="2"/>
      <c r="C318" s="2"/>
      <c r="D318" s="2"/>
      <c r="E318" s="2"/>
      <c r="F318" s="2"/>
      <c r="G318" s="2"/>
    </row>
    <row r="319" spans="1:7" ht="13.2" x14ac:dyDescent="0.25">
      <c r="A319" s="2"/>
      <c r="B319" s="2"/>
      <c r="C319" s="2"/>
      <c r="D319" s="2"/>
      <c r="E319" s="2"/>
      <c r="F319" s="2"/>
      <c r="G319" s="2"/>
    </row>
    <row r="320" spans="1:7" ht="13.2" x14ac:dyDescent="0.25">
      <c r="A320" s="2"/>
      <c r="B320" s="2"/>
      <c r="C320" s="2"/>
      <c r="D320" s="2"/>
      <c r="E320" s="2"/>
      <c r="F320" s="2"/>
      <c r="G320" s="2"/>
    </row>
    <row r="321" spans="1:7" ht="13.2" x14ac:dyDescent="0.25">
      <c r="A321" s="2"/>
      <c r="B321" s="2"/>
      <c r="C321" s="2"/>
      <c r="D321" s="2"/>
      <c r="E321" s="2"/>
      <c r="F321" s="2"/>
      <c r="G321" s="2"/>
    </row>
    <row r="322" spans="1:7" ht="13.2" x14ac:dyDescent="0.25">
      <c r="A322" s="2"/>
      <c r="B322" s="2"/>
      <c r="C322" s="2"/>
      <c r="D322" s="2"/>
      <c r="E322" s="2"/>
      <c r="F322" s="2"/>
      <c r="G322" s="2"/>
    </row>
    <row r="323" spans="1:7" ht="13.2" x14ac:dyDescent="0.25">
      <c r="A323" s="2"/>
      <c r="B323" s="2"/>
      <c r="C323" s="2"/>
      <c r="D323" s="2"/>
      <c r="E323" s="2"/>
      <c r="F323" s="2"/>
      <c r="G323" s="2"/>
    </row>
    <row r="324" spans="1:7" ht="13.2" x14ac:dyDescent="0.25">
      <c r="A324" s="2"/>
      <c r="B324" s="2"/>
      <c r="C324" s="2"/>
      <c r="D324" s="2"/>
      <c r="E324" s="2"/>
      <c r="F324" s="2"/>
      <c r="G324" s="2"/>
    </row>
    <row r="325" spans="1:7" ht="13.2" x14ac:dyDescent="0.25">
      <c r="A325" s="2"/>
      <c r="B325" s="2"/>
      <c r="C325" s="2"/>
      <c r="D325" s="2"/>
      <c r="E325" s="2"/>
      <c r="F325" s="2"/>
      <c r="G325" s="2"/>
    </row>
    <row r="326" spans="1:7" ht="13.2" x14ac:dyDescent="0.25">
      <c r="A326" s="2"/>
      <c r="B326" s="2"/>
      <c r="C326" s="2"/>
      <c r="D326" s="2"/>
      <c r="E326" s="2"/>
      <c r="F326" s="2"/>
      <c r="G326" s="2"/>
    </row>
    <row r="327" spans="1:7" ht="13.2" x14ac:dyDescent="0.25">
      <c r="A327" s="2"/>
      <c r="B327" s="2"/>
      <c r="C327" s="2"/>
      <c r="D327" s="2"/>
      <c r="E327" s="2"/>
      <c r="F327" s="2"/>
      <c r="G327" s="2"/>
    </row>
    <row r="328" spans="1:7" ht="13.2" x14ac:dyDescent="0.25">
      <c r="A328" s="2"/>
      <c r="B328" s="2"/>
      <c r="C328" s="2"/>
      <c r="D328" s="2"/>
      <c r="E328" s="2"/>
      <c r="F328" s="2"/>
      <c r="G328" s="2"/>
    </row>
    <row r="329" spans="1:7" ht="13.2" x14ac:dyDescent="0.25">
      <c r="A329" s="2"/>
      <c r="B329" s="2"/>
      <c r="C329" s="2"/>
      <c r="D329" s="2"/>
      <c r="E329" s="2"/>
      <c r="F329" s="2"/>
      <c r="G329" s="2"/>
    </row>
    <row r="330" spans="1:7" ht="13.2" x14ac:dyDescent="0.25">
      <c r="A330" s="2"/>
      <c r="B330" s="2"/>
      <c r="C330" s="2"/>
      <c r="D330" s="2"/>
      <c r="E330" s="2"/>
      <c r="F330" s="2"/>
      <c r="G330" s="2"/>
    </row>
    <row r="331" spans="1:7" ht="13.2" x14ac:dyDescent="0.25">
      <c r="A331" s="2"/>
      <c r="B331" s="2"/>
      <c r="C331" s="2"/>
      <c r="D331" s="2"/>
      <c r="E331" s="2"/>
      <c r="F331" s="2"/>
      <c r="G331" s="2"/>
    </row>
    <row r="332" spans="1:7" ht="13.2" x14ac:dyDescent="0.25">
      <c r="A332" s="2"/>
      <c r="B332" s="2"/>
      <c r="C332" s="2"/>
      <c r="D332" s="2"/>
      <c r="E332" s="2"/>
      <c r="F332" s="2"/>
      <c r="G332" s="2"/>
    </row>
    <row r="333" spans="1:7" ht="13.2" x14ac:dyDescent="0.25">
      <c r="A333" s="2"/>
      <c r="B333" s="2"/>
      <c r="C333" s="2"/>
      <c r="D333" s="2"/>
      <c r="E333" s="2"/>
      <c r="F333" s="2"/>
      <c r="G333" s="2"/>
    </row>
    <row r="334" spans="1:7" ht="13.2" x14ac:dyDescent="0.25">
      <c r="A334" s="2"/>
      <c r="B334" s="2"/>
      <c r="C334" s="2"/>
      <c r="D334" s="2"/>
      <c r="E334" s="2"/>
      <c r="F334" s="2"/>
      <c r="G334" s="2"/>
    </row>
    <row r="335" spans="1:7" ht="13.2" x14ac:dyDescent="0.25">
      <c r="A335" s="2"/>
      <c r="B335" s="2"/>
      <c r="C335" s="2"/>
      <c r="D335" s="2"/>
      <c r="E335" s="2"/>
      <c r="F335" s="2"/>
      <c r="G335" s="2"/>
    </row>
    <row r="336" spans="1:7" ht="13.2" x14ac:dyDescent="0.25">
      <c r="A336" s="2"/>
      <c r="B336" s="2"/>
      <c r="C336" s="2"/>
      <c r="D336" s="2"/>
      <c r="E336" s="2"/>
      <c r="F336" s="2"/>
      <c r="G336" s="2"/>
    </row>
    <row r="337" spans="1:7" ht="13.2" x14ac:dyDescent="0.25">
      <c r="A337" s="2"/>
      <c r="B337" s="2"/>
      <c r="C337" s="2"/>
      <c r="D337" s="2"/>
      <c r="E337" s="2"/>
      <c r="F337" s="2"/>
      <c r="G337" s="2"/>
    </row>
    <row r="338" spans="1:7" ht="13.2" x14ac:dyDescent="0.25">
      <c r="A338" s="2"/>
      <c r="B338" s="2"/>
      <c r="C338" s="2"/>
      <c r="D338" s="2"/>
      <c r="E338" s="2"/>
      <c r="F338" s="2"/>
      <c r="G338" s="2"/>
    </row>
    <row r="339" spans="1:7" ht="13.2" x14ac:dyDescent="0.25">
      <c r="A339" s="2"/>
      <c r="B339" s="2"/>
      <c r="C339" s="2"/>
      <c r="D339" s="2"/>
      <c r="E339" s="2"/>
      <c r="F339" s="2"/>
      <c r="G339" s="2"/>
    </row>
    <row r="340" spans="1:7" ht="13.2" x14ac:dyDescent="0.25">
      <c r="A340" s="2"/>
      <c r="B340" s="2"/>
      <c r="C340" s="2"/>
      <c r="D340" s="2"/>
      <c r="E340" s="2"/>
      <c r="F340" s="2"/>
      <c r="G340" s="2"/>
    </row>
    <row r="341" spans="1:7" ht="13.2" x14ac:dyDescent="0.25">
      <c r="A341" s="2"/>
      <c r="B341" s="2"/>
      <c r="C341" s="2"/>
      <c r="D341" s="2"/>
      <c r="E341" s="2"/>
      <c r="F341" s="2"/>
      <c r="G341" s="2"/>
    </row>
    <row r="342" spans="1:7" ht="13.2" x14ac:dyDescent="0.25">
      <c r="A342" s="2"/>
      <c r="B342" s="2"/>
      <c r="C342" s="2"/>
      <c r="D342" s="2"/>
      <c r="E342" s="2"/>
      <c r="F342" s="2"/>
      <c r="G342" s="2"/>
    </row>
    <row r="343" spans="1:7" ht="13.2" x14ac:dyDescent="0.25">
      <c r="A343" s="2"/>
      <c r="B343" s="2"/>
      <c r="C343" s="2"/>
      <c r="D343" s="2"/>
      <c r="E343" s="2"/>
      <c r="F343" s="2"/>
      <c r="G343" s="2"/>
    </row>
    <row r="344" spans="1:7" ht="13.2" x14ac:dyDescent="0.25">
      <c r="A344" s="2"/>
      <c r="B344" s="2"/>
      <c r="C344" s="2"/>
      <c r="D344" s="2"/>
      <c r="E344" s="2"/>
      <c r="F344" s="2"/>
      <c r="G344" s="2"/>
    </row>
    <row r="345" spans="1:7" ht="13.2" x14ac:dyDescent="0.25">
      <c r="A345" s="2"/>
      <c r="B345" s="2"/>
      <c r="C345" s="2"/>
      <c r="D345" s="2"/>
      <c r="E345" s="2"/>
      <c r="F345" s="2"/>
      <c r="G345" s="2"/>
    </row>
    <row r="346" spans="1:7" ht="13.2" x14ac:dyDescent="0.25">
      <c r="A346" s="2"/>
      <c r="B346" s="2"/>
      <c r="C346" s="2"/>
      <c r="D346" s="2"/>
      <c r="E346" s="2"/>
      <c r="F346" s="2"/>
      <c r="G346" s="2"/>
    </row>
    <row r="347" spans="1:7" ht="13.2" x14ac:dyDescent="0.25">
      <c r="A347" s="2"/>
      <c r="B347" s="2"/>
      <c r="C347" s="2"/>
      <c r="D347" s="2"/>
      <c r="E347" s="2"/>
      <c r="F347" s="2"/>
      <c r="G347" s="2"/>
    </row>
    <row r="348" spans="1:7" ht="13.2" x14ac:dyDescent="0.25">
      <c r="A348" s="2"/>
      <c r="B348" s="2"/>
      <c r="C348" s="2"/>
      <c r="D348" s="2"/>
      <c r="E348" s="2"/>
      <c r="F348" s="2"/>
      <c r="G348" s="2"/>
    </row>
    <row r="349" spans="1:7" ht="13.2" x14ac:dyDescent="0.25">
      <c r="A349" s="2"/>
      <c r="B349" s="2"/>
      <c r="C349" s="2"/>
      <c r="D349" s="2"/>
      <c r="E349" s="2"/>
      <c r="F349" s="2"/>
      <c r="G349" s="2"/>
    </row>
    <row r="350" spans="1:7" ht="13.2" x14ac:dyDescent="0.25">
      <c r="A350" s="2"/>
      <c r="B350" s="2"/>
      <c r="C350" s="2"/>
      <c r="D350" s="2"/>
      <c r="E350" s="2"/>
      <c r="F350" s="2"/>
      <c r="G350" s="2"/>
    </row>
    <row r="351" spans="1:7" ht="13.2" x14ac:dyDescent="0.25">
      <c r="A351" s="2"/>
      <c r="B351" s="2"/>
      <c r="C351" s="2"/>
      <c r="D351" s="2"/>
      <c r="E351" s="2"/>
      <c r="F351" s="2"/>
      <c r="G351" s="2"/>
    </row>
    <row r="352" spans="1:7" ht="13.2" x14ac:dyDescent="0.25">
      <c r="A352" s="2"/>
      <c r="B352" s="2"/>
      <c r="C352" s="2"/>
      <c r="D352" s="2"/>
      <c r="E352" s="2"/>
      <c r="F352" s="2"/>
      <c r="G352" s="2"/>
    </row>
    <row r="353" spans="1:7" ht="13.2" x14ac:dyDescent="0.25">
      <c r="A353" s="2"/>
      <c r="B353" s="2"/>
      <c r="C353" s="2"/>
      <c r="D353" s="2"/>
      <c r="E353" s="2"/>
      <c r="F353" s="2"/>
      <c r="G353" s="2"/>
    </row>
    <row r="354" spans="1:7" ht="13.2" x14ac:dyDescent="0.25">
      <c r="A354" s="2"/>
      <c r="B354" s="2"/>
      <c r="C354" s="2"/>
      <c r="D354" s="2"/>
      <c r="E354" s="2"/>
      <c r="F354" s="2"/>
      <c r="G354" s="2"/>
    </row>
    <row r="355" spans="1:7" ht="13.2" x14ac:dyDescent="0.25">
      <c r="A355" s="2"/>
      <c r="B355" s="2"/>
      <c r="C355" s="2"/>
      <c r="D355" s="2"/>
      <c r="E355" s="2"/>
      <c r="F355" s="2"/>
      <c r="G355" s="2"/>
    </row>
    <row r="356" spans="1:7" ht="13.2" x14ac:dyDescent="0.25">
      <c r="A356" s="2"/>
      <c r="B356" s="2"/>
      <c r="C356" s="2"/>
      <c r="D356" s="2"/>
      <c r="E356" s="2"/>
      <c r="F356" s="2"/>
      <c r="G356" s="2"/>
    </row>
    <row r="357" spans="1:7" ht="13.2" x14ac:dyDescent="0.25">
      <c r="A357" s="2"/>
      <c r="B357" s="2"/>
      <c r="C357" s="2"/>
      <c r="D357" s="2"/>
      <c r="E357" s="2"/>
      <c r="F357" s="2"/>
      <c r="G357" s="2"/>
    </row>
    <row r="358" spans="1:7" ht="13.2" x14ac:dyDescent="0.25">
      <c r="A358" s="2"/>
      <c r="B358" s="2"/>
      <c r="C358" s="2"/>
      <c r="D358" s="2"/>
      <c r="E358" s="2"/>
      <c r="F358" s="2"/>
      <c r="G358" s="2"/>
    </row>
    <row r="359" spans="1:7" ht="13.2" x14ac:dyDescent="0.25">
      <c r="A359" s="2"/>
      <c r="B359" s="2"/>
      <c r="C359" s="2"/>
      <c r="D359" s="2"/>
      <c r="E359" s="2"/>
      <c r="F359" s="2"/>
      <c r="G359" s="2"/>
    </row>
    <row r="360" spans="1:7" ht="13.2" x14ac:dyDescent="0.25">
      <c r="A360" s="2"/>
      <c r="B360" s="2"/>
      <c r="C360" s="2"/>
      <c r="D360" s="2"/>
      <c r="E360" s="2"/>
      <c r="F360" s="2"/>
      <c r="G360" s="2"/>
    </row>
    <row r="361" spans="1:7" ht="13.2" x14ac:dyDescent="0.25">
      <c r="A361" s="2"/>
      <c r="B361" s="2"/>
      <c r="C361" s="2"/>
      <c r="D361" s="2"/>
      <c r="E361" s="2"/>
      <c r="F361" s="2"/>
      <c r="G361" s="2"/>
    </row>
    <row r="362" spans="1:7" ht="13.2" x14ac:dyDescent="0.25">
      <c r="A362" s="2"/>
      <c r="B362" s="2"/>
      <c r="C362" s="2"/>
      <c r="D362" s="2"/>
      <c r="E362" s="2"/>
      <c r="F362" s="2"/>
      <c r="G362" s="2"/>
    </row>
    <row r="363" spans="1:7" ht="13.2" x14ac:dyDescent="0.25">
      <c r="A363" s="2"/>
      <c r="B363" s="2"/>
      <c r="C363" s="2"/>
      <c r="D363" s="2"/>
      <c r="E363" s="2"/>
      <c r="F363" s="2"/>
      <c r="G363" s="2"/>
    </row>
    <row r="364" spans="1:7" ht="13.2" x14ac:dyDescent="0.25">
      <c r="A364" s="2"/>
      <c r="B364" s="2"/>
      <c r="C364" s="2"/>
      <c r="D364" s="2"/>
      <c r="E364" s="2"/>
      <c r="F364" s="2"/>
      <c r="G364" s="2"/>
    </row>
    <row r="365" spans="1:7" ht="13.2" x14ac:dyDescent="0.25">
      <c r="A365" s="2"/>
      <c r="B365" s="2"/>
      <c r="C365" s="2"/>
      <c r="D365" s="2"/>
      <c r="E365" s="2"/>
      <c r="F365" s="2"/>
      <c r="G365" s="2"/>
    </row>
    <row r="366" spans="1:7" ht="13.2" x14ac:dyDescent="0.25">
      <c r="A366" s="2"/>
      <c r="B366" s="2"/>
      <c r="C366" s="2"/>
      <c r="D366" s="2"/>
      <c r="E366" s="2"/>
      <c r="F366" s="2"/>
      <c r="G366" s="2"/>
    </row>
    <row r="367" spans="1:7" ht="13.2" x14ac:dyDescent="0.25">
      <c r="A367" s="2"/>
      <c r="B367" s="2"/>
      <c r="C367" s="2"/>
      <c r="D367" s="2"/>
      <c r="E367" s="2"/>
      <c r="F367" s="2"/>
      <c r="G367" s="2"/>
    </row>
    <row r="368" spans="1:7" ht="13.2" x14ac:dyDescent="0.25">
      <c r="A368" s="2"/>
      <c r="B368" s="2"/>
      <c r="C368" s="2"/>
      <c r="D368" s="2"/>
      <c r="E368" s="2"/>
      <c r="F368" s="2"/>
      <c r="G368" s="2"/>
    </row>
    <row r="369" spans="1:7" ht="13.2" x14ac:dyDescent="0.25">
      <c r="A369" s="2"/>
      <c r="B369" s="2"/>
      <c r="C369" s="2"/>
      <c r="D369" s="2"/>
      <c r="E369" s="2"/>
      <c r="F369" s="2"/>
      <c r="G369" s="2"/>
    </row>
    <row r="370" spans="1:7" ht="13.2" x14ac:dyDescent="0.25">
      <c r="A370" s="2"/>
      <c r="B370" s="2"/>
      <c r="C370" s="2"/>
      <c r="D370" s="2"/>
      <c r="E370" s="2"/>
      <c r="F370" s="2"/>
      <c r="G370" s="2"/>
    </row>
    <row r="371" spans="1:7" ht="13.2" x14ac:dyDescent="0.25">
      <c r="A371" s="2"/>
      <c r="B371" s="2"/>
      <c r="C371" s="2"/>
      <c r="D371" s="2"/>
      <c r="E371" s="2"/>
      <c r="F371" s="2"/>
      <c r="G371" s="2"/>
    </row>
    <row r="372" spans="1:7" ht="13.2" x14ac:dyDescent="0.25">
      <c r="A372" s="2"/>
      <c r="B372" s="2"/>
      <c r="C372" s="2"/>
      <c r="D372" s="2"/>
      <c r="E372" s="2"/>
      <c r="F372" s="2"/>
      <c r="G372" s="2"/>
    </row>
    <row r="373" spans="1:7" ht="13.2" x14ac:dyDescent="0.25">
      <c r="A373" s="2"/>
      <c r="B373" s="2"/>
      <c r="C373" s="2"/>
      <c r="D373" s="2"/>
      <c r="E373" s="2"/>
      <c r="F373" s="2"/>
      <c r="G373" s="2"/>
    </row>
    <row r="374" spans="1:7" ht="13.2" x14ac:dyDescent="0.25">
      <c r="A374" s="2"/>
      <c r="B374" s="2"/>
      <c r="C374" s="2"/>
      <c r="D374" s="2"/>
      <c r="E374" s="2"/>
      <c r="F374" s="2"/>
      <c r="G374" s="2"/>
    </row>
    <row r="375" spans="1:7" ht="13.2" x14ac:dyDescent="0.25">
      <c r="A375" s="2"/>
      <c r="B375" s="2"/>
      <c r="C375" s="2"/>
      <c r="D375" s="2"/>
      <c r="E375" s="2"/>
      <c r="F375" s="2"/>
      <c r="G375" s="2"/>
    </row>
    <row r="376" spans="1:7" ht="13.2" x14ac:dyDescent="0.25">
      <c r="A376" s="2"/>
      <c r="B376" s="2"/>
      <c r="C376" s="2"/>
      <c r="D376" s="2"/>
      <c r="E376" s="2"/>
      <c r="F376" s="2"/>
      <c r="G376" s="2"/>
    </row>
    <row r="377" spans="1:7" ht="13.2" x14ac:dyDescent="0.25">
      <c r="A377" s="2"/>
      <c r="B377" s="2"/>
      <c r="C377" s="2"/>
      <c r="D377" s="2"/>
      <c r="E377" s="2"/>
      <c r="F377" s="2"/>
      <c r="G377" s="2"/>
    </row>
    <row r="378" spans="1:7" ht="13.2" x14ac:dyDescent="0.25">
      <c r="A378" s="2"/>
      <c r="B378" s="2"/>
      <c r="C378" s="2"/>
      <c r="D378" s="2"/>
      <c r="E378" s="2"/>
      <c r="F378" s="2"/>
      <c r="G378" s="2"/>
    </row>
    <row r="379" spans="1:7" ht="13.2" x14ac:dyDescent="0.25">
      <c r="A379" s="2"/>
      <c r="B379" s="2"/>
      <c r="C379" s="2"/>
      <c r="D379" s="2"/>
      <c r="E379" s="2"/>
      <c r="F379" s="2"/>
      <c r="G379" s="2"/>
    </row>
    <row r="380" spans="1:7" ht="13.2" x14ac:dyDescent="0.25">
      <c r="A380" s="2"/>
      <c r="B380" s="2"/>
      <c r="C380" s="2"/>
      <c r="D380" s="2"/>
      <c r="E380" s="2"/>
      <c r="F380" s="2"/>
      <c r="G380" s="2"/>
    </row>
    <row r="381" spans="1:7" ht="13.2" x14ac:dyDescent="0.25">
      <c r="A381" s="2"/>
      <c r="B381" s="2"/>
      <c r="C381" s="2"/>
      <c r="D381" s="2"/>
      <c r="E381" s="2"/>
      <c r="F381" s="2"/>
      <c r="G381" s="2"/>
    </row>
    <row r="382" spans="1:7" ht="13.2" x14ac:dyDescent="0.25">
      <c r="A382" s="2"/>
      <c r="B382" s="2"/>
      <c r="C382" s="2"/>
      <c r="D382" s="2"/>
      <c r="E382" s="2"/>
      <c r="F382" s="2"/>
      <c r="G382" s="2"/>
    </row>
    <row r="383" spans="1:7" ht="13.2" x14ac:dyDescent="0.25">
      <c r="A383" s="2"/>
      <c r="B383" s="2"/>
      <c r="C383" s="2"/>
      <c r="D383" s="2"/>
      <c r="E383" s="2"/>
      <c r="F383" s="2"/>
      <c r="G383" s="2"/>
    </row>
    <row r="384" spans="1:7" ht="13.2" x14ac:dyDescent="0.25">
      <c r="A384" s="2"/>
      <c r="B384" s="2"/>
      <c r="C384" s="2"/>
      <c r="D384" s="2"/>
      <c r="E384" s="2"/>
      <c r="F384" s="2"/>
      <c r="G384" s="2"/>
    </row>
    <row r="385" spans="1:7" ht="13.2" x14ac:dyDescent="0.25">
      <c r="A385" s="2"/>
      <c r="B385" s="2"/>
      <c r="C385" s="2"/>
      <c r="D385" s="2"/>
      <c r="E385" s="2"/>
      <c r="F385" s="2"/>
      <c r="G385" s="2"/>
    </row>
    <row r="386" spans="1:7" ht="13.2" x14ac:dyDescent="0.25">
      <c r="A386" s="2"/>
      <c r="B386" s="2"/>
      <c r="C386" s="2"/>
      <c r="D386" s="2"/>
      <c r="E386" s="2"/>
      <c r="F386" s="2"/>
      <c r="G386" s="2"/>
    </row>
    <row r="387" spans="1:7" ht="13.2" x14ac:dyDescent="0.25">
      <c r="A387" s="2"/>
      <c r="B387" s="2"/>
      <c r="C387" s="2"/>
      <c r="D387" s="2"/>
      <c r="E387" s="2"/>
      <c r="F387" s="2"/>
      <c r="G387" s="2"/>
    </row>
    <row r="388" spans="1:7" ht="13.2" x14ac:dyDescent="0.25">
      <c r="A388" s="2"/>
      <c r="B388" s="2"/>
      <c r="C388" s="2"/>
      <c r="D388" s="2"/>
      <c r="E388" s="2"/>
      <c r="F388" s="2"/>
      <c r="G388" s="2"/>
    </row>
    <row r="389" spans="1:7" ht="13.2" x14ac:dyDescent="0.25">
      <c r="A389" s="2"/>
      <c r="B389" s="2"/>
      <c r="C389" s="2"/>
      <c r="D389" s="2"/>
      <c r="E389" s="2"/>
      <c r="F389" s="2"/>
      <c r="G389" s="2"/>
    </row>
    <row r="390" spans="1:7" ht="13.2" x14ac:dyDescent="0.25">
      <c r="A390" s="2"/>
      <c r="B390" s="2"/>
      <c r="C390" s="2"/>
      <c r="D390" s="2"/>
      <c r="E390" s="2"/>
      <c r="F390" s="2"/>
      <c r="G390" s="2"/>
    </row>
    <row r="391" spans="1:7" ht="13.2" x14ac:dyDescent="0.25">
      <c r="A391" s="2"/>
      <c r="B391" s="2"/>
      <c r="C391" s="2"/>
      <c r="D391" s="2"/>
      <c r="E391" s="2"/>
      <c r="F391" s="2"/>
      <c r="G391" s="2"/>
    </row>
    <row r="392" spans="1:7" ht="13.2" x14ac:dyDescent="0.25">
      <c r="A392" s="2"/>
      <c r="B392" s="2"/>
      <c r="C392" s="2"/>
      <c r="D392" s="2"/>
      <c r="E392" s="2"/>
      <c r="F392" s="2"/>
      <c r="G392" s="2"/>
    </row>
    <row r="393" spans="1:7" ht="13.2" x14ac:dyDescent="0.25">
      <c r="A393" s="2"/>
      <c r="B393" s="2"/>
      <c r="C393" s="2"/>
      <c r="D393" s="2"/>
      <c r="E393" s="2"/>
      <c r="F393" s="2"/>
      <c r="G393" s="2"/>
    </row>
    <row r="394" spans="1:7" ht="13.2" x14ac:dyDescent="0.25">
      <c r="A394" s="2"/>
      <c r="B394" s="2"/>
      <c r="C394" s="2"/>
      <c r="D394" s="2"/>
      <c r="E394" s="2"/>
      <c r="F394" s="2"/>
      <c r="G394" s="2"/>
    </row>
    <row r="395" spans="1:7" ht="13.2" x14ac:dyDescent="0.25">
      <c r="A395" s="2"/>
      <c r="B395" s="2"/>
      <c r="C395" s="2"/>
      <c r="D395" s="2"/>
      <c r="E395" s="2"/>
      <c r="F395" s="2"/>
      <c r="G395" s="2"/>
    </row>
    <row r="396" spans="1:7" ht="13.2" x14ac:dyDescent="0.25">
      <c r="A396" s="2"/>
      <c r="B396" s="2"/>
      <c r="C396" s="2"/>
      <c r="D396" s="2"/>
      <c r="E396" s="2"/>
      <c r="F396" s="2"/>
      <c r="G396" s="2"/>
    </row>
    <row r="397" spans="1:7" ht="13.2" x14ac:dyDescent="0.25">
      <c r="A397" s="2"/>
      <c r="B397" s="2"/>
      <c r="C397" s="2"/>
      <c r="D397" s="2"/>
      <c r="E397" s="2"/>
      <c r="F397" s="2"/>
      <c r="G397" s="2"/>
    </row>
    <row r="398" spans="1:7" ht="13.2" x14ac:dyDescent="0.25">
      <c r="A398" s="2"/>
      <c r="B398" s="2"/>
      <c r="C398" s="2"/>
      <c r="D398" s="2"/>
      <c r="E398" s="2"/>
      <c r="F398" s="2"/>
      <c r="G398" s="2"/>
    </row>
    <row r="399" spans="1:7" ht="13.2" x14ac:dyDescent="0.25">
      <c r="A399" s="2"/>
      <c r="B399" s="2"/>
      <c r="C399" s="2"/>
      <c r="D399" s="2"/>
      <c r="E399" s="2"/>
      <c r="F399" s="2"/>
      <c r="G399" s="2"/>
    </row>
    <row r="400" spans="1:7" ht="13.2" x14ac:dyDescent="0.25">
      <c r="A400" s="2"/>
      <c r="B400" s="2"/>
      <c r="C400" s="2"/>
      <c r="D400" s="2"/>
      <c r="E400" s="2"/>
      <c r="F400" s="2"/>
      <c r="G400" s="2"/>
    </row>
    <row r="401" spans="1:7" ht="13.2" x14ac:dyDescent="0.25">
      <c r="A401" s="2"/>
      <c r="B401" s="2"/>
      <c r="C401" s="2"/>
      <c r="D401" s="2"/>
      <c r="E401" s="2"/>
      <c r="F401" s="2"/>
      <c r="G401" s="2"/>
    </row>
    <row r="402" spans="1:7" ht="13.2" x14ac:dyDescent="0.25">
      <c r="A402" s="2"/>
      <c r="B402" s="2"/>
      <c r="C402" s="2"/>
      <c r="D402" s="2"/>
      <c r="E402" s="2"/>
      <c r="F402" s="2"/>
      <c r="G402" s="2"/>
    </row>
    <row r="403" spans="1:7" ht="13.2" x14ac:dyDescent="0.25">
      <c r="A403" s="2"/>
      <c r="B403" s="2"/>
      <c r="C403" s="2"/>
      <c r="D403" s="2"/>
      <c r="E403" s="2"/>
      <c r="F403" s="2"/>
      <c r="G403" s="2"/>
    </row>
    <row r="404" spans="1:7" ht="13.2" x14ac:dyDescent="0.25">
      <c r="A404" s="2"/>
      <c r="B404" s="2"/>
      <c r="C404" s="2"/>
      <c r="D404" s="2"/>
      <c r="E404" s="2"/>
      <c r="F404" s="2"/>
      <c r="G404" s="2"/>
    </row>
    <row r="405" spans="1:7" ht="13.2" x14ac:dyDescent="0.25">
      <c r="A405" s="2"/>
      <c r="B405" s="2"/>
      <c r="C405" s="2"/>
      <c r="D405" s="2"/>
      <c r="E405" s="2"/>
      <c r="F405" s="2"/>
      <c r="G405" s="2"/>
    </row>
    <row r="406" spans="1:7" ht="13.2" x14ac:dyDescent="0.25">
      <c r="A406" s="2"/>
      <c r="B406" s="2"/>
      <c r="C406" s="2"/>
      <c r="D406" s="2"/>
      <c r="E406" s="2"/>
      <c r="F406" s="2"/>
      <c r="G406" s="2"/>
    </row>
    <row r="407" spans="1:7" ht="13.2" x14ac:dyDescent="0.25">
      <c r="A407" s="2"/>
      <c r="B407" s="2"/>
      <c r="C407" s="2"/>
      <c r="D407" s="2"/>
      <c r="E407" s="2"/>
      <c r="F407" s="2"/>
      <c r="G407" s="2"/>
    </row>
    <row r="408" spans="1:7" ht="13.2" x14ac:dyDescent="0.25">
      <c r="A408" s="2"/>
      <c r="B408" s="2"/>
      <c r="C408" s="2"/>
      <c r="D408" s="2"/>
      <c r="E408" s="2"/>
      <c r="F408" s="2"/>
      <c r="G408" s="2"/>
    </row>
    <row r="409" spans="1:7" ht="13.2" x14ac:dyDescent="0.25">
      <c r="A409" s="2"/>
      <c r="B409" s="2"/>
      <c r="C409" s="2"/>
      <c r="D409" s="2"/>
      <c r="E409" s="2"/>
      <c r="F409" s="2"/>
      <c r="G409" s="2"/>
    </row>
    <row r="410" spans="1:7" ht="13.2" x14ac:dyDescent="0.25">
      <c r="A410" s="2"/>
      <c r="B410" s="2"/>
      <c r="C410" s="2"/>
      <c r="D410" s="2"/>
      <c r="E410" s="2"/>
      <c r="F410" s="2"/>
      <c r="G410" s="2"/>
    </row>
    <row r="411" spans="1:7" ht="13.2" x14ac:dyDescent="0.25">
      <c r="A411" s="2"/>
      <c r="B411" s="2"/>
      <c r="C411" s="2"/>
      <c r="D411" s="2"/>
      <c r="E411" s="2"/>
      <c r="F411" s="2"/>
      <c r="G411" s="2"/>
    </row>
    <row r="412" spans="1:7" ht="13.2" x14ac:dyDescent="0.25">
      <c r="A412" s="2"/>
      <c r="B412" s="2"/>
      <c r="C412" s="2"/>
      <c r="D412" s="2"/>
      <c r="E412" s="2"/>
      <c r="F412" s="2"/>
      <c r="G412" s="2"/>
    </row>
    <row r="413" spans="1:7" ht="13.2" x14ac:dyDescent="0.25">
      <c r="A413" s="2"/>
      <c r="B413" s="2"/>
      <c r="C413" s="2"/>
      <c r="D413" s="2"/>
      <c r="E413" s="2"/>
      <c r="F413" s="2"/>
      <c r="G413" s="2"/>
    </row>
    <row r="414" spans="1:7" ht="13.2" x14ac:dyDescent="0.25">
      <c r="A414" s="2"/>
      <c r="B414" s="2"/>
      <c r="C414" s="2"/>
      <c r="D414" s="2"/>
      <c r="E414" s="2"/>
      <c r="F414" s="2"/>
      <c r="G414" s="2"/>
    </row>
    <row r="415" spans="1:7" ht="13.2" x14ac:dyDescent="0.25">
      <c r="A415" s="2"/>
      <c r="B415" s="2"/>
      <c r="C415" s="2"/>
      <c r="D415" s="2"/>
      <c r="E415" s="2"/>
      <c r="F415" s="2"/>
      <c r="G415" s="2"/>
    </row>
    <row r="416" spans="1:7" ht="13.2" x14ac:dyDescent="0.25">
      <c r="A416" s="2"/>
      <c r="B416" s="2"/>
      <c r="C416" s="2"/>
      <c r="D416" s="2"/>
      <c r="E416" s="2"/>
      <c r="F416" s="2"/>
      <c r="G416" s="2"/>
    </row>
    <row r="417" spans="1:7" ht="13.2" x14ac:dyDescent="0.25">
      <c r="A417" s="2"/>
      <c r="B417" s="2"/>
      <c r="C417" s="2"/>
      <c r="D417" s="2"/>
      <c r="E417" s="2"/>
      <c r="F417" s="2"/>
      <c r="G417" s="2"/>
    </row>
    <row r="418" spans="1:7" ht="13.2" x14ac:dyDescent="0.25">
      <c r="A418" s="2"/>
      <c r="B418" s="2"/>
      <c r="C418" s="2"/>
      <c r="D418" s="2"/>
      <c r="E418" s="2"/>
      <c r="F418" s="2"/>
      <c r="G418" s="2"/>
    </row>
    <row r="419" spans="1:7" ht="13.2" x14ac:dyDescent="0.25">
      <c r="A419" s="2"/>
      <c r="B419" s="2"/>
      <c r="C419" s="2"/>
      <c r="D419" s="2"/>
      <c r="E419" s="2"/>
      <c r="F419" s="2"/>
      <c r="G419" s="2"/>
    </row>
    <row r="420" spans="1:7" ht="13.2" x14ac:dyDescent="0.25">
      <c r="A420" s="2"/>
      <c r="B420" s="2"/>
      <c r="C420" s="2"/>
      <c r="D420" s="2"/>
      <c r="E420" s="2"/>
      <c r="F420" s="2"/>
      <c r="G420" s="2"/>
    </row>
    <row r="421" spans="1:7" ht="13.2" x14ac:dyDescent="0.25">
      <c r="A421" s="2"/>
      <c r="B421" s="2"/>
      <c r="C421" s="2"/>
      <c r="D421" s="2"/>
      <c r="E421" s="2"/>
      <c r="F421" s="2"/>
      <c r="G421" s="2"/>
    </row>
    <row r="422" spans="1:7" ht="13.2" x14ac:dyDescent="0.25">
      <c r="A422" s="2"/>
      <c r="B422" s="2"/>
      <c r="C422" s="2"/>
      <c r="D422" s="2"/>
      <c r="E422" s="2"/>
      <c r="F422" s="2"/>
      <c r="G422" s="2"/>
    </row>
    <row r="423" spans="1:7" ht="13.2" x14ac:dyDescent="0.25">
      <c r="A423" s="2"/>
      <c r="B423" s="2"/>
      <c r="C423" s="2"/>
      <c r="D423" s="2"/>
      <c r="E423" s="2"/>
      <c r="F423" s="2"/>
      <c r="G423" s="2"/>
    </row>
    <row r="424" spans="1:7" ht="13.2" x14ac:dyDescent="0.25">
      <c r="A424" s="2"/>
      <c r="B424" s="2"/>
      <c r="C424" s="2"/>
      <c r="D424" s="2"/>
      <c r="E424" s="2"/>
      <c r="F424" s="2"/>
      <c r="G424" s="2"/>
    </row>
    <row r="425" spans="1:7" ht="13.2" x14ac:dyDescent="0.25">
      <c r="A425" s="2"/>
      <c r="B425" s="2"/>
      <c r="C425" s="2"/>
      <c r="D425" s="2"/>
      <c r="E425" s="2"/>
      <c r="F425" s="2"/>
      <c r="G425" s="2"/>
    </row>
    <row r="426" spans="1:7" ht="13.2" x14ac:dyDescent="0.25">
      <c r="A426" s="2"/>
      <c r="B426" s="2"/>
      <c r="C426" s="2"/>
      <c r="D426" s="2"/>
      <c r="E426" s="2"/>
      <c r="F426" s="2"/>
      <c r="G426" s="2"/>
    </row>
    <row r="427" spans="1:7" ht="13.2" x14ac:dyDescent="0.25">
      <c r="A427" s="2"/>
      <c r="B427" s="2"/>
      <c r="C427" s="2"/>
      <c r="D427" s="2"/>
      <c r="E427" s="2"/>
      <c r="F427" s="2"/>
      <c r="G427" s="2"/>
    </row>
    <row r="428" spans="1:7" ht="13.2" x14ac:dyDescent="0.25">
      <c r="A428" s="2"/>
      <c r="B428" s="2"/>
      <c r="C428" s="2"/>
      <c r="D428" s="2"/>
      <c r="E428" s="2"/>
      <c r="F428" s="2"/>
      <c r="G428" s="2"/>
    </row>
    <row r="429" spans="1:7" ht="13.2" x14ac:dyDescent="0.25">
      <c r="A429" s="2"/>
      <c r="B429" s="2"/>
      <c r="C429" s="2"/>
      <c r="D429" s="2"/>
      <c r="E429" s="2"/>
      <c r="F429" s="2"/>
      <c r="G429" s="2"/>
    </row>
    <row r="430" spans="1:7" ht="13.2" x14ac:dyDescent="0.25">
      <c r="A430" s="2"/>
      <c r="B430" s="2"/>
      <c r="C430" s="2"/>
      <c r="D430" s="2"/>
      <c r="E430" s="2"/>
      <c r="F430" s="2"/>
      <c r="G430" s="2"/>
    </row>
    <row r="431" spans="1:7" ht="13.2" x14ac:dyDescent="0.25">
      <c r="A431" s="2"/>
      <c r="B431" s="2"/>
      <c r="C431" s="2"/>
      <c r="D431" s="2"/>
      <c r="E431" s="2"/>
      <c r="F431" s="2"/>
      <c r="G431" s="2"/>
    </row>
    <row r="432" spans="1:7" ht="13.2" x14ac:dyDescent="0.25">
      <c r="A432" s="2"/>
      <c r="B432" s="2"/>
      <c r="C432" s="2"/>
      <c r="D432" s="2"/>
      <c r="E432" s="2"/>
      <c r="F432" s="2"/>
      <c r="G432" s="2"/>
    </row>
    <row r="433" spans="1:7" ht="13.2" x14ac:dyDescent="0.25">
      <c r="A433" s="2"/>
      <c r="B433" s="2"/>
      <c r="C433" s="2"/>
      <c r="D433" s="2"/>
      <c r="E433" s="2"/>
      <c r="F433" s="2"/>
      <c r="G433" s="2"/>
    </row>
    <row r="434" spans="1:7" ht="13.2" x14ac:dyDescent="0.25">
      <c r="A434" s="2"/>
      <c r="B434" s="2"/>
      <c r="C434" s="2"/>
      <c r="D434" s="2"/>
      <c r="E434" s="2"/>
      <c r="F434" s="2"/>
      <c r="G434" s="2"/>
    </row>
    <row r="435" spans="1:7" ht="13.2" x14ac:dyDescent="0.25">
      <c r="A435" s="2"/>
      <c r="B435" s="2"/>
      <c r="C435" s="2"/>
      <c r="D435" s="2"/>
      <c r="E435" s="2"/>
      <c r="F435" s="2"/>
      <c r="G435" s="2"/>
    </row>
    <row r="436" spans="1:7" ht="13.2" x14ac:dyDescent="0.25">
      <c r="A436" s="2"/>
      <c r="B436" s="2"/>
      <c r="C436" s="2"/>
      <c r="D436" s="2"/>
      <c r="E436" s="2"/>
      <c r="F436" s="2"/>
      <c r="G436" s="2"/>
    </row>
    <row r="437" spans="1:7" ht="13.2" x14ac:dyDescent="0.25">
      <c r="A437" s="2"/>
      <c r="B437" s="2"/>
      <c r="C437" s="2"/>
      <c r="D437" s="2"/>
      <c r="E437" s="2"/>
      <c r="F437" s="2"/>
      <c r="G437" s="2"/>
    </row>
    <row r="438" spans="1:7" ht="13.2" x14ac:dyDescent="0.25">
      <c r="A438" s="2"/>
      <c r="B438" s="2"/>
      <c r="C438" s="2"/>
      <c r="D438" s="2"/>
      <c r="E438" s="2"/>
      <c r="F438" s="2"/>
      <c r="G438" s="2"/>
    </row>
    <row r="439" spans="1:7" ht="13.2" x14ac:dyDescent="0.25">
      <c r="A439" s="2"/>
      <c r="B439" s="2"/>
      <c r="C439" s="2"/>
      <c r="D439" s="2"/>
      <c r="E439" s="2"/>
      <c r="F439" s="2"/>
      <c r="G439" s="2"/>
    </row>
    <row r="440" spans="1:7" ht="13.2" x14ac:dyDescent="0.25">
      <c r="A440" s="2"/>
      <c r="B440" s="2"/>
      <c r="C440" s="2"/>
      <c r="D440" s="2"/>
      <c r="E440" s="2"/>
      <c r="F440" s="2"/>
      <c r="G440" s="2"/>
    </row>
    <row r="441" spans="1:7" ht="13.2" x14ac:dyDescent="0.25">
      <c r="A441" s="2"/>
      <c r="B441" s="2"/>
      <c r="C441" s="2"/>
      <c r="D441" s="2"/>
      <c r="E441" s="2"/>
      <c r="F441" s="2"/>
      <c r="G441" s="2"/>
    </row>
    <row r="442" spans="1:7" ht="13.2" x14ac:dyDescent="0.25">
      <c r="A442" s="2"/>
      <c r="B442" s="2"/>
      <c r="C442" s="2"/>
      <c r="D442" s="2"/>
      <c r="E442" s="2"/>
      <c r="F442" s="2"/>
      <c r="G442" s="2"/>
    </row>
    <row r="443" spans="1:7" ht="13.2" x14ac:dyDescent="0.25">
      <c r="A443" s="2"/>
      <c r="B443" s="2"/>
      <c r="C443" s="2"/>
      <c r="D443" s="2"/>
      <c r="E443" s="2"/>
      <c r="F443" s="2"/>
      <c r="G443" s="2"/>
    </row>
    <row r="444" spans="1:7" ht="13.2" x14ac:dyDescent="0.25">
      <c r="A444" s="2"/>
      <c r="B444" s="2"/>
      <c r="C444" s="2"/>
      <c r="D444" s="2"/>
      <c r="E444" s="2"/>
      <c r="F444" s="2"/>
      <c r="G444" s="2"/>
    </row>
    <row r="445" spans="1:7" ht="13.2" x14ac:dyDescent="0.25">
      <c r="A445" s="2"/>
      <c r="B445" s="2"/>
      <c r="C445" s="2"/>
      <c r="D445" s="2"/>
      <c r="E445" s="2"/>
      <c r="F445" s="2"/>
      <c r="G445" s="2"/>
    </row>
    <row r="446" spans="1:7" ht="13.2" x14ac:dyDescent="0.25">
      <c r="A446" s="2"/>
      <c r="B446" s="2"/>
      <c r="C446" s="2"/>
      <c r="D446" s="2"/>
      <c r="E446" s="2"/>
      <c r="F446" s="2"/>
      <c r="G446" s="2"/>
    </row>
    <row r="447" spans="1:7" ht="13.2" x14ac:dyDescent="0.25">
      <c r="A447" s="2"/>
      <c r="B447" s="2"/>
      <c r="C447" s="2"/>
      <c r="D447" s="2"/>
      <c r="E447" s="2"/>
      <c r="F447" s="2"/>
      <c r="G447" s="2"/>
    </row>
    <row r="448" spans="1:7" ht="13.2" x14ac:dyDescent="0.25">
      <c r="A448" s="2"/>
      <c r="B448" s="2"/>
      <c r="C448" s="2"/>
      <c r="D448" s="2"/>
      <c r="E448" s="2"/>
      <c r="F448" s="2"/>
      <c r="G448" s="2"/>
    </row>
    <row r="449" spans="1:7" ht="13.2" x14ac:dyDescent="0.25">
      <c r="A449" s="2"/>
      <c r="B449" s="2"/>
      <c r="C449" s="2"/>
      <c r="D449" s="2"/>
      <c r="E449" s="2"/>
      <c r="F449" s="2"/>
      <c r="G449" s="2"/>
    </row>
    <row r="450" spans="1:7" ht="13.2" x14ac:dyDescent="0.25">
      <c r="A450" s="2"/>
      <c r="B450" s="2"/>
      <c r="C450" s="2"/>
      <c r="D450" s="2"/>
      <c r="E450" s="2"/>
      <c r="F450" s="2"/>
      <c r="G450" s="2"/>
    </row>
    <row r="451" spans="1:7" ht="13.2" x14ac:dyDescent="0.25">
      <c r="A451" s="2"/>
      <c r="B451" s="2"/>
      <c r="C451" s="2"/>
      <c r="D451" s="2"/>
      <c r="E451" s="2"/>
      <c r="F451" s="2"/>
      <c r="G451" s="2"/>
    </row>
    <row r="452" spans="1:7" ht="13.2" x14ac:dyDescent="0.25">
      <c r="A452" s="2"/>
      <c r="B452" s="2"/>
      <c r="C452" s="2"/>
      <c r="D452" s="2"/>
      <c r="E452" s="2"/>
      <c r="F452" s="2"/>
      <c r="G452" s="2"/>
    </row>
    <row r="453" spans="1:7" ht="13.2" x14ac:dyDescent="0.25">
      <c r="A453" s="2"/>
      <c r="B453" s="2"/>
      <c r="C453" s="2"/>
      <c r="D453" s="2"/>
      <c r="E453" s="2"/>
      <c r="F453" s="2"/>
      <c r="G453" s="2"/>
    </row>
    <row r="454" spans="1:7" ht="13.2" x14ac:dyDescent="0.25">
      <c r="A454" s="2"/>
      <c r="B454" s="2"/>
      <c r="C454" s="2"/>
      <c r="D454" s="2"/>
      <c r="E454" s="2"/>
      <c r="F454" s="2"/>
      <c r="G454" s="2"/>
    </row>
    <row r="455" spans="1:7" ht="13.2" x14ac:dyDescent="0.25">
      <c r="A455" s="2"/>
      <c r="B455" s="2"/>
      <c r="C455" s="2"/>
      <c r="D455" s="2"/>
      <c r="E455" s="2"/>
      <c r="F455" s="2"/>
      <c r="G455" s="2"/>
    </row>
    <row r="456" spans="1:7" ht="13.2" x14ac:dyDescent="0.25">
      <c r="A456" s="2"/>
      <c r="B456" s="2"/>
      <c r="C456" s="2"/>
      <c r="D456" s="2"/>
      <c r="E456" s="2"/>
      <c r="F456" s="2"/>
      <c r="G456" s="2"/>
    </row>
    <row r="457" spans="1:7" ht="13.2" x14ac:dyDescent="0.25">
      <c r="A457" s="2"/>
      <c r="B457" s="2"/>
      <c r="C457" s="2"/>
      <c r="D457" s="2"/>
      <c r="E457" s="2"/>
      <c r="F457" s="2"/>
      <c r="G457" s="2"/>
    </row>
    <row r="458" spans="1:7" ht="13.2" x14ac:dyDescent="0.25">
      <c r="A458" s="2"/>
      <c r="B458" s="2"/>
      <c r="C458" s="2"/>
      <c r="D458" s="2"/>
      <c r="E458" s="2"/>
      <c r="F458" s="2"/>
      <c r="G458" s="2"/>
    </row>
    <row r="459" spans="1:7" ht="13.2" x14ac:dyDescent="0.25">
      <c r="A459" s="2"/>
      <c r="B459" s="2"/>
      <c r="C459" s="2"/>
      <c r="D459" s="2"/>
      <c r="E459" s="2"/>
      <c r="F459" s="2"/>
      <c r="G459" s="2"/>
    </row>
    <row r="460" spans="1:7" ht="13.2" x14ac:dyDescent="0.25">
      <c r="A460" s="2"/>
      <c r="B460" s="2"/>
      <c r="C460" s="2"/>
      <c r="D460" s="2"/>
      <c r="E460" s="2"/>
      <c r="F460" s="2"/>
      <c r="G460" s="2"/>
    </row>
    <row r="461" spans="1:7" ht="13.2" x14ac:dyDescent="0.25">
      <c r="A461" s="2"/>
      <c r="B461" s="2"/>
      <c r="C461" s="2"/>
      <c r="D461" s="2"/>
      <c r="E461" s="2"/>
      <c r="F461" s="2"/>
      <c r="G461" s="2"/>
    </row>
    <row r="462" spans="1:7" ht="13.2" x14ac:dyDescent="0.25">
      <c r="A462" s="2"/>
      <c r="B462" s="2"/>
      <c r="C462" s="2"/>
      <c r="D462" s="2"/>
      <c r="E462" s="2"/>
      <c r="F462" s="2"/>
      <c r="G462" s="2"/>
    </row>
    <row r="463" spans="1:7" ht="13.2" x14ac:dyDescent="0.25">
      <c r="A463" s="2"/>
      <c r="B463" s="2"/>
      <c r="C463" s="2"/>
      <c r="D463" s="2"/>
      <c r="E463" s="2"/>
      <c r="F463" s="2"/>
      <c r="G463" s="2"/>
    </row>
    <row r="464" spans="1:7" ht="13.2" x14ac:dyDescent="0.25">
      <c r="A464" s="2"/>
      <c r="B464" s="2"/>
      <c r="C464" s="2"/>
      <c r="D464" s="2"/>
      <c r="E464" s="2"/>
      <c r="F464" s="2"/>
      <c r="G464" s="2"/>
    </row>
    <row r="465" spans="1:7" ht="13.2" x14ac:dyDescent="0.25">
      <c r="A465" s="2"/>
      <c r="B465" s="2"/>
      <c r="C465" s="2"/>
      <c r="D465" s="2"/>
      <c r="E465" s="2"/>
      <c r="F465" s="2"/>
      <c r="G465" s="2"/>
    </row>
    <row r="466" spans="1:7" ht="13.2" x14ac:dyDescent="0.25">
      <c r="A466" s="2"/>
      <c r="B466" s="2"/>
      <c r="C466" s="2"/>
      <c r="D466" s="2"/>
      <c r="E466" s="2"/>
      <c r="F466" s="2"/>
      <c r="G466" s="2"/>
    </row>
    <row r="467" spans="1:7" ht="13.2" x14ac:dyDescent="0.25">
      <c r="A467" s="2"/>
      <c r="B467" s="2"/>
      <c r="C467" s="2"/>
      <c r="D467" s="2"/>
      <c r="E467" s="2"/>
      <c r="F467" s="2"/>
      <c r="G467" s="2"/>
    </row>
    <row r="468" spans="1:7" ht="13.2" x14ac:dyDescent="0.25">
      <c r="A468" s="2"/>
      <c r="B468" s="2"/>
      <c r="C468" s="2"/>
      <c r="D468" s="2"/>
      <c r="E468" s="2"/>
      <c r="F468" s="2"/>
      <c r="G468" s="2"/>
    </row>
    <row r="469" spans="1:7" ht="13.2" x14ac:dyDescent="0.25">
      <c r="A469" s="2"/>
      <c r="B469" s="2"/>
      <c r="C469" s="2"/>
      <c r="D469" s="2"/>
      <c r="E469" s="2"/>
      <c r="F469" s="2"/>
      <c r="G469" s="2"/>
    </row>
    <row r="470" spans="1:7" ht="13.2" x14ac:dyDescent="0.25">
      <c r="A470" s="2"/>
      <c r="B470" s="2"/>
      <c r="C470" s="2"/>
      <c r="D470" s="2"/>
      <c r="E470" s="2"/>
      <c r="F470" s="2"/>
      <c r="G470" s="2"/>
    </row>
    <row r="471" spans="1:7" ht="13.2" x14ac:dyDescent="0.25">
      <c r="A471" s="2"/>
      <c r="B471" s="2"/>
      <c r="C471" s="2"/>
      <c r="D471" s="2"/>
      <c r="E471" s="2"/>
      <c r="F471" s="2"/>
      <c r="G471" s="2"/>
    </row>
    <row r="472" spans="1:7" ht="13.2" x14ac:dyDescent="0.25">
      <c r="A472" s="2"/>
      <c r="B472" s="2"/>
      <c r="C472" s="2"/>
      <c r="D472" s="2"/>
      <c r="E472" s="2"/>
      <c r="F472" s="2"/>
      <c r="G472" s="2"/>
    </row>
    <row r="473" spans="1:7" ht="13.2" x14ac:dyDescent="0.25">
      <c r="A473" s="2"/>
      <c r="B473" s="2"/>
      <c r="C473" s="2"/>
      <c r="D473" s="2"/>
      <c r="E473" s="2"/>
      <c r="F473" s="2"/>
      <c r="G473" s="2"/>
    </row>
    <row r="474" spans="1:7" ht="13.2" x14ac:dyDescent="0.25">
      <c r="A474" s="2"/>
      <c r="B474" s="2"/>
      <c r="C474" s="2"/>
      <c r="D474" s="2"/>
      <c r="E474" s="2"/>
      <c r="F474" s="2"/>
      <c r="G474" s="2"/>
    </row>
    <row r="475" spans="1:7" ht="13.2" x14ac:dyDescent="0.25">
      <c r="A475" s="2"/>
      <c r="B475" s="2"/>
      <c r="C475" s="2"/>
      <c r="D475" s="2"/>
      <c r="E475" s="2"/>
      <c r="F475" s="2"/>
      <c r="G475" s="2"/>
    </row>
    <row r="476" spans="1:7" ht="13.2" x14ac:dyDescent="0.25">
      <c r="A476" s="2"/>
      <c r="B476" s="2"/>
      <c r="C476" s="2"/>
      <c r="D476" s="2"/>
      <c r="E476" s="2"/>
      <c r="F476" s="2"/>
      <c r="G476" s="2"/>
    </row>
    <row r="477" spans="1:7" ht="13.2" x14ac:dyDescent="0.25">
      <c r="A477" s="2"/>
      <c r="B477" s="2"/>
      <c r="C477" s="2"/>
      <c r="D477" s="2"/>
      <c r="E477" s="2"/>
      <c r="F477" s="2"/>
      <c r="G477" s="2"/>
    </row>
    <row r="478" spans="1:7" ht="13.2" x14ac:dyDescent="0.25">
      <c r="A478" s="2"/>
      <c r="B478" s="2"/>
      <c r="C478" s="2"/>
      <c r="D478" s="2"/>
      <c r="E478" s="2"/>
      <c r="F478" s="2"/>
      <c r="G478" s="2"/>
    </row>
    <row r="479" spans="1:7" ht="13.2" x14ac:dyDescent="0.25">
      <c r="A479" s="2"/>
      <c r="B479" s="2"/>
      <c r="C479" s="2"/>
      <c r="D479" s="2"/>
      <c r="E479" s="2"/>
      <c r="F479" s="2"/>
      <c r="G479" s="2"/>
    </row>
    <row r="480" spans="1:7" ht="13.2" x14ac:dyDescent="0.25">
      <c r="A480" s="2"/>
      <c r="B480" s="2"/>
      <c r="C480" s="2"/>
      <c r="D480" s="2"/>
      <c r="E480" s="2"/>
      <c r="F480" s="2"/>
      <c r="G480" s="2"/>
    </row>
    <row r="481" spans="1:7" ht="13.2" x14ac:dyDescent="0.25">
      <c r="A481" s="2"/>
      <c r="B481" s="2"/>
      <c r="C481" s="2"/>
      <c r="D481" s="2"/>
      <c r="E481" s="2"/>
      <c r="F481" s="2"/>
      <c r="G481" s="2"/>
    </row>
    <row r="482" spans="1:7" ht="13.2" x14ac:dyDescent="0.25">
      <c r="A482" s="2"/>
      <c r="B482" s="2"/>
      <c r="C482" s="2"/>
      <c r="D482" s="2"/>
      <c r="E482" s="2"/>
      <c r="F482" s="2"/>
      <c r="G482" s="2"/>
    </row>
    <row r="483" spans="1:7" ht="13.2" x14ac:dyDescent="0.25">
      <c r="A483" s="2"/>
      <c r="B483" s="2"/>
      <c r="C483" s="2"/>
      <c r="D483" s="2"/>
      <c r="E483" s="2"/>
      <c r="F483" s="2"/>
      <c r="G483" s="2"/>
    </row>
    <row r="484" spans="1:7" ht="13.2" x14ac:dyDescent="0.25">
      <c r="A484" s="2"/>
      <c r="B484" s="2"/>
      <c r="C484" s="2"/>
      <c r="D484" s="2"/>
      <c r="E484" s="2"/>
      <c r="F484" s="2"/>
      <c r="G484" s="2"/>
    </row>
    <row r="485" spans="1:7" ht="13.2" x14ac:dyDescent="0.25">
      <c r="A485" s="2"/>
      <c r="B485" s="2"/>
      <c r="C485" s="2"/>
      <c r="D485" s="2"/>
      <c r="E485" s="2"/>
      <c r="F485" s="2"/>
      <c r="G485" s="2"/>
    </row>
    <row r="486" spans="1:7" ht="13.2" x14ac:dyDescent="0.25">
      <c r="A486" s="2"/>
      <c r="B486" s="2"/>
      <c r="C486" s="2"/>
      <c r="D486" s="2"/>
      <c r="E486" s="2"/>
      <c r="F486" s="2"/>
      <c r="G486" s="2"/>
    </row>
    <row r="487" spans="1:7" ht="13.2" x14ac:dyDescent="0.25">
      <c r="A487" s="2"/>
      <c r="B487" s="2"/>
      <c r="C487" s="2"/>
      <c r="D487" s="2"/>
      <c r="E487" s="2"/>
      <c r="F487" s="2"/>
      <c r="G487" s="2"/>
    </row>
    <row r="488" spans="1:7" ht="13.2" x14ac:dyDescent="0.25">
      <c r="A488" s="2"/>
      <c r="B488" s="2"/>
      <c r="C488" s="2"/>
      <c r="D488" s="2"/>
      <c r="E488" s="2"/>
      <c r="F488" s="2"/>
      <c r="G488" s="2"/>
    </row>
    <row r="489" spans="1:7" ht="13.2" x14ac:dyDescent="0.25">
      <c r="A489" s="2"/>
      <c r="B489" s="2"/>
      <c r="C489" s="2"/>
      <c r="D489" s="2"/>
      <c r="E489" s="2"/>
      <c r="F489" s="2"/>
      <c r="G489" s="2"/>
    </row>
    <row r="490" spans="1:7" ht="13.2" x14ac:dyDescent="0.25">
      <c r="A490" s="2"/>
      <c r="B490" s="2"/>
      <c r="C490" s="2"/>
      <c r="D490" s="2"/>
      <c r="E490" s="2"/>
      <c r="F490" s="2"/>
      <c r="G490" s="2"/>
    </row>
    <row r="491" spans="1:7" ht="13.2" x14ac:dyDescent="0.25">
      <c r="A491" s="2"/>
      <c r="B491" s="2"/>
      <c r="C491" s="2"/>
      <c r="D491" s="2"/>
      <c r="E491" s="2"/>
      <c r="F491" s="2"/>
      <c r="G491" s="2"/>
    </row>
    <row r="492" spans="1:7" ht="13.2" x14ac:dyDescent="0.25">
      <c r="A492" s="2"/>
      <c r="B492" s="2"/>
      <c r="C492" s="2"/>
      <c r="D492" s="2"/>
      <c r="E492" s="2"/>
      <c r="F492" s="2"/>
      <c r="G492" s="2"/>
    </row>
    <row r="493" spans="1:7" ht="13.2" x14ac:dyDescent="0.25">
      <c r="A493" s="2"/>
      <c r="B493" s="2"/>
      <c r="C493" s="2"/>
      <c r="D493" s="2"/>
      <c r="E493" s="2"/>
      <c r="F493" s="2"/>
      <c r="G493" s="2"/>
    </row>
    <row r="494" spans="1:7" ht="13.2" x14ac:dyDescent="0.25">
      <c r="A494" s="2"/>
      <c r="B494" s="2"/>
      <c r="C494" s="2"/>
      <c r="D494" s="2"/>
      <c r="E494" s="2"/>
      <c r="F494" s="2"/>
      <c r="G494" s="2"/>
    </row>
    <row r="495" spans="1:7" ht="13.2" x14ac:dyDescent="0.25">
      <c r="A495" s="2"/>
      <c r="B495" s="2"/>
      <c r="C495" s="2"/>
      <c r="D495" s="2"/>
      <c r="E495" s="2"/>
      <c r="F495" s="2"/>
      <c r="G495" s="2"/>
    </row>
    <row r="496" spans="1:7" ht="13.2" x14ac:dyDescent="0.25">
      <c r="A496" s="2"/>
      <c r="B496" s="2"/>
      <c r="C496" s="2"/>
      <c r="D496" s="2"/>
      <c r="E496" s="2"/>
      <c r="F496" s="2"/>
      <c r="G496" s="2"/>
    </row>
    <row r="497" spans="1:7" ht="13.2" x14ac:dyDescent="0.25">
      <c r="A497" s="2"/>
      <c r="B497" s="2"/>
      <c r="C497" s="2"/>
      <c r="D497" s="2"/>
      <c r="E497" s="2"/>
      <c r="F497" s="2"/>
      <c r="G497" s="2"/>
    </row>
    <row r="498" spans="1:7" ht="13.2" x14ac:dyDescent="0.25">
      <c r="A498" s="2"/>
      <c r="B498" s="2"/>
      <c r="C498" s="2"/>
      <c r="D498" s="2"/>
      <c r="E498" s="2"/>
      <c r="F498" s="2"/>
      <c r="G498" s="2"/>
    </row>
    <row r="499" spans="1:7" ht="13.2" x14ac:dyDescent="0.25">
      <c r="A499" s="2"/>
      <c r="B499" s="2"/>
      <c r="C499" s="2"/>
      <c r="D499" s="2"/>
      <c r="E499" s="2"/>
      <c r="F499" s="2"/>
      <c r="G499" s="2"/>
    </row>
    <row r="500" spans="1:7" ht="13.2" x14ac:dyDescent="0.25">
      <c r="A500" s="2"/>
      <c r="B500" s="2"/>
      <c r="C500" s="2"/>
      <c r="D500" s="2"/>
      <c r="E500" s="2"/>
      <c r="F500" s="2"/>
      <c r="G500" s="2"/>
    </row>
    <row r="501" spans="1:7" ht="13.2" x14ac:dyDescent="0.25">
      <c r="A501" s="2"/>
      <c r="B501" s="2"/>
      <c r="C501" s="2"/>
      <c r="D501" s="2"/>
      <c r="E501" s="2"/>
      <c r="F501" s="2"/>
      <c r="G501" s="2"/>
    </row>
    <row r="502" spans="1:7" ht="13.2" x14ac:dyDescent="0.25">
      <c r="A502" s="2"/>
      <c r="B502" s="2"/>
      <c r="C502" s="2"/>
      <c r="D502" s="2"/>
      <c r="E502" s="2"/>
      <c r="F502" s="2"/>
      <c r="G502" s="2"/>
    </row>
    <row r="503" spans="1:7" ht="13.2" x14ac:dyDescent="0.25">
      <c r="A503" s="2"/>
      <c r="B503" s="2"/>
      <c r="C503" s="2"/>
      <c r="D503" s="2"/>
      <c r="E503" s="2"/>
      <c r="F503" s="2"/>
      <c r="G503" s="2"/>
    </row>
    <row r="504" spans="1:7" ht="13.2" x14ac:dyDescent="0.25">
      <c r="A504" s="2"/>
      <c r="B504" s="2"/>
      <c r="C504" s="2"/>
      <c r="D504" s="2"/>
      <c r="E504" s="2"/>
      <c r="F504" s="2"/>
      <c r="G504" s="2"/>
    </row>
    <row r="505" spans="1:7" ht="13.2" x14ac:dyDescent="0.25">
      <c r="A505" s="2"/>
      <c r="B505" s="2"/>
      <c r="C505" s="2"/>
      <c r="D505" s="2"/>
      <c r="E505" s="2"/>
      <c r="F505" s="2"/>
      <c r="G505" s="2"/>
    </row>
    <row r="506" spans="1:7" ht="13.2" x14ac:dyDescent="0.25">
      <c r="A506" s="2"/>
      <c r="B506" s="2"/>
      <c r="C506" s="2"/>
      <c r="D506" s="2"/>
      <c r="E506" s="2"/>
      <c r="F506" s="2"/>
      <c r="G506" s="2"/>
    </row>
    <row r="507" spans="1:7" ht="13.2" x14ac:dyDescent="0.25">
      <c r="A507" s="2"/>
      <c r="B507" s="2"/>
      <c r="C507" s="2"/>
      <c r="D507" s="2"/>
      <c r="E507" s="2"/>
      <c r="F507" s="2"/>
      <c r="G507" s="2"/>
    </row>
    <row r="508" spans="1:7" ht="13.2" x14ac:dyDescent="0.25">
      <c r="A508" s="2"/>
      <c r="B508" s="2"/>
      <c r="C508" s="2"/>
      <c r="D508" s="2"/>
      <c r="E508" s="2"/>
      <c r="F508" s="2"/>
      <c r="G508" s="2"/>
    </row>
    <row r="509" spans="1:7" ht="13.2" x14ac:dyDescent="0.25">
      <c r="A509" s="2"/>
      <c r="B509" s="2"/>
      <c r="C509" s="2"/>
      <c r="D509" s="2"/>
      <c r="E509" s="2"/>
      <c r="F509" s="2"/>
      <c r="G509" s="2"/>
    </row>
    <row r="510" spans="1:7" ht="13.2" x14ac:dyDescent="0.25">
      <c r="A510" s="2"/>
      <c r="B510" s="2"/>
      <c r="C510" s="2"/>
      <c r="D510" s="2"/>
      <c r="E510" s="2"/>
      <c r="F510" s="2"/>
      <c r="G510" s="2"/>
    </row>
    <row r="511" spans="1:7" ht="13.2" x14ac:dyDescent="0.25">
      <c r="A511" s="2"/>
      <c r="B511" s="2"/>
      <c r="C511" s="2"/>
      <c r="D511" s="2"/>
      <c r="E511" s="2"/>
      <c r="F511" s="2"/>
      <c r="G511" s="2"/>
    </row>
    <row r="512" spans="1:7" ht="13.2" x14ac:dyDescent="0.25">
      <c r="A512" s="2"/>
      <c r="B512" s="2"/>
      <c r="C512" s="2"/>
      <c r="D512" s="2"/>
      <c r="E512" s="2"/>
      <c r="F512" s="2"/>
      <c r="G512" s="2"/>
    </row>
    <row r="513" spans="1:7" ht="13.2" x14ac:dyDescent="0.25">
      <c r="A513" s="2"/>
      <c r="B513" s="2"/>
      <c r="C513" s="2"/>
      <c r="D513" s="2"/>
      <c r="E513" s="2"/>
      <c r="F513" s="2"/>
      <c r="G513" s="2"/>
    </row>
    <row r="514" spans="1:7" ht="13.2" x14ac:dyDescent="0.25">
      <c r="A514" s="2"/>
      <c r="B514" s="2"/>
      <c r="C514" s="2"/>
      <c r="D514" s="2"/>
      <c r="E514" s="2"/>
      <c r="F514" s="2"/>
      <c r="G514" s="2"/>
    </row>
    <row r="515" spans="1:7" ht="13.2" x14ac:dyDescent="0.25">
      <c r="A515" s="2"/>
      <c r="B515" s="2"/>
      <c r="C515" s="2"/>
      <c r="D515" s="2"/>
      <c r="E515" s="2"/>
      <c r="F515" s="2"/>
      <c r="G515" s="2"/>
    </row>
    <row r="516" spans="1:7" ht="13.2" x14ac:dyDescent="0.25">
      <c r="A516" s="2"/>
      <c r="B516" s="2"/>
      <c r="C516" s="2"/>
      <c r="D516" s="2"/>
      <c r="E516" s="2"/>
      <c r="F516" s="2"/>
      <c r="G516" s="2"/>
    </row>
    <row r="517" spans="1:7" ht="13.2" x14ac:dyDescent="0.25">
      <c r="A517" s="2"/>
      <c r="B517" s="2"/>
      <c r="C517" s="2"/>
      <c r="D517" s="2"/>
      <c r="E517" s="2"/>
      <c r="F517" s="2"/>
      <c r="G517" s="2"/>
    </row>
    <row r="518" spans="1:7" ht="13.2" x14ac:dyDescent="0.25">
      <c r="A518" s="2"/>
      <c r="B518" s="2"/>
      <c r="C518" s="2"/>
      <c r="D518" s="2"/>
      <c r="E518" s="2"/>
      <c r="F518" s="2"/>
      <c r="G518" s="2"/>
    </row>
    <row r="519" spans="1:7" ht="13.2" x14ac:dyDescent="0.25">
      <c r="A519" s="2"/>
      <c r="B519" s="2"/>
      <c r="C519" s="2"/>
      <c r="D519" s="2"/>
      <c r="E519" s="2"/>
      <c r="F519" s="2"/>
      <c r="G519" s="2"/>
    </row>
    <row r="520" spans="1:7" ht="13.2" x14ac:dyDescent="0.25">
      <c r="A520" s="2"/>
      <c r="B520" s="2"/>
      <c r="C520" s="2"/>
      <c r="D520" s="2"/>
      <c r="E520" s="2"/>
      <c r="F520" s="2"/>
      <c r="G520" s="2"/>
    </row>
    <row r="521" spans="1:7" ht="13.2" x14ac:dyDescent="0.25">
      <c r="A521" s="2"/>
      <c r="B521" s="2"/>
      <c r="C521" s="2"/>
      <c r="D521" s="2"/>
      <c r="E521" s="2"/>
      <c r="F521" s="2"/>
      <c r="G521" s="2"/>
    </row>
    <row r="522" spans="1:7" ht="13.2" x14ac:dyDescent="0.25">
      <c r="A522" s="2"/>
      <c r="B522" s="2"/>
      <c r="C522" s="2"/>
      <c r="D522" s="2"/>
      <c r="E522" s="2"/>
      <c r="F522" s="2"/>
      <c r="G522" s="2"/>
    </row>
    <row r="523" spans="1:7" ht="13.2" x14ac:dyDescent="0.25">
      <c r="A523" s="2"/>
      <c r="B523" s="2"/>
      <c r="C523" s="2"/>
      <c r="D523" s="2"/>
      <c r="E523" s="2"/>
      <c r="F523" s="2"/>
      <c r="G523" s="2"/>
    </row>
    <row r="524" spans="1:7" ht="13.2" x14ac:dyDescent="0.25">
      <c r="A524" s="2"/>
      <c r="B524" s="2"/>
      <c r="C524" s="2"/>
      <c r="D524" s="2"/>
      <c r="E524" s="2"/>
      <c r="F524" s="2"/>
      <c r="G524" s="2"/>
    </row>
    <row r="525" spans="1:7" ht="13.2" x14ac:dyDescent="0.25">
      <c r="A525" s="2"/>
      <c r="B525" s="2"/>
      <c r="C525" s="2"/>
      <c r="D525" s="2"/>
      <c r="E525" s="2"/>
      <c r="F525" s="2"/>
      <c r="G525" s="2"/>
    </row>
    <row r="526" spans="1:7" ht="13.2" x14ac:dyDescent="0.25">
      <c r="A526" s="2"/>
      <c r="B526" s="2"/>
      <c r="C526" s="2"/>
      <c r="D526" s="2"/>
      <c r="E526" s="2"/>
      <c r="F526" s="2"/>
      <c r="G526" s="2"/>
    </row>
    <row r="527" spans="1:7" ht="13.2" x14ac:dyDescent="0.25">
      <c r="A527" s="2"/>
      <c r="B527" s="2"/>
      <c r="C527" s="2"/>
      <c r="D527" s="2"/>
      <c r="E527" s="2"/>
      <c r="F527" s="2"/>
      <c r="G527" s="2"/>
    </row>
    <row r="528" spans="1:7" ht="13.2" x14ac:dyDescent="0.25">
      <c r="A528" s="2"/>
      <c r="B528" s="2"/>
      <c r="C528" s="2"/>
      <c r="D528" s="2"/>
      <c r="E528" s="2"/>
      <c r="F528" s="2"/>
      <c r="G528" s="2"/>
    </row>
    <row r="529" spans="1:7" ht="13.2" x14ac:dyDescent="0.25">
      <c r="A529" s="2"/>
      <c r="B529" s="2"/>
      <c r="C529" s="2"/>
      <c r="D529" s="2"/>
      <c r="E529" s="2"/>
      <c r="F529" s="2"/>
      <c r="G529" s="2"/>
    </row>
    <row r="530" spans="1:7" ht="13.2" x14ac:dyDescent="0.25">
      <c r="A530" s="2"/>
      <c r="B530" s="2"/>
      <c r="C530" s="2"/>
      <c r="D530" s="2"/>
      <c r="E530" s="2"/>
      <c r="F530" s="2"/>
      <c r="G530" s="2"/>
    </row>
    <row r="531" spans="1:7" ht="13.2" x14ac:dyDescent="0.25">
      <c r="A531" s="2"/>
      <c r="B531" s="2"/>
      <c r="C531" s="2"/>
      <c r="D531" s="2"/>
      <c r="E531" s="2"/>
      <c r="F531" s="2"/>
      <c r="G531" s="2"/>
    </row>
    <row r="532" spans="1:7" ht="13.2" x14ac:dyDescent="0.25">
      <c r="A532" s="2"/>
      <c r="B532" s="2"/>
      <c r="C532" s="2"/>
      <c r="D532" s="2"/>
      <c r="E532" s="2"/>
      <c r="F532" s="2"/>
      <c r="G532" s="2"/>
    </row>
    <row r="533" spans="1:7" ht="13.2" x14ac:dyDescent="0.25">
      <c r="A533" s="2"/>
      <c r="B533" s="2"/>
      <c r="C533" s="2"/>
      <c r="D533" s="2"/>
      <c r="E533" s="2"/>
      <c r="F533" s="2"/>
      <c r="G533" s="2"/>
    </row>
    <row r="534" spans="1:7" ht="13.2" x14ac:dyDescent="0.25">
      <c r="A534" s="2"/>
      <c r="B534" s="2"/>
      <c r="C534" s="2"/>
      <c r="D534" s="2"/>
      <c r="E534" s="2"/>
      <c r="F534" s="2"/>
      <c r="G534" s="2"/>
    </row>
    <row r="535" spans="1:7" ht="13.2" x14ac:dyDescent="0.25">
      <c r="A535" s="2"/>
      <c r="B535" s="2"/>
      <c r="C535" s="2"/>
      <c r="D535" s="2"/>
      <c r="E535" s="2"/>
      <c r="F535" s="2"/>
      <c r="G535" s="2"/>
    </row>
    <row r="536" spans="1:7" ht="13.2" x14ac:dyDescent="0.25">
      <c r="A536" s="2"/>
      <c r="B536" s="2"/>
      <c r="C536" s="2"/>
      <c r="D536" s="2"/>
      <c r="E536" s="2"/>
      <c r="F536" s="2"/>
      <c r="G536" s="2"/>
    </row>
    <row r="537" spans="1:7" ht="13.2" x14ac:dyDescent="0.25">
      <c r="A537" s="2"/>
      <c r="B537" s="2"/>
      <c r="C537" s="2"/>
      <c r="D537" s="2"/>
      <c r="E537" s="2"/>
      <c r="F537" s="2"/>
      <c r="G537" s="2"/>
    </row>
    <row r="538" spans="1:7" ht="13.2" x14ac:dyDescent="0.25">
      <c r="A538" s="2"/>
      <c r="B538" s="2"/>
      <c r="C538" s="2"/>
      <c r="D538" s="2"/>
      <c r="E538" s="2"/>
      <c r="F538" s="2"/>
      <c r="G538" s="2"/>
    </row>
    <row r="539" spans="1:7" ht="13.2" x14ac:dyDescent="0.25">
      <c r="A539" s="2"/>
      <c r="B539" s="2"/>
      <c r="C539" s="2"/>
      <c r="D539" s="2"/>
      <c r="E539" s="2"/>
      <c r="F539" s="2"/>
      <c r="G539" s="2"/>
    </row>
    <row r="540" spans="1:7" ht="13.2" x14ac:dyDescent="0.25">
      <c r="A540" s="2"/>
      <c r="B540" s="2"/>
      <c r="C540" s="2"/>
      <c r="D540" s="2"/>
      <c r="E540" s="2"/>
      <c r="F540" s="2"/>
      <c r="G540" s="2"/>
    </row>
    <row r="541" spans="1:7" ht="13.2" x14ac:dyDescent="0.25">
      <c r="A541" s="2"/>
      <c r="B541" s="2"/>
      <c r="C541" s="2"/>
      <c r="D541" s="2"/>
      <c r="E541" s="2"/>
      <c r="F541" s="2"/>
      <c r="G541" s="2"/>
    </row>
    <row r="542" spans="1:7" ht="13.2" x14ac:dyDescent="0.25">
      <c r="A542" s="2"/>
      <c r="B542" s="2"/>
      <c r="C542" s="2"/>
      <c r="D542" s="2"/>
      <c r="E542" s="2"/>
      <c r="F542" s="2"/>
      <c r="G542" s="2"/>
    </row>
    <row r="543" spans="1:7" ht="13.2" x14ac:dyDescent="0.25">
      <c r="A543" s="2"/>
      <c r="B543" s="2"/>
      <c r="C543" s="2"/>
      <c r="D543" s="2"/>
      <c r="E543" s="2"/>
      <c r="F543" s="2"/>
      <c r="G543" s="2"/>
    </row>
    <row r="544" spans="1:7" ht="13.2" x14ac:dyDescent="0.25">
      <c r="A544" s="2"/>
      <c r="B544" s="2"/>
      <c r="C544" s="2"/>
      <c r="D544" s="2"/>
      <c r="E544" s="2"/>
      <c r="F544" s="2"/>
      <c r="G544" s="2"/>
    </row>
    <row r="545" spans="1:7" ht="13.2" x14ac:dyDescent="0.25">
      <c r="A545" s="2"/>
      <c r="B545" s="2"/>
      <c r="C545" s="2"/>
      <c r="D545" s="2"/>
      <c r="E545" s="2"/>
      <c r="F545" s="2"/>
      <c r="G545" s="2"/>
    </row>
    <row r="546" spans="1:7" ht="13.2" x14ac:dyDescent="0.25">
      <c r="A546" s="2"/>
      <c r="B546" s="2"/>
      <c r="C546" s="2"/>
      <c r="D546" s="2"/>
      <c r="E546" s="2"/>
      <c r="F546" s="2"/>
      <c r="G546" s="2"/>
    </row>
    <row r="547" spans="1:7" ht="13.2" x14ac:dyDescent="0.25">
      <c r="A547" s="2"/>
      <c r="B547" s="2"/>
      <c r="C547" s="2"/>
      <c r="D547" s="2"/>
      <c r="E547" s="2"/>
      <c r="F547" s="2"/>
      <c r="G547" s="2"/>
    </row>
    <row r="548" spans="1:7" ht="13.2" x14ac:dyDescent="0.25">
      <c r="A548" s="2"/>
      <c r="B548" s="2"/>
      <c r="C548" s="2"/>
      <c r="D548" s="2"/>
      <c r="E548" s="2"/>
      <c r="F548" s="2"/>
      <c r="G548" s="2"/>
    </row>
    <row r="549" spans="1:7" ht="13.2" x14ac:dyDescent="0.25">
      <c r="A549" s="2"/>
      <c r="B549" s="2"/>
      <c r="C549" s="2"/>
      <c r="D549" s="2"/>
      <c r="E549" s="2"/>
      <c r="F549" s="2"/>
      <c r="G549" s="2"/>
    </row>
    <row r="550" spans="1:7" ht="13.2" x14ac:dyDescent="0.25">
      <c r="A550" s="2"/>
      <c r="B550" s="2"/>
      <c r="C550" s="2"/>
      <c r="D550" s="2"/>
      <c r="E550" s="2"/>
      <c r="F550" s="2"/>
      <c r="G550" s="2"/>
    </row>
    <row r="551" spans="1:7" ht="13.2" x14ac:dyDescent="0.25">
      <c r="A551" s="2"/>
      <c r="B551" s="2"/>
      <c r="C551" s="2"/>
      <c r="D551" s="2"/>
      <c r="E551" s="2"/>
      <c r="F551" s="2"/>
      <c r="G551" s="2"/>
    </row>
    <row r="552" spans="1:7" ht="13.2" x14ac:dyDescent="0.25">
      <c r="A552" s="2"/>
      <c r="B552" s="2"/>
      <c r="C552" s="2"/>
      <c r="D552" s="2"/>
      <c r="E552" s="2"/>
      <c r="F552" s="2"/>
      <c r="G552" s="2"/>
    </row>
    <row r="553" spans="1:7" ht="13.2" x14ac:dyDescent="0.25">
      <c r="A553" s="2"/>
      <c r="B553" s="2"/>
      <c r="C553" s="2"/>
      <c r="D553" s="2"/>
      <c r="E553" s="2"/>
      <c r="F553" s="2"/>
      <c r="G553" s="2"/>
    </row>
    <row r="554" spans="1:7" ht="13.2" x14ac:dyDescent="0.25">
      <c r="A554" s="2"/>
      <c r="B554" s="2"/>
      <c r="C554" s="2"/>
      <c r="D554" s="2"/>
      <c r="E554" s="2"/>
      <c r="F554" s="2"/>
      <c r="G554" s="2"/>
    </row>
    <row r="555" spans="1:7" ht="13.2" x14ac:dyDescent="0.25">
      <c r="A555" s="2"/>
      <c r="B555" s="2"/>
      <c r="C555" s="2"/>
      <c r="D555" s="2"/>
      <c r="E555" s="2"/>
      <c r="F555" s="2"/>
      <c r="G555" s="2"/>
    </row>
    <row r="556" spans="1:7" ht="13.2" x14ac:dyDescent="0.25">
      <c r="A556" s="2"/>
      <c r="B556" s="2"/>
      <c r="C556" s="2"/>
      <c r="D556" s="2"/>
      <c r="E556" s="2"/>
      <c r="F556" s="2"/>
      <c r="G556" s="2"/>
    </row>
    <row r="557" spans="1:7" ht="13.2" x14ac:dyDescent="0.25">
      <c r="A557" s="2"/>
      <c r="B557" s="2"/>
      <c r="C557" s="2"/>
      <c r="D557" s="2"/>
      <c r="E557" s="2"/>
      <c r="F557" s="2"/>
      <c r="G557" s="2"/>
    </row>
    <row r="558" spans="1:7" ht="13.2" x14ac:dyDescent="0.25">
      <c r="A558" s="2"/>
      <c r="B558" s="2"/>
      <c r="C558" s="2"/>
      <c r="D558" s="2"/>
      <c r="E558" s="2"/>
      <c r="F558" s="2"/>
      <c r="G558" s="2"/>
    </row>
    <row r="559" spans="1:7" ht="13.2" x14ac:dyDescent="0.25">
      <c r="A559" s="2"/>
      <c r="B559" s="2"/>
      <c r="C559" s="2"/>
      <c r="D559" s="2"/>
      <c r="E559" s="2"/>
      <c r="F559" s="2"/>
      <c r="G559" s="2"/>
    </row>
    <row r="560" spans="1:7" ht="13.2" x14ac:dyDescent="0.25">
      <c r="A560" s="2"/>
      <c r="B560" s="2"/>
      <c r="C560" s="2"/>
      <c r="D560" s="2"/>
      <c r="E560" s="2"/>
      <c r="F560" s="2"/>
      <c r="G560" s="2"/>
    </row>
    <row r="561" spans="1:7" ht="13.2" x14ac:dyDescent="0.25">
      <c r="A561" s="2"/>
      <c r="B561" s="2"/>
      <c r="C561" s="2"/>
      <c r="D561" s="2"/>
      <c r="E561" s="2"/>
      <c r="F561" s="2"/>
      <c r="G561" s="2"/>
    </row>
    <row r="562" spans="1:7" ht="13.2" x14ac:dyDescent="0.25">
      <c r="A562" s="2"/>
      <c r="B562" s="2"/>
      <c r="C562" s="2"/>
      <c r="D562" s="2"/>
      <c r="E562" s="2"/>
      <c r="F562" s="2"/>
      <c r="G562" s="2"/>
    </row>
    <row r="563" spans="1:7" ht="13.2" x14ac:dyDescent="0.25">
      <c r="A563" s="2"/>
      <c r="B563" s="2"/>
      <c r="C563" s="2"/>
      <c r="D563" s="2"/>
      <c r="E563" s="2"/>
      <c r="F563" s="2"/>
      <c r="G563" s="2"/>
    </row>
    <row r="564" spans="1:7" ht="13.2" x14ac:dyDescent="0.25">
      <c r="A564" s="2"/>
      <c r="B564" s="2"/>
      <c r="C564" s="2"/>
      <c r="D564" s="2"/>
      <c r="E564" s="2"/>
      <c r="F564" s="2"/>
      <c r="G564" s="2"/>
    </row>
    <row r="565" spans="1:7" ht="13.2" x14ac:dyDescent="0.25">
      <c r="A565" s="2"/>
      <c r="B565" s="2"/>
      <c r="C565" s="2"/>
      <c r="D565" s="2"/>
      <c r="E565" s="2"/>
      <c r="F565" s="2"/>
      <c r="G565" s="2"/>
    </row>
    <row r="566" spans="1:7" ht="13.2" x14ac:dyDescent="0.25">
      <c r="A566" s="2"/>
      <c r="B566" s="2"/>
      <c r="C566" s="2"/>
      <c r="D566" s="2"/>
      <c r="E566" s="2"/>
      <c r="F566" s="2"/>
      <c r="G566" s="2"/>
    </row>
    <row r="567" spans="1:7" ht="13.2" x14ac:dyDescent="0.25">
      <c r="A567" s="2"/>
      <c r="B567" s="2"/>
      <c r="C567" s="2"/>
      <c r="D567" s="2"/>
      <c r="E567" s="2"/>
      <c r="F567" s="2"/>
      <c r="G567" s="2"/>
    </row>
    <row r="568" spans="1:7" ht="13.2" x14ac:dyDescent="0.25">
      <c r="A568" s="2"/>
      <c r="B568" s="2"/>
      <c r="C568" s="2"/>
      <c r="D568" s="2"/>
      <c r="E568" s="2"/>
      <c r="F568" s="2"/>
      <c r="G568" s="2"/>
    </row>
    <row r="569" spans="1:7" ht="13.2" x14ac:dyDescent="0.25">
      <c r="A569" s="2"/>
      <c r="B569" s="2"/>
      <c r="C569" s="2"/>
      <c r="D569" s="2"/>
      <c r="E569" s="2"/>
      <c r="F569" s="2"/>
      <c r="G569" s="2"/>
    </row>
    <row r="570" spans="1:7" ht="13.2" x14ac:dyDescent="0.25">
      <c r="A570" s="2"/>
      <c r="B570" s="2"/>
      <c r="C570" s="2"/>
      <c r="D570" s="2"/>
      <c r="E570" s="2"/>
      <c r="F570" s="2"/>
      <c r="G570" s="2"/>
    </row>
    <row r="571" spans="1:7" ht="13.2" x14ac:dyDescent="0.25">
      <c r="A571" s="2"/>
      <c r="B571" s="2"/>
      <c r="C571" s="2"/>
      <c r="D571" s="2"/>
      <c r="E571" s="2"/>
      <c r="F571" s="2"/>
      <c r="G571" s="2"/>
    </row>
    <row r="572" spans="1:7" ht="13.2" x14ac:dyDescent="0.25">
      <c r="A572" s="2"/>
      <c r="B572" s="2"/>
      <c r="C572" s="2"/>
      <c r="D572" s="2"/>
      <c r="E572" s="2"/>
      <c r="F572" s="2"/>
      <c r="G572" s="2"/>
    </row>
    <row r="573" spans="1:7" ht="13.2" x14ac:dyDescent="0.25">
      <c r="A573" s="2"/>
      <c r="B573" s="2"/>
      <c r="C573" s="2"/>
      <c r="D573" s="2"/>
      <c r="E573" s="2"/>
      <c r="F573" s="2"/>
      <c r="G573" s="2"/>
    </row>
    <row r="574" spans="1:7" ht="13.2" x14ac:dyDescent="0.25">
      <c r="A574" s="2"/>
      <c r="B574" s="2"/>
      <c r="C574" s="2"/>
      <c r="D574" s="2"/>
      <c r="E574" s="2"/>
      <c r="F574" s="2"/>
      <c r="G574" s="2"/>
    </row>
    <row r="575" spans="1:7" ht="13.2" x14ac:dyDescent="0.25">
      <c r="A575" s="2"/>
      <c r="B575" s="2"/>
      <c r="C575" s="2"/>
      <c r="D575" s="2"/>
      <c r="E575" s="2"/>
      <c r="F575" s="2"/>
      <c r="G575" s="2"/>
    </row>
    <row r="576" spans="1:7" ht="13.2" x14ac:dyDescent="0.25">
      <c r="A576" s="2"/>
      <c r="B576" s="2"/>
      <c r="C576" s="2"/>
      <c r="D576" s="2"/>
      <c r="E576" s="2"/>
      <c r="F576" s="2"/>
      <c r="G576" s="2"/>
    </row>
    <row r="577" spans="1:7" ht="13.2" x14ac:dyDescent="0.25">
      <c r="A577" s="2"/>
      <c r="B577" s="2"/>
      <c r="C577" s="2"/>
      <c r="D577" s="2"/>
      <c r="E577" s="2"/>
      <c r="F577" s="2"/>
      <c r="G577" s="2"/>
    </row>
    <row r="578" spans="1:7" ht="13.2" x14ac:dyDescent="0.25">
      <c r="A578" s="2"/>
      <c r="B578" s="2"/>
      <c r="C578" s="2"/>
      <c r="D578" s="2"/>
      <c r="E578" s="2"/>
      <c r="F578" s="2"/>
      <c r="G578" s="2"/>
    </row>
    <row r="579" spans="1:7" ht="13.2" x14ac:dyDescent="0.25">
      <c r="A579" s="2"/>
      <c r="B579" s="2"/>
      <c r="C579" s="2"/>
      <c r="D579" s="2"/>
      <c r="E579" s="2"/>
      <c r="F579" s="2"/>
      <c r="G579" s="2"/>
    </row>
    <row r="580" spans="1:7" ht="13.2" x14ac:dyDescent="0.25">
      <c r="A580" s="2"/>
      <c r="B580" s="2"/>
      <c r="C580" s="2"/>
      <c r="D580" s="2"/>
      <c r="E580" s="2"/>
      <c r="F580" s="2"/>
      <c r="G580" s="2"/>
    </row>
    <row r="581" spans="1:7" ht="13.2" x14ac:dyDescent="0.25">
      <c r="A581" s="2"/>
      <c r="B581" s="2"/>
      <c r="C581" s="2"/>
      <c r="D581" s="2"/>
      <c r="E581" s="2"/>
      <c r="F581" s="2"/>
      <c r="G581" s="2"/>
    </row>
    <row r="582" spans="1:7" ht="13.2" x14ac:dyDescent="0.25">
      <c r="A582" s="2"/>
      <c r="B582" s="2"/>
      <c r="C582" s="2"/>
      <c r="D582" s="2"/>
      <c r="E582" s="2"/>
      <c r="F582" s="2"/>
      <c r="G582" s="2"/>
    </row>
    <row r="583" spans="1:7" ht="13.2" x14ac:dyDescent="0.25">
      <c r="A583" s="2"/>
      <c r="B583" s="2"/>
      <c r="C583" s="2"/>
      <c r="D583" s="2"/>
      <c r="E583" s="2"/>
      <c r="F583" s="2"/>
      <c r="G583" s="2"/>
    </row>
    <row r="584" spans="1:7" ht="13.2" x14ac:dyDescent="0.25">
      <c r="A584" s="2"/>
      <c r="B584" s="2"/>
      <c r="C584" s="2"/>
      <c r="D584" s="2"/>
      <c r="E584" s="2"/>
      <c r="F584" s="2"/>
      <c r="G584" s="2"/>
    </row>
    <row r="585" spans="1:7" ht="13.2" x14ac:dyDescent="0.25">
      <c r="A585" s="2"/>
      <c r="B585" s="2"/>
      <c r="C585" s="2"/>
      <c r="D585" s="2"/>
      <c r="E585" s="2"/>
      <c r="F585" s="2"/>
      <c r="G585" s="2"/>
    </row>
    <row r="586" spans="1:7" ht="13.2" x14ac:dyDescent="0.25">
      <c r="A586" s="2"/>
      <c r="B586" s="2"/>
      <c r="C586" s="2"/>
      <c r="D586" s="2"/>
      <c r="E586" s="2"/>
      <c r="F586" s="2"/>
      <c r="G586" s="2"/>
    </row>
    <row r="587" spans="1:7" ht="13.2" x14ac:dyDescent="0.25">
      <c r="A587" s="2"/>
      <c r="B587" s="2"/>
      <c r="C587" s="2"/>
      <c r="D587" s="2"/>
      <c r="E587" s="2"/>
      <c r="F587" s="2"/>
      <c r="G587" s="2"/>
    </row>
    <row r="588" spans="1:7" ht="13.2" x14ac:dyDescent="0.25">
      <c r="A588" s="2"/>
      <c r="B588" s="2"/>
      <c r="C588" s="2"/>
      <c r="D588" s="2"/>
      <c r="E588" s="2"/>
      <c r="F588" s="2"/>
      <c r="G588" s="2"/>
    </row>
    <row r="589" spans="1:7" ht="13.2" x14ac:dyDescent="0.25">
      <c r="A589" s="2"/>
      <c r="B589" s="2"/>
      <c r="C589" s="2"/>
      <c r="D589" s="2"/>
      <c r="E589" s="2"/>
      <c r="F589" s="2"/>
      <c r="G589" s="2"/>
    </row>
    <row r="590" spans="1:7" ht="13.2" x14ac:dyDescent="0.25">
      <c r="A590" s="2"/>
      <c r="B590" s="2"/>
      <c r="C590" s="2"/>
      <c r="D590" s="2"/>
      <c r="E590" s="2"/>
      <c r="F590" s="2"/>
      <c r="G590" s="2"/>
    </row>
    <row r="591" spans="1:7" ht="13.2" x14ac:dyDescent="0.25">
      <c r="A591" s="2"/>
      <c r="B591" s="2"/>
      <c r="C591" s="2"/>
      <c r="D591" s="2"/>
      <c r="E591" s="2"/>
      <c r="F591" s="2"/>
      <c r="G591" s="2"/>
    </row>
    <row r="592" spans="1:7" ht="13.2" x14ac:dyDescent="0.25">
      <c r="A592" s="2"/>
      <c r="B592" s="2"/>
      <c r="C592" s="2"/>
      <c r="D592" s="2"/>
      <c r="E592" s="2"/>
      <c r="F592" s="2"/>
      <c r="G592" s="2"/>
    </row>
    <row r="593" spans="1:7" ht="13.2" x14ac:dyDescent="0.25">
      <c r="A593" s="2"/>
      <c r="B593" s="2"/>
      <c r="C593" s="2"/>
      <c r="D593" s="2"/>
      <c r="E593" s="2"/>
      <c r="F593" s="2"/>
      <c r="G593" s="2"/>
    </row>
    <row r="594" spans="1:7" ht="13.2" x14ac:dyDescent="0.25">
      <c r="A594" s="2"/>
      <c r="B594" s="2"/>
      <c r="C594" s="2"/>
      <c r="D594" s="2"/>
      <c r="E594" s="2"/>
      <c r="F594" s="2"/>
      <c r="G594" s="2"/>
    </row>
    <row r="595" spans="1:7" ht="13.2" x14ac:dyDescent="0.25">
      <c r="A595" s="2"/>
      <c r="B595" s="2"/>
      <c r="C595" s="2"/>
      <c r="D595" s="2"/>
      <c r="E595" s="2"/>
      <c r="F595" s="2"/>
      <c r="G595" s="2"/>
    </row>
    <row r="596" spans="1:7" ht="13.2" x14ac:dyDescent="0.25">
      <c r="A596" s="2"/>
      <c r="B596" s="2"/>
      <c r="C596" s="2"/>
      <c r="D596" s="2"/>
      <c r="E596" s="2"/>
      <c r="F596" s="2"/>
      <c r="G596" s="2"/>
    </row>
    <row r="597" spans="1:7" ht="13.2" x14ac:dyDescent="0.25">
      <c r="A597" s="2"/>
      <c r="B597" s="2"/>
      <c r="C597" s="2"/>
      <c r="D597" s="2"/>
      <c r="E597" s="2"/>
      <c r="F597" s="2"/>
      <c r="G597" s="2"/>
    </row>
    <row r="598" spans="1:7" ht="13.2" x14ac:dyDescent="0.25">
      <c r="A598" s="2"/>
      <c r="B598" s="2"/>
      <c r="C598" s="2"/>
      <c r="D598" s="2"/>
      <c r="E598" s="2"/>
      <c r="F598" s="2"/>
      <c r="G598" s="2"/>
    </row>
    <row r="599" spans="1:7" ht="13.2" x14ac:dyDescent="0.25">
      <c r="A599" s="2"/>
      <c r="B599" s="2"/>
      <c r="C599" s="2"/>
      <c r="D599" s="2"/>
      <c r="E599" s="2"/>
      <c r="F599" s="2"/>
      <c r="G599" s="2"/>
    </row>
    <row r="600" spans="1:7" ht="13.2" x14ac:dyDescent="0.25">
      <c r="A600" s="2"/>
      <c r="B600" s="2"/>
      <c r="C600" s="2"/>
      <c r="D600" s="2"/>
      <c r="E600" s="2"/>
      <c r="F600" s="2"/>
      <c r="G600" s="2"/>
    </row>
    <row r="601" spans="1:7" ht="13.2" x14ac:dyDescent="0.25">
      <c r="A601" s="2"/>
      <c r="B601" s="2"/>
      <c r="C601" s="2"/>
      <c r="D601" s="2"/>
      <c r="E601" s="2"/>
      <c r="F601" s="2"/>
      <c r="G601" s="2"/>
    </row>
    <row r="602" spans="1:7" ht="13.2" x14ac:dyDescent="0.25">
      <c r="A602" s="2"/>
      <c r="B602" s="2"/>
      <c r="C602" s="2"/>
      <c r="D602" s="2"/>
      <c r="E602" s="2"/>
      <c r="F602" s="2"/>
      <c r="G602" s="2"/>
    </row>
    <row r="603" spans="1:7" ht="13.2" x14ac:dyDescent="0.25">
      <c r="A603" s="2"/>
      <c r="B603" s="2"/>
      <c r="C603" s="2"/>
      <c r="D603" s="2"/>
      <c r="E603" s="2"/>
      <c r="F603" s="2"/>
      <c r="G603" s="2"/>
    </row>
    <row r="604" spans="1:7" ht="13.2" x14ac:dyDescent="0.25">
      <c r="A604" s="2"/>
      <c r="B604" s="2"/>
      <c r="C604" s="2"/>
      <c r="D604" s="2"/>
      <c r="E604" s="2"/>
      <c r="F604" s="2"/>
      <c r="G604" s="2"/>
    </row>
    <row r="605" spans="1:7" ht="13.2" x14ac:dyDescent="0.25">
      <c r="A605" s="2"/>
      <c r="B605" s="2"/>
      <c r="C605" s="2"/>
      <c r="D605" s="2"/>
      <c r="E605" s="2"/>
      <c r="F605" s="2"/>
      <c r="G605" s="2"/>
    </row>
    <row r="606" spans="1:7" ht="13.2" x14ac:dyDescent="0.25">
      <c r="A606" s="2"/>
      <c r="B606" s="2"/>
      <c r="C606" s="2"/>
      <c r="D606" s="2"/>
      <c r="E606" s="2"/>
      <c r="F606" s="2"/>
      <c r="G606" s="2"/>
    </row>
    <row r="607" spans="1:7" ht="13.2" x14ac:dyDescent="0.25">
      <c r="A607" s="2"/>
      <c r="B607" s="2"/>
      <c r="C607" s="2"/>
      <c r="D607" s="2"/>
      <c r="E607" s="2"/>
      <c r="F607" s="2"/>
      <c r="G607" s="2"/>
    </row>
    <row r="608" spans="1:7" ht="13.2" x14ac:dyDescent="0.25">
      <c r="A608" s="2"/>
      <c r="B608" s="2"/>
      <c r="C608" s="2"/>
      <c r="D608" s="2"/>
      <c r="E608" s="2"/>
      <c r="F608" s="2"/>
      <c r="G608" s="2"/>
    </row>
    <row r="609" spans="1:7" ht="13.2" x14ac:dyDescent="0.25">
      <c r="A609" s="2"/>
      <c r="B609" s="2"/>
      <c r="C609" s="2"/>
      <c r="D609" s="2"/>
      <c r="E609" s="2"/>
      <c r="F609" s="2"/>
      <c r="G609" s="2"/>
    </row>
    <row r="610" spans="1:7" ht="13.2" x14ac:dyDescent="0.25">
      <c r="A610" s="2"/>
      <c r="B610" s="2"/>
      <c r="C610" s="2"/>
      <c r="D610" s="2"/>
      <c r="E610" s="2"/>
      <c r="F610" s="2"/>
      <c r="G610" s="2"/>
    </row>
    <row r="611" spans="1:7" ht="13.2" x14ac:dyDescent="0.25">
      <c r="A611" s="2"/>
      <c r="B611" s="2"/>
      <c r="C611" s="2"/>
      <c r="D611" s="2"/>
      <c r="E611" s="2"/>
      <c r="F611" s="2"/>
      <c r="G611" s="2"/>
    </row>
    <row r="612" spans="1:7" ht="13.2" x14ac:dyDescent="0.25">
      <c r="A612" s="2"/>
      <c r="B612" s="2"/>
      <c r="C612" s="2"/>
      <c r="D612" s="2"/>
      <c r="E612" s="2"/>
      <c r="F612" s="2"/>
      <c r="G612" s="2"/>
    </row>
    <row r="613" spans="1:7" ht="13.2" x14ac:dyDescent="0.25">
      <c r="A613" s="2"/>
      <c r="B613" s="2"/>
      <c r="C613" s="2"/>
      <c r="D613" s="2"/>
      <c r="E613" s="2"/>
      <c r="F613" s="2"/>
      <c r="G613" s="2"/>
    </row>
    <row r="614" spans="1:7" ht="13.2" x14ac:dyDescent="0.25">
      <c r="A614" s="2"/>
      <c r="B614" s="2"/>
      <c r="C614" s="2"/>
      <c r="D614" s="2"/>
      <c r="E614" s="2"/>
      <c r="F614" s="2"/>
      <c r="G614" s="2"/>
    </row>
    <row r="615" spans="1:7" ht="13.2" x14ac:dyDescent="0.25">
      <c r="A615" s="2"/>
      <c r="B615" s="2"/>
      <c r="C615" s="2"/>
      <c r="D615" s="2"/>
      <c r="E615" s="2"/>
      <c r="F615" s="2"/>
      <c r="G615" s="2"/>
    </row>
    <row r="616" spans="1:7" ht="13.2" x14ac:dyDescent="0.25">
      <c r="A616" s="2"/>
      <c r="B616" s="2"/>
      <c r="C616" s="2"/>
      <c r="D616" s="2"/>
      <c r="E616" s="2"/>
      <c r="F616" s="2"/>
      <c r="G616" s="2"/>
    </row>
    <row r="617" spans="1:7" ht="13.2" x14ac:dyDescent="0.25">
      <c r="A617" s="2"/>
      <c r="B617" s="2"/>
      <c r="C617" s="2"/>
      <c r="D617" s="2"/>
      <c r="E617" s="2"/>
      <c r="F617" s="2"/>
      <c r="G617" s="2"/>
    </row>
    <row r="618" spans="1:7" ht="13.2" x14ac:dyDescent="0.25">
      <c r="A618" s="2"/>
      <c r="B618" s="2"/>
      <c r="C618" s="2"/>
      <c r="D618" s="2"/>
      <c r="E618" s="2"/>
      <c r="F618" s="2"/>
      <c r="G618" s="2"/>
    </row>
    <row r="619" spans="1:7" ht="13.2" x14ac:dyDescent="0.25">
      <c r="A619" s="2"/>
      <c r="B619" s="2"/>
      <c r="C619" s="2"/>
      <c r="D619" s="2"/>
      <c r="E619" s="2"/>
      <c r="F619" s="2"/>
      <c r="G619" s="2"/>
    </row>
    <row r="620" spans="1:7" ht="13.2" x14ac:dyDescent="0.25">
      <c r="A620" s="2"/>
      <c r="B620" s="2"/>
      <c r="C620" s="2"/>
      <c r="D620" s="2"/>
      <c r="E620" s="2"/>
      <c r="F620" s="2"/>
      <c r="G620" s="2"/>
    </row>
    <row r="621" spans="1:7" ht="13.2" x14ac:dyDescent="0.25">
      <c r="A621" s="2"/>
      <c r="B621" s="2"/>
      <c r="C621" s="2"/>
      <c r="D621" s="2"/>
      <c r="E621" s="2"/>
      <c r="F621" s="2"/>
      <c r="G621" s="2"/>
    </row>
    <row r="622" spans="1:7" ht="13.2" x14ac:dyDescent="0.25">
      <c r="A622" s="2"/>
      <c r="B622" s="2"/>
      <c r="C622" s="2"/>
      <c r="D622" s="2"/>
      <c r="E622" s="2"/>
      <c r="F622" s="2"/>
      <c r="G622" s="2"/>
    </row>
    <row r="623" spans="1:7" ht="13.2" x14ac:dyDescent="0.25">
      <c r="A623" s="2"/>
      <c r="B623" s="2"/>
      <c r="C623" s="2"/>
      <c r="D623" s="2"/>
      <c r="E623" s="2"/>
      <c r="F623" s="2"/>
      <c r="G623" s="2"/>
    </row>
    <row r="624" spans="1:7" ht="13.2" x14ac:dyDescent="0.25">
      <c r="A624" s="2"/>
      <c r="B624" s="2"/>
      <c r="C624" s="2"/>
      <c r="D624" s="2"/>
      <c r="E624" s="2"/>
      <c r="F624" s="2"/>
      <c r="G624" s="2"/>
    </row>
    <row r="625" spans="1:7" ht="13.2" x14ac:dyDescent="0.25">
      <c r="A625" s="2"/>
      <c r="B625" s="2"/>
      <c r="C625" s="2"/>
      <c r="D625" s="2"/>
      <c r="E625" s="2"/>
      <c r="F625" s="2"/>
      <c r="G625" s="2"/>
    </row>
    <row r="626" spans="1:7" ht="13.2" x14ac:dyDescent="0.25">
      <c r="A626" s="2"/>
      <c r="B626" s="2"/>
      <c r="C626" s="2"/>
      <c r="D626" s="2"/>
      <c r="E626" s="2"/>
      <c r="F626" s="2"/>
      <c r="G626" s="2"/>
    </row>
    <row r="627" spans="1:7" ht="13.2" x14ac:dyDescent="0.25">
      <c r="A627" s="2"/>
      <c r="B627" s="2"/>
      <c r="C627" s="2"/>
      <c r="D627" s="2"/>
      <c r="E627" s="2"/>
      <c r="F627" s="2"/>
      <c r="G627" s="2"/>
    </row>
    <row r="628" spans="1:7" ht="13.2" x14ac:dyDescent="0.25">
      <c r="A628" s="2"/>
      <c r="B628" s="2"/>
      <c r="C628" s="2"/>
      <c r="D628" s="2"/>
      <c r="E628" s="2"/>
      <c r="F628" s="2"/>
      <c r="G628" s="2"/>
    </row>
    <row r="629" spans="1:7" ht="13.2" x14ac:dyDescent="0.25">
      <c r="A629" s="2"/>
      <c r="B629" s="2"/>
      <c r="C629" s="2"/>
      <c r="D629" s="2"/>
      <c r="E629" s="2"/>
      <c r="F629" s="2"/>
      <c r="G629" s="2"/>
    </row>
    <row r="630" spans="1:7" ht="13.2" x14ac:dyDescent="0.25">
      <c r="A630" s="2"/>
      <c r="B630" s="2"/>
      <c r="C630" s="2"/>
      <c r="D630" s="2"/>
      <c r="E630" s="2"/>
      <c r="F630" s="2"/>
      <c r="G630" s="2"/>
    </row>
    <row r="631" spans="1:7" ht="13.2" x14ac:dyDescent="0.25">
      <c r="A631" s="2"/>
      <c r="B631" s="2"/>
      <c r="C631" s="2"/>
      <c r="D631" s="2"/>
      <c r="E631" s="2"/>
      <c r="F631" s="2"/>
      <c r="G631" s="2"/>
    </row>
    <row r="632" spans="1:7" ht="13.2" x14ac:dyDescent="0.25">
      <c r="A632" s="2"/>
      <c r="B632" s="2"/>
      <c r="C632" s="2"/>
      <c r="D632" s="2"/>
      <c r="E632" s="2"/>
      <c r="F632" s="2"/>
      <c r="G632" s="2"/>
    </row>
    <row r="633" spans="1:7" ht="13.2" x14ac:dyDescent="0.25">
      <c r="A633" s="2"/>
      <c r="B633" s="2"/>
      <c r="C633" s="2"/>
      <c r="D633" s="2"/>
      <c r="E633" s="2"/>
      <c r="F633" s="2"/>
      <c r="G633" s="2"/>
    </row>
    <row r="634" spans="1:7" ht="13.2" x14ac:dyDescent="0.25">
      <c r="A634" s="2"/>
      <c r="B634" s="2"/>
      <c r="C634" s="2"/>
      <c r="D634" s="2"/>
      <c r="E634" s="2"/>
      <c r="F634" s="2"/>
      <c r="G634" s="2"/>
    </row>
    <row r="635" spans="1:7" ht="13.2" x14ac:dyDescent="0.25">
      <c r="A635" s="2"/>
      <c r="B635" s="2"/>
      <c r="C635" s="2"/>
      <c r="D635" s="2"/>
      <c r="E635" s="2"/>
      <c r="F635" s="2"/>
      <c r="G635" s="2"/>
    </row>
    <row r="636" spans="1:7" ht="13.2" x14ac:dyDescent="0.25">
      <c r="A636" s="2"/>
      <c r="B636" s="2"/>
      <c r="C636" s="2"/>
      <c r="D636" s="2"/>
      <c r="E636" s="2"/>
      <c r="F636" s="2"/>
      <c r="G636" s="2"/>
    </row>
    <row r="637" spans="1:7" ht="13.2" x14ac:dyDescent="0.25">
      <c r="A637" s="2"/>
      <c r="B637" s="2"/>
      <c r="C637" s="2"/>
      <c r="D637" s="2"/>
      <c r="E637" s="2"/>
      <c r="F637" s="2"/>
      <c r="G637" s="2"/>
    </row>
    <row r="638" spans="1:7" ht="13.2" x14ac:dyDescent="0.25">
      <c r="A638" s="2"/>
      <c r="B638" s="2"/>
      <c r="C638" s="2"/>
      <c r="D638" s="2"/>
      <c r="E638" s="2"/>
      <c r="F638" s="2"/>
      <c r="G638" s="2"/>
    </row>
    <row r="639" spans="1:7" ht="13.2" x14ac:dyDescent="0.25">
      <c r="A639" s="2"/>
      <c r="B639" s="2"/>
      <c r="C639" s="2"/>
      <c r="D639" s="2"/>
      <c r="E639" s="2"/>
      <c r="F639" s="2"/>
      <c r="G639" s="2"/>
    </row>
    <row r="640" spans="1:7" ht="13.2" x14ac:dyDescent="0.25">
      <c r="A640" s="2"/>
      <c r="B640" s="2"/>
      <c r="C640" s="2"/>
      <c r="D640" s="2"/>
      <c r="E640" s="2"/>
      <c r="F640" s="2"/>
      <c r="G640" s="2"/>
    </row>
    <row r="641" spans="1:7" ht="13.2" x14ac:dyDescent="0.25">
      <c r="A641" s="2"/>
      <c r="B641" s="2"/>
      <c r="C641" s="2"/>
      <c r="D641" s="2"/>
      <c r="E641" s="2"/>
      <c r="F641" s="2"/>
      <c r="G641" s="2"/>
    </row>
    <row r="642" spans="1:7" ht="13.2" x14ac:dyDescent="0.25">
      <c r="A642" s="2"/>
      <c r="B642" s="2"/>
      <c r="C642" s="2"/>
      <c r="D642" s="2"/>
      <c r="E642" s="2"/>
      <c r="F642" s="2"/>
      <c r="G642" s="2"/>
    </row>
    <row r="643" spans="1:7" ht="13.2" x14ac:dyDescent="0.25">
      <c r="A643" s="2"/>
      <c r="B643" s="2"/>
      <c r="C643" s="2"/>
      <c r="D643" s="2"/>
      <c r="E643" s="2"/>
      <c r="F643" s="2"/>
      <c r="G643" s="2"/>
    </row>
    <row r="644" spans="1:7" ht="13.2" x14ac:dyDescent="0.25">
      <c r="A644" s="2"/>
      <c r="B644" s="2"/>
      <c r="C644" s="2"/>
      <c r="D644" s="2"/>
      <c r="E644" s="2"/>
      <c r="F644" s="2"/>
      <c r="G644" s="2"/>
    </row>
    <row r="645" spans="1:7" ht="13.2" x14ac:dyDescent="0.25">
      <c r="A645" s="2"/>
      <c r="B645" s="2"/>
      <c r="C645" s="2"/>
      <c r="D645" s="2"/>
      <c r="E645" s="2"/>
      <c r="F645" s="2"/>
      <c r="G645" s="2"/>
    </row>
    <row r="646" spans="1:7" ht="13.2" x14ac:dyDescent="0.25">
      <c r="A646" s="2"/>
      <c r="B646" s="2"/>
      <c r="C646" s="2"/>
      <c r="D646" s="2"/>
      <c r="E646" s="2"/>
      <c r="F646" s="2"/>
      <c r="G646" s="2"/>
    </row>
    <row r="647" spans="1:7" ht="13.2" x14ac:dyDescent="0.25">
      <c r="A647" s="2"/>
      <c r="B647" s="2"/>
      <c r="C647" s="2"/>
      <c r="D647" s="2"/>
      <c r="E647" s="2"/>
      <c r="F647" s="2"/>
      <c r="G647" s="2"/>
    </row>
    <row r="648" spans="1:7" ht="13.2" x14ac:dyDescent="0.25">
      <c r="A648" s="2"/>
      <c r="B648" s="2"/>
      <c r="C648" s="2"/>
      <c r="D648" s="2"/>
      <c r="E648" s="2"/>
      <c r="F648" s="2"/>
      <c r="G648" s="2"/>
    </row>
    <row r="649" spans="1:7" ht="13.2" x14ac:dyDescent="0.25">
      <c r="A649" s="2"/>
      <c r="B649" s="2"/>
      <c r="C649" s="2"/>
      <c r="D649" s="2"/>
      <c r="E649" s="2"/>
      <c r="F649" s="2"/>
      <c r="G649" s="2"/>
    </row>
    <row r="650" spans="1:7" ht="13.2" x14ac:dyDescent="0.25">
      <c r="A650" s="2"/>
      <c r="B650" s="2"/>
      <c r="C650" s="2"/>
      <c r="D650" s="2"/>
      <c r="E650" s="2"/>
      <c r="F650" s="2"/>
      <c r="G650" s="2"/>
    </row>
    <row r="651" spans="1:7" ht="13.2" x14ac:dyDescent="0.25">
      <c r="A651" s="2"/>
      <c r="B651" s="2"/>
      <c r="C651" s="2"/>
      <c r="D651" s="2"/>
      <c r="E651" s="2"/>
      <c r="F651" s="2"/>
      <c r="G651" s="2"/>
    </row>
    <row r="652" spans="1:7" ht="13.2" x14ac:dyDescent="0.25">
      <c r="A652" s="2"/>
      <c r="B652" s="2"/>
      <c r="C652" s="2"/>
      <c r="D652" s="2"/>
      <c r="E652" s="2"/>
      <c r="F652" s="2"/>
      <c r="G652" s="2"/>
    </row>
    <row r="653" spans="1:7" ht="13.2" x14ac:dyDescent="0.25">
      <c r="A653" s="2"/>
      <c r="B653" s="2"/>
      <c r="C653" s="2"/>
      <c r="D653" s="2"/>
      <c r="E653" s="2"/>
      <c r="F653" s="2"/>
      <c r="G653" s="2"/>
    </row>
    <row r="654" spans="1:7" ht="13.2" x14ac:dyDescent="0.25">
      <c r="A654" s="2"/>
      <c r="B654" s="2"/>
      <c r="C654" s="2"/>
      <c r="D654" s="2"/>
      <c r="E654" s="2"/>
      <c r="F654" s="2"/>
      <c r="G654" s="2"/>
    </row>
    <row r="655" spans="1:7" ht="13.2" x14ac:dyDescent="0.25">
      <c r="A655" s="2"/>
      <c r="B655" s="2"/>
      <c r="C655" s="2"/>
      <c r="D655" s="2"/>
      <c r="E655" s="2"/>
      <c r="F655" s="2"/>
      <c r="G655" s="2"/>
    </row>
    <row r="656" spans="1:7" ht="13.2" x14ac:dyDescent="0.25">
      <c r="A656" s="2"/>
      <c r="B656" s="2"/>
      <c r="C656" s="2"/>
      <c r="D656" s="2"/>
      <c r="E656" s="2"/>
      <c r="F656" s="2"/>
      <c r="G656" s="2"/>
    </row>
    <row r="657" spans="1:7" ht="13.2" x14ac:dyDescent="0.25">
      <c r="A657" s="2"/>
      <c r="B657" s="2"/>
      <c r="C657" s="2"/>
      <c r="D657" s="2"/>
      <c r="E657" s="2"/>
      <c r="F657" s="2"/>
      <c r="G657" s="2"/>
    </row>
    <row r="658" spans="1:7" ht="13.2" x14ac:dyDescent="0.25">
      <c r="A658" s="2"/>
      <c r="B658" s="2"/>
      <c r="C658" s="2"/>
      <c r="D658" s="2"/>
      <c r="E658" s="2"/>
      <c r="F658" s="2"/>
      <c r="G658" s="2"/>
    </row>
    <row r="659" spans="1:7" ht="13.2" x14ac:dyDescent="0.25">
      <c r="A659" s="2"/>
      <c r="B659" s="2"/>
      <c r="C659" s="2"/>
      <c r="D659" s="2"/>
      <c r="E659" s="2"/>
      <c r="F659" s="2"/>
      <c r="G659" s="2"/>
    </row>
    <row r="660" spans="1:7" ht="13.2" x14ac:dyDescent="0.25">
      <c r="A660" s="2"/>
      <c r="B660" s="2"/>
      <c r="C660" s="2"/>
      <c r="D660" s="2"/>
      <c r="E660" s="2"/>
      <c r="F660" s="2"/>
      <c r="G660" s="2"/>
    </row>
    <row r="661" spans="1:7" ht="13.2" x14ac:dyDescent="0.25">
      <c r="A661" s="2"/>
      <c r="B661" s="2"/>
      <c r="C661" s="2"/>
      <c r="D661" s="2"/>
      <c r="E661" s="2"/>
      <c r="F661" s="2"/>
      <c r="G661" s="2"/>
    </row>
    <row r="662" spans="1:7" ht="13.2" x14ac:dyDescent="0.25">
      <c r="A662" s="2"/>
      <c r="B662" s="2"/>
      <c r="C662" s="2"/>
      <c r="D662" s="2"/>
      <c r="E662" s="2"/>
      <c r="F662" s="2"/>
      <c r="G662" s="2"/>
    </row>
    <row r="663" spans="1:7" ht="13.2" x14ac:dyDescent="0.25">
      <c r="A663" s="2"/>
      <c r="B663" s="2"/>
      <c r="C663" s="2"/>
      <c r="D663" s="2"/>
      <c r="E663" s="2"/>
      <c r="F663" s="2"/>
      <c r="G663" s="2"/>
    </row>
    <row r="664" spans="1:7" ht="13.2" x14ac:dyDescent="0.25">
      <c r="A664" s="2"/>
      <c r="B664" s="2"/>
      <c r="C664" s="2"/>
      <c r="D664" s="2"/>
      <c r="E664" s="2"/>
      <c r="F664" s="2"/>
      <c r="G664" s="2"/>
    </row>
    <row r="665" spans="1:7" ht="13.2" x14ac:dyDescent="0.25">
      <c r="A665" s="2"/>
      <c r="B665" s="2"/>
      <c r="C665" s="2"/>
      <c r="D665" s="2"/>
      <c r="E665" s="2"/>
      <c r="F665" s="2"/>
      <c r="G665" s="2"/>
    </row>
    <row r="666" spans="1:7" ht="13.2" x14ac:dyDescent="0.25">
      <c r="A666" s="2"/>
      <c r="B666" s="2"/>
      <c r="C666" s="2"/>
      <c r="D666" s="2"/>
      <c r="E666" s="2"/>
      <c r="F666" s="2"/>
      <c r="G666" s="2"/>
    </row>
    <row r="667" spans="1:7" ht="13.2" x14ac:dyDescent="0.25">
      <c r="A667" s="2"/>
      <c r="B667" s="2"/>
      <c r="C667" s="2"/>
      <c r="D667" s="2"/>
      <c r="E667" s="2"/>
      <c r="F667" s="2"/>
      <c r="G667" s="2"/>
    </row>
    <row r="668" spans="1:7" ht="13.2" x14ac:dyDescent="0.25">
      <c r="A668" s="2"/>
      <c r="B668" s="2"/>
      <c r="C668" s="2"/>
      <c r="D668" s="2"/>
      <c r="E668" s="2"/>
      <c r="F668" s="2"/>
      <c r="G668" s="2"/>
    </row>
    <row r="669" spans="1:7" ht="13.2" x14ac:dyDescent="0.25">
      <c r="A669" s="2"/>
      <c r="B669" s="2"/>
      <c r="C669" s="2"/>
      <c r="D669" s="2"/>
      <c r="E669" s="2"/>
      <c r="F669" s="2"/>
      <c r="G669" s="2"/>
    </row>
    <row r="670" spans="1:7" ht="13.2" x14ac:dyDescent="0.25">
      <c r="A670" s="2"/>
      <c r="B670" s="2"/>
      <c r="C670" s="2"/>
      <c r="D670" s="2"/>
      <c r="E670" s="2"/>
      <c r="F670" s="2"/>
      <c r="G670" s="2"/>
    </row>
    <row r="671" spans="1:7" ht="13.2" x14ac:dyDescent="0.25">
      <c r="A671" s="2"/>
      <c r="B671" s="2"/>
      <c r="C671" s="2"/>
      <c r="D671" s="2"/>
      <c r="E671" s="2"/>
      <c r="F671" s="2"/>
      <c r="G671" s="2"/>
    </row>
    <row r="672" spans="1:7" ht="13.2" x14ac:dyDescent="0.25">
      <c r="A672" s="2"/>
      <c r="B672" s="2"/>
      <c r="C672" s="2"/>
      <c r="D672" s="2"/>
      <c r="E672" s="2"/>
      <c r="F672" s="2"/>
      <c r="G672" s="2"/>
    </row>
    <row r="673" spans="1:7" ht="13.2" x14ac:dyDescent="0.25">
      <c r="A673" s="2"/>
      <c r="B673" s="2"/>
      <c r="C673" s="2"/>
      <c r="D673" s="2"/>
      <c r="E673" s="2"/>
      <c r="F673" s="2"/>
      <c r="G673" s="2"/>
    </row>
    <row r="674" spans="1:7" ht="13.2" x14ac:dyDescent="0.25">
      <c r="A674" s="2"/>
      <c r="B674" s="2"/>
      <c r="C674" s="2"/>
      <c r="D674" s="2"/>
      <c r="E674" s="2"/>
      <c r="F674" s="2"/>
      <c r="G674" s="2"/>
    </row>
    <row r="675" spans="1:7" ht="13.2" x14ac:dyDescent="0.25">
      <c r="A675" s="2"/>
      <c r="B675" s="2"/>
      <c r="C675" s="2"/>
      <c r="D675" s="2"/>
      <c r="E675" s="2"/>
      <c r="F675" s="2"/>
      <c r="G675" s="2"/>
    </row>
    <row r="676" spans="1:7" ht="13.2" x14ac:dyDescent="0.25">
      <c r="A676" s="2"/>
      <c r="B676" s="2"/>
      <c r="C676" s="2"/>
      <c r="D676" s="2"/>
      <c r="E676" s="2"/>
      <c r="F676" s="2"/>
      <c r="G676" s="2"/>
    </row>
    <row r="677" spans="1:7" ht="13.2" x14ac:dyDescent="0.25">
      <c r="A677" s="2"/>
      <c r="B677" s="2"/>
      <c r="C677" s="2"/>
      <c r="D677" s="2"/>
      <c r="E677" s="2"/>
      <c r="F677" s="2"/>
      <c r="G677" s="2"/>
    </row>
    <row r="678" spans="1:7" ht="13.2" x14ac:dyDescent="0.25">
      <c r="A678" s="2"/>
      <c r="B678" s="2"/>
      <c r="C678" s="2"/>
      <c r="D678" s="2"/>
      <c r="E678" s="2"/>
      <c r="F678" s="2"/>
      <c r="G678" s="2"/>
    </row>
    <row r="679" spans="1:7" ht="13.2" x14ac:dyDescent="0.25">
      <c r="A679" s="2"/>
      <c r="B679" s="2"/>
      <c r="C679" s="2"/>
      <c r="D679" s="2"/>
      <c r="E679" s="2"/>
      <c r="F679" s="2"/>
      <c r="G679" s="2"/>
    </row>
    <row r="680" spans="1:7" ht="13.2" x14ac:dyDescent="0.25">
      <c r="A680" s="2"/>
      <c r="B680" s="2"/>
      <c r="C680" s="2"/>
      <c r="D680" s="2"/>
      <c r="E680" s="2"/>
      <c r="F680" s="2"/>
      <c r="G680" s="2"/>
    </row>
    <row r="681" spans="1:7" ht="13.2" x14ac:dyDescent="0.25">
      <c r="A681" s="2"/>
      <c r="B681" s="2"/>
      <c r="C681" s="2"/>
      <c r="D681" s="2"/>
      <c r="E681" s="2"/>
      <c r="F681" s="2"/>
      <c r="G681" s="2"/>
    </row>
    <row r="682" spans="1:7" ht="13.2" x14ac:dyDescent="0.25">
      <c r="A682" s="2"/>
      <c r="B682" s="2"/>
      <c r="C682" s="2"/>
      <c r="D682" s="2"/>
      <c r="E682" s="2"/>
      <c r="F682" s="2"/>
      <c r="G682" s="2"/>
    </row>
    <row r="683" spans="1:7" ht="13.2" x14ac:dyDescent="0.25">
      <c r="A683" s="2"/>
      <c r="B683" s="2"/>
      <c r="C683" s="2"/>
      <c r="D683" s="2"/>
      <c r="E683" s="2"/>
      <c r="F683" s="2"/>
      <c r="G683" s="2"/>
    </row>
    <row r="684" spans="1:7" ht="13.2" x14ac:dyDescent="0.25">
      <c r="A684" s="2"/>
      <c r="B684" s="2"/>
      <c r="C684" s="2"/>
      <c r="D684" s="2"/>
      <c r="E684" s="2"/>
      <c r="F684" s="2"/>
      <c r="G684" s="2"/>
    </row>
    <row r="685" spans="1:7" ht="13.2" x14ac:dyDescent="0.25">
      <c r="A685" s="2"/>
      <c r="B685" s="2"/>
      <c r="C685" s="2"/>
      <c r="D685" s="2"/>
      <c r="E685" s="2"/>
      <c r="F685" s="2"/>
      <c r="G685" s="2"/>
    </row>
    <row r="686" spans="1:7" ht="13.2" x14ac:dyDescent="0.25">
      <c r="A686" s="2"/>
      <c r="B686" s="2"/>
      <c r="C686" s="2"/>
      <c r="D686" s="2"/>
      <c r="E686" s="2"/>
      <c r="F686" s="2"/>
      <c r="G686" s="2"/>
    </row>
    <row r="687" spans="1:7" ht="13.2" x14ac:dyDescent="0.25">
      <c r="A687" s="2"/>
      <c r="B687" s="2"/>
      <c r="C687" s="2"/>
      <c r="D687" s="2"/>
      <c r="E687" s="2"/>
      <c r="F687" s="2"/>
      <c r="G687" s="2"/>
    </row>
    <row r="688" spans="1:7" ht="13.2" x14ac:dyDescent="0.25">
      <c r="A688" s="2"/>
      <c r="B688" s="2"/>
      <c r="C688" s="2"/>
      <c r="D688" s="2"/>
      <c r="E688" s="2"/>
      <c r="F688" s="2"/>
      <c r="G688" s="2"/>
    </row>
    <row r="689" spans="1:7" ht="13.2" x14ac:dyDescent="0.25">
      <c r="A689" s="2"/>
      <c r="B689" s="2"/>
      <c r="C689" s="2"/>
      <c r="D689" s="2"/>
      <c r="E689" s="2"/>
      <c r="F689" s="2"/>
      <c r="G689" s="2"/>
    </row>
    <row r="690" spans="1:7" ht="13.2" x14ac:dyDescent="0.25">
      <c r="A690" s="2"/>
      <c r="B690" s="2"/>
      <c r="C690" s="2"/>
      <c r="D690" s="2"/>
      <c r="E690" s="2"/>
      <c r="F690" s="2"/>
      <c r="G690" s="2"/>
    </row>
    <row r="691" spans="1:7" ht="13.2" x14ac:dyDescent="0.25">
      <c r="A691" s="2"/>
      <c r="B691" s="2"/>
      <c r="C691" s="2"/>
      <c r="D691" s="2"/>
      <c r="E691" s="2"/>
      <c r="F691" s="2"/>
      <c r="G691" s="2"/>
    </row>
    <row r="692" spans="1:7" ht="13.2" x14ac:dyDescent="0.25">
      <c r="A692" s="2"/>
      <c r="B692" s="2"/>
      <c r="C692" s="2"/>
      <c r="D692" s="2"/>
      <c r="E692" s="2"/>
      <c r="F692" s="2"/>
      <c r="G692" s="2"/>
    </row>
    <row r="693" spans="1:7" ht="13.2" x14ac:dyDescent="0.25">
      <c r="A693" s="2"/>
      <c r="B693" s="2"/>
      <c r="C693" s="2"/>
      <c r="D693" s="2"/>
      <c r="E693" s="2"/>
      <c r="F693" s="2"/>
      <c r="G693" s="2"/>
    </row>
    <row r="694" spans="1:7" ht="13.2" x14ac:dyDescent="0.25">
      <c r="A694" s="2"/>
      <c r="B694" s="2"/>
      <c r="C694" s="2"/>
      <c r="D694" s="2"/>
      <c r="E694" s="2"/>
      <c r="F694" s="2"/>
      <c r="G694" s="2"/>
    </row>
    <row r="695" spans="1:7" ht="13.2" x14ac:dyDescent="0.25">
      <c r="A695" s="2"/>
      <c r="B695" s="2"/>
      <c r="C695" s="2"/>
      <c r="D695" s="2"/>
      <c r="E695" s="2"/>
      <c r="F695" s="2"/>
      <c r="G695" s="2"/>
    </row>
    <row r="696" spans="1:7" ht="13.2" x14ac:dyDescent="0.25">
      <c r="A696" s="2"/>
      <c r="B696" s="2"/>
      <c r="C696" s="2"/>
      <c r="D696" s="2"/>
      <c r="E696" s="2"/>
      <c r="F696" s="2"/>
      <c r="G696" s="2"/>
    </row>
    <row r="697" spans="1:7" ht="13.2" x14ac:dyDescent="0.25">
      <c r="A697" s="2"/>
      <c r="B697" s="2"/>
      <c r="C697" s="2"/>
      <c r="D697" s="2"/>
      <c r="E697" s="2"/>
      <c r="F697" s="2"/>
      <c r="G697" s="2"/>
    </row>
    <row r="698" spans="1:7" ht="13.2" x14ac:dyDescent="0.25">
      <c r="A698" s="2"/>
      <c r="B698" s="2"/>
      <c r="C698" s="2"/>
      <c r="D698" s="2"/>
      <c r="E698" s="2"/>
      <c r="F698" s="2"/>
      <c r="G698" s="2"/>
    </row>
    <row r="699" spans="1:7" ht="13.2" x14ac:dyDescent="0.25">
      <c r="A699" s="2"/>
      <c r="B699" s="2"/>
      <c r="C699" s="2"/>
      <c r="D699" s="2"/>
      <c r="E699" s="2"/>
      <c r="F699" s="2"/>
      <c r="G699" s="2"/>
    </row>
    <row r="700" spans="1:7" ht="13.2" x14ac:dyDescent="0.25">
      <c r="A700" s="2"/>
      <c r="B700" s="2"/>
      <c r="C700" s="2"/>
      <c r="D700" s="2"/>
      <c r="E700" s="2"/>
      <c r="F700" s="2"/>
      <c r="G700" s="2"/>
    </row>
    <row r="701" spans="1:7" ht="13.2" x14ac:dyDescent="0.25">
      <c r="A701" s="2"/>
      <c r="B701" s="2"/>
      <c r="C701" s="2"/>
      <c r="D701" s="2"/>
      <c r="E701" s="2"/>
      <c r="F701" s="2"/>
      <c r="G701" s="2"/>
    </row>
    <row r="702" spans="1:7" ht="13.2" x14ac:dyDescent="0.25">
      <c r="A702" s="2"/>
      <c r="B702" s="2"/>
      <c r="C702" s="2"/>
      <c r="D702" s="2"/>
      <c r="E702" s="2"/>
      <c r="F702" s="2"/>
      <c r="G702" s="2"/>
    </row>
    <row r="703" spans="1:7" ht="13.2" x14ac:dyDescent="0.25">
      <c r="A703" s="2"/>
      <c r="B703" s="2"/>
      <c r="C703" s="2"/>
      <c r="D703" s="2"/>
      <c r="E703" s="2"/>
      <c r="F703" s="2"/>
      <c r="G703" s="2"/>
    </row>
    <row r="704" spans="1:7" ht="13.2" x14ac:dyDescent="0.25">
      <c r="A704" s="2"/>
      <c r="B704" s="2"/>
      <c r="C704" s="2"/>
      <c r="D704" s="2"/>
      <c r="E704" s="2"/>
      <c r="F704" s="2"/>
      <c r="G704" s="2"/>
    </row>
    <row r="705" spans="1:7" ht="13.2" x14ac:dyDescent="0.25">
      <c r="A705" s="2"/>
      <c r="B705" s="2"/>
      <c r="C705" s="2"/>
      <c r="D705" s="2"/>
      <c r="E705" s="2"/>
      <c r="F705" s="2"/>
      <c r="G705" s="2"/>
    </row>
    <row r="706" spans="1:7" ht="13.2" x14ac:dyDescent="0.25">
      <c r="A706" s="2"/>
      <c r="B706" s="2"/>
      <c r="C706" s="2"/>
      <c r="D706" s="2"/>
      <c r="E706" s="2"/>
      <c r="F706" s="2"/>
      <c r="G706" s="2"/>
    </row>
    <row r="707" spans="1:7" ht="13.2" x14ac:dyDescent="0.25">
      <c r="A707" s="2"/>
      <c r="B707" s="2"/>
      <c r="C707" s="2"/>
      <c r="D707" s="2"/>
      <c r="E707" s="2"/>
      <c r="F707" s="2"/>
      <c r="G707" s="2"/>
    </row>
    <row r="708" spans="1:7" ht="13.2" x14ac:dyDescent="0.25">
      <c r="A708" s="2"/>
      <c r="B708" s="2"/>
      <c r="C708" s="2"/>
      <c r="D708" s="2"/>
      <c r="E708" s="2"/>
      <c r="F708" s="2"/>
      <c r="G708" s="2"/>
    </row>
    <row r="709" spans="1:7" ht="13.2" x14ac:dyDescent="0.25">
      <c r="A709" s="2"/>
      <c r="B709" s="2"/>
      <c r="C709" s="2"/>
      <c r="D709" s="2"/>
      <c r="E709" s="2"/>
      <c r="F709" s="2"/>
      <c r="G709" s="2"/>
    </row>
    <row r="710" spans="1:7" ht="13.2" x14ac:dyDescent="0.25">
      <c r="A710" s="2"/>
      <c r="B710" s="2"/>
      <c r="C710" s="2"/>
      <c r="D710" s="2"/>
      <c r="E710" s="2"/>
      <c r="F710" s="2"/>
      <c r="G710" s="2"/>
    </row>
    <row r="711" spans="1:7" ht="13.2" x14ac:dyDescent="0.25">
      <c r="A711" s="2"/>
      <c r="B711" s="2"/>
      <c r="C711" s="2"/>
      <c r="D711" s="2"/>
      <c r="E711" s="2"/>
      <c r="F711" s="2"/>
      <c r="G711" s="2"/>
    </row>
    <row r="712" spans="1:7" ht="13.2" x14ac:dyDescent="0.25">
      <c r="A712" s="2"/>
      <c r="B712" s="2"/>
      <c r="C712" s="2"/>
      <c r="D712" s="2"/>
      <c r="E712" s="2"/>
      <c r="F712" s="2"/>
      <c r="G712" s="2"/>
    </row>
    <row r="713" spans="1:7" ht="13.2" x14ac:dyDescent="0.25">
      <c r="A713" s="2"/>
      <c r="B713" s="2"/>
      <c r="C713" s="2"/>
      <c r="D713" s="2"/>
      <c r="E713" s="2"/>
      <c r="F713" s="2"/>
      <c r="G713" s="2"/>
    </row>
    <row r="714" spans="1:7" ht="13.2" x14ac:dyDescent="0.25">
      <c r="A714" s="2"/>
      <c r="B714" s="2"/>
      <c r="C714" s="2"/>
      <c r="D714" s="2"/>
      <c r="E714" s="2"/>
      <c r="F714" s="2"/>
      <c r="G714" s="2"/>
    </row>
    <row r="715" spans="1:7" ht="13.2" x14ac:dyDescent="0.25">
      <c r="A715" s="2"/>
      <c r="B715" s="2"/>
      <c r="C715" s="2"/>
      <c r="D715" s="2"/>
      <c r="E715" s="2"/>
      <c r="F715" s="2"/>
      <c r="G715" s="2"/>
    </row>
    <row r="716" spans="1:7" ht="13.2" x14ac:dyDescent="0.25">
      <c r="A716" s="2"/>
      <c r="B716" s="2"/>
      <c r="C716" s="2"/>
      <c r="D716" s="2"/>
      <c r="E716" s="2"/>
      <c r="F716" s="2"/>
      <c r="G716" s="2"/>
    </row>
    <row r="717" spans="1:7" ht="13.2" x14ac:dyDescent="0.25">
      <c r="A717" s="2"/>
      <c r="B717" s="2"/>
      <c r="C717" s="2"/>
      <c r="D717" s="2"/>
      <c r="E717" s="2"/>
      <c r="F717" s="2"/>
      <c r="G717" s="2"/>
    </row>
    <row r="718" spans="1:7" ht="13.2" x14ac:dyDescent="0.25">
      <c r="A718" s="2"/>
      <c r="B718" s="2"/>
      <c r="C718" s="2"/>
      <c r="D718" s="2"/>
      <c r="E718" s="2"/>
      <c r="F718" s="2"/>
      <c r="G718" s="2"/>
    </row>
    <row r="719" spans="1:7" ht="13.2" x14ac:dyDescent="0.25">
      <c r="A719" s="2"/>
      <c r="B719" s="2"/>
      <c r="C719" s="2"/>
      <c r="D719" s="2"/>
      <c r="E719" s="2"/>
      <c r="F719" s="2"/>
      <c r="G719" s="2"/>
    </row>
    <row r="720" spans="1:7" ht="13.2" x14ac:dyDescent="0.25">
      <c r="A720" s="2"/>
      <c r="B720" s="2"/>
      <c r="C720" s="2"/>
      <c r="D720" s="2"/>
      <c r="E720" s="2"/>
      <c r="F720" s="2"/>
      <c r="G720" s="2"/>
    </row>
    <row r="721" spans="1:7" ht="13.2" x14ac:dyDescent="0.25">
      <c r="A721" s="2"/>
      <c r="B721" s="2"/>
      <c r="C721" s="2"/>
      <c r="D721" s="2"/>
      <c r="E721" s="2"/>
      <c r="F721" s="2"/>
      <c r="G721" s="2"/>
    </row>
    <row r="722" spans="1:7" ht="13.2" x14ac:dyDescent="0.25">
      <c r="A722" s="2"/>
      <c r="B722" s="2"/>
      <c r="C722" s="2"/>
      <c r="D722" s="2"/>
      <c r="E722" s="2"/>
      <c r="F722" s="2"/>
      <c r="G722" s="2"/>
    </row>
    <row r="723" spans="1:7" ht="13.2" x14ac:dyDescent="0.25">
      <c r="A723" s="2"/>
      <c r="B723" s="2"/>
      <c r="C723" s="2"/>
      <c r="D723" s="2"/>
      <c r="E723" s="2"/>
      <c r="F723" s="2"/>
      <c r="G723" s="2"/>
    </row>
    <row r="724" spans="1:7" ht="13.2" x14ac:dyDescent="0.25">
      <c r="A724" s="2"/>
      <c r="B724" s="2"/>
      <c r="C724" s="2"/>
      <c r="D724" s="2"/>
      <c r="E724" s="2"/>
      <c r="F724" s="2"/>
      <c r="G724" s="2"/>
    </row>
    <row r="725" spans="1:7" ht="13.2" x14ac:dyDescent="0.25">
      <c r="A725" s="2"/>
      <c r="B725" s="2"/>
      <c r="C725" s="2"/>
      <c r="D725" s="2"/>
      <c r="E725" s="2"/>
      <c r="F725" s="2"/>
      <c r="G725" s="2"/>
    </row>
    <row r="726" spans="1:7" ht="13.2" x14ac:dyDescent="0.25">
      <c r="A726" s="2"/>
      <c r="B726" s="2"/>
      <c r="C726" s="2"/>
      <c r="D726" s="2"/>
      <c r="E726" s="2"/>
      <c r="F726" s="2"/>
      <c r="G726" s="2"/>
    </row>
    <row r="727" spans="1:7" ht="13.2" x14ac:dyDescent="0.25">
      <c r="A727" s="2"/>
      <c r="B727" s="2"/>
      <c r="C727" s="2"/>
      <c r="D727" s="2"/>
      <c r="E727" s="2"/>
      <c r="F727" s="2"/>
      <c r="G727" s="2"/>
    </row>
    <row r="728" spans="1:7" ht="13.2" x14ac:dyDescent="0.25">
      <c r="A728" s="2"/>
      <c r="B728" s="2"/>
      <c r="C728" s="2"/>
      <c r="D728" s="2"/>
      <c r="E728" s="2"/>
      <c r="F728" s="2"/>
      <c r="G728" s="2"/>
    </row>
    <row r="729" spans="1:7" ht="13.2" x14ac:dyDescent="0.25">
      <c r="A729" s="2"/>
      <c r="B729" s="2"/>
      <c r="C729" s="2"/>
      <c r="D729" s="2"/>
      <c r="E729" s="2"/>
      <c r="F729" s="2"/>
      <c r="G729" s="2"/>
    </row>
    <row r="730" spans="1:7" ht="13.2" x14ac:dyDescent="0.25">
      <c r="A730" s="2"/>
      <c r="B730" s="2"/>
      <c r="C730" s="2"/>
      <c r="D730" s="2"/>
      <c r="E730" s="2"/>
      <c r="F730" s="2"/>
      <c r="G730" s="2"/>
    </row>
    <row r="731" spans="1:7" ht="13.2" x14ac:dyDescent="0.25">
      <c r="A731" s="2"/>
      <c r="B731" s="2"/>
      <c r="C731" s="2"/>
      <c r="D731" s="2"/>
      <c r="E731" s="2"/>
      <c r="F731" s="2"/>
      <c r="G731" s="2"/>
    </row>
    <row r="732" spans="1:7" ht="13.2" x14ac:dyDescent="0.25">
      <c r="A732" s="2"/>
      <c r="B732" s="2"/>
      <c r="C732" s="2"/>
      <c r="D732" s="2"/>
      <c r="E732" s="2"/>
      <c r="F732" s="2"/>
      <c r="G732" s="2"/>
    </row>
    <row r="733" spans="1:7" ht="13.2" x14ac:dyDescent="0.25">
      <c r="A733" s="2"/>
      <c r="B733" s="2"/>
      <c r="C733" s="2"/>
      <c r="D733" s="2"/>
      <c r="E733" s="2"/>
      <c r="F733" s="2"/>
      <c r="G733" s="2"/>
    </row>
    <row r="734" spans="1:7" ht="13.2" x14ac:dyDescent="0.25">
      <c r="A734" s="2"/>
      <c r="B734" s="2"/>
      <c r="C734" s="2"/>
      <c r="D734" s="2"/>
      <c r="E734" s="2"/>
      <c r="F734" s="2"/>
      <c r="G734" s="2"/>
    </row>
    <row r="735" spans="1:7" ht="13.2" x14ac:dyDescent="0.25">
      <c r="A735" s="2"/>
      <c r="B735" s="2"/>
      <c r="C735" s="2"/>
      <c r="D735" s="2"/>
      <c r="E735" s="2"/>
      <c r="F735" s="2"/>
      <c r="G735" s="2"/>
    </row>
    <row r="736" spans="1:7" ht="13.2" x14ac:dyDescent="0.25">
      <c r="A736" s="2"/>
      <c r="B736" s="2"/>
      <c r="C736" s="2"/>
      <c r="D736" s="2"/>
      <c r="E736" s="2"/>
      <c r="F736" s="2"/>
      <c r="G736" s="2"/>
    </row>
    <row r="737" spans="1:7" ht="13.2" x14ac:dyDescent="0.25">
      <c r="A737" s="2"/>
      <c r="B737" s="2"/>
      <c r="C737" s="2"/>
      <c r="D737" s="2"/>
      <c r="E737" s="2"/>
      <c r="F737" s="2"/>
      <c r="G737" s="2"/>
    </row>
    <row r="738" spans="1:7" ht="13.2" x14ac:dyDescent="0.25">
      <c r="A738" s="2"/>
      <c r="B738" s="2"/>
      <c r="C738" s="2"/>
      <c r="D738" s="2"/>
      <c r="E738" s="2"/>
      <c r="F738" s="2"/>
      <c r="G738" s="2"/>
    </row>
    <row r="739" spans="1:7" ht="13.2" x14ac:dyDescent="0.25">
      <c r="A739" s="2"/>
      <c r="B739" s="2"/>
      <c r="C739" s="2"/>
      <c r="D739" s="2"/>
      <c r="E739" s="2"/>
      <c r="F739" s="2"/>
      <c r="G739" s="2"/>
    </row>
    <row r="740" spans="1:7" ht="13.2" x14ac:dyDescent="0.25">
      <c r="A740" s="2"/>
      <c r="B740" s="2"/>
      <c r="C740" s="2"/>
      <c r="D740" s="2"/>
      <c r="E740" s="2"/>
      <c r="F740" s="2"/>
      <c r="G740" s="2"/>
    </row>
    <row r="741" spans="1:7" ht="13.2" x14ac:dyDescent="0.25">
      <c r="A741" s="2"/>
      <c r="B741" s="2"/>
      <c r="C741" s="2"/>
      <c r="D741" s="2"/>
      <c r="E741" s="2"/>
      <c r="F741" s="2"/>
      <c r="G741" s="2"/>
    </row>
    <row r="742" spans="1:7" ht="13.2" x14ac:dyDescent="0.25">
      <c r="A742" s="2"/>
      <c r="B742" s="2"/>
      <c r="C742" s="2"/>
      <c r="D742" s="2"/>
      <c r="E742" s="2"/>
      <c r="F742" s="2"/>
      <c r="G742" s="2"/>
    </row>
    <row r="743" spans="1:7" ht="13.2" x14ac:dyDescent="0.25">
      <c r="A743" s="2"/>
      <c r="B743" s="2"/>
      <c r="C743" s="2"/>
      <c r="D743" s="2"/>
      <c r="E743" s="2"/>
      <c r="F743" s="2"/>
      <c r="G743" s="2"/>
    </row>
    <row r="744" spans="1:7" ht="13.2" x14ac:dyDescent="0.25">
      <c r="A744" s="2"/>
      <c r="B744" s="2"/>
      <c r="C744" s="2"/>
      <c r="D744" s="2"/>
      <c r="E744" s="2"/>
      <c r="F744" s="2"/>
      <c r="G744" s="2"/>
    </row>
    <row r="745" spans="1:7" ht="13.2" x14ac:dyDescent="0.25">
      <c r="A745" s="2"/>
      <c r="B745" s="2"/>
      <c r="C745" s="2"/>
      <c r="D745" s="2"/>
      <c r="E745" s="2"/>
      <c r="F745" s="2"/>
      <c r="G745" s="2"/>
    </row>
    <row r="746" spans="1:7" ht="13.2" x14ac:dyDescent="0.25">
      <c r="A746" s="2"/>
      <c r="B746" s="2"/>
      <c r="C746" s="2"/>
      <c r="D746" s="2"/>
      <c r="E746" s="2"/>
      <c r="F746" s="2"/>
      <c r="G746" s="2"/>
    </row>
    <row r="747" spans="1:7" ht="13.2" x14ac:dyDescent="0.25">
      <c r="A747" s="2"/>
      <c r="B747" s="2"/>
      <c r="C747" s="2"/>
      <c r="D747" s="2"/>
      <c r="E747" s="2"/>
      <c r="F747" s="2"/>
      <c r="G747" s="2"/>
    </row>
    <row r="748" spans="1:7" ht="13.2" x14ac:dyDescent="0.25">
      <c r="A748" s="2"/>
      <c r="B748" s="2"/>
      <c r="C748" s="2"/>
      <c r="D748" s="2"/>
      <c r="E748" s="2"/>
      <c r="F748" s="2"/>
      <c r="G748" s="2"/>
    </row>
    <row r="749" spans="1:7" ht="13.2" x14ac:dyDescent="0.25">
      <c r="A749" s="2"/>
      <c r="B749" s="2"/>
      <c r="C749" s="2"/>
      <c r="D749" s="2"/>
      <c r="E749" s="2"/>
      <c r="F749" s="2"/>
      <c r="G749" s="2"/>
    </row>
    <row r="750" spans="1:7" ht="13.2" x14ac:dyDescent="0.25">
      <c r="A750" s="2"/>
      <c r="B750" s="2"/>
      <c r="C750" s="2"/>
      <c r="D750" s="2"/>
      <c r="E750" s="2"/>
      <c r="F750" s="2"/>
      <c r="G750" s="2"/>
    </row>
    <row r="751" spans="1:7" ht="13.2" x14ac:dyDescent="0.25">
      <c r="A751" s="2"/>
      <c r="B751" s="2"/>
      <c r="C751" s="2"/>
      <c r="D751" s="2"/>
      <c r="E751" s="2"/>
      <c r="F751" s="2"/>
      <c r="G751" s="2"/>
    </row>
    <row r="752" spans="1:7" ht="13.2" x14ac:dyDescent="0.25">
      <c r="A752" s="2"/>
      <c r="B752" s="2"/>
      <c r="C752" s="2"/>
      <c r="D752" s="2"/>
      <c r="E752" s="2"/>
      <c r="F752" s="2"/>
      <c r="G752" s="2"/>
    </row>
    <row r="753" spans="1:7" ht="13.2" x14ac:dyDescent="0.25">
      <c r="A753" s="2"/>
      <c r="B753" s="2"/>
      <c r="C753" s="2"/>
      <c r="D753" s="2"/>
      <c r="E753" s="2"/>
      <c r="F753" s="2"/>
      <c r="G753" s="2"/>
    </row>
    <row r="754" spans="1:7" ht="13.2" x14ac:dyDescent="0.25">
      <c r="A754" s="2"/>
      <c r="B754" s="2"/>
      <c r="C754" s="2"/>
      <c r="D754" s="2"/>
      <c r="E754" s="2"/>
      <c r="F754" s="2"/>
      <c r="G754" s="2"/>
    </row>
    <row r="755" spans="1:7" ht="13.2" x14ac:dyDescent="0.25">
      <c r="A755" s="2"/>
      <c r="B755" s="2"/>
      <c r="C755" s="2"/>
      <c r="D755" s="2"/>
      <c r="E755" s="2"/>
      <c r="F755" s="2"/>
      <c r="G755" s="2"/>
    </row>
    <row r="756" spans="1:7" ht="13.2" x14ac:dyDescent="0.25">
      <c r="A756" s="2"/>
      <c r="B756" s="2"/>
      <c r="C756" s="2"/>
      <c r="D756" s="2"/>
      <c r="E756" s="2"/>
      <c r="F756" s="2"/>
      <c r="G756" s="2"/>
    </row>
    <row r="757" spans="1:7" ht="13.2" x14ac:dyDescent="0.25">
      <c r="A757" s="2"/>
      <c r="B757" s="2"/>
      <c r="C757" s="2"/>
      <c r="D757" s="2"/>
      <c r="E757" s="2"/>
      <c r="F757" s="2"/>
      <c r="G757" s="2"/>
    </row>
    <row r="758" spans="1:7" ht="13.2" x14ac:dyDescent="0.25">
      <c r="A758" s="2"/>
      <c r="B758" s="2"/>
      <c r="C758" s="2"/>
      <c r="D758" s="2"/>
      <c r="E758" s="2"/>
      <c r="F758" s="2"/>
      <c r="G758" s="2"/>
    </row>
    <row r="759" spans="1:7" ht="13.2" x14ac:dyDescent="0.25">
      <c r="A759" s="2"/>
      <c r="B759" s="2"/>
      <c r="C759" s="2"/>
      <c r="D759" s="2"/>
      <c r="E759" s="2"/>
      <c r="F759" s="2"/>
      <c r="G759" s="2"/>
    </row>
    <row r="760" spans="1:7" ht="13.2" x14ac:dyDescent="0.25">
      <c r="A760" s="2"/>
      <c r="B760" s="2"/>
      <c r="C760" s="2"/>
      <c r="D760" s="2"/>
      <c r="E760" s="2"/>
      <c r="F760" s="2"/>
      <c r="G760" s="2"/>
    </row>
    <row r="761" spans="1:7" ht="13.2" x14ac:dyDescent="0.25">
      <c r="A761" s="2"/>
      <c r="B761" s="2"/>
      <c r="C761" s="2"/>
      <c r="D761" s="2"/>
      <c r="E761" s="2"/>
      <c r="F761" s="2"/>
      <c r="G761" s="2"/>
    </row>
    <row r="762" spans="1:7" ht="13.2" x14ac:dyDescent="0.25">
      <c r="A762" s="2"/>
      <c r="B762" s="2"/>
      <c r="C762" s="2"/>
      <c r="D762" s="2"/>
      <c r="E762" s="2"/>
      <c r="F762" s="2"/>
      <c r="G762" s="2"/>
    </row>
    <row r="763" spans="1:7" ht="13.2" x14ac:dyDescent="0.25">
      <c r="A763" s="2"/>
      <c r="B763" s="2"/>
      <c r="C763" s="2"/>
      <c r="D763" s="2"/>
      <c r="E763" s="2"/>
      <c r="F763" s="2"/>
      <c r="G763" s="2"/>
    </row>
    <row r="764" spans="1:7" ht="13.2" x14ac:dyDescent="0.25">
      <c r="A764" s="2"/>
      <c r="B764" s="2"/>
      <c r="C764" s="2"/>
      <c r="D764" s="2"/>
      <c r="E764" s="2"/>
      <c r="F764" s="2"/>
      <c r="G764" s="2"/>
    </row>
    <row r="765" spans="1:7" ht="13.2" x14ac:dyDescent="0.25">
      <c r="A765" s="2"/>
      <c r="B765" s="2"/>
      <c r="C765" s="2"/>
      <c r="D765" s="2"/>
      <c r="E765" s="2"/>
      <c r="F765" s="2"/>
      <c r="G765" s="2"/>
    </row>
    <row r="766" spans="1:7" ht="13.2" x14ac:dyDescent="0.25">
      <c r="A766" s="2"/>
      <c r="B766" s="2"/>
      <c r="C766" s="2"/>
      <c r="D766" s="2"/>
      <c r="E766" s="2"/>
      <c r="F766" s="2"/>
      <c r="G766" s="2"/>
    </row>
    <row r="767" spans="1:7" ht="13.2" x14ac:dyDescent="0.25">
      <c r="A767" s="2"/>
      <c r="B767" s="2"/>
      <c r="C767" s="2"/>
      <c r="D767" s="2"/>
      <c r="E767" s="2"/>
      <c r="F767" s="2"/>
      <c r="G767" s="2"/>
    </row>
    <row r="768" spans="1:7" ht="13.2" x14ac:dyDescent="0.25">
      <c r="A768" s="2"/>
      <c r="B768" s="2"/>
      <c r="C768" s="2"/>
      <c r="D768" s="2"/>
      <c r="E768" s="2"/>
      <c r="F768" s="2"/>
      <c r="G768" s="2"/>
    </row>
    <row r="769" spans="1:7" ht="13.2" x14ac:dyDescent="0.25">
      <c r="A769" s="2"/>
      <c r="B769" s="2"/>
      <c r="C769" s="2"/>
      <c r="D769" s="2"/>
      <c r="E769" s="2"/>
      <c r="F769" s="2"/>
      <c r="G769" s="2"/>
    </row>
    <row r="770" spans="1:7" ht="13.2" x14ac:dyDescent="0.25">
      <c r="A770" s="2"/>
      <c r="B770" s="2"/>
      <c r="C770" s="2"/>
      <c r="D770" s="2"/>
      <c r="E770" s="2"/>
      <c r="F770" s="2"/>
      <c r="G770" s="2"/>
    </row>
    <row r="771" spans="1:7" ht="13.2" x14ac:dyDescent="0.25">
      <c r="A771" s="2"/>
      <c r="B771" s="2"/>
      <c r="C771" s="2"/>
      <c r="D771" s="2"/>
      <c r="E771" s="2"/>
      <c r="F771" s="2"/>
      <c r="G771" s="2"/>
    </row>
    <row r="772" spans="1:7" ht="13.2" x14ac:dyDescent="0.25">
      <c r="A772" s="2"/>
      <c r="B772" s="2"/>
      <c r="C772" s="2"/>
      <c r="D772" s="2"/>
      <c r="E772" s="2"/>
      <c r="F772" s="2"/>
      <c r="G772" s="2"/>
    </row>
    <row r="773" spans="1:7" ht="13.2" x14ac:dyDescent="0.25">
      <c r="A773" s="2"/>
      <c r="B773" s="2"/>
      <c r="C773" s="2"/>
      <c r="D773" s="2"/>
      <c r="E773" s="2"/>
      <c r="F773" s="2"/>
      <c r="G773" s="2"/>
    </row>
    <row r="774" spans="1:7" ht="13.2" x14ac:dyDescent="0.25">
      <c r="A774" s="2"/>
      <c r="B774" s="2"/>
      <c r="C774" s="2"/>
      <c r="D774" s="2"/>
      <c r="E774" s="2"/>
      <c r="F774" s="2"/>
      <c r="G774" s="2"/>
    </row>
    <row r="775" spans="1:7" ht="13.2" x14ac:dyDescent="0.25">
      <c r="A775" s="2"/>
      <c r="B775" s="2"/>
      <c r="C775" s="2"/>
      <c r="D775" s="2"/>
      <c r="E775" s="2"/>
      <c r="F775" s="2"/>
      <c r="G775" s="2"/>
    </row>
    <row r="776" spans="1:7" ht="13.2" x14ac:dyDescent="0.25">
      <c r="A776" s="2"/>
      <c r="B776" s="2"/>
      <c r="C776" s="2"/>
      <c r="D776" s="2"/>
      <c r="E776" s="2"/>
      <c r="F776" s="2"/>
      <c r="G776" s="2"/>
    </row>
    <row r="777" spans="1:7" ht="13.2" x14ac:dyDescent="0.25">
      <c r="A777" s="2"/>
      <c r="B777" s="2"/>
      <c r="C777" s="2"/>
      <c r="D777" s="2"/>
      <c r="E777" s="2"/>
      <c r="F777" s="2"/>
      <c r="G777" s="2"/>
    </row>
    <row r="778" spans="1:7" ht="13.2" x14ac:dyDescent="0.25">
      <c r="A778" s="2"/>
      <c r="B778" s="2"/>
      <c r="C778" s="2"/>
      <c r="D778" s="2"/>
      <c r="E778" s="2"/>
      <c r="F778" s="2"/>
      <c r="G778" s="2"/>
    </row>
    <row r="779" spans="1:7" ht="13.2" x14ac:dyDescent="0.25">
      <c r="A779" s="2"/>
      <c r="B779" s="2"/>
      <c r="C779" s="2"/>
      <c r="D779" s="2"/>
      <c r="E779" s="2"/>
      <c r="F779" s="2"/>
      <c r="G779" s="2"/>
    </row>
    <row r="780" spans="1:7" ht="13.2" x14ac:dyDescent="0.25">
      <c r="A780" s="2"/>
      <c r="B780" s="2"/>
      <c r="C780" s="2"/>
      <c r="D780" s="2"/>
      <c r="E780" s="2"/>
      <c r="F780" s="2"/>
      <c r="G780" s="2"/>
    </row>
    <row r="781" spans="1:7" ht="13.2" x14ac:dyDescent="0.25">
      <c r="A781" s="2"/>
      <c r="B781" s="2"/>
      <c r="C781" s="2"/>
      <c r="D781" s="2"/>
      <c r="E781" s="2"/>
      <c r="F781" s="2"/>
      <c r="G781" s="2"/>
    </row>
    <row r="782" spans="1:7" ht="13.2" x14ac:dyDescent="0.25">
      <c r="A782" s="2"/>
      <c r="B782" s="2"/>
      <c r="C782" s="2"/>
      <c r="D782" s="2"/>
      <c r="E782" s="2"/>
      <c r="F782" s="2"/>
      <c r="G782" s="2"/>
    </row>
    <row r="783" spans="1:7" ht="13.2" x14ac:dyDescent="0.25">
      <c r="A783" s="2"/>
      <c r="B783" s="2"/>
      <c r="C783" s="2"/>
      <c r="D783" s="2"/>
      <c r="E783" s="2"/>
      <c r="F783" s="2"/>
      <c r="G783" s="2"/>
    </row>
    <row r="784" spans="1:7" ht="13.2" x14ac:dyDescent="0.25">
      <c r="A784" s="2"/>
      <c r="B784" s="2"/>
      <c r="C784" s="2"/>
      <c r="D784" s="2"/>
      <c r="E784" s="2"/>
      <c r="F784" s="2"/>
      <c r="G784" s="2"/>
    </row>
    <row r="785" spans="1:7" ht="13.2" x14ac:dyDescent="0.25">
      <c r="A785" s="2"/>
      <c r="B785" s="2"/>
      <c r="C785" s="2"/>
      <c r="D785" s="2"/>
      <c r="E785" s="2"/>
      <c r="F785" s="2"/>
      <c r="G785" s="2"/>
    </row>
    <row r="786" spans="1:7" ht="13.2" x14ac:dyDescent="0.25">
      <c r="A786" s="2"/>
      <c r="B786" s="2"/>
      <c r="C786" s="2"/>
      <c r="D786" s="2"/>
      <c r="E786" s="2"/>
      <c r="F786" s="2"/>
      <c r="G786" s="2"/>
    </row>
    <row r="787" spans="1:7" ht="13.2" x14ac:dyDescent="0.25">
      <c r="A787" s="2"/>
      <c r="B787" s="2"/>
      <c r="C787" s="2"/>
      <c r="D787" s="2"/>
      <c r="E787" s="2"/>
      <c r="F787" s="2"/>
      <c r="G787" s="2"/>
    </row>
    <row r="788" spans="1:7" ht="13.2" x14ac:dyDescent="0.25">
      <c r="A788" s="2"/>
      <c r="B788" s="2"/>
      <c r="C788" s="2"/>
      <c r="D788" s="2"/>
      <c r="E788" s="2"/>
      <c r="F788" s="2"/>
      <c r="G788" s="2"/>
    </row>
    <row r="789" spans="1:7" ht="13.2" x14ac:dyDescent="0.25">
      <c r="A789" s="2"/>
      <c r="B789" s="2"/>
      <c r="C789" s="2"/>
      <c r="D789" s="2"/>
      <c r="E789" s="2"/>
      <c r="F789" s="2"/>
      <c r="G789" s="2"/>
    </row>
    <row r="790" spans="1:7" ht="13.2" x14ac:dyDescent="0.25">
      <c r="A790" s="2"/>
      <c r="B790" s="2"/>
      <c r="C790" s="2"/>
      <c r="D790" s="2"/>
      <c r="E790" s="2"/>
      <c r="F790" s="2"/>
      <c r="G790" s="2"/>
    </row>
    <row r="791" spans="1:7" ht="13.2" x14ac:dyDescent="0.25">
      <c r="A791" s="2"/>
      <c r="B791" s="2"/>
      <c r="C791" s="2"/>
      <c r="D791" s="2"/>
      <c r="E791" s="2"/>
      <c r="F791" s="2"/>
      <c r="G791" s="2"/>
    </row>
    <row r="792" spans="1:7" ht="13.2" x14ac:dyDescent="0.25">
      <c r="A792" s="2"/>
      <c r="B792" s="2"/>
      <c r="C792" s="2"/>
      <c r="D792" s="2"/>
      <c r="E792" s="2"/>
      <c r="F792" s="2"/>
      <c r="G792" s="2"/>
    </row>
    <row r="793" spans="1:7" ht="13.2" x14ac:dyDescent="0.25">
      <c r="A793" s="2"/>
      <c r="B793" s="2"/>
      <c r="C793" s="2"/>
      <c r="D793" s="2"/>
      <c r="E793" s="2"/>
      <c r="F793" s="2"/>
      <c r="G793" s="2"/>
    </row>
    <row r="794" spans="1:7" ht="13.2" x14ac:dyDescent="0.25">
      <c r="A794" s="2"/>
      <c r="B794" s="2"/>
      <c r="C794" s="2"/>
      <c r="D794" s="2"/>
      <c r="E794" s="2"/>
      <c r="F794" s="2"/>
      <c r="G794" s="2"/>
    </row>
    <row r="795" spans="1:7" ht="13.2" x14ac:dyDescent="0.25">
      <c r="A795" s="2"/>
      <c r="B795" s="2"/>
      <c r="C795" s="2"/>
      <c r="D795" s="2"/>
      <c r="E795" s="2"/>
      <c r="F795" s="2"/>
      <c r="G795" s="2"/>
    </row>
    <row r="796" spans="1:7" ht="13.2" x14ac:dyDescent="0.25">
      <c r="A796" s="2"/>
      <c r="B796" s="2"/>
      <c r="C796" s="2"/>
      <c r="D796" s="2"/>
      <c r="E796" s="2"/>
      <c r="F796" s="2"/>
      <c r="G796" s="2"/>
    </row>
    <row r="797" spans="1:7" ht="13.2" x14ac:dyDescent="0.25">
      <c r="A797" s="2"/>
      <c r="B797" s="2"/>
      <c r="C797" s="2"/>
      <c r="D797" s="2"/>
      <c r="E797" s="2"/>
      <c r="F797" s="2"/>
      <c r="G797" s="2"/>
    </row>
    <row r="798" spans="1:7" ht="13.2" x14ac:dyDescent="0.25">
      <c r="A798" s="2"/>
      <c r="B798" s="2"/>
      <c r="C798" s="2"/>
      <c r="D798" s="2"/>
      <c r="E798" s="2"/>
      <c r="F798" s="2"/>
      <c r="G798" s="2"/>
    </row>
    <row r="799" spans="1:7" ht="13.2" x14ac:dyDescent="0.25">
      <c r="A799" s="2"/>
      <c r="B799" s="2"/>
      <c r="C799" s="2"/>
      <c r="D799" s="2"/>
      <c r="E799" s="2"/>
      <c r="F799" s="2"/>
      <c r="G799" s="2"/>
    </row>
    <row r="800" spans="1:7" ht="13.2" x14ac:dyDescent="0.25">
      <c r="A800" s="2"/>
      <c r="B800" s="2"/>
      <c r="C800" s="2"/>
      <c r="D800" s="2"/>
      <c r="E800" s="2"/>
      <c r="F800" s="2"/>
      <c r="G800" s="2"/>
    </row>
    <row r="801" spans="1:7" ht="13.2" x14ac:dyDescent="0.25">
      <c r="A801" s="2"/>
      <c r="B801" s="2"/>
      <c r="C801" s="2"/>
      <c r="D801" s="2"/>
      <c r="E801" s="2"/>
      <c r="F801" s="2"/>
      <c r="G801" s="2"/>
    </row>
    <row r="802" spans="1:7" ht="13.2" x14ac:dyDescent="0.25">
      <c r="A802" s="2"/>
      <c r="B802" s="2"/>
      <c r="C802" s="2"/>
      <c r="D802" s="2"/>
      <c r="E802" s="2"/>
      <c r="F802" s="2"/>
      <c r="G802" s="2"/>
    </row>
    <row r="803" spans="1:7" ht="13.2" x14ac:dyDescent="0.25">
      <c r="A803" s="2"/>
      <c r="B803" s="2"/>
      <c r="C803" s="2"/>
      <c r="D803" s="2"/>
      <c r="E803" s="2"/>
      <c r="F803" s="2"/>
      <c r="G803" s="2"/>
    </row>
    <row r="804" spans="1:7" ht="13.2" x14ac:dyDescent="0.25">
      <c r="A804" s="2"/>
      <c r="B804" s="2"/>
      <c r="C804" s="2"/>
      <c r="D804" s="2"/>
      <c r="E804" s="2"/>
      <c r="F804" s="2"/>
      <c r="G804" s="2"/>
    </row>
    <row r="805" spans="1:7" ht="13.2" x14ac:dyDescent="0.25">
      <c r="A805" s="2"/>
      <c r="B805" s="2"/>
      <c r="C805" s="2"/>
      <c r="D805" s="2"/>
      <c r="E805" s="2"/>
      <c r="F805" s="2"/>
      <c r="G805" s="2"/>
    </row>
    <row r="806" spans="1:7" ht="13.2" x14ac:dyDescent="0.25">
      <c r="A806" s="2"/>
      <c r="B806" s="2"/>
      <c r="C806" s="2"/>
      <c r="D806" s="2"/>
      <c r="E806" s="2"/>
      <c r="F806" s="2"/>
      <c r="G806" s="2"/>
    </row>
    <row r="807" spans="1:7" ht="13.2" x14ac:dyDescent="0.25">
      <c r="A807" s="2"/>
      <c r="B807" s="2"/>
      <c r="C807" s="2"/>
      <c r="D807" s="2"/>
      <c r="E807" s="2"/>
      <c r="F807" s="2"/>
      <c r="G807" s="2"/>
    </row>
    <row r="808" spans="1:7" ht="13.2" x14ac:dyDescent="0.25">
      <c r="A808" s="2"/>
      <c r="B808" s="2"/>
      <c r="C808" s="2"/>
      <c r="D808" s="2"/>
      <c r="E808" s="2"/>
      <c r="F808" s="2"/>
      <c r="G808" s="2"/>
    </row>
    <row r="809" spans="1:7" ht="13.2" x14ac:dyDescent="0.25">
      <c r="A809" s="2"/>
      <c r="B809" s="2"/>
      <c r="C809" s="2"/>
      <c r="D809" s="2"/>
      <c r="E809" s="2"/>
      <c r="F809" s="2"/>
      <c r="G809" s="2"/>
    </row>
    <row r="810" spans="1:7" ht="13.2" x14ac:dyDescent="0.25">
      <c r="A810" s="2"/>
      <c r="B810" s="2"/>
      <c r="C810" s="2"/>
      <c r="D810" s="2"/>
      <c r="E810" s="2"/>
      <c r="F810" s="2"/>
      <c r="G810" s="2"/>
    </row>
    <row r="811" spans="1:7" ht="13.2" x14ac:dyDescent="0.25">
      <c r="A811" s="2"/>
      <c r="B811" s="2"/>
      <c r="C811" s="2"/>
      <c r="D811" s="2"/>
      <c r="E811" s="2"/>
      <c r="F811" s="2"/>
      <c r="G811" s="2"/>
    </row>
    <row r="812" spans="1:7" ht="13.2" x14ac:dyDescent="0.25">
      <c r="A812" s="2"/>
      <c r="B812" s="2"/>
      <c r="C812" s="2"/>
      <c r="D812" s="2"/>
      <c r="E812" s="2"/>
      <c r="F812" s="2"/>
      <c r="G812" s="2"/>
    </row>
    <row r="813" spans="1:7" ht="13.2" x14ac:dyDescent="0.25">
      <c r="A813" s="2"/>
      <c r="B813" s="2"/>
      <c r="C813" s="2"/>
      <c r="D813" s="2"/>
      <c r="E813" s="2"/>
      <c r="F813" s="2"/>
      <c r="G813" s="2"/>
    </row>
    <row r="814" spans="1:7" ht="13.2" x14ac:dyDescent="0.25">
      <c r="A814" s="2"/>
      <c r="B814" s="2"/>
      <c r="C814" s="2"/>
      <c r="D814" s="2"/>
      <c r="E814" s="2"/>
      <c r="F814" s="2"/>
      <c r="G814" s="2"/>
    </row>
    <row r="815" spans="1:7" ht="13.2" x14ac:dyDescent="0.25">
      <c r="A815" s="2"/>
      <c r="B815" s="2"/>
      <c r="C815" s="2"/>
      <c r="D815" s="2"/>
      <c r="E815" s="2"/>
      <c r="F815" s="2"/>
      <c r="G815" s="2"/>
    </row>
    <row r="816" spans="1:7" ht="13.2" x14ac:dyDescent="0.25">
      <c r="A816" s="2"/>
      <c r="B816" s="2"/>
      <c r="C816" s="2"/>
      <c r="D816" s="2"/>
      <c r="E816" s="2"/>
      <c r="F816" s="2"/>
      <c r="G816" s="2"/>
    </row>
    <row r="817" spans="1:7" ht="13.2" x14ac:dyDescent="0.25">
      <c r="A817" s="2"/>
      <c r="B817" s="2"/>
      <c r="C817" s="2"/>
      <c r="D817" s="2"/>
      <c r="E817" s="2"/>
      <c r="F817" s="2"/>
      <c r="G817" s="2"/>
    </row>
    <row r="818" spans="1:7" ht="13.2" x14ac:dyDescent="0.25">
      <c r="A818" s="2"/>
      <c r="B818" s="2"/>
      <c r="C818" s="2"/>
      <c r="D818" s="2"/>
      <c r="E818" s="2"/>
      <c r="F818" s="2"/>
      <c r="G818" s="2"/>
    </row>
    <row r="819" spans="1:7" ht="13.2" x14ac:dyDescent="0.25">
      <c r="A819" s="2"/>
      <c r="B819" s="2"/>
      <c r="C819" s="2"/>
      <c r="D819" s="2"/>
      <c r="E819" s="2"/>
      <c r="F819" s="2"/>
      <c r="G819" s="2"/>
    </row>
    <row r="820" spans="1:7" ht="13.2" x14ac:dyDescent="0.25">
      <c r="A820" s="2"/>
      <c r="B820" s="2"/>
      <c r="C820" s="2"/>
      <c r="D820" s="2"/>
      <c r="E820" s="2"/>
      <c r="F820" s="2"/>
      <c r="G820" s="2"/>
    </row>
    <row r="821" spans="1:7" ht="13.2" x14ac:dyDescent="0.25">
      <c r="A821" s="2"/>
      <c r="B821" s="2"/>
      <c r="C821" s="2"/>
      <c r="D821" s="2"/>
      <c r="E821" s="2"/>
      <c r="F821" s="2"/>
      <c r="G821" s="2"/>
    </row>
    <row r="822" spans="1:7" ht="13.2" x14ac:dyDescent="0.25">
      <c r="A822" s="2"/>
      <c r="B822" s="2"/>
      <c r="C822" s="2"/>
      <c r="D822" s="2"/>
      <c r="E822" s="2"/>
      <c r="F822" s="2"/>
      <c r="G822" s="2"/>
    </row>
    <row r="823" spans="1:7" ht="13.2" x14ac:dyDescent="0.25">
      <c r="A823" s="2"/>
      <c r="B823" s="2"/>
      <c r="C823" s="2"/>
      <c r="D823" s="2"/>
      <c r="E823" s="2"/>
      <c r="F823" s="2"/>
      <c r="G823" s="2"/>
    </row>
    <row r="824" spans="1:7" ht="13.2" x14ac:dyDescent="0.25">
      <c r="A824" s="2"/>
      <c r="B824" s="2"/>
      <c r="C824" s="2"/>
      <c r="D824" s="2"/>
      <c r="E824" s="2"/>
      <c r="F824" s="2"/>
      <c r="G824" s="2"/>
    </row>
    <row r="825" spans="1:7" ht="13.2" x14ac:dyDescent="0.25">
      <c r="A825" s="2"/>
      <c r="B825" s="2"/>
      <c r="C825" s="2"/>
      <c r="D825" s="2"/>
      <c r="E825" s="2"/>
      <c r="F825" s="2"/>
      <c r="G825" s="2"/>
    </row>
    <row r="826" spans="1:7" ht="13.2" x14ac:dyDescent="0.25">
      <c r="A826" s="2"/>
      <c r="B826" s="2"/>
      <c r="C826" s="2"/>
      <c r="D826" s="2"/>
      <c r="E826" s="2"/>
      <c r="F826" s="2"/>
      <c r="G826" s="2"/>
    </row>
    <row r="827" spans="1:7" ht="13.2" x14ac:dyDescent="0.25">
      <c r="A827" s="2"/>
      <c r="B827" s="2"/>
      <c r="C827" s="2"/>
      <c r="D827" s="2"/>
      <c r="E827" s="2"/>
      <c r="F827" s="2"/>
      <c r="G827" s="2"/>
    </row>
    <row r="828" spans="1:7" ht="13.2" x14ac:dyDescent="0.25">
      <c r="A828" s="2"/>
      <c r="B828" s="2"/>
      <c r="C828" s="2"/>
      <c r="D828" s="2"/>
      <c r="E828" s="2"/>
      <c r="F828" s="2"/>
      <c r="G828" s="2"/>
    </row>
    <row r="829" spans="1:7" ht="13.2" x14ac:dyDescent="0.25">
      <c r="A829" s="2"/>
      <c r="B829" s="2"/>
      <c r="C829" s="2"/>
      <c r="D829" s="2"/>
      <c r="E829" s="2"/>
      <c r="F829" s="2"/>
      <c r="G829" s="2"/>
    </row>
    <row r="830" spans="1:7" ht="13.2" x14ac:dyDescent="0.25">
      <c r="A830" s="2"/>
      <c r="B830" s="2"/>
      <c r="C830" s="2"/>
      <c r="D830" s="2"/>
      <c r="E830" s="2"/>
      <c r="F830" s="2"/>
      <c r="G830" s="2"/>
    </row>
    <row r="831" spans="1:7" ht="13.2" x14ac:dyDescent="0.25">
      <c r="A831" s="2"/>
      <c r="B831" s="2"/>
      <c r="C831" s="2"/>
      <c r="D831" s="2"/>
      <c r="E831" s="2"/>
      <c r="F831" s="2"/>
      <c r="G831" s="2"/>
    </row>
    <row r="832" spans="1:7" ht="13.2" x14ac:dyDescent="0.25">
      <c r="A832" s="2"/>
      <c r="B832" s="2"/>
      <c r="C832" s="2"/>
      <c r="D832" s="2"/>
      <c r="E832" s="2"/>
      <c r="F832" s="2"/>
      <c r="G832" s="2"/>
    </row>
    <row r="833" spans="1:7" ht="13.2" x14ac:dyDescent="0.25">
      <c r="A833" s="2"/>
      <c r="B833" s="2"/>
      <c r="C833" s="2"/>
      <c r="D833" s="2"/>
      <c r="E833" s="2"/>
      <c r="F833" s="2"/>
      <c r="G833" s="2"/>
    </row>
    <row r="834" spans="1:7" ht="13.2" x14ac:dyDescent="0.25">
      <c r="A834" s="2"/>
      <c r="B834" s="2"/>
      <c r="C834" s="2"/>
      <c r="D834" s="2"/>
      <c r="E834" s="2"/>
      <c r="F834" s="2"/>
      <c r="G834" s="2"/>
    </row>
    <row r="835" spans="1:7" ht="13.2" x14ac:dyDescent="0.25">
      <c r="A835" s="2"/>
      <c r="B835" s="2"/>
      <c r="C835" s="2"/>
      <c r="D835" s="2"/>
      <c r="E835" s="2"/>
      <c r="F835" s="2"/>
      <c r="G835" s="2"/>
    </row>
    <row r="836" spans="1:7" ht="13.2" x14ac:dyDescent="0.25">
      <c r="A836" s="2"/>
      <c r="B836" s="2"/>
      <c r="C836" s="2"/>
      <c r="D836" s="2"/>
      <c r="E836" s="2"/>
      <c r="F836" s="2"/>
      <c r="G836" s="2"/>
    </row>
    <row r="837" spans="1:7" ht="13.2" x14ac:dyDescent="0.25">
      <c r="A837" s="2"/>
      <c r="B837" s="2"/>
      <c r="C837" s="2"/>
      <c r="D837" s="2"/>
      <c r="E837" s="2"/>
      <c r="F837" s="2"/>
      <c r="G837" s="2"/>
    </row>
    <row r="838" spans="1:7" ht="13.2" x14ac:dyDescent="0.25">
      <c r="A838" s="2"/>
      <c r="B838" s="2"/>
      <c r="C838" s="2"/>
      <c r="D838" s="2"/>
      <c r="E838" s="2"/>
      <c r="F838" s="2"/>
      <c r="G838" s="2"/>
    </row>
    <row r="839" spans="1:7" ht="13.2" x14ac:dyDescent="0.25">
      <c r="A839" s="2"/>
      <c r="B839" s="2"/>
      <c r="C839" s="2"/>
      <c r="D839" s="2"/>
      <c r="E839" s="2"/>
      <c r="F839" s="2"/>
      <c r="G839" s="2"/>
    </row>
    <row r="840" spans="1:7" ht="13.2" x14ac:dyDescent="0.25">
      <c r="A840" s="2"/>
      <c r="B840" s="2"/>
      <c r="C840" s="2"/>
      <c r="D840" s="2"/>
      <c r="E840" s="2"/>
      <c r="F840" s="2"/>
      <c r="G840" s="2"/>
    </row>
    <row r="841" spans="1:7" ht="13.2" x14ac:dyDescent="0.25">
      <c r="A841" s="2"/>
      <c r="B841" s="2"/>
      <c r="C841" s="2"/>
      <c r="D841" s="2"/>
      <c r="E841" s="2"/>
      <c r="F841" s="2"/>
      <c r="G841" s="2"/>
    </row>
    <row r="842" spans="1:7" ht="13.2" x14ac:dyDescent="0.25">
      <c r="A842" s="2"/>
      <c r="B842" s="2"/>
      <c r="C842" s="2"/>
      <c r="D842" s="2"/>
      <c r="E842" s="2"/>
      <c r="F842" s="2"/>
      <c r="G842" s="2"/>
    </row>
    <row r="843" spans="1:7" ht="13.2" x14ac:dyDescent="0.25">
      <c r="A843" s="2"/>
      <c r="B843" s="2"/>
      <c r="C843" s="2"/>
      <c r="D843" s="2"/>
      <c r="E843" s="2"/>
      <c r="F843" s="2"/>
      <c r="G843" s="2"/>
    </row>
    <row r="844" spans="1:7" ht="13.2" x14ac:dyDescent="0.25">
      <c r="A844" s="2"/>
      <c r="B844" s="2"/>
      <c r="C844" s="2"/>
      <c r="D844" s="2"/>
      <c r="E844" s="2"/>
      <c r="F844" s="2"/>
      <c r="G844" s="2"/>
    </row>
    <row r="845" spans="1:7" ht="13.2" x14ac:dyDescent="0.25">
      <c r="A845" s="2"/>
      <c r="B845" s="2"/>
      <c r="C845" s="2"/>
      <c r="D845" s="2"/>
      <c r="E845" s="2"/>
      <c r="F845" s="2"/>
      <c r="G845" s="2"/>
    </row>
    <row r="846" spans="1:7" ht="13.2" x14ac:dyDescent="0.25">
      <c r="A846" s="2"/>
      <c r="B846" s="2"/>
      <c r="C846" s="2"/>
      <c r="D846" s="2"/>
      <c r="E846" s="2"/>
      <c r="F846" s="2"/>
      <c r="G846" s="2"/>
    </row>
    <row r="847" spans="1:7" ht="13.2" x14ac:dyDescent="0.25">
      <c r="A847" s="2"/>
      <c r="B847" s="2"/>
      <c r="C847" s="2"/>
      <c r="D847" s="2"/>
      <c r="E847" s="2"/>
      <c r="F847" s="2"/>
      <c r="G847" s="2"/>
    </row>
    <row r="848" spans="1:7" ht="13.2" x14ac:dyDescent="0.25">
      <c r="A848" s="2"/>
      <c r="B848" s="2"/>
      <c r="C848" s="2"/>
      <c r="D848" s="2"/>
      <c r="E848" s="2"/>
      <c r="F848" s="2"/>
      <c r="G848" s="2"/>
    </row>
    <row r="849" spans="1:7" ht="13.2" x14ac:dyDescent="0.25">
      <c r="A849" s="2"/>
      <c r="B849" s="2"/>
      <c r="C849" s="2"/>
      <c r="D849" s="2"/>
      <c r="E849" s="2"/>
      <c r="F849" s="2"/>
      <c r="G849" s="2"/>
    </row>
    <row r="850" spans="1:7" ht="13.2" x14ac:dyDescent="0.25">
      <c r="A850" s="2"/>
      <c r="B850" s="2"/>
      <c r="C850" s="2"/>
      <c r="D850" s="2"/>
      <c r="E850" s="2"/>
      <c r="F850" s="2"/>
      <c r="G850" s="2"/>
    </row>
    <row r="851" spans="1:7" ht="13.2" x14ac:dyDescent="0.25">
      <c r="A851" s="2"/>
      <c r="B851" s="2"/>
      <c r="C851" s="2"/>
      <c r="D851" s="2"/>
      <c r="E851" s="2"/>
      <c r="F851" s="2"/>
      <c r="G851" s="2"/>
    </row>
    <row r="852" spans="1:7" ht="13.2" x14ac:dyDescent="0.25">
      <c r="A852" s="2"/>
      <c r="B852" s="2"/>
      <c r="C852" s="2"/>
      <c r="D852" s="2"/>
      <c r="E852" s="2"/>
      <c r="F852" s="2"/>
      <c r="G852" s="2"/>
    </row>
    <row r="853" spans="1:7" ht="13.2" x14ac:dyDescent="0.25">
      <c r="A853" s="2"/>
      <c r="B853" s="2"/>
      <c r="C853" s="2"/>
      <c r="D853" s="2"/>
      <c r="E853" s="2"/>
      <c r="F853" s="2"/>
      <c r="G853" s="2"/>
    </row>
    <row r="854" spans="1:7" ht="13.2" x14ac:dyDescent="0.25">
      <c r="A854" s="2"/>
      <c r="B854" s="2"/>
      <c r="C854" s="2"/>
      <c r="D854" s="2"/>
      <c r="E854" s="2"/>
      <c r="F854" s="2"/>
      <c r="G854" s="2"/>
    </row>
    <row r="855" spans="1:7" ht="13.2" x14ac:dyDescent="0.25">
      <c r="A855" s="2"/>
      <c r="B855" s="2"/>
      <c r="C855" s="2"/>
      <c r="D855" s="2"/>
      <c r="E855" s="2"/>
      <c r="F855" s="2"/>
      <c r="G855" s="2"/>
    </row>
    <row r="856" spans="1:7" ht="13.2" x14ac:dyDescent="0.25">
      <c r="A856" s="2"/>
      <c r="B856" s="2"/>
      <c r="C856" s="2"/>
      <c r="D856" s="2"/>
      <c r="E856" s="2"/>
      <c r="F856" s="2"/>
      <c r="G856" s="2"/>
    </row>
    <row r="857" spans="1:7" ht="13.2" x14ac:dyDescent="0.25">
      <c r="A857" s="2"/>
      <c r="B857" s="2"/>
      <c r="C857" s="2"/>
      <c r="D857" s="2"/>
      <c r="E857" s="2"/>
      <c r="F857" s="2"/>
      <c r="G857" s="2"/>
    </row>
    <row r="858" spans="1:7" ht="13.2" x14ac:dyDescent="0.25">
      <c r="A858" s="2"/>
      <c r="B858" s="2"/>
      <c r="C858" s="2"/>
      <c r="D858" s="2"/>
      <c r="E858" s="2"/>
      <c r="F858" s="2"/>
      <c r="G858" s="2"/>
    </row>
    <row r="859" spans="1:7" ht="13.2" x14ac:dyDescent="0.25">
      <c r="A859" s="2"/>
      <c r="B859" s="2"/>
      <c r="C859" s="2"/>
      <c r="D859" s="2"/>
      <c r="E859" s="2"/>
      <c r="F859" s="2"/>
      <c r="G859" s="2"/>
    </row>
    <row r="860" spans="1:7" ht="13.2" x14ac:dyDescent="0.25">
      <c r="A860" s="2"/>
      <c r="B860" s="2"/>
      <c r="C860" s="2"/>
      <c r="D860" s="2"/>
      <c r="E860" s="2"/>
      <c r="F860" s="2"/>
      <c r="G860" s="2"/>
    </row>
    <row r="861" spans="1:7" ht="13.2" x14ac:dyDescent="0.25">
      <c r="A861" s="2"/>
      <c r="B861" s="2"/>
      <c r="C861" s="2"/>
      <c r="D861" s="2"/>
      <c r="E861" s="2"/>
      <c r="F861" s="2"/>
      <c r="G861" s="2"/>
    </row>
    <row r="862" spans="1:7" ht="13.2" x14ac:dyDescent="0.25">
      <c r="A862" s="2"/>
      <c r="B862" s="2"/>
      <c r="C862" s="2"/>
      <c r="D862" s="2"/>
      <c r="E862" s="2"/>
      <c r="F862" s="2"/>
      <c r="G862" s="2"/>
    </row>
    <row r="863" spans="1:7" ht="13.2" x14ac:dyDescent="0.25">
      <c r="A863" s="2"/>
      <c r="B863" s="2"/>
      <c r="C863" s="2"/>
      <c r="D863" s="2"/>
      <c r="E863" s="2"/>
      <c r="F863" s="2"/>
      <c r="G863" s="2"/>
    </row>
    <row r="864" spans="1:7" ht="13.2" x14ac:dyDescent="0.25">
      <c r="A864" s="2"/>
      <c r="B864" s="2"/>
      <c r="C864" s="2"/>
      <c r="D864" s="2"/>
      <c r="E864" s="2"/>
      <c r="F864" s="2"/>
      <c r="G864" s="2"/>
    </row>
    <row r="865" spans="1:7" ht="13.2" x14ac:dyDescent="0.25">
      <c r="A865" s="2"/>
      <c r="B865" s="2"/>
      <c r="C865" s="2"/>
      <c r="D865" s="2"/>
      <c r="E865" s="2"/>
      <c r="F865" s="2"/>
      <c r="G865" s="2"/>
    </row>
    <row r="866" spans="1:7" ht="13.2" x14ac:dyDescent="0.25">
      <c r="A866" s="2"/>
      <c r="B866" s="2"/>
      <c r="C866" s="2"/>
      <c r="D866" s="2"/>
      <c r="E866" s="2"/>
      <c r="F866" s="2"/>
      <c r="G866" s="2"/>
    </row>
    <row r="867" spans="1:7" ht="13.2" x14ac:dyDescent="0.25">
      <c r="A867" s="2"/>
      <c r="B867" s="2"/>
      <c r="C867" s="2"/>
      <c r="D867" s="2"/>
      <c r="E867" s="2"/>
      <c r="F867" s="2"/>
      <c r="G867" s="2"/>
    </row>
    <row r="868" spans="1:7" ht="13.2" x14ac:dyDescent="0.25">
      <c r="A868" s="2"/>
      <c r="B868" s="2"/>
      <c r="C868" s="2"/>
      <c r="D868" s="2"/>
      <c r="E868" s="2"/>
      <c r="F868" s="2"/>
      <c r="G868" s="2"/>
    </row>
    <row r="869" spans="1:7" ht="13.2" x14ac:dyDescent="0.25">
      <c r="A869" s="2"/>
      <c r="B869" s="2"/>
      <c r="C869" s="2"/>
      <c r="D869" s="2"/>
      <c r="E869" s="2"/>
      <c r="F869" s="2"/>
      <c r="G869" s="2"/>
    </row>
    <row r="870" spans="1:7" ht="13.2" x14ac:dyDescent="0.25">
      <c r="A870" s="2"/>
      <c r="B870" s="2"/>
      <c r="C870" s="2"/>
      <c r="D870" s="2"/>
      <c r="E870" s="2"/>
      <c r="F870" s="2"/>
      <c r="G870" s="2"/>
    </row>
    <row r="871" spans="1:7" ht="13.2" x14ac:dyDescent="0.25">
      <c r="A871" s="2"/>
      <c r="B871" s="2"/>
      <c r="C871" s="2"/>
      <c r="D871" s="2"/>
      <c r="E871" s="2"/>
      <c r="F871" s="2"/>
      <c r="G871" s="2"/>
    </row>
    <row r="872" spans="1:7" ht="13.2" x14ac:dyDescent="0.25">
      <c r="A872" s="2"/>
      <c r="B872" s="2"/>
      <c r="C872" s="2"/>
      <c r="D872" s="2"/>
      <c r="E872" s="2"/>
      <c r="F872" s="2"/>
      <c r="G872" s="2"/>
    </row>
    <row r="873" spans="1:7" ht="13.2" x14ac:dyDescent="0.25">
      <c r="A873" s="2"/>
      <c r="B873" s="2"/>
      <c r="C873" s="2"/>
      <c r="D873" s="2"/>
      <c r="E873" s="2"/>
      <c r="F873" s="2"/>
      <c r="G873" s="2"/>
    </row>
    <row r="874" spans="1:7" ht="13.2" x14ac:dyDescent="0.25">
      <c r="A874" s="2"/>
      <c r="B874" s="2"/>
      <c r="C874" s="2"/>
      <c r="D874" s="2"/>
      <c r="E874" s="2"/>
      <c r="F874" s="2"/>
      <c r="G874" s="2"/>
    </row>
    <row r="875" spans="1:7" ht="13.2" x14ac:dyDescent="0.25">
      <c r="A875" s="2"/>
      <c r="B875" s="2"/>
      <c r="C875" s="2"/>
      <c r="D875" s="2"/>
      <c r="E875" s="2"/>
      <c r="F875" s="2"/>
      <c r="G875" s="2"/>
    </row>
    <row r="876" spans="1:7" ht="13.2" x14ac:dyDescent="0.25">
      <c r="A876" s="2"/>
      <c r="B876" s="2"/>
      <c r="C876" s="2"/>
      <c r="D876" s="2"/>
      <c r="E876" s="2"/>
      <c r="F876" s="2"/>
      <c r="G876" s="2"/>
    </row>
    <row r="877" spans="1:7" ht="13.2" x14ac:dyDescent="0.25">
      <c r="A877" s="2"/>
      <c r="B877" s="2"/>
      <c r="C877" s="2"/>
      <c r="D877" s="2"/>
      <c r="E877" s="2"/>
      <c r="F877" s="2"/>
      <c r="G877" s="2"/>
    </row>
    <row r="878" spans="1:7" ht="13.2" x14ac:dyDescent="0.25">
      <c r="A878" s="2"/>
      <c r="B878" s="2"/>
      <c r="C878" s="2"/>
      <c r="D878" s="2"/>
      <c r="E878" s="2"/>
      <c r="F878" s="2"/>
      <c r="G878" s="2"/>
    </row>
    <row r="879" spans="1:7" ht="13.2" x14ac:dyDescent="0.25">
      <c r="A879" s="2"/>
      <c r="B879" s="2"/>
      <c r="C879" s="2"/>
      <c r="D879" s="2"/>
      <c r="E879" s="2"/>
      <c r="F879" s="2"/>
      <c r="G879" s="2"/>
    </row>
    <row r="880" spans="1:7" ht="13.2" x14ac:dyDescent="0.25">
      <c r="A880" s="2"/>
      <c r="B880" s="2"/>
      <c r="C880" s="2"/>
      <c r="D880" s="2"/>
      <c r="E880" s="2"/>
      <c r="F880" s="2"/>
      <c r="G880" s="2"/>
    </row>
    <row r="881" spans="1:7" ht="13.2" x14ac:dyDescent="0.25">
      <c r="A881" s="2"/>
      <c r="B881" s="2"/>
      <c r="C881" s="2"/>
      <c r="D881" s="2"/>
      <c r="E881" s="2"/>
      <c r="F881" s="2"/>
      <c r="G881" s="2"/>
    </row>
    <row r="882" spans="1:7" ht="13.2" x14ac:dyDescent="0.25">
      <c r="A882" s="2"/>
      <c r="B882" s="2"/>
      <c r="C882" s="2"/>
      <c r="D882" s="2"/>
      <c r="E882" s="2"/>
      <c r="F882" s="2"/>
      <c r="G882" s="2"/>
    </row>
    <row r="883" spans="1:7" ht="13.2" x14ac:dyDescent="0.25">
      <c r="A883" s="2"/>
      <c r="B883" s="2"/>
      <c r="C883" s="2"/>
      <c r="D883" s="2"/>
      <c r="E883" s="2"/>
      <c r="F883" s="2"/>
      <c r="G883" s="2"/>
    </row>
    <row r="884" spans="1:7" ht="13.2" x14ac:dyDescent="0.25">
      <c r="A884" s="2"/>
      <c r="B884" s="2"/>
      <c r="C884" s="2"/>
      <c r="D884" s="2"/>
      <c r="E884" s="2"/>
      <c r="F884" s="2"/>
      <c r="G884" s="2"/>
    </row>
    <row r="885" spans="1:7" ht="13.2" x14ac:dyDescent="0.25">
      <c r="A885" s="2"/>
      <c r="B885" s="2"/>
      <c r="C885" s="2"/>
      <c r="D885" s="2"/>
      <c r="E885" s="2"/>
      <c r="F885" s="2"/>
      <c r="G885" s="2"/>
    </row>
    <row r="886" spans="1:7" ht="13.2" x14ac:dyDescent="0.25">
      <c r="A886" s="2"/>
      <c r="B886" s="2"/>
      <c r="C886" s="2"/>
      <c r="D886" s="2"/>
      <c r="E886" s="2"/>
      <c r="F886" s="2"/>
      <c r="G886" s="2"/>
    </row>
    <row r="887" spans="1:7" ht="13.2" x14ac:dyDescent="0.25">
      <c r="A887" s="2"/>
      <c r="B887" s="2"/>
      <c r="C887" s="2"/>
      <c r="D887" s="2"/>
      <c r="E887" s="2"/>
      <c r="F887" s="2"/>
      <c r="G887" s="2"/>
    </row>
    <row r="888" spans="1:7" ht="13.2" x14ac:dyDescent="0.25">
      <c r="A888" s="2"/>
      <c r="B888" s="2"/>
      <c r="C888" s="2"/>
      <c r="D888" s="2"/>
      <c r="E888" s="2"/>
      <c r="F888" s="2"/>
      <c r="G888" s="2"/>
    </row>
    <row r="889" spans="1:7" ht="13.2" x14ac:dyDescent="0.25">
      <c r="A889" s="2"/>
      <c r="B889" s="2"/>
      <c r="C889" s="2"/>
      <c r="D889" s="2"/>
      <c r="E889" s="2"/>
      <c r="F889" s="2"/>
      <c r="G889" s="2"/>
    </row>
    <row r="890" spans="1:7" ht="13.2" x14ac:dyDescent="0.25">
      <c r="A890" s="2"/>
      <c r="B890" s="2"/>
      <c r="C890" s="2"/>
      <c r="D890" s="2"/>
      <c r="E890" s="2"/>
      <c r="F890" s="2"/>
      <c r="G890" s="2"/>
    </row>
    <row r="891" spans="1:7" ht="13.2" x14ac:dyDescent="0.25">
      <c r="A891" s="2"/>
      <c r="B891" s="2"/>
      <c r="C891" s="2"/>
      <c r="D891" s="2"/>
      <c r="E891" s="2"/>
      <c r="F891" s="2"/>
      <c r="G891" s="2"/>
    </row>
    <row r="892" spans="1:7" ht="13.2" x14ac:dyDescent="0.25">
      <c r="A892" s="2"/>
      <c r="B892" s="2"/>
      <c r="C892" s="2"/>
      <c r="D892" s="2"/>
      <c r="E892" s="2"/>
      <c r="F892" s="2"/>
      <c r="G892" s="2"/>
    </row>
    <row r="893" spans="1:7" ht="13.2" x14ac:dyDescent="0.25">
      <c r="A893" s="2"/>
      <c r="B893" s="2"/>
      <c r="C893" s="2"/>
      <c r="D893" s="2"/>
      <c r="E893" s="2"/>
      <c r="F893" s="2"/>
      <c r="G893" s="2"/>
    </row>
    <row r="894" spans="1:7" ht="13.2" x14ac:dyDescent="0.25">
      <c r="A894" s="2"/>
      <c r="B894" s="2"/>
      <c r="C894" s="2"/>
      <c r="D894" s="2"/>
      <c r="E894" s="2"/>
      <c r="F894" s="2"/>
      <c r="G894" s="2"/>
    </row>
    <row r="895" spans="1:7" ht="13.2" x14ac:dyDescent="0.25">
      <c r="A895" s="2"/>
      <c r="B895" s="2"/>
      <c r="C895" s="2"/>
      <c r="D895" s="2"/>
      <c r="E895" s="2"/>
      <c r="F895" s="2"/>
      <c r="G895" s="2"/>
    </row>
    <row r="896" spans="1:7" ht="13.2" x14ac:dyDescent="0.25">
      <c r="A896" s="2"/>
      <c r="B896" s="2"/>
      <c r="C896" s="2"/>
      <c r="D896" s="2"/>
      <c r="E896" s="2"/>
      <c r="F896" s="2"/>
      <c r="G896" s="2"/>
    </row>
    <row r="897" spans="1:7" ht="13.2" x14ac:dyDescent="0.25">
      <c r="A897" s="2"/>
      <c r="B897" s="2"/>
      <c r="C897" s="2"/>
      <c r="D897" s="2"/>
      <c r="E897" s="2"/>
      <c r="F897" s="2"/>
      <c r="G897" s="2"/>
    </row>
    <row r="898" spans="1:7" ht="13.2" x14ac:dyDescent="0.25">
      <c r="A898" s="2"/>
      <c r="B898" s="2"/>
      <c r="C898" s="2"/>
      <c r="D898" s="2"/>
      <c r="E898" s="2"/>
      <c r="F898" s="2"/>
      <c r="G898" s="2"/>
    </row>
    <row r="899" spans="1:7" ht="13.2" x14ac:dyDescent="0.25">
      <c r="A899" s="2"/>
      <c r="B899" s="2"/>
      <c r="C899" s="2"/>
      <c r="D899" s="2"/>
      <c r="E899" s="2"/>
      <c r="F899" s="2"/>
      <c r="G899" s="2"/>
    </row>
    <row r="900" spans="1:7" ht="13.2" x14ac:dyDescent="0.25">
      <c r="A900" s="2"/>
      <c r="B900" s="2"/>
      <c r="C900" s="2"/>
      <c r="D900" s="2"/>
      <c r="E900" s="2"/>
      <c r="F900" s="2"/>
      <c r="G900" s="2"/>
    </row>
    <row r="901" spans="1:7" ht="13.2" x14ac:dyDescent="0.25">
      <c r="A901" s="2"/>
      <c r="B901" s="2"/>
      <c r="C901" s="2"/>
      <c r="D901" s="2"/>
      <c r="E901" s="2"/>
      <c r="F901" s="2"/>
      <c r="G901" s="2"/>
    </row>
    <row r="902" spans="1:7" ht="13.2" x14ac:dyDescent="0.25">
      <c r="A902" s="2"/>
      <c r="B902" s="2"/>
      <c r="C902" s="2"/>
      <c r="D902" s="2"/>
      <c r="E902" s="2"/>
      <c r="F902" s="2"/>
      <c r="G902" s="2"/>
    </row>
    <row r="903" spans="1:7" ht="13.2" x14ac:dyDescent="0.25">
      <c r="A903" s="2"/>
      <c r="B903" s="2"/>
      <c r="C903" s="2"/>
      <c r="D903" s="2"/>
      <c r="E903" s="2"/>
      <c r="F903" s="2"/>
      <c r="G903" s="2"/>
    </row>
    <row r="904" spans="1:7" ht="13.2" x14ac:dyDescent="0.25">
      <c r="A904" s="2"/>
      <c r="B904" s="2"/>
      <c r="C904" s="2"/>
      <c r="D904" s="2"/>
      <c r="E904" s="2"/>
      <c r="F904" s="2"/>
      <c r="G904" s="2"/>
    </row>
    <row r="905" spans="1:7" ht="13.2" x14ac:dyDescent="0.25">
      <c r="A905" s="2"/>
      <c r="B905" s="2"/>
      <c r="C905" s="2"/>
      <c r="D905" s="2"/>
      <c r="E905" s="2"/>
      <c r="F905" s="2"/>
      <c r="G905" s="2"/>
    </row>
    <row r="906" spans="1:7" ht="13.2" x14ac:dyDescent="0.25">
      <c r="A906" s="2"/>
      <c r="B906" s="2"/>
      <c r="C906" s="2"/>
      <c r="D906" s="2"/>
      <c r="E906" s="2"/>
      <c r="F906" s="2"/>
      <c r="G906" s="2"/>
    </row>
    <row r="907" spans="1:7" ht="13.2" x14ac:dyDescent="0.25">
      <c r="A907" s="2"/>
      <c r="B907" s="2"/>
      <c r="C907" s="2"/>
      <c r="D907" s="2"/>
      <c r="E907" s="2"/>
      <c r="F907" s="2"/>
      <c r="G907" s="2"/>
    </row>
    <row r="908" spans="1:7" ht="13.2" x14ac:dyDescent="0.25">
      <c r="A908" s="2"/>
      <c r="B908" s="2"/>
      <c r="C908" s="2"/>
      <c r="D908" s="2"/>
      <c r="E908" s="2"/>
      <c r="F908" s="2"/>
      <c r="G908" s="2"/>
    </row>
    <row r="909" spans="1:7" ht="13.2" x14ac:dyDescent="0.25">
      <c r="A909" s="2"/>
      <c r="B909" s="2"/>
      <c r="C909" s="2"/>
      <c r="D909" s="2"/>
      <c r="E909" s="2"/>
      <c r="F909" s="2"/>
      <c r="G909" s="2"/>
    </row>
    <row r="910" spans="1:7" ht="13.2" x14ac:dyDescent="0.25">
      <c r="A910" s="2"/>
      <c r="B910" s="2"/>
      <c r="C910" s="2"/>
      <c r="D910" s="2"/>
      <c r="E910" s="2"/>
      <c r="F910" s="2"/>
      <c r="G910" s="2"/>
    </row>
    <row r="911" spans="1:7" ht="13.2" x14ac:dyDescent="0.25">
      <c r="A911" s="2"/>
      <c r="B911" s="2"/>
      <c r="C911" s="2"/>
      <c r="D911" s="2"/>
      <c r="E911" s="2"/>
      <c r="F911" s="2"/>
      <c r="G911" s="2"/>
    </row>
    <row r="912" spans="1:7" ht="13.2" x14ac:dyDescent="0.25">
      <c r="A912" s="2"/>
      <c r="B912" s="2"/>
      <c r="C912" s="2"/>
      <c r="D912" s="2"/>
      <c r="E912" s="2"/>
      <c r="F912" s="2"/>
      <c r="G912" s="2"/>
    </row>
    <row r="913" spans="1:7" ht="13.2" x14ac:dyDescent="0.25">
      <c r="A913" s="2"/>
      <c r="B913" s="2"/>
      <c r="C913" s="2"/>
      <c r="D913" s="2"/>
      <c r="E913" s="2"/>
      <c r="F913" s="2"/>
      <c r="G913" s="2"/>
    </row>
    <row r="914" spans="1:7" ht="13.2" x14ac:dyDescent="0.25">
      <c r="A914" s="2"/>
      <c r="B914" s="2"/>
      <c r="C914" s="2"/>
      <c r="D914" s="2"/>
      <c r="E914" s="2"/>
      <c r="F914" s="2"/>
      <c r="G914" s="2"/>
    </row>
    <row r="915" spans="1:7" ht="13.2" x14ac:dyDescent="0.25">
      <c r="A915" s="2"/>
      <c r="B915" s="2"/>
      <c r="C915" s="2"/>
      <c r="D915" s="2"/>
      <c r="E915" s="2"/>
      <c r="F915" s="2"/>
      <c r="G915" s="2"/>
    </row>
    <row r="916" spans="1:7" ht="13.2" x14ac:dyDescent="0.25">
      <c r="A916" s="2"/>
      <c r="B916" s="2"/>
      <c r="C916" s="2"/>
      <c r="D916" s="2"/>
      <c r="E916" s="2"/>
      <c r="F916" s="2"/>
      <c r="G916" s="2"/>
    </row>
    <row r="917" spans="1:7" ht="13.2" x14ac:dyDescent="0.25">
      <c r="A917" s="2"/>
      <c r="B917" s="2"/>
      <c r="C917" s="2"/>
      <c r="D917" s="2"/>
      <c r="E917" s="2"/>
      <c r="F917" s="2"/>
      <c r="G917" s="2"/>
    </row>
    <row r="918" spans="1:7" ht="13.2" x14ac:dyDescent="0.25">
      <c r="A918" s="2"/>
      <c r="B918" s="2"/>
      <c r="C918" s="2"/>
      <c r="D918" s="2"/>
      <c r="E918" s="2"/>
      <c r="F918" s="2"/>
      <c r="G918" s="2"/>
    </row>
    <row r="919" spans="1:7" ht="13.2" x14ac:dyDescent="0.25">
      <c r="A919" s="2"/>
      <c r="B919" s="2"/>
      <c r="C919" s="2"/>
      <c r="D919" s="2"/>
      <c r="E919" s="2"/>
      <c r="F919" s="2"/>
      <c r="G919" s="2"/>
    </row>
    <row r="920" spans="1:7" ht="13.2" x14ac:dyDescent="0.25">
      <c r="A920" s="2"/>
      <c r="B920" s="2"/>
      <c r="C920" s="2"/>
      <c r="D920" s="2"/>
      <c r="E920" s="2"/>
      <c r="F920" s="2"/>
      <c r="G920" s="2"/>
    </row>
    <row r="921" spans="1:7" ht="13.2" x14ac:dyDescent="0.25">
      <c r="A921" s="2"/>
      <c r="B921" s="2"/>
      <c r="C921" s="2"/>
      <c r="D921" s="2"/>
      <c r="E921" s="2"/>
      <c r="F921" s="2"/>
      <c r="G921" s="2"/>
    </row>
    <row r="922" spans="1:7" ht="13.2" x14ac:dyDescent="0.25">
      <c r="A922" s="2"/>
      <c r="B922" s="2"/>
      <c r="C922" s="2"/>
      <c r="D922" s="2"/>
      <c r="E922" s="2"/>
      <c r="F922" s="2"/>
      <c r="G922" s="2"/>
    </row>
    <row r="923" spans="1:7" ht="13.2" x14ac:dyDescent="0.25">
      <c r="A923" s="2"/>
      <c r="B923" s="2"/>
      <c r="C923" s="2"/>
      <c r="D923" s="2"/>
      <c r="E923" s="2"/>
      <c r="F923" s="2"/>
      <c r="G923" s="2"/>
    </row>
    <row r="924" spans="1:7" ht="13.2" x14ac:dyDescent="0.25">
      <c r="A924" s="2"/>
      <c r="B924" s="2"/>
      <c r="C924" s="2"/>
      <c r="D924" s="2"/>
      <c r="E924" s="2"/>
      <c r="F924" s="2"/>
      <c r="G924" s="2"/>
    </row>
    <row r="925" spans="1:7" ht="13.2" x14ac:dyDescent="0.25">
      <c r="A925" s="2"/>
      <c r="B925" s="2"/>
      <c r="C925" s="2"/>
      <c r="D925" s="2"/>
      <c r="E925" s="2"/>
      <c r="F925" s="2"/>
      <c r="G925" s="2"/>
    </row>
    <row r="926" spans="1:7" ht="13.2" x14ac:dyDescent="0.25">
      <c r="A926" s="2"/>
      <c r="B926" s="2"/>
      <c r="C926" s="2"/>
      <c r="D926" s="2"/>
      <c r="E926" s="2"/>
      <c r="F926" s="2"/>
      <c r="G926" s="2"/>
    </row>
    <row r="927" spans="1:7" ht="13.2" x14ac:dyDescent="0.25">
      <c r="A927" s="2"/>
      <c r="B927" s="2"/>
      <c r="C927" s="2"/>
      <c r="D927" s="2"/>
      <c r="E927" s="2"/>
      <c r="F927" s="2"/>
      <c r="G927" s="2"/>
    </row>
    <row r="928" spans="1:7" ht="13.2" x14ac:dyDescent="0.25">
      <c r="A928" s="2"/>
      <c r="B928" s="2"/>
      <c r="C928" s="2"/>
      <c r="D928" s="2"/>
      <c r="E928" s="2"/>
      <c r="F928" s="2"/>
      <c r="G928" s="2"/>
    </row>
    <row r="929" spans="1:7" ht="13.2" x14ac:dyDescent="0.25">
      <c r="A929" s="2"/>
      <c r="B929" s="2"/>
      <c r="C929" s="2"/>
      <c r="D929" s="2"/>
      <c r="E929" s="2"/>
      <c r="F929" s="2"/>
      <c r="G929" s="2"/>
    </row>
    <row r="930" spans="1:7" ht="13.2" x14ac:dyDescent="0.25">
      <c r="A930" s="2"/>
      <c r="B930" s="2"/>
      <c r="C930" s="2"/>
      <c r="D930" s="2"/>
      <c r="E930" s="2"/>
      <c r="F930" s="2"/>
      <c r="G930" s="2"/>
    </row>
    <row r="931" spans="1:7" ht="13.2" x14ac:dyDescent="0.25">
      <c r="A931" s="2"/>
      <c r="B931" s="2"/>
      <c r="C931" s="2"/>
      <c r="D931" s="2"/>
      <c r="E931" s="2"/>
      <c r="F931" s="2"/>
      <c r="G931" s="2"/>
    </row>
    <row r="932" spans="1:7" ht="13.2" x14ac:dyDescent="0.25">
      <c r="A932" s="2"/>
      <c r="B932" s="2"/>
      <c r="C932" s="2"/>
      <c r="D932" s="2"/>
      <c r="E932" s="2"/>
      <c r="F932" s="2"/>
      <c r="G932" s="2"/>
    </row>
    <row r="933" spans="1:7" ht="13.2" x14ac:dyDescent="0.25">
      <c r="A933" s="2"/>
      <c r="B933" s="2"/>
      <c r="C933" s="2"/>
      <c r="D933" s="2"/>
      <c r="E933" s="2"/>
      <c r="F933" s="2"/>
      <c r="G933" s="2"/>
    </row>
    <row r="934" spans="1:7" ht="13.2" x14ac:dyDescent="0.25">
      <c r="A934" s="2"/>
      <c r="B934" s="2"/>
      <c r="C934" s="2"/>
      <c r="D934" s="2"/>
      <c r="E934" s="2"/>
      <c r="F934" s="2"/>
      <c r="G934" s="2"/>
    </row>
    <row r="935" spans="1:7" ht="13.2" x14ac:dyDescent="0.25">
      <c r="A935" s="2"/>
      <c r="B935" s="2"/>
      <c r="C935" s="2"/>
      <c r="D935" s="2"/>
      <c r="E935" s="2"/>
      <c r="F935" s="2"/>
      <c r="G935" s="2"/>
    </row>
    <row r="936" spans="1:7" ht="13.2" x14ac:dyDescent="0.25">
      <c r="A936" s="2"/>
      <c r="B936" s="2"/>
      <c r="C936" s="2"/>
      <c r="D936" s="2"/>
      <c r="E936" s="2"/>
      <c r="F936" s="2"/>
      <c r="G936" s="2"/>
    </row>
    <row r="937" spans="1:7" ht="13.2" x14ac:dyDescent="0.25">
      <c r="A937" s="2"/>
      <c r="B937" s="2"/>
      <c r="C937" s="2"/>
      <c r="D937" s="2"/>
      <c r="E937" s="2"/>
      <c r="F937" s="2"/>
      <c r="G937" s="2"/>
    </row>
    <row r="938" spans="1:7" ht="13.2" x14ac:dyDescent="0.25">
      <c r="A938" s="2"/>
      <c r="B938" s="2"/>
      <c r="C938" s="2"/>
      <c r="D938" s="2"/>
      <c r="E938" s="2"/>
      <c r="F938" s="2"/>
      <c r="G938" s="2"/>
    </row>
    <row r="939" spans="1:7" ht="13.2" x14ac:dyDescent="0.25">
      <c r="A939" s="2"/>
      <c r="B939" s="2"/>
      <c r="C939" s="2"/>
      <c r="D939" s="2"/>
      <c r="E939" s="2"/>
      <c r="F939" s="2"/>
      <c r="G939" s="2"/>
    </row>
    <row r="940" spans="1:7" ht="13.2" x14ac:dyDescent="0.25">
      <c r="A940" s="2"/>
      <c r="B940" s="2"/>
      <c r="C940" s="2"/>
      <c r="D940" s="2"/>
      <c r="E940" s="2"/>
      <c r="F940" s="2"/>
      <c r="G940" s="2"/>
    </row>
    <row r="941" spans="1:7" ht="13.2" x14ac:dyDescent="0.25">
      <c r="A941" s="2"/>
      <c r="B941" s="2"/>
      <c r="C941" s="2"/>
      <c r="D941" s="2"/>
      <c r="E941" s="2"/>
      <c r="F941" s="2"/>
      <c r="G941" s="2"/>
    </row>
    <row r="942" spans="1:7" ht="13.2" x14ac:dyDescent="0.25">
      <c r="A942" s="2"/>
      <c r="B942" s="2"/>
      <c r="C942" s="2"/>
      <c r="D942" s="2"/>
      <c r="E942" s="2"/>
      <c r="F942" s="2"/>
      <c r="G942" s="2"/>
    </row>
    <row r="943" spans="1:7" ht="13.2" x14ac:dyDescent="0.25">
      <c r="A943" s="2"/>
      <c r="B943" s="2"/>
      <c r="C943" s="2"/>
      <c r="D943" s="2"/>
      <c r="E943" s="2"/>
      <c r="F943" s="2"/>
      <c r="G943" s="2"/>
    </row>
    <row r="944" spans="1:7" ht="13.2" x14ac:dyDescent="0.25">
      <c r="A944" s="2"/>
      <c r="B944" s="2"/>
      <c r="C944" s="2"/>
      <c r="D944" s="2"/>
      <c r="E944" s="2"/>
      <c r="F944" s="2"/>
      <c r="G944" s="2"/>
    </row>
    <row r="945" spans="1:7" ht="13.2" x14ac:dyDescent="0.25">
      <c r="A945" s="2"/>
      <c r="B945" s="2"/>
      <c r="C945" s="2"/>
      <c r="D945" s="2"/>
      <c r="E945" s="2"/>
      <c r="F945" s="2"/>
      <c r="G945" s="2"/>
    </row>
    <row r="946" spans="1:7" ht="13.2" x14ac:dyDescent="0.25">
      <c r="A946" s="2"/>
      <c r="B946" s="2"/>
      <c r="C946" s="2"/>
      <c r="D946" s="2"/>
      <c r="E946" s="2"/>
      <c r="F946" s="2"/>
      <c r="G946" s="2"/>
    </row>
    <row r="947" spans="1:7" ht="13.2" x14ac:dyDescent="0.25">
      <c r="A947" s="2"/>
      <c r="B947" s="2"/>
      <c r="C947" s="2"/>
      <c r="D947" s="2"/>
      <c r="E947" s="2"/>
      <c r="F947" s="2"/>
      <c r="G947" s="2"/>
    </row>
    <row r="948" spans="1:7" ht="13.2" x14ac:dyDescent="0.25">
      <c r="A948" s="2"/>
      <c r="B948" s="2"/>
      <c r="C948" s="2"/>
      <c r="D948" s="2"/>
      <c r="E948" s="2"/>
      <c r="F948" s="2"/>
      <c r="G948" s="2"/>
    </row>
    <row r="949" spans="1:7" ht="13.2" x14ac:dyDescent="0.25">
      <c r="A949" s="2"/>
      <c r="B949" s="2"/>
      <c r="C949" s="2"/>
      <c r="D949" s="2"/>
      <c r="E949" s="2"/>
      <c r="F949" s="2"/>
      <c r="G949" s="2"/>
    </row>
    <row r="950" spans="1:7" ht="13.2" x14ac:dyDescent="0.25">
      <c r="A950" s="2"/>
      <c r="B950" s="2"/>
      <c r="C950" s="2"/>
      <c r="D950" s="2"/>
      <c r="E950" s="2"/>
      <c r="F950" s="2"/>
      <c r="G950" s="2"/>
    </row>
    <row r="951" spans="1:7" ht="13.2" x14ac:dyDescent="0.25">
      <c r="A951" s="2"/>
      <c r="B951" s="2"/>
      <c r="C951" s="2"/>
      <c r="D951" s="2"/>
      <c r="E951" s="2"/>
      <c r="F951" s="2"/>
      <c r="G951" s="2"/>
    </row>
    <row r="952" spans="1:7" ht="13.2" x14ac:dyDescent="0.25">
      <c r="A952" s="2"/>
      <c r="B952" s="2"/>
      <c r="C952" s="2"/>
      <c r="D952" s="2"/>
      <c r="E952" s="2"/>
      <c r="F952" s="2"/>
      <c r="G952" s="2"/>
    </row>
    <row r="953" spans="1:7" ht="13.2" x14ac:dyDescent="0.25">
      <c r="A953" s="2"/>
      <c r="B953" s="2"/>
      <c r="C953" s="2"/>
      <c r="D953" s="2"/>
      <c r="E953" s="2"/>
      <c r="F953" s="2"/>
      <c r="G953" s="2"/>
    </row>
    <row r="954" spans="1:7" ht="13.2" x14ac:dyDescent="0.25">
      <c r="A954" s="2"/>
      <c r="B954" s="2"/>
      <c r="C954" s="2"/>
      <c r="D954" s="2"/>
      <c r="E954" s="2"/>
      <c r="F954" s="2"/>
      <c r="G954" s="2"/>
    </row>
    <row r="955" spans="1:7" ht="13.2" x14ac:dyDescent="0.25">
      <c r="A955" s="2"/>
      <c r="B955" s="2"/>
      <c r="C955" s="2"/>
      <c r="D955" s="2"/>
      <c r="E955" s="2"/>
      <c r="F955" s="2"/>
      <c r="G955" s="2"/>
    </row>
    <row r="956" spans="1:7" ht="13.2" x14ac:dyDescent="0.25">
      <c r="A956" s="2"/>
      <c r="B956" s="2"/>
      <c r="C956" s="2"/>
      <c r="D956" s="2"/>
      <c r="E956" s="2"/>
      <c r="F956" s="2"/>
      <c r="G956" s="2"/>
    </row>
    <row r="957" spans="1:7" ht="13.2" x14ac:dyDescent="0.25">
      <c r="A957" s="2"/>
      <c r="B957" s="2"/>
      <c r="C957" s="2"/>
      <c r="D957" s="2"/>
      <c r="E957" s="2"/>
      <c r="F957" s="2"/>
      <c r="G957" s="2"/>
    </row>
    <row r="958" spans="1:7" ht="13.2" x14ac:dyDescent="0.25">
      <c r="A958" s="2"/>
      <c r="B958" s="2"/>
      <c r="C958" s="2"/>
      <c r="D958" s="2"/>
      <c r="E958" s="2"/>
      <c r="F958" s="2"/>
      <c r="G958" s="2"/>
    </row>
    <row r="959" spans="1:7" ht="13.2" x14ac:dyDescent="0.25">
      <c r="A959" s="2"/>
      <c r="B959" s="2"/>
      <c r="C959" s="2"/>
      <c r="D959" s="2"/>
      <c r="E959" s="2"/>
      <c r="F959" s="2"/>
      <c r="G959" s="2"/>
    </row>
    <row r="960" spans="1:7" ht="13.2" x14ac:dyDescent="0.25">
      <c r="A960" s="2"/>
      <c r="B960" s="2"/>
      <c r="C960" s="2"/>
      <c r="D960" s="2"/>
      <c r="E960" s="2"/>
      <c r="F960" s="2"/>
      <c r="G960" s="2"/>
    </row>
    <row r="961" spans="1:7" ht="13.2" x14ac:dyDescent="0.25">
      <c r="A961" s="2"/>
      <c r="B961" s="2"/>
      <c r="C961" s="2"/>
      <c r="D961" s="2"/>
      <c r="E961" s="2"/>
      <c r="F961" s="2"/>
      <c r="G961" s="2"/>
    </row>
    <row r="962" spans="1:7" ht="13.2" x14ac:dyDescent="0.25">
      <c r="A962" s="2"/>
      <c r="B962" s="2"/>
      <c r="C962" s="2"/>
      <c r="D962" s="2"/>
      <c r="E962" s="2"/>
      <c r="F962" s="2"/>
      <c r="G962" s="2"/>
    </row>
    <row r="963" spans="1:7" ht="13.2" x14ac:dyDescent="0.25">
      <c r="A963" s="2"/>
      <c r="B963" s="2"/>
      <c r="C963" s="2"/>
      <c r="D963" s="2"/>
      <c r="E963" s="2"/>
      <c r="F963" s="2"/>
      <c r="G963" s="2"/>
    </row>
    <row r="964" spans="1:7" ht="13.2" x14ac:dyDescent="0.25">
      <c r="A964" s="2"/>
      <c r="B964" s="2"/>
      <c r="C964" s="2"/>
      <c r="D964" s="2"/>
      <c r="E964" s="2"/>
      <c r="F964" s="2"/>
      <c r="G964" s="2"/>
    </row>
    <row r="965" spans="1:7" ht="13.2" x14ac:dyDescent="0.25">
      <c r="A965" s="2"/>
      <c r="B965" s="2"/>
      <c r="C965" s="2"/>
      <c r="D965" s="2"/>
      <c r="E965" s="2"/>
      <c r="F965" s="2"/>
      <c r="G965" s="2"/>
    </row>
    <row r="966" spans="1:7" ht="13.2" x14ac:dyDescent="0.25">
      <c r="A966" s="2"/>
      <c r="B966" s="2"/>
      <c r="C966" s="2"/>
      <c r="D966" s="2"/>
      <c r="E966" s="2"/>
      <c r="F966" s="2"/>
      <c r="G966" s="2"/>
    </row>
    <row r="967" spans="1:7" ht="13.2" x14ac:dyDescent="0.25">
      <c r="A967" s="2"/>
      <c r="B967" s="2"/>
      <c r="C967" s="2"/>
      <c r="D967" s="2"/>
      <c r="E967" s="2"/>
      <c r="F967" s="2"/>
      <c r="G967" s="2"/>
    </row>
    <row r="968" spans="1:7" ht="13.2" x14ac:dyDescent="0.25">
      <c r="A968" s="2"/>
      <c r="B968" s="2"/>
      <c r="C968" s="2"/>
      <c r="D968" s="2"/>
      <c r="E968" s="2"/>
      <c r="F968" s="2"/>
      <c r="G968" s="2"/>
    </row>
    <row r="969" spans="1:7" ht="13.2" x14ac:dyDescent="0.25">
      <c r="A969" s="2"/>
      <c r="B969" s="2"/>
      <c r="C969" s="2"/>
      <c r="D969" s="2"/>
      <c r="E969" s="2"/>
      <c r="F969" s="2"/>
      <c r="G969" s="2"/>
    </row>
    <row r="970" spans="1:7" ht="13.2" x14ac:dyDescent="0.25">
      <c r="A970" s="2"/>
      <c r="B970" s="2"/>
      <c r="C970" s="2"/>
      <c r="D970" s="2"/>
      <c r="E970" s="2"/>
      <c r="F970" s="2"/>
      <c r="G970" s="2"/>
    </row>
    <row r="971" spans="1:7" ht="13.2" x14ac:dyDescent="0.25">
      <c r="A971" s="2"/>
      <c r="B971" s="2"/>
      <c r="C971" s="2"/>
      <c r="D971" s="2"/>
      <c r="E971" s="2"/>
      <c r="F971" s="2"/>
      <c r="G971" s="2"/>
    </row>
    <row r="972" spans="1:7" ht="13.2" x14ac:dyDescent="0.25">
      <c r="A972" s="2"/>
      <c r="B972" s="2"/>
      <c r="C972" s="2"/>
      <c r="D972" s="2"/>
      <c r="E972" s="2"/>
      <c r="F972" s="2"/>
      <c r="G972" s="2"/>
    </row>
    <row r="973" spans="1:7" ht="13.2" x14ac:dyDescent="0.25">
      <c r="A973" s="2"/>
      <c r="B973" s="2"/>
      <c r="C973" s="2"/>
      <c r="D973" s="2"/>
      <c r="E973" s="2"/>
      <c r="F973" s="2"/>
      <c r="G973" s="2"/>
    </row>
    <row r="974" spans="1:7" ht="13.2" x14ac:dyDescent="0.25">
      <c r="A974" s="2"/>
      <c r="B974" s="2"/>
      <c r="C974" s="2"/>
      <c r="D974" s="2"/>
      <c r="E974" s="2"/>
      <c r="F974" s="2"/>
      <c r="G974" s="2"/>
    </row>
    <row r="975" spans="1:7" ht="13.2" x14ac:dyDescent="0.25">
      <c r="A975" s="2"/>
      <c r="B975" s="2"/>
      <c r="C975" s="2"/>
      <c r="D975" s="2"/>
      <c r="E975" s="2"/>
      <c r="F975" s="2"/>
      <c r="G975" s="2"/>
    </row>
    <row r="976" spans="1:7" ht="13.2" x14ac:dyDescent="0.25">
      <c r="A976" s="2"/>
      <c r="B976" s="2"/>
      <c r="C976" s="2"/>
      <c r="D976" s="2"/>
      <c r="E976" s="2"/>
      <c r="F976" s="2"/>
      <c r="G976" s="2"/>
    </row>
    <row r="977" spans="1:7" ht="13.2" x14ac:dyDescent="0.25">
      <c r="A977" s="2"/>
      <c r="B977" s="2"/>
      <c r="C977" s="2"/>
      <c r="D977" s="2"/>
      <c r="E977" s="2"/>
      <c r="F977" s="2"/>
      <c r="G977" s="2"/>
    </row>
    <row r="978" spans="1:7" ht="13.2" x14ac:dyDescent="0.25">
      <c r="A978" s="2"/>
      <c r="B978" s="2"/>
      <c r="C978" s="2"/>
      <c r="D978" s="2"/>
      <c r="E978" s="2"/>
      <c r="F978" s="2"/>
      <c r="G978" s="2"/>
    </row>
    <row r="979" spans="1:7" ht="13.2" x14ac:dyDescent="0.25">
      <c r="A979" s="2"/>
      <c r="B979" s="2"/>
      <c r="C979" s="2"/>
      <c r="D979" s="2"/>
      <c r="E979" s="2"/>
      <c r="F979" s="2"/>
      <c r="G979" s="2"/>
    </row>
    <row r="980" spans="1:7" ht="13.2" x14ac:dyDescent="0.25">
      <c r="A980" s="2"/>
      <c r="B980" s="2"/>
      <c r="C980" s="2"/>
      <c r="D980" s="2"/>
      <c r="E980" s="2"/>
      <c r="F980" s="2"/>
      <c r="G980" s="2"/>
    </row>
    <row r="981" spans="1:7" ht="13.2" x14ac:dyDescent="0.25">
      <c r="A981" s="2"/>
      <c r="B981" s="2"/>
      <c r="C981" s="2"/>
      <c r="D981" s="2"/>
      <c r="E981" s="2"/>
      <c r="F981" s="2"/>
      <c r="G981" s="2"/>
    </row>
    <row r="982" spans="1:7" ht="13.2" x14ac:dyDescent="0.25">
      <c r="A982" s="2"/>
      <c r="B982" s="2"/>
      <c r="C982" s="2"/>
      <c r="D982" s="2"/>
      <c r="E982" s="2"/>
      <c r="F982" s="2"/>
      <c r="G982" s="2"/>
    </row>
    <row r="983" spans="1:7" ht="13.2" x14ac:dyDescent="0.25">
      <c r="A983" s="2"/>
      <c r="B983" s="2"/>
      <c r="C983" s="2"/>
      <c r="D983" s="2"/>
      <c r="E983" s="2"/>
      <c r="F983" s="2"/>
      <c r="G983" s="2"/>
    </row>
    <row r="984" spans="1:7" ht="13.2" x14ac:dyDescent="0.25">
      <c r="A984" s="2"/>
      <c r="B984" s="2"/>
      <c r="C984" s="2"/>
      <c r="D984" s="2"/>
      <c r="E984" s="2"/>
      <c r="F984" s="2"/>
      <c r="G984" s="2"/>
    </row>
    <row r="985" spans="1:7" ht="13.2" x14ac:dyDescent="0.25">
      <c r="A985" s="2"/>
      <c r="B985" s="2"/>
      <c r="C985" s="2"/>
      <c r="D985" s="2"/>
      <c r="E985" s="2"/>
      <c r="F985" s="2"/>
      <c r="G985" s="2"/>
    </row>
    <row r="986" spans="1:7" ht="13.2" x14ac:dyDescent="0.25">
      <c r="A986" s="2"/>
      <c r="B986" s="2"/>
      <c r="C986" s="2"/>
      <c r="D986" s="2"/>
      <c r="E986" s="2"/>
      <c r="F986" s="2"/>
      <c r="G986" s="2"/>
    </row>
    <row r="987" spans="1:7" ht="13.2" x14ac:dyDescent="0.25">
      <c r="A987" s="2"/>
      <c r="B987" s="2"/>
      <c r="C987" s="2"/>
      <c r="D987" s="2"/>
      <c r="E987" s="2"/>
      <c r="F987" s="2"/>
      <c r="G987" s="2"/>
    </row>
    <row r="988" spans="1:7" ht="13.2" x14ac:dyDescent="0.25">
      <c r="A988" s="2"/>
      <c r="B988" s="2"/>
      <c r="C988" s="2"/>
      <c r="D988" s="2"/>
      <c r="E988" s="2"/>
      <c r="F988" s="2"/>
      <c r="G988" s="2"/>
    </row>
    <row r="989" spans="1:7" ht="13.2" x14ac:dyDescent="0.25">
      <c r="A989" s="2"/>
      <c r="B989" s="2"/>
      <c r="C989" s="2"/>
      <c r="D989" s="2"/>
      <c r="E989" s="2"/>
      <c r="F989" s="2"/>
      <c r="G989" s="2"/>
    </row>
    <row r="990" spans="1:7" ht="13.2" x14ac:dyDescent="0.25">
      <c r="A990" s="2"/>
      <c r="B990" s="2"/>
      <c r="C990" s="2"/>
      <c r="D990" s="2"/>
      <c r="E990" s="2"/>
      <c r="F990" s="2"/>
      <c r="G990" s="2"/>
    </row>
    <row r="991" spans="1:7" ht="13.2" x14ac:dyDescent="0.25">
      <c r="A991" s="2"/>
      <c r="B991" s="2"/>
      <c r="C991" s="2"/>
      <c r="D991" s="2"/>
      <c r="E991" s="2"/>
      <c r="F991" s="2"/>
      <c r="G991" s="2"/>
    </row>
    <row r="992" spans="1:7" ht="13.2" x14ac:dyDescent="0.25">
      <c r="A992" s="2"/>
      <c r="B992" s="2"/>
      <c r="C992" s="2"/>
      <c r="D992" s="2"/>
      <c r="E992" s="2"/>
      <c r="F992" s="2"/>
      <c r="G992" s="2"/>
    </row>
    <row r="993" spans="1:7" ht="13.2" x14ac:dyDescent="0.25">
      <c r="A993" s="2"/>
      <c r="B993" s="2"/>
      <c r="C993" s="2"/>
      <c r="D993" s="2"/>
      <c r="E993" s="2"/>
      <c r="F993" s="2"/>
      <c r="G993" s="2"/>
    </row>
    <row r="994" spans="1:7" ht="13.2" x14ac:dyDescent="0.25">
      <c r="A994" s="2"/>
      <c r="B994" s="2"/>
      <c r="C994" s="2"/>
      <c r="D994" s="2"/>
      <c r="E994" s="2"/>
      <c r="F994" s="2"/>
      <c r="G994" s="2"/>
    </row>
    <row r="995" spans="1:7" ht="13.2" x14ac:dyDescent="0.25">
      <c r="A995" s="2"/>
      <c r="B995" s="2"/>
      <c r="C995" s="2"/>
      <c r="D995" s="2"/>
      <c r="E995" s="2"/>
      <c r="F995" s="2"/>
      <c r="G995" s="2"/>
    </row>
  </sheetData>
  <mergeCells count="6">
    <mergeCell ref="F26:H26"/>
    <mergeCell ref="A2:I2"/>
    <mergeCell ref="A15:H15"/>
    <mergeCell ref="A16:H16"/>
    <mergeCell ref="A17:H17"/>
    <mergeCell ref="F25:H2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O1021"/>
  <sheetViews>
    <sheetView showGridLines="0" topLeftCell="A43" zoomScale="85" zoomScaleNormal="85" workbookViewId="0">
      <selection activeCell="N57" sqref="N57"/>
    </sheetView>
  </sheetViews>
  <sheetFormatPr baseColWidth="10" defaultColWidth="12.6640625" defaultRowHeight="15.75" customHeight="1" x14ac:dyDescent="0.25"/>
  <cols>
    <col min="1" max="1" width="6.5546875" customWidth="1"/>
    <col min="6" max="6" width="16" customWidth="1"/>
    <col min="8" max="8" width="17.109375" customWidth="1"/>
    <col min="9" max="9" width="14.33203125" customWidth="1"/>
    <col min="10" max="10" width="19.33203125" customWidth="1"/>
  </cols>
  <sheetData>
    <row r="1" spans="2:10" ht="13.2" x14ac:dyDescent="0.25">
      <c r="B1" s="1" t="s">
        <v>49</v>
      </c>
      <c r="C1" s="1"/>
      <c r="D1" s="1"/>
      <c r="E1" s="1"/>
      <c r="F1" s="1"/>
      <c r="G1" s="1"/>
      <c r="H1" s="1"/>
      <c r="I1" s="1"/>
      <c r="J1" s="1"/>
    </row>
    <row r="2" spans="2:10" ht="13.2" x14ac:dyDescent="0.25">
      <c r="B2" s="1" t="s">
        <v>50</v>
      </c>
      <c r="C2" s="1"/>
      <c r="D2" s="1"/>
      <c r="E2" s="1"/>
      <c r="F2" s="1"/>
      <c r="G2" s="1"/>
      <c r="H2" s="1"/>
      <c r="I2" s="1"/>
      <c r="J2" s="1"/>
    </row>
    <row r="3" spans="2:10" ht="13.2" x14ac:dyDescent="0.25">
      <c r="B3" s="2"/>
      <c r="C3" s="2"/>
      <c r="D3" s="2"/>
      <c r="E3" s="2"/>
      <c r="F3" s="2"/>
      <c r="G3" s="2"/>
      <c r="H3" s="2"/>
    </row>
    <row r="4" spans="2:10" ht="13.2" x14ac:dyDescent="0.25">
      <c r="B4" s="2"/>
      <c r="C4" s="2"/>
      <c r="D4" s="2"/>
      <c r="E4" s="2"/>
      <c r="F4" s="2"/>
      <c r="G4" s="2"/>
      <c r="H4" s="2"/>
    </row>
    <row r="5" spans="2:10" ht="13.2" x14ac:dyDescent="0.25">
      <c r="B5" s="2"/>
      <c r="C5" s="39" t="s">
        <v>42</v>
      </c>
      <c r="D5" s="3" t="s">
        <v>51</v>
      </c>
      <c r="E5" s="40" t="s">
        <v>25</v>
      </c>
      <c r="F5" s="2"/>
      <c r="G5" s="2"/>
      <c r="H5" s="2"/>
      <c r="I5" s="2"/>
    </row>
    <row r="6" spans="2:10" ht="13.2" x14ac:dyDescent="0.25">
      <c r="B6" s="2"/>
      <c r="C6" s="52">
        <v>1</v>
      </c>
      <c r="D6" s="52">
        <v>1</v>
      </c>
      <c r="E6" s="52">
        <v>12</v>
      </c>
      <c r="G6" s="87"/>
    </row>
    <row r="7" spans="2:10" ht="13.2" x14ac:dyDescent="0.25">
      <c r="B7" s="2"/>
      <c r="C7" s="49">
        <v>1</v>
      </c>
      <c r="D7" s="49">
        <v>2</v>
      </c>
      <c r="E7" s="49">
        <v>30</v>
      </c>
      <c r="F7" s="2"/>
      <c r="G7" s="2"/>
      <c r="H7" s="2"/>
      <c r="I7" s="2"/>
    </row>
    <row r="8" spans="2:10" ht="13.2" x14ac:dyDescent="0.25">
      <c r="B8" s="2"/>
      <c r="C8" s="49">
        <v>1</v>
      </c>
      <c r="D8" s="49">
        <v>3</v>
      </c>
      <c r="E8" s="49">
        <v>20</v>
      </c>
      <c r="F8" s="2"/>
      <c r="G8" s="2"/>
      <c r="H8" s="2"/>
      <c r="I8" s="2"/>
    </row>
    <row r="9" spans="2:10" ht="13.2" x14ac:dyDescent="0.25">
      <c r="B9" s="2"/>
      <c r="C9" s="49">
        <v>1</v>
      </c>
      <c r="D9" s="49">
        <v>4</v>
      </c>
      <c r="E9" s="59">
        <v>8</v>
      </c>
      <c r="F9" s="2"/>
      <c r="G9" s="2"/>
      <c r="H9" s="2"/>
      <c r="I9" s="2"/>
    </row>
    <row r="10" spans="2:10" ht="13.2" x14ac:dyDescent="0.25">
      <c r="B10" s="2"/>
      <c r="C10" s="49">
        <v>2</v>
      </c>
      <c r="D10" s="52">
        <v>5</v>
      </c>
      <c r="E10" s="49">
        <v>20</v>
      </c>
      <c r="F10" s="2"/>
      <c r="G10" s="2"/>
      <c r="H10" s="2"/>
      <c r="I10" s="2"/>
    </row>
    <row r="11" spans="2:10" ht="13.2" x14ac:dyDescent="0.25">
      <c r="B11" s="2"/>
      <c r="C11" s="49">
        <v>2</v>
      </c>
      <c r="D11" s="49">
        <v>6</v>
      </c>
      <c r="E11" s="49">
        <v>36</v>
      </c>
      <c r="F11" s="2"/>
      <c r="G11" s="2"/>
      <c r="H11" s="2"/>
      <c r="I11" s="2"/>
    </row>
    <row r="12" spans="2:10" ht="13.2" x14ac:dyDescent="0.25">
      <c r="B12" s="2"/>
      <c r="C12" s="49">
        <v>2</v>
      </c>
      <c r="D12" s="49">
        <v>7</v>
      </c>
      <c r="E12" s="49">
        <v>30</v>
      </c>
      <c r="F12" s="2"/>
      <c r="G12" s="2"/>
      <c r="H12" s="2"/>
      <c r="I12" s="2"/>
    </row>
    <row r="13" spans="2:10" ht="13.2" x14ac:dyDescent="0.25">
      <c r="B13" s="2"/>
      <c r="C13" s="49">
        <v>2</v>
      </c>
      <c r="D13" s="49">
        <v>8</v>
      </c>
      <c r="E13" s="49">
        <v>14</v>
      </c>
      <c r="F13" s="2"/>
      <c r="G13" s="2"/>
      <c r="H13" s="2"/>
    </row>
    <row r="14" spans="2:10" ht="13.2" x14ac:dyDescent="0.25">
      <c r="B14" s="2"/>
      <c r="C14" s="49">
        <v>3</v>
      </c>
      <c r="D14" s="52">
        <v>9</v>
      </c>
      <c r="E14" s="52">
        <v>28</v>
      </c>
      <c r="F14" s="2"/>
      <c r="G14" s="2"/>
      <c r="H14" s="2"/>
    </row>
    <row r="15" spans="2:10" ht="13.2" x14ac:dyDescent="0.25">
      <c r="B15" s="2"/>
      <c r="C15" s="49">
        <v>3</v>
      </c>
      <c r="D15" s="49">
        <v>10</v>
      </c>
      <c r="E15" s="49">
        <v>45</v>
      </c>
      <c r="F15" s="2"/>
      <c r="G15" s="2"/>
      <c r="H15" s="2"/>
    </row>
    <row r="16" spans="2:10" ht="13.2" x14ac:dyDescent="0.25">
      <c r="B16" s="2"/>
      <c r="C16" s="49">
        <v>3</v>
      </c>
      <c r="D16" s="49">
        <v>11</v>
      </c>
      <c r="E16" s="49">
        <v>46</v>
      </c>
      <c r="F16" s="2"/>
      <c r="G16" s="2"/>
      <c r="H16" s="2"/>
    </row>
    <row r="17" spans="2:8" ht="13.2" x14ac:dyDescent="0.25">
      <c r="B17" s="2"/>
      <c r="C17" s="49">
        <v>3</v>
      </c>
      <c r="D17" s="49">
        <v>12</v>
      </c>
      <c r="E17" s="59">
        <v>24</v>
      </c>
      <c r="F17" s="2"/>
      <c r="G17" s="2"/>
      <c r="H17" s="2"/>
    </row>
    <row r="18" spans="2:8" ht="13.2" x14ac:dyDescent="0.25">
      <c r="B18" s="2"/>
      <c r="C18" s="49">
        <v>4</v>
      </c>
      <c r="D18" s="52">
        <v>13</v>
      </c>
      <c r="E18" s="49">
        <v>38</v>
      </c>
      <c r="F18" s="2"/>
      <c r="G18" s="2"/>
      <c r="H18" s="2"/>
    </row>
    <row r="19" spans="2:8" ht="13.2" x14ac:dyDescent="0.25">
      <c r="B19" s="2"/>
      <c r="C19" s="49">
        <v>4</v>
      </c>
      <c r="D19" s="49">
        <v>14</v>
      </c>
      <c r="E19" s="49">
        <v>56</v>
      </c>
      <c r="F19" s="2"/>
      <c r="G19" s="2"/>
      <c r="H19" s="2"/>
    </row>
    <row r="20" spans="2:8" ht="13.2" x14ac:dyDescent="0.25">
      <c r="B20" s="2"/>
      <c r="C20" s="49">
        <v>4</v>
      </c>
      <c r="D20" s="49">
        <v>15</v>
      </c>
      <c r="E20" s="49">
        <v>50</v>
      </c>
      <c r="F20" s="2"/>
      <c r="G20" s="2"/>
      <c r="H20" s="2"/>
    </row>
    <row r="21" spans="2:8" ht="13.2" x14ac:dyDescent="0.25">
      <c r="B21" s="2"/>
      <c r="C21" s="49">
        <v>4</v>
      </c>
      <c r="D21" s="49">
        <v>16</v>
      </c>
      <c r="E21" s="49">
        <v>36</v>
      </c>
      <c r="F21" s="2"/>
      <c r="G21" s="2"/>
      <c r="H21" s="2"/>
    </row>
    <row r="22" spans="2:8" ht="13.2" x14ac:dyDescent="0.25">
      <c r="B22" s="2"/>
      <c r="C22" s="49">
        <v>5</v>
      </c>
      <c r="D22" s="52">
        <v>17</v>
      </c>
      <c r="E22" s="52">
        <v>44</v>
      </c>
      <c r="F22" s="2"/>
      <c r="G22" s="2"/>
      <c r="H22" s="2"/>
    </row>
    <row r="23" spans="2:8" ht="13.2" x14ac:dyDescent="0.25">
      <c r="B23" s="2"/>
      <c r="C23" s="49">
        <v>5</v>
      </c>
      <c r="D23" s="49">
        <v>18</v>
      </c>
      <c r="E23" s="49">
        <v>68</v>
      </c>
      <c r="F23" s="2"/>
      <c r="G23" s="2"/>
      <c r="H23" s="2"/>
    </row>
    <row r="24" spans="2:8" ht="13.2" x14ac:dyDescent="0.25">
      <c r="B24" s="2"/>
      <c r="C24" s="49">
        <v>5</v>
      </c>
      <c r="D24" s="49">
        <v>19</v>
      </c>
      <c r="E24" s="49">
        <v>62</v>
      </c>
      <c r="F24" s="2"/>
      <c r="G24" s="2"/>
      <c r="H24" s="2"/>
    </row>
    <row r="25" spans="2:8" ht="13.2" x14ac:dyDescent="0.25">
      <c r="B25" s="2"/>
      <c r="C25" s="49">
        <v>5</v>
      </c>
      <c r="D25" s="49">
        <v>20</v>
      </c>
      <c r="E25" s="59">
        <v>42</v>
      </c>
      <c r="F25" s="2"/>
      <c r="G25" s="2"/>
      <c r="H25" s="2"/>
    </row>
    <row r="26" spans="2:8" ht="13.2" x14ac:dyDescent="0.25">
      <c r="B26" s="2"/>
      <c r="C26" s="49">
        <v>6</v>
      </c>
      <c r="D26" s="52">
        <v>21</v>
      </c>
      <c r="E26" s="49">
        <v>48</v>
      </c>
      <c r="F26" s="2"/>
      <c r="G26" s="2"/>
      <c r="H26" s="2"/>
    </row>
    <row r="27" spans="2:8" ht="13.2" x14ac:dyDescent="0.25">
      <c r="B27" s="2"/>
      <c r="C27" s="49">
        <v>6</v>
      </c>
      <c r="D27" s="49">
        <v>22</v>
      </c>
      <c r="E27" s="49">
        <v>72</v>
      </c>
      <c r="F27" s="2"/>
      <c r="G27" s="2"/>
      <c r="H27" s="2"/>
    </row>
    <row r="28" spans="2:8" ht="13.2" x14ac:dyDescent="0.25">
      <c r="B28" s="2"/>
      <c r="C28" s="49">
        <v>6</v>
      </c>
      <c r="D28" s="49">
        <v>23</v>
      </c>
      <c r="E28" s="49">
        <v>60</v>
      </c>
      <c r="F28" s="2"/>
      <c r="G28" s="2"/>
      <c r="H28" s="2"/>
    </row>
    <row r="29" spans="2:8" ht="13.2" x14ac:dyDescent="0.25">
      <c r="B29" s="2"/>
      <c r="C29" s="49">
        <v>6</v>
      </c>
      <c r="D29" s="49">
        <v>24</v>
      </c>
      <c r="E29" s="49">
        <v>74</v>
      </c>
      <c r="F29" s="2"/>
      <c r="G29" s="2"/>
      <c r="H29" s="2"/>
    </row>
    <row r="30" spans="2:8" ht="13.2" x14ac:dyDescent="0.25">
      <c r="B30" s="2"/>
      <c r="C30" s="49">
        <v>7</v>
      </c>
      <c r="D30" s="52">
        <v>25</v>
      </c>
      <c r="E30" s="52">
        <v>56</v>
      </c>
      <c r="F30" s="2"/>
      <c r="G30" s="2"/>
      <c r="H30" s="2"/>
    </row>
    <row r="31" spans="2:8" ht="13.2" x14ac:dyDescent="0.25">
      <c r="B31" s="2"/>
      <c r="C31" s="49">
        <v>7</v>
      </c>
      <c r="D31" s="49">
        <v>26</v>
      </c>
      <c r="E31" s="49">
        <v>80</v>
      </c>
      <c r="F31" s="2"/>
      <c r="G31" s="2"/>
      <c r="H31" s="2"/>
    </row>
    <row r="32" spans="2:8" ht="13.2" x14ac:dyDescent="0.25">
      <c r="B32" s="2"/>
      <c r="C32" s="49">
        <v>7</v>
      </c>
      <c r="D32" s="49">
        <v>27</v>
      </c>
      <c r="E32" s="49">
        <v>70</v>
      </c>
      <c r="F32" s="2"/>
      <c r="G32" s="2"/>
      <c r="H32" s="2"/>
    </row>
    <row r="33" spans="2:15" ht="13.2" x14ac:dyDescent="0.25">
      <c r="B33" s="2"/>
      <c r="C33" s="59">
        <v>7</v>
      </c>
      <c r="D33" s="59">
        <v>28</v>
      </c>
      <c r="E33" s="59">
        <v>54</v>
      </c>
      <c r="F33" s="2"/>
      <c r="G33" s="2"/>
      <c r="H33" s="2"/>
    </row>
    <row r="34" spans="2:15" ht="15" customHeight="1" x14ac:dyDescent="0.25">
      <c r="B34" s="2"/>
      <c r="C34" s="2"/>
      <c r="D34" s="2"/>
      <c r="E34" s="2"/>
      <c r="F34" s="2"/>
      <c r="G34" s="2"/>
      <c r="H34" s="2"/>
    </row>
    <row r="35" spans="2:15" ht="13.2" x14ac:dyDescent="0.25">
      <c r="B35" s="1" t="s">
        <v>52</v>
      </c>
      <c r="C35" s="1"/>
      <c r="D35" s="1"/>
      <c r="E35" s="1"/>
      <c r="F35" s="1"/>
      <c r="G35" s="1"/>
      <c r="H35" s="1"/>
      <c r="I35" s="1"/>
      <c r="J35" s="1"/>
    </row>
    <row r="36" spans="2:15" ht="13.2" x14ac:dyDescent="0.25">
      <c r="B36" s="314" t="s">
        <v>53</v>
      </c>
      <c r="C36" s="312"/>
      <c r="D36" s="312"/>
      <c r="E36" s="312"/>
      <c r="F36" s="312"/>
      <c r="G36" s="312"/>
      <c r="H36" s="312"/>
      <c r="I36" s="312"/>
      <c r="J36" s="312"/>
    </row>
    <row r="37" spans="2:15" ht="13.2" x14ac:dyDescent="0.25">
      <c r="B37" s="322" t="s">
        <v>54</v>
      </c>
      <c r="C37" s="312"/>
      <c r="D37" s="312"/>
      <c r="E37" s="312"/>
      <c r="F37" s="312"/>
      <c r="G37" s="312"/>
      <c r="H37" s="312"/>
      <c r="I37" s="312"/>
      <c r="J37" s="312"/>
    </row>
    <row r="38" spans="2:15" ht="13.2" x14ac:dyDescent="0.25">
      <c r="B38" s="314" t="s">
        <v>55</v>
      </c>
      <c r="C38" s="312"/>
      <c r="D38" s="312"/>
      <c r="E38" s="312"/>
      <c r="F38" s="312"/>
      <c r="G38" s="312"/>
      <c r="H38" s="312"/>
      <c r="I38" s="312"/>
      <c r="J38" s="312"/>
    </row>
    <row r="39" spans="2:15" ht="13.2" x14ac:dyDescent="0.25">
      <c r="B39" s="314" t="s">
        <v>56</v>
      </c>
      <c r="C39" s="312"/>
      <c r="D39" s="312"/>
      <c r="E39" s="312"/>
      <c r="F39" s="312"/>
      <c r="G39" s="312"/>
      <c r="H39" s="312"/>
      <c r="I39" s="312"/>
      <c r="J39" s="312"/>
    </row>
    <row r="40" spans="2:15" ht="13.2" x14ac:dyDescent="0.25">
      <c r="B40" s="314" t="s">
        <v>57</v>
      </c>
      <c r="C40" s="312"/>
      <c r="D40" s="312"/>
      <c r="E40" s="312"/>
      <c r="F40" s="312"/>
      <c r="G40" s="312"/>
      <c r="H40" s="312"/>
      <c r="I40" s="312"/>
      <c r="J40" s="312"/>
    </row>
    <row r="41" spans="2:15" ht="13.2" x14ac:dyDescent="0.25">
      <c r="B41" s="2"/>
      <c r="C41" s="2"/>
      <c r="D41" s="2"/>
      <c r="E41" s="2"/>
      <c r="F41" s="2"/>
      <c r="G41" s="2"/>
      <c r="H41" s="2"/>
    </row>
    <row r="42" spans="2:15" ht="18.75" customHeight="1" x14ac:dyDescent="0.25">
      <c r="B42" s="90"/>
      <c r="C42" s="90"/>
      <c r="D42" s="91"/>
      <c r="E42" s="91"/>
      <c r="F42" s="91"/>
      <c r="G42" s="91"/>
      <c r="H42" s="91"/>
      <c r="I42" s="91"/>
      <c r="J42" s="9"/>
      <c r="K42" s="9"/>
      <c r="L42" s="9"/>
      <c r="M42" s="9"/>
      <c r="N42" s="9"/>
      <c r="O42" s="9"/>
    </row>
    <row r="43" spans="2:15" ht="18.75" customHeight="1" x14ac:dyDescent="0.25">
      <c r="B43" s="90"/>
      <c r="C43" s="92" t="s">
        <v>58</v>
      </c>
      <c r="D43" s="93">
        <f>SLOPE(H47:H74,C47:C74)</f>
        <v>2.2195292047281501</v>
      </c>
      <c r="E43" s="323" t="s">
        <v>59</v>
      </c>
      <c r="F43" s="324"/>
      <c r="G43" s="94">
        <f>INTERCEPT(H47:H74,C47:C74)</f>
        <v>11.790234095266761</v>
      </c>
      <c r="H43" s="91"/>
      <c r="I43" s="91"/>
      <c r="J43" s="9"/>
      <c r="K43" s="9"/>
      <c r="L43" s="9"/>
      <c r="M43" s="9"/>
      <c r="N43" s="9"/>
      <c r="O43" s="9"/>
    </row>
    <row r="44" spans="2:15" ht="18.75" customHeight="1" x14ac:dyDescent="0.25">
      <c r="B44" s="90"/>
      <c r="C44" s="90"/>
      <c r="D44" s="91"/>
      <c r="E44" s="91"/>
      <c r="F44" s="91"/>
      <c r="G44" s="91"/>
      <c r="H44" s="91"/>
      <c r="I44" s="91"/>
      <c r="J44" s="9"/>
      <c r="K44" s="9"/>
      <c r="L44" s="9"/>
      <c r="M44" s="9"/>
      <c r="N44" s="9"/>
      <c r="O44" s="9"/>
    </row>
    <row r="45" spans="2:15" ht="18.75" customHeight="1" x14ac:dyDescent="0.25">
      <c r="B45" s="90"/>
      <c r="C45" s="90"/>
      <c r="D45" s="91"/>
      <c r="E45" s="91"/>
      <c r="F45" s="91"/>
      <c r="G45" s="91"/>
      <c r="H45" s="91" t="s">
        <v>60</v>
      </c>
      <c r="I45" s="91"/>
      <c r="J45" s="90" t="s">
        <v>61</v>
      </c>
      <c r="K45" s="9"/>
      <c r="L45" s="9"/>
      <c r="M45" s="9"/>
      <c r="N45" s="9"/>
      <c r="O45" s="9"/>
    </row>
    <row r="46" spans="2:15" ht="46.5" customHeight="1" x14ac:dyDescent="0.25">
      <c r="B46" s="72" t="s">
        <v>42</v>
      </c>
      <c r="C46" s="72" t="s">
        <v>51</v>
      </c>
      <c r="D46" s="73" t="s">
        <v>25</v>
      </c>
      <c r="E46" s="95" t="s">
        <v>62</v>
      </c>
      <c r="F46" s="95" t="s">
        <v>63</v>
      </c>
      <c r="G46" s="95" t="s">
        <v>64</v>
      </c>
      <c r="H46" s="96" t="s">
        <v>65</v>
      </c>
      <c r="I46" s="97" t="s">
        <v>66</v>
      </c>
      <c r="J46" s="98" t="s">
        <v>67</v>
      </c>
      <c r="K46" s="9"/>
      <c r="L46" s="9"/>
      <c r="M46" s="9"/>
      <c r="N46" s="9"/>
      <c r="O46" s="9"/>
    </row>
    <row r="47" spans="2:15" ht="13.2" x14ac:dyDescent="0.25">
      <c r="B47" s="52">
        <v>1</v>
      </c>
      <c r="C47" s="52">
        <v>1</v>
      </c>
      <c r="D47" s="52">
        <v>12</v>
      </c>
      <c r="E47" s="52"/>
      <c r="F47" s="52"/>
      <c r="G47" s="99">
        <v>0.90831661951255804</v>
      </c>
      <c r="H47" s="100">
        <f>D47/G47</f>
        <v>13.211252268443264</v>
      </c>
      <c r="I47" s="100">
        <f t="shared" ref="I47:I78" si="0">C47*$D$43+$G$43</f>
        <v>14.009763299994912</v>
      </c>
      <c r="J47" s="101">
        <f>I47*G47</f>
        <v>12.725300840822477</v>
      </c>
    </row>
    <row r="48" spans="2:15" ht="13.2" x14ac:dyDescent="0.25">
      <c r="B48" s="49">
        <v>1</v>
      </c>
      <c r="C48" s="49">
        <v>2</v>
      </c>
      <c r="D48" s="49">
        <v>30</v>
      </c>
      <c r="E48" s="55">
        <f>AVERAGE(D47:D49)</f>
        <v>20.666666666666668</v>
      </c>
      <c r="F48" s="55">
        <f>D48/E48</f>
        <v>1.4516129032258063</v>
      </c>
      <c r="G48" s="102">
        <f t="shared" ref="G48:G50" si="1">AVERAGE(F48,F52,F56,F60,F64,F68,F72)</f>
        <v>1.2208585202408884</v>
      </c>
      <c r="H48" s="103">
        <f t="shared" ref="H48:H74" si="2">D48/G48</f>
        <v>24.57287187878304</v>
      </c>
      <c r="I48" s="55">
        <f t="shared" si="0"/>
        <v>16.229292504723063</v>
      </c>
      <c r="J48" s="101">
        <f t="shared" ref="J48:J78" si="3">I48*G48</f>
        <v>19.813670031872739</v>
      </c>
      <c r="K48" s="104"/>
    </row>
    <row r="49" spans="2:12" ht="13.2" x14ac:dyDescent="0.25">
      <c r="B49" s="49">
        <v>1</v>
      </c>
      <c r="C49" s="49">
        <v>3</v>
      </c>
      <c r="D49" s="49">
        <v>20</v>
      </c>
      <c r="E49" s="55">
        <f>AVERAGE(D48:D50)</f>
        <v>19.333333333333332</v>
      </c>
      <c r="F49" s="55">
        <f t="shared" ref="F49:F74" si="4">D49/E49</f>
        <v>1.0344827586206897</v>
      </c>
      <c r="G49" s="102">
        <f t="shared" si="1"/>
        <v>1.0572020440142551</v>
      </c>
      <c r="H49" s="103">
        <f t="shared" si="2"/>
        <v>18.917859753712627</v>
      </c>
      <c r="I49" s="55">
        <f t="shared" si="0"/>
        <v>18.448821709451209</v>
      </c>
      <c r="J49" s="101">
        <f t="shared" si="3"/>
        <v>19.504132020886384</v>
      </c>
      <c r="K49" s="104"/>
    </row>
    <row r="50" spans="2:12" ht="13.2" x14ac:dyDescent="0.25">
      <c r="B50" s="49">
        <v>1</v>
      </c>
      <c r="C50" s="49">
        <v>4</v>
      </c>
      <c r="D50" s="59">
        <v>8</v>
      </c>
      <c r="E50" s="60">
        <f t="shared" ref="E50:E73" si="5">AVERAGE(D49:D51)</f>
        <v>16</v>
      </c>
      <c r="F50" s="60">
        <f t="shared" si="4"/>
        <v>0.5</v>
      </c>
      <c r="G50" s="102">
        <f t="shared" si="1"/>
        <v>0.77844362767962083</v>
      </c>
      <c r="H50" s="103">
        <f t="shared" si="2"/>
        <v>10.276916292379889</v>
      </c>
      <c r="I50" s="55">
        <f t="shared" si="0"/>
        <v>20.668350914179364</v>
      </c>
      <c r="J50" s="101">
        <f t="shared" si="3"/>
        <v>16.08914606378919</v>
      </c>
    </row>
    <row r="51" spans="2:12" ht="13.2" x14ac:dyDescent="0.25">
      <c r="B51" s="52">
        <v>2</v>
      </c>
      <c r="C51" s="52">
        <v>5</v>
      </c>
      <c r="D51" s="49">
        <v>20</v>
      </c>
      <c r="E51" s="77">
        <f t="shared" si="5"/>
        <v>21.333333333333332</v>
      </c>
      <c r="F51" s="77">
        <f t="shared" si="4"/>
        <v>0.9375</v>
      </c>
      <c r="G51" s="99">
        <f>AVERAGE(F51,F55,F59,F63,F67,F71)</f>
        <v>0.90831661951255771</v>
      </c>
      <c r="H51" s="100">
        <f t="shared" si="2"/>
        <v>22.018753780738781</v>
      </c>
      <c r="I51" s="55">
        <f t="shared" si="0"/>
        <v>22.887880118907511</v>
      </c>
      <c r="J51" s="101">
        <f t="shared" si="3"/>
        <v>20.789441897414747</v>
      </c>
    </row>
    <row r="52" spans="2:12" ht="13.2" x14ac:dyDescent="0.25">
      <c r="B52" s="49">
        <v>2</v>
      </c>
      <c r="C52" s="49">
        <v>6</v>
      </c>
      <c r="D52" s="49">
        <v>36</v>
      </c>
      <c r="E52" s="55">
        <f t="shared" si="5"/>
        <v>28.666666666666668</v>
      </c>
      <c r="F52" s="55">
        <f t="shared" si="4"/>
        <v>1.2558139534883721</v>
      </c>
      <c r="G52" s="102">
        <v>1.2208585202408884</v>
      </c>
      <c r="H52" s="103">
        <f t="shared" si="2"/>
        <v>29.487446254539648</v>
      </c>
      <c r="I52" s="55">
        <f t="shared" si="0"/>
        <v>25.107409323635661</v>
      </c>
      <c r="J52" s="101">
        <f t="shared" si="3"/>
        <v>30.652594593936119</v>
      </c>
      <c r="K52" s="1"/>
      <c r="L52" s="1"/>
    </row>
    <row r="53" spans="2:12" ht="13.2" x14ac:dyDescent="0.25">
      <c r="B53" s="49">
        <v>2</v>
      </c>
      <c r="C53" s="49">
        <v>7</v>
      </c>
      <c r="D53" s="49">
        <v>30</v>
      </c>
      <c r="E53" s="55">
        <f t="shared" si="5"/>
        <v>26.666666666666668</v>
      </c>
      <c r="F53" s="55">
        <f t="shared" si="4"/>
        <v>1.125</v>
      </c>
      <c r="G53" s="102">
        <v>1.0572020440142551</v>
      </c>
      <c r="H53" s="103">
        <f t="shared" si="2"/>
        <v>28.376789630568936</v>
      </c>
      <c r="I53" s="55">
        <f t="shared" si="0"/>
        <v>27.326938528363812</v>
      </c>
      <c r="J53" s="101">
        <f t="shared" si="3"/>
        <v>28.89009526883812</v>
      </c>
      <c r="K53" s="1"/>
      <c r="L53" s="1"/>
    </row>
    <row r="54" spans="2:12" ht="13.2" x14ac:dyDescent="0.25">
      <c r="B54" s="49">
        <v>2</v>
      </c>
      <c r="C54" s="49">
        <v>8</v>
      </c>
      <c r="D54" s="49">
        <v>14</v>
      </c>
      <c r="E54" s="60">
        <f t="shared" si="5"/>
        <v>24</v>
      </c>
      <c r="F54" s="60">
        <f t="shared" si="4"/>
        <v>0.58333333333333337</v>
      </c>
      <c r="G54" s="105">
        <v>0.77844362767962083</v>
      </c>
      <c r="H54" s="103">
        <f t="shared" si="2"/>
        <v>17.984603511664808</v>
      </c>
      <c r="I54" s="55">
        <f t="shared" si="0"/>
        <v>29.546467733091962</v>
      </c>
      <c r="J54" s="101">
        <f t="shared" si="3"/>
        <v>23.000259527266969</v>
      </c>
    </row>
    <row r="55" spans="2:12" ht="13.2" x14ac:dyDescent="0.25">
      <c r="B55" s="52">
        <v>3</v>
      </c>
      <c r="C55" s="52">
        <v>9</v>
      </c>
      <c r="D55" s="52">
        <v>28</v>
      </c>
      <c r="E55" s="77">
        <f>AVERAGE(D54:D56)</f>
        <v>29</v>
      </c>
      <c r="F55" s="77">
        <f t="shared" si="4"/>
        <v>0.96551724137931039</v>
      </c>
      <c r="G55" s="99">
        <v>0.90831661951255771</v>
      </c>
      <c r="H55" s="100">
        <f t="shared" si="2"/>
        <v>30.826255293034293</v>
      </c>
      <c r="I55" s="55">
        <f t="shared" si="0"/>
        <v>31.765996937820113</v>
      </c>
      <c r="J55" s="101">
        <f t="shared" si="3"/>
        <v>28.853582954007024</v>
      </c>
    </row>
    <row r="56" spans="2:12" ht="13.2" x14ac:dyDescent="0.25">
      <c r="B56" s="49">
        <v>3</v>
      </c>
      <c r="C56" s="49">
        <v>10</v>
      </c>
      <c r="D56" s="49">
        <v>45</v>
      </c>
      <c r="E56" s="55">
        <f t="shared" si="5"/>
        <v>39.666666666666664</v>
      </c>
      <c r="F56" s="55">
        <f t="shared" si="4"/>
        <v>1.134453781512605</v>
      </c>
      <c r="G56" s="102">
        <v>1.2208585202408884</v>
      </c>
      <c r="H56" s="103">
        <f t="shared" si="2"/>
        <v>36.859307818174557</v>
      </c>
      <c r="I56" s="55">
        <f t="shared" si="0"/>
        <v>33.985526142548267</v>
      </c>
      <c r="J56" s="101">
        <f t="shared" si="3"/>
        <v>41.491519155999505</v>
      </c>
    </row>
    <row r="57" spans="2:12" ht="13.2" x14ac:dyDescent="0.25">
      <c r="B57" s="49">
        <v>3</v>
      </c>
      <c r="C57" s="49">
        <v>11</v>
      </c>
      <c r="D57" s="49">
        <v>46</v>
      </c>
      <c r="E57" s="55">
        <f t="shared" si="5"/>
        <v>38.333333333333336</v>
      </c>
      <c r="F57" s="55">
        <f t="shared" si="4"/>
        <v>1.2</v>
      </c>
      <c r="G57" s="102">
        <v>1.0572020440142551</v>
      </c>
      <c r="H57" s="103">
        <f t="shared" si="2"/>
        <v>43.511077433539036</v>
      </c>
      <c r="I57" s="55">
        <f t="shared" si="0"/>
        <v>36.205055347276414</v>
      </c>
      <c r="J57" s="101">
        <f t="shared" si="3"/>
        <v>38.27605851678986</v>
      </c>
    </row>
    <row r="58" spans="2:12" ht="13.2" x14ac:dyDescent="0.25">
      <c r="B58" s="49">
        <v>3</v>
      </c>
      <c r="C58" s="49">
        <v>12</v>
      </c>
      <c r="D58" s="59">
        <v>24</v>
      </c>
      <c r="E58" s="60">
        <f t="shared" si="5"/>
        <v>36</v>
      </c>
      <c r="F58" s="60">
        <f t="shared" si="4"/>
        <v>0.66666666666666663</v>
      </c>
      <c r="G58" s="105">
        <v>0.77844362767962083</v>
      </c>
      <c r="H58" s="103">
        <f t="shared" si="2"/>
        <v>30.830748877139669</v>
      </c>
      <c r="I58" s="55">
        <f t="shared" si="0"/>
        <v>38.424584552004561</v>
      </c>
      <c r="J58" s="101">
        <f t="shared" si="3"/>
        <v>29.911372990744749</v>
      </c>
    </row>
    <row r="59" spans="2:12" ht="13.2" x14ac:dyDescent="0.25">
      <c r="B59" s="52">
        <v>4</v>
      </c>
      <c r="C59" s="52">
        <v>13</v>
      </c>
      <c r="D59" s="49">
        <v>38</v>
      </c>
      <c r="E59" s="77">
        <f t="shared" si="5"/>
        <v>39.333333333333336</v>
      </c>
      <c r="F59" s="77">
        <f t="shared" si="4"/>
        <v>0.96610169491525422</v>
      </c>
      <c r="G59" s="99">
        <v>0.90831661951255771</v>
      </c>
      <c r="H59" s="100">
        <f t="shared" si="2"/>
        <v>41.835632183403689</v>
      </c>
      <c r="I59" s="55">
        <f t="shared" si="0"/>
        <v>40.644113756732708</v>
      </c>
      <c r="J59" s="101">
        <f t="shared" si="3"/>
        <v>36.917724010599294</v>
      </c>
    </row>
    <row r="60" spans="2:12" ht="13.2" x14ac:dyDescent="0.25">
      <c r="B60" s="49">
        <v>4</v>
      </c>
      <c r="C60" s="49">
        <v>14</v>
      </c>
      <c r="D60" s="49">
        <v>56</v>
      </c>
      <c r="E60" s="55">
        <f t="shared" si="5"/>
        <v>48</v>
      </c>
      <c r="F60" s="55">
        <f t="shared" si="4"/>
        <v>1.1666666666666667</v>
      </c>
      <c r="G60" s="102">
        <v>1.2208585202408884</v>
      </c>
      <c r="H60" s="103">
        <f t="shared" si="2"/>
        <v>45.869360840395004</v>
      </c>
      <c r="I60" s="55">
        <f t="shared" si="0"/>
        <v>42.863642961460862</v>
      </c>
      <c r="J60" s="101">
        <f t="shared" si="3"/>
        <v>52.330443718062881</v>
      </c>
    </row>
    <row r="61" spans="2:12" ht="13.2" x14ac:dyDescent="0.25">
      <c r="B61" s="49">
        <v>4</v>
      </c>
      <c r="C61" s="49">
        <v>15</v>
      </c>
      <c r="D61" s="49">
        <v>50</v>
      </c>
      <c r="E61" s="55">
        <f t="shared" si="5"/>
        <v>47.333333333333336</v>
      </c>
      <c r="F61" s="55">
        <f t="shared" si="4"/>
        <v>1.056338028169014</v>
      </c>
      <c r="G61" s="102">
        <v>1.0572020440142551</v>
      </c>
      <c r="H61" s="103">
        <f t="shared" si="2"/>
        <v>47.294649384281563</v>
      </c>
      <c r="I61" s="55">
        <f t="shared" si="0"/>
        <v>45.083172166189016</v>
      </c>
      <c r="J61" s="101">
        <f t="shared" si="3"/>
        <v>47.662021764741603</v>
      </c>
    </row>
    <row r="62" spans="2:12" ht="13.2" x14ac:dyDescent="0.25">
      <c r="B62" s="49">
        <v>4</v>
      </c>
      <c r="C62" s="49">
        <v>16</v>
      </c>
      <c r="D62" s="49">
        <v>36</v>
      </c>
      <c r="E62" s="60">
        <f t="shared" si="5"/>
        <v>43.333333333333336</v>
      </c>
      <c r="F62" s="60">
        <f t="shared" si="4"/>
        <v>0.8307692307692307</v>
      </c>
      <c r="G62" s="105">
        <v>0.77844362767962083</v>
      </c>
      <c r="H62" s="103">
        <f t="shared" si="2"/>
        <v>46.246123315709504</v>
      </c>
      <c r="I62" s="55">
        <f t="shared" si="0"/>
        <v>47.302701370917163</v>
      </c>
      <c r="J62" s="101">
        <f t="shared" si="3"/>
        <v>36.822486454222528</v>
      </c>
    </row>
    <row r="63" spans="2:12" ht="13.2" x14ac:dyDescent="0.25">
      <c r="B63" s="52">
        <v>5</v>
      </c>
      <c r="C63" s="52">
        <v>17</v>
      </c>
      <c r="D63" s="52">
        <v>44</v>
      </c>
      <c r="E63" s="77">
        <f t="shared" si="5"/>
        <v>49.333333333333336</v>
      </c>
      <c r="F63" s="77">
        <f t="shared" si="4"/>
        <v>0.89189189189189189</v>
      </c>
      <c r="G63" s="99">
        <v>0.90831661951255771</v>
      </c>
      <c r="H63" s="100">
        <f t="shared" si="2"/>
        <v>48.441258317625319</v>
      </c>
      <c r="I63" s="55">
        <f t="shared" si="0"/>
        <v>49.52223057564531</v>
      </c>
      <c r="J63" s="101">
        <f t="shared" si="3"/>
        <v>44.981865067191571</v>
      </c>
    </row>
    <row r="64" spans="2:12" ht="13.2" x14ac:dyDescent="0.25">
      <c r="B64" s="49">
        <v>5</v>
      </c>
      <c r="C64" s="49">
        <v>18</v>
      </c>
      <c r="D64" s="49">
        <v>68</v>
      </c>
      <c r="E64" s="55">
        <f t="shared" si="5"/>
        <v>58</v>
      </c>
      <c r="F64" s="55">
        <f t="shared" si="4"/>
        <v>1.1724137931034482</v>
      </c>
      <c r="G64" s="102">
        <v>1.2208585202408884</v>
      </c>
      <c r="H64" s="103">
        <f t="shared" si="2"/>
        <v>55.69850959190822</v>
      </c>
      <c r="I64" s="55">
        <f t="shared" si="0"/>
        <v>51.741759780373464</v>
      </c>
      <c r="J64" s="101">
        <f t="shared" si="3"/>
        <v>63.169368280126257</v>
      </c>
    </row>
    <row r="65" spans="2:10" ht="13.2" x14ac:dyDescent="0.25">
      <c r="B65" s="49">
        <v>5</v>
      </c>
      <c r="C65" s="49">
        <v>19</v>
      </c>
      <c r="D65" s="49">
        <v>62</v>
      </c>
      <c r="E65" s="55">
        <f t="shared" si="5"/>
        <v>57.333333333333336</v>
      </c>
      <c r="F65" s="55">
        <f t="shared" si="4"/>
        <v>1.0813953488372092</v>
      </c>
      <c r="G65" s="102">
        <v>1.0572020440142551</v>
      </c>
      <c r="H65" s="103">
        <f t="shared" si="2"/>
        <v>58.645365236509136</v>
      </c>
      <c r="I65" s="55">
        <f t="shared" si="0"/>
        <v>53.961288985101611</v>
      </c>
      <c r="J65" s="101">
        <f t="shared" si="3"/>
        <v>57.047985012693331</v>
      </c>
    </row>
    <row r="66" spans="2:10" ht="13.2" x14ac:dyDescent="0.25">
      <c r="B66" s="49">
        <v>5</v>
      </c>
      <c r="C66" s="49">
        <v>20</v>
      </c>
      <c r="D66" s="59">
        <v>42</v>
      </c>
      <c r="E66" s="60">
        <f t="shared" si="5"/>
        <v>50.666666666666664</v>
      </c>
      <c r="F66" s="60">
        <f t="shared" si="4"/>
        <v>0.82894736842105265</v>
      </c>
      <c r="G66" s="105">
        <v>0.77844362767962083</v>
      </c>
      <c r="H66" s="103">
        <f t="shared" si="2"/>
        <v>53.953810534994417</v>
      </c>
      <c r="I66" s="55">
        <f t="shared" si="0"/>
        <v>56.180818189829765</v>
      </c>
      <c r="J66" s="101">
        <f t="shared" si="3"/>
        <v>43.73359991770031</v>
      </c>
    </row>
    <row r="67" spans="2:10" ht="13.2" x14ac:dyDescent="0.25">
      <c r="B67" s="52">
        <v>6</v>
      </c>
      <c r="C67" s="52">
        <v>21</v>
      </c>
      <c r="D67" s="49">
        <v>48</v>
      </c>
      <c r="E67" s="77">
        <f t="shared" si="5"/>
        <v>54</v>
      </c>
      <c r="F67" s="77">
        <f t="shared" si="4"/>
        <v>0.88888888888888884</v>
      </c>
      <c r="G67" s="99">
        <v>0.90831661951255771</v>
      </c>
      <c r="H67" s="100">
        <f t="shared" si="2"/>
        <v>52.845009073773078</v>
      </c>
      <c r="I67" s="55">
        <f t="shared" si="0"/>
        <v>58.400347394557912</v>
      </c>
      <c r="J67" s="101">
        <f t="shared" si="3"/>
        <v>53.046006123783847</v>
      </c>
    </row>
    <row r="68" spans="2:10" ht="13.2" x14ac:dyDescent="0.25">
      <c r="B68" s="49">
        <v>6</v>
      </c>
      <c r="C68" s="49">
        <v>22</v>
      </c>
      <c r="D68" s="49">
        <v>72</v>
      </c>
      <c r="E68" s="55">
        <f t="shared" si="5"/>
        <v>60</v>
      </c>
      <c r="F68" s="55">
        <f t="shared" si="4"/>
        <v>1.2</v>
      </c>
      <c r="G68" s="102">
        <v>1.2208585202408884</v>
      </c>
      <c r="H68" s="103">
        <f t="shared" si="2"/>
        <v>58.974892509079297</v>
      </c>
      <c r="I68" s="55">
        <f t="shared" si="0"/>
        <v>60.619876599286066</v>
      </c>
      <c r="J68" s="101">
        <f t="shared" si="3"/>
        <v>74.008292842189647</v>
      </c>
    </row>
    <row r="69" spans="2:10" ht="13.2" x14ac:dyDescent="0.25">
      <c r="B69" s="49">
        <v>6</v>
      </c>
      <c r="C69" s="49">
        <v>23</v>
      </c>
      <c r="D69" s="49">
        <v>60</v>
      </c>
      <c r="E69" s="55">
        <f t="shared" si="5"/>
        <v>68.666666666666671</v>
      </c>
      <c r="F69" s="55">
        <f t="shared" si="4"/>
        <v>0.87378640776699024</v>
      </c>
      <c r="G69" s="102">
        <v>1.0572020440142551</v>
      </c>
      <c r="H69" s="103">
        <f t="shared" si="2"/>
        <v>56.753579261137872</v>
      </c>
      <c r="I69" s="55">
        <f t="shared" si="0"/>
        <v>62.839405804014213</v>
      </c>
      <c r="J69" s="101">
        <f t="shared" si="3"/>
        <v>66.433948260645067</v>
      </c>
    </row>
    <row r="70" spans="2:10" ht="13.2" x14ac:dyDescent="0.25">
      <c r="B70" s="49">
        <v>6</v>
      </c>
      <c r="C70" s="49">
        <v>24</v>
      </c>
      <c r="D70" s="49">
        <v>74</v>
      </c>
      <c r="E70" s="60">
        <f t="shared" si="5"/>
        <v>63.333333333333336</v>
      </c>
      <c r="F70" s="60">
        <f t="shared" si="4"/>
        <v>1.1684210526315788</v>
      </c>
      <c r="G70" s="105">
        <v>0.77844362767962083</v>
      </c>
      <c r="H70" s="103">
        <f t="shared" si="2"/>
        <v>95.061475704513981</v>
      </c>
      <c r="I70" s="55">
        <f t="shared" si="0"/>
        <v>65.058935008742367</v>
      </c>
      <c r="J70" s="101">
        <f t="shared" si="3"/>
        <v>50.644713381178093</v>
      </c>
    </row>
    <row r="71" spans="2:10" ht="13.2" x14ac:dyDescent="0.25">
      <c r="B71" s="52">
        <v>7</v>
      </c>
      <c r="C71" s="52">
        <v>25</v>
      </c>
      <c r="D71" s="52">
        <v>56</v>
      </c>
      <c r="E71" s="77">
        <f t="shared" si="5"/>
        <v>70</v>
      </c>
      <c r="F71" s="77">
        <f t="shared" si="4"/>
        <v>0.8</v>
      </c>
      <c r="G71" s="99">
        <v>0.90831661951255771</v>
      </c>
      <c r="H71" s="100">
        <f t="shared" si="2"/>
        <v>61.652510586068587</v>
      </c>
      <c r="I71" s="55">
        <f t="shared" si="0"/>
        <v>67.278464213470514</v>
      </c>
      <c r="J71" s="101">
        <f t="shared" si="3"/>
        <v>61.110147180376124</v>
      </c>
    </row>
    <row r="72" spans="2:10" ht="13.2" x14ac:dyDescent="0.25">
      <c r="B72" s="49">
        <v>7</v>
      </c>
      <c r="C72" s="49">
        <v>26</v>
      </c>
      <c r="D72" s="49">
        <v>80</v>
      </c>
      <c r="E72" s="55">
        <f t="shared" si="5"/>
        <v>68.666666666666671</v>
      </c>
      <c r="F72" s="55">
        <f t="shared" si="4"/>
        <v>1.1650485436893203</v>
      </c>
      <c r="G72" s="102">
        <v>1.2208585202408884</v>
      </c>
      <c r="H72" s="103">
        <f t="shared" si="2"/>
        <v>65.527658343421436</v>
      </c>
      <c r="I72" s="55">
        <f t="shared" si="0"/>
        <v>69.497993418198661</v>
      </c>
      <c r="J72" s="101">
        <f t="shared" si="3"/>
        <v>84.847217404253016</v>
      </c>
    </row>
    <row r="73" spans="2:10" ht="13.2" x14ac:dyDescent="0.25">
      <c r="B73" s="49">
        <v>7</v>
      </c>
      <c r="C73" s="49">
        <v>27</v>
      </c>
      <c r="D73" s="49">
        <v>70</v>
      </c>
      <c r="E73" s="55">
        <f t="shared" si="5"/>
        <v>68</v>
      </c>
      <c r="F73" s="55">
        <f t="shared" si="4"/>
        <v>1.0294117647058822</v>
      </c>
      <c r="G73" s="102">
        <v>1.0572020440142551</v>
      </c>
      <c r="H73" s="103">
        <f t="shared" si="2"/>
        <v>66.212509137994189</v>
      </c>
      <c r="I73" s="103">
        <f t="shared" si="0"/>
        <v>71.717522622926822</v>
      </c>
      <c r="J73" s="101">
        <f t="shared" si="3"/>
        <v>75.819911508596817</v>
      </c>
    </row>
    <row r="74" spans="2:10" ht="13.2" x14ac:dyDescent="0.25">
      <c r="B74" s="59">
        <v>7</v>
      </c>
      <c r="C74" s="59">
        <v>28</v>
      </c>
      <c r="D74" s="59">
        <v>54</v>
      </c>
      <c r="E74" s="60">
        <f>AVERAGE(D73:D75)</f>
        <v>62</v>
      </c>
      <c r="F74" s="60">
        <f t="shared" si="4"/>
        <v>0.87096774193548387</v>
      </c>
      <c r="G74" s="105">
        <v>0.77844362767962083</v>
      </c>
      <c r="H74" s="106">
        <f t="shared" si="2"/>
        <v>69.369184973564259</v>
      </c>
      <c r="I74" s="103">
        <f t="shared" si="0"/>
        <v>73.937051827654955</v>
      </c>
      <c r="J74" s="101">
        <f t="shared" si="3"/>
        <v>57.555826844655861</v>
      </c>
    </row>
    <row r="75" spans="2:10" ht="13.2" x14ac:dyDescent="0.25">
      <c r="B75" s="107">
        <v>8</v>
      </c>
      <c r="C75" s="107">
        <v>29</v>
      </c>
      <c r="D75" s="76"/>
      <c r="E75" s="76"/>
      <c r="F75" s="76"/>
      <c r="G75" s="108">
        <v>0.90831661951255771</v>
      </c>
      <c r="H75" s="321" t="s">
        <v>68</v>
      </c>
      <c r="I75" s="109">
        <f t="shared" si="0"/>
        <v>76.156581032383116</v>
      </c>
      <c r="J75" s="110">
        <f t="shared" si="3"/>
        <v>69.174288236968408</v>
      </c>
    </row>
    <row r="76" spans="2:10" ht="13.2" x14ac:dyDescent="0.25">
      <c r="B76" s="111">
        <v>8</v>
      </c>
      <c r="C76" s="111">
        <v>30</v>
      </c>
      <c r="D76" s="2"/>
      <c r="E76" s="2"/>
      <c r="F76" s="2"/>
      <c r="G76" s="101">
        <v>1.2208585202408884</v>
      </c>
      <c r="H76" s="312"/>
      <c r="I76" s="112">
        <f t="shared" si="0"/>
        <v>78.376110237111277</v>
      </c>
      <c r="J76" s="113">
        <f t="shared" si="3"/>
        <v>95.686141966316413</v>
      </c>
    </row>
    <row r="77" spans="2:10" ht="13.2" x14ac:dyDescent="0.25">
      <c r="B77" s="111">
        <v>8</v>
      </c>
      <c r="C77" s="111">
        <v>31</v>
      </c>
      <c r="D77" s="2"/>
      <c r="E77" s="2"/>
      <c r="F77" s="2"/>
      <c r="G77" s="101">
        <v>1.0572020440142551</v>
      </c>
      <c r="H77" s="312"/>
      <c r="I77" s="112">
        <f t="shared" si="0"/>
        <v>80.59563944183941</v>
      </c>
      <c r="J77" s="113">
        <f t="shared" si="3"/>
        <v>85.205874756548539</v>
      </c>
    </row>
    <row r="78" spans="2:10" ht="13.2" x14ac:dyDescent="0.25">
      <c r="B78" s="114">
        <v>8</v>
      </c>
      <c r="C78" s="114">
        <v>32</v>
      </c>
      <c r="D78" s="89"/>
      <c r="E78" s="89"/>
      <c r="F78" s="89"/>
      <c r="G78" s="115">
        <v>0.77844362767962083</v>
      </c>
      <c r="H78" s="316"/>
      <c r="I78" s="116">
        <f t="shared" si="0"/>
        <v>82.815168646567571</v>
      </c>
      <c r="J78" s="117">
        <f t="shared" si="3"/>
        <v>64.466940308133658</v>
      </c>
    </row>
    <row r="79" spans="2:10" ht="13.2" x14ac:dyDescent="0.25">
      <c r="B79" s="2"/>
      <c r="C79" s="2"/>
      <c r="D79" s="2"/>
      <c r="E79" s="2"/>
      <c r="F79" s="2"/>
      <c r="G79" s="2"/>
      <c r="H79" s="2"/>
    </row>
    <row r="80" spans="2:10" ht="13.2" x14ac:dyDescent="0.25">
      <c r="B80" s="2"/>
      <c r="C80" s="2"/>
      <c r="D80" s="2"/>
      <c r="E80" s="2"/>
      <c r="F80" s="2"/>
      <c r="G80" s="2"/>
      <c r="H80" s="2"/>
    </row>
    <row r="81" spans="2:8" ht="13.2" x14ac:dyDescent="0.25">
      <c r="B81" s="81" t="s">
        <v>43</v>
      </c>
      <c r="C81" s="2"/>
      <c r="D81" s="2"/>
      <c r="E81" s="2"/>
      <c r="F81" s="2"/>
      <c r="G81" s="2"/>
      <c r="H81" s="2"/>
    </row>
    <row r="82" spans="2:8" ht="13.2" x14ac:dyDescent="0.25">
      <c r="B82" s="2"/>
      <c r="C82" s="2"/>
      <c r="D82" s="2"/>
      <c r="E82" s="2"/>
      <c r="F82" s="2"/>
      <c r="G82" s="2"/>
      <c r="H82" s="2"/>
    </row>
    <row r="83" spans="2:8" ht="13.2" x14ac:dyDescent="0.25">
      <c r="B83" s="2"/>
      <c r="C83" s="2"/>
      <c r="D83" s="2"/>
      <c r="E83" s="2"/>
      <c r="F83" s="2"/>
      <c r="G83" s="2"/>
      <c r="H83" s="2"/>
    </row>
    <row r="84" spans="2:8" ht="13.2" x14ac:dyDescent="0.25">
      <c r="B84" s="2"/>
      <c r="C84" s="2"/>
      <c r="D84" s="2"/>
      <c r="E84" s="2"/>
      <c r="F84" s="2"/>
      <c r="G84" s="2"/>
      <c r="H84" s="2"/>
    </row>
    <row r="85" spans="2:8" ht="13.2" x14ac:dyDescent="0.25">
      <c r="B85" s="2"/>
      <c r="C85" s="2"/>
      <c r="D85" s="2"/>
      <c r="E85" s="2"/>
      <c r="F85" s="2"/>
      <c r="G85" s="2"/>
      <c r="H85" s="2"/>
    </row>
    <row r="86" spans="2:8" ht="13.2" x14ac:dyDescent="0.25">
      <c r="B86" s="2"/>
      <c r="C86" s="2"/>
      <c r="D86" s="2"/>
      <c r="E86" s="2"/>
      <c r="F86" s="2"/>
      <c r="G86" s="2"/>
      <c r="H86" s="2"/>
    </row>
    <row r="87" spans="2:8" ht="13.2" x14ac:dyDescent="0.25">
      <c r="B87" s="2"/>
      <c r="C87" s="2"/>
      <c r="D87" s="2"/>
      <c r="E87" s="2"/>
      <c r="F87" s="2"/>
      <c r="G87" s="2"/>
      <c r="H87" s="2"/>
    </row>
    <row r="88" spans="2:8" ht="13.2" x14ac:dyDescent="0.25">
      <c r="B88" s="2"/>
      <c r="C88" s="2"/>
      <c r="D88" s="2"/>
      <c r="E88" s="2"/>
      <c r="F88" s="2"/>
      <c r="G88" s="2"/>
      <c r="H88" s="2"/>
    </row>
    <row r="89" spans="2:8" ht="13.2" x14ac:dyDescent="0.25">
      <c r="B89" s="2"/>
      <c r="C89" s="2"/>
      <c r="D89" s="2"/>
      <c r="E89" s="2"/>
      <c r="F89" s="2"/>
      <c r="G89" s="2"/>
      <c r="H89" s="2"/>
    </row>
    <row r="90" spans="2:8" ht="13.2" x14ac:dyDescent="0.25">
      <c r="B90" s="2"/>
      <c r="C90" s="2"/>
      <c r="D90" s="2"/>
      <c r="E90" s="2"/>
      <c r="F90" s="2"/>
      <c r="G90" s="2"/>
      <c r="H90" s="2"/>
    </row>
    <row r="91" spans="2:8" ht="13.2" x14ac:dyDescent="0.25">
      <c r="B91" s="2"/>
      <c r="C91" s="2"/>
      <c r="D91" s="2"/>
      <c r="E91" s="2"/>
      <c r="F91" s="2"/>
      <c r="G91" s="2"/>
      <c r="H91" s="2"/>
    </row>
    <row r="92" spans="2:8" ht="13.2" x14ac:dyDescent="0.25">
      <c r="B92" s="2"/>
      <c r="C92" s="2"/>
      <c r="D92" s="2"/>
      <c r="E92" s="2"/>
      <c r="F92" s="2"/>
      <c r="G92" s="2"/>
      <c r="H92" s="2"/>
    </row>
    <row r="93" spans="2:8" ht="13.2" x14ac:dyDescent="0.25">
      <c r="B93" s="2"/>
      <c r="C93" s="2"/>
      <c r="D93" s="2"/>
      <c r="E93" s="2"/>
      <c r="F93" s="2"/>
      <c r="G93" s="2"/>
      <c r="H93" s="2"/>
    </row>
    <row r="94" spans="2:8" ht="13.2" x14ac:dyDescent="0.25">
      <c r="B94" s="81" t="s">
        <v>16</v>
      </c>
      <c r="C94" s="75" t="s">
        <v>69</v>
      </c>
      <c r="D94" s="118">
        <v>0.90831661951255771</v>
      </c>
      <c r="E94" s="2"/>
      <c r="F94" s="2"/>
      <c r="G94" s="2"/>
      <c r="H94" s="2"/>
    </row>
    <row r="95" spans="2:8" ht="13.2" x14ac:dyDescent="0.25">
      <c r="B95" s="81"/>
      <c r="C95" s="78" t="s">
        <v>70</v>
      </c>
      <c r="D95" s="119">
        <v>1.2208585202408884</v>
      </c>
      <c r="E95" s="2"/>
      <c r="F95" s="2"/>
      <c r="G95" s="2"/>
      <c r="H95" s="2"/>
    </row>
    <row r="96" spans="2:8" ht="13.2" x14ac:dyDescent="0.25">
      <c r="B96" s="81"/>
      <c r="C96" s="78" t="s">
        <v>71</v>
      </c>
      <c r="D96" s="119">
        <v>1.0572020440142551</v>
      </c>
      <c r="E96" s="2"/>
      <c r="F96" s="2"/>
      <c r="G96" s="2"/>
      <c r="H96" s="2"/>
    </row>
    <row r="97" spans="2:8" ht="13.2" x14ac:dyDescent="0.25">
      <c r="B97" s="81"/>
      <c r="C97" s="88" t="s">
        <v>72</v>
      </c>
      <c r="D97" s="120">
        <v>0.77844362767962083</v>
      </c>
      <c r="E97" s="2"/>
      <c r="F97" s="2"/>
      <c r="G97" s="2"/>
      <c r="H97" s="2"/>
    </row>
    <row r="98" spans="2:8" ht="13.2" x14ac:dyDescent="0.25">
      <c r="B98" s="81"/>
      <c r="C98" s="2"/>
      <c r="D98" s="2"/>
      <c r="E98" s="2"/>
      <c r="F98" s="2"/>
      <c r="G98" s="2"/>
      <c r="H98" s="2"/>
    </row>
    <row r="99" spans="2:8" ht="13.2" x14ac:dyDescent="0.25">
      <c r="B99" s="81"/>
      <c r="C99" s="2"/>
      <c r="D99" s="2"/>
      <c r="E99" s="2"/>
      <c r="F99" s="2"/>
      <c r="G99" s="2"/>
      <c r="H99" s="2"/>
    </row>
    <row r="100" spans="2:8" ht="13.2" x14ac:dyDescent="0.25">
      <c r="B100" s="81" t="s">
        <v>73</v>
      </c>
      <c r="C100" s="311"/>
      <c r="D100" s="312"/>
      <c r="E100" s="312"/>
      <c r="F100" s="312"/>
      <c r="G100" s="312"/>
      <c r="H100" s="312"/>
    </row>
    <row r="101" spans="2:8" ht="13.2" x14ac:dyDescent="0.25">
      <c r="B101" s="81"/>
      <c r="C101" s="2"/>
      <c r="D101" s="2"/>
      <c r="E101" s="2"/>
      <c r="F101" s="2"/>
      <c r="G101" s="2"/>
      <c r="H101" s="2"/>
    </row>
    <row r="102" spans="2:8" ht="13.2" x14ac:dyDescent="0.25">
      <c r="B102" s="2"/>
      <c r="C102" s="2"/>
      <c r="D102" s="2"/>
      <c r="E102" s="2"/>
      <c r="F102" s="2"/>
      <c r="G102" s="2"/>
      <c r="H102" s="2"/>
    </row>
    <row r="103" spans="2:8" ht="13.2" x14ac:dyDescent="0.25">
      <c r="B103" s="2"/>
      <c r="C103" s="2"/>
      <c r="D103" s="2"/>
      <c r="E103" s="2"/>
      <c r="F103" s="2"/>
      <c r="G103" s="2"/>
      <c r="H103" s="2"/>
    </row>
    <row r="104" spans="2:8" ht="13.2" x14ac:dyDescent="0.25">
      <c r="B104" s="2"/>
      <c r="C104" s="2"/>
      <c r="D104" s="2"/>
      <c r="E104" s="2"/>
      <c r="F104" s="2"/>
      <c r="G104" s="2"/>
      <c r="H104" s="2"/>
    </row>
    <row r="105" spans="2:8" ht="36.6" customHeight="1" x14ac:dyDescent="0.25">
      <c r="B105" s="2"/>
      <c r="C105" s="2"/>
      <c r="D105" s="2"/>
      <c r="E105" s="2"/>
      <c r="F105" s="2"/>
      <c r="G105" s="2"/>
      <c r="H105" s="2"/>
    </row>
    <row r="106" spans="2:8" ht="13.2" x14ac:dyDescent="0.25">
      <c r="B106" s="2"/>
      <c r="C106" s="2"/>
      <c r="D106" s="2"/>
      <c r="E106" s="2"/>
      <c r="F106" s="2"/>
      <c r="G106" s="2"/>
      <c r="H106" s="2"/>
    </row>
    <row r="107" spans="2:8" ht="13.2" x14ac:dyDescent="0.25">
      <c r="B107" s="2"/>
      <c r="C107" s="2"/>
      <c r="D107" s="2"/>
      <c r="E107" s="2"/>
      <c r="F107" s="2"/>
      <c r="G107" s="2"/>
      <c r="H107" s="2"/>
    </row>
    <row r="108" spans="2:8" ht="13.2" x14ac:dyDescent="0.25">
      <c r="B108" s="2"/>
      <c r="C108" s="2"/>
      <c r="D108" s="2"/>
      <c r="E108" s="2"/>
      <c r="F108" s="2"/>
      <c r="G108" s="2"/>
      <c r="H108" s="2"/>
    </row>
    <row r="109" spans="2:8" ht="13.2" x14ac:dyDescent="0.25">
      <c r="B109" s="2"/>
      <c r="C109" s="2"/>
      <c r="D109" s="2"/>
      <c r="E109" s="2"/>
      <c r="F109" s="2"/>
      <c r="G109" s="2"/>
      <c r="H109" s="2"/>
    </row>
    <row r="110" spans="2:8" ht="13.2" x14ac:dyDescent="0.25">
      <c r="B110" s="2"/>
      <c r="C110" s="2"/>
      <c r="D110" s="2"/>
      <c r="E110" s="2"/>
      <c r="F110" s="2"/>
      <c r="G110" s="2"/>
      <c r="H110" s="2"/>
    </row>
    <row r="111" spans="2:8" ht="13.2" x14ac:dyDescent="0.25">
      <c r="B111" s="2"/>
      <c r="C111" s="2"/>
      <c r="D111" s="2"/>
      <c r="E111" s="2"/>
      <c r="F111" s="2"/>
      <c r="G111" s="2"/>
      <c r="H111" s="2"/>
    </row>
    <row r="112" spans="2:8" ht="13.2" x14ac:dyDescent="0.25">
      <c r="B112" s="2"/>
      <c r="C112" s="2"/>
      <c r="D112" s="2"/>
      <c r="E112" s="2"/>
      <c r="F112" s="2"/>
      <c r="G112" s="2"/>
      <c r="H112" s="2"/>
    </row>
    <row r="113" spans="2:8" ht="13.2" x14ac:dyDescent="0.25">
      <c r="B113" s="2"/>
      <c r="C113" s="2"/>
      <c r="D113" s="2"/>
      <c r="E113" s="2"/>
      <c r="F113" s="2"/>
      <c r="G113" s="2"/>
      <c r="H113" s="2"/>
    </row>
    <row r="114" spans="2:8" ht="13.2" x14ac:dyDescent="0.25">
      <c r="B114" s="2"/>
      <c r="C114" s="2"/>
      <c r="D114" s="2"/>
      <c r="E114" s="2"/>
      <c r="F114" s="2"/>
      <c r="G114" s="2"/>
      <c r="H114" s="2"/>
    </row>
    <row r="115" spans="2:8" ht="13.2" x14ac:dyDescent="0.25">
      <c r="B115" s="2"/>
      <c r="C115" s="2"/>
      <c r="D115" s="2"/>
      <c r="E115" s="2"/>
      <c r="F115" s="2"/>
      <c r="G115" s="2"/>
      <c r="H115" s="2"/>
    </row>
    <row r="116" spans="2:8" ht="13.2" x14ac:dyDescent="0.25">
      <c r="B116" s="2"/>
      <c r="C116" s="2"/>
      <c r="D116" s="2"/>
      <c r="E116" s="2"/>
      <c r="F116" s="2"/>
      <c r="G116" s="2"/>
      <c r="H116" s="2"/>
    </row>
    <row r="117" spans="2:8" ht="13.2" x14ac:dyDescent="0.25">
      <c r="B117" s="2"/>
      <c r="C117" s="2"/>
      <c r="D117" s="2"/>
      <c r="E117" s="2"/>
      <c r="F117" s="2"/>
      <c r="G117" s="2"/>
      <c r="H117" s="2"/>
    </row>
    <row r="118" spans="2:8" ht="13.2" x14ac:dyDescent="0.25">
      <c r="B118" s="2"/>
      <c r="C118" s="2"/>
      <c r="D118" s="2"/>
      <c r="E118" s="2"/>
      <c r="F118" s="2"/>
      <c r="G118" s="2"/>
      <c r="H118" s="2"/>
    </row>
    <row r="119" spans="2:8" ht="13.2" x14ac:dyDescent="0.25">
      <c r="B119" s="2"/>
      <c r="C119" s="2"/>
      <c r="D119" s="2"/>
      <c r="E119" s="2"/>
      <c r="F119" s="2"/>
      <c r="G119" s="2"/>
      <c r="H119" s="2"/>
    </row>
    <row r="120" spans="2:8" ht="13.2" x14ac:dyDescent="0.25">
      <c r="B120" s="2"/>
      <c r="C120" s="2"/>
      <c r="D120" s="2"/>
      <c r="E120" s="2"/>
      <c r="F120" s="2"/>
      <c r="G120" s="2"/>
      <c r="H120" s="2"/>
    </row>
    <row r="121" spans="2:8" ht="13.2" x14ac:dyDescent="0.25">
      <c r="B121" s="2"/>
      <c r="C121" s="2"/>
      <c r="D121" s="2"/>
      <c r="E121" s="2"/>
      <c r="F121" s="2"/>
      <c r="G121" s="2"/>
      <c r="H121" s="2"/>
    </row>
    <row r="122" spans="2:8" ht="13.2" x14ac:dyDescent="0.25">
      <c r="B122" s="2"/>
      <c r="C122" s="2"/>
      <c r="D122" s="2"/>
      <c r="E122" s="2"/>
      <c r="F122" s="2"/>
      <c r="G122" s="2"/>
      <c r="H122" s="2"/>
    </row>
    <row r="123" spans="2:8" ht="13.2" x14ac:dyDescent="0.25">
      <c r="B123" s="2"/>
      <c r="C123" s="2"/>
      <c r="D123" s="2"/>
      <c r="E123" s="2"/>
      <c r="F123" s="2"/>
      <c r="G123" s="2"/>
      <c r="H123" s="2"/>
    </row>
    <row r="124" spans="2:8" ht="13.2" x14ac:dyDescent="0.25">
      <c r="B124" s="2"/>
      <c r="C124" s="2"/>
      <c r="D124" s="2"/>
      <c r="E124" s="2"/>
      <c r="F124" s="2"/>
      <c r="G124" s="2"/>
      <c r="H124" s="2"/>
    </row>
    <row r="125" spans="2:8" ht="13.2" x14ac:dyDescent="0.25">
      <c r="B125" s="2"/>
      <c r="C125" s="2"/>
      <c r="D125" s="2"/>
      <c r="E125" s="2"/>
      <c r="F125" s="2"/>
      <c r="G125" s="2"/>
      <c r="H125" s="2"/>
    </row>
    <row r="126" spans="2:8" ht="13.2" x14ac:dyDescent="0.25">
      <c r="B126" s="2"/>
      <c r="C126" s="2"/>
      <c r="D126" s="2"/>
      <c r="E126" s="2"/>
      <c r="F126" s="2"/>
      <c r="G126" s="2"/>
      <c r="H126" s="2"/>
    </row>
    <row r="127" spans="2:8" ht="13.2" x14ac:dyDescent="0.25">
      <c r="B127" s="2"/>
      <c r="C127" s="2"/>
      <c r="D127" s="2"/>
      <c r="E127" s="2"/>
      <c r="F127" s="2"/>
      <c r="G127" s="2"/>
      <c r="H127" s="2"/>
    </row>
    <row r="128" spans="2:8" ht="13.2" x14ac:dyDescent="0.25">
      <c r="B128" s="2"/>
      <c r="C128" s="2"/>
      <c r="D128" s="2"/>
      <c r="E128" s="2"/>
      <c r="F128" s="2"/>
      <c r="G128" s="2"/>
      <c r="H128" s="2"/>
    </row>
    <row r="129" spans="2:8" ht="13.2" x14ac:dyDescent="0.25">
      <c r="B129" s="2"/>
      <c r="C129" s="2"/>
      <c r="D129" s="2"/>
      <c r="E129" s="2"/>
      <c r="F129" s="2"/>
      <c r="G129" s="2"/>
      <c r="H129" s="2"/>
    </row>
    <row r="130" spans="2:8" ht="13.2" x14ac:dyDescent="0.25">
      <c r="B130" s="2"/>
      <c r="C130" s="2"/>
      <c r="D130" s="2"/>
      <c r="E130" s="2"/>
      <c r="F130" s="2"/>
      <c r="G130" s="2"/>
      <c r="H130" s="2"/>
    </row>
    <row r="131" spans="2:8" ht="13.2" x14ac:dyDescent="0.25">
      <c r="B131" s="2"/>
      <c r="C131" s="2"/>
      <c r="D131" s="2"/>
      <c r="E131" s="2"/>
      <c r="F131" s="2"/>
      <c r="G131" s="2"/>
      <c r="H131" s="2"/>
    </row>
    <row r="132" spans="2:8" ht="13.2" x14ac:dyDescent="0.25">
      <c r="B132" s="2"/>
      <c r="C132" s="2"/>
      <c r="D132" s="2"/>
      <c r="E132" s="2"/>
      <c r="F132" s="2"/>
      <c r="G132" s="2"/>
      <c r="H132" s="2"/>
    </row>
    <row r="133" spans="2:8" ht="13.2" x14ac:dyDescent="0.25">
      <c r="B133" s="2"/>
      <c r="C133" s="2"/>
      <c r="D133" s="2"/>
      <c r="E133" s="2"/>
      <c r="F133" s="2"/>
      <c r="G133" s="2"/>
      <c r="H133" s="2"/>
    </row>
    <row r="134" spans="2:8" ht="13.2" x14ac:dyDescent="0.25">
      <c r="B134" s="2"/>
      <c r="C134" s="2"/>
      <c r="D134" s="2"/>
      <c r="E134" s="2"/>
      <c r="F134" s="2"/>
      <c r="G134" s="2"/>
      <c r="H134" s="2"/>
    </row>
    <row r="135" spans="2:8" ht="13.2" x14ac:dyDescent="0.25">
      <c r="B135" s="2"/>
      <c r="C135" s="2"/>
      <c r="D135" s="2"/>
      <c r="E135" s="2"/>
      <c r="F135" s="2"/>
      <c r="G135" s="2"/>
      <c r="H135" s="2"/>
    </row>
    <row r="136" spans="2:8" ht="13.2" x14ac:dyDescent="0.25">
      <c r="B136" s="2"/>
      <c r="C136" s="2"/>
      <c r="D136" s="2"/>
      <c r="E136" s="2"/>
      <c r="F136" s="2"/>
      <c r="G136" s="2"/>
      <c r="H136" s="2"/>
    </row>
    <row r="137" spans="2:8" ht="13.2" x14ac:dyDescent="0.25">
      <c r="B137" s="2"/>
      <c r="C137" s="2"/>
      <c r="D137" s="2"/>
      <c r="E137" s="2"/>
      <c r="F137" s="2"/>
      <c r="G137" s="2"/>
      <c r="H137" s="2"/>
    </row>
    <row r="138" spans="2:8" ht="13.2" x14ac:dyDescent="0.25">
      <c r="B138" s="2"/>
      <c r="C138" s="2"/>
      <c r="D138" s="2"/>
      <c r="E138" s="2"/>
      <c r="F138" s="2"/>
      <c r="G138" s="2"/>
      <c r="H138" s="2"/>
    </row>
    <row r="139" spans="2:8" ht="13.2" x14ac:dyDescent="0.25">
      <c r="B139" s="2"/>
      <c r="C139" s="2"/>
      <c r="D139" s="2"/>
      <c r="E139" s="2"/>
      <c r="F139" s="2"/>
      <c r="G139" s="2"/>
      <c r="H139" s="2"/>
    </row>
    <row r="140" spans="2:8" ht="13.2" x14ac:dyDescent="0.25">
      <c r="B140" s="2"/>
      <c r="C140" s="2"/>
      <c r="D140" s="2"/>
      <c r="E140" s="2"/>
      <c r="F140" s="2"/>
      <c r="G140" s="2"/>
      <c r="H140" s="2"/>
    </row>
    <row r="141" spans="2:8" ht="13.2" x14ac:dyDescent="0.25">
      <c r="B141" s="2"/>
      <c r="C141" s="2"/>
      <c r="D141" s="2"/>
      <c r="E141" s="2"/>
      <c r="F141" s="2"/>
      <c r="G141" s="2"/>
      <c r="H141" s="2"/>
    </row>
    <row r="142" spans="2:8" ht="13.2" x14ac:dyDescent="0.25">
      <c r="B142" s="2"/>
      <c r="C142" s="2"/>
      <c r="D142" s="2"/>
      <c r="E142" s="2"/>
      <c r="F142" s="2"/>
      <c r="G142" s="2"/>
      <c r="H142" s="2"/>
    </row>
    <row r="143" spans="2:8" ht="13.2" x14ac:dyDescent="0.25">
      <c r="B143" s="2"/>
      <c r="C143" s="2"/>
      <c r="D143" s="2"/>
      <c r="E143" s="2"/>
      <c r="F143" s="2"/>
      <c r="G143" s="2"/>
      <c r="H143" s="2"/>
    </row>
    <row r="144" spans="2:8" ht="13.2" x14ac:dyDescent="0.25">
      <c r="B144" s="2"/>
      <c r="C144" s="2"/>
      <c r="D144" s="2"/>
      <c r="E144" s="2"/>
      <c r="F144" s="2"/>
      <c r="G144" s="2"/>
      <c r="H144" s="2"/>
    </row>
    <row r="145" spans="2:8" ht="13.2" x14ac:dyDescent="0.25">
      <c r="B145" s="2"/>
      <c r="C145" s="2"/>
      <c r="D145" s="2"/>
      <c r="E145" s="2"/>
      <c r="F145" s="2"/>
      <c r="G145" s="2"/>
      <c r="H145" s="2"/>
    </row>
    <row r="146" spans="2:8" ht="13.2" x14ac:dyDescent="0.25">
      <c r="B146" s="2"/>
      <c r="C146" s="2"/>
      <c r="D146" s="2"/>
      <c r="E146" s="2"/>
      <c r="F146" s="2"/>
      <c r="G146" s="2"/>
      <c r="H146" s="2"/>
    </row>
    <row r="147" spans="2:8" ht="13.2" x14ac:dyDescent="0.25">
      <c r="B147" s="2"/>
      <c r="C147" s="2"/>
      <c r="D147" s="2"/>
      <c r="E147" s="2"/>
      <c r="F147" s="2"/>
      <c r="G147" s="2"/>
      <c r="H147" s="2"/>
    </row>
    <row r="148" spans="2:8" ht="13.2" x14ac:dyDescent="0.25">
      <c r="B148" s="2"/>
      <c r="C148" s="2"/>
      <c r="D148" s="2"/>
      <c r="E148" s="2"/>
      <c r="F148" s="2"/>
      <c r="G148" s="2"/>
      <c r="H148" s="2"/>
    </row>
    <row r="149" spans="2:8" ht="13.2" x14ac:dyDescent="0.25">
      <c r="B149" s="2"/>
      <c r="C149" s="2"/>
      <c r="D149" s="2"/>
      <c r="E149" s="2"/>
      <c r="F149" s="2"/>
      <c r="G149" s="2"/>
      <c r="H149" s="2"/>
    </row>
    <row r="150" spans="2:8" ht="13.2" x14ac:dyDescent="0.25">
      <c r="B150" s="2"/>
      <c r="C150" s="2"/>
      <c r="D150" s="2"/>
      <c r="E150" s="2"/>
      <c r="F150" s="2"/>
      <c r="G150" s="2"/>
      <c r="H150" s="2"/>
    </row>
    <row r="151" spans="2:8" ht="13.2" x14ac:dyDescent="0.25">
      <c r="B151" s="2"/>
      <c r="C151" s="2"/>
      <c r="D151" s="2"/>
      <c r="E151" s="2"/>
      <c r="F151" s="2"/>
      <c r="G151" s="2"/>
      <c r="H151" s="2"/>
    </row>
    <row r="152" spans="2:8" ht="13.2" x14ac:dyDescent="0.25">
      <c r="B152" s="2"/>
      <c r="C152" s="2"/>
      <c r="D152" s="2"/>
      <c r="E152" s="2"/>
      <c r="F152" s="2"/>
      <c r="G152" s="2"/>
      <c r="H152" s="2"/>
    </row>
    <row r="153" spans="2:8" ht="13.2" x14ac:dyDescent="0.25">
      <c r="B153" s="2"/>
      <c r="C153" s="2"/>
      <c r="D153" s="2"/>
      <c r="E153" s="2"/>
      <c r="F153" s="2"/>
      <c r="G153" s="2"/>
      <c r="H153" s="2"/>
    </row>
    <row r="154" spans="2:8" ht="13.2" x14ac:dyDescent="0.25">
      <c r="B154" s="2"/>
      <c r="C154" s="2"/>
      <c r="D154" s="2"/>
      <c r="E154" s="2"/>
      <c r="F154" s="2"/>
      <c r="G154" s="2"/>
      <c r="H154" s="2"/>
    </row>
    <row r="155" spans="2:8" ht="13.2" x14ac:dyDescent="0.25">
      <c r="B155" s="2"/>
      <c r="C155" s="2"/>
      <c r="D155" s="2"/>
      <c r="E155" s="2"/>
      <c r="F155" s="2"/>
      <c r="G155" s="2"/>
      <c r="H155" s="2"/>
    </row>
    <row r="156" spans="2:8" ht="13.2" x14ac:dyDescent="0.25">
      <c r="B156" s="2"/>
      <c r="C156" s="2"/>
      <c r="D156" s="2"/>
      <c r="E156" s="2"/>
      <c r="F156" s="2"/>
      <c r="G156" s="2"/>
      <c r="H156" s="2"/>
    </row>
    <row r="157" spans="2:8" ht="13.2" x14ac:dyDescent="0.25">
      <c r="B157" s="2"/>
      <c r="C157" s="2"/>
      <c r="D157" s="2"/>
      <c r="E157" s="2"/>
      <c r="F157" s="2"/>
      <c r="G157" s="2"/>
      <c r="H157" s="2"/>
    </row>
    <row r="158" spans="2:8" ht="13.2" x14ac:dyDescent="0.25">
      <c r="B158" s="2"/>
      <c r="C158" s="2"/>
      <c r="D158" s="2"/>
      <c r="E158" s="2"/>
      <c r="F158" s="2"/>
      <c r="G158" s="2"/>
      <c r="H158" s="2"/>
    </row>
    <row r="159" spans="2:8" ht="13.2" x14ac:dyDescent="0.25">
      <c r="B159" s="2"/>
      <c r="C159" s="2"/>
      <c r="D159" s="2"/>
      <c r="E159" s="2"/>
      <c r="F159" s="2"/>
      <c r="G159" s="2"/>
      <c r="H159" s="2"/>
    </row>
    <row r="160" spans="2:8" ht="13.2" x14ac:dyDescent="0.25">
      <c r="B160" s="2"/>
      <c r="C160" s="2"/>
      <c r="D160" s="2"/>
      <c r="E160" s="2"/>
      <c r="F160" s="2"/>
      <c r="G160" s="2"/>
      <c r="H160" s="2"/>
    </row>
    <row r="161" spans="2:8" ht="13.2" x14ac:dyDescent="0.25">
      <c r="B161" s="2"/>
      <c r="C161" s="2"/>
      <c r="D161" s="2"/>
      <c r="E161" s="2"/>
      <c r="F161" s="2"/>
      <c r="G161" s="2"/>
      <c r="H161" s="2"/>
    </row>
    <row r="162" spans="2:8" ht="13.2" x14ac:dyDescent="0.25">
      <c r="B162" s="2"/>
      <c r="C162" s="2"/>
      <c r="D162" s="2"/>
      <c r="E162" s="2"/>
      <c r="F162" s="2"/>
      <c r="G162" s="2"/>
      <c r="H162" s="2"/>
    </row>
    <row r="163" spans="2:8" ht="13.2" x14ac:dyDescent="0.25">
      <c r="B163" s="2"/>
      <c r="C163" s="2"/>
      <c r="D163" s="2"/>
      <c r="E163" s="2"/>
      <c r="F163" s="2"/>
      <c r="G163" s="2"/>
      <c r="H163" s="2"/>
    </row>
    <row r="164" spans="2:8" ht="13.2" x14ac:dyDescent="0.25">
      <c r="B164" s="2"/>
      <c r="C164" s="2"/>
      <c r="D164" s="2"/>
      <c r="E164" s="2"/>
      <c r="F164" s="2"/>
      <c r="G164" s="2"/>
      <c r="H164" s="2"/>
    </row>
    <row r="165" spans="2:8" ht="13.2" x14ac:dyDescent="0.25">
      <c r="B165" s="2"/>
      <c r="C165" s="2"/>
      <c r="D165" s="2"/>
      <c r="E165" s="2"/>
      <c r="F165" s="2"/>
      <c r="G165" s="2"/>
      <c r="H165" s="2"/>
    </row>
    <row r="166" spans="2:8" ht="13.2" x14ac:dyDescent="0.25">
      <c r="B166" s="2"/>
      <c r="C166" s="2"/>
      <c r="D166" s="2"/>
      <c r="E166" s="2"/>
      <c r="F166" s="2"/>
      <c r="G166" s="2"/>
      <c r="H166" s="2"/>
    </row>
    <row r="167" spans="2:8" ht="13.2" x14ac:dyDescent="0.25">
      <c r="B167" s="2"/>
      <c r="C167" s="2"/>
      <c r="D167" s="2"/>
      <c r="E167" s="2"/>
      <c r="F167" s="2"/>
      <c r="G167" s="2"/>
      <c r="H167" s="2"/>
    </row>
    <row r="168" spans="2:8" ht="13.2" x14ac:dyDescent="0.25">
      <c r="B168" s="2"/>
      <c r="C168" s="2"/>
      <c r="D168" s="2"/>
      <c r="E168" s="2"/>
      <c r="F168" s="2"/>
      <c r="G168" s="2"/>
      <c r="H168" s="2"/>
    </row>
    <row r="169" spans="2:8" ht="13.2" x14ac:dyDescent="0.25">
      <c r="B169" s="2"/>
      <c r="C169" s="2"/>
      <c r="D169" s="2"/>
      <c r="E169" s="2"/>
      <c r="F169" s="2"/>
      <c r="G169" s="2"/>
      <c r="H169" s="2"/>
    </row>
    <row r="170" spans="2:8" ht="13.2" x14ac:dyDescent="0.25">
      <c r="B170" s="2"/>
      <c r="C170" s="2"/>
      <c r="D170" s="2"/>
      <c r="E170" s="2"/>
      <c r="F170" s="2"/>
      <c r="G170" s="2"/>
      <c r="H170" s="2"/>
    </row>
    <row r="171" spans="2:8" ht="13.2" x14ac:dyDescent="0.25">
      <c r="B171" s="2"/>
      <c r="C171" s="2"/>
      <c r="D171" s="2"/>
      <c r="E171" s="2"/>
      <c r="F171" s="2"/>
      <c r="G171" s="2"/>
      <c r="H171" s="2"/>
    </row>
    <row r="172" spans="2:8" ht="13.2" x14ac:dyDescent="0.25">
      <c r="B172" s="2"/>
      <c r="C172" s="2"/>
      <c r="D172" s="2"/>
      <c r="E172" s="2"/>
      <c r="F172" s="2"/>
      <c r="G172" s="2"/>
      <c r="H172" s="2"/>
    </row>
    <row r="173" spans="2:8" ht="13.2" x14ac:dyDescent="0.25">
      <c r="B173" s="2"/>
      <c r="C173" s="2"/>
      <c r="D173" s="2"/>
      <c r="E173" s="2"/>
      <c r="F173" s="2"/>
      <c r="G173" s="2"/>
      <c r="H173" s="2"/>
    </row>
    <row r="174" spans="2:8" ht="13.2" x14ac:dyDescent="0.25">
      <c r="B174" s="2"/>
      <c r="C174" s="2"/>
      <c r="D174" s="2"/>
      <c r="E174" s="2"/>
      <c r="F174" s="2"/>
      <c r="G174" s="2"/>
      <c r="H174" s="2"/>
    </row>
    <row r="175" spans="2:8" ht="13.2" x14ac:dyDescent="0.25">
      <c r="B175" s="2"/>
      <c r="C175" s="2"/>
      <c r="D175" s="2"/>
      <c r="E175" s="2"/>
      <c r="F175" s="2"/>
      <c r="G175" s="2"/>
      <c r="H175" s="2"/>
    </row>
    <row r="176" spans="2:8" ht="13.2" x14ac:dyDescent="0.25">
      <c r="B176" s="2"/>
      <c r="C176" s="2"/>
      <c r="D176" s="2"/>
      <c r="E176" s="2"/>
      <c r="F176" s="2"/>
      <c r="G176" s="2"/>
      <c r="H176" s="2"/>
    </row>
    <row r="177" spans="2:8" ht="13.2" x14ac:dyDescent="0.25">
      <c r="B177" s="2"/>
      <c r="C177" s="2"/>
      <c r="D177" s="2"/>
      <c r="E177" s="2"/>
      <c r="F177" s="2"/>
      <c r="G177" s="2"/>
      <c r="H177" s="2"/>
    </row>
    <row r="178" spans="2:8" ht="13.2" x14ac:dyDescent="0.25">
      <c r="B178" s="2"/>
      <c r="C178" s="2"/>
      <c r="D178" s="2"/>
      <c r="E178" s="2"/>
      <c r="F178" s="2"/>
      <c r="G178" s="2"/>
      <c r="H178" s="2"/>
    </row>
    <row r="179" spans="2:8" ht="13.2" x14ac:dyDescent="0.25">
      <c r="B179" s="2"/>
      <c r="C179" s="2"/>
      <c r="D179" s="2"/>
      <c r="E179" s="2"/>
      <c r="F179" s="2"/>
      <c r="G179" s="2"/>
      <c r="H179" s="2"/>
    </row>
    <row r="180" spans="2:8" ht="13.2" x14ac:dyDescent="0.25">
      <c r="B180" s="2"/>
      <c r="C180" s="2"/>
      <c r="D180" s="2"/>
      <c r="E180" s="2"/>
      <c r="F180" s="2"/>
      <c r="G180" s="2"/>
      <c r="H180" s="2"/>
    </row>
    <row r="181" spans="2:8" ht="13.2" x14ac:dyDescent="0.25">
      <c r="B181" s="2"/>
      <c r="C181" s="2"/>
      <c r="D181" s="2"/>
      <c r="E181" s="2"/>
      <c r="F181" s="2"/>
      <c r="G181" s="2"/>
      <c r="H181" s="2"/>
    </row>
    <row r="182" spans="2:8" ht="13.2" x14ac:dyDescent="0.25">
      <c r="B182" s="2"/>
      <c r="C182" s="2"/>
      <c r="D182" s="2"/>
      <c r="E182" s="2"/>
      <c r="F182" s="2"/>
      <c r="G182" s="2"/>
      <c r="H182" s="2"/>
    </row>
    <row r="183" spans="2:8" ht="13.2" x14ac:dyDescent="0.25">
      <c r="B183" s="2"/>
      <c r="C183" s="2"/>
      <c r="D183" s="2"/>
      <c r="E183" s="2"/>
      <c r="F183" s="2"/>
      <c r="G183" s="2"/>
      <c r="H183" s="2"/>
    </row>
    <row r="184" spans="2:8" ht="13.2" x14ac:dyDescent="0.25">
      <c r="B184" s="2"/>
      <c r="C184" s="2"/>
      <c r="D184" s="2"/>
      <c r="E184" s="2"/>
      <c r="F184" s="2"/>
      <c r="G184" s="2"/>
      <c r="H184" s="2"/>
    </row>
    <row r="185" spans="2:8" ht="13.2" x14ac:dyDescent="0.25">
      <c r="B185" s="2"/>
      <c r="C185" s="2"/>
      <c r="D185" s="2"/>
      <c r="E185" s="2"/>
      <c r="F185" s="2"/>
      <c r="G185" s="2"/>
      <c r="H185" s="2"/>
    </row>
    <row r="186" spans="2:8" ht="13.2" x14ac:dyDescent="0.25">
      <c r="B186" s="2"/>
      <c r="C186" s="2"/>
      <c r="D186" s="2"/>
      <c r="E186" s="2"/>
      <c r="F186" s="2"/>
      <c r="G186" s="2"/>
      <c r="H186" s="2"/>
    </row>
    <row r="187" spans="2:8" ht="13.2" x14ac:dyDescent="0.25">
      <c r="B187" s="2"/>
      <c r="C187" s="2"/>
      <c r="D187" s="2"/>
      <c r="E187" s="2"/>
      <c r="F187" s="2"/>
      <c r="G187" s="2"/>
      <c r="H187" s="2"/>
    </row>
    <row r="188" spans="2:8" ht="13.2" x14ac:dyDescent="0.25">
      <c r="B188" s="2"/>
      <c r="C188" s="2"/>
      <c r="D188" s="2"/>
      <c r="E188" s="2"/>
      <c r="F188" s="2"/>
      <c r="G188" s="2"/>
      <c r="H188" s="2"/>
    </row>
    <row r="189" spans="2:8" ht="13.2" x14ac:dyDescent="0.25">
      <c r="B189" s="2"/>
      <c r="C189" s="2"/>
      <c r="D189" s="2"/>
      <c r="E189" s="2"/>
      <c r="F189" s="2"/>
      <c r="G189" s="2"/>
      <c r="H189" s="2"/>
    </row>
    <row r="190" spans="2:8" ht="13.2" x14ac:dyDescent="0.25">
      <c r="B190" s="2"/>
      <c r="C190" s="2"/>
      <c r="D190" s="2"/>
      <c r="E190" s="2"/>
      <c r="F190" s="2"/>
      <c r="G190" s="2"/>
      <c r="H190" s="2"/>
    </row>
    <row r="191" spans="2:8" ht="13.2" x14ac:dyDescent="0.25">
      <c r="B191" s="2"/>
      <c r="C191" s="2"/>
      <c r="D191" s="2"/>
      <c r="E191" s="2"/>
      <c r="F191" s="2"/>
      <c r="G191" s="2"/>
      <c r="H191" s="2"/>
    </row>
    <row r="192" spans="2:8" ht="13.2" x14ac:dyDescent="0.25">
      <c r="B192" s="2"/>
      <c r="C192" s="2"/>
      <c r="D192" s="2"/>
      <c r="E192" s="2"/>
      <c r="F192" s="2"/>
      <c r="G192" s="2"/>
      <c r="H192" s="2"/>
    </row>
    <row r="193" spans="2:8" ht="13.2" x14ac:dyDescent="0.25">
      <c r="B193" s="2"/>
      <c r="C193" s="2"/>
      <c r="D193" s="2"/>
      <c r="E193" s="2"/>
      <c r="F193" s="2"/>
      <c r="G193" s="2"/>
      <c r="H193" s="2"/>
    </row>
    <row r="194" spans="2:8" ht="13.2" x14ac:dyDescent="0.25">
      <c r="B194" s="2"/>
      <c r="C194" s="2"/>
      <c r="D194" s="2"/>
      <c r="E194" s="2"/>
      <c r="F194" s="2"/>
      <c r="G194" s="2"/>
      <c r="H194" s="2"/>
    </row>
    <row r="195" spans="2:8" ht="13.2" x14ac:dyDescent="0.25">
      <c r="B195" s="2"/>
      <c r="C195" s="2"/>
      <c r="D195" s="2"/>
      <c r="E195" s="2"/>
      <c r="F195" s="2"/>
      <c r="G195" s="2"/>
      <c r="H195" s="2"/>
    </row>
    <row r="196" spans="2:8" ht="13.2" x14ac:dyDescent="0.25">
      <c r="B196" s="2"/>
      <c r="C196" s="2"/>
      <c r="D196" s="2"/>
      <c r="E196" s="2"/>
      <c r="F196" s="2"/>
      <c r="G196" s="2"/>
      <c r="H196" s="2"/>
    </row>
    <row r="197" spans="2:8" ht="13.2" x14ac:dyDescent="0.25">
      <c r="B197" s="2"/>
      <c r="C197" s="2"/>
      <c r="D197" s="2"/>
      <c r="E197" s="2"/>
      <c r="F197" s="2"/>
      <c r="G197" s="2"/>
      <c r="H197" s="2"/>
    </row>
    <row r="198" spans="2:8" ht="13.2" x14ac:dyDescent="0.25">
      <c r="B198" s="2"/>
      <c r="C198" s="2"/>
      <c r="D198" s="2"/>
      <c r="E198" s="2"/>
      <c r="F198" s="2"/>
      <c r="G198" s="2"/>
      <c r="H198" s="2"/>
    </row>
    <row r="199" spans="2:8" ht="13.2" x14ac:dyDescent="0.25">
      <c r="B199" s="2"/>
      <c r="C199" s="2"/>
      <c r="D199" s="2"/>
      <c r="E199" s="2"/>
      <c r="F199" s="2"/>
      <c r="G199" s="2"/>
      <c r="H199" s="2"/>
    </row>
    <row r="200" spans="2:8" ht="13.2" x14ac:dyDescent="0.25">
      <c r="B200" s="2"/>
      <c r="C200" s="2"/>
      <c r="D200" s="2"/>
      <c r="E200" s="2"/>
      <c r="F200" s="2"/>
      <c r="G200" s="2"/>
      <c r="H200" s="2"/>
    </row>
    <row r="201" spans="2:8" ht="13.2" x14ac:dyDescent="0.25">
      <c r="B201" s="2"/>
      <c r="C201" s="2"/>
      <c r="D201" s="2"/>
      <c r="E201" s="2"/>
      <c r="F201" s="2"/>
      <c r="G201" s="2"/>
      <c r="H201" s="2"/>
    </row>
    <row r="202" spans="2:8" ht="13.2" x14ac:dyDescent="0.25">
      <c r="B202" s="2"/>
      <c r="C202" s="2"/>
      <c r="D202" s="2"/>
      <c r="E202" s="2"/>
      <c r="F202" s="2"/>
      <c r="G202" s="2"/>
      <c r="H202" s="2"/>
    </row>
    <row r="203" spans="2:8" ht="13.2" x14ac:dyDescent="0.25">
      <c r="B203" s="2"/>
      <c r="C203" s="2"/>
      <c r="D203" s="2"/>
      <c r="E203" s="2"/>
      <c r="F203" s="2"/>
      <c r="G203" s="2"/>
      <c r="H203" s="2"/>
    </row>
    <row r="204" spans="2:8" ht="13.2" x14ac:dyDescent="0.25">
      <c r="B204" s="2"/>
      <c r="C204" s="2"/>
      <c r="D204" s="2"/>
      <c r="E204" s="2"/>
      <c r="F204" s="2"/>
      <c r="G204" s="2"/>
      <c r="H204" s="2"/>
    </row>
    <row r="205" spans="2:8" ht="13.2" x14ac:dyDescent="0.25">
      <c r="B205" s="2"/>
      <c r="C205" s="2"/>
      <c r="D205" s="2"/>
      <c r="E205" s="2"/>
      <c r="F205" s="2"/>
      <c r="G205" s="2"/>
      <c r="H205" s="2"/>
    </row>
    <row r="206" spans="2:8" ht="13.2" x14ac:dyDescent="0.25">
      <c r="B206" s="2"/>
      <c r="C206" s="2"/>
      <c r="D206" s="2"/>
      <c r="E206" s="2"/>
      <c r="F206" s="2"/>
      <c r="G206" s="2"/>
      <c r="H206" s="2"/>
    </row>
    <row r="207" spans="2:8" ht="13.2" x14ac:dyDescent="0.25">
      <c r="B207" s="2"/>
      <c r="C207" s="2"/>
      <c r="D207" s="2"/>
      <c r="E207" s="2"/>
      <c r="F207" s="2"/>
      <c r="G207" s="2"/>
      <c r="H207" s="2"/>
    </row>
    <row r="208" spans="2:8" ht="13.2" x14ac:dyDescent="0.25">
      <c r="B208" s="2"/>
      <c r="C208" s="2"/>
      <c r="D208" s="2"/>
      <c r="E208" s="2"/>
      <c r="F208" s="2"/>
      <c r="G208" s="2"/>
      <c r="H208" s="2"/>
    </row>
    <row r="209" spans="2:8" ht="13.2" x14ac:dyDescent="0.25">
      <c r="B209" s="2"/>
      <c r="C209" s="2"/>
      <c r="D209" s="2"/>
      <c r="E209" s="2"/>
      <c r="F209" s="2"/>
      <c r="G209" s="2"/>
      <c r="H209" s="2"/>
    </row>
    <row r="210" spans="2:8" ht="13.2" x14ac:dyDescent="0.25">
      <c r="B210" s="2"/>
      <c r="C210" s="2"/>
      <c r="D210" s="2"/>
      <c r="E210" s="2"/>
      <c r="F210" s="2"/>
      <c r="G210" s="2"/>
      <c r="H210" s="2"/>
    </row>
    <row r="211" spans="2:8" ht="13.2" x14ac:dyDescent="0.25">
      <c r="B211" s="2"/>
      <c r="C211" s="2"/>
      <c r="D211" s="2"/>
      <c r="E211" s="2"/>
      <c r="F211" s="2"/>
      <c r="G211" s="2"/>
      <c r="H211" s="2"/>
    </row>
    <row r="212" spans="2:8" ht="13.2" x14ac:dyDescent="0.25">
      <c r="B212" s="2"/>
      <c r="C212" s="2"/>
      <c r="D212" s="2"/>
      <c r="E212" s="2"/>
      <c r="F212" s="2"/>
      <c r="G212" s="2"/>
      <c r="H212" s="2"/>
    </row>
    <row r="213" spans="2:8" ht="13.2" x14ac:dyDescent="0.25">
      <c r="B213" s="2"/>
      <c r="C213" s="2"/>
      <c r="D213" s="2"/>
      <c r="E213" s="2"/>
      <c r="F213" s="2"/>
      <c r="G213" s="2"/>
      <c r="H213" s="2"/>
    </row>
    <row r="214" spans="2:8" ht="13.2" x14ac:dyDescent="0.25">
      <c r="B214" s="2"/>
      <c r="C214" s="2"/>
      <c r="D214" s="2"/>
      <c r="E214" s="2"/>
      <c r="F214" s="2"/>
      <c r="G214" s="2"/>
      <c r="H214" s="2"/>
    </row>
    <row r="215" spans="2:8" ht="13.2" x14ac:dyDescent="0.25">
      <c r="B215" s="2"/>
      <c r="C215" s="2"/>
      <c r="D215" s="2"/>
      <c r="E215" s="2"/>
      <c r="F215" s="2"/>
      <c r="G215" s="2"/>
      <c r="H215" s="2"/>
    </row>
    <row r="216" spans="2:8" ht="13.2" x14ac:dyDescent="0.25">
      <c r="B216" s="2"/>
      <c r="C216" s="2"/>
      <c r="D216" s="2"/>
      <c r="E216" s="2"/>
      <c r="F216" s="2"/>
      <c r="G216" s="2"/>
      <c r="H216" s="2"/>
    </row>
    <row r="217" spans="2:8" ht="13.2" x14ac:dyDescent="0.25">
      <c r="B217" s="2"/>
      <c r="C217" s="2"/>
      <c r="D217" s="2"/>
      <c r="E217" s="2"/>
      <c r="F217" s="2"/>
      <c r="G217" s="2"/>
      <c r="H217" s="2"/>
    </row>
    <row r="218" spans="2:8" ht="13.2" x14ac:dyDescent="0.25">
      <c r="B218" s="2"/>
      <c r="C218" s="2"/>
      <c r="D218" s="2"/>
      <c r="E218" s="2"/>
      <c r="F218" s="2"/>
      <c r="G218" s="2"/>
      <c r="H218" s="2"/>
    </row>
    <row r="219" spans="2:8" ht="13.2" x14ac:dyDescent="0.25">
      <c r="B219" s="2"/>
      <c r="C219" s="2"/>
      <c r="D219" s="2"/>
      <c r="E219" s="2"/>
      <c r="F219" s="2"/>
      <c r="G219" s="2"/>
      <c r="H219" s="2"/>
    </row>
    <row r="220" spans="2:8" ht="13.2" x14ac:dyDescent="0.25">
      <c r="B220" s="2"/>
      <c r="C220" s="2"/>
      <c r="D220" s="2"/>
      <c r="E220" s="2"/>
      <c r="F220" s="2"/>
      <c r="G220" s="2"/>
      <c r="H220" s="2"/>
    </row>
    <row r="221" spans="2:8" ht="13.2" x14ac:dyDescent="0.25">
      <c r="B221" s="2"/>
      <c r="C221" s="2"/>
      <c r="D221" s="2"/>
      <c r="E221" s="2"/>
      <c r="F221" s="2"/>
      <c r="G221" s="2"/>
      <c r="H221" s="2"/>
    </row>
    <row r="222" spans="2:8" ht="13.2" x14ac:dyDescent="0.25">
      <c r="B222" s="2"/>
      <c r="C222" s="2"/>
      <c r="D222" s="2"/>
      <c r="E222" s="2"/>
      <c r="F222" s="2"/>
      <c r="G222" s="2"/>
      <c r="H222" s="2"/>
    </row>
    <row r="223" spans="2:8" ht="13.2" x14ac:dyDescent="0.25">
      <c r="B223" s="2"/>
      <c r="C223" s="2"/>
      <c r="D223" s="2"/>
      <c r="E223" s="2"/>
      <c r="F223" s="2"/>
      <c r="G223" s="2"/>
      <c r="H223" s="2"/>
    </row>
    <row r="224" spans="2:8" ht="13.2" x14ac:dyDescent="0.25">
      <c r="B224" s="2"/>
      <c r="C224" s="2"/>
      <c r="D224" s="2"/>
      <c r="E224" s="2"/>
      <c r="F224" s="2"/>
      <c r="G224" s="2"/>
      <c r="H224" s="2"/>
    </row>
    <row r="225" spans="2:8" ht="13.2" x14ac:dyDescent="0.25">
      <c r="B225" s="2"/>
      <c r="C225" s="2"/>
      <c r="D225" s="2"/>
      <c r="E225" s="2"/>
      <c r="F225" s="2"/>
      <c r="G225" s="2"/>
      <c r="H225" s="2"/>
    </row>
    <row r="226" spans="2:8" ht="13.2" x14ac:dyDescent="0.25">
      <c r="B226" s="2"/>
      <c r="C226" s="2"/>
      <c r="D226" s="2"/>
      <c r="E226" s="2"/>
      <c r="F226" s="2"/>
      <c r="G226" s="2"/>
      <c r="H226" s="2"/>
    </row>
    <row r="227" spans="2:8" ht="13.2" x14ac:dyDescent="0.25">
      <c r="B227" s="2"/>
      <c r="C227" s="2"/>
      <c r="D227" s="2"/>
      <c r="E227" s="2"/>
      <c r="F227" s="2"/>
      <c r="G227" s="2"/>
      <c r="H227" s="2"/>
    </row>
    <row r="228" spans="2:8" ht="13.2" x14ac:dyDescent="0.25">
      <c r="B228" s="2"/>
      <c r="C228" s="2"/>
      <c r="D228" s="2"/>
      <c r="E228" s="2"/>
      <c r="F228" s="2"/>
      <c r="G228" s="2"/>
      <c r="H228" s="2"/>
    </row>
    <row r="229" spans="2:8" ht="13.2" x14ac:dyDescent="0.25">
      <c r="B229" s="2"/>
      <c r="C229" s="2"/>
      <c r="D229" s="2"/>
      <c r="E229" s="2"/>
      <c r="F229" s="2"/>
      <c r="G229" s="2"/>
      <c r="H229" s="2"/>
    </row>
    <row r="230" spans="2:8" ht="13.2" x14ac:dyDescent="0.25">
      <c r="B230" s="2"/>
      <c r="C230" s="2"/>
      <c r="D230" s="2"/>
      <c r="E230" s="2"/>
      <c r="F230" s="2"/>
      <c r="G230" s="2"/>
      <c r="H230" s="2"/>
    </row>
    <row r="231" spans="2:8" ht="13.2" x14ac:dyDescent="0.25">
      <c r="B231" s="2"/>
      <c r="C231" s="2"/>
      <c r="D231" s="2"/>
      <c r="E231" s="2"/>
      <c r="F231" s="2"/>
      <c r="G231" s="2"/>
      <c r="H231" s="2"/>
    </row>
    <row r="232" spans="2:8" ht="13.2" x14ac:dyDescent="0.25">
      <c r="B232" s="2"/>
      <c r="C232" s="2"/>
      <c r="D232" s="2"/>
      <c r="E232" s="2"/>
      <c r="F232" s="2"/>
      <c r="G232" s="2"/>
      <c r="H232" s="2"/>
    </row>
    <row r="233" spans="2:8" ht="13.2" x14ac:dyDescent="0.25">
      <c r="B233" s="2"/>
      <c r="C233" s="2"/>
      <c r="D233" s="2"/>
      <c r="E233" s="2"/>
      <c r="F233" s="2"/>
      <c r="G233" s="2"/>
      <c r="H233" s="2"/>
    </row>
    <row r="234" spans="2:8" ht="13.2" x14ac:dyDescent="0.25">
      <c r="B234" s="2"/>
      <c r="C234" s="2"/>
      <c r="D234" s="2"/>
      <c r="E234" s="2"/>
      <c r="F234" s="2"/>
      <c r="G234" s="2"/>
      <c r="H234" s="2"/>
    </row>
    <row r="235" spans="2:8" ht="13.2" x14ac:dyDescent="0.25">
      <c r="B235" s="2"/>
      <c r="C235" s="2"/>
      <c r="D235" s="2"/>
      <c r="E235" s="2"/>
      <c r="F235" s="2"/>
      <c r="G235" s="2"/>
      <c r="H235" s="2"/>
    </row>
    <row r="236" spans="2:8" ht="13.2" x14ac:dyDescent="0.25">
      <c r="B236" s="2"/>
      <c r="C236" s="2"/>
      <c r="D236" s="2"/>
      <c r="E236" s="2"/>
      <c r="F236" s="2"/>
      <c r="G236" s="2"/>
      <c r="H236" s="2"/>
    </row>
    <row r="237" spans="2:8" ht="13.2" x14ac:dyDescent="0.25">
      <c r="B237" s="2"/>
      <c r="C237" s="2"/>
      <c r="D237" s="2"/>
      <c r="E237" s="2"/>
      <c r="F237" s="2"/>
      <c r="G237" s="2"/>
      <c r="H237" s="2"/>
    </row>
    <row r="238" spans="2:8" ht="13.2" x14ac:dyDescent="0.25">
      <c r="B238" s="2"/>
      <c r="C238" s="2"/>
      <c r="D238" s="2"/>
      <c r="E238" s="2"/>
      <c r="F238" s="2"/>
      <c r="G238" s="2"/>
      <c r="H238" s="2"/>
    </row>
    <row r="239" spans="2:8" ht="13.2" x14ac:dyDescent="0.25">
      <c r="B239" s="2"/>
      <c r="C239" s="2"/>
      <c r="D239" s="2"/>
      <c r="E239" s="2"/>
      <c r="F239" s="2"/>
      <c r="G239" s="2"/>
      <c r="H239" s="2"/>
    </row>
    <row r="240" spans="2:8" ht="13.2" x14ac:dyDescent="0.25">
      <c r="B240" s="2"/>
      <c r="C240" s="2"/>
      <c r="D240" s="2"/>
      <c r="E240" s="2"/>
      <c r="F240" s="2"/>
      <c r="G240" s="2"/>
      <c r="H240" s="2"/>
    </row>
    <row r="241" spans="2:8" ht="13.2" x14ac:dyDescent="0.25">
      <c r="B241" s="2"/>
      <c r="C241" s="2"/>
      <c r="D241" s="2"/>
      <c r="E241" s="2"/>
      <c r="F241" s="2"/>
      <c r="G241" s="2"/>
      <c r="H241" s="2"/>
    </row>
    <row r="242" spans="2:8" ht="13.2" x14ac:dyDescent="0.25">
      <c r="B242" s="2"/>
      <c r="C242" s="2"/>
      <c r="D242" s="2"/>
      <c r="E242" s="2"/>
      <c r="F242" s="2"/>
      <c r="G242" s="2"/>
      <c r="H242" s="2"/>
    </row>
    <row r="243" spans="2:8" ht="13.2" x14ac:dyDescent="0.25">
      <c r="B243" s="2"/>
      <c r="C243" s="2"/>
      <c r="D243" s="2"/>
      <c r="E243" s="2"/>
      <c r="F243" s="2"/>
      <c r="G243" s="2"/>
      <c r="H243" s="2"/>
    </row>
    <row r="244" spans="2:8" ht="13.2" x14ac:dyDescent="0.25">
      <c r="B244" s="2"/>
      <c r="C244" s="2"/>
      <c r="D244" s="2"/>
      <c r="E244" s="2"/>
      <c r="F244" s="2"/>
      <c r="G244" s="2"/>
      <c r="H244" s="2"/>
    </row>
    <row r="245" spans="2:8" ht="13.2" x14ac:dyDescent="0.25">
      <c r="B245" s="2"/>
      <c r="C245" s="2"/>
      <c r="D245" s="2"/>
      <c r="E245" s="2"/>
      <c r="F245" s="2"/>
      <c r="G245" s="2"/>
      <c r="H245" s="2"/>
    </row>
    <row r="246" spans="2:8" ht="13.2" x14ac:dyDescent="0.25">
      <c r="B246" s="2"/>
      <c r="C246" s="2"/>
      <c r="D246" s="2"/>
      <c r="E246" s="2"/>
      <c r="F246" s="2"/>
      <c r="G246" s="2"/>
      <c r="H246" s="2"/>
    </row>
    <row r="247" spans="2:8" ht="13.2" x14ac:dyDescent="0.25">
      <c r="B247" s="2"/>
      <c r="C247" s="2"/>
      <c r="D247" s="2"/>
      <c r="E247" s="2"/>
      <c r="F247" s="2"/>
      <c r="G247" s="2"/>
      <c r="H247" s="2"/>
    </row>
    <row r="248" spans="2:8" ht="13.2" x14ac:dyDescent="0.25">
      <c r="B248" s="2"/>
      <c r="C248" s="2"/>
      <c r="D248" s="2"/>
      <c r="E248" s="2"/>
      <c r="F248" s="2"/>
      <c r="G248" s="2"/>
      <c r="H248" s="2"/>
    </row>
    <row r="249" spans="2:8" ht="13.2" x14ac:dyDescent="0.25">
      <c r="B249" s="2"/>
      <c r="C249" s="2"/>
      <c r="D249" s="2"/>
      <c r="E249" s="2"/>
      <c r="F249" s="2"/>
      <c r="G249" s="2"/>
      <c r="H249" s="2"/>
    </row>
    <row r="250" spans="2:8" ht="13.2" x14ac:dyDescent="0.25">
      <c r="B250" s="2"/>
      <c r="C250" s="2"/>
      <c r="D250" s="2"/>
      <c r="E250" s="2"/>
      <c r="F250" s="2"/>
      <c r="G250" s="2"/>
      <c r="H250" s="2"/>
    </row>
    <row r="251" spans="2:8" ht="13.2" x14ac:dyDescent="0.25">
      <c r="B251" s="2"/>
      <c r="C251" s="2"/>
      <c r="D251" s="2"/>
      <c r="E251" s="2"/>
      <c r="F251" s="2"/>
      <c r="G251" s="2"/>
      <c r="H251" s="2"/>
    </row>
    <row r="252" spans="2:8" ht="13.2" x14ac:dyDescent="0.25">
      <c r="B252" s="2"/>
      <c r="C252" s="2"/>
      <c r="D252" s="2"/>
      <c r="E252" s="2"/>
      <c r="F252" s="2"/>
      <c r="G252" s="2"/>
      <c r="H252" s="2"/>
    </row>
    <row r="253" spans="2:8" ht="13.2" x14ac:dyDescent="0.25">
      <c r="B253" s="2"/>
      <c r="C253" s="2"/>
      <c r="D253" s="2"/>
      <c r="E253" s="2"/>
      <c r="F253" s="2"/>
      <c r="G253" s="2"/>
      <c r="H253" s="2"/>
    </row>
    <row r="254" spans="2:8" ht="13.2" x14ac:dyDescent="0.25">
      <c r="B254" s="2"/>
      <c r="C254" s="2"/>
      <c r="D254" s="2"/>
      <c r="E254" s="2"/>
      <c r="F254" s="2"/>
      <c r="G254" s="2"/>
      <c r="H254" s="2"/>
    </row>
    <row r="255" spans="2:8" ht="13.2" x14ac:dyDescent="0.25">
      <c r="B255" s="2"/>
      <c r="C255" s="2"/>
      <c r="D255" s="2"/>
      <c r="E255" s="2"/>
      <c r="F255" s="2"/>
      <c r="G255" s="2"/>
      <c r="H255" s="2"/>
    </row>
    <row r="256" spans="2:8" ht="13.2" x14ac:dyDescent="0.25">
      <c r="B256" s="2"/>
      <c r="C256" s="2"/>
      <c r="D256" s="2"/>
      <c r="E256" s="2"/>
      <c r="F256" s="2"/>
      <c r="G256" s="2"/>
      <c r="H256" s="2"/>
    </row>
    <row r="257" spans="2:8" ht="13.2" x14ac:dyDescent="0.25">
      <c r="B257" s="2"/>
      <c r="C257" s="2"/>
      <c r="D257" s="2"/>
      <c r="E257" s="2"/>
      <c r="F257" s="2"/>
      <c r="G257" s="2"/>
      <c r="H257" s="2"/>
    </row>
    <row r="258" spans="2:8" ht="13.2" x14ac:dyDescent="0.25">
      <c r="B258" s="2"/>
      <c r="C258" s="2"/>
      <c r="D258" s="2"/>
      <c r="E258" s="2"/>
      <c r="F258" s="2"/>
      <c r="G258" s="2"/>
      <c r="H258" s="2"/>
    </row>
    <row r="259" spans="2:8" ht="13.2" x14ac:dyDescent="0.25">
      <c r="B259" s="2"/>
      <c r="C259" s="2"/>
      <c r="D259" s="2"/>
      <c r="E259" s="2"/>
      <c r="F259" s="2"/>
      <c r="G259" s="2"/>
      <c r="H259" s="2"/>
    </row>
    <row r="260" spans="2:8" ht="13.2" x14ac:dyDescent="0.25">
      <c r="B260" s="2"/>
      <c r="C260" s="2"/>
      <c r="D260" s="2"/>
      <c r="E260" s="2"/>
      <c r="F260" s="2"/>
      <c r="G260" s="2"/>
      <c r="H260" s="2"/>
    </row>
    <row r="261" spans="2:8" ht="13.2" x14ac:dyDescent="0.25">
      <c r="B261" s="2"/>
      <c r="C261" s="2"/>
      <c r="D261" s="2"/>
      <c r="E261" s="2"/>
      <c r="F261" s="2"/>
      <c r="G261" s="2"/>
      <c r="H261" s="2"/>
    </row>
    <row r="262" spans="2:8" ht="13.2" x14ac:dyDescent="0.25">
      <c r="B262" s="2"/>
      <c r="C262" s="2"/>
      <c r="D262" s="2"/>
      <c r="E262" s="2"/>
      <c r="F262" s="2"/>
      <c r="G262" s="2"/>
      <c r="H262" s="2"/>
    </row>
    <row r="263" spans="2:8" ht="13.2" x14ac:dyDescent="0.25">
      <c r="B263" s="2"/>
      <c r="C263" s="2"/>
      <c r="D263" s="2"/>
      <c r="E263" s="2"/>
      <c r="F263" s="2"/>
      <c r="G263" s="2"/>
      <c r="H263" s="2"/>
    </row>
    <row r="264" spans="2:8" ht="13.2" x14ac:dyDescent="0.25">
      <c r="B264" s="2"/>
      <c r="C264" s="2"/>
      <c r="D264" s="2"/>
      <c r="E264" s="2"/>
      <c r="F264" s="2"/>
      <c r="G264" s="2"/>
      <c r="H264" s="2"/>
    </row>
    <row r="265" spans="2:8" ht="13.2" x14ac:dyDescent="0.25">
      <c r="B265" s="2"/>
      <c r="C265" s="2"/>
      <c r="D265" s="2"/>
      <c r="E265" s="2"/>
      <c r="F265" s="2"/>
      <c r="G265" s="2"/>
      <c r="H265" s="2"/>
    </row>
    <row r="266" spans="2:8" ht="13.2" x14ac:dyDescent="0.25">
      <c r="B266" s="2"/>
      <c r="C266" s="2"/>
      <c r="D266" s="2"/>
      <c r="E266" s="2"/>
      <c r="F266" s="2"/>
      <c r="G266" s="2"/>
      <c r="H266" s="2"/>
    </row>
    <row r="267" spans="2:8" ht="13.2" x14ac:dyDescent="0.25">
      <c r="B267" s="2"/>
      <c r="C267" s="2"/>
      <c r="D267" s="2"/>
      <c r="E267" s="2"/>
      <c r="F267" s="2"/>
      <c r="G267" s="2"/>
      <c r="H267" s="2"/>
    </row>
    <row r="268" spans="2:8" ht="13.2" x14ac:dyDescent="0.25">
      <c r="B268" s="2"/>
      <c r="C268" s="2"/>
      <c r="D268" s="2"/>
      <c r="E268" s="2"/>
      <c r="F268" s="2"/>
      <c r="G268" s="2"/>
      <c r="H268" s="2"/>
    </row>
    <row r="269" spans="2:8" ht="13.2" x14ac:dyDescent="0.25">
      <c r="B269" s="2"/>
      <c r="C269" s="2"/>
      <c r="D269" s="2"/>
      <c r="E269" s="2"/>
      <c r="F269" s="2"/>
      <c r="G269" s="2"/>
      <c r="H269" s="2"/>
    </row>
    <row r="270" spans="2:8" ht="13.2" x14ac:dyDescent="0.25">
      <c r="B270" s="2"/>
      <c r="C270" s="2"/>
      <c r="D270" s="2"/>
      <c r="E270" s="2"/>
      <c r="F270" s="2"/>
      <c r="G270" s="2"/>
      <c r="H270" s="2"/>
    </row>
    <row r="271" spans="2:8" ht="13.2" x14ac:dyDescent="0.25">
      <c r="B271" s="2"/>
      <c r="C271" s="2"/>
      <c r="D271" s="2"/>
      <c r="E271" s="2"/>
      <c r="F271" s="2"/>
      <c r="G271" s="2"/>
      <c r="H271" s="2"/>
    </row>
    <row r="272" spans="2:8" ht="13.2" x14ac:dyDescent="0.25">
      <c r="B272" s="2"/>
      <c r="C272" s="2"/>
      <c r="D272" s="2"/>
      <c r="E272" s="2"/>
      <c r="F272" s="2"/>
      <c r="G272" s="2"/>
      <c r="H272" s="2"/>
    </row>
    <row r="273" spans="2:8" ht="13.2" x14ac:dyDescent="0.25">
      <c r="B273" s="2"/>
      <c r="C273" s="2"/>
      <c r="D273" s="2"/>
      <c r="E273" s="2"/>
      <c r="F273" s="2"/>
      <c r="G273" s="2"/>
      <c r="H273" s="2"/>
    </row>
    <row r="274" spans="2:8" ht="13.2" x14ac:dyDescent="0.25">
      <c r="B274" s="2"/>
      <c r="C274" s="2"/>
      <c r="D274" s="2"/>
      <c r="E274" s="2"/>
      <c r="F274" s="2"/>
      <c r="G274" s="2"/>
      <c r="H274" s="2"/>
    </row>
    <row r="275" spans="2:8" ht="13.2" x14ac:dyDescent="0.25">
      <c r="B275" s="2"/>
      <c r="C275" s="2"/>
      <c r="D275" s="2"/>
      <c r="E275" s="2"/>
      <c r="F275" s="2"/>
      <c r="G275" s="2"/>
      <c r="H275" s="2"/>
    </row>
    <row r="276" spans="2:8" ht="13.2" x14ac:dyDescent="0.25">
      <c r="B276" s="2"/>
      <c r="C276" s="2"/>
      <c r="D276" s="2"/>
      <c r="E276" s="2"/>
      <c r="F276" s="2"/>
      <c r="G276" s="2"/>
      <c r="H276" s="2"/>
    </row>
    <row r="277" spans="2:8" ht="13.2" x14ac:dyDescent="0.25">
      <c r="B277" s="2"/>
      <c r="C277" s="2"/>
      <c r="D277" s="2"/>
      <c r="E277" s="2"/>
      <c r="F277" s="2"/>
      <c r="G277" s="2"/>
      <c r="H277" s="2"/>
    </row>
    <row r="278" spans="2:8" ht="13.2" x14ac:dyDescent="0.25">
      <c r="B278" s="2"/>
      <c r="C278" s="2"/>
      <c r="D278" s="2"/>
      <c r="E278" s="2"/>
      <c r="F278" s="2"/>
      <c r="G278" s="2"/>
      <c r="H278" s="2"/>
    </row>
    <row r="279" spans="2:8" ht="13.2" x14ac:dyDescent="0.25">
      <c r="B279" s="2"/>
      <c r="C279" s="2"/>
      <c r="D279" s="2"/>
      <c r="E279" s="2"/>
      <c r="F279" s="2"/>
      <c r="G279" s="2"/>
      <c r="H279" s="2"/>
    </row>
    <row r="280" spans="2:8" ht="13.2" x14ac:dyDescent="0.25">
      <c r="B280" s="2"/>
      <c r="C280" s="2"/>
      <c r="D280" s="2"/>
      <c r="E280" s="2"/>
      <c r="F280" s="2"/>
      <c r="G280" s="2"/>
      <c r="H280" s="2"/>
    </row>
    <row r="281" spans="2:8" ht="13.2" x14ac:dyDescent="0.25">
      <c r="B281" s="2"/>
      <c r="C281" s="2"/>
      <c r="D281" s="2"/>
      <c r="E281" s="2"/>
      <c r="F281" s="2"/>
      <c r="G281" s="2"/>
      <c r="H281" s="2"/>
    </row>
    <row r="282" spans="2:8" ht="13.2" x14ac:dyDescent="0.25">
      <c r="B282" s="2"/>
      <c r="C282" s="2"/>
      <c r="D282" s="2"/>
      <c r="E282" s="2"/>
      <c r="F282" s="2"/>
      <c r="G282" s="2"/>
      <c r="H282" s="2"/>
    </row>
    <row r="283" spans="2:8" ht="13.2" x14ac:dyDescent="0.25">
      <c r="B283" s="2"/>
      <c r="C283" s="2"/>
      <c r="D283" s="2"/>
      <c r="E283" s="2"/>
      <c r="F283" s="2"/>
      <c r="G283" s="2"/>
      <c r="H283" s="2"/>
    </row>
    <row r="284" spans="2:8" ht="13.2" x14ac:dyDescent="0.25">
      <c r="B284" s="2"/>
      <c r="C284" s="2"/>
      <c r="D284" s="2"/>
      <c r="E284" s="2"/>
      <c r="F284" s="2"/>
      <c r="G284" s="2"/>
      <c r="H284" s="2"/>
    </row>
    <row r="285" spans="2:8" ht="13.2" x14ac:dyDescent="0.25">
      <c r="B285" s="2"/>
      <c r="C285" s="2"/>
      <c r="D285" s="2"/>
      <c r="E285" s="2"/>
      <c r="F285" s="2"/>
      <c r="G285" s="2"/>
      <c r="H285" s="2"/>
    </row>
    <row r="286" spans="2:8" ht="13.2" x14ac:dyDescent="0.25">
      <c r="B286" s="2"/>
      <c r="C286" s="2"/>
      <c r="D286" s="2"/>
      <c r="E286" s="2"/>
      <c r="F286" s="2"/>
      <c r="G286" s="2"/>
      <c r="H286" s="2"/>
    </row>
    <row r="287" spans="2:8" ht="13.2" x14ac:dyDescent="0.25">
      <c r="B287" s="2"/>
      <c r="C287" s="2"/>
      <c r="D287" s="2"/>
      <c r="E287" s="2"/>
      <c r="F287" s="2"/>
      <c r="G287" s="2"/>
      <c r="H287" s="2"/>
    </row>
    <row r="288" spans="2:8" ht="13.2" x14ac:dyDescent="0.25">
      <c r="B288" s="2"/>
      <c r="C288" s="2"/>
      <c r="D288" s="2"/>
      <c r="E288" s="2"/>
      <c r="F288" s="2"/>
      <c r="G288" s="2"/>
      <c r="H288" s="2"/>
    </row>
    <row r="289" spans="2:8" ht="13.2" x14ac:dyDescent="0.25">
      <c r="B289" s="2"/>
      <c r="C289" s="2"/>
      <c r="D289" s="2"/>
      <c r="E289" s="2"/>
      <c r="F289" s="2"/>
      <c r="G289" s="2"/>
      <c r="H289" s="2"/>
    </row>
    <row r="290" spans="2:8" ht="13.2" x14ac:dyDescent="0.25">
      <c r="B290" s="2"/>
      <c r="C290" s="2"/>
      <c r="D290" s="2"/>
      <c r="E290" s="2"/>
      <c r="F290" s="2"/>
      <c r="G290" s="2"/>
      <c r="H290" s="2"/>
    </row>
    <row r="291" spans="2:8" ht="13.2" x14ac:dyDescent="0.25">
      <c r="B291" s="2"/>
      <c r="C291" s="2"/>
      <c r="D291" s="2"/>
      <c r="E291" s="2"/>
      <c r="F291" s="2"/>
      <c r="G291" s="2"/>
      <c r="H291" s="2"/>
    </row>
    <row r="292" spans="2:8" ht="13.2" x14ac:dyDescent="0.25">
      <c r="B292" s="2"/>
      <c r="C292" s="2"/>
      <c r="D292" s="2"/>
      <c r="E292" s="2"/>
      <c r="F292" s="2"/>
      <c r="G292" s="2"/>
      <c r="H292" s="2"/>
    </row>
    <row r="293" spans="2:8" ht="13.2" x14ac:dyDescent="0.25">
      <c r="B293" s="2"/>
      <c r="C293" s="2"/>
      <c r="D293" s="2"/>
      <c r="E293" s="2"/>
      <c r="F293" s="2"/>
      <c r="G293" s="2"/>
      <c r="H293" s="2"/>
    </row>
    <row r="294" spans="2:8" ht="13.2" x14ac:dyDescent="0.25">
      <c r="B294" s="2"/>
      <c r="C294" s="2"/>
      <c r="D294" s="2"/>
      <c r="E294" s="2"/>
      <c r="F294" s="2"/>
      <c r="G294" s="2"/>
      <c r="H294" s="2"/>
    </row>
    <row r="295" spans="2:8" ht="13.2" x14ac:dyDescent="0.25">
      <c r="B295" s="2"/>
      <c r="C295" s="2"/>
      <c r="D295" s="2"/>
      <c r="E295" s="2"/>
      <c r="F295" s="2"/>
      <c r="G295" s="2"/>
      <c r="H295" s="2"/>
    </row>
    <row r="296" spans="2:8" ht="13.2" x14ac:dyDescent="0.25">
      <c r="B296" s="2"/>
      <c r="C296" s="2"/>
      <c r="D296" s="2"/>
      <c r="E296" s="2"/>
      <c r="F296" s="2"/>
      <c r="G296" s="2"/>
      <c r="H296" s="2"/>
    </row>
    <row r="297" spans="2:8" ht="13.2" x14ac:dyDescent="0.25">
      <c r="B297" s="2"/>
      <c r="C297" s="2"/>
      <c r="D297" s="2"/>
      <c r="E297" s="2"/>
      <c r="F297" s="2"/>
      <c r="G297" s="2"/>
      <c r="H297" s="2"/>
    </row>
    <row r="298" spans="2:8" ht="13.2" x14ac:dyDescent="0.25">
      <c r="B298" s="2"/>
      <c r="C298" s="2"/>
      <c r="D298" s="2"/>
      <c r="E298" s="2"/>
      <c r="F298" s="2"/>
      <c r="G298" s="2"/>
      <c r="H298" s="2"/>
    </row>
    <row r="299" spans="2:8" ht="13.2" x14ac:dyDescent="0.25">
      <c r="B299" s="2"/>
      <c r="C299" s="2"/>
      <c r="D299" s="2"/>
      <c r="E299" s="2"/>
      <c r="F299" s="2"/>
      <c r="G299" s="2"/>
      <c r="H299" s="2"/>
    </row>
    <row r="300" spans="2:8" ht="13.2" x14ac:dyDescent="0.25">
      <c r="B300" s="2"/>
      <c r="C300" s="2"/>
      <c r="D300" s="2"/>
      <c r="E300" s="2"/>
      <c r="F300" s="2"/>
      <c r="G300" s="2"/>
      <c r="H300" s="2"/>
    </row>
    <row r="301" spans="2:8" ht="13.2" x14ac:dyDescent="0.25">
      <c r="B301" s="2"/>
      <c r="C301" s="2"/>
      <c r="D301" s="2"/>
      <c r="E301" s="2"/>
      <c r="F301" s="2"/>
      <c r="G301" s="2"/>
      <c r="H301" s="2"/>
    </row>
    <row r="302" spans="2:8" ht="13.2" x14ac:dyDescent="0.25">
      <c r="B302" s="2"/>
      <c r="C302" s="2"/>
      <c r="D302" s="2"/>
      <c r="E302" s="2"/>
      <c r="F302" s="2"/>
      <c r="G302" s="2"/>
      <c r="H302" s="2"/>
    </row>
    <row r="303" spans="2:8" ht="13.2" x14ac:dyDescent="0.25">
      <c r="B303" s="2"/>
      <c r="C303" s="2"/>
      <c r="D303" s="2"/>
      <c r="E303" s="2"/>
      <c r="F303" s="2"/>
      <c r="G303" s="2"/>
      <c r="H303" s="2"/>
    </row>
    <row r="304" spans="2:8" ht="13.2" x14ac:dyDescent="0.25">
      <c r="B304" s="2"/>
      <c r="C304" s="2"/>
      <c r="D304" s="2"/>
      <c r="E304" s="2"/>
      <c r="F304" s="2"/>
      <c r="G304" s="2"/>
      <c r="H304" s="2"/>
    </row>
    <row r="305" spans="2:8" ht="13.2" x14ac:dyDescent="0.25">
      <c r="B305" s="2"/>
      <c r="C305" s="2"/>
      <c r="D305" s="2"/>
      <c r="E305" s="2"/>
      <c r="F305" s="2"/>
      <c r="G305" s="2"/>
      <c r="H305" s="2"/>
    </row>
    <row r="306" spans="2:8" ht="13.2" x14ac:dyDescent="0.25">
      <c r="B306" s="2"/>
      <c r="C306" s="2"/>
      <c r="D306" s="2"/>
      <c r="E306" s="2"/>
      <c r="F306" s="2"/>
      <c r="G306" s="2"/>
      <c r="H306" s="2"/>
    </row>
    <row r="307" spans="2:8" ht="13.2" x14ac:dyDescent="0.25">
      <c r="B307" s="2"/>
      <c r="C307" s="2"/>
      <c r="D307" s="2"/>
      <c r="E307" s="2"/>
      <c r="F307" s="2"/>
      <c r="G307" s="2"/>
      <c r="H307" s="2"/>
    </row>
    <row r="308" spans="2:8" ht="13.2" x14ac:dyDescent="0.25">
      <c r="B308" s="2"/>
      <c r="C308" s="2"/>
      <c r="D308" s="2"/>
      <c r="E308" s="2"/>
      <c r="F308" s="2"/>
      <c r="G308" s="2"/>
      <c r="H308" s="2"/>
    </row>
    <row r="309" spans="2:8" ht="13.2" x14ac:dyDescent="0.25">
      <c r="B309" s="2"/>
      <c r="C309" s="2"/>
      <c r="D309" s="2"/>
      <c r="E309" s="2"/>
      <c r="F309" s="2"/>
      <c r="G309" s="2"/>
      <c r="H309" s="2"/>
    </row>
    <row r="310" spans="2:8" ht="13.2" x14ac:dyDescent="0.25">
      <c r="B310" s="2"/>
      <c r="C310" s="2"/>
      <c r="D310" s="2"/>
      <c r="E310" s="2"/>
      <c r="F310" s="2"/>
      <c r="G310" s="2"/>
      <c r="H310" s="2"/>
    </row>
    <row r="311" spans="2:8" ht="13.2" x14ac:dyDescent="0.25">
      <c r="B311" s="2"/>
      <c r="C311" s="2"/>
      <c r="D311" s="2"/>
      <c r="E311" s="2"/>
      <c r="F311" s="2"/>
      <c r="G311" s="2"/>
      <c r="H311" s="2"/>
    </row>
    <row r="312" spans="2:8" ht="13.2" x14ac:dyDescent="0.25">
      <c r="B312" s="2"/>
      <c r="C312" s="2"/>
      <c r="D312" s="2"/>
      <c r="E312" s="2"/>
      <c r="F312" s="2"/>
      <c r="G312" s="2"/>
      <c r="H312" s="2"/>
    </row>
    <row r="313" spans="2:8" ht="13.2" x14ac:dyDescent="0.25">
      <c r="B313" s="2"/>
      <c r="C313" s="2"/>
      <c r="D313" s="2"/>
      <c r="E313" s="2"/>
      <c r="F313" s="2"/>
      <c r="G313" s="2"/>
      <c r="H313" s="2"/>
    </row>
    <row r="314" spans="2:8" ht="13.2" x14ac:dyDescent="0.25">
      <c r="B314" s="2"/>
      <c r="C314" s="2"/>
      <c r="D314" s="2"/>
      <c r="E314" s="2"/>
      <c r="F314" s="2"/>
      <c r="G314" s="2"/>
      <c r="H314" s="2"/>
    </row>
    <row r="315" spans="2:8" ht="13.2" x14ac:dyDescent="0.25">
      <c r="B315" s="2"/>
      <c r="C315" s="2"/>
      <c r="D315" s="2"/>
      <c r="E315" s="2"/>
      <c r="F315" s="2"/>
      <c r="G315" s="2"/>
      <c r="H315" s="2"/>
    </row>
    <row r="316" spans="2:8" ht="13.2" x14ac:dyDescent="0.25">
      <c r="B316" s="2"/>
      <c r="C316" s="2"/>
      <c r="D316" s="2"/>
      <c r="E316" s="2"/>
      <c r="F316" s="2"/>
      <c r="G316" s="2"/>
      <c r="H316" s="2"/>
    </row>
    <row r="317" spans="2:8" ht="13.2" x14ac:dyDescent="0.25">
      <c r="B317" s="2"/>
      <c r="C317" s="2"/>
      <c r="D317" s="2"/>
      <c r="E317" s="2"/>
      <c r="F317" s="2"/>
      <c r="G317" s="2"/>
      <c r="H317" s="2"/>
    </row>
    <row r="318" spans="2:8" ht="13.2" x14ac:dyDescent="0.25">
      <c r="B318" s="2"/>
      <c r="C318" s="2"/>
      <c r="D318" s="2"/>
      <c r="E318" s="2"/>
      <c r="F318" s="2"/>
      <c r="G318" s="2"/>
      <c r="H318" s="2"/>
    </row>
    <row r="319" spans="2:8" ht="13.2" x14ac:dyDescent="0.25">
      <c r="B319" s="2"/>
      <c r="C319" s="2"/>
      <c r="D319" s="2"/>
      <c r="E319" s="2"/>
      <c r="F319" s="2"/>
      <c r="G319" s="2"/>
      <c r="H319" s="2"/>
    </row>
    <row r="320" spans="2:8" ht="13.2" x14ac:dyDescent="0.25">
      <c r="B320" s="2"/>
      <c r="C320" s="2"/>
      <c r="D320" s="2"/>
      <c r="E320" s="2"/>
      <c r="F320" s="2"/>
      <c r="G320" s="2"/>
      <c r="H320" s="2"/>
    </row>
    <row r="321" spans="2:8" ht="13.2" x14ac:dyDescent="0.25">
      <c r="B321" s="2"/>
      <c r="C321" s="2"/>
      <c r="D321" s="2"/>
      <c r="E321" s="2"/>
      <c r="F321" s="2"/>
      <c r="G321" s="2"/>
      <c r="H321" s="2"/>
    </row>
    <row r="322" spans="2:8" ht="13.2" x14ac:dyDescent="0.25">
      <c r="B322" s="2"/>
      <c r="C322" s="2"/>
      <c r="D322" s="2"/>
      <c r="E322" s="2"/>
      <c r="F322" s="2"/>
      <c r="G322" s="2"/>
      <c r="H322" s="2"/>
    </row>
    <row r="323" spans="2:8" ht="13.2" x14ac:dyDescent="0.25">
      <c r="B323" s="2"/>
      <c r="C323" s="2"/>
      <c r="D323" s="2"/>
      <c r="E323" s="2"/>
      <c r="F323" s="2"/>
      <c r="G323" s="2"/>
      <c r="H323" s="2"/>
    </row>
    <row r="324" spans="2:8" ht="13.2" x14ac:dyDescent="0.25">
      <c r="B324" s="2"/>
      <c r="C324" s="2"/>
      <c r="D324" s="2"/>
      <c r="E324" s="2"/>
      <c r="F324" s="2"/>
      <c r="G324" s="2"/>
      <c r="H324" s="2"/>
    </row>
    <row r="325" spans="2:8" ht="13.2" x14ac:dyDescent="0.25">
      <c r="B325" s="2"/>
      <c r="C325" s="2"/>
      <c r="D325" s="2"/>
      <c r="E325" s="2"/>
      <c r="F325" s="2"/>
      <c r="G325" s="2"/>
      <c r="H325" s="2"/>
    </row>
    <row r="326" spans="2:8" ht="13.2" x14ac:dyDescent="0.25">
      <c r="B326" s="2"/>
      <c r="C326" s="2"/>
      <c r="D326" s="2"/>
      <c r="E326" s="2"/>
      <c r="F326" s="2"/>
      <c r="G326" s="2"/>
      <c r="H326" s="2"/>
    </row>
    <row r="327" spans="2:8" ht="13.2" x14ac:dyDescent="0.25">
      <c r="B327" s="2"/>
      <c r="C327" s="2"/>
      <c r="D327" s="2"/>
      <c r="E327" s="2"/>
      <c r="F327" s="2"/>
      <c r="G327" s="2"/>
      <c r="H327" s="2"/>
    </row>
    <row r="328" spans="2:8" ht="13.2" x14ac:dyDescent="0.25">
      <c r="B328" s="2"/>
      <c r="C328" s="2"/>
      <c r="D328" s="2"/>
      <c r="E328" s="2"/>
      <c r="F328" s="2"/>
      <c r="G328" s="2"/>
      <c r="H328" s="2"/>
    </row>
    <row r="329" spans="2:8" ht="13.2" x14ac:dyDescent="0.25">
      <c r="B329" s="2"/>
      <c r="C329" s="2"/>
      <c r="D329" s="2"/>
      <c r="E329" s="2"/>
      <c r="F329" s="2"/>
      <c r="G329" s="2"/>
      <c r="H329" s="2"/>
    </row>
    <row r="330" spans="2:8" ht="13.2" x14ac:dyDescent="0.25">
      <c r="B330" s="2"/>
      <c r="C330" s="2"/>
      <c r="D330" s="2"/>
      <c r="E330" s="2"/>
      <c r="F330" s="2"/>
      <c r="G330" s="2"/>
      <c r="H330" s="2"/>
    </row>
    <row r="331" spans="2:8" ht="13.2" x14ac:dyDescent="0.25">
      <c r="B331" s="2"/>
      <c r="C331" s="2"/>
      <c r="D331" s="2"/>
      <c r="E331" s="2"/>
      <c r="F331" s="2"/>
      <c r="G331" s="2"/>
      <c r="H331" s="2"/>
    </row>
    <row r="332" spans="2:8" ht="13.2" x14ac:dyDescent="0.25">
      <c r="B332" s="2"/>
      <c r="C332" s="2"/>
      <c r="D332" s="2"/>
      <c r="E332" s="2"/>
      <c r="F332" s="2"/>
      <c r="G332" s="2"/>
      <c r="H332" s="2"/>
    </row>
    <row r="333" spans="2:8" ht="13.2" x14ac:dyDescent="0.25">
      <c r="B333" s="2"/>
      <c r="C333" s="2"/>
      <c r="D333" s="2"/>
      <c r="E333" s="2"/>
      <c r="F333" s="2"/>
      <c r="G333" s="2"/>
      <c r="H333" s="2"/>
    </row>
    <row r="334" spans="2:8" ht="13.2" x14ac:dyDescent="0.25">
      <c r="B334" s="2"/>
      <c r="C334" s="2"/>
      <c r="D334" s="2"/>
      <c r="E334" s="2"/>
      <c r="F334" s="2"/>
      <c r="G334" s="2"/>
      <c r="H334" s="2"/>
    </row>
    <row r="335" spans="2:8" ht="13.2" x14ac:dyDescent="0.25">
      <c r="B335" s="2"/>
      <c r="C335" s="2"/>
      <c r="D335" s="2"/>
      <c r="E335" s="2"/>
      <c r="F335" s="2"/>
      <c r="G335" s="2"/>
      <c r="H335" s="2"/>
    </row>
    <row r="336" spans="2:8" ht="13.2" x14ac:dyDescent="0.25">
      <c r="B336" s="2"/>
      <c r="C336" s="2"/>
      <c r="D336" s="2"/>
      <c r="E336" s="2"/>
      <c r="F336" s="2"/>
      <c r="G336" s="2"/>
      <c r="H336" s="2"/>
    </row>
    <row r="337" spans="2:8" ht="13.2" x14ac:dyDescent="0.25">
      <c r="B337" s="2"/>
      <c r="C337" s="2"/>
      <c r="D337" s="2"/>
      <c r="E337" s="2"/>
      <c r="F337" s="2"/>
      <c r="G337" s="2"/>
      <c r="H337" s="2"/>
    </row>
    <row r="338" spans="2:8" ht="13.2" x14ac:dyDescent="0.25">
      <c r="B338" s="2"/>
      <c r="C338" s="2"/>
      <c r="D338" s="2"/>
      <c r="E338" s="2"/>
      <c r="F338" s="2"/>
      <c r="G338" s="2"/>
      <c r="H338" s="2"/>
    </row>
    <row r="339" spans="2:8" ht="13.2" x14ac:dyDescent="0.25">
      <c r="B339" s="2"/>
      <c r="C339" s="2"/>
      <c r="D339" s="2"/>
      <c r="E339" s="2"/>
      <c r="F339" s="2"/>
      <c r="G339" s="2"/>
      <c r="H339" s="2"/>
    </row>
    <row r="340" spans="2:8" ht="13.2" x14ac:dyDescent="0.25">
      <c r="B340" s="2"/>
      <c r="C340" s="2"/>
      <c r="D340" s="2"/>
      <c r="E340" s="2"/>
      <c r="F340" s="2"/>
      <c r="G340" s="2"/>
      <c r="H340" s="2"/>
    </row>
    <row r="341" spans="2:8" ht="13.2" x14ac:dyDescent="0.25">
      <c r="B341" s="2"/>
      <c r="C341" s="2"/>
      <c r="D341" s="2"/>
      <c r="E341" s="2"/>
      <c r="F341" s="2"/>
      <c r="G341" s="2"/>
      <c r="H341" s="2"/>
    </row>
    <row r="342" spans="2:8" ht="13.2" x14ac:dyDescent="0.25">
      <c r="B342" s="2"/>
      <c r="C342" s="2"/>
      <c r="D342" s="2"/>
      <c r="E342" s="2"/>
      <c r="F342" s="2"/>
      <c r="G342" s="2"/>
      <c r="H342" s="2"/>
    </row>
    <row r="343" spans="2:8" ht="13.2" x14ac:dyDescent="0.25">
      <c r="B343" s="2"/>
      <c r="C343" s="2"/>
      <c r="D343" s="2"/>
      <c r="E343" s="2"/>
      <c r="F343" s="2"/>
      <c r="G343" s="2"/>
      <c r="H343" s="2"/>
    </row>
    <row r="344" spans="2:8" ht="13.2" x14ac:dyDescent="0.25">
      <c r="B344" s="2"/>
      <c r="C344" s="2"/>
      <c r="D344" s="2"/>
      <c r="E344" s="2"/>
      <c r="F344" s="2"/>
      <c r="G344" s="2"/>
      <c r="H344" s="2"/>
    </row>
    <row r="345" spans="2:8" ht="13.2" x14ac:dyDescent="0.25">
      <c r="B345" s="2"/>
      <c r="C345" s="2"/>
      <c r="D345" s="2"/>
      <c r="E345" s="2"/>
      <c r="F345" s="2"/>
      <c r="G345" s="2"/>
      <c r="H345" s="2"/>
    </row>
    <row r="346" spans="2:8" ht="13.2" x14ac:dyDescent="0.25">
      <c r="B346" s="2"/>
      <c r="C346" s="2"/>
      <c r="D346" s="2"/>
      <c r="E346" s="2"/>
      <c r="F346" s="2"/>
      <c r="G346" s="2"/>
      <c r="H346" s="2"/>
    </row>
    <row r="347" spans="2:8" ht="13.2" x14ac:dyDescent="0.25">
      <c r="B347" s="2"/>
      <c r="C347" s="2"/>
      <c r="D347" s="2"/>
      <c r="E347" s="2"/>
      <c r="F347" s="2"/>
      <c r="G347" s="2"/>
      <c r="H347" s="2"/>
    </row>
    <row r="348" spans="2:8" ht="13.2" x14ac:dyDescent="0.25">
      <c r="B348" s="2"/>
      <c r="C348" s="2"/>
      <c r="D348" s="2"/>
      <c r="E348" s="2"/>
      <c r="F348" s="2"/>
      <c r="G348" s="2"/>
      <c r="H348" s="2"/>
    </row>
    <row r="349" spans="2:8" ht="13.2" x14ac:dyDescent="0.25">
      <c r="B349" s="2"/>
      <c r="C349" s="2"/>
      <c r="D349" s="2"/>
      <c r="E349" s="2"/>
      <c r="F349" s="2"/>
      <c r="G349" s="2"/>
      <c r="H349" s="2"/>
    </row>
    <row r="350" spans="2:8" ht="13.2" x14ac:dyDescent="0.25">
      <c r="B350" s="2"/>
      <c r="C350" s="2"/>
      <c r="D350" s="2"/>
      <c r="E350" s="2"/>
      <c r="F350" s="2"/>
      <c r="G350" s="2"/>
      <c r="H350" s="2"/>
    </row>
    <row r="351" spans="2:8" ht="13.2" x14ac:dyDescent="0.25">
      <c r="B351" s="2"/>
      <c r="C351" s="2"/>
      <c r="D351" s="2"/>
      <c r="E351" s="2"/>
      <c r="F351" s="2"/>
      <c r="G351" s="2"/>
      <c r="H351" s="2"/>
    </row>
    <row r="352" spans="2:8" ht="13.2" x14ac:dyDescent="0.25">
      <c r="B352" s="2"/>
      <c r="C352" s="2"/>
      <c r="D352" s="2"/>
      <c r="E352" s="2"/>
      <c r="F352" s="2"/>
      <c r="G352" s="2"/>
      <c r="H352" s="2"/>
    </row>
    <row r="353" spans="2:8" ht="13.2" x14ac:dyDescent="0.25">
      <c r="B353" s="2"/>
      <c r="C353" s="2"/>
      <c r="D353" s="2"/>
      <c r="E353" s="2"/>
      <c r="F353" s="2"/>
      <c r="G353" s="2"/>
      <c r="H353" s="2"/>
    </row>
    <row r="354" spans="2:8" ht="13.2" x14ac:dyDescent="0.25">
      <c r="B354" s="2"/>
      <c r="C354" s="2"/>
      <c r="D354" s="2"/>
      <c r="E354" s="2"/>
      <c r="F354" s="2"/>
      <c r="G354" s="2"/>
      <c r="H354" s="2"/>
    </row>
    <row r="355" spans="2:8" ht="13.2" x14ac:dyDescent="0.25">
      <c r="B355" s="2"/>
      <c r="C355" s="2"/>
      <c r="D355" s="2"/>
      <c r="E355" s="2"/>
      <c r="F355" s="2"/>
      <c r="G355" s="2"/>
      <c r="H355" s="2"/>
    </row>
    <row r="356" spans="2:8" ht="13.2" x14ac:dyDescent="0.25">
      <c r="B356" s="2"/>
      <c r="C356" s="2"/>
      <c r="D356" s="2"/>
      <c r="E356" s="2"/>
      <c r="F356" s="2"/>
      <c r="G356" s="2"/>
      <c r="H356" s="2"/>
    </row>
    <row r="357" spans="2:8" ht="13.2" x14ac:dyDescent="0.25">
      <c r="B357" s="2"/>
      <c r="C357" s="2"/>
      <c r="D357" s="2"/>
      <c r="E357" s="2"/>
      <c r="F357" s="2"/>
      <c r="G357" s="2"/>
      <c r="H357" s="2"/>
    </row>
    <row r="358" spans="2:8" ht="13.2" x14ac:dyDescent="0.25">
      <c r="B358" s="2"/>
      <c r="C358" s="2"/>
      <c r="D358" s="2"/>
      <c r="E358" s="2"/>
      <c r="F358" s="2"/>
      <c r="G358" s="2"/>
      <c r="H358" s="2"/>
    </row>
    <row r="359" spans="2:8" ht="13.2" x14ac:dyDescent="0.25">
      <c r="B359" s="2"/>
      <c r="C359" s="2"/>
      <c r="D359" s="2"/>
      <c r="E359" s="2"/>
      <c r="F359" s="2"/>
      <c r="G359" s="2"/>
      <c r="H359" s="2"/>
    </row>
    <row r="360" spans="2:8" ht="13.2" x14ac:dyDescent="0.25">
      <c r="B360" s="2"/>
      <c r="C360" s="2"/>
      <c r="D360" s="2"/>
      <c r="E360" s="2"/>
      <c r="F360" s="2"/>
      <c r="G360" s="2"/>
      <c r="H360" s="2"/>
    </row>
    <row r="361" spans="2:8" ht="13.2" x14ac:dyDescent="0.25">
      <c r="B361" s="2"/>
      <c r="C361" s="2"/>
      <c r="D361" s="2"/>
      <c r="E361" s="2"/>
      <c r="F361" s="2"/>
      <c r="G361" s="2"/>
      <c r="H361" s="2"/>
    </row>
    <row r="362" spans="2:8" ht="13.2" x14ac:dyDescent="0.25">
      <c r="B362" s="2"/>
      <c r="C362" s="2"/>
      <c r="D362" s="2"/>
      <c r="E362" s="2"/>
      <c r="F362" s="2"/>
      <c r="G362" s="2"/>
      <c r="H362" s="2"/>
    </row>
    <row r="363" spans="2:8" ht="13.2" x14ac:dyDescent="0.25">
      <c r="B363" s="2"/>
      <c r="C363" s="2"/>
      <c r="D363" s="2"/>
      <c r="E363" s="2"/>
      <c r="F363" s="2"/>
      <c r="G363" s="2"/>
      <c r="H363" s="2"/>
    </row>
    <row r="364" spans="2:8" ht="13.2" x14ac:dyDescent="0.25">
      <c r="B364" s="2"/>
      <c r="C364" s="2"/>
      <c r="D364" s="2"/>
      <c r="E364" s="2"/>
      <c r="F364" s="2"/>
      <c r="G364" s="2"/>
      <c r="H364" s="2"/>
    </row>
    <row r="365" spans="2:8" ht="13.2" x14ac:dyDescent="0.25">
      <c r="B365" s="2"/>
      <c r="C365" s="2"/>
      <c r="D365" s="2"/>
      <c r="E365" s="2"/>
      <c r="F365" s="2"/>
      <c r="G365" s="2"/>
      <c r="H365" s="2"/>
    </row>
    <row r="366" spans="2:8" ht="13.2" x14ac:dyDescent="0.25">
      <c r="B366" s="2"/>
      <c r="C366" s="2"/>
      <c r="D366" s="2"/>
      <c r="E366" s="2"/>
      <c r="F366" s="2"/>
      <c r="G366" s="2"/>
      <c r="H366" s="2"/>
    </row>
    <row r="367" spans="2:8" ht="13.2" x14ac:dyDescent="0.25">
      <c r="B367" s="2"/>
      <c r="C367" s="2"/>
      <c r="D367" s="2"/>
      <c r="E367" s="2"/>
      <c r="F367" s="2"/>
      <c r="G367" s="2"/>
      <c r="H367" s="2"/>
    </row>
    <row r="368" spans="2:8" ht="13.2" x14ac:dyDescent="0.25">
      <c r="B368" s="2"/>
      <c r="C368" s="2"/>
      <c r="D368" s="2"/>
      <c r="E368" s="2"/>
      <c r="F368" s="2"/>
      <c r="G368" s="2"/>
      <c r="H368" s="2"/>
    </row>
    <row r="369" spans="2:8" ht="13.2" x14ac:dyDescent="0.25">
      <c r="B369" s="2"/>
      <c r="C369" s="2"/>
      <c r="D369" s="2"/>
      <c r="E369" s="2"/>
      <c r="F369" s="2"/>
      <c r="G369" s="2"/>
      <c r="H369" s="2"/>
    </row>
    <row r="370" spans="2:8" ht="13.2" x14ac:dyDescent="0.25">
      <c r="B370" s="2"/>
      <c r="C370" s="2"/>
      <c r="D370" s="2"/>
      <c r="E370" s="2"/>
      <c r="F370" s="2"/>
      <c r="G370" s="2"/>
      <c r="H370" s="2"/>
    </row>
    <row r="371" spans="2:8" ht="13.2" x14ac:dyDescent="0.25">
      <c r="B371" s="2"/>
      <c r="C371" s="2"/>
      <c r="D371" s="2"/>
      <c r="E371" s="2"/>
      <c r="F371" s="2"/>
      <c r="G371" s="2"/>
      <c r="H371" s="2"/>
    </row>
    <row r="372" spans="2:8" ht="13.2" x14ac:dyDescent="0.25">
      <c r="B372" s="2"/>
      <c r="C372" s="2"/>
      <c r="D372" s="2"/>
      <c r="E372" s="2"/>
      <c r="F372" s="2"/>
      <c r="G372" s="2"/>
      <c r="H372" s="2"/>
    </row>
    <row r="373" spans="2:8" ht="13.2" x14ac:dyDescent="0.25">
      <c r="B373" s="2"/>
      <c r="C373" s="2"/>
      <c r="D373" s="2"/>
      <c r="E373" s="2"/>
      <c r="F373" s="2"/>
      <c r="G373" s="2"/>
      <c r="H373" s="2"/>
    </row>
    <row r="374" spans="2:8" ht="13.2" x14ac:dyDescent="0.25">
      <c r="B374" s="2"/>
      <c r="C374" s="2"/>
      <c r="D374" s="2"/>
      <c r="E374" s="2"/>
      <c r="F374" s="2"/>
      <c r="G374" s="2"/>
      <c r="H374" s="2"/>
    </row>
    <row r="375" spans="2:8" ht="13.2" x14ac:dyDescent="0.25">
      <c r="B375" s="2"/>
      <c r="C375" s="2"/>
      <c r="D375" s="2"/>
      <c r="E375" s="2"/>
      <c r="F375" s="2"/>
      <c r="G375" s="2"/>
      <c r="H375" s="2"/>
    </row>
    <row r="376" spans="2:8" ht="13.2" x14ac:dyDescent="0.25">
      <c r="B376" s="2"/>
      <c r="C376" s="2"/>
      <c r="D376" s="2"/>
      <c r="E376" s="2"/>
      <c r="F376" s="2"/>
      <c r="G376" s="2"/>
      <c r="H376" s="2"/>
    </row>
    <row r="377" spans="2:8" ht="13.2" x14ac:dyDescent="0.25">
      <c r="B377" s="2"/>
      <c r="C377" s="2"/>
      <c r="D377" s="2"/>
      <c r="E377" s="2"/>
      <c r="F377" s="2"/>
      <c r="G377" s="2"/>
      <c r="H377" s="2"/>
    </row>
    <row r="378" spans="2:8" ht="13.2" x14ac:dyDescent="0.25">
      <c r="B378" s="2"/>
      <c r="C378" s="2"/>
      <c r="D378" s="2"/>
      <c r="E378" s="2"/>
      <c r="F378" s="2"/>
      <c r="G378" s="2"/>
      <c r="H378" s="2"/>
    </row>
    <row r="379" spans="2:8" ht="13.2" x14ac:dyDescent="0.25">
      <c r="B379" s="2"/>
      <c r="C379" s="2"/>
      <c r="D379" s="2"/>
      <c r="E379" s="2"/>
      <c r="F379" s="2"/>
      <c r="G379" s="2"/>
      <c r="H379" s="2"/>
    </row>
    <row r="380" spans="2:8" ht="13.2" x14ac:dyDescent="0.25">
      <c r="B380" s="2"/>
      <c r="C380" s="2"/>
      <c r="D380" s="2"/>
      <c r="E380" s="2"/>
      <c r="F380" s="2"/>
      <c r="G380" s="2"/>
      <c r="H380" s="2"/>
    </row>
    <row r="381" spans="2:8" ht="13.2" x14ac:dyDescent="0.25">
      <c r="B381" s="2"/>
      <c r="C381" s="2"/>
      <c r="D381" s="2"/>
      <c r="E381" s="2"/>
      <c r="F381" s="2"/>
      <c r="G381" s="2"/>
      <c r="H381" s="2"/>
    </row>
    <row r="382" spans="2:8" ht="13.2" x14ac:dyDescent="0.25">
      <c r="B382" s="2"/>
      <c r="C382" s="2"/>
      <c r="D382" s="2"/>
      <c r="E382" s="2"/>
      <c r="F382" s="2"/>
      <c r="G382" s="2"/>
      <c r="H382" s="2"/>
    </row>
    <row r="383" spans="2:8" ht="13.2" x14ac:dyDescent="0.25">
      <c r="B383" s="2"/>
      <c r="C383" s="2"/>
      <c r="D383" s="2"/>
      <c r="E383" s="2"/>
      <c r="F383" s="2"/>
      <c r="G383" s="2"/>
      <c r="H383" s="2"/>
    </row>
    <row r="384" spans="2:8" ht="13.2" x14ac:dyDescent="0.25">
      <c r="B384" s="2"/>
      <c r="C384" s="2"/>
      <c r="D384" s="2"/>
      <c r="E384" s="2"/>
      <c r="F384" s="2"/>
      <c r="G384" s="2"/>
      <c r="H384" s="2"/>
    </row>
    <row r="385" spans="2:8" ht="13.2" x14ac:dyDescent="0.25">
      <c r="B385" s="2"/>
      <c r="C385" s="2"/>
      <c r="D385" s="2"/>
      <c r="E385" s="2"/>
      <c r="F385" s="2"/>
      <c r="G385" s="2"/>
      <c r="H385" s="2"/>
    </row>
    <row r="386" spans="2:8" ht="13.2" x14ac:dyDescent="0.25">
      <c r="B386" s="2"/>
      <c r="C386" s="2"/>
      <c r="D386" s="2"/>
      <c r="E386" s="2"/>
      <c r="F386" s="2"/>
      <c r="G386" s="2"/>
      <c r="H386" s="2"/>
    </row>
    <row r="387" spans="2:8" ht="13.2" x14ac:dyDescent="0.25">
      <c r="B387" s="2"/>
      <c r="C387" s="2"/>
      <c r="D387" s="2"/>
      <c r="E387" s="2"/>
      <c r="F387" s="2"/>
      <c r="G387" s="2"/>
      <c r="H387" s="2"/>
    </row>
    <row r="388" spans="2:8" ht="13.2" x14ac:dyDescent="0.25">
      <c r="B388" s="2"/>
      <c r="C388" s="2"/>
      <c r="D388" s="2"/>
      <c r="E388" s="2"/>
      <c r="F388" s="2"/>
      <c r="G388" s="2"/>
      <c r="H388" s="2"/>
    </row>
    <row r="389" spans="2:8" ht="13.2" x14ac:dyDescent="0.25">
      <c r="B389" s="2"/>
      <c r="C389" s="2"/>
      <c r="D389" s="2"/>
      <c r="E389" s="2"/>
      <c r="F389" s="2"/>
      <c r="G389" s="2"/>
      <c r="H389" s="2"/>
    </row>
    <row r="390" spans="2:8" ht="13.2" x14ac:dyDescent="0.25">
      <c r="B390" s="2"/>
      <c r="C390" s="2"/>
      <c r="D390" s="2"/>
      <c r="E390" s="2"/>
      <c r="F390" s="2"/>
      <c r="G390" s="2"/>
      <c r="H390" s="2"/>
    </row>
    <row r="391" spans="2:8" ht="13.2" x14ac:dyDescent="0.25">
      <c r="B391" s="2"/>
      <c r="C391" s="2"/>
      <c r="D391" s="2"/>
      <c r="E391" s="2"/>
      <c r="F391" s="2"/>
      <c r="G391" s="2"/>
      <c r="H391" s="2"/>
    </row>
    <row r="392" spans="2:8" ht="13.2" x14ac:dyDescent="0.25">
      <c r="B392" s="2"/>
      <c r="C392" s="2"/>
      <c r="D392" s="2"/>
      <c r="E392" s="2"/>
      <c r="F392" s="2"/>
      <c r="G392" s="2"/>
      <c r="H392" s="2"/>
    </row>
    <row r="393" spans="2:8" ht="13.2" x14ac:dyDescent="0.25">
      <c r="B393" s="2"/>
      <c r="C393" s="2"/>
      <c r="D393" s="2"/>
      <c r="E393" s="2"/>
      <c r="F393" s="2"/>
      <c r="G393" s="2"/>
      <c r="H393" s="2"/>
    </row>
    <row r="394" spans="2:8" ht="13.2" x14ac:dyDescent="0.25">
      <c r="B394" s="2"/>
      <c r="C394" s="2"/>
      <c r="D394" s="2"/>
      <c r="E394" s="2"/>
      <c r="F394" s="2"/>
      <c r="G394" s="2"/>
      <c r="H394" s="2"/>
    </row>
    <row r="395" spans="2:8" ht="13.2" x14ac:dyDescent="0.25">
      <c r="B395" s="2"/>
      <c r="C395" s="2"/>
      <c r="D395" s="2"/>
      <c r="E395" s="2"/>
      <c r="F395" s="2"/>
      <c r="G395" s="2"/>
      <c r="H395" s="2"/>
    </row>
    <row r="396" spans="2:8" ht="13.2" x14ac:dyDescent="0.25">
      <c r="B396" s="2"/>
      <c r="C396" s="2"/>
      <c r="D396" s="2"/>
      <c r="E396" s="2"/>
      <c r="F396" s="2"/>
      <c r="G396" s="2"/>
      <c r="H396" s="2"/>
    </row>
    <row r="397" spans="2:8" ht="13.2" x14ac:dyDescent="0.25">
      <c r="B397" s="2"/>
      <c r="C397" s="2"/>
      <c r="D397" s="2"/>
      <c r="E397" s="2"/>
      <c r="F397" s="2"/>
      <c r="G397" s="2"/>
      <c r="H397" s="2"/>
    </row>
    <row r="398" spans="2:8" ht="13.2" x14ac:dyDescent="0.25">
      <c r="B398" s="2"/>
      <c r="C398" s="2"/>
      <c r="D398" s="2"/>
      <c r="E398" s="2"/>
      <c r="F398" s="2"/>
      <c r="G398" s="2"/>
      <c r="H398" s="2"/>
    </row>
    <row r="399" spans="2:8" ht="13.2" x14ac:dyDescent="0.25">
      <c r="B399" s="2"/>
      <c r="C399" s="2"/>
      <c r="D399" s="2"/>
      <c r="E399" s="2"/>
      <c r="F399" s="2"/>
      <c r="G399" s="2"/>
      <c r="H399" s="2"/>
    </row>
    <row r="400" spans="2:8" ht="13.2" x14ac:dyDescent="0.25">
      <c r="B400" s="2"/>
      <c r="C400" s="2"/>
      <c r="D400" s="2"/>
      <c r="E400" s="2"/>
      <c r="F400" s="2"/>
      <c r="G400" s="2"/>
      <c r="H400" s="2"/>
    </row>
    <row r="401" spans="2:8" ht="13.2" x14ac:dyDescent="0.25">
      <c r="B401" s="2"/>
      <c r="C401" s="2"/>
      <c r="D401" s="2"/>
      <c r="E401" s="2"/>
      <c r="F401" s="2"/>
      <c r="G401" s="2"/>
      <c r="H401" s="2"/>
    </row>
    <row r="402" spans="2:8" ht="13.2" x14ac:dyDescent="0.25">
      <c r="B402" s="2"/>
      <c r="C402" s="2"/>
      <c r="D402" s="2"/>
      <c r="E402" s="2"/>
      <c r="F402" s="2"/>
      <c r="G402" s="2"/>
      <c r="H402" s="2"/>
    </row>
    <row r="403" spans="2:8" ht="13.2" x14ac:dyDescent="0.25">
      <c r="B403" s="2"/>
      <c r="C403" s="2"/>
      <c r="D403" s="2"/>
      <c r="E403" s="2"/>
      <c r="F403" s="2"/>
      <c r="G403" s="2"/>
      <c r="H403" s="2"/>
    </row>
    <row r="404" spans="2:8" ht="13.2" x14ac:dyDescent="0.25">
      <c r="B404" s="2"/>
      <c r="C404" s="2"/>
      <c r="D404" s="2"/>
      <c r="E404" s="2"/>
      <c r="F404" s="2"/>
      <c r="G404" s="2"/>
      <c r="H404" s="2"/>
    </row>
    <row r="405" spans="2:8" ht="13.2" x14ac:dyDescent="0.25">
      <c r="B405" s="2"/>
      <c r="C405" s="2"/>
      <c r="D405" s="2"/>
      <c r="E405" s="2"/>
      <c r="F405" s="2"/>
      <c r="G405" s="2"/>
      <c r="H405" s="2"/>
    </row>
    <row r="406" spans="2:8" ht="13.2" x14ac:dyDescent="0.25">
      <c r="B406" s="2"/>
      <c r="C406" s="2"/>
      <c r="D406" s="2"/>
      <c r="E406" s="2"/>
      <c r="F406" s="2"/>
      <c r="G406" s="2"/>
      <c r="H406" s="2"/>
    </row>
    <row r="407" spans="2:8" ht="13.2" x14ac:dyDescent="0.25">
      <c r="B407" s="2"/>
      <c r="C407" s="2"/>
      <c r="D407" s="2"/>
      <c r="E407" s="2"/>
      <c r="F407" s="2"/>
      <c r="G407" s="2"/>
      <c r="H407" s="2"/>
    </row>
    <row r="408" spans="2:8" ht="13.2" x14ac:dyDescent="0.25">
      <c r="B408" s="2"/>
      <c r="C408" s="2"/>
      <c r="D408" s="2"/>
      <c r="E408" s="2"/>
      <c r="F408" s="2"/>
      <c r="G408" s="2"/>
      <c r="H408" s="2"/>
    </row>
    <row r="409" spans="2:8" ht="13.2" x14ac:dyDescent="0.25">
      <c r="B409" s="2"/>
      <c r="C409" s="2"/>
      <c r="D409" s="2"/>
      <c r="E409" s="2"/>
      <c r="F409" s="2"/>
      <c r="G409" s="2"/>
      <c r="H409" s="2"/>
    </row>
    <row r="410" spans="2:8" ht="13.2" x14ac:dyDescent="0.25">
      <c r="B410" s="2"/>
      <c r="C410" s="2"/>
      <c r="D410" s="2"/>
      <c r="E410" s="2"/>
      <c r="F410" s="2"/>
      <c r="G410" s="2"/>
      <c r="H410" s="2"/>
    </row>
    <row r="411" spans="2:8" ht="13.2" x14ac:dyDescent="0.25">
      <c r="B411" s="2"/>
      <c r="C411" s="2"/>
      <c r="D411" s="2"/>
      <c r="E411" s="2"/>
      <c r="F411" s="2"/>
      <c r="G411" s="2"/>
      <c r="H411" s="2"/>
    </row>
    <row r="412" spans="2:8" ht="13.2" x14ac:dyDescent="0.25">
      <c r="B412" s="2"/>
      <c r="C412" s="2"/>
      <c r="D412" s="2"/>
      <c r="E412" s="2"/>
      <c r="F412" s="2"/>
      <c r="G412" s="2"/>
      <c r="H412" s="2"/>
    </row>
    <row r="413" spans="2:8" ht="13.2" x14ac:dyDescent="0.25">
      <c r="B413" s="2"/>
      <c r="C413" s="2"/>
      <c r="D413" s="2"/>
      <c r="E413" s="2"/>
      <c r="F413" s="2"/>
      <c r="G413" s="2"/>
      <c r="H413" s="2"/>
    </row>
    <row r="414" spans="2:8" ht="13.2" x14ac:dyDescent="0.25">
      <c r="B414" s="2"/>
      <c r="C414" s="2"/>
      <c r="D414" s="2"/>
      <c r="E414" s="2"/>
      <c r="F414" s="2"/>
      <c r="G414" s="2"/>
      <c r="H414" s="2"/>
    </row>
    <row r="415" spans="2:8" ht="13.2" x14ac:dyDescent="0.25">
      <c r="B415" s="2"/>
      <c r="C415" s="2"/>
      <c r="D415" s="2"/>
      <c r="E415" s="2"/>
      <c r="F415" s="2"/>
      <c r="G415" s="2"/>
      <c r="H415" s="2"/>
    </row>
    <row r="416" spans="2:8" ht="13.2" x14ac:dyDescent="0.25">
      <c r="B416" s="2"/>
      <c r="C416" s="2"/>
      <c r="D416" s="2"/>
      <c r="E416" s="2"/>
      <c r="F416" s="2"/>
      <c r="G416" s="2"/>
      <c r="H416" s="2"/>
    </row>
    <row r="417" spans="2:8" ht="13.2" x14ac:dyDescent="0.25">
      <c r="B417" s="2"/>
      <c r="C417" s="2"/>
      <c r="D417" s="2"/>
      <c r="E417" s="2"/>
      <c r="F417" s="2"/>
      <c r="G417" s="2"/>
      <c r="H417" s="2"/>
    </row>
    <row r="418" spans="2:8" ht="13.2" x14ac:dyDescent="0.25">
      <c r="B418" s="2"/>
      <c r="C418" s="2"/>
      <c r="D418" s="2"/>
      <c r="E418" s="2"/>
      <c r="F418" s="2"/>
      <c r="G418" s="2"/>
      <c r="H418" s="2"/>
    </row>
    <row r="419" spans="2:8" ht="13.2" x14ac:dyDescent="0.25">
      <c r="B419" s="2"/>
      <c r="C419" s="2"/>
      <c r="D419" s="2"/>
      <c r="E419" s="2"/>
      <c r="F419" s="2"/>
      <c r="G419" s="2"/>
      <c r="H419" s="2"/>
    </row>
    <row r="420" spans="2:8" ht="13.2" x14ac:dyDescent="0.25">
      <c r="B420" s="2"/>
      <c r="C420" s="2"/>
      <c r="D420" s="2"/>
      <c r="E420" s="2"/>
      <c r="F420" s="2"/>
      <c r="G420" s="2"/>
      <c r="H420" s="2"/>
    </row>
    <row r="421" spans="2:8" ht="13.2" x14ac:dyDescent="0.25">
      <c r="B421" s="2"/>
      <c r="C421" s="2"/>
      <c r="D421" s="2"/>
      <c r="E421" s="2"/>
      <c r="F421" s="2"/>
      <c r="G421" s="2"/>
      <c r="H421" s="2"/>
    </row>
    <row r="422" spans="2:8" ht="13.2" x14ac:dyDescent="0.25">
      <c r="B422" s="2"/>
      <c r="C422" s="2"/>
      <c r="D422" s="2"/>
      <c r="E422" s="2"/>
      <c r="F422" s="2"/>
      <c r="G422" s="2"/>
      <c r="H422" s="2"/>
    </row>
    <row r="423" spans="2:8" ht="13.2" x14ac:dyDescent="0.25">
      <c r="B423" s="2"/>
      <c r="C423" s="2"/>
      <c r="D423" s="2"/>
      <c r="E423" s="2"/>
      <c r="F423" s="2"/>
      <c r="G423" s="2"/>
      <c r="H423" s="2"/>
    </row>
    <row r="424" spans="2:8" ht="13.2" x14ac:dyDescent="0.25">
      <c r="B424" s="2"/>
      <c r="C424" s="2"/>
      <c r="D424" s="2"/>
      <c r="E424" s="2"/>
      <c r="F424" s="2"/>
      <c r="G424" s="2"/>
      <c r="H424" s="2"/>
    </row>
    <row r="425" spans="2:8" ht="13.2" x14ac:dyDescent="0.25">
      <c r="B425" s="2"/>
      <c r="C425" s="2"/>
      <c r="D425" s="2"/>
      <c r="E425" s="2"/>
      <c r="F425" s="2"/>
      <c r="G425" s="2"/>
      <c r="H425" s="2"/>
    </row>
    <row r="426" spans="2:8" ht="13.2" x14ac:dyDescent="0.25">
      <c r="B426" s="2"/>
      <c r="C426" s="2"/>
      <c r="D426" s="2"/>
      <c r="E426" s="2"/>
      <c r="F426" s="2"/>
      <c r="G426" s="2"/>
      <c r="H426" s="2"/>
    </row>
    <row r="427" spans="2:8" ht="13.2" x14ac:dyDescent="0.25">
      <c r="B427" s="2"/>
      <c r="C427" s="2"/>
      <c r="D427" s="2"/>
      <c r="E427" s="2"/>
      <c r="F427" s="2"/>
      <c r="G427" s="2"/>
      <c r="H427" s="2"/>
    </row>
    <row r="428" spans="2:8" ht="13.2" x14ac:dyDescent="0.25">
      <c r="B428" s="2"/>
      <c r="C428" s="2"/>
      <c r="D428" s="2"/>
      <c r="E428" s="2"/>
      <c r="F428" s="2"/>
      <c r="G428" s="2"/>
      <c r="H428" s="2"/>
    </row>
    <row r="429" spans="2:8" ht="13.2" x14ac:dyDescent="0.25">
      <c r="B429" s="2"/>
      <c r="C429" s="2"/>
      <c r="D429" s="2"/>
      <c r="E429" s="2"/>
      <c r="F429" s="2"/>
      <c r="G429" s="2"/>
      <c r="H429" s="2"/>
    </row>
    <row r="430" spans="2:8" ht="13.2" x14ac:dyDescent="0.25">
      <c r="B430" s="2"/>
      <c r="C430" s="2"/>
      <c r="D430" s="2"/>
      <c r="E430" s="2"/>
      <c r="F430" s="2"/>
      <c r="G430" s="2"/>
      <c r="H430" s="2"/>
    </row>
    <row r="431" spans="2:8" ht="13.2" x14ac:dyDescent="0.25">
      <c r="B431" s="2"/>
      <c r="C431" s="2"/>
      <c r="D431" s="2"/>
      <c r="E431" s="2"/>
      <c r="F431" s="2"/>
      <c r="G431" s="2"/>
      <c r="H431" s="2"/>
    </row>
    <row r="432" spans="2:8" ht="13.2" x14ac:dyDescent="0.25">
      <c r="B432" s="2"/>
      <c r="C432" s="2"/>
      <c r="D432" s="2"/>
      <c r="E432" s="2"/>
      <c r="F432" s="2"/>
      <c r="G432" s="2"/>
      <c r="H432" s="2"/>
    </row>
    <row r="433" spans="2:8" ht="13.2" x14ac:dyDescent="0.25">
      <c r="B433" s="2"/>
      <c r="C433" s="2"/>
      <c r="D433" s="2"/>
      <c r="E433" s="2"/>
      <c r="F433" s="2"/>
      <c r="G433" s="2"/>
      <c r="H433" s="2"/>
    </row>
    <row r="434" spans="2:8" ht="13.2" x14ac:dyDescent="0.25">
      <c r="B434" s="2"/>
      <c r="C434" s="2"/>
      <c r="D434" s="2"/>
      <c r="E434" s="2"/>
      <c r="F434" s="2"/>
      <c r="G434" s="2"/>
      <c r="H434" s="2"/>
    </row>
    <row r="435" spans="2:8" ht="13.2" x14ac:dyDescent="0.25">
      <c r="B435" s="2"/>
      <c r="C435" s="2"/>
      <c r="D435" s="2"/>
      <c r="E435" s="2"/>
      <c r="F435" s="2"/>
      <c r="G435" s="2"/>
      <c r="H435" s="2"/>
    </row>
    <row r="436" spans="2:8" ht="13.2" x14ac:dyDescent="0.25">
      <c r="B436" s="2"/>
      <c r="C436" s="2"/>
      <c r="D436" s="2"/>
      <c r="E436" s="2"/>
      <c r="F436" s="2"/>
      <c r="G436" s="2"/>
      <c r="H436" s="2"/>
    </row>
    <row r="437" spans="2:8" ht="13.2" x14ac:dyDescent="0.25">
      <c r="B437" s="2"/>
      <c r="C437" s="2"/>
      <c r="D437" s="2"/>
      <c r="E437" s="2"/>
      <c r="F437" s="2"/>
      <c r="G437" s="2"/>
      <c r="H437" s="2"/>
    </row>
    <row r="438" spans="2:8" ht="13.2" x14ac:dyDescent="0.25">
      <c r="B438" s="2"/>
      <c r="C438" s="2"/>
      <c r="D438" s="2"/>
      <c r="E438" s="2"/>
      <c r="F438" s="2"/>
      <c r="G438" s="2"/>
      <c r="H438" s="2"/>
    </row>
    <row r="439" spans="2:8" ht="13.2" x14ac:dyDescent="0.25">
      <c r="B439" s="2"/>
      <c r="C439" s="2"/>
      <c r="D439" s="2"/>
      <c r="E439" s="2"/>
      <c r="F439" s="2"/>
      <c r="G439" s="2"/>
      <c r="H439" s="2"/>
    </row>
    <row r="440" spans="2:8" ht="13.2" x14ac:dyDescent="0.25">
      <c r="B440" s="2"/>
      <c r="C440" s="2"/>
      <c r="D440" s="2"/>
      <c r="E440" s="2"/>
      <c r="F440" s="2"/>
      <c r="G440" s="2"/>
      <c r="H440" s="2"/>
    </row>
    <row r="441" spans="2:8" ht="13.2" x14ac:dyDescent="0.25">
      <c r="B441" s="2"/>
      <c r="C441" s="2"/>
      <c r="D441" s="2"/>
      <c r="E441" s="2"/>
      <c r="F441" s="2"/>
      <c r="G441" s="2"/>
      <c r="H441" s="2"/>
    </row>
    <row r="442" spans="2:8" ht="13.2" x14ac:dyDescent="0.25">
      <c r="B442" s="2"/>
      <c r="C442" s="2"/>
      <c r="D442" s="2"/>
      <c r="E442" s="2"/>
      <c r="F442" s="2"/>
      <c r="G442" s="2"/>
      <c r="H442" s="2"/>
    </row>
    <row r="443" spans="2:8" ht="13.2" x14ac:dyDescent="0.25">
      <c r="B443" s="2"/>
      <c r="C443" s="2"/>
      <c r="D443" s="2"/>
      <c r="E443" s="2"/>
      <c r="F443" s="2"/>
      <c r="G443" s="2"/>
      <c r="H443" s="2"/>
    </row>
    <row r="444" spans="2:8" ht="13.2" x14ac:dyDescent="0.25">
      <c r="B444" s="2"/>
      <c r="C444" s="2"/>
      <c r="D444" s="2"/>
      <c r="E444" s="2"/>
      <c r="F444" s="2"/>
      <c r="G444" s="2"/>
      <c r="H444" s="2"/>
    </row>
    <row r="445" spans="2:8" ht="13.2" x14ac:dyDescent="0.25">
      <c r="B445" s="2"/>
      <c r="C445" s="2"/>
      <c r="D445" s="2"/>
      <c r="E445" s="2"/>
      <c r="F445" s="2"/>
      <c r="G445" s="2"/>
      <c r="H445" s="2"/>
    </row>
    <row r="446" spans="2:8" ht="13.2" x14ac:dyDescent="0.25">
      <c r="B446" s="2"/>
      <c r="C446" s="2"/>
      <c r="D446" s="2"/>
      <c r="E446" s="2"/>
      <c r="F446" s="2"/>
      <c r="G446" s="2"/>
      <c r="H446" s="2"/>
    </row>
    <row r="447" spans="2:8" ht="13.2" x14ac:dyDescent="0.25">
      <c r="B447" s="2"/>
      <c r="C447" s="2"/>
      <c r="D447" s="2"/>
      <c r="E447" s="2"/>
      <c r="F447" s="2"/>
      <c r="G447" s="2"/>
      <c r="H447" s="2"/>
    </row>
    <row r="448" spans="2:8" ht="13.2" x14ac:dyDescent="0.25">
      <c r="B448" s="2"/>
      <c r="C448" s="2"/>
      <c r="D448" s="2"/>
      <c r="E448" s="2"/>
      <c r="F448" s="2"/>
      <c r="G448" s="2"/>
      <c r="H448" s="2"/>
    </row>
    <row r="449" spans="2:8" ht="13.2" x14ac:dyDescent="0.25">
      <c r="B449" s="2"/>
      <c r="C449" s="2"/>
      <c r="D449" s="2"/>
      <c r="E449" s="2"/>
      <c r="F449" s="2"/>
      <c r="G449" s="2"/>
      <c r="H449" s="2"/>
    </row>
    <row r="450" spans="2:8" ht="13.2" x14ac:dyDescent="0.25">
      <c r="B450" s="2"/>
      <c r="C450" s="2"/>
      <c r="D450" s="2"/>
      <c r="E450" s="2"/>
      <c r="F450" s="2"/>
      <c r="G450" s="2"/>
      <c r="H450" s="2"/>
    </row>
    <row r="451" spans="2:8" ht="13.2" x14ac:dyDescent="0.25">
      <c r="B451" s="2"/>
      <c r="C451" s="2"/>
      <c r="D451" s="2"/>
      <c r="E451" s="2"/>
      <c r="F451" s="2"/>
      <c r="G451" s="2"/>
      <c r="H451" s="2"/>
    </row>
    <row r="452" spans="2:8" ht="13.2" x14ac:dyDescent="0.25">
      <c r="B452" s="2"/>
      <c r="C452" s="2"/>
      <c r="D452" s="2"/>
      <c r="E452" s="2"/>
      <c r="F452" s="2"/>
      <c r="G452" s="2"/>
      <c r="H452" s="2"/>
    </row>
    <row r="453" spans="2:8" ht="13.2" x14ac:dyDescent="0.25">
      <c r="B453" s="2"/>
      <c r="C453" s="2"/>
      <c r="D453" s="2"/>
      <c r="E453" s="2"/>
      <c r="F453" s="2"/>
      <c r="G453" s="2"/>
      <c r="H453" s="2"/>
    </row>
    <row r="454" spans="2:8" ht="13.2" x14ac:dyDescent="0.25">
      <c r="B454" s="2"/>
      <c r="C454" s="2"/>
      <c r="D454" s="2"/>
      <c r="E454" s="2"/>
      <c r="F454" s="2"/>
      <c r="G454" s="2"/>
      <c r="H454" s="2"/>
    </row>
    <row r="455" spans="2:8" ht="13.2" x14ac:dyDescent="0.25">
      <c r="B455" s="2"/>
      <c r="C455" s="2"/>
      <c r="D455" s="2"/>
      <c r="E455" s="2"/>
      <c r="F455" s="2"/>
      <c r="G455" s="2"/>
      <c r="H455" s="2"/>
    </row>
    <row r="456" spans="2:8" ht="13.2" x14ac:dyDescent="0.25">
      <c r="B456" s="2"/>
      <c r="C456" s="2"/>
      <c r="D456" s="2"/>
      <c r="E456" s="2"/>
      <c r="F456" s="2"/>
      <c r="G456" s="2"/>
      <c r="H456" s="2"/>
    </row>
    <row r="457" spans="2:8" ht="13.2" x14ac:dyDescent="0.25">
      <c r="B457" s="2"/>
      <c r="C457" s="2"/>
      <c r="D457" s="2"/>
      <c r="E457" s="2"/>
      <c r="F457" s="2"/>
      <c r="G457" s="2"/>
      <c r="H457" s="2"/>
    </row>
    <row r="458" spans="2:8" ht="13.2" x14ac:dyDescent="0.25">
      <c r="B458" s="2"/>
      <c r="C458" s="2"/>
      <c r="D458" s="2"/>
      <c r="E458" s="2"/>
      <c r="F458" s="2"/>
      <c r="G458" s="2"/>
      <c r="H458" s="2"/>
    </row>
    <row r="459" spans="2:8" ht="13.2" x14ac:dyDescent="0.25">
      <c r="B459" s="2"/>
      <c r="C459" s="2"/>
      <c r="D459" s="2"/>
      <c r="E459" s="2"/>
      <c r="F459" s="2"/>
      <c r="G459" s="2"/>
      <c r="H459" s="2"/>
    </row>
    <row r="460" spans="2:8" ht="13.2" x14ac:dyDescent="0.25">
      <c r="B460" s="2"/>
      <c r="C460" s="2"/>
      <c r="D460" s="2"/>
      <c r="E460" s="2"/>
      <c r="F460" s="2"/>
      <c r="G460" s="2"/>
      <c r="H460" s="2"/>
    </row>
    <row r="461" spans="2:8" ht="13.2" x14ac:dyDescent="0.25">
      <c r="B461" s="2"/>
      <c r="C461" s="2"/>
      <c r="D461" s="2"/>
      <c r="E461" s="2"/>
      <c r="F461" s="2"/>
      <c r="G461" s="2"/>
      <c r="H461" s="2"/>
    </row>
    <row r="462" spans="2:8" ht="13.2" x14ac:dyDescent="0.25">
      <c r="B462" s="2"/>
      <c r="C462" s="2"/>
      <c r="D462" s="2"/>
      <c r="E462" s="2"/>
      <c r="F462" s="2"/>
      <c r="G462" s="2"/>
      <c r="H462" s="2"/>
    </row>
    <row r="463" spans="2:8" ht="13.2" x14ac:dyDescent="0.25">
      <c r="B463" s="2"/>
      <c r="C463" s="2"/>
      <c r="D463" s="2"/>
      <c r="E463" s="2"/>
      <c r="F463" s="2"/>
      <c r="G463" s="2"/>
      <c r="H463" s="2"/>
    </row>
    <row r="464" spans="2:8" ht="13.2" x14ac:dyDescent="0.25">
      <c r="B464" s="2"/>
      <c r="C464" s="2"/>
      <c r="D464" s="2"/>
      <c r="E464" s="2"/>
      <c r="F464" s="2"/>
      <c r="G464" s="2"/>
      <c r="H464" s="2"/>
    </row>
    <row r="465" spans="2:8" ht="13.2" x14ac:dyDescent="0.25">
      <c r="B465" s="2"/>
      <c r="C465" s="2"/>
      <c r="D465" s="2"/>
      <c r="E465" s="2"/>
      <c r="F465" s="2"/>
      <c r="G465" s="2"/>
      <c r="H465" s="2"/>
    </row>
    <row r="466" spans="2:8" ht="13.2" x14ac:dyDescent="0.25">
      <c r="B466" s="2"/>
      <c r="C466" s="2"/>
      <c r="D466" s="2"/>
      <c r="E466" s="2"/>
      <c r="F466" s="2"/>
      <c r="G466" s="2"/>
      <c r="H466" s="2"/>
    </row>
    <row r="467" spans="2:8" ht="13.2" x14ac:dyDescent="0.25">
      <c r="B467" s="2"/>
      <c r="C467" s="2"/>
      <c r="D467" s="2"/>
      <c r="E467" s="2"/>
      <c r="F467" s="2"/>
      <c r="G467" s="2"/>
      <c r="H467" s="2"/>
    </row>
    <row r="468" spans="2:8" ht="13.2" x14ac:dyDescent="0.25">
      <c r="B468" s="2"/>
      <c r="C468" s="2"/>
      <c r="D468" s="2"/>
      <c r="E468" s="2"/>
      <c r="F468" s="2"/>
      <c r="G468" s="2"/>
      <c r="H468" s="2"/>
    </row>
    <row r="469" spans="2:8" ht="13.2" x14ac:dyDescent="0.25">
      <c r="B469" s="2"/>
      <c r="C469" s="2"/>
      <c r="D469" s="2"/>
      <c r="E469" s="2"/>
      <c r="F469" s="2"/>
      <c r="G469" s="2"/>
      <c r="H469" s="2"/>
    </row>
    <row r="470" spans="2:8" ht="13.2" x14ac:dyDescent="0.25">
      <c r="B470" s="2"/>
      <c r="C470" s="2"/>
      <c r="D470" s="2"/>
      <c r="E470" s="2"/>
      <c r="F470" s="2"/>
      <c r="G470" s="2"/>
      <c r="H470" s="2"/>
    </row>
    <row r="471" spans="2:8" ht="13.2" x14ac:dyDescent="0.25">
      <c r="B471" s="2"/>
      <c r="C471" s="2"/>
      <c r="D471" s="2"/>
      <c r="E471" s="2"/>
      <c r="F471" s="2"/>
      <c r="G471" s="2"/>
      <c r="H471" s="2"/>
    </row>
    <row r="472" spans="2:8" ht="13.2" x14ac:dyDescent="0.25">
      <c r="B472" s="2"/>
      <c r="C472" s="2"/>
      <c r="D472" s="2"/>
      <c r="E472" s="2"/>
      <c r="F472" s="2"/>
      <c r="G472" s="2"/>
      <c r="H472" s="2"/>
    </row>
    <row r="473" spans="2:8" ht="13.2" x14ac:dyDescent="0.25">
      <c r="B473" s="2"/>
      <c r="C473" s="2"/>
      <c r="D473" s="2"/>
      <c r="E473" s="2"/>
      <c r="F473" s="2"/>
      <c r="G473" s="2"/>
      <c r="H473" s="2"/>
    </row>
    <row r="474" spans="2:8" ht="13.2" x14ac:dyDescent="0.25">
      <c r="B474" s="2"/>
      <c r="C474" s="2"/>
      <c r="D474" s="2"/>
      <c r="E474" s="2"/>
      <c r="F474" s="2"/>
      <c r="G474" s="2"/>
      <c r="H474" s="2"/>
    </row>
    <row r="475" spans="2:8" ht="13.2" x14ac:dyDescent="0.25">
      <c r="B475" s="2"/>
      <c r="C475" s="2"/>
      <c r="D475" s="2"/>
      <c r="E475" s="2"/>
      <c r="F475" s="2"/>
      <c r="G475" s="2"/>
      <c r="H475" s="2"/>
    </row>
    <row r="476" spans="2:8" ht="13.2" x14ac:dyDescent="0.25">
      <c r="B476" s="2"/>
      <c r="C476" s="2"/>
      <c r="D476" s="2"/>
      <c r="E476" s="2"/>
      <c r="F476" s="2"/>
      <c r="G476" s="2"/>
      <c r="H476" s="2"/>
    </row>
    <row r="477" spans="2:8" ht="13.2" x14ac:dyDescent="0.25">
      <c r="B477" s="2"/>
      <c r="C477" s="2"/>
      <c r="D477" s="2"/>
      <c r="E477" s="2"/>
      <c r="F477" s="2"/>
      <c r="G477" s="2"/>
      <c r="H477" s="2"/>
    </row>
    <row r="478" spans="2:8" ht="13.2" x14ac:dyDescent="0.25">
      <c r="B478" s="2"/>
      <c r="C478" s="2"/>
      <c r="D478" s="2"/>
      <c r="E478" s="2"/>
      <c r="F478" s="2"/>
      <c r="G478" s="2"/>
      <c r="H478" s="2"/>
    </row>
    <row r="479" spans="2:8" ht="13.2" x14ac:dyDescent="0.25">
      <c r="B479" s="2"/>
      <c r="C479" s="2"/>
      <c r="D479" s="2"/>
      <c r="E479" s="2"/>
      <c r="F479" s="2"/>
      <c r="G479" s="2"/>
      <c r="H479" s="2"/>
    </row>
    <row r="480" spans="2:8" ht="13.2" x14ac:dyDescent="0.25">
      <c r="B480" s="2"/>
      <c r="C480" s="2"/>
      <c r="D480" s="2"/>
      <c r="E480" s="2"/>
      <c r="F480" s="2"/>
      <c r="G480" s="2"/>
      <c r="H480" s="2"/>
    </row>
    <row r="481" spans="2:8" ht="13.2" x14ac:dyDescent="0.25">
      <c r="B481" s="2"/>
      <c r="C481" s="2"/>
      <c r="D481" s="2"/>
      <c r="E481" s="2"/>
      <c r="F481" s="2"/>
      <c r="G481" s="2"/>
      <c r="H481" s="2"/>
    </row>
    <row r="482" spans="2:8" ht="13.2" x14ac:dyDescent="0.25">
      <c r="B482" s="2"/>
      <c r="C482" s="2"/>
      <c r="D482" s="2"/>
      <c r="E482" s="2"/>
      <c r="F482" s="2"/>
      <c r="G482" s="2"/>
      <c r="H482" s="2"/>
    </row>
    <row r="483" spans="2:8" ht="13.2" x14ac:dyDescent="0.25">
      <c r="B483" s="2"/>
      <c r="C483" s="2"/>
      <c r="D483" s="2"/>
      <c r="E483" s="2"/>
      <c r="F483" s="2"/>
      <c r="G483" s="2"/>
      <c r="H483" s="2"/>
    </row>
    <row r="484" spans="2:8" ht="13.2" x14ac:dyDescent="0.25">
      <c r="B484" s="2"/>
      <c r="C484" s="2"/>
      <c r="D484" s="2"/>
      <c r="E484" s="2"/>
      <c r="F484" s="2"/>
      <c r="G484" s="2"/>
      <c r="H484" s="2"/>
    </row>
    <row r="485" spans="2:8" ht="13.2" x14ac:dyDescent="0.25">
      <c r="B485" s="2"/>
      <c r="C485" s="2"/>
      <c r="D485" s="2"/>
      <c r="E485" s="2"/>
      <c r="F485" s="2"/>
      <c r="G485" s="2"/>
      <c r="H485" s="2"/>
    </row>
    <row r="486" spans="2:8" ht="13.2" x14ac:dyDescent="0.25">
      <c r="B486" s="2"/>
      <c r="C486" s="2"/>
      <c r="D486" s="2"/>
      <c r="E486" s="2"/>
      <c r="F486" s="2"/>
      <c r="G486" s="2"/>
      <c r="H486" s="2"/>
    </row>
    <row r="487" spans="2:8" ht="13.2" x14ac:dyDescent="0.25">
      <c r="B487" s="2"/>
      <c r="C487" s="2"/>
      <c r="D487" s="2"/>
      <c r="E487" s="2"/>
      <c r="F487" s="2"/>
      <c r="G487" s="2"/>
      <c r="H487" s="2"/>
    </row>
    <row r="488" spans="2:8" ht="13.2" x14ac:dyDescent="0.25">
      <c r="B488" s="2"/>
      <c r="C488" s="2"/>
      <c r="D488" s="2"/>
      <c r="E488" s="2"/>
      <c r="F488" s="2"/>
      <c r="G488" s="2"/>
      <c r="H488" s="2"/>
    </row>
    <row r="489" spans="2:8" ht="13.2" x14ac:dyDescent="0.25">
      <c r="B489" s="2"/>
      <c r="C489" s="2"/>
      <c r="D489" s="2"/>
      <c r="E489" s="2"/>
      <c r="F489" s="2"/>
      <c r="G489" s="2"/>
      <c r="H489" s="2"/>
    </row>
    <row r="490" spans="2:8" ht="13.2" x14ac:dyDescent="0.25">
      <c r="B490" s="2"/>
      <c r="C490" s="2"/>
      <c r="D490" s="2"/>
      <c r="E490" s="2"/>
      <c r="F490" s="2"/>
      <c r="G490" s="2"/>
      <c r="H490" s="2"/>
    </row>
    <row r="491" spans="2:8" ht="13.2" x14ac:dyDescent="0.25">
      <c r="B491" s="2"/>
      <c r="C491" s="2"/>
      <c r="D491" s="2"/>
      <c r="E491" s="2"/>
      <c r="F491" s="2"/>
      <c r="G491" s="2"/>
      <c r="H491" s="2"/>
    </row>
    <row r="492" spans="2:8" ht="13.2" x14ac:dyDescent="0.25">
      <c r="B492" s="2"/>
      <c r="C492" s="2"/>
      <c r="D492" s="2"/>
      <c r="E492" s="2"/>
      <c r="F492" s="2"/>
      <c r="G492" s="2"/>
      <c r="H492" s="2"/>
    </row>
    <row r="493" spans="2:8" ht="13.2" x14ac:dyDescent="0.25">
      <c r="B493" s="2"/>
      <c r="C493" s="2"/>
      <c r="D493" s="2"/>
      <c r="E493" s="2"/>
      <c r="F493" s="2"/>
      <c r="G493" s="2"/>
      <c r="H493" s="2"/>
    </row>
    <row r="494" spans="2:8" ht="13.2" x14ac:dyDescent="0.25">
      <c r="B494" s="2"/>
      <c r="C494" s="2"/>
      <c r="D494" s="2"/>
      <c r="E494" s="2"/>
      <c r="F494" s="2"/>
      <c r="G494" s="2"/>
      <c r="H494" s="2"/>
    </row>
    <row r="495" spans="2:8" ht="13.2" x14ac:dyDescent="0.25">
      <c r="B495" s="2"/>
      <c r="C495" s="2"/>
      <c r="D495" s="2"/>
      <c r="E495" s="2"/>
      <c r="F495" s="2"/>
      <c r="G495" s="2"/>
      <c r="H495" s="2"/>
    </row>
    <row r="496" spans="2:8" ht="13.2" x14ac:dyDescent="0.25">
      <c r="B496" s="2"/>
      <c r="C496" s="2"/>
      <c r="D496" s="2"/>
      <c r="E496" s="2"/>
      <c r="F496" s="2"/>
      <c r="G496" s="2"/>
      <c r="H496" s="2"/>
    </row>
    <row r="497" spans="2:8" ht="13.2" x14ac:dyDescent="0.25">
      <c r="B497" s="2"/>
      <c r="C497" s="2"/>
      <c r="D497" s="2"/>
      <c r="E497" s="2"/>
      <c r="F497" s="2"/>
      <c r="G497" s="2"/>
      <c r="H497" s="2"/>
    </row>
    <row r="498" spans="2:8" ht="13.2" x14ac:dyDescent="0.25">
      <c r="B498" s="2"/>
      <c r="C498" s="2"/>
      <c r="D498" s="2"/>
      <c r="E498" s="2"/>
      <c r="F498" s="2"/>
      <c r="G498" s="2"/>
      <c r="H498" s="2"/>
    </row>
    <row r="499" spans="2:8" ht="13.2" x14ac:dyDescent="0.25">
      <c r="B499" s="2"/>
      <c r="C499" s="2"/>
      <c r="D499" s="2"/>
      <c r="E499" s="2"/>
      <c r="F499" s="2"/>
      <c r="G499" s="2"/>
      <c r="H499" s="2"/>
    </row>
    <row r="500" spans="2:8" ht="13.2" x14ac:dyDescent="0.25">
      <c r="B500" s="2"/>
      <c r="C500" s="2"/>
      <c r="D500" s="2"/>
      <c r="E500" s="2"/>
      <c r="F500" s="2"/>
      <c r="G500" s="2"/>
      <c r="H500" s="2"/>
    </row>
    <row r="501" spans="2:8" ht="13.2" x14ac:dyDescent="0.25">
      <c r="B501" s="2"/>
      <c r="C501" s="2"/>
      <c r="D501" s="2"/>
      <c r="E501" s="2"/>
      <c r="F501" s="2"/>
      <c r="G501" s="2"/>
      <c r="H501" s="2"/>
    </row>
    <row r="502" spans="2:8" ht="13.2" x14ac:dyDescent="0.25">
      <c r="B502" s="2"/>
      <c r="C502" s="2"/>
      <c r="D502" s="2"/>
      <c r="E502" s="2"/>
      <c r="F502" s="2"/>
      <c r="G502" s="2"/>
      <c r="H502" s="2"/>
    </row>
    <row r="503" spans="2:8" ht="13.2" x14ac:dyDescent="0.25">
      <c r="B503" s="2"/>
      <c r="C503" s="2"/>
      <c r="D503" s="2"/>
      <c r="E503" s="2"/>
      <c r="F503" s="2"/>
      <c r="G503" s="2"/>
      <c r="H503" s="2"/>
    </row>
    <row r="504" spans="2:8" ht="13.2" x14ac:dyDescent="0.25">
      <c r="B504" s="2"/>
      <c r="C504" s="2"/>
      <c r="D504" s="2"/>
      <c r="E504" s="2"/>
      <c r="F504" s="2"/>
      <c r="G504" s="2"/>
      <c r="H504" s="2"/>
    </row>
    <row r="505" spans="2:8" ht="13.2" x14ac:dyDescent="0.25">
      <c r="B505" s="2"/>
      <c r="C505" s="2"/>
      <c r="D505" s="2"/>
      <c r="E505" s="2"/>
      <c r="F505" s="2"/>
      <c r="G505" s="2"/>
      <c r="H505" s="2"/>
    </row>
    <row r="506" spans="2:8" ht="13.2" x14ac:dyDescent="0.25">
      <c r="B506" s="2"/>
      <c r="C506" s="2"/>
      <c r="D506" s="2"/>
      <c r="E506" s="2"/>
      <c r="F506" s="2"/>
      <c r="G506" s="2"/>
      <c r="H506" s="2"/>
    </row>
    <row r="507" spans="2:8" ht="13.2" x14ac:dyDescent="0.25">
      <c r="B507" s="2"/>
      <c r="C507" s="2"/>
      <c r="D507" s="2"/>
      <c r="E507" s="2"/>
      <c r="F507" s="2"/>
      <c r="G507" s="2"/>
      <c r="H507" s="2"/>
    </row>
    <row r="508" spans="2:8" ht="13.2" x14ac:dyDescent="0.25">
      <c r="B508" s="2"/>
      <c r="C508" s="2"/>
      <c r="D508" s="2"/>
      <c r="E508" s="2"/>
      <c r="F508" s="2"/>
      <c r="G508" s="2"/>
      <c r="H508" s="2"/>
    </row>
    <row r="509" spans="2:8" ht="13.2" x14ac:dyDescent="0.25">
      <c r="B509" s="2"/>
      <c r="C509" s="2"/>
      <c r="D509" s="2"/>
      <c r="E509" s="2"/>
      <c r="F509" s="2"/>
      <c r="G509" s="2"/>
      <c r="H509" s="2"/>
    </row>
    <row r="510" spans="2:8" ht="13.2" x14ac:dyDescent="0.25">
      <c r="B510" s="2"/>
      <c r="C510" s="2"/>
      <c r="D510" s="2"/>
      <c r="E510" s="2"/>
      <c r="F510" s="2"/>
      <c r="G510" s="2"/>
      <c r="H510" s="2"/>
    </row>
    <row r="511" spans="2:8" ht="13.2" x14ac:dyDescent="0.25">
      <c r="B511" s="2"/>
      <c r="C511" s="2"/>
      <c r="D511" s="2"/>
      <c r="E511" s="2"/>
      <c r="F511" s="2"/>
      <c r="G511" s="2"/>
      <c r="H511" s="2"/>
    </row>
    <row r="512" spans="2:8" ht="13.2" x14ac:dyDescent="0.25">
      <c r="B512" s="2"/>
      <c r="C512" s="2"/>
      <c r="D512" s="2"/>
      <c r="E512" s="2"/>
      <c r="F512" s="2"/>
      <c r="G512" s="2"/>
      <c r="H512" s="2"/>
    </row>
    <row r="513" spans="2:8" ht="13.2" x14ac:dyDescent="0.25">
      <c r="B513" s="2"/>
      <c r="C513" s="2"/>
      <c r="D513" s="2"/>
      <c r="E513" s="2"/>
      <c r="F513" s="2"/>
      <c r="G513" s="2"/>
      <c r="H513" s="2"/>
    </row>
    <row r="514" spans="2:8" ht="13.2" x14ac:dyDescent="0.25">
      <c r="B514" s="2"/>
      <c r="C514" s="2"/>
      <c r="D514" s="2"/>
      <c r="E514" s="2"/>
      <c r="F514" s="2"/>
      <c r="G514" s="2"/>
      <c r="H514" s="2"/>
    </row>
    <row r="515" spans="2:8" ht="13.2" x14ac:dyDescent="0.25">
      <c r="B515" s="2"/>
      <c r="C515" s="2"/>
      <c r="D515" s="2"/>
      <c r="E515" s="2"/>
      <c r="F515" s="2"/>
      <c r="G515" s="2"/>
      <c r="H515" s="2"/>
    </row>
    <row r="516" spans="2:8" ht="13.2" x14ac:dyDescent="0.25">
      <c r="B516" s="2"/>
      <c r="C516" s="2"/>
      <c r="D516" s="2"/>
      <c r="E516" s="2"/>
      <c r="F516" s="2"/>
      <c r="G516" s="2"/>
      <c r="H516" s="2"/>
    </row>
    <row r="517" spans="2:8" ht="13.2" x14ac:dyDescent="0.25">
      <c r="B517" s="2"/>
      <c r="C517" s="2"/>
      <c r="D517" s="2"/>
      <c r="E517" s="2"/>
      <c r="F517" s="2"/>
      <c r="G517" s="2"/>
      <c r="H517" s="2"/>
    </row>
    <row r="518" spans="2:8" ht="13.2" x14ac:dyDescent="0.25">
      <c r="B518" s="2"/>
      <c r="C518" s="2"/>
      <c r="D518" s="2"/>
      <c r="E518" s="2"/>
      <c r="F518" s="2"/>
      <c r="G518" s="2"/>
      <c r="H518" s="2"/>
    </row>
    <row r="519" spans="2:8" ht="13.2" x14ac:dyDescent="0.25">
      <c r="B519" s="2"/>
      <c r="C519" s="2"/>
      <c r="D519" s="2"/>
      <c r="E519" s="2"/>
      <c r="F519" s="2"/>
      <c r="G519" s="2"/>
      <c r="H519" s="2"/>
    </row>
    <row r="520" spans="2:8" ht="13.2" x14ac:dyDescent="0.25">
      <c r="B520" s="2"/>
      <c r="C520" s="2"/>
      <c r="D520" s="2"/>
      <c r="E520" s="2"/>
      <c r="F520" s="2"/>
      <c r="G520" s="2"/>
      <c r="H520" s="2"/>
    </row>
    <row r="521" spans="2:8" ht="13.2" x14ac:dyDescent="0.25">
      <c r="B521" s="2"/>
      <c r="C521" s="2"/>
      <c r="D521" s="2"/>
      <c r="E521" s="2"/>
      <c r="F521" s="2"/>
      <c r="G521" s="2"/>
      <c r="H521" s="2"/>
    </row>
    <row r="522" spans="2:8" ht="13.2" x14ac:dyDescent="0.25">
      <c r="B522" s="2"/>
      <c r="C522" s="2"/>
      <c r="D522" s="2"/>
      <c r="E522" s="2"/>
      <c r="F522" s="2"/>
      <c r="G522" s="2"/>
      <c r="H522" s="2"/>
    </row>
    <row r="523" spans="2:8" ht="13.2" x14ac:dyDescent="0.25">
      <c r="B523" s="2"/>
      <c r="C523" s="2"/>
      <c r="D523" s="2"/>
      <c r="E523" s="2"/>
      <c r="F523" s="2"/>
      <c r="G523" s="2"/>
      <c r="H523" s="2"/>
    </row>
    <row r="524" spans="2:8" ht="13.2" x14ac:dyDescent="0.25">
      <c r="B524" s="2"/>
      <c r="C524" s="2"/>
      <c r="D524" s="2"/>
      <c r="E524" s="2"/>
      <c r="F524" s="2"/>
      <c r="G524" s="2"/>
      <c r="H524" s="2"/>
    </row>
    <row r="525" spans="2:8" ht="13.2" x14ac:dyDescent="0.25">
      <c r="B525" s="2"/>
      <c r="C525" s="2"/>
      <c r="D525" s="2"/>
      <c r="E525" s="2"/>
      <c r="F525" s="2"/>
      <c r="G525" s="2"/>
      <c r="H525" s="2"/>
    </row>
    <row r="526" spans="2:8" ht="13.2" x14ac:dyDescent="0.25">
      <c r="B526" s="2"/>
      <c r="C526" s="2"/>
      <c r="D526" s="2"/>
      <c r="E526" s="2"/>
      <c r="F526" s="2"/>
      <c r="G526" s="2"/>
      <c r="H526" s="2"/>
    </row>
    <row r="527" spans="2:8" ht="13.2" x14ac:dyDescent="0.25">
      <c r="B527" s="2"/>
      <c r="C527" s="2"/>
      <c r="D527" s="2"/>
      <c r="E527" s="2"/>
      <c r="F527" s="2"/>
      <c r="G527" s="2"/>
      <c r="H527" s="2"/>
    </row>
    <row r="528" spans="2:8" ht="13.2" x14ac:dyDescent="0.25">
      <c r="B528" s="2"/>
      <c r="C528" s="2"/>
      <c r="D528" s="2"/>
      <c r="E528" s="2"/>
      <c r="F528" s="2"/>
      <c r="G528" s="2"/>
      <c r="H528" s="2"/>
    </row>
    <row r="529" spans="2:8" ht="13.2" x14ac:dyDescent="0.25">
      <c r="B529" s="2"/>
      <c r="C529" s="2"/>
      <c r="D529" s="2"/>
      <c r="E529" s="2"/>
      <c r="F529" s="2"/>
      <c r="G529" s="2"/>
      <c r="H529" s="2"/>
    </row>
    <row r="530" spans="2:8" ht="13.2" x14ac:dyDescent="0.25">
      <c r="B530" s="2"/>
      <c r="C530" s="2"/>
      <c r="D530" s="2"/>
      <c r="E530" s="2"/>
      <c r="F530" s="2"/>
      <c r="G530" s="2"/>
      <c r="H530" s="2"/>
    </row>
    <row r="531" spans="2:8" ht="13.2" x14ac:dyDescent="0.25">
      <c r="B531" s="2"/>
      <c r="C531" s="2"/>
      <c r="D531" s="2"/>
      <c r="E531" s="2"/>
      <c r="F531" s="2"/>
      <c r="G531" s="2"/>
      <c r="H531" s="2"/>
    </row>
    <row r="532" spans="2:8" ht="13.2" x14ac:dyDescent="0.25">
      <c r="B532" s="2"/>
      <c r="C532" s="2"/>
      <c r="D532" s="2"/>
      <c r="E532" s="2"/>
      <c r="F532" s="2"/>
      <c r="G532" s="2"/>
      <c r="H532" s="2"/>
    </row>
    <row r="533" spans="2:8" ht="13.2" x14ac:dyDescent="0.25">
      <c r="B533" s="2"/>
      <c r="C533" s="2"/>
      <c r="D533" s="2"/>
      <c r="E533" s="2"/>
      <c r="F533" s="2"/>
      <c r="G533" s="2"/>
      <c r="H533" s="2"/>
    </row>
    <row r="534" spans="2:8" ht="13.2" x14ac:dyDescent="0.25">
      <c r="B534" s="2"/>
      <c r="C534" s="2"/>
      <c r="D534" s="2"/>
      <c r="E534" s="2"/>
      <c r="F534" s="2"/>
      <c r="G534" s="2"/>
      <c r="H534" s="2"/>
    </row>
    <row r="535" spans="2:8" ht="13.2" x14ac:dyDescent="0.25">
      <c r="B535" s="2"/>
      <c r="C535" s="2"/>
      <c r="D535" s="2"/>
      <c r="E535" s="2"/>
      <c r="F535" s="2"/>
      <c r="G535" s="2"/>
      <c r="H535" s="2"/>
    </row>
    <row r="536" spans="2:8" ht="13.2" x14ac:dyDescent="0.25">
      <c r="B536" s="2"/>
      <c r="C536" s="2"/>
      <c r="D536" s="2"/>
      <c r="E536" s="2"/>
      <c r="F536" s="2"/>
      <c r="G536" s="2"/>
      <c r="H536" s="2"/>
    </row>
    <row r="537" spans="2:8" ht="13.2" x14ac:dyDescent="0.25">
      <c r="B537" s="2"/>
      <c r="C537" s="2"/>
      <c r="D537" s="2"/>
      <c r="E537" s="2"/>
      <c r="F537" s="2"/>
      <c r="G537" s="2"/>
      <c r="H537" s="2"/>
    </row>
    <row r="538" spans="2:8" ht="13.2" x14ac:dyDescent="0.25">
      <c r="B538" s="2"/>
      <c r="C538" s="2"/>
      <c r="D538" s="2"/>
      <c r="E538" s="2"/>
      <c r="F538" s="2"/>
      <c r="G538" s="2"/>
      <c r="H538" s="2"/>
    </row>
    <row r="539" spans="2:8" ht="13.2" x14ac:dyDescent="0.25">
      <c r="B539" s="2"/>
      <c r="C539" s="2"/>
      <c r="D539" s="2"/>
      <c r="E539" s="2"/>
      <c r="F539" s="2"/>
      <c r="G539" s="2"/>
      <c r="H539" s="2"/>
    </row>
    <row r="540" spans="2:8" ht="13.2" x14ac:dyDescent="0.25">
      <c r="B540" s="2"/>
      <c r="C540" s="2"/>
      <c r="D540" s="2"/>
      <c r="E540" s="2"/>
      <c r="F540" s="2"/>
      <c r="G540" s="2"/>
      <c r="H540" s="2"/>
    </row>
    <row r="541" spans="2:8" ht="13.2" x14ac:dyDescent="0.25">
      <c r="B541" s="2"/>
      <c r="C541" s="2"/>
      <c r="D541" s="2"/>
      <c r="E541" s="2"/>
      <c r="F541" s="2"/>
      <c r="G541" s="2"/>
      <c r="H541" s="2"/>
    </row>
    <row r="542" spans="2:8" ht="13.2" x14ac:dyDescent="0.25">
      <c r="B542" s="2"/>
      <c r="C542" s="2"/>
      <c r="D542" s="2"/>
      <c r="E542" s="2"/>
      <c r="F542" s="2"/>
      <c r="G542" s="2"/>
      <c r="H542" s="2"/>
    </row>
    <row r="543" spans="2:8" ht="13.2" x14ac:dyDescent="0.25">
      <c r="B543" s="2"/>
      <c r="C543" s="2"/>
      <c r="D543" s="2"/>
      <c r="E543" s="2"/>
      <c r="F543" s="2"/>
      <c r="G543" s="2"/>
      <c r="H543" s="2"/>
    </row>
    <row r="544" spans="2:8" ht="13.2" x14ac:dyDescent="0.25">
      <c r="B544" s="2"/>
      <c r="C544" s="2"/>
      <c r="D544" s="2"/>
      <c r="E544" s="2"/>
      <c r="F544" s="2"/>
      <c r="G544" s="2"/>
      <c r="H544" s="2"/>
    </row>
    <row r="545" spans="2:8" ht="13.2" x14ac:dyDescent="0.25">
      <c r="B545" s="2"/>
      <c r="C545" s="2"/>
      <c r="D545" s="2"/>
      <c r="E545" s="2"/>
      <c r="F545" s="2"/>
      <c r="G545" s="2"/>
      <c r="H545" s="2"/>
    </row>
    <row r="546" spans="2:8" ht="13.2" x14ac:dyDescent="0.25">
      <c r="B546" s="2"/>
      <c r="C546" s="2"/>
      <c r="D546" s="2"/>
      <c r="E546" s="2"/>
      <c r="F546" s="2"/>
      <c r="G546" s="2"/>
      <c r="H546" s="2"/>
    </row>
    <row r="547" spans="2:8" ht="13.2" x14ac:dyDescent="0.25">
      <c r="B547" s="2"/>
      <c r="C547" s="2"/>
      <c r="D547" s="2"/>
      <c r="E547" s="2"/>
      <c r="F547" s="2"/>
      <c r="G547" s="2"/>
      <c r="H547" s="2"/>
    </row>
    <row r="548" spans="2:8" ht="13.2" x14ac:dyDescent="0.25">
      <c r="B548" s="2"/>
      <c r="C548" s="2"/>
      <c r="D548" s="2"/>
      <c r="E548" s="2"/>
      <c r="F548" s="2"/>
      <c r="G548" s="2"/>
      <c r="H548" s="2"/>
    </row>
    <row r="549" spans="2:8" ht="13.2" x14ac:dyDescent="0.25">
      <c r="B549" s="2"/>
      <c r="C549" s="2"/>
      <c r="D549" s="2"/>
      <c r="E549" s="2"/>
      <c r="F549" s="2"/>
      <c r="G549" s="2"/>
      <c r="H549" s="2"/>
    </row>
    <row r="550" spans="2:8" ht="13.2" x14ac:dyDescent="0.25">
      <c r="B550" s="2"/>
      <c r="C550" s="2"/>
      <c r="D550" s="2"/>
      <c r="E550" s="2"/>
      <c r="F550" s="2"/>
      <c r="G550" s="2"/>
      <c r="H550" s="2"/>
    </row>
    <row r="551" spans="2:8" ht="13.2" x14ac:dyDescent="0.25">
      <c r="B551" s="2"/>
      <c r="C551" s="2"/>
      <c r="D551" s="2"/>
      <c r="E551" s="2"/>
      <c r="F551" s="2"/>
      <c r="G551" s="2"/>
      <c r="H551" s="2"/>
    </row>
    <row r="552" spans="2:8" ht="13.2" x14ac:dyDescent="0.25">
      <c r="B552" s="2"/>
      <c r="C552" s="2"/>
      <c r="D552" s="2"/>
      <c r="E552" s="2"/>
      <c r="F552" s="2"/>
      <c r="G552" s="2"/>
      <c r="H552" s="2"/>
    </row>
    <row r="553" spans="2:8" ht="13.2" x14ac:dyDescent="0.25">
      <c r="B553" s="2"/>
      <c r="C553" s="2"/>
      <c r="D553" s="2"/>
      <c r="E553" s="2"/>
      <c r="F553" s="2"/>
      <c r="G553" s="2"/>
      <c r="H553" s="2"/>
    </row>
    <row r="554" spans="2:8" ht="13.2" x14ac:dyDescent="0.25">
      <c r="B554" s="2"/>
      <c r="C554" s="2"/>
      <c r="D554" s="2"/>
      <c r="E554" s="2"/>
      <c r="F554" s="2"/>
      <c r="G554" s="2"/>
      <c r="H554" s="2"/>
    </row>
    <row r="555" spans="2:8" ht="13.2" x14ac:dyDescent="0.25">
      <c r="B555" s="2"/>
      <c r="C555" s="2"/>
      <c r="D555" s="2"/>
      <c r="E555" s="2"/>
      <c r="F555" s="2"/>
      <c r="G555" s="2"/>
      <c r="H555" s="2"/>
    </row>
    <row r="556" spans="2:8" ht="13.2" x14ac:dyDescent="0.25">
      <c r="B556" s="2"/>
      <c r="C556" s="2"/>
      <c r="D556" s="2"/>
      <c r="E556" s="2"/>
      <c r="F556" s="2"/>
      <c r="G556" s="2"/>
      <c r="H556" s="2"/>
    </row>
    <row r="557" spans="2:8" ht="13.2" x14ac:dyDescent="0.25">
      <c r="B557" s="2"/>
      <c r="C557" s="2"/>
      <c r="D557" s="2"/>
      <c r="E557" s="2"/>
      <c r="F557" s="2"/>
      <c r="G557" s="2"/>
      <c r="H557" s="2"/>
    </row>
    <row r="558" spans="2:8" ht="13.2" x14ac:dyDescent="0.25">
      <c r="B558" s="2"/>
      <c r="C558" s="2"/>
      <c r="D558" s="2"/>
      <c r="E558" s="2"/>
      <c r="F558" s="2"/>
      <c r="G558" s="2"/>
      <c r="H558" s="2"/>
    </row>
    <row r="559" spans="2:8" ht="13.2" x14ac:dyDescent="0.25">
      <c r="B559" s="2"/>
      <c r="C559" s="2"/>
      <c r="D559" s="2"/>
      <c r="E559" s="2"/>
      <c r="F559" s="2"/>
      <c r="G559" s="2"/>
      <c r="H559" s="2"/>
    </row>
    <row r="560" spans="2:8" ht="13.2" x14ac:dyDescent="0.25">
      <c r="B560" s="2"/>
      <c r="C560" s="2"/>
      <c r="D560" s="2"/>
      <c r="E560" s="2"/>
      <c r="F560" s="2"/>
      <c r="G560" s="2"/>
      <c r="H560" s="2"/>
    </row>
    <row r="561" spans="2:8" ht="13.2" x14ac:dyDescent="0.25">
      <c r="B561" s="2"/>
      <c r="C561" s="2"/>
      <c r="D561" s="2"/>
      <c r="E561" s="2"/>
      <c r="F561" s="2"/>
      <c r="G561" s="2"/>
      <c r="H561" s="2"/>
    </row>
    <row r="562" spans="2:8" ht="13.2" x14ac:dyDescent="0.25">
      <c r="B562" s="2"/>
      <c r="C562" s="2"/>
      <c r="D562" s="2"/>
      <c r="E562" s="2"/>
      <c r="F562" s="2"/>
      <c r="G562" s="2"/>
      <c r="H562" s="2"/>
    </row>
    <row r="563" spans="2:8" ht="13.2" x14ac:dyDescent="0.25">
      <c r="B563" s="2"/>
      <c r="C563" s="2"/>
      <c r="D563" s="2"/>
      <c r="E563" s="2"/>
      <c r="F563" s="2"/>
      <c r="G563" s="2"/>
      <c r="H563" s="2"/>
    </row>
    <row r="564" spans="2:8" ht="13.2" x14ac:dyDescent="0.25">
      <c r="B564" s="2"/>
      <c r="C564" s="2"/>
      <c r="D564" s="2"/>
      <c r="E564" s="2"/>
      <c r="F564" s="2"/>
      <c r="G564" s="2"/>
      <c r="H564" s="2"/>
    </row>
    <row r="565" spans="2:8" ht="13.2" x14ac:dyDescent="0.25">
      <c r="B565" s="2"/>
      <c r="C565" s="2"/>
      <c r="D565" s="2"/>
      <c r="E565" s="2"/>
      <c r="F565" s="2"/>
      <c r="G565" s="2"/>
      <c r="H565" s="2"/>
    </row>
    <row r="566" spans="2:8" ht="13.2" x14ac:dyDescent="0.25">
      <c r="B566" s="2"/>
      <c r="C566" s="2"/>
      <c r="D566" s="2"/>
      <c r="E566" s="2"/>
      <c r="F566" s="2"/>
      <c r="G566" s="2"/>
      <c r="H566" s="2"/>
    </row>
    <row r="567" spans="2:8" ht="13.2" x14ac:dyDescent="0.25">
      <c r="B567" s="2"/>
      <c r="C567" s="2"/>
      <c r="D567" s="2"/>
      <c r="E567" s="2"/>
      <c r="F567" s="2"/>
      <c r="G567" s="2"/>
      <c r="H567" s="2"/>
    </row>
    <row r="568" spans="2:8" ht="13.2" x14ac:dyDescent="0.25">
      <c r="B568" s="2"/>
      <c r="C568" s="2"/>
      <c r="D568" s="2"/>
      <c r="E568" s="2"/>
      <c r="F568" s="2"/>
      <c r="G568" s="2"/>
      <c r="H568" s="2"/>
    </row>
    <row r="569" spans="2:8" ht="13.2" x14ac:dyDescent="0.25">
      <c r="B569" s="2"/>
      <c r="C569" s="2"/>
      <c r="D569" s="2"/>
      <c r="E569" s="2"/>
      <c r="F569" s="2"/>
      <c r="G569" s="2"/>
      <c r="H569" s="2"/>
    </row>
    <row r="570" spans="2:8" ht="13.2" x14ac:dyDescent="0.25">
      <c r="B570" s="2"/>
      <c r="C570" s="2"/>
      <c r="D570" s="2"/>
      <c r="E570" s="2"/>
      <c r="F570" s="2"/>
      <c r="G570" s="2"/>
      <c r="H570" s="2"/>
    </row>
    <row r="571" spans="2:8" ht="13.2" x14ac:dyDescent="0.25">
      <c r="B571" s="2"/>
      <c r="C571" s="2"/>
      <c r="D571" s="2"/>
      <c r="E571" s="2"/>
      <c r="F571" s="2"/>
      <c r="G571" s="2"/>
      <c r="H571" s="2"/>
    </row>
    <row r="572" spans="2:8" ht="13.2" x14ac:dyDescent="0.25">
      <c r="B572" s="2"/>
      <c r="C572" s="2"/>
      <c r="D572" s="2"/>
      <c r="E572" s="2"/>
      <c r="F572" s="2"/>
      <c r="G572" s="2"/>
      <c r="H572" s="2"/>
    </row>
    <row r="573" spans="2:8" ht="13.2" x14ac:dyDescent="0.25">
      <c r="B573" s="2"/>
      <c r="C573" s="2"/>
      <c r="D573" s="2"/>
      <c r="E573" s="2"/>
      <c r="F573" s="2"/>
      <c r="G573" s="2"/>
      <c r="H573" s="2"/>
    </row>
    <row r="574" spans="2:8" ht="13.2" x14ac:dyDescent="0.25">
      <c r="B574" s="2"/>
      <c r="C574" s="2"/>
      <c r="D574" s="2"/>
      <c r="E574" s="2"/>
      <c r="F574" s="2"/>
      <c r="G574" s="2"/>
      <c r="H574" s="2"/>
    </row>
    <row r="575" spans="2:8" ht="13.2" x14ac:dyDescent="0.25">
      <c r="B575" s="2"/>
      <c r="C575" s="2"/>
      <c r="D575" s="2"/>
      <c r="E575" s="2"/>
      <c r="F575" s="2"/>
      <c r="G575" s="2"/>
      <c r="H575" s="2"/>
    </row>
    <row r="576" spans="2:8" ht="13.2" x14ac:dyDescent="0.25">
      <c r="B576" s="2"/>
      <c r="C576" s="2"/>
      <c r="D576" s="2"/>
      <c r="E576" s="2"/>
      <c r="F576" s="2"/>
      <c r="G576" s="2"/>
      <c r="H576" s="2"/>
    </row>
    <row r="577" spans="2:8" ht="13.2" x14ac:dyDescent="0.25">
      <c r="B577" s="2"/>
      <c r="C577" s="2"/>
      <c r="D577" s="2"/>
      <c r="E577" s="2"/>
      <c r="F577" s="2"/>
      <c r="G577" s="2"/>
      <c r="H577" s="2"/>
    </row>
    <row r="578" spans="2:8" ht="13.2" x14ac:dyDescent="0.25">
      <c r="B578" s="2"/>
      <c r="C578" s="2"/>
      <c r="D578" s="2"/>
      <c r="E578" s="2"/>
      <c r="F578" s="2"/>
      <c r="G578" s="2"/>
      <c r="H578" s="2"/>
    </row>
    <row r="579" spans="2:8" ht="13.2" x14ac:dyDescent="0.25">
      <c r="B579" s="2"/>
      <c r="C579" s="2"/>
      <c r="D579" s="2"/>
      <c r="E579" s="2"/>
      <c r="F579" s="2"/>
      <c r="G579" s="2"/>
      <c r="H579" s="2"/>
    </row>
    <row r="580" spans="2:8" ht="13.2" x14ac:dyDescent="0.25">
      <c r="B580" s="2"/>
      <c r="C580" s="2"/>
      <c r="D580" s="2"/>
      <c r="E580" s="2"/>
      <c r="F580" s="2"/>
      <c r="G580" s="2"/>
      <c r="H580" s="2"/>
    </row>
    <row r="581" spans="2:8" ht="13.2" x14ac:dyDescent="0.25">
      <c r="B581" s="2"/>
      <c r="C581" s="2"/>
      <c r="D581" s="2"/>
      <c r="E581" s="2"/>
      <c r="F581" s="2"/>
      <c r="G581" s="2"/>
      <c r="H581" s="2"/>
    </row>
    <row r="582" spans="2:8" ht="13.2" x14ac:dyDescent="0.25">
      <c r="B582" s="2"/>
      <c r="C582" s="2"/>
      <c r="D582" s="2"/>
      <c r="E582" s="2"/>
      <c r="F582" s="2"/>
      <c r="G582" s="2"/>
      <c r="H582" s="2"/>
    </row>
    <row r="583" spans="2:8" ht="13.2" x14ac:dyDescent="0.25">
      <c r="B583" s="2"/>
      <c r="C583" s="2"/>
      <c r="D583" s="2"/>
      <c r="E583" s="2"/>
      <c r="F583" s="2"/>
      <c r="G583" s="2"/>
      <c r="H583" s="2"/>
    </row>
    <row r="584" spans="2:8" ht="13.2" x14ac:dyDescent="0.25">
      <c r="B584" s="2"/>
      <c r="C584" s="2"/>
      <c r="D584" s="2"/>
      <c r="E584" s="2"/>
      <c r="F584" s="2"/>
      <c r="G584" s="2"/>
      <c r="H584" s="2"/>
    </row>
    <row r="585" spans="2:8" ht="13.2" x14ac:dyDescent="0.25">
      <c r="B585" s="2"/>
      <c r="C585" s="2"/>
      <c r="D585" s="2"/>
      <c r="E585" s="2"/>
      <c r="F585" s="2"/>
      <c r="G585" s="2"/>
      <c r="H585" s="2"/>
    </row>
    <row r="586" spans="2:8" ht="13.2" x14ac:dyDescent="0.25">
      <c r="B586" s="2"/>
      <c r="C586" s="2"/>
      <c r="D586" s="2"/>
      <c r="E586" s="2"/>
      <c r="F586" s="2"/>
      <c r="G586" s="2"/>
      <c r="H586" s="2"/>
    </row>
    <row r="587" spans="2:8" ht="13.2" x14ac:dyDescent="0.25">
      <c r="B587" s="2"/>
      <c r="C587" s="2"/>
      <c r="D587" s="2"/>
      <c r="E587" s="2"/>
      <c r="F587" s="2"/>
      <c r="G587" s="2"/>
      <c r="H587" s="2"/>
    </row>
    <row r="588" spans="2:8" ht="13.2" x14ac:dyDescent="0.25">
      <c r="B588" s="2"/>
      <c r="C588" s="2"/>
      <c r="D588" s="2"/>
      <c r="E588" s="2"/>
      <c r="F588" s="2"/>
      <c r="G588" s="2"/>
      <c r="H588" s="2"/>
    </row>
    <row r="589" spans="2:8" ht="13.2" x14ac:dyDescent="0.25">
      <c r="B589" s="2"/>
      <c r="C589" s="2"/>
      <c r="D589" s="2"/>
      <c r="E589" s="2"/>
      <c r="F589" s="2"/>
      <c r="G589" s="2"/>
      <c r="H589" s="2"/>
    </row>
    <row r="590" spans="2:8" ht="13.2" x14ac:dyDescent="0.25">
      <c r="B590" s="2"/>
      <c r="C590" s="2"/>
      <c r="D590" s="2"/>
      <c r="E590" s="2"/>
      <c r="F590" s="2"/>
      <c r="G590" s="2"/>
      <c r="H590" s="2"/>
    </row>
    <row r="591" spans="2:8" ht="13.2" x14ac:dyDescent="0.25">
      <c r="B591" s="2"/>
      <c r="C591" s="2"/>
      <c r="D591" s="2"/>
      <c r="E591" s="2"/>
      <c r="F591" s="2"/>
      <c r="G591" s="2"/>
      <c r="H591" s="2"/>
    </row>
    <row r="592" spans="2:8" ht="13.2" x14ac:dyDescent="0.25">
      <c r="B592" s="2"/>
      <c r="C592" s="2"/>
      <c r="D592" s="2"/>
      <c r="E592" s="2"/>
      <c r="F592" s="2"/>
      <c r="G592" s="2"/>
      <c r="H592" s="2"/>
    </row>
    <row r="593" spans="2:8" ht="13.2" x14ac:dyDescent="0.25">
      <c r="B593" s="2"/>
      <c r="C593" s="2"/>
      <c r="D593" s="2"/>
      <c r="E593" s="2"/>
      <c r="F593" s="2"/>
      <c r="G593" s="2"/>
      <c r="H593" s="2"/>
    </row>
    <row r="594" spans="2:8" ht="13.2" x14ac:dyDescent="0.25">
      <c r="B594" s="2"/>
      <c r="C594" s="2"/>
      <c r="D594" s="2"/>
      <c r="E594" s="2"/>
      <c r="F594" s="2"/>
      <c r="G594" s="2"/>
      <c r="H594" s="2"/>
    </row>
    <row r="595" spans="2:8" ht="13.2" x14ac:dyDescent="0.25">
      <c r="B595" s="2"/>
      <c r="C595" s="2"/>
      <c r="D595" s="2"/>
      <c r="E595" s="2"/>
      <c r="F595" s="2"/>
      <c r="G595" s="2"/>
      <c r="H595" s="2"/>
    </row>
    <row r="596" spans="2:8" ht="13.2" x14ac:dyDescent="0.25">
      <c r="B596" s="2"/>
      <c r="C596" s="2"/>
      <c r="D596" s="2"/>
      <c r="E596" s="2"/>
      <c r="F596" s="2"/>
      <c r="G596" s="2"/>
      <c r="H596" s="2"/>
    </row>
    <row r="597" spans="2:8" ht="13.2" x14ac:dyDescent="0.25">
      <c r="B597" s="2"/>
      <c r="C597" s="2"/>
      <c r="D597" s="2"/>
      <c r="E597" s="2"/>
      <c r="F597" s="2"/>
      <c r="G597" s="2"/>
      <c r="H597" s="2"/>
    </row>
    <row r="598" spans="2:8" ht="13.2" x14ac:dyDescent="0.25">
      <c r="B598" s="2"/>
      <c r="C598" s="2"/>
      <c r="D598" s="2"/>
      <c r="E598" s="2"/>
      <c r="F598" s="2"/>
      <c r="G598" s="2"/>
      <c r="H598" s="2"/>
    </row>
    <row r="599" spans="2:8" ht="13.2" x14ac:dyDescent="0.25">
      <c r="B599" s="2"/>
      <c r="C599" s="2"/>
      <c r="D599" s="2"/>
      <c r="E599" s="2"/>
      <c r="F599" s="2"/>
      <c r="G599" s="2"/>
      <c r="H599" s="2"/>
    </row>
    <row r="600" spans="2:8" ht="13.2" x14ac:dyDescent="0.25">
      <c r="B600" s="2"/>
      <c r="C600" s="2"/>
      <c r="D600" s="2"/>
      <c r="E600" s="2"/>
      <c r="F600" s="2"/>
      <c r="G600" s="2"/>
      <c r="H600" s="2"/>
    </row>
    <row r="601" spans="2:8" ht="13.2" x14ac:dyDescent="0.25">
      <c r="B601" s="2"/>
      <c r="C601" s="2"/>
      <c r="D601" s="2"/>
      <c r="E601" s="2"/>
      <c r="F601" s="2"/>
      <c r="G601" s="2"/>
      <c r="H601" s="2"/>
    </row>
    <row r="602" spans="2:8" ht="13.2" x14ac:dyDescent="0.25">
      <c r="B602" s="2"/>
      <c r="C602" s="2"/>
      <c r="D602" s="2"/>
      <c r="E602" s="2"/>
      <c r="F602" s="2"/>
      <c r="G602" s="2"/>
      <c r="H602" s="2"/>
    </row>
    <row r="603" spans="2:8" ht="13.2" x14ac:dyDescent="0.25">
      <c r="B603" s="2"/>
      <c r="C603" s="2"/>
      <c r="D603" s="2"/>
      <c r="E603" s="2"/>
      <c r="F603" s="2"/>
      <c r="G603" s="2"/>
      <c r="H603" s="2"/>
    </row>
    <row r="604" spans="2:8" ht="13.2" x14ac:dyDescent="0.25">
      <c r="B604" s="2"/>
      <c r="C604" s="2"/>
      <c r="D604" s="2"/>
      <c r="E604" s="2"/>
      <c r="F604" s="2"/>
      <c r="G604" s="2"/>
      <c r="H604" s="2"/>
    </row>
    <row r="605" spans="2:8" ht="13.2" x14ac:dyDescent="0.25">
      <c r="B605" s="2"/>
      <c r="C605" s="2"/>
      <c r="D605" s="2"/>
      <c r="E605" s="2"/>
      <c r="F605" s="2"/>
      <c r="G605" s="2"/>
      <c r="H605" s="2"/>
    </row>
    <row r="606" spans="2:8" ht="13.2" x14ac:dyDescent="0.25">
      <c r="B606" s="2"/>
      <c r="C606" s="2"/>
      <c r="D606" s="2"/>
      <c r="E606" s="2"/>
      <c r="F606" s="2"/>
      <c r="G606" s="2"/>
      <c r="H606" s="2"/>
    </row>
    <row r="607" spans="2:8" ht="13.2" x14ac:dyDescent="0.25">
      <c r="B607" s="2"/>
      <c r="C607" s="2"/>
      <c r="D607" s="2"/>
      <c r="E607" s="2"/>
      <c r="F607" s="2"/>
      <c r="G607" s="2"/>
      <c r="H607" s="2"/>
    </row>
    <row r="608" spans="2:8" ht="13.2" x14ac:dyDescent="0.25">
      <c r="B608" s="2"/>
      <c r="C608" s="2"/>
      <c r="D608" s="2"/>
      <c r="E608" s="2"/>
      <c r="F608" s="2"/>
      <c r="G608" s="2"/>
      <c r="H608" s="2"/>
    </row>
    <row r="609" spans="2:8" ht="13.2" x14ac:dyDescent="0.25">
      <c r="B609" s="2"/>
      <c r="C609" s="2"/>
      <c r="D609" s="2"/>
      <c r="E609" s="2"/>
      <c r="F609" s="2"/>
      <c r="G609" s="2"/>
      <c r="H609" s="2"/>
    </row>
    <row r="610" spans="2:8" ht="13.2" x14ac:dyDescent="0.25">
      <c r="B610" s="2"/>
      <c r="C610" s="2"/>
      <c r="D610" s="2"/>
      <c r="E610" s="2"/>
      <c r="F610" s="2"/>
      <c r="G610" s="2"/>
      <c r="H610" s="2"/>
    </row>
    <row r="611" spans="2:8" ht="13.2" x14ac:dyDescent="0.25">
      <c r="B611" s="2"/>
      <c r="C611" s="2"/>
      <c r="D611" s="2"/>
      <c r="E611" s="2"/>
      <c r="F611" s="2"/>
      <c r="G611" s="2"/>
      <c r="H611" s="2"/>
    </row>
    <row r="612" spans="2:8" ht="13.2" x14ac:dyDescent="0.25">
      <c r="B612" s="2"/>
      <c r="C612" s="2"/>
      <c r="D612" s="2"/>
      <c r="E612" s="2"/>
      <c r="F612" s="2"/>
      <c r="G612" s="2"/>
      <c r="H612" s="2"/>
    </row>
    <row r="613" spans="2:8" ht="13.2" x14ac:dyDescent="0.25">
      <c r="B613" s="2"/>
      <c r="C613" s="2"/>
      <c r="D613" s="2"/>
      <c r="E613" s="2"/>
      <c r="F613" s="2"/>
      <c r="G613" s="2"/>
      <c r="H613" s="2"/>
    </row>
    <row r="614" spans="2:8" ht="13.2" x14ac:dyDescent="0.25">
      <c r="B614" s="2"/>
      <c r="C614" s="2"/>
      <c r="D614" s="2"/>
      <c r="E614" s="2"/>
      <c r="F614" s="2"/>
      <c r="G614" s="2"/>
      <c r="H614" s="2"/>
    </row>
    <row r="615" spans="2:8" ht="13.2" x14ac:dyDescent="0.25">
      <c r="B615" s="2"/>
      <c r="C615" s="2"/>
      <c r="D615" s="2"/>
      <c r="E615" s="2"/>
      <c r="F615" s="2"/>
      <c r="G615" s="2"/>
      <c r="H615" s="2"/>
    </row>
    <row r="616" spans="2:8" ht="13.2" x14ac:dyDescent="0.25">
      <c r="B616" s="2"/>
      <c r="C616" s="2"/>
      <c r="D616" s="2"/>
      <c r="E616" s="2"/>
      <c r="F616" s="2"/>
      <c r="G616" s="2"/>
      <c r="H616" s="2"/>
    </row>
    <row r="617" spans="2:8" ht="13.2" x14ac:dyDescent="0.25">
      <c r="B617" s="2"/>
      <c r="C617" s="2"/>
      <c r="D617" s="2"/>
      <c r="E617" s="2"/>
      <c r="F617" s="2"/>
      <c r="G617" s="2"/>
      <c r="H617" s="2"/>
    </row>
    <row r="618" spans="2:8" ht="13.2" x14ac:dyDescent="0.25">
      <c r="B618" s="2"/>
      <c r="C618" s="2"/>
      <c r="D618" s="2"/>
      <c r="E618" s="2"/>
      <c r="F618" s="2"/>
      <c r="G618" s="2"/>
      <c r="H618" s="2"/>
    </row>
    <row r="619" spans="2:8" ht="13.2" x14ac:dyDescent="0.25">
      <c r="B619" s="2"/>
      <c r="C619" s="2"/>
      <c r="D619" s="2"/>
      <c r="E619" s="2"/>
      <c r="F619" s="2"/>
      <c r="G619" s="2"/>
      <c r="H619" s="2"/>
    </row>
    <row r="620" spans="2:8" ht="13.2" x14ac:dyDescent="0.25">
      <c r="B620" s="2"/>
      <c r="C620" s="2"/>
      <c r="D620" s="2"/>
      <c r="E620" s="2"/>
      <c r="F620" s="2"/>
      <c r="G620" s="2"/>
      <c r="H620" s="2"/>
    </row>
    <row r="621" spans="2:8" ht="13.2" x14ac:dyDescent="0.25">
      <c r="B621" s="2"/>
      <c r="C621" s="2"/>
      <c r="D621" s="2"/>
      <c r="E621" s="2"/>
      <c r="F621" s="2"/>
      <c r="G621" s="2"/>
      <c r="H621" s="2"/>
    </row>
    <row r="622" spans="2:8" ht="13.2" x14ac:dyDescent="0.25">
      <c r="B622" s="2"/>
      <c r="C622" s="2"/>
      <c r="D622" s="2"/>
      <c r="E622" s="2"/>
      <c r="F622" s="2"/>
      <c r="G622" s="2"/>
      <c r="H622" s="2"/>
    </row>
    <row r="623" spans="2:8" ht="13.2" x14ac:dyDescent="0.25">
      <c r="B623" s="2"/>
      <c r="C623" s="2"/>
      <c r="D623" s="2"/>
      <c r="E623" s="2"/>
      <c r="F623" s="2"/>
      <c r="G623" s="2"/>
      <c r="H623" s="2"/>
    </row>
    <row r="624" spans="2:8" ht="13.2" x14ac:dyDescent="0.25">
      <c r="B624" s="2"/>
      <c r="C624" s="2"/>
      <c r="D624" s="2"/>
      <c r="E624" s="2"/>
      <c r="F624" s="2"/>
      <c r="G624" s="2"/>
      <c r="H624" s="2"/>
    </row>
    <row r="625" spans="2:8" ht="13.2" x14ac:dyDescent="0.25">
      <c r="B625" s="2"/>
      <c r="C625" s="2"/>
      <c r="D625" s="2"/>
      <c r="E625" s="2"/>
      <c r="F625" s="2"/>
      <c r="G625" s="2"/>
      <c r="H625" s="2"/>
    </row>
    <row r="626" spans="2:8" ht="13.2" x14ac:dyDescent="0.25">
      <c r="B626" s="2"/>
      <c r="C626" s="2"/>
      <c r="D626" s="2"/>
      <c r="E626" s="2"/>
      <c r="F626" s="2"/>
      <c r="G626" s="2"/>
      <c r="H626" s="2"/>
    </row>
    <row r="627" spans="2:8" ht="13.2" x14ac:dyDescent="0.25">
      <c r="B627" s="2"/>
      <c r="C627" s="2"/>
      <c r="D627" s="2"/>
      <c r="E627" s="2"/>
      <c r="F627" s="2"/>
      <c r="G627" s="2"/>
      <c r="H627" s="2"/>
    </row>
    <row r="628" spans="2:8" ht="13.2" x14ac:dyDescent="0.25">
      <c r="B628" s="2"/>
      <c r="C628" s="2"/>
      <c r="D628" s="2"/>
      <c r="E628" s="2"/>
      <c r="F628" s="2"/>
      <c r="G628" s="2"/>
      <c r="H628" s="2"/>
    </row>
    <row r="629" spans="2:8" ht="13.2" x14ac:dyDescent="0.25">
      <c r="B629" s="2"/>
      <c r="C629" s="2"/>
      <c r="D629" s="2"/>
      <c r="E629" s="2"/>
      <c r="F629" s="2"/>
      <c r="G629" s="2"/>
      <c r="H629" s="2"/>
    </row>
    <row r="630" spans="2:8" ht="13.2" x14ac:dyDescent="0.25">
      <c r="B630" s="2"/>
      <c r="C630" s="2"/>
      <c r="D630" s="2"/>
      <c r="E630" s="2"/>
      <c r="F630" s="2"/>
      <c r="G630" s="2"/>
      <c r="H630" s="2"/>
    </row>
    <row r="631" spans="2:8" ht="13.2" x14ac:dyDescent="0.25">
      <c r="B631" s="2"/>
      <c r="C631" s="2"/>
      <c r="D631" s="2"/>
      <c r="E631" s="2"/>
      <c r="F631" s="2"/>
      <c r="G631" s="2"/>
      <c r="H631" s="2"/>
    </row>
    <row r="632" spans="2:8" ht="13.2" x14ac:dyDescent="0.25">
      <c r="B632" s="2"/>
      <c r="C632" s="2"/>
      <c r="D632" s="2"/>
      <c r="E632" s="2"/>
      <c r="F632" s="2"/>
      <c r="G632" s="2"/>
      <c r="H632" s="2"/>
    </row>
    <row r="633" spans="2:8" ht="13.2" x14ac:dyDescent="0.25">
      <c r="B633" s="2"/>
      <c r="C633" s="2"/>
      <c r="D633" s="2"/>
      <c r="E633" s="2"/>
      <c r="F633" s="2"/>
      <c r="G633" s="2"/>
      <c r="H633" s="2"/>
    </row>
    <row r="634" spans="2:8" ht="13.2" x14ac:dyDescent="0.25">
      <c r="B634" s="2"/>
      <c r="C634" s="2"/>
      <c r="D634" s="2"/>
      <c r="E634" s="2"/>
      <c r="F634" s="2"/>
      <c r="G634" s="2"/>
      <c r="H634" s="2"/>
    </row>
    <row r="635" spans="2:8" ht="13.2" x14ac:dyDescent="0.25">
      <c r="B635" s="2"/>
      <c r="C635" s="2"/>
      <c r="D635" s="2"/>
      <c r="E635" s="2"/>
      <c r="F635" s="2"/>
      <c r="G635" s="2"/>
      <c r="H635" s="2"/>
    </row>
    <row r="636" spans="2:8" ht="13.2" x14ac:dyDescent="0.25">
      <c r="B636" s="2"/>
      <c r="C636" s="2"/>
      <c r="D636" s="2"/>
      <c r="E636" s="2"/>
      <c r="F636" s="2"/>
      <c r="G636" s="2"/>
      <c r="H636" s="2"/>
    </row>
    <row r="637" spans="2:8" ht="13.2" x14ac:dyDescent="0.25">
      <c r="B637" s="2"/>
      <c r="C637" s="2"/>
      <c r="D637" s="2"/>
      <c r="E637" s="2"/>
      <c r="F637" s="2"/>
      <c r="G637" s="2"/>
      <c r="H637" s="2"/>
    </row>
    <row r="638" spans="2:8" ht="13.2" x14ac:dyDescent="0.25">
      <c r="B638" s="2"/>
      <c r="C638" s="2"/>
      <c r="D638" s="2"/>
      <c r="E638" s="2"/>
      <c r="F638" s="2"/>
      <c r="G638" s="2"/>
      <c r="H638" s="2"/>
    </row>
    <row r="639" spans="2:8" ht="13.2" x14ac:dyDescent="0.25">
      <c r="B639" s="2"/>
      <c r="C639" s="2"/>
      <c r="D639" s="2"/>
      <c r="E639" s="2"/>
      <c r="F639" s="2"/>
      <c r="G639" s="2"/>
      <c r="H639" s="2"/>
    </row>
    <row r="640" spans="2:8" ht="13.2" x14ac:dyDescent="0.25">
      <c r="B640" s="2"/>
      <c r="C640" s="2"/>
      <c r="D640" s="2"/>
      <c r="E640" s="2"/>
      <c r="F640" s="2"/>
      <c r="G640" s="2"/>
      <c r="H640" s="2"/>
    </row>
    <row r="641" spans="2:8" ht="13.2" x14ac:dyDescent="0.25">
      <c r="B641" s="2"/>
      <c r="C641" s="2"/>
      <c r="D641" s="2"/>
      <c r="E641" s="2"/>
      <c r="F641" s="2"/>
      <c r="G641" s="2"/>
      <c r="H641" s="2"/>
    </row>
    <row r="642" spans="2:8" ht="13.2" x14ac:dyDescent="0.25">
      <c r="B642" s="2"/>
      <c r="C642" s="2"/>
      <c r="D642" s="2"/>
      <c r="E642" s="2"/>
      <c r="F642" s="2"/>
      <c r="G642" s="2"/>
      <c r="H642" s="2"/>
    </row>
    <row r="643" spans="2:8" ht="13.2" x14ac:dyDescent="0.25">
      <c r="B643" s="2"/>
      <c r="C643" s="2"/>
      <c r="D643" s="2"/>
      <c r="E643" s="2"/>
      <c r="F643" s="2"/>
      <c r="G643" s="2"/>
      <c r="H643" s="2"/>
    </row>
    <row r="644" spans="2:8" ht="13.2" x14ac:dyDescent="0.25">
      <c r="B644" s="2"/>
      <c r="C644" s="2"/>
      <c r="D644" s="2"/>
      <c r="E644" s="2"/>
      <c r="F644" s="2"/>
      <c r="G644" s="2"/>
      <c r="H644" s="2"/>
    </row>
    <row r="645" spans="2:8" ht="13.2" x14ac:dyDescent="0.25">
      <c r="B645" s="2"/>
      <c r="C645" s="2"/>
      <c r="D645" s="2"/>
      <c r="E645" s="2"/>
      <c r="F645" s="2"/>
      <c r="G645" s="2"/>
      <c r="H645" s="2"/>
    </row>
    <row r="646" spans="2:8" ht="13.2" x14ac:dyDescent="0.25">
      <c r="B646" s="2"/>
      <c r="C646" s="2"/>
      <c r="D646" s="2"/>
      <c r="E646" s="2"/>
      <c r="F646" s="2"/>
      <c r="G646" s="2"/>
      <c r="H646" s="2"/>
    </row>
    <row r="647" spans="2:8" ht="13.2" x14ac:dyDescent="0.25">
      <c r="B647" s="2"/>
      <c r="C647" s="2"/>
      <c r="D647" s="2"/>
      <c r="E647" s="2"/>
      <c r="F647" s="2"/>
      <c r="G647" s="2"/>
      <c r="H647" s="2"/>
    </row>
    <row r="648" spans="2:8" ht="13.2" x14ac:dyDescent="0.25">
      <c r="B648" s="2"/>
      <c r="C648" s="2"/>
      <c r="D648" s="2"/>
      <c r="E648" s="2"/>
      <c r="F648" s="2"/>
      <c r="G648" s="2"/>
      <c r="H648" s="2"/>
    </row>
    <row r="649" spans="2:8" ht="13.2" x14ac:dyDescent="0.25">
      <c r="B649" s="2"/>
      <c r="C649" s="2"/>
      <c r="D649" s="2"/>
      <c r="E649" s="2"/>
      <c r="F649" s="2"/>
      <c r="G649" s="2"/>
      <c r="H649" s="2"/>
    </row>
    <row r="650" spans="2:8" ht="13.2" x14ac:dyDescent="0.25">
      <c r="B650" s="2"/>
      <c r="C650" s="2"/>
      <c r="D650" s="2"/>
      <c r="E650" s="2"/>
      <c r="F650" s="2"/>
      <c r="G650" s="2"/>
      <c r="H650" s="2"/>
    </row>
    <row r="651" spans="2:8" ht="13.2" x14ac:dyDescent="0.25">
      <c r="B651" s="2"/>
      <c r="C651" s="2"/>
      <c r="D651" s="2"/>
      <c r="E651" s="2"/>
      <c r="F651" s="2"/>
      <c r="G651" s="2"/>
      <c r="H651" s="2"/>
    </row>
    <row r="652" spans="2:8" ht="13.2" x14ac:dyDescent="0.25">
      <c r="B652" s="2"/>
      <c r="C652" s="2"/>
      <c r="D652" s="2"/>
      <c r="E652" s="2"/>
      <c r="F652" s="2"/>
      <c r="G652" s="2"/>
      <c r="H652" s="2"/>
    </row>
    <row r="653" spans="2:8" ht="13.2" x14ac:dyDescent="0.25">
      <c r="B653" s="2"/>
      <c r="C653" s="2"/>
      <c r="D653" s="2"/>
      <c r="E653" s="2"/>
      <c r="F653" s="2"/>
      <c r="G653" s="2"/>
      <c r="H653" s="2"/>
    </row>
    <row r="654" spans="2:8" ht="13.2" x14ac:dyDescent="0.25">
      <c r="B654" s="2"/>
      <c r="C654" s="2"/>
      <c r="D654" s="2"/>
      <c r="E654" s="2"/>
      <c r="F654" s="2"/>
      <c r="G654" s="2"/>
      <c r="H654" s="2"/>
    </row>
    <row r="655" spans="2:8" ht="13.2" x14ac:dyDescent="0.25">
      <c r="B655" s="2"/>
      <c r="C655" s="2"/>
      <c r="D655" s="2"/>
      <c r="E655" s="2"/>
      <c r="F655" s="2"/>
      <c r="G655" s="2"/>
      <c r="H655" s="2"/>
    </row>
    <row r="656" spans="2:8" ht="13.2" x14ac:dyDescent="0.25">
      <c r="B656" s="2"/>
      <c r="C656" s="2"/>
      <c r="D656" s="2"/>
      <c r="E656" s="2"/>
      <c r="F656" s="2"/>
      <c r="G656" s="2"/>
      <c r="H656" s="2"/>
    </row>
    <row r="657" spans="2:8" ht="13.2" x14ac:dyDescent="0.25">
      <c r="B657" s="2"/>
      <c r="C657" s="2"/>
      <c r="D657" s="2"/>
      <c r="E657" s="2"/>
      <c r="F657" s="2"/>
      <c r="G657" s="2"/>
      <c r="H657" s="2"/>
    </row>
    <row r="658" spans="2:8" ht="13.2" x14ac:dyDescent="0.25">
      <c r="B658" s="2"/>
      <c r="C658" s="2"/>
      <c r="D658" s="2"/>
      <c r="E658" s="2"/>
      <c r="F658" s="2"/>
      <c r="G658" s="2"/>
      <c r="H658" s="2"/>
    </row>
    <row r="659" spans="2:8" ht="13.2" x14ac:dyDescent="0.25">
      <c r="B659" s="2"/>
      <c r="C659" s="2"/>
      <c r="D659" s="2"/>
      <c r="E659" s="2"/>
      <c r="F659" s="2"/>
      <c r="G659" s="2"/>
      <c r="H659" s="2"/>
    </row>
    <row r="660" spans="2:8" ht="13.2" x14ac:dyDescent="0.25">
      <c r="B660" s="2"/>
      <c r="C660" s="2"/>
      <c r="D660" s="2"/>
      <c r="E660" s="2"/>
      <c r="F660" s="2"/>
      <c r="G660" s="2"/>
      <c r="H660" s="2"/>
    </row>
    <row r="661" spans="2:8" ht="13.2" x14ac:dyDescent="0.25">
      <c r="B661" s="2"/>
      <c r="C661" s="2"/>
      <c r="D661" s="2"/>
      <c r="E661" s="2"/>
      <c r="F661" s="2"/>
      <c r="G661" s="2"/>
      <c r="H661" s="2"/>
    </row>
    <row r="662" spans="2:8" ht="13.2" x14ac:dyDescent="0.25">
      <c r="B662" s="2"/>
      <c r="C662" s="2"/>
      <c r="D662" s="2"/>
      <c r="E662" s="2"/>
      <c r="F662" s="2"/>
      <c r="G662" s="2"/>
      <c r="H662" s="2"/>
    </row>
    <row r="663" spans="2:8" ht="13.2" x14ac:dyDescent="0.25">
      <c r="B663" s="2"/>
      <c r="C663" s="2"/>
      <c r="D663" s="2"/>
      <c r="E663" s="2"/>
      <c r="F663" s="2"/>
      <c r="G663" s="2"/>
      <c r="H663" s="2"/>
    </row>
    <row r="664" spans="2:8" ht="13.2" x14ac:dyDescent="0.25">
      <c r="B664" s="2"/>
      <c r="C664" s="2"/>
      <c r="D664" s="2"/>
      <c r="E664" s="2"/>
      <c r="F664" s="2"/>
      <c r="G664" s="2"/>
      <c r="H664" s="2"/>
    </row>
    <row r="665" spans="2:8" ht="13.2" x14ac:dyDescent="0.25">
      <c r="B665" s="2"/>
      <c r="C665" s="2"/>
      <c r="D665" s="2"/>
      <c r="E665" s="2"/>
      <c r="F665" s="2"/>
      <c r="G665" s="2"/>
      <c r="H665" s="2"/>
    </row>
    <row r="666" spans="2:8" ht="13.2" x14ac:dyDescent="0.25">
      <c r="B666" s="2"/>
      <c r="C666" s="2"/>
      <c r="D666" s="2"/>
      <c r="E666" s="2"/>
      <c r="F666" s="2"/>
      <c r="G666" s="2"/>
      <c r="H666" s="2"/>
    </row>
    <row r="667" spans="2:8" ht="13.2" x14ac:dyDescent="0.25">
      <c r="B667" s="2"/>
      <c r="C667" s="2"/>
      <c r="D667" s="2"/>
      <c r="E667" s="2"/>
      <c r="F667" s="2"/>
      <c r="G667" s="2"/>
      <c r="H667" s="2"/>
    </row>
    <row r="668" spans="2:8" ht="13.2" x14ac:dyDescent="0.25">
      <c r="B668" s="2"/>
      <c r="C668" s="2"/>
      <c r="D668" s="2"/>
      <c r="E668" s="2"/>
      <c r="F668" s="2"/>
      <c r="G668" s="2"/>
      <c r="H668" s="2"/>
    </row>
    <row r="669" spans="2:8" ht="13.2" x14ac:dyDescent="0.25">
      <c r="B669" s="2"/>
      <c r="C669" s="2"/>
      <c r="D669" s="2"/>
      <c r="E669" s="2"/>
      <c r="F669" s="2"/>
      <c r="G669" s="2"/>
      <c r="H669" s="2"/>
    </row>
    <row r="670" spans="2:8" ht="13.2" x14ac:dyDescent="0.25">
      <c r="B670" s="2"/>
      <c r="C670" s="2"/>
      <c r="D670" s="2"/>
      <c r="E670" s="2"/>
      <c r="F670" s="2"/>
      <c r="G670" s="2"/>
      <c r="H670" s="2"/>
    </row>
    <row r="671" spans="2:8" ht="13.2" x14ac:dyDescent="0.25">
      <c r="B671" s="2"/>
      <c r="C671" s="2"/>
      <c r="D671" s="2"/>
      <c r="E671" s="2"/>
      <c r="F671" s="2"/>
      <c r="G671" s="2"/>
      <c r="H671" s="2"/>
    </row>
    <row r="672" spans="2:8" ht="13.2" x14ac:dyDescent="0.25">
      <c r="B672" s="2"/>
      <c r="C672" s="2"/>
      <c r="D672" s="2"/>
      <c r="E672" s="2"/>
      <c r="F672" s="2"/>
      <c r="G672" s="2"/>
      <c r="H672" s="2"/>
    </row>
    <row r="673" spans="2:8" ht="13.2" x14ac:dyDescent="0.25">
      <c r="B673" s="2"/>
      <c r="C673" s="2"/>
      <c r="D673" s="2"/>
      <c r="E673" s="2"/>
      <c r="F673" s="2"/>
      <c r="G673" s="2"/>
      <c r="H673" s="2"/>
    </row>
    <row r="674" spans="2:8" ht="13.2" x14ac:dyDescent="0.25">
      <c r="B674" s="2"/>
      <c r="C674" s="2"/>
      <c r="D674" s="2"/>
      <c r="E674" s="2"/>
      <c r="F674" s="2"/>
      <c r="G674" s="2"/>
      <c r="H674" s="2"/>
    </row>
    <row r="675" spans="2:8" ht="13.2" x14ac:dyDescent="0.25">
      <c r="B675" s="2"/>
      <c r="C675" s="2"/>
      <c r="D675" s="2"/>
      <c r="E675" s="2"/>
      <c r="F675" s="2"/>
      <c r="G675" s="2"/>
      <c r="H675" s="2"/>
    </row>
    <row r="676" spans="2:8" ht="13.2" x14ac:dyDescent="0.25">
      <c r="B676" s="2"/>
      <c r="C676" s="2"/>
      <c r="D676" s="2"/>
      <c r="E676" s="2"/>
      <c r="F676" s="2"/>
      <c r="G676" s="2"/>
      <c r="H676" s="2"/>
    </row>
    <row r="677" spans="2:8" ht="13.2" x14ac:dyDescent="0.25">
      <c r="B677" s="2"/>
      <c r="C677" s="2"/>
      <c r="D677" s="2"/>
      <c r="E677" s="2"/>
      <c r="F677" s="2"/>
      <c r="G677" s="2"/>
      <c r="H677" s="2"/>
    </row>
    <row r="678" spans="2:8" ht="13.2" x14ac:dyDescent="0.25">
      <c r="B678" s="2"/>
      <c r="C678" s="2"/>
      <c r="D678" s="2"/>
      <c r="E678" s="2"/>
      <c r="F678" s="2"/>
      <c r="G678" s="2"/>
      <c r="H678" s="2"/>
    </row>
    <row r="679" spans="2:8" ht="13.2" x14ac:dyDescent="0.25">
      <c r="B679" s="2"/>
      <c r="C679" s="2"/>
      <c r="D679" s="2"/>
      <c r="E679" s="2"/>
      <c r="F679" s="2"/>
      <c r="G679" s="2"/>
      <c r="H679" s="2"/>
    </row>
    <row r="680" spans="2:8" ht="13.2" x14ac:dyDescent="0.25">
      <c r="B680" s="2"/>
      <c r="C680" s="2"/>
      <c r="D680" s="2"/>
      <c r="E680" s="2"/>
      <c r="F680" s="2"/>
      <c r="G680" s="2"/>
      <c r="H680" s="2"/>
    </row>
    <row r="681" spans="2:8" ht="13.2" x14ac:dyDescent="0.25">
      <c r="B681" s="2"/>
      <c r="C681" s="2"/>
      <c r="D681" s="2"/>
      <c r="E681" s="2"/>
      <c r="F681" s="2"/>
      <c r="G681" s="2"/>
      <c r="H681" s="2"/>
    </row>
    <row r="682" spans="2:8" ht="13.2" x14ac:dyDescent="0.25">
      <c r="B682" s="2"/>
      <c r="C682" s="2"/>
      <c r="D682" s="2"/>
      <c r="E682" s="2"/>
      <c r="F682" s="2"/>
      <c r="G682" s="2"/>
      <c r="H682" s="2"/>
    </row>
    <row r="683" spans="2:8" ht="13.2" x14ac:dyDescent="0.25">
      <c r="B683" s="2"/>
      <c r="C683" s="2"/>
      <c r="D683" s="2"/>
      <c r="E683" s="2"/>
      <c r="F683" s="2"/>
      <c r="G683" s="2"/>
      <c r="H683" s="2"/>
    </row>
    <row r="684" spans="2:8" ht="13.2" x14ac:dyDescent="0.25">
      <c r="B684" s="2"/>
      <c r="C684" s="2"/>
      <c r="D684" s="2"/>
      <c r="E684" s="2"/>
      <c r="F684" s="2"/>
      <c r="G684" s="2"/>
      <c r="H684" s="2"/>
    </row>
    <row r="685" spans="2:8" ht="13.2" x14ac:dyDescent="0.25">
      <c r="B685" s="2"/>
      <c r="C685" s="2"/>
      <c r="D685" s="2"/>
      <c r="E685" s="2"/>
      <c r="F685" s="2"/>
      <c r="G685" s="2"/>
      <c r="H685" s="2"/>
    </row>
    <row r="686" spans="2:8" ht="13.2" x14ac:dyDescent="0.25">
      <c r="B686" s="2"/>
      <c r="C686" s="2"/>
      <c r="D686" s="2"/>
      <c r="E686" s="2"/>
      <c r="F686" s="2"/>
      <c r="G686" s="2"/>
      <c r="H686" s="2"/>
    </row>
    <row r="687" spans="2:8" ht="13.2" x14ac:dyDescent="0.25">
      <c r="B687" s="2"/>
      <c r="C687" s="2"/>
      <c r="D687" s="2"/>
      <c r="E687" s="2"/>
      <c r="F687" s="2"/>
      <c r="G687" s="2"/>
      <c r="H687" s="2"/>
    </row>
    <row r="688" spans="2:8" ht="13.2" x14ac:dyDescent="0.25">
      <c r="B688" s="2"/>
      <c r="C688" s="2"/>
      <c r="D688" s="2"/>
      <c r="E688" s="2"/>
      <c r="F688" s="2"/>
      <c r="G688" s="2"/>
      <c r="H688" s="2"/>
    </row>
    <row r="689" spans="2:8" ht="13.2" x14ac:dyDescent="0.25">
      <c r="B689" s="2"/>
      <c r="C689" s="2"/>
      <c r="D689" s="2"/>
      <c r="E689" s="2"/>
      <c r="F689" s="2"/>
      <c r="G689" s="2"/>
      <c r="H689" s="2"/>
    </row>
    <row r="690" spans="2:8" ht="13.2" x14ac:dyDescent="0.25">
      <c r="B690" s="2"/>
      <c r="C690" s="2"/>
      <c r="D690" s="2"/>
      <c r="E690" s="2"/>
      <c r="F690" s="2"/>
      <c r="G690" s="2"/>
      <c r="H690" s="2"/>
    </row>
    <row r="691" spans="2:8" ht="13.2" x14ac:dyDescent="0.25">
      <c r="B691" s="2"/>
      <c r="C691" s="2"/>
      <c r="D691" s="2"/>
      <c r="E691" s="2"/>
      <c r="F691" s="2"/>
      <c r="G691" s="2"/>
      <c r="H691" s="2"/>
    </row>
    <row r="692" spans="2:8" ht="13.2" x14ac:dyDescent="0.25">
      <c r="B692" s="2"/>
      <c r="C692" s="2"/>
      <c r="D692" s="2"/>
      <c r="E692" s="2"/>
      <c r="F692" s="2"/>
      <c r="G692" s="2"/>
      <c r="H692" s="2"/>
    </row>
    <row r="693" spans="2:8" ht="13.2" x14ac:dyDescent="0.25">
      <c r="B693" s="2"/>
      <c r="C693" s="2"/>
      <c r="D693" s="2"/>
      <c r="E693" s="2"/>
      <c r="F693" s="2"/>
      <c r="G693" s="2"/>
      <c r="H693" s="2"/>
    </row>
    <row r="694" spans="2:8" ht="13.2" x14ac:dyDescent="0.25">
      <c r="B694" s="2"/>
      <c r="C694" s="2"/>
      <c r="D694" s="2"/>
      <c r="E694" s="2"/>
      <c r="F694" s="2"/>
      <c r="G694" s="2"/>
      <c r="H694" s="2"/>
    </row>
    <row r="695" spans="2:8" ht="13.2" x14ac:dyDescent="0.25">
      <c r="B695" s="2"/>
      <c r="C695" s="2"/>
      <c r="D695" s="2"/>
      <c r="E695" s="2"/>
      <c r="F695" s="2"/>
      <c r="G695" s="2"/>
      <c r="H695" s="2"/>
    </row>
    <row r="696" spans="2:8" ht="13.2" x14ac:dyDescent="0.25">
      <c r="B696" s="2"/>
      <c r="C696" s="2"/>
      <c r="D696" s="2"/>
      <c r="E696" s="2"/>
      <c r="F696" s="2"/>
      <c r="G696" s="2"/>
      <c r="H696" s="2"/>
    </row>
    <row r="697" spans="2:8" ht="13.2" x14ac:dyDescent="0.25">
      <c r="B697" s="2"/>
      <c r="C697" s="2"/>
      <c r="D697" s="2"/>
      <c r="E697" s="2"/>
      <c r="F697" s="2"/>
      <c r="G697" s="2"/>
      <c r="H697" s="2"/>
    </row>
    <row r="698" spans="2:8" ht="13.2" x14ac:dyDescent="0.25">
      <c r="B698" s="2"/>
      <c r="C698" s="2"/>
      <c r="D698" s="2"/>
      <c r="E698" s="2"/>
      <c r="F698" s="2"/>
      <c r="G698" s="2"/>
      <c r="H698" s="2"/>
    </row>
    <row r="699" spans="2:8" ht="13.2" x14ac:dyDescent="0.25">
      <c r="B699" s="2"/>
      <c r="C699" s="2"/>
      <c r="D699" s="2"/>
      <c r="E699" s="2"/>
      <c r="F699" s="2"/>
      <c r="G699" s="2"/>
      <c r="H699" s="2"/>
    </row>
    <row r="700" spans="2:8" ht="13.2" x14ac:dyDescent="0.25">
      <c r="B700" s="2"/>
      <c r="C700" s="2"/>
      <c r="D700" s="2"/>
      <c r="E700" s="2"/>
      <c r="F700" s="2"/>
      <c r="G700" s="2"/>
      <c r="H700" s="2"/>
    </row>
    <row r="701" spans="2:8" ht="13.2" x14ac:dyDescent="0.25">
      <c r="B701" s="2"/>
      <c r="C701" s="2"/>
      <c r="D701" s="2"/>
      <c r="E701" s="2"/>
      <c r="F701" s="2"/>
      <c r="G701" s="2"/>
      <c r="H701" s="2"/>
    </row>
    <row r="702" spans="2:8" ht="13.2" x14ac:dyDescent="0.25">
      <c r="B702" s="2"/>
      <c r="C702" s="2"/>
      <c r="D702" s="2"/>
      <c r="E702" s="2"/>
      <c r="F702" s="2"/>
      <c r="G702" s="2"/>
      <c r="H702" s="2"/>
    </row>
    <row r="703" spans="2:8" ht="13.2" x14ac:dyDescent="0.25">
      <c r="B703" s="2"/>
      <c r="C703" s="2"/>
      <c r="D703" s="2"/>
      <c r="E703" s="2"/>
      <c r="F703" s="2"/>
      <c r="G703" s="2"/>
      <c r="H703" s="2"/>
    </row>
    <row r="704" spans="2:8" ht="13.2" x14ac:dyDescent="0.25">
      <c r="B704" s="2"/>
      <c r="C704" s="2"/>
      <c r="D704" s="2"/>
      <c r="E704" s="2"/>
      <c r="F704" s="2"/>
      <c r="G704" s="2"/>
      <c r="H704" s="2"/>
    </row>
    <row r="705" spans="2:8" ht="13.2" x14ac:dyDescent="0.25">
      <c r="B705" s="2"/>
      <c r="C705" s="2"/>
      <c r="D705" s="2"/>
      <c r="E705" s="2"/>
      <c r="F705" s="2"/>
      <c r="G705" s="2"/>
      <c r="H705" s="2"/>
    </row>
    <row r="706" spans="2:8" ht="13.2" x14ac:dyDescent="0.25">
      <c r="B706" s="2"/>
      <c r="C706" s="2"/>
      <c r="D706" s="2"/>
      <c r="E706" s="2"/>
      <c r="F706" s="2"/>
      <c r="G706" s="2"/>
      <c r="H706" s="2"/>
    </row>
    <row r="707" spans="2:8" ht="13.2" x14ac:dyDescent="0.25">
      <c r="B707" s="2"/>
      <c r="C707" s="2"/>
      <c r="D707" s="2"/>
      <c r="E707" s="2"/>
      <c r="F707" s="2"/>
      <c r="G707" s="2"/>
      <c r="H707" s="2"/>
    </row>
    <row r="708" spans="2:8" ht="13.2" x14ac:dyDescent="0.25">
      <c r="B708" s="2"/>
      <c r="C708" s="2"/>
      <c r="D708" s="2"/>
      <c r="E708" s="2"/>
      <c r="F708" s="2"/>
      <c r="G708" s="2"/>
      <c r="H708" s="2"/>
    </row>
    <row r="709" spans="2:8" ht="13.2" x14ac:dyDescent="0.25">
      <c r="B709" s="2"/>
      <c r="C709" s="2"/>
      <c r="D709" s="2"/>
      <c r="E709" s="2"/>
      <c r="F709" s="2"/>
      <c r="G709" s="2"/>
      <c r="H709" s="2"/>
    </row>
    <row r="710" spans="2:8" ht="13.2" x14ac:dyDescent="0.25">
      <c r="B710" s="2"/>
      <c r="C710" s="2"/>
      <c r="D710" s="2"/>
      <c r="E710" s="2"/>
      <c r="F710" s="2"/>
      <c r="G710" s="2"/>
      <c r="H710" s="2"/>
    </row>
    <row r="711" spans="2:8" ht="13.2" x14ac:dyDescent="0.25">
      <c r="B711" s="2"/>
      <c r="C711" s="2"/>
      <c r="D711" s="2"/>
      <c r="E711" s="2"/>
      <c r="F711" s="2"/>
      <c r="G711" s="2"/>
      <c r="H711" s="2"/>
    </row>
    <row r="712" spans="2:8" ht="13.2" x14ac:dyDescent="0.25">
      <c r="B712" s="2"/>
      <c r="C712" s="2"/>
      <c r="D712" s="2"/>
      <c r="E712" s="2"/>
      <c r="F712" s="2"/>
      <c r="G712" s="2"/>
      <c r="H712" s="2"/>
    </row>
    <row r="713" spans="2:8" ht="13.2" x14ac:dyDescent="0.25">
      <c r="B713" s="2"/>
      <c r="C713" s="2"/>
      <c r="D713" s="2"/>
      <c r="E713" s="2"/>
      <c r="F713" s="2"/>
      <c r="G713" s="2"/>
      <c r="H713" s="2"/>
    </row>
    <row r="714" spans="2:8" ht="13.2" x14ac:dyDescent="0.25">
      <c r="B714" s="2"/>
      <c r="C714" s="2"/>
      <c r="D714" s="2"/>
      <c r="E714" s="2"/>
      <c r="F714" s="2"/>
      <c r="G714" s="2"/>
      <c r="H714" s="2"/>
    </row>
    <row r="715" spans="2:8" ht="13.2" x14ac:dyDescent="0.25">
      <c r="B715" s="2"/>
      <c r="C715" s="2"/>
      <c r="D715" s="2"/>
      <c r="E715" s="2"/>
      <c r="F715" s="2"/>
      <c r="G715" s="2"/>
      <c r="H715" s="2"/>
    </row>
    <row r="716" spans="2:8" ht="13.2" x14ac:dyDescent="0.25">
      <c r="B716" s="2"/>
      <c r="C716" s="2"/>
      <c r="D716" s="2"/>
      <c r="E716" s="2"/>
      <c r="F716" s="2"/>
      <c r="G716" s="2"/>
      <c r="H716" s="2"/>
    </row>
    <row r="717" spans="2:8" ht="13.2" x14ac:dyDescent="0.25">
      <c r="B717" s="2"/>
      <c r="C717" s="2"/>
      <c r="D717" s="2"/>
      <c r="E717" s="2"/>
      <c r="F717" s="2"/>
      <c r="G717" s="2"/>
      <c r="H717" s="2"/>
    </row>
    <row r="718" spans="2:8" ht="13.2" x14ac:dyDescent="0.25">
      <c r="B718" s="2"/>
      <c r="C718" s="2"/>
      <c r="D718" s="2"/>
      <c r="E718" s="2"/>
      <c r="F718" s="2"/>
      <c r="G718" s="2"/>
      <c r="H718" s="2"/>
    </row>
    <row r="719" spans="2:8" ht="13.2" x14ac:dyDescent="0.25">
      <c r="B719" s="2"/>
      <c r="C719" s="2"/>
      <c r="D719" s="2"/>
      <c r="E719" s="2"/>
      <c r="F719" s="2"/>
      <c r="G719" s="2"/>
      <c r="H719" s="2"/>
    </row>
    <row r="720" spans="2:8" ht="13.2" x14ac:dyDescent="0.25">
      <c r="B720" s="2"/>
      <c r="C720" s="2"/>
      <c r="D720" s="2"/>
      <c r="E720" s="2"/>
      <c r="F720" s="2"/>
      <c r="G720" s="2"/>
      <c r="H720" s="2"/>
    </row>
    <row r="721" spans="2:8" ht="13.2" x14ac:dyDescent="0.25">
      <c r="B721" s="2"/>
      <c r="C721" s="2"/>
      <c r="D721" s="2"/>
      <c r="E721" s="2"/>
      <c r="F721" s="2"/>
      <c r="G721" s="2"/>
      <c r="H721" s="2"/>
    </row>
    <row r="722" spans="2:8" ht="13.2" x14ac:dyDescent="0.25">
      <c r="B722" s="2"/>
      <c r="C722" s="2"/>
      <c r="D722" s="2"/>
      <c r="E722" s="2"/>
      <c r="F722" s="2"/>
      <c r="G722" s="2"/>
      <c r="H722" s="2"/>
    </row>
    <row r="723" spans="2:8" ht="13.2" x14ac:dyDescent="0.25">
      <c r="B723" s="2"/>
      <c r="C723" s="2"/>
      <c r="D723" s="2"/>
      <c r="E723" s="2"/>
      <c r="F723" s="2"/>
      <c r="G723" s="2"/>
      <c r="H723" s="2"/>
    </row>
    <row r="724" spans="2:8" ht="13.2" x14ac:dyDescent="0.25">
      <c r="B724" s="2"/>
      <c r="C724" s="2"/>
      <c r="D724" s="2"/>
      <c r="E724" s="2"/>
      <c r="F724" s="2"/>
      <c r="G724" s="2"/>
      <c r="H724" s="2"/>
    </row>
    <row r="725" spans="2:8" ht="13.2" x14ac:dyDescent="0.25">
      <c r="B725" s="2"/>
      <c r="C725" s="2"/>
      <c r="D725" s="2"/>
      <c r="E725" s="2"/>
      <c r="F725" s="2"/>
      <c r="G725" s="2"/>
      <c r="H725" s="2"/>
    </row>
    <row r="726" spans="2:8" ht="13.2" x14ac:dyDescent="0.25">
      <c r="B726" s="2"/>
      <c r="C726" s="2"/>
      <c r="D726" s="2"/>
      <c r="E726" s="2"/>
      <c r="F726" s="2"/>
      <c r="G726" s="2"/>
      <c r="H726" s="2"/>
    </row>
    <row r="727" spans="2:8" ht="13.2" x14ac:dyDescent="0.25">
      <c r="B727" s="2"/>
      <c r="C727" s="2"/>
      <c r="D727" s="2"/>
      <c r="E727" s="2"/>
      <c r="F727" s="2"/>
      <c r="G727" s="2"/>
      <c r="H727" s="2"/>
    </row>
    <row r="728" spans="2:8" ht="13.2" x14ac:dyDescent="0.25">
      <c r="B728" s="2"/>
      <c r="C728" s="2"/>
      <c r="D728" s="2"/>
      <c r="E728" s="2"/>
      <c r="F728" s="2"/>
      <c r="G728" s="2"/>
      <c r="H728" s="2"/>
    </row>
    <row r="729" spans="2:8" ht="13.2" x14ac:dyDescent="0.25">
      <c r="B729" s="2"/>
      <c r="C729" s="2"/>
      <c r="D729" s="2"/>
      <c r="E729" s="2"/>
      <c r="F729" s="2"/>
      <c r="G729" s="2"/>
      <c r="H729" s="2"/>
    </row>
    <row r="730" spans="2:8" ht="13.2" x14ac:dyDescent="0.25">
      <c r="B730" s="2"/>
      <c r="C730" s="2"/>
      <c r="D730" s="2"/>
      <c r="E730" s="2"/>
      <c r="F730" s="2"/>
      <c r="G730" s="2"/>
      <c r="H730" s="2"/>
    </row>
    <row r="731" spans="2:8" ht="13.2" x14ac:dyDescent="0.25">
      <c r="B731" s="2"/>
      <c r="C731" s="2"/>
      <c r="D731" s="2"/>
      <c r="E731" s="2"/>
      <c r="F731" s="2"/>
      <c r="G731" s="2"/>
      <c r="H731" s="2"/>
    </row>
    <row r="732" spans="2:8" ht="13.2" x14ac:dyDescent="0.25">
      <c r="B732" s="2"/>
      <c r="C732" s="2"/>
      <c r="D732" s="2"/>
      <c r="E732" s="2"/>
      <c r="F732" s="2"/>
      <c r="G732" s="2"/>
      <c r="H732" s="2"/>
    </row>
    <row r="733" spans="2:8" ht="13.2" x14ac:dyDescent="0.25">
      <c r="B733" s="2"/>
      <c r="C733" s="2"/>
      <c r="D733" s="2"/>
      <c r="E733" s="2"/>
      <c r="F733" s="2"/>
      <c r="G733" s="2"/>
      <c r="H733" s="2"/>
    </row>
    <row r="734" spans="2:8" ht="13.2" x14ac:dyDescent="0.25">
      <c r="B734" s="2"/>
      <c r="C734" s="2"/>
      <c r="D734" s="2"/>
      <c r="E734" s="2"/>
      <c r="F734" s="2"/>
      <c r="G734" s="2"/>
      <c r="H734" s="2"/>
    </row>
    <row r="735" spans="2:8" ht="13.2" x14ac:dyDescent="0.25">
      <c r="B735" s="2"/>
      <c r="C735" s="2"/>
      <c r="D735" s="2"/>
      <c r="E735" s="2"/>
      <c r="F735" s="2"/>
      <c r="G735" s="2"/>
      <c r="H735" s="2"/>
    </row>
    <row r="736" spans="2:8" ht="13.2" x14ac:dyDescent="0.25">
      <c r="B736" s="2"/>
      <c r="C736" s="2"/>
      <c r="D736" s="2"/>
      <c r="E736" s="2"/>
      <c r="F736" s="2"/>
      <c r="G736" s="2"/>
      <c r="H736" s="2"/>
    </row>
    <row r="737" spans="2:8" ht="13.2" x14ac:dyDescent="0.25">
      <c r="B737" s="2"/>
      <c r="C737" s="2"/>
      <c r="D737" s="2"/>
      <c r="E737" s="2"/>
      <c r="F737" s="2"/>
      <c r="G737" s="2"/>
      <c r="H737" s="2"/>
    </row>
    <row r="738" spans="2:8" ht="13.2" x14ac:dyDescent="0.25">
      <c r="B738" s="2"/>
      <c r="C738" s="2"/>
      <c r="D738" s="2"/>
      <c r="E738" s="2"/>
      <c r="F738" s="2"/>
      <c r="G738" s="2"/>
      <c r="H738" s="2"/>
    </row>
    <row r="739" spans="2:8" ht="13.2" x14ac:dyDescent="0.25">
      <c r="B739" s="2"/>
      <c r="C739" s="2"/>
      <c r="D739" s="2"/>
      <c r="E739" s="2"/>
      <c r="F739" s="2"/>
      <c r="G739" s="2"/>
      <c r="H739" s="2"/>
    </row>
    <row r="740" spans="2:8" ht="13.2" x14ac:dyDescent="0.25">
      <c r="B740" s="2"/>
      <c r="C740" s="2"/>
      <c r="D740" s="2"/>
      <c r="E740" s="2"/>
      <c r="F740" s="2"/>
      <c r="G740" s="2"/>
      <c r="H740" s="2"/>
    </row>
    <row r="741" spans="2:8" ht="13.2" x14ac:dyDescent="0.25">
      <c r="B741" s="2"/>
      <c r="C741" s="2"/>
      <c r="D741" s="2"/>
      <c r="E741" s="2"/>
      <c r="F741" s="2"/>
      <c r="G741" s="2"/>
      <c r="H741" s="2"/>
    </row>
    <row r="742" spans="2:8" ht="13.2" x14ac:dyDescent="0.25">
      <c r="B742" s="2"/>
      <c r="C742" s="2"/>
      <c r="D742" s="2"/>
      <c r="E742" s="2"/>
      <c r="F742" s="2"/>
      <c r="G742" s="2"/>
      <c r="H742" s="2"/>
    </row>
    <row r="743" spans="2:8" ht="13.2" x14ac:dyDescent="0.25">
      <c r="B743" s="2"/>
      <c r="C743" s="2"/>
      <c r="D743" s="2"/>
      <c r="E743" s="2"/>
      <c r="F743" s="2"/>
      <c r="G743" s="2"/>
      <c r="H743" s="2"/>
    </row>
    <row r="744" spans="2:8" ht="13.2" x14ac:dyDescent="0.25">
      <c r="B744" s="2"/>
      <c r="C744" s="2"/>
      <c r="D744" s="2"/>
      <c r="E744" s="2"/>
      <c r="F744" s="2"/>
      <c r="G744" s="2"/>
      <c r="H744" s="2"/>
    </row>
    <row r="745" spans="2:8" ht="13.2" x14ac:dyDescent="0.25">
      <c r="B745" s="2"/>
      <c r="C745" s="2"/>
      <c r="D745" s="2"/>
      <c r="E745" s="2"/>
      <c r="F745" s="2"/>
      <c r="G745" s="2"/>
      <c r="H745" s="2"/>
    </row>
    <row r="746" spans="2:8" ht="13.2" x14ac:dyDescent="0.25">
      <c r="B746" s="2"/>
      <c r="C746" s="2"/>
      <c r="D746" s="2"/>
      <c r="E746" s="2"/>
      <c r="F746" s="2"/>
      <c r="G746" s="2"/>
      <c r="H746" s="2"/>
    </row>
    <row r="747" spans="2:8" ht="13.2" x14ac:dyDescent="0.25">
      <c r="B747" s="2"/>
      <c r="C747" s="2"/>
      <c r="D747" s="2"/>
      <c r="E747" s="2"/>
      <c r="F747" s="2"/>
      <c r="G747" s="2"/>
      <c r="H747" s="2"/>
    </row>
    <row r="748" spans="2:8" ht="13.2" x14ac:dyDescent="0.25">
      <c r="B748" s="2"/>
      <c r="C748" s="2"/>
      <c r="D748" s="2"/>
      <c r="E748" s="2"/>
      <c r="F748" s="2"/>
      <c r="G748" s="2"/>
      <c r="H748" s="2"/>
    </row>
    <row r="749" spans="2:8" ht="13.2" x14ac:dyDescent="0.25">
      <c r="B749" s="2"/>
      <c r="C749" s="2"/>
      <c r="D749" s="2"/>
      <c r="E749" s="2"/>
      <c r="F749" s="2"/>
      <c r="G749" s="2"/>
      <c r="H749" s="2"/>
    </row>
    <row r="750" spans="2:8" ht="13.2" x14ac:dyDescent="0.25">
      <c r="B750" s="2"/>
      <c r="C750" s="2"/>
      <c r="D750" s="2"/>
      <c r="E750" s="2"/>
      <c r="F750" s="2"/>
      <c r="G750" s="2"/>
      <c r="H750" s="2"/>
    </row>
    <row r="751" spans="2:8" ht="13.2" x14ac:dyDescent="0.25">
      <c r="B751" s="2"/>
      <c r="C751" s="2"/>
      <c r="D751" s="2"/>
      <c r="E751" s="2"/>
      <c r="F751" s="2"/>
      <c r="G751" s="2"/>
      <c r="H751" s="2"/>
    </row>
    <row r="752" spans="2:8" ht="13.2" x14ac:dyDescent="0.25">
      <c r="B752" s="2"/>
      <c r="C752" s="2"/>
      <c r="D752" s="2"/>
      <c r="E752" s="2"/>
      <c r="F752" s="2"/>
      <c r="G752" s="2"/>
      <c r="H752" s="2"/>
    </row>
    <row r="753" spans="2:8" ht="13.2" x14ac:dyDescent="0.25">
      <c r="B753" s="2"/>
      <c r="C753" s="2"/>
      <c r="D753" s="2"/>
      <c r="E753" s="2"/>
      <c r="F753" s="2"/>
      <c r="G753" s="2"/>
      <c r="H753" s="2"/>
    </row>
    <row r="754" spans="2:8" ht="13.2" x14ac:dyDescent="0.25">
      <c r="B754" s="2"/>
      <c r="C754" s="2"/>
      <c r="D754" s="2"/>
      <c r="E754" s="2"/>
      <c r="F754" s="2"/>
      <c r="G754" s="2"/>
      <c r="H754" s="2"/>
    </row>
    <row r="755" spans="2:8" ht="13.2" x14ac:dyDescent="0.25">
      <c r="B755" s="2"/>
      <c r="C755" s="2"/>
      <c r="D755" s="2"/>
      <c r="E755" s="2"/>
      <c r="F755" s="2"/>
      <c r="G755" s="2"/>
      <c r="H755" s="2"/>
    </row>
    <row r="756" spans="2:8" ht="13.2" x14ac:dyDescent="0.25">
      <c r="B756" s="2"/>
      <c r="C756" s="2"/>
      <c r="D756" s="2"/>
      <c r="E756" s="2"/>
      <c r="F756" s="2"/>
      <c r="G756" s="2"/>
      <c r="H756" s="2"/>
    </row>
    <row r="757" spans="2:8" ht="13.2" x14ac:dyDescent="0.25">
      <c r="B757" s="2"/>
      <c r="C757" s="2"/>
      <c r="D757" s="2"/>
      <c r="E757" s="2"/>
      <c r="F757" s="2"/>
      <c r="G757" s="2"/>
      <c r="H757" s="2"/>
    </row>
    <row r="758" spans="2:8" ht="13.2" x14ac:dyDescent="0.25">
      <c r="B758" s="2"/>
      <c r="C758" s="2"/>
      <c r="D758" s="2"/>
      <c r="E758" s="2"/>
      <c r="F758" s="2"/>
      <c r="G758" s="2"/>
      <c r="H758" s="2"/>
    </row>
    <row r="759" spans="2:8" ht="13.2" x14ac:dyDescent="0.25">
      <c r="B759" s="2"/>
      <c r="C759" s="2"/>
      <c r="D759" s="2"/>
      <c r="E759" s="2"/>
      <c r="F759" s="2"/>
      <c r="G759" s="2"/>
      <c r="H759" s="2"/>
    </row>
    <row r="760" spans="2:8" ht="13.2" x14ac:dyDescent="0.25">
      <c r="B760" s="2"/>
      <c r="C760" s="2"/>
      <c r="D760" s="2"/>
      <c r="E760" s="2"/>
      <c r="F760" s="2"/>
      <c r="G760" s="2"/>
      <c r="H760" s="2"/>
    </row>
    <row r="761" spans="2:8" ht="13.2" x14ac:dyDescent="0.25">
      <c r="B761" s="2"/>
      <c r="C761" s="2"/>
      <c r="D761" s="2"/>
      <c r="E761" s="2"/>
      <c r="F761" s="2"/>
      <c r="G761" s="2"/>
      <c r="H761" s="2"/>
    </row>
    <row r="762" spans="2:8" ht="13.2" x14ac:dyDescent="0.25">
      <c r="B762" s="2"/>
      <c r="C762" s="2"/>
      <c r="D762" s="2"/>
      <c r="E762" s="2"/>
      <c r="F762" s="2"/>
      <c r="G762" s="2"/>
      <c r="H762" s="2"/>
    </row>
    <row r="763" spans="2:8" ht="13.2" x14ac:dyDescent="0.25">
      <c r="B763" s="2"/>
      <c r="C763" s="2"/>
      <c r="D763" s="2"/>
      <c r="E763" s="2"/>
      <c r="F763" s="2"/>
      <c r="G763" s="2"/>
      <c r="H763" s="2"/>
    </row>
    <row r="764" spans="2:8" ht="13.2" x14ac:dyDescent="0.25">
      <c r="B764" s="2"/>
      <c r="C764" s="2"/>
      <c r="D764" s="2"/>
      <c r="E764" s="2"/>
      <c r="F764" s="2"/>
      <c r="G764" s="2"/>
      <c r="H764" s="2"/>
    </row>
    <row r="765" spans="2:8" ht="13.2" x14ac:dyDescent="0.25">
      <c r="B765" s="2"/>
      <c r="C765" s="2"/>
      <c r="D765" s="2"/>
      <c r="E765" s="2"/>
      <c r="F765" s="2"/>
      <c r="G765" s="2"/>
      <c r="H765" s="2"/>
    </row>
    <row r="766" spans="2:8" ht="13.2" x14ac:dyDescent="0.25">
      <c r="B766" s="2"/>
      <c r="C766" s="2"/>
      <c r="D766" s="2"/>
      <c r="E766" s="2"/>
      <c r="F766" s="2"/>
      <c r="G766" s="2"/>
      <c r="H766" s="2"/>
    </row>
    <row r="767" spans="2:8" ht="13.2" x14ac:dyDescent="0.25">
      <c r="B767" s="2"/>
      <c r="C767" s="2"/>
      <c r="D767" s="2"/>
      <c r="E767" s="2"/>
      <c r="F767" s="2"/>
      <c r="G767" s="2"/>
      <c r="H767" s="2"/>
    </row>
    <row r="768" spans="2:8" ht="13.2" x14ac:dyDescent="0.25">
      <c r="B768" s="2"/>
      <c r="C768" s="2"/>
      <c r="D768" s="2"/>
      <c r="E768" s="2"/>
      <c r="F768" s="2"/>
      <c r="G768" s="2"/>
      <c r="H768" s="2"/>
    </row>
    <row r="769" spans="2:8" ht="13.2" x14ac:dyDescent="0.25">
      <c r="B769" s="2"/>
      <c r="C769" s="2"/>
      <c r="D769" s="2"/>
      <c r="E769" s="2"/>
      <c r="F769" s="2"/>
      <c r="G769" s="2"/>
      <c r="H769" s="2"/>
    </row>
    <row r="770" spans="2:8" ht="13.2" x14ac:dyDescent="0.25">
      <c r="B770" s="2"/>
      <c r="C770" s="2"/>
      <c r="D770" s="2"/>
      <c r="E770" s="2"/>
      <c r="F770" s="2"/>
      <c r="G770" s="2"/>
      <c r="H770" s="2"/>
    </row>
    <row r="771" spans="2:8" ht="13.2" x14ac:dyDescent="0.25">
      <c r="B771" s="2"/>
      <c r="C771" s="2"/>
      <c r="D771" s="2"/>
      <c r="E771" s="2"/>
      <c r="F771" s="2"/>
      <c r="G771" s="2"/>
      <c r="H771" s="2"/>
    </row>
    <row r="772" spans="2:8" ht="13.2" x14ac:dyDescent="0.25">
      <c r="B772" s="2"/>
      <c r="C772" s="2"/>
      <c r="D772" s="2"/>
      <c r="E772" s="2"/>
      <c r="F772" s="2"/>
      <c r="G772" s="2"/>
      <c r="H772" s="2"/>
    </row>
    <row r="773" spans="2:8" ht="13.2" x14ac:dyDescent="0.25">
      <c r="B773" s="2"/>
      <c r="C773" s="2"/>
      <c r="D773" s="2"/>
      <c r="E773" s="2"/>
      <c r="F773" s="2"/>
      <c r="G773" s="2"/>
      <c r="H773" s="2"/>
    </row>
    <row r="774" spans="2:8" ht="13.2" x14ac:dyDescent="0.25">
      <c r="B774" s="2"/>
      <c r="C774" s="2"/>
      <c r="D774" s="2"/>
      <c r="E774" s="2"/>
      <c r="F774" s="2"/>
      <c r="G774" s="2"/>
      <c r="H774" s="2"/>
    </row>
    <row r="775" spans="2:8" ht="13.2" x14ac:dyDescent="0.25">
      <c r="B775" s="2"/>
      <c r="C775" s="2"/>
      <c r="D775" s="2"/>
      <c r="E775" s="2"/>
      <c r="F775" s="2"/>
      <c r="G775" s="2"/>
      <c r="H775" s="2"/>
    </row>
    <row r="776" spans="2:8" ht="13.2" x14ac:dyDescent="0.25">
      <c r="B776" s="2"/>
      <c r="C776" s="2"/>
      <c r="D776" s="2"/>
      <c r="E776" s="2"/>
      <c r="F776" s="2"/>
      <c r="G776" s="2"/>
      <c r="H776" s="2"/>
    </row>
    <row r="777" spans="2:8" ht="13.2" x14ac:dyDescent="0.25">
      <c r="B777" s="2"/>
      <c r="C777" s="2"/>
      <c r="D777" s="2"/>
      <c r="E777" s="2"/>
      <c r="F777" s="2"/>
      <c r="G777" s="2"/>
      <c r="H777" s="2"/>
    </row>
    <row r="778" spans="2:8" ht="13.2" x14ac:dyDescent="0.25">
      <c r="B778" s="2"/>
      <c r="C778" s="2"/>
      <c r="D778" s="2"/>
      <c r="E778" s="2"/>
      <c r="F778" s="2"/>
      <c r="G778" s="2"/>
      <c r="H778" s="2"/>
    </row>
    <row r="779" spans="2:8" ht="13.2" x14ac:dyDescent="0.25">
      <c r="B779" s="2"/>
      <c r="C779" s="2"/>
      <c r="D779" s="2"/>
      <c r="E779" s="2"/>
      <c r="F779" s="2"/>
      <c r="G779" s="2"/>
      <c r="H779" s="2"/>
    </row>
    <row r="780" spans="2:8" ht="13.2" x14ac:dyDescent="0.25">
      <c r="B780" s="2"/>
      <c r="C780" s="2"/>
      <c r="D780" s="2"/>
      <c r="E780" s="2"/>
      <c r="F780" s="2"/>
      <c r="G780" s="2"/>
      <c r="H780" s="2"/>
    </row>
    <row r="781" spans="2:8" ht="13.2" x14ac:dyDescent="0.25">
      <c r="B781" s="2"/>
      <c r="C781" s="2"/>
      <c r="D781" s="2"/>
      <c r="E781" s="2"/>
      <c r="F781" s="2"/>
      <c r="G781" s="2"/>
      <c r="H781" s="2"/>
    </row>
    <row r="782" spans="2:8" ht="13.2" x14ac:dyDescent="0.25">
      <c r="B782" s="2"/>
      <c r="C782" s="2"/>
      <c r="D782" s="2"/>
      <c r="E782" s="2"/>
      <c r="F782" s="2"/>
      <c r="G782" s="2"/>
      <c r="H782" s="2"/>
    </row>
    <row r="783" spans="2:8" ht="13.2" x14ac:dyDescent="0.25">
      <c r="B783" s="2"/>
      <c r="C783" s="2"/>
      <c r="D783" s="2"/>
      <c r="E783" s="2"/>
      <c r="F783" s="2"/>
      <c r="G783" s="2"/>
      <c r="H783" s="2"/>
    </row>
    <row r="784" spans="2:8" ht="13.2" x14ac:dyDescent="0.25">
      <c r="B784" s="2"/>
      <c r="C784" s="2"/>
      <c r="D784" s="2"/>
      <c r="E784" s="2"/>
      <c r="F784" s="2"/>
      <c r="G784" s="2"/>
      <c r="H784" s="2"/>
    </row>
    <row r="785" spans="2:8" ht="13.2" x14ac:dyDescent="0.25">
      <c r="B785" s="2"/>
      <c r="C785" s="2"/>
      <c r="D785" s="2"/>
      <c r="E785" s="2"/>
      <c r="F785" s="2"/>
      <c r="G785" s="2"/>
      <c r="H785" s="2"/>
    </row>
    <row r="786" spans="2:8" ht="13.2" x14ac:dyDescent="0.25">
      <c r="B786" s="2"/>
      <c r="C786" s="2"/>
      <c r="D786" s="2"/>
      <c r="E786" s="2"/>
      <c r="F786" s="2"/>
      <c r="G786" s="2"/>
      <c r="H786" s="2"/>
    </row>
    <row r="787" spans="2:8" ht="13.2" x14ac:dyDescent="0.25">
      <c r="B787" s="2"/>
      <c r="C787" s="2"/>
      <c r="D787" s="2"/>
      <c r="E787" s="2"/>
      <c r="F787" s="2"/>
      <c r="G787" s="2"/>
      <c r="H787" s="2"/>
    </row>
    <row r="788" spans="2:8" ht="13.2" x14ac:dyDescent="0.25">
      <c r="B788" s="2"/>
      <c r="C788" s="2"/>
      <c r="D788" s="2"/>
      <c r="E788" s="2"/>
      <c r="F788" s="2"/>
      <c r="G788" s="2"/>
      <c r="H788" s="2"/>
    </row>
    <row r="789" spans="2:8" ht="13.2" x14ac:dyDescent="0.25">
      <c r="B789" s="2"/>
      <c r="C789" s="2"/>
      <c r="D789" s="2"/>
      <c r="E789" s="2"/>
      <c r="F789" s="2"/>
      <c r="G789" s="2"/>
      <c r="H789" s="2"/>
    </row>
    <row r="790" spans="2:8" ht="13.2" x14ac:dyDescent="0.25">
      <c r="B790" s="2"/>
      <c r="C790" s="2"/>
      <c r="D790" s="2"/>
      <c r="E790" s="2"/>
      <c r="F790" s="2"/>
      <c r="G790" s="2"/>
      <c r="H790" s="2"/>
    </row>
    <row r="791" spans="2:8" ht="13.2" x14ac:dyDescent="0.25">
      <c r="B791" s="2"/>
      <c r="C791" s="2"/>
      <c r="D791" s="2"/>
      <c r="E791" s="2"/>
      <c r="F791" s="2"/>
      <c r="G791" s="2"/>
      <c r="H791" s="2"/>
    </row>
    <row r="792" spans="2:8" ht="13.2" x14ac:dyDescent="0.25">
      <c r="B792" s="2"/>
      <c r="C792" s="2"/>
      <c r="D792" s="2"/>
      <c r="E792" s="2"/>
      <c r="F792" s="2"/>
      <c r="G792" s="2"/>
      <c r="H792" s="2"/>
    </row>
    <row r="793" spans="2:8" ht="13.2" x14ac:dyDescent="0.25">
      <c r="B793" s="2"/>
      <c r="C793" s="2"/>
      <c r="D793" s="2"/>
      <c r="E793" s="2"/>
      <c r="F793" s="2"/>
      <c r="G793" s="2"/>
      <c r="H793" s="2"/>
    </row>
    <row r="794" spans="2:8" ht="13.2" x14ac:dyDescent="0.25">
      <c r="B794" s="2"/>
      <c r="C794" s="2"/>
      <c r="D794" s="2"/>
      <c r="E794" s="2"/>
      <c r="F794" s="2"/>
      <c r="G794" s="2"/>
      <c r="H794" s="2"/>
    </row>
    <row r="795" spans="2:8" ht="13.2" x14ac:dyDescent="0.25">
      <c r="B795" s="2"/>
      <c r="C795" s="2"/>
      <c r="D795" s="2"/>
      <c r="E795" s="2"/>
      <c r="F795" s="2"/>
      <c r="G795" s="2"/>
      <c r="H795" s="2"/>
    </row>
    <row r="796" spans="2:8" ht="13.2" x14ac:dyDescent="0.25">
      <c r="B796" s="2"/>
      <c r="C796" s="2"/>
      <c r="D796" s="2"/>
      <c r="E796" s="2"/>
      <c r="F796" s="2"/>
      <c r="G796" s="2"/>
      <c r="H796" s="2"/>
    </row>
    <row r="797" spans="2:8" ht="13.2" x14ac:dyDescent="0.25">
      <c r="B797" s="2"/>
      <c r="C797" s="2"/>
      <c r="D797" s="2"/>
      <c r="E797" s="2"/>
      <c r="F797" s="2"/>
      <c r="G797" s="2"/>
      <c r="H797" s="2"/>
    </row>
    <row r="798" spans="2:8" ht="13.2" x14ac:dyDescent="0.25">
      <c r="B798" s="2"/>
      <c r="C798" s="2"/>
      <c r="D798" s="2"/>
      <c r="E798" s="2"/>
      <c r="F798" s="2"/>
      <c r="G798" s="2"/>
      <c r="H798" s="2"/>
    </row>
    <row r="799" spans="2:8" ht="13.2" x14ac:dyDescent="0.25">
      <c r="B799" s="2"/>
      <c r="C799" s="2"/>
      <c r="D799" s="2"/>
      <c r="E799" s="2"/>
      <c r="F799" s="2"/>
      <c r="G799" s="2"/>
      <c r="H799" s="2"/>
    </row>
    <row r="800" spans="2:8" ht="13.2" x14ac:dyDescent="0.25">
      <c r="B800" s="2"/>
      <c r="C800" s="2"/>
      <c r="D800" s="2"/>
      <c r="E800" s="2"/>
      <c r="F800" s="2"/>
      <c r="G800" s="2"/>
      <c r="H800" s="2"/>
    </row>
    <row r="801" spans="2:8" ht="13.2" x14ac:dyDescent="0.25">
      <c r="B801" s="2"/>
      <c r="C801" s="2"/>
      <c r="D801" s="2"/>
      <c r="E801" s="2"/>
      <c r="F801" s="2"/>
      <c r="G801" s="2"/>
      <c r="H801" s="2"/>
    </row>
    <row r="802" spans="2:8" ht="13.2" x14ac:dyDescent="0.25">
      <c r="B802" s="2"/>
      <c r="C802" s="2"/>
      <c r="D802" s="2"/>
      <c r="E802" s="2"/>
      <c r="F802" s="2"/>
      <c r="G802" s="2"/>
      <c r="H802" s="2"/>
    </row>
    <row r="803" spans="2:8" ht="13.2" x14ac:dyDescent="0.25">
      <c r="B803" s="2"/>
      <c r="C803" s="2"/>
      <c r="D803" s="2"/>
      <c r="E803" s="2"/>
      <c r="F803" s="2"/>
      <c r="G803" s="2"/>
      <c r="H803" s="2"/>
    </row>
    <row r="804" spans="2:8" ht="13.2" x14ac:dyDescent="0.25">
      <c r="B804" s="2"/>
      <c r="C804" s="2"/>
      <c r="D804" s="2"/>
      <c r="E804" s="2"/>
      <c r="F804" s="2"/>
      <c r="G804" s="2"/>
      <c r="H804" s="2"/>
    </row>
    <row r="805" spans="2:8" ht="13.2" x14ac:dyDescent="0.25">
      <c r="B805" s="2"/>
      <c r="C805" s="2"/>
      <c r="D805" s="2"/>
      <c r="E805" s="2"/>
      <c r="F805" s="2"/>
      <c r="G805" s="2"/>
      <c r="H805" s="2"/>
    </row>
    <row r="806" spans="2:8" ht="13.2" x14ac:dyDescent="0.25">
      <c r="B806" s="2"/>
      <c r="C806" s="2"/>
      <c r="D806" s="2"/>
      <c r="E806" s="2"/>
      <c r="F806" s="2"/>
      <c r="G806" s="2"/>
      <c r="H806" s="2"/>
    </row>
    <row r="807" spans="2:8" ht="13.2" x14ac:dyDescent="0.25">
      <c r="B807" s="2"/>
      <c r="C807" s="2"/>
      <c r="D807" s="2"/>
      <c r="E807" s="2"/>
      <c r="F807" s="2"/>
      <c r="G807" s="2"/>
      <c r="H807" s="2"/>
    </row>
    <row r="808" spans="2:8" ht="13.2" x14ac:dyDescent="0.25">
      <c r="B808" s="2"/>
      <c r="C808" s="2"/>
      <c r="D808" s="2"/>
      <c r="E808" s="2"/>
      <c r="F808" s="2"/>
      <c r="G808" s="2"/>
      <c r="H808" s="2"/>
    </row>
    <row r="809" spans="2:8" ht="13.2" x14ac:dyDescent="0.25">
      <c r="B809" s="2"/>
      <c r="C809" s="2"/>
      <c r="D809" s="2"/>
      <c r="E809" s="2"/>
      <c r="F809" s="2"/>
      <c r="G809" s="2"/>
      <c r="H809" s="2"/>
    </row>
    <row r="810" spans="2:8" ht="13.2" x14ac:dyDescent="0.25">
      <c r="B810" s="2"/>
      <c r="C810" s="2"/>
      <c r="D810" s="2"/>
      <c r="E810" s="2"/>
      <c r="F810" s="2"/>
      <c r="G810" s="2"/>
      <c r="H810" s="2"/>
    </row>
    <row r="811" spans="2:8" ht="13.2" x14ac:dyDescent="0.25">
      <c r="B811" s="2"/>
      <c r="C811" s="2"/>
      <c r="D811" s="2"/>
      <c r="E811" s="2"/>
      <c r="F811" s="2"/>
      <c r="G811" s="2"/>
      <c r="H811" s="2"/>
    </row>
    <row r="812" spans="2:8" ht="13.2" x14ac:dyDescent="0.25">
      <c r="B812" s="2"/>
      <c r="C812" s="2"/>
      <c r="D812" s="2"/>
      <c r="E812" s="2"/>
      <c r="F812" s="2"/>
      <c r="G812" s="2"/>
      <c r="H812" s="2"/>
    </row>
    <row r="813" spans="2:8" ht="13.2" x14ac:dyDescent="0.25">
      <c r="B813" s="2"/>
      <c r="C813" s="2"/>
      <c r="D813" s="2"/>
      <c r="E813" s="2"/>
      <c r="F813" s="2"/>
      <c r="G813" s="2"/>
      <c r="H813" s="2"/>
    </row>
    <row r="814" spans="2:8" ht="13.2" x14ac:dyDescent="0.25">
      <c r="B814" s="2"/>
      <c r="C814" s="2"/>
      <c r="D814" s="2"/>
      <c r="E814" s="2"/>
      <c r="F814" s="2"/>
      <c r="G814" s="2"/>
      <c r="H814" s="2"/>
    </row>
    <row r="815" spans="2:8" ht="13.2" x14ac:dyDescent="0.25">
      <c r="B815" s="2"/>
      <c r="C815" s="2"/>
      <c r="D815" s="2"/>
      <c r="E815" s="2"/>
      <c r="F815" s="2"/>
      <c r="G815" s="2"/>
      <c r="H815" s="2"/>
    </row>
    <row r="816" spans="2:8" ht="13.2" x14ac:dyDescent="0.25">
      <c r="B816" s="2"/>
      <c r="C816" s="2"/>
      <c r="D816" s="2"/>
      <c r="E816" s="2"/>
      <c r="F816" s="2"/>
      <c r="G816" s="2"/>
      <c r="H816" s="2"/>
    </row>
    <row r="817" spans="2:8" ht="13.2" x14ac:dyDescent="0.25">
      <c r="B817" s="2"/>
      <c r="C817" s="2"/>
      <c r="D817" s="2"/>
      <c r="E817" s="2"/>
      <c r="F817" s="2"/>
      <c r="G817" s="2"/>
      <c r="H817" s="2"/>
    </row>
    <row r="818" spans="2:8" ht="13.2" x14ac:dyDescent="0.25">
      <c r="B818" s="2"/>
      <c r="C818" s="2"/>
      <c r="D818" s="2"/>
      <c r="E818" s="2"/>
      <c r="F818" s="2"/>
      <c r="G818" s="2"/>
      <c r="H818" s="2"/>
    </row>
    <row r="819" spans="2:8" ht="13.2" x14ac:dyDescent="0.25">
      <c r="B819" s="2"/>
      <c r="C819" s="2"/>
      <c r="D819" s="2"/>
      <c r="E819" s="2"/>
      <c r="F819" s="2"/>
      <c r="G819" s="2"/>
      <c r="H819" s="2"/>
    </row>
    <row r="820" spans="2:8" ht="13.2" x14ac:dyDescent="0.25">
      <c r="B820" s="2"/>
      <c r="C820" s="2"/>
      <c r="D820" s="2"/>
      <c r="E820" s="2"/>
      <c r="F820" s="2"/>
      <c r="G820" s="2"/>
      <c r="H820" s="2"/>
    </row>
    <row r="821" spans="2:8" ht="13.2" x14ac:dyDescent="0.25">
      <c r="B821" s="2"/>
      <c r="C821" s="2"/>
      <c r="D821" s="2"/>
      <c r="E821" s="2"/>
      <c r="F821" s="2"/>
      <c r="G821" s="2"/>
      <c r="H821" s="2"/>
    </row>
    <row r="822" spans="2:8" ht="13.2" x14ac:dyDescent="0.25">
      <c r="B822" s="2"/>
      <c r="C822" s="2"/>
      <c r="D822" s="2"/>
      <c r="E822" s="2"/>
      <c r="F822" s="2"/>
      <c r="G822" s="2"/>
      <c r="H822" s="2"/>
    </row>
    <row r="823" spans="2:8" ht="13.2" x14ac:dyDescent="0.25">
      <c r="B823" s="2"/>
      <c r="C823" s="2"/>
      <c r="D823" s="2"/>
      <c r="E823" s="2"/>
      <c r="F823" s="2"/>
      <c r="G823" s="2"/>
      <c r="H823" s="2"/>
    </row>
    <row r="824" spans="2:8" ht="13.2" x14ac:dyDescent="0.25">
      <c r="B824" s="2"/>
      <c r="C824" s="2"/>
      <c r="D824" s="2"/>
      <c r="E824" s="2"/>
      <c r="F824" s="2"/>
      <c r="G824" s="2"/>
      <c r="H824" s="2"/>
    </row>
    <row r="825" spans="2:8" ht="13.2" x14ac:dyDescent="0.25">
      <c r="B825" s="2"/>
      <c r="C825" s="2"/>
      <c r="D825" s="2"/>
      <c r="E825" s="2"/>
      <c r="F825" s="2"/>
      <c r="G825" s="2"/>
      <c r="H825" s="2"/>
    </row>
    <row r="826" spans="2:8" ht="13.2" x14ac:dyDescent="0.25">
      <c r="B826" s="2"/>
      <c r="C826" s="2"/>
      <c r="D826" s="2"/>
      <c r="E826" s="2"/>
      <c r="F826" s="2"/>
      <c r="G826" s="2"/>
      <c r="H826" s="2"/>
    </row>
    <row r="827" spans="2:8" ht="13.2" x14ac:dyDescent="0.25">
      <c r="B827" s="2"/>
      <c r="C827" s="2"/>
      <c r="D827" s="2"/>
      <c r="E827" s="2"/>
      <c r="F827" s="2"/>
      <c r="G827" s="2"/>
      <c r="H827" s="2"/>
    </row>
    <row r="828" spans="2:8" ht="13.2" x14ac:dyDescent="0.25">
      <c r="B828" s="2"/>
      <c r="C828" s="2"/>
      <c r="D828" s="2"/>
      <c r="E828" s="2"/>
      <c r="F828" s="2"/>
      <c r="G828" s="2"/>
      <c r="H828" s="2"/>
    </row>
    <row r="829" spans="2:8" ht="13.2" x14ac:dyDescent="0.25">
      <c r="B829" s="2"/>
      <c r="C829" s="2"/>
      <c r="D829" s="2"/>
      <c r="E829" s="2"/>
      <c r="F829" s="2"/>
      <c r="G829" s="2"/>
      <c r="H829" s="2"/>
    </row>
    <row r="830" spans="2:8" ht="13.2" x14ac:dyDescent="0.25">
      <c r="B830" s="2"/>
      <c r="C830" s="2"/>
      <c r="D830" s="2"/>
      <c r="E830" s="2"/>
      <c r="F830" s="2"/>
      <c r="G830" s="2"/>
      <c r="H830" s="2"/>
    </row>
    <row r="831" spans="2:8" ht="13.2" x14ac:dyDescent="0.25">
      <c r="B831" s="2"/>
      <c r="C831" s="2"/>
      <c r="D831" s="2"/>
      <c r="E831" s="2"/>
      <c r="F831" s="2"/>
      <c r="G831" s="2"/>
      <c r="H831" s="2"/>
    </row>
    <row r="832" spans="2:8" ht="13.2" x14ac:dyDescent="0.25">
      <c r="B832" s="2"/>
      <c r="C832" s="2"/>
      <c r="D832" s="2"/>
      <c r="E832" s="2"/>
      <c r="F832" s="2"/>
      <c r="G832" s="2"/>
      <c r="H832" s="2"/>
    </row>
    <row r="833" spans="2:8" ht="13.2" x14ac:dyDescent="0.25">
      <c r="B833" s="2"/>
      <c r="C833" s="2"/>
      <c r="D833" s="2"/>
      <c r="E833" s="2"/>
      <c r="F833" s="2"/>
      <c r="G833" s="2"/>
      <c r="H833" s="2"/>
    </row>
    <row r="834" spans="2:8" ht="13.2" x14ac:dyDescent="0.25">
      <c r="B834" s="2"/>
      <c r="C834" s="2"/>
      <c r="D834" s="2"/>
      <c r="E834" s="2"/>
      <c r="F834" s="2"/>
      <c r="G834" s="2"/>
      <c r="H834" s="2"/>
    </row>
    <row r="835" spans="2:8" ht="13.2" x14ac:dyDescent="0.25">
      <c r="B835" s="2"/>
      <c r="C835" s="2"/>
      <c r="D835" s="2"/>
      <c r="E835" s="2"/>
      <c r="F835" s="2"/>
      <c r="G835" s="2"/>
      <c r="H835" s="2"/>
    </row>
    <row r="836" spans="2:8" ht="13.2" x14ac:dyDescent="0.25">
      <c r="B836" s="2"/>
      <c r="C836" s="2"/>
      <c r="D836" s="2"/>
      <c r="E836" s="2"/>
      <c r="F836" s="2"/>
      <c r="G836" s="2"/>
      <c r="H836" s="2"/>
    </row>
    <row r="837" spans="2:8" ht="13.2" x14ac:dyDescent="0.25">
      <c r="B837" s="2"/>
      <c r="C837" s="2"/>
      <c r="D837" s="2"/>
      <c r="E837" s="2"/>
      <c r="F837" s="2"/>
      <c r="G837" s="2"/>
      <c r="H837" s="2"/>
    </row>
    <row r="838" spans="2:8" ht="13.2" x14ac:dyDescent="0.25">
      <c r="B838" s="2"/>
      <c r="C838" s="2"/>
      <c r="D838" s="2"/>
      <c r="E838" s="2"/>
      <c r="F838" s="2"/>
      <c r="G838" s="2"/>
      <c r="H838" s="2"/>
    </row>
    <row r="839" spans="2:8" ht="13.2" x14ac:dyDescent="0.25">
      <c r="B839" s="2"/>
      <c r="C839" s="2"/>
      <c r="D839" s="2"/>
      <c r="E839" s="2"/>
      <c r="F839" s="2"/>
      <c r="G839" s="2"/>
      <c r="H839" s="2"/>
    </row>
    <row r="840" spans="2:8" ht="13.2" x14ac:dyDescent="0.25">
      <c r="B840" s="2"/>
      <c r="C840" s="2"/>
      <c r="D840" s="2"/>
      <c r="E840" s="2"/>
      <c r="F840" s="2"/>
      <c r="G840" s="2"/>
      <c r="H840" s="2"/>
    </row>
    <row r="841" spans="2:8" ht="13.2" x14ac:dyDescent="0.25">
      <c r="B841" s="2"/>
      <c r="C841" s="2"/>
      <c r="D841" s="2"/>
      <c r="E841" s="2"/>
      <c r="F841" s="2"/>
      <c r="G841" s="2"/>
      <c r="H841" s="2"/>
    </row>
    <row r="842" spans="2:8" ht="13.2" x14ac:dyDescent="0.25">
      <c r="B842" s="2"/>
      <c r="C842" s="2"/>
      <c r="D842" s="2"/>
      <c r="E842" s="2"/>
      <c r="F842" s="2"/>
      <c r="G842" s="2"/>
      <c r="H842" s="2"/>
    </row>
    <row r="843" spans="2:8" ht="13.2" x14ac:dyDescent="0.25">
      <c r="B843" s="2"/>
      <c r="C843" s="2"/>
      <c r="D843" s="2"/>
      <c r="E843" s="2"/>
      <c r="F843" s="2"/>
      <c r="G843" s="2"/>
      <c r="H843" s="2"/>
    </row>
    <row r="844" spans="2:8" ht="13.2" x14ac:dyDescent="0.25">
      <c r="B844" s="2"/>
      <c r="C844" s="2"/>
      <c r="D844" s="2"/>
      <c r="E844" s="2"/>
      <c r="F844" s="2"/>
      <c r="G844" s="2"/>
      <c r="H844" s="2"/>
    </row>
    <row r="845" spans="2:8" ht="13.2" x14ac:dyDescent="0.25">
      <c r="B845" s="2"/>
      <c r="C845" s="2"/>
      <c r="D845" s="2"/>
      <c r="E845" s="2"/>
      <c r="F845" s="2"/>
      <c r="G845" s="2"/>
      <c r="H845" s="2"/>
    </row>
    <row r="846" spans="2:8" ht="13.2" x14ac:dyDescent="0.25">
      <c r="B846" s="2"/>
      <c r="C846" s="2"/>
      <c r="D846" s="2"/>
      <c r="E846" s="2"/>
      <c r="F846" s="2"/>
      <c r="G846" s="2"/>
      <c r="H846" s="2"/>
    </row>
    <row r="847" spans="2:8" ht="13.2" x14ac:dyDescent="0.25">
      <c r="B847" s="2"/>
      <c r="C847" s="2"/>
      <c r="D847" s="2"/>
      <c r="E847" s="2"/>
      <c r="F847" s="2"/>
      <c r="G847" s="2"/>
      <c r="H847" s="2"/>
    </row>
    <row r="848" spans="2:8" ht="13.2" x14ac:dyDescent="0.25">
      <c r="B848" s="2"/>
      <c r="C848" s="2"/>
      <c r="D848" s="2"/>
      <c r="E848" s="2"/>
      <c r="F848" s="2"/>
      <c r="G848" s="2"/>
      <c r="H848" s="2"/>
    </row>
    <row r="849" spans="2:8" ht="13.2" x14ac:dyDescent="0.25">
      <c r="B849" s="2"/>
      <c r="C849" s="2"/>
      <c r="D849" s="2"/>
      <c r="E849" s="2"/>
      <c r="F849" s="2"/>
      <c r="G849" s="2"/>
      <c r="H849" s="2"/>
    </row>
    <row r="850" spans="2:8" ht="13.2" x14ac:dyDescent="0.25">
      <c r="B850" s="2"/>
      <c r="C850" s="2"/>
      <c r="D850" s="2"/>
      <c r="E850" s="2"/>
      <c r="F850" s="2"/>
      <c r="G850" s="2"/>
      <c r="H850" s="2"/>
    </row>
    <row r="851" spans="2:8" ht="13.2" x14ac:dyDescent="0.25">
      <c r="B851" s="2"/>
      <c r="C851" s="2"/>
      <c r="D851" s="2"/>
      <c r="E851" s="2"/>
      <c r="F851" s="2"/>
      <c r="G851" s="2"/>
      <c r="H851" s="2"/>
    </row>
    <row r="852" spans="2:8" ht="13.2" x14ac:dyDescent="0.25">
      <c r="B852" s="2"/>
      <c r="C852" s="2"/>
      <c r="D852" s="2"/>
      <c r="E852" s="2"/>
      <c r="F852" s="2"/>
      <c r="G852" s="2"/>
      <c r="H852" s="2"/>
    </row>
    <row r="853" spans="2:8" ht="13.2" x14ac:dyDescent="0.25">
      <c r="B853" s="2"/>
      <c r="C853" s="2"/>
      <c r="D853" s="2"/>
      <c r="E853" s="2"/>
      <c r="F853" s="2"/>
      <c r="G853" s="2"/>
      <c r="H853" s="2"/>
    </row>
    <row r="854" spans="2:8" ht="13.2" x14ac:dyDescent="0.25">
      <c r="B854" s="2"/>
      <c r="C854" s="2"/>
      <c r="D854" s="2"/>
      <c r="E854" s="2"/>
      <c r="F854" s="2"/>
      <c r="G854" s="2"/>
      <c r="H854" s="2"/>
    </row>
    <row r="855" spans="2:8" ht="13.2" x14ac:dyDescent="0.25">
      <c r="B855" s="2"/>
      <c r="C855" s="2"/>
      <c r="D855" s="2"/>
      <c r="E855" s="2"/>
      <c r="F855" s="2"/>
      <c r="G855" s="2"/>
      <c r="H855" s="2"/>
    </row>
    <row r="856" spans="2:8" ht="13.2" x14ac:dyDescent="0.25">
      <c r="B856" s="2"/>
      <c r="C856" s="2"/>
      <c r="D856" s="2"/>
      <c r="E856" s="2"/>
      <c r="F856" s="2"/>
      <c r="G856" s="2"/>
      <c r="H856" s="2"/>
    </row>
    <row r="857" spans="2:8" ht="13.2" x14ac:dyDescent="0.25">
      <c r="B857" s="2"/>
      <c r="C857" s="2"/>
      <c r="D857" s="2"/>
      <c r="E857" s="2"/>
      <c r="F857" s="2"/>
      <c r="G857" s="2"/>
      <c r="H857" s="2"/>
    </row>
    <row r="858" spans="2:8" ht="13.2" x14ac:dyDescent="0.25">
      <c r="B858" s="2"/>
      <c r="C858" s="2"/>
      <c r="D858" s="2"/>
      <c r="E858" s="2"/>
      <c r="F858" s="2"/>
      <c r="G858" s="2"/>
      <c r="H858" s="2"/>
    </row>
    <row r="859" spans="2:8" ht="13.2" x14ac:dyDescent="0.25">
      <c r="B859" s="2"/>
      <c r="C859" s="2"/>
      <c r="D859" s="2"/>
      <c r="E859" s="2"/>
      <c r="F859" s="2"/>
      <c r="G859" s="2"/>
      <c r="H859" s="2"/>
    </row>
    <row r="860" spans="2:8" ht="13.2" x14ac:dyDescent="0.25">
      <c r="B860" s="2"/>
      <c r="C860" s="2"/>
      <c r="D860" s="2"/>
      <c r="E860" s="2"/>
      <c r="F860" s="2"/>
      <c r="G860" s="2"/>
      <c r="H860" s="2"/>
    </row>
    <row r="861" spans="2:8" ht="13.2" x14ac:dyDescent="0.25">
      <c r="B861" s="2"/>
      <c r="C861" s="2"/>
      <c r="D861" s="2"/>
      <c r="E861" s="2"/>
      <c r="F861" s="2"/>
      <c r="G861" s="2"/>
      <c r="H861" s="2"/>
    </row>
    <row r="862" spans="2:8" ht="13.2" x14ac:dyDescent="0.25">
      <c r="B862" s="2"/>
      <c r="C862" s="2"/>
      <c r="D862" s="2"/>
      <c r="E862" s="2"/>
      <c r="F862" s="2"/>
      <c r="G862" s="2"/>
      <c r="H862" s="2"/>
    </row>
    <row r="863" spans="2:8" ht="13.2" x14ac:dyDescent="0.25">
      <c r="B863" s="2"/>
      <c r="C863" s="2"/>
      <c r="D863" s="2"/>
      <c r="E863" s="2"/>
      <c r="F863" s="2"/>
      <c r="G863" s="2"/>
      <c r="H863" s="2"/>
    </row>
    <row r="864" spans="2:8" ht="13.2" x14ac:dyDescent="0.25">
      <c r="B864" s="2"/>
      <c r="C864" s="2"/>
      <c r="D864" s="2"/>
      <c r="E864" s="2"/>
      <c r="F864" s="2"/>
      <c r="G864" s="2"/>
      <c r="H864" s="2"/>
    </row>
    <row r="865" spans="2:8" ht="13.2" x14ac:dyDescent="0.25">
      <c r="B865" s="2"/>
      <c r="C865" s="2"/>
      <c r="D865" s="2"/>
      <c r="E865" s="2"/>
      <c r="F865" s="2"/>
      <c r="G865" s="2"/>
      <c r="H865" s="2"/>
    </row>
    <row r="866" spans="2:8" ht="13.2" x14ac:dyDescent="0.25">
      <c r="B866" s="2"/>
      <c r="C866" s="2"/>
      <c r="D866" s="2"/>
      <c r="E866" s="2"/>
      <c r="F866" s="2"/>
      <c r="G866" s="2"/>
      <c r="H866" s="2"/>
    </row>
    <row r="867" spans="2:8" ht="13.2" x14ac:dyDescent="0.25">
      <c r="B867" s="2"/>
      <c r="C867" s="2"/>
      <c r="D867" s="2"/>
      <c r="E867" s="2"/>
      <c r="F867" s="2"/>
      <c r="G867" s="2"/>
      <c r="H867" s="2"/>
    </row>
    <row r="868" spans="2:8" ht="13.2" x14ac:dyDescent="0.25">
      <c r="B868" s="2"/>
      <c r="C868" s="2"/>
      <c r="D868" s="2"/>
      <c r="E868" s="2"/>
      <c r="F868" s="2"/>
      <c r="G868" s="2"/>
      <c r="H868" s="2"/>
    </row>
    <row r="869" spans="2:8" ht="13.2" x14ac:dyDescent="0.25">
      <c r="B869" s="2"/>
      <c r="C869" s="2"/>
      <c r="D869" s="2"/>
      <c r="E869" s="2"/>
      <c r="F869" s="2"/>
      <c r="G869" s="2"/>
      <c r="H869" s="2"/>
    </row>
    <row r="870" spans="2:8" ht="13.2" x14ac:dyDescent="0.25">
      <c r="B870" s="2"/>
      <c r="C870" s="2"/>
      <c r="D870" s="2"/>
      <c r="E870" s="2"/>
      <c r="F870" s="2"/>
      <c r="G870" s="2"/>
      <c r="H870" s="2"/>
    </row>
    <row r="871" spans="2:8" ht="13.2" x14ac:dyDescent="0.25">
      <c r="B871" s="2"/>
      <c r="C871" s="2"/>
      <c r="D871" s="2"/>
      <c r="E871" s="2"/>
      <c r="F871" s="2"/>
      <c r="G871" s="2"/>
      <c r="H871" s="2"/>
    </row>
    <row r="872" spans="2:8" ht="13.2" x14ac:dyDescent="0.25">
      <c r="B872" s="2"/>
      <c r="C872" s="2"/>
      <c r="D872" s="2"/>
      <c r="E872" s="2"/>
      <c r="F872" s="2"/>
      <c r="G872" s="2"/>
      <c r="H872" s="2"/>
    </row>
    <row r="873" spans="2:8" ht="13.2" x14ac:dyDescent="0.25">
      <c r="B873" s="2"/>
      <c r="C873" s="2"/>
      <c r="D873" s="2"/>
      <c r="E873" s="2"/>
      <c r="F873" s="2"/>
      <c r="G873" s="2"/>
      <c r="H873" s="2"/>
    </row>
    <row r="874" spans="2:8" ht="13.2" x14ac:dyDescent="0.25">
      <c r="B874" s="2"/>
      <c r="C874" s="2"/>
      <c r="D874" s="2"/>
      <c r="E874" s="2"/>
      <c r="F874" s="2"/>
      <c r="G874" s="2"/>
      <c r="H874" s="2"/>
    </row>
    <row r="875" spans="2:8" ht="13.2" x14ac:dyDescent="0.25">
      <c r="B875" s="2"/>
      <c r="C875" s="2"/>
      <c r="D875" s="2"/>
      <c r="E875" s="2"/>
      <c r="F875" s="2"/>
      <c r="G875" s="2"/>
      <c r="H875" s="2"/>
    </row>
    <row r="876" spans="2:8" ht="13.2" x14ac:dyDescent="0.25">
      <c r="B876" s="2"/>
      <c r="C876" s="2"/>
      <c r="D876" s="2"/>
      <c r="E876" s="2"/>
      <c r="F876" s="2"/>
      <c r="G876" s="2"/>
      <c r="H876" s="2"/>
    </row>
    <row r="877" spans="2:8" ht="13.2" x14ac:dyDescent="0.25">
      <c r="B877" s="2"/>
      <c r="C877" s="2"/>
      <c r="D877" s="2"/>
      <c r="E877" s="2"/>
      <c r="F877" s="2"/>
      <c r="G877" s="2"/>
      <c r="H877" s="2"/>
    </row>
    <row r="878" spans="2:8" ht="13.2" x14ac:dyDescent="0.25">
      <c r="B878" s="2"/>
      <c r="C878" s="2"/>
      <c r="D878" s="2"/>
      <c r="E878" s="2"/>
      <c r="F878" s="2"/>
      <c r="G878" s="2"/>
      <c r="H878" s="2"/>
    </row>
    <row r="879" spans="2:8" ht="13.2" x14ac:dyDescent="0.25">
      <c r="B879" s="2"/>
      <c r="C879" s="2"/>
      <c r="D879" s="2"/>
      <c r="E879" s="2"/>
      <c r="F879" s="2"/>
      <c r="G879" s="2"/>
      <c r="H879" s="2"/>
    </row>
    <row r="880" spans="2:8" ht="13.2" x14ac:dyDescent="0.25">
      <c r="B880" s="2"/>
      <c r="C880" s="2"/>
      <c r="D880" s="2"/>
      <c r="E880" s="2"/>
      <c r="F880" s="2"/>
      <c r="G880" s="2"/>
      <c r="H880" s="2"/>
    </row>
    <row r="881" spans="2:8" ht="13.2" x14ac:dyDescent="0.25">
      <c r="B881" s="2"/>
      <c r="C881" s="2"/>
      <c r="D881" s="2"/>
      <c r="E881" s="2"/>
      <c r="F881" s="2"/>
      <c r="G881" s="2"/>
      <c r="H881" s="2"/>
    </row>
    <row r="882" spans="2:8" ht="13.2" x14ac:dyDescent="0.25">
      <c r="B882" s="2"/>
      <c r="C882" s="2"/>
      <c r="D882" s="2"/>
      <c r="E882" s="2"/>
      <c r="F882" s="2"/>
      <c r="G882" s="2"/>
      <c r="H882" s="2"/>
    </row>
    <row r="883" spans="2:8" ht="13.2" x14ac:dyDescent="0.25">
      <c r="B883" s="2"/>
      <c r="C883" s="2"/>
      <c r="D883" s="2"/>
      <c r="E883" s="2"/>
      <c r="F883" s="2"/>
      <c r="G883" s="2"/>
      <c r="H883" s="2"/>
    </row>
    <row r="884" spans="2:8" ht="13.2" x14ac:dyDescent="0.25">
      <c r="B884" s="2"/>
      <c r="C884" s="2"/>
      <c r="D884" s="2"/>
      <c r="E884" s="2"/>
      <c r="F884" s="2"/>
      <c r="G884" s="2"/>
      <c r="H884" s="2"/>
    </row>
    <row r="885" spans="2:8" ht="13.2" x14ac:dyDescent="0.25">
      <c r="B885" s="2"/>
      <c r="C885" s="2"/>
      <c r="D885" s="2"/>
      <c r="E885" s="2"/>
      <c r="F885" s="2"/>
      <c r="G885" s="2"/>
      <c r="H885" s="2"/>
    </row>
    <row r="886" spans="2:8" ht="13.2" x14ac:dyDescent="0.25">
      <c r="B886" s="2"/>
      <c r="C886" s="2"/>
      <c r="D886" s="2"/>
      <c r="E886" s="2"/>
      <c r="F886" s="2"/>
      <c r="G886" s="2"/>
      <c r="H886" s="2"/>
    </row>
    <row r="887" spans="2:8" ht="13.2" x14ac:dyDescent="0.25">
      <c r="B887" s="2"/>
      <c r="C887" s="2"/>
      <c r="D887" s="2"/>
      <c r="E887" s="2"/>
      <c r="F887" s="2"/>
      <c r="G887" s="2"/>
      <c r="H887" s="2"/>
    </row>
    <row r="888" spans="2:8" ht="13.2" x14ac:dyDescent="0.25">
      <c r="B888" s="2"/>
      <c r="C888" s="2"/>
      <c r="D888" s="2"/>
      <c r="E888" s="2"/>
      <c r="F888" s="2"/>
      <c r="G888" s="2"/>
      <c r="H888" s="2"/>
    </row>
    <row r="889" spans="2:8" ht="13.2" x14ac:dyDescent="0.25">
      <c r="B889" s="2"/>
      <c r="C889" s="2"/>
      <c r="D889" s="2"/>
      <c r="E889" s="2"/>
      <c r="F889" s="2"/>
      <c r="G889" s="2"/>
      <c r="H889" s="2"/>
    </row>
    <row r="890" spans="2:8" ht="13.2" x14ac:dyDescent="0.25">
      <c r="B890" s="2"/>
      <c r="C890" s="2"/>
      <c r="D890" s="2"/>
      <c r="E890" s="2"/>
      <c r="F890" s="2"/>
      <c r="G890" s="2"/>
      <c r="H890" s="2"/>
    </row>
    <row r="891" spans="2:8" ht="13.2" x14ac:dyDescent="0.25">
      <c r="B891" s="2"/>
      <c r="C891" s="2"/>
      <c r="D891" s="2"/>
      <c r="E891" s="2"/>
      <c r="F891" s="2"/>
      <c r="G891" s="2"/>
      <c r="H891" s="2"/>
    </row>
    <row r="892" spans="2:8" ht="13.2" x14ac:dyDescent="0.25">
      <c r="B892" s="2"/>
      <c r="C892" s="2"/>
      <c r="D892" s="2"/>
      <c r="E892" s="2"/>
      <c r="F892" s="2"/>
      <c r="G892" s="2"/>
      <c r="H892" s="2"/>
    </row>
    <row r="893" spans="2:8" ht="13.2" x14ac:dyDescent="0.25">
      <c r="B893" s="2"/>
      <c r="C893" s="2"/>
      <c r="D893" s="2"/>
      <c r="E893" s="2"/>
      <c r="F893" s="2"/>
      <c r="G893" s="2"/>
      <c r="H893" s="2"/>
    </row>
    <row r="894" spans="2:8" ht="13.2" x14ac:dyDescent="0.25">
      <c r="B894" s="2"/>
      <c r="C894" s="2"/>
      <c r="D894" s="2"/>
      <c r="E894" s="2"/>
      <c r="F894" s="2"/>
      <c r="G894" s="2"/>
      <c r="H894" s="2"/>
    </row>
    <row r="895" spans="2:8" ht="13.2" x14ac:dyDescent="0.25">
      <c r="B895" s="2"/>
      <c r="C895" s="2"/>
      <c r="D895" s="2"/>
      <c r="E895" s="2"/>
      <c r="F895" s="2"/>
      <c r="G895" s="2"/>
      <c r="H895" s="2"/>
    </row>
    <row r="896" spans="2:8" ht="13.2" x14ac:dyDescent="0.25">
      <c r="B896" s="2"/>
      <c r="C896" s="2"/>
      <c r="D896" s="2"/>
      <c r="E896" s="2"/>
      <c r="F896" s="2"/>
      <c r="G896" s="2"/>
      <c r="H896" s="2"/>
    </row>
    <row r="897" spans="2:8" ht="13.2" x14ac:dyDescent="0.25">
      <c r="B897" s="2"/>
      <c r="C897" s="2"/>
      <c r="D897" s="2"/>
      <c r="E897" s="2"/>
      <c r="F897" s="2"/>
      <c r="G897" s="2"/>
      <c r="H897" s="2"/>
    </row>
    <row r="898" spans="2:8" ht="13.2" x14ac:dyDescent="0.25">
      <c r="B898" s="2"/>
      <c r="C898" s="2"/>
      <c r="D898" s="2"/>
      <c r="E898" s="2"/>
      <c r="F898" s="2"/>
      <c r="G898" s="2"/>
      <c r="H898" s="2"/>
    </row>
    <row r="899" spans="2:8" ht="13.2" x14ac:dyDescent="0.25">
      <c r="B899" s="2"/>
      <c r="C899" s="2"/>
      <c r="D899" s="2"/>
      <c r="E899" s="2"/>
      <c r="F899" s="2"/>
      <c r="G899" s="2"/>
      <c r="H899" s="2"/>
    </row>
    <row r="900" spans="2:8" ht="13.2" x14ac:dyDescent="0.25">
      <c r="B900" s="2"/>
      <c r="C900" s="2"/>
      <c r="D900" s="2"/>
      <c r="E900" s="2"/>
      <c r="F900" s="2"/>
      <c r="G900" s="2"/>
      <c r="H900" s="2"/>
    </row>
    <row r="901" spans="2:8" ht="13.2" x14ac:dyDescent="0.25">
      <c r="B901" s="2"/>
      <c r="C901" s="2"/>
      <c r="D901" s="2"/>
      <c r="E901" s="2"/>
      <c r="F901" s="2"/>
      <c r="G901" s="2"/>
      <c r="H901" s="2"/>
    </row>
    <row r="902" spans="2:8" ht="13.2" x14ac:dyDescent="0.25">
      <c r="B902" s="2"/>
      <c r="C902" s="2"/>
      <c r="D902" s="2"/>
      <c r="E902" s="2"/>
      <c r="F902" s="2"/>
      <c r="G902" s="2"/>
      <c r="H902" s="2"/>
    </row>
    <row r="903" spans="2:8" ht="13.2" x14ac:dyDescent="0.25">
      <c r="B903" s="2"/>
      <c r="C903" s="2"/>
      <c r="D903" s="2"/>
      <c r="E903" s="2"/>
      <c r="F903" s="2"/>
      <c r="G903" s="2"/>
      <c r="H903" s="2"/>
    </row>
    <row r="904" spans="2:8" ht="13.2" x14ac:dyDescent="0.25">
      <c r="B904" s="2"/>
      <c r="C904" s="2"/>
      <c r="D904" s="2"/>
      <c r="E904" s="2"/>
      <c r="F904" s="2"/>
      <c r="G904" s="2"/>
      <c r="H904" s="2"/>
    </row>
    <row r="905" spans="2:8" ht="13.2" x14ac:dyDescent="0.25">
      <c r="B905" s="2"/>
      <c r="C905" s="2"/>
      <c r="D905" s="2"/>
      <c r="E905" s="2"/>
      <c r="F905" s="2"/>
      <c r="G905" s="2"/>
      <c r="H905" s="2"/>
    </row>
    <row r="906" spans="2:8" ht="13.2" x14ac:dyDescent="0.25">
      <c r="B906" s="2"/>
      <c r="C906" s="2"/>
      <c r="D906" s="2"/>
      <c r="E906" s="2"/>
      <c r="F906" s="2"/>
      <c r="G906" s="2"/>
      <c r="H906" s="2"/>
    </row>
    <row r="907" spans="2:8" ht="13.2" x14ac:dyDescent="0.25">
      <c r="B907" s="2"/>
      <c r="C907" s="2"/>
      <c r="D907" s="2"/>
      <c r="E907" s="2"/>
      <c r="F907" s="2"/>
      <c r="G907" s="2"/>
      <c r="H907" s="2"/>
    </row>
    <row r="908" spans="2:8" ht="13.2" x14ac:dyDescent="0.25">
      <c r="B908" s="2"/>
      <c r="C908" s="2"/>
      <c r="D908" s="2"/>
      <c r="E908" s="2"/>
      <c r="F908" s="2"/>
      <c r="G908" s="2"/>
      <c r="H908" s="2"/>
    </row>
    <row r="909" spans="2:8" ht="13.2" x14ac:dyDescent="0.25">
      <c r="B909" s="2"/>
      <c r="C909" s="2"/>
      <c r="D909" s="2"/>
      <c r="E909" s="2"/>
      <c r="F909" s="2"/>
      <c r="G909" s="2"/>
      <c r="H909" s="2"/>
    </row>
    <row r="910" spans="2:8" ht="13.2" x14ac:dyDescent="0.25">
      <c r="B910" s="2"/>
      <c r="C910" s="2"/>
      <c r="D910" s="2"/>
      <c r="E910" s="2"/>
      <c r="F910" s="2"/>
      <c r="G910" s="2"/>
      <c r="H910" s="2"/>
    </row>
    <row r="911" spans="2:8" ht="13.2" x14ac:dyDescent="0.25">
      <c r="B911" s="2"/>
      <c r="C911" s="2"/>
      <c r="D911" s="2"/>
      <c r="E911" s="2"/>
      <c r="F911" s="2"/>
      <c r="G911" s="2"/>
      <c r="H911" s="2"/>
    </row>
    <row r="912" spans="2:8" ht="13.2" x14ac:dyDescent="0.25">
      <c r="B912" s="2"/>
      <c r="C912" s="2"/>
      <c r="D912" s="2"/>
      <c r="E912" s="2"/>
      <c r="F912" s="2"/>
      <c r="G912" s="2"/>
      <c r="H912" s="2"/>
    </row>
    <row r="913" spans="2:8" ht="13.2" x14ac:dyDescent="0.25">
      <c r="B913" s="2"/>
      <c r="C913" s="2"/>
      <c r="D913" s="2"/>
      <c r="E913" s="2"/>
      <c r="F913" s="2"/>
      <c r="G913" s="2"/>
      <c r="H913" s="2"/>
    </row>
    <row r="914" spans="2:8" ht="13.2" x14ac:dyDescent="0.25">
      <c r="B914" s="2"/>
      <c r="C914" s="2"/>
      <c r="D914" s="2"/>
      <c r="E914" s="2"/>
      <c r="F914" s="2"/>
      <c r="G914" s="2"/>
      <c r="H914" s="2"/>
    </row>
    <row r="915" spans="2:8" ht="13.2" x14ac:dyDescent="0.25">
      <c r="B915" s="2"/>
      <c r="C915" s="2"/>
      <c r="D915" s="2"/>
      <c r="E915" s="2"/>
      <c r="F915" s="2"/>
      <c r="G915" s="2"/>
      <c r="H915" s="2"/>
    </row>
    <row r="916" spans="2:8" ht="13.2" x14ac:dyDescent="0.25">
      <c r="B916" s="2"/>
      <c r="C916" s="2"/>
      <c r="D916" s="2"/>
      <c r="E916" s="2"/>
      <c r="F916" s="2"/>
      <c r="G916" s="2"/>
      <c r="H916" s="2"/>
    </row>
    <row r="917" spans="2:8" ht="13.2" x14ac:dyDescent="0.25">
      <c r="B917" s="2"/>
      <c r="C917" s="2"/>
      <c r="D917" s="2"/>
      <c r="E917" s="2"/>
      <c r="F917" s="2"/>
      <c r="G917" s="2"/>
      <c r="H917" s="2"/>
    </row>
    <row r="918" spans="2:8" ht="13.2" x14ac:dyDescent="0.25">
      <c r="B918" s="2"/>
      <c r="C918" s="2"/>
      <c r="D918" s="2"/>
      <c r="E918" s="2"/>
      <c r="F918" s="2"/>
      <c r="G918" s="2"/>
      <c r="H918" s="2"/>
    </row>
    <row r="919" spans="2:8" ht="13.2" x14ac:dyDescent="0.25">
      <c r="B919" s="2"/>
      <c r="C919" s="2"/>
      <c r="D919" s="2"/>
      <c r="E919" s="2"/>
      <c r="F919" s="2"/>
      <c r="G919" s="2"/>
      <c r="H919" s="2"/>
    </row>
    <row r="920" spans="2:8" ht="13.2" x14ac:dyDescent="0.25">
      <c r="B920" s="2"/>
      <c r="C920" s="2"/>
      <c r="D920" s="2"/>
      <c r="E920" s="2"/>
      <c r="F920" s="2"/>
      <c r="G920" s="2"/>
      <c r="H920" s="2"/>
    </row>
    <row r="921" spans="2:8" ht="13.2" x14ac:dyDescent="0.25">
      <c r="B921" s="2"/>
      <c r="C921" s="2"/>
      <c r="D921" s="2"/>
      <c r="E921" s="2"/>
      <c r="F921" s="2"/>
      <c r="G921" s="2"/>
      <c r="H921" s="2"/>
    </row>
    <row r="922" spans="2:8" ht="13.2" x14ac:dyDescent="0.25">
      <c r="B922" s="2"/>
      <c r="C922" s="2"/>
      <c r="D922" s="2"/>
      <c r="E922" s="2"/>
      <c r="F922" s="2"/>
      <c r="G922" s="2"/>
      <c r="H922" s="2"/>
    </row>
    <row r="923" spans="2:8" ht="13.2" x14ac:dyDescent="0.25">
      <c r="B923" s="2"/>
      <c r="C923" s="2"/>
      <c r="D923" s="2"/>
      <c r="E923" s="2"/>
      <c r="F923" s="2"/>
      <c r="G923" s="2"/>
      <c r="H923" s="2"/>
    </row>
    <row r="924" spans="2:8" ht="13.2" x14ac:dyDescent="0.25">
      <c r="B924" s="2"/>
      <c r="C924" s="2"/>
      <c r="D924" s="2"/>
      <c r="E924" s="2"/>
      <c r="F924" s="2"/>
      <c r="G924" s="2"/>
      <c r="H924" s="2"/>
    </row>
    <row r="925" spans="2:8" ht="13.2" x14ac:dyDescent="0.25">
      <c r="B925" s="2"/>
      <c r="C925" s="2"/>
      <c r="D925" s="2"/>
      <c r="E925" s="2"/>
      <c r="F925" s="2"/>
      <c r="G925" s="2"/>
      <c r="H925" s="2"/>
    </row>
    <row r="926" spans="2:8" ht="13.2" x14ac:dyDescent="0.25">
      <c r="B926" s="2"/>
      <c r="C926" s="2"/>
      <c r="D926" s="2"/>
      <c r="E926" s="2"/>
      <c r="F926" s="2"/>
      <c r="G926" s="2"/>
      <c r="H926" s="2"/>
    </row>
    <row r="927" spans="2:8" ht="13.2" x14ac:dyDescent="0.25">
      <c r="B927" s="2"/>
      <c r="C927" s="2"/>
      <c r="D927" s="2"/>
      <c r="E927" s="2"/>
      <c r="F927" s="2"/>
      <c r="G927" s="2"/>
      <c r="H927" s="2"/>
    </row>
    <row r="928" spans="2:8" ht="13.2" x14ac:dyDescent="0.25">
      <c r="B928" s="2"/>
      <c r="C928" s="2"/>
      <c r="D928" s="2"/>
      <c r="E928" s="2"/>
      <c r="F928" s="2"/>
      <c r="G928" s="2"/>
      <c r="H928" s="2"/>
    </row>
    <row r="929" spans="2:8" ht="13.2" x14ac:dyDescent="0.25">
      <c r="B929" s="2"/>
      <c r="C929" s="2"/>
      <c r="D929" s="2"/>
      <c r="E929" s="2"/>
      <c r="F929" s="2"/>
      <c r="G929" s="2"/>
      <c r="H929" s="2"/>
    </row>
    <row r="930" spans="2:8" ht="13.2" x14ac:dyDescent="0.25">
      <c r="B930" s="2"/>
      <c r="C930" s="2"/>
      <c r="D930" s="2"/>
      <c r="E930" s="2"/>
      <c r="F930" s="2"/>
      <c r="G930" s="2"/>
      <c r="H930" s="2"/>
    </row>
    <row r="931" spans="2:8" ht="13.2" x14ac:dyDescent="0.25">
      <c r="B931" s="2"/>
      <c r="C931" s="2"/>
      <c r="D931" s="2"/>
      <c r="E931" s="2"/>
      <c r="F931" s="2"/>
      <c r="G931" s="2"/>
      <c r="H931" s="2"/>
    </row>
    <row r="932" spans="2:8" ht="13.2" x14ac:dyDescent="0.25">
      <c r="B932" s="2"/>
      <c r="C932" s="2"/>
      <c r="D932" s="2"/>
      <c r="E932" s="2"/>
      <c r="F932" s="2"/>
      <c r="G932" s="2"/>
      <c r="H932" s="2"/>
    </row>
    <row r="933" spans="2:8" ht="13.2" x14ac:dyDescent="0.25">
      <c r="B933" s="2"/>
      <c r="C933" s="2"/>
      <c r="D933" s="2"/>
      <c r="E933" s="2"/>
      <c r="F933" s="2"/>
      <c r="G933" s="2"/>
      <c r="H933" s="2"/>
    </row>
    <row r="934" spans="2:8" ht="13.2" x14ac:dyDescent="0.25">
      <c r="B934" s="2"/>
      <c r="C934" s="2"/>
      <c r="D934" s="2"/>
      <c r="E934" s="2"/>
      <c r="F934" s="2"/>
      <c r="G934" s="2"/>
      <c r="H934" s="2"/>
    </row>
    <row r="935" spans="2:8" ht="13.2" x14ac:dyDescent="0.25">
      <c r="B935" s="2"/>
      <c r="C935" s="2"/>
      <c r="D935" s="2"/>
      <c r="E935" s="2"/>
      <c r="F935" s="2"/>
      <c r="G935" s="2"/>
      <c r="H935" s="2"/>
    </row>
    <row r="936" spans="2:8" ht="13.2" x14ac:dyDescent="0.25">
      <c r="B936" s="2"/>
      <c r="C936" s="2"/>
      <c r="D936" s="2"/>
      <c r="E936" s="2"/>
      <c r="F936" s="2"/>
      <c r="G936" s="2"/>
      <c r="H936" s="2"/>
    </row>
    <row r="937" spans="2:8" ht="13.2" x14ac:dyDescent="0.25">
      <c r="B937" s="2"/>
      <c r="C937" s="2"/>
      <c r="D937" s="2"/>
      <c r="E937" s="2"/>
      <c r="F937" s="2"/>
      <c r="G937" s="2"/>
      <c r="H937" s="2"/>
    </row>
    <row r="938" spans="2:8" ht="13.2" x14ac:dyDescent="0.25">
      <c r="B938" s="2"/>
      <c r="C938" s="2"/>
      <c r="D938" s="2"/>
      <c r="E938" s="2"/>
      <c r="F938" s="2"/>
      <c r="G938" s="2"/>
      <c r="H938" s="2"/>
    </row>
    <row r="939" spans="2:8" ht="13.2" x14ac:dyDescent="0.25">
      <c r="B939" s="2"/>
      <c r="C939" s="2"/>
      <c r="D939" s="2"/>
      <c r="E939" s="2"/>
      <c r="F939" s="2"/>
      <c r="G939" s="2"/>
      <c r="H939" s="2"/>
    </row>
    <row r="940" spans="2:8" ht="13.2" x14ac:dyDescent="0.25">
      <c r="B940" s="2"/>
      <c r="C940" s="2"/>
      <c r="D940" s="2"/>
      <c r="E940" s="2"/>
      <c r="F940" s="2"/>
      <c r="G940" s="2"/>
      <c r="H940" s="2"/>
    </row>
    <row r="941" spans="2:8" ht="13.2" x14ac:dyDescent="0.25">
      <c r="B941" s="2"/>
      <c r="C941" s="2"/>
      <c r="D941" s="2"/>
      <c r="E941" s="2"/>
      <c r="F941" s="2"/>
      <c r="G941" s="2"/>
      <c r="H941" s="2"/>
    </row>
    <row r="942" spans="2:8" ht="13.2" x14ac:dyDescent="0.25">
      <c r="B942" s="2"/>
      <c r="C942" s="2"/>
      <c r="D942" s="2"/>
      <c r="E942" s="2"/>
      <c r="F942" s="2"/>
      <c r="G942" s="2"/>
      <c r="H942" s="2"/>
    </row>
    <row r="943" spans="2:8" ht="13.2" x14ac:dyDescent="0.25">
      <c r="B943" s="2"/>
      <c r="C943" s="2"/>
      <c r="D943" s="2"/>
      <c r="E943" s="2"/>
      <c r="F943" s="2"/>
      <c r="G943" s="2"/>
      <c r="H943" s="2"/>
    </row>
    <row r="944" spans="2:8" ht="13.2" x14ac:dyDescent="0.25">
      <c r="B944" s="2"/>
      <c r="C944" s="2"/>
      <c r="D944" s="2"/>
      <c r="E944" s="2"/>
      <c r="F944" s="2"/>
      <c r="G944" s="2"/>
      <c r="H944" s="2"/>
    </row>
    <row r="945" spans="2:8" ht="13.2" x14ac:dyDescent="0.25">
      <c r="B945" s="2"/>
      <c r="C945" s="2"/>
      <c r="D945" s="2"/>
      <c r="E945" s="2"/>
      <c r="F945" s="2"/>
      <c r="G945" s="2"/>
      <c r="H945" s="2"/>
    </row>
    <row r="946" spans="2:8" ht="13.2" x14ac:dyDescent="0.25">
      <c r="B946" s="2"/>
      <c r="C946" s="2"/>
      <c r="D946" s="2"/>
      <c r="E946" s="2"/>
      <c r="F946" s="2"/>
      <c r="G946" s="2"/>
      <c r="H946" s="2"/>
    </row>
    <row r="947" spans="2:8" ht="13.2" x14ac:dyDescent="0.25">
      <c r="B947" s="2"/>
      <c r="C947" s="2"/>
      <c r="D947" s="2"/>
      <c r="E947" s="2"/>
      <c r="F947" s="2"/>
      <c r="G947" s="2"/>
      <c r="H947" s="2"/>
    </row>
    <row r="948" spans="2:8" ht="13.2" x14ac:dyDescent="0.25">
      <c r="B948" s="2"/>
      <c r="C948" s="2"/>
      <c r="D948" s="2"/>
      <c r="E948" s="2"/>
      <c r="F948" s="2"/>
      <c r="G948" s="2"/>
      <c r="H948" s="2"/>
    </row>
    <row r="949" spans="2:8" ht="13.2" x14ac:dyDescent="0.25">
      <c r="B949" s="2"/>
      <c r="C949" s="2"/>
      <c r="D949" s="2"/>
      <c r="E949" s="2"/>
      <c r="F949" s="2"/>
      <c r="G949" s="2"/>
      <c r="H949" s="2"/>
    </row>
    <row r="950" spans="2:8" ht="13.2" x14ac:dyDescent="0.25">
      <c r="B950" s="2"/>
      <c r="C950" s="2"/>
      <c r="D950" s="2"/>
      <c r="E950" s="2"/>
      <c r="F950" s="2"/>
      <c r="G950" s="2"/>
      <c r="H950" s="2"/>
    </row>
    <row r="951" spans="2:8" ht="13.2" x14ac:dyDescent="0.25">
      <c r="B951" s="2"/>
      <c r="C951" s="2"/>
      <c r="D951" s="2"/>
      <c r="E951" s="2"/>
      <c r="F951" s="2"/>
      <c r="G951" s="2"/>
      <c r="H951" s="2"/>
    </row>
    <row r="952" spans="2:8" ht="13.2" x14ac:dyDescent="0.25">
      <c r="B952" s="2"/>
      <c r="C952" s="2"/>
      <c r="D952" s="2"/>
      <c r="E952" s="2"/>
      <c r="F952" s="2"/>
      <c r="G952" s="2"/>
      <c r="H952" s="2"/>
    </row>
    <row r="953" spans="2:8" ht="13.2" x14ac:dyDescent="0.25">
      <c r="B953" s="2"/>
      <c r="C953" s="2"/>
      <c r="D953" s="2"/>
      <c r="E953" s="2"/>
      <c r="F953" s="2"/>
      <c r="G953" s="2"/>
      <c r="H953" s="2"/>
    </row>
    <row r="954" spans="2:8" ht="13.2" x14ac:dyDescent="0.25">
      <c r="B954" s="2"/>
      <c r="C954" s="2"/>
      <c r="D954" s="2"/>
      <c r="E954" s="2"/>
      <c r="F954" s="2"/>
      <c r="G954" s="2"/>
      <c r="H954" s="2"/>
    </row>
    <row r="955" spans="2:8" ht="13.2" x14ac:dyDescent="0.25">
      <c r="B955" s="2"/>
      <c r="C955" s="2"/>
      <c r="D955" s="2"/>
      <c r="E955" s="2"/>
      <c r="F955" s="2"/>
      <c r="G955" s="2"/>
      <c r="H955" s="2"/>
    </row>
    <row r="956" spans="2:8" ht="13.2" x14ac:dyDescent="0.25">
      <c r="B956" s="2"/>
      <c r="C956" s="2"/>
      <c r="D956" s="2"/>
      <c r="E956" s="2"/>
      <c r="F956" s="2"/>
      <c r="G956" s="2"/>
      <c r="H956" s="2"/>
    </row>
    <row r="957" spans="2:8" ht="13.2" x14ac:dyDescent="0.25">
      <c r="B957" s="2"/>
      <c r="C957" s="2"/>
      <c r="D957" s="2"/>
      <c r="E957" s="2"/>
      <c r="F957" s="2"/>
      <c r="G957" s="2"/>
      <c r="H957" s="2"/>
    </row>
    <row r="958" spans="2:8" ht="13.2" x14ac:dyDescent="0.25">
      <c r="B958" s="2"/>
      <c r="C958" s="2"/>
      <c r="D958" s="2"/>
      <c r="E958" s="2"/>
      <c r="F958" s="2"/>
      <c r="G958" s="2"/>
      <c r="H958" s="2"/>
    </row>
    <row r="959" spans="2:8" ht="13.2" x14ac:dyDescent="0.25">
      <c r="B959" s="2"/>
      <c r="C959" s="2"/>
      <c r="D959" s="2"/>
      <c r="E959" s="2"/>
      <c r="F959" s="2"/>
      <c r="G959" s="2"/>
      <c r="H959" s="2"/>
    </row>
    <row r="960" spans="2:8" ht="13.2" x14ac:dyDescent="0.25">
      <c r="B960" s="2"/>
      <c r="C960" s="2"/>
      <c r="D960" s="2"/>
      <c r="E960" s="2"/>
      <c r="F960" s="2"/>
      <c r="G960" s="2"/>
      <c r="H960" s="2"/>
    </row>
    <row r="961" spans="2:8" ht="13.2" x14ac:dyDescent="0.25">
      <c r="B961" s="2"/>
      <c r="C961" s="2"/>
      <c r="D961" s="2"/>
      <c r="E961" s="2"/>
      <c r="F961" s="2"/>
      <c r="G961" s="2"/>
      <c r="H961" s="2"/>
    </row>
    <row r="962" spans="2:8" ht="13.2" x14ac:dyDescent="0.25">
      <c r="B962" s="2"/>
      <c r="C962" s="2"/>
      <c r="D962" s="2"/>
      <c r="E962" s="2"/>
      <c r="F962" s="2"/>
      <c r="G962" s="2"/>
      <c r="H962" s="2"/>
    </row>
    <row r="963" spans="2:8" ht="13.2" x14ac:dyDescent="0.25">
      <c r="B963" s="2"/>
      <c r="C963" s="2"/>
      <c r="D963" s="2"/>
      <c r="E963" s="2"/>
      <c r="F963" s="2"/>
      <c r="G963" s="2"/>
      <c r="H963" s="2"/>
    </row>
    <row r="964" spans="2:8" ht="13.2" x14ac:dyDescent="0.25">
      <c r="B964" s="2"/>
      <c r="C964" s="2"/>
      <c r="D964" s="2"/>
      <c r="E964" s="2"/>
      <c r="F964" s="2"/>
      <c r="G964" s="2"/>
      <c r="H964" s="2"/>
    </row>
    <row r="965" spans="2:8" ht="13.2" x14ac:dyDescent="0.25">
      <c r="B965" s="2"/>
      <c r="C965" s="2"/>
      <c r="D965" s="2"/>
      <c r="E965" s="2"/>
      <c r="F965" s="2"/>
      <c r="G965" s="2"/>
      <c r="H965" s="2"/>
    </row>
    <row r="966" spans="2:8" ht="13.2" x14ac:dyDescent="0.25">
      <c r="B966" s="2"/>
      <c r="C966" s="2"/>
      <c r="D966" s="2"/>
      <c r="E966" s="2"/>
      <c r="F966" s="2"/>
      <c r="G966" s="2"/>
      <c r="H966" s="2"/>
    </row>
    <row r="967" spans="2:8" ht="13.2" x14ac:dyDescent="0.25">
      <c r="B967" s="2"/>
      <c r="C967" s="2"/>
      <c r="D967" s="2"/>
      <c r="E967" s="2"/>
      <c r="F967" s="2"/>
      <c r="G967" s="2"/>
      <c r="H967" s="2"/>
    </row>
    <row r="968" spans="2:8" ht="13.2" x14ac:dyDescent="0.25">
      <c r="B968" s="2"/>
      <c r="C968" s="2"/>
      <c r="D968" s="2"/>
      <c r="E968" s="2"/>
      <c r="F968" s="2"/>
      <c r="G968" s="2"/>
      <c r="H968" s="2"/>
    </row>
    <row r="969" spans="2:8" ht="13.2" x14ac:dyDescent="0.25">
      <c r="B969" s="2"/>
      <c r="C969" s="2"/>
      <c r="D969" s="2"/>
      <c r="E969" s="2"/>
      <c r="F969" s="2"/>
      <c r="G969" s="2"/>
      <c r="H969" s="2"/>
    </row>
    <row r="970" spans="2:8" ht="13.2" x14ac:dyDescent="0.25">
      <c r="B970" s="2"/>
      <c r="C970" s="2"/>
      <c r="D970" s="2"/>
      <c r="E970" s="2"/>
      <c r="F970" s="2"/>
      <c r="G970" s="2"/>
      <c r="H970" s="2"/>
    </row>
    <row r="971" spans="2:8" ht="13.2" x14ac:dyDescent="0.25">
      <c r="B971" s="2"/>
      <c r="C971" s="2"/>
      <c r="D971" s="2"/>
      <c r="E971" s="2"/>
      <c r="F971" s="2"/>
      <c r="G971" s="2"/>
      <c r="H971" s="2"/>
    </row>
    <row r="972" spans="2:8" ht="13.2" x14ac:dyDescent="0.25">
      <c r="B972" s="2"/>
      <c r="C972" s="2"/>
      <c r="D972" s="2"/>
      <c r="E972" s="2"/>
      <c r="F972" s="2"/>
      <c r="G972" s="2"/>
      <c r="H972" s="2"/>
    </row>
    <row r="973" spans="2:8" ht="13.2" x14ac:dyDescent="0.25">
      <c r="B973" s="2"/>
      <c r="C973" s="2"/>
      <c r="D973" s="2"/>
      <c r="E973" s="2"/>
      <c r="F973" s="2"/>
      <c r="G973" s="2"/>
      <c r="H973" s="2"/>
    </row>
    <row r="974" spans="2:8" ht="13.2" x14ac:dyDescent="0.25">
      <c r="B974" s="2"/>
      <c r="C974" s="2"/>
      <c r="D974" s="2"/>
      <c r="E974" s="2"/>
      <c r="F974" s="2"/>
      <c r="G974" s="2"/>
      <c r="H974" s="2"/>
    </row>
    <row r="975" spans="2:8" ht="13.2" x14ac:dyDescent="0.25">
      <c r="B975" s="2"/>
      <c r="C975" s="2"/>
      <c r="D975" s="2"/>
      <c r="E975" s="2"/>
      <c r="F975" s="2"/>
      <c r="G975" s="2"/>
      <c r="H975" s="2"/>
    </row>
    <row r="976" spans="2:8" ht="13.2" x14ac:dyDescent="0.25">
      <c r="B976" s="2"/>
      <c r="C976" s="2"/>
      <c r="D976" s="2"/>
      <c r="E976" s="2"/>
      <c r="F976" s="2"/>
      <c r="G976" s="2"/>
      <c r="H976" s="2"/>
    </row>
    <row r="977" spans="2:8" ht="13.2" x14ac:dyDescent="0.25">
      <c r="B977" s="2"/>
      <c r="C977" s="2"/>
      <c r="D977" s="2"/>
      <c r="E977" s="2"/>
      <c r="F977" s="2"/>
      <c r="G977" s="2"/>
      <c r="H977" s="2"/>
    </row>
    <row r="978" spans="2:8" ht="13.2" x14ac:dyDescent="0.25">
      <c r="B978" s="2"/>
      <c r="C978" s="2"/>
      <c r="D978" s="2"/>
      <c r="E978" s="2"/>
      <c r="F978" s="2"/>
      <c r="G978" s="2"/>
      <c r="H978" s="2"/>
    </row>
    <row r="979" spans="2:8" ht="13.2" x14ac:dyDescent="0.25">
      <c r="B979" s="2"/>
      <c r="C979" s="2"/>
      <c r="D979" s="2"/>
      <c r="E979" s="2"/>
      <c r="F979" s="2"/>
      <c r="G979" s="2"/>
      <c r="H979" s="2"/>
    </row>
    <row r="980" spans="2:8" ht="13.2" x14ac:dyDescent="0.25">
      <c r="B980" s="2"/>
      <c r="C980" s="2"/>
      <c r="D980" s="2"/>
      <c r="E980" s="2"/>
      <c r="F980" s="2"/>
      <c r="G980" s="2"/>
      <c r="H980" s="2"/>
    </row>
    <row r="981" spans="2:8" ht="13.2" x14ac:dyDescent="0.25">
      <c r="B981" s="2"/>
      <c r="C981" s="2"/>
      <c r="D981" s="2"/>
      <c r="E981" s="2"/>
      <c r="F981" s="2"/>
      <c r="G981" s="2"/>
      <c r="H981" s="2"/>
    </row>
    <row r="982" spans="2:8" ht="13.2" x14ac:dyDescent="0.25">
      <c r="B982" s="2"/>
      <c r="C982" s="2"/>
      <c r="D982" s="2"/>
      <c r="E982" s="2"/>
      <c r="F982" s="2"/>
      <c r="G982" s="2"/>
      <c r="H982" s="2"/>
    </row>
    <row r="983" spans="2:8" ht="13.2" x14ac:dyDescent="0.25">
      <c r="B983" s="2"/>
      <c r="C983" s="2"/>
      <c r="D983" s="2"/>
      <c r="E983" s="2"/>
      <c r="F983" s="2"/>
      <c r="G983" s="2"/>
      <c r="H983" s="2"/>
    </row>
    <row r="984" spans="2:8" ht="13.2" x14ac:dyDescent="0.25">
      <c r="B984" s="2"/>
      <c r="C984" s="2"/>
      <c r="D984" s="2"/>
      <c r="E984" s="2"/>
      <c r="F984" s="2"/>
      <c r="G984" s="2"/>
      <c r="H984" s="2"/>
    </row>
    <row r="985" spans="2:8" ht="13.2" x14ac:dyDescent="0.25">
      <c r="B985" s="2"/>
      <c r="C985" s="2"/>
      <c r="D985" s="2"/>
      <c r="E985" s="2"/>
      <c r="F985" s="2"/>
      <c r="G985" s="2"/>
      <c r="H985" s="2"/>
    </row>
    <row r="986" spans="2:8" ht="13.2" x14ac:dyDescent="0.25">
      <c r="B986" s="2"/>
      <c r="C986" s="2"/>
      <c r="D986" s="2"/>
      <c r="E986" s="2"/>
      <c r="F986" s="2"/>
      <c r="G986" s="2"/>
      <c r="H986" s="2"/>
    </row>
    <row r="987" spans="2:8" ht="13.2" x14ac:dyDescent="0.25">
      <c r="B987" s="2"/>
      <c r="C987" s="2"/>
      <c r="D987" s="2"/>
      <c r="E987" s="2"/>
      <c r="F987" s="2"/>
      <c r="G987" s="2"/>
      <c r="H987" s="2"/>
    </row>
    <row r="988" spans="2:8" ht="13.2" x14ac:dyDescent="0.25">
      <c r="B988" s="2"/>
      <c r="C988" s="2"/>
      <c r="D988" s="2"/>
      <c r="E988" s="2"/>
      <c r="F988" s="2"/>
      <c r="G988" s="2"/>
      <c r="H988" s="2"/>
    </row>
    <row r="989" spans="2:8" ht="13.2" x14ac:dyDescent="0.25">
      <c r="B989" s="2"/>
      <c r="C989" s="2"/>
      <c r="D989" s="2"/>
      <c r="E989" s="2"/>
      <c r="F989" s="2"/>
      <c r="G989" s="2"/>
      <c r="H989" s="2"/>
    </row>
    <row r="990" spans="2:8" ht="13.2" x14ac:dyDescent="0.25">
      <c r="B990" s="2"/>
      <c r="C990" s="2"/>
      <c r="D990" s="2"/>
      <c r="E990" s="2"/>
      <c r="F990" s="2"/>
      <c r="G990" s="2"/>
      <c r="H990" s="2"/>
    </row>
    <row r="991" spans="2:8" ht="13.2" x14ac:dyDescent="0.25">
      <c r="B991" s="2"/>
      <c r="C991" s="2"/>
      <c r="D991" s="2"/>
      <c r="E991" s="2"/>
      <c r="F991" s="2"/>
      <c r="G991" s="2"/>
      <c r="H991" s="2"/>
    </row>
    <row r="992" spans="2:8" ht="13.2" x14ac:dyDescent="0.25">
      <c r="B992" s="2"/>
      <c r="C992" s="2"/>
      <c r="D992" s="2"/>
      <c r="E992" s="2"/>
      <c r="F992" s="2"/>
      <c r="G992" s="2"/>
      <c r="H992" s="2"/>
    </row>
    <row r="993" spans="2:8" ht="13.2" x14ac:dyDescent="0.25">
      <c r="B993" s="2"/>
      <c r="C993" s="2"/>
      <c r="D993" s="2"/>
      <c r="E993" s="2"/>
      <c r="F993" s="2"/>
      <c r="G993" s="2"/>
      <c r="H993" s="2"/>
    </row>
    <row r="994" spans="2:8" ht="13.2" x14ac:dyDescent="0.25">
      <c r="B994" s="2"/>
      <c r="C994" s="2"/>
      <c r="D994" s="2"/>
      <c r="E994" s="2"/>
      <c r="F994" s="2"/>
      <c r="G994" s="2"/>
      <c r="H994" s="2"/>
    </row>
    <row r="995" spans="2:8" ht="13.2" x14ac:dyDescent="0.25">
      <c r="B995" s="2"/>
      <c r="C995" s="2"/>
      <c r="D995" s="2"/>
      <c r="E995" s="2"/>
      <c r="F995" s="2"/>
      <c r="G995" s="2"/>
      <c r="H995" s="2"/>
    </row>
    <row r="996" spans="2:8" ht="13.2" x14ac:dyDescent="0.25">
      <c r="B996" s="2"/>
      <c r="C996" s="2"/>
      <c r="D996" s="2"/>
      <c r="E996" s="2"/>
      <c r="F996" s="2"/>
      <c r="G996" s="2"/>
      <c r="H996" s="2"/>
    </row>
    <row r="997" spans="2:8" ht="13.2" x14ac:dyDescent="0.25">
      <c r="B997" s="2"/>
      <c r="C997" s="2"/>
      <c r="D997" s="2"/>
      <c r="E997" s="2"/>
      <c r="F997" s="2"/>
      <c r="G997" s="2"/>
      <c r="H997" s="2"/>
    </row>
    <row r="998" spans="2:8" ht="13.2" x14ac:dyDescent="0.25">
      <c r="B998" s="2"/>
      <c r="C998" s="2"/>
      <c r="D998" s="2"/>
      <c r="E998" s="2"/>
      <c r="F998" s="2"/>
      <c r="G998" s="2"/>
      <c r="H998" s="2"/>
    </row>
    <row r="999" spans="2:8" ht="13.2" x14ac:dyDescent="0.25">
      <c r="B999" s="2"/>
      <c r="C999" s="2"/>
      <c r="D999" s="2"/>
      <c r="E999" s="2"/>
      <c r="F999" s="2"/>
      <c r="G999" s="2"/>
      <c r="H999" s="2"/>
    </row>
    <row r="1000" spans="2:8" ht="13.2" x14ac:dyDescent="0.25">
      <c r="B1000" s="2"/>
      <c r="C1000" s="2"/>
      <c r="D1000" s="2"/>
      <c r="E1000" s="2"/>
      <c r="F1000" s="2"/>
      <c r="G1000" s="2"/>
      <c r="H1000" s="2"/>
    </row>
    <row r="1001" spans="2:8" ht="13.2" x14ac:dyDescent="0.25">
      <c r="B1001" s="2"/>
      <c r="C1001" s="2"/>
      <c r="D1001" s="2"/>
      <c r="E1001" s="2"/>
      <c r="F1001" s="2"/>
      <c r="G1001" s="2"/>
      <c r="H1001" s="2"/>
    </row>
    <row r="1002" spans="2:8" ht="13.2" x14ac:dyDescent="0.25">
      <c r="B1002" s="2"/>
      <c r="C1002" s="2"/>
      <c r="D1002" s="2"/>
      <c r="E1002" s="2"/>
      <c r="F1002" s="2"/>
      <c r="G1002" s="2"/>
      <c r="H1002" s="2"/>
    </row>
    <row r="1003" spans="2:8" ht="13.2" x14ac:dyDescent="0.25">
      <c r="B1003" s="2"/>
      <c r="C1003" s="2"/>
      <c r="D1003" s="2"/>
      <c r="E1003" s="2"/>
      <c r="F1003" s="2"/>
      <c r="G1003" s="2"/>
      <c r="H1003" s="2"/>
    </row>
    <row r="1004" spans="2:8" ht="13.2" x14ac:dyDescent="0.25">
      <c r="B1004" s="2"/>
      <c r="C1004" s="2"/>
      <c r="D1004" s="2"/>
      <c r="E1004" s="2"/>
      <c r="F1004" s="2"/>
      <c r="G1004" s="2"/>
      <c r="H1004" s="2"/>
    </row>
    <row r="1005" spans="2:8" ht="13.2" x14ac:dyDescent="0.25">
      <c r="B1005" s="2"/>
      <c r="C1005" s="2"/>
      <c r="D1005" s="2"/>
      <c r="E1005" s="2"/>
      <c r="F1005" s="2"/>
      <c r="G1005" s="2"/>
      <c r="H1005" s="2"/>
    </row>
    <row r="1006" spans="2:8" ht="13.2" x14ac:dyDescent="0.25">
      <c r="B1006" s="2"/>
      <c r="C1006" s="2"/>
      <c r="D1006" s="2"/>
      <c r="E1006" s="2"/>
      <c r="F1006" s="2"/>
      <c r="G1006" s="2"/>
      <c r="H1006" s="2"/>
    </row>
    <row r="1007" spans="2:8" ht="13.2" x14ac:dyDescent="0.25">
      <c r="B1007" s="2"/>
      <c r="C1007" s="2"/>
      <c r="D1007" s="2"/>
      <c r="E1007" s="2"/>
      <c r="F1007" s="2"/>
      <c r="G1007" s="2"/>
      <c r="H1007" s="2"/>
    </row>
    <row r="1008" spans="2:8" ht="13.2" x14ac:dyDescent="0.25">
      <c r="B1008" s="2"/>
      <c r="C1008" s="2"/>
      <c r="D1008" s="2"/>
      <c r="E1008" s="2"/>
      <c r="F1008" s="2"/>
      <c r="G1008" s="2"/>
      <c r="H1008" s="2"/>
    </row>
    <row r="1009" spans="2:8" ht="13.2" x14ac:dyDescent="0.25">
      <c r="B1009" s="2"/>
      <c r="C1009" s="2"/>
      <c r="D1009" s="2"/>
      <c r="E1009" s="2"/>
      <c r="F1009" s="2"/>
      <c r="G1009" s="2"/>
      <c r="H1009" s="2"/>
    </row>
    <row r="1010" spans="2:8" ht="13.2" x14ac:dyDescent="0.25">
      <c r="B1010" s="2"/>
      <c r="C1010" s="2"/>
      <c r="D1010" s="2"/>
      <c r="E1010" s="2"/>
      <c r="F1010" s="2"/>
      <c r="G1010" s="2"/>
      <c r="H1010" s="2"/>
    </row>
    <row r="1011" spans="2:8" ht="13.2" x14ac:dyDescent="0.25">
      <c r="B1011" s="2"/>
      <c r="C1011" s="2"/>
      <c r="D1011" s="2"/>
      <c r="E1011" s="2"/>
      <c r="F1011" s="2"/>
      <c r="G1011" s="2"/>
      <c r="H1011" s="2"/>
    </row>
    <row r="1012" spans="2:8" ht="13.2" x14ac:dyDescent="0.25">
      <c r="B1012" s="2"/>
      <c r="C1012" s="2"/>
      <c r="D1012" s="2"/>
      <c r="E1012" s="2"/>
      <c r="F1012" s="2"/>
      <c r="G1012" s="2"/>
      <c r="H1012" s="2"/>
    </row>
    <row r="1013" spans="2:8" ht="13.2" x14ac:dyDescent="0.25">
      <c r="B1013" s="2"/>
      <c r="C1013" s="2"/>
      <c r="D1013" s="2"/>
      <c r="E1013" s="2"/>
      <c r="F1013" s="2"/>
      <c r="G1013" s="2"/>
      <c r="H1013" s="2"/>
    </row>
    <row r="1014" spans="2:8" ht="13.2" x14ac:dyDescent="0.25">
      <c r="B1014" s="2"/>
      <c r="C1014" s="2"/>
      <c r="D1014" s="2"/>
      <c r="E1014" s="2"/>
      <c r="F1014" s="2"/>
      <c r="G1014" s="2"/>
      <c r="H1014" s="2"/>
    </row>
    <row r="1015" spans="2:8" ht="13.2" x14ac:dyDescent="0.25">
      <c r="B1015" s="2"/>
      <c r="C1015" s="2"/>
      <c r="D1015" s="2"/>
      <c r="E1015" s="2"/>
      <c r="F1015" s="2"/>
      <c r="G1015" s="2"/>
      <c r="H1015" s="2"/>
    </row>
    <row r="1016" spans="2:8" ht="13.2" x14ac:dyDescent="0.25">
      <c r="B1016" s="2"/>
      <c r="C1016" s="2"/>
      <c r="D1016" s="2"/>
      <c r="E1016" s="2"/>
      <c r="F1016" s="2"/>
      <c r="G1016" s="2"/>
      <c r="H1016" s="2"/>
    </row>
    <row r="1017" spans="2:8" ht="13.2" x14ac:dyDescent="0.25">
      <c r="B1017" s="2"/>
      <c r="C1017" s="2"/>
      <c r="D1017" s="2"/>
      <c r="E1017" s="2"/>
      <c r="F1017" s="2"/>
      <c r="G1017" s="2"/>
      <c r="H1017" s="2"/>
    </row>
    <row r="1018" spans="2:8" ht="13.2" x14ac:dyDescent="0.25">
      <c r="B1018" s="2"/>
      <c r="C1018" s="2"/>
      <c r="D1018" s="2"/>
      <c r="E1018" s="2"/>
      <c r="F1018" s="2"/>
      <c r="G1018" s="2"/>
      <c r="H1018" s="2"/>
    </row>
    <row r="1019" spans="2:8" ht="13.2" x14ac:dyDescent="0.25">
      <c r="B1019" s="2"/>
      <c r="C1019" s="2"/>
      <c r="D1019" s="2"/>
      <c r="E1019" s="2"/>
      <c r="F1019" s="2"/>
      <c r="G1019" s="2"/>
      <c r="H1019" s="2"/>
    </row>
    <row r="1020" spans="2:8" ht="13.2" x14ac:dyDescent="0.25">
      <c r="B1020" s="2"/>
      <c r="C1020" s="2"/>
      <c r="D1020" s="2"/>
      <c r="E1020" s="2"/>
      <c r="F1020" s="2"/>
      <c r="G1020" s="2"/>
      <c r="H1020" s="2"/>
    </row>
    <row r="1021" spans="2:8" ht="13.2" x14ac:dyDescent="0.25">
      <c r="B1021" s="2"/>
      <c r="C1021" s="2"/>
      <c r="D1021" s="2"/>
      <c r="E1021" s="2"/>
      <c r="F1021" s="2"/>
      <c r="G1021" s="2"/>
      <c r="H1021" s="2"/>
    </row>
  </sheetData>
  <mergeCells count="8">
    <mergeCell ref="B36:J36"/>
    <mergeCell ref="B38:J38"/>
    <mergeCell ref="B39:J39"/>
    <mergeCell ref="B40:J40"/>
    <mergeCell ref="C100:H100"/>
    <mergeCell ref="H75:H78"/>
    <mergeCell ref="B37:J37"/>
    <mergeCell ref="E43:F4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A081D-71CE-4597-A405-9EB84DD55B4C}">
  <dimension ref="B3:J34"/>
  <sheetViews>
    <sheetView showGridLines="0" tabSelected="1" zoomScale="70" zoomScaleNormal="70" workbookViewId="0">
      <selection activeCell="N25" sqref="N25"/>
    </sheetView>
  </sheetViews>
  <sheetFormatPr baseColWidth="10" defaultRowHeight="13.2" x14ac:dyDescent="0.25"/>
  <sheetData>
    <row r="3" spans="2:10" x14ac:dyDescent="0.25">
      <c r="B3" s="252" t="s">
        <v>89</v>
      </c>
      <c r="C3" s="253">
        <v>5.0999999999999996</v>
      </c>
      <c r="E3" t="s">
        <v>235</v>
      </c>
    </row>
    <row r="4" spans="2:10" x14ac:dyDescent="0.25">
      <c r="B4" s="252" t="s">
        <v>91</v>
      </c>
      <c r="C4" s="253">
        <v>0.14699999999999999</v>
      </c>
    </row>
    <row r="6" spans="2:10" ht="66" x14ac:dyDescent="0.25">
      <c r="B6" s="72" t="s">
        <v>42</v>
      </c>
      <c r="C6" s="72" t="s">
        <v>51</v>
      </c>
      <c r="D6" s="73" t="s">
        <v>25</v>
      </c>
      <c r="E6" s="95" t="s">
        <v>62</v>
      </c>
      <c r="F6" s="95" t="s">
        <v>63</v>
      </c>
      <c r="G6" s="95" t="s">
        <v>64</v>
      </c>
      <c r="H6" s="96" t="s">
        <v>65</v>
      </c>
      <c r="I6" s="97" t="s">
        <v>66</v>
      </c>
      <c r="J6" s="98" t="s">
        <v>67</v>
      </c>
    </row>
    <row r="7" spans="2:10" x14ac:dyDescent="0.25">
      <c r="B7" s="52">
        <v>1</v>
      </c>
      <c r="C7" s="52">
        <v>1</v>
      </c>
      <c r="D7" s="52">
        <v>4.8</v>
      </c>
      <c r="E7" s="52"/>
      <c r="F7" s="52"/>
      <c r="G7" s="99">
        <v>0.90831661951255804</v>
      </c>
      <c r="H7" s="100">
        <f>D7/G7</f>
        <v>5.2845009073773053</v>
      </c>
      <c r="I7" s="254">
        <f>C7*$C$4+$C$3</f>
        <v>5.2469999999999999</v>
      </c>
      <c r="J7" s="101">
        <f>I7*G7</f>
        <v>4.7659373025823921</v>
      </c>
    </row>
    <row r="8" spans="2:10" x14ac:dyDescent="0.25">
      <c r="B8" s="49">
        <v>1</v>
      </c>
      <c r="C8" s="49">
        <v>2</v>
      </c>
      <c r="D8" s="49">
        <v>4.0999999999999996</v>
      </c>
      <c r="E8" s="55">
        <f>AVERAGE(D7:D9)</f>
        <v>4.9666666666666659</v>
      </c>
      <c r="F8" s="55">
        <f>D8/E8</f>
        <v>0.82550335570469802</v>
      </c>
      <c r="G8" s="102">
        <f>AVERAGE(F8,F12,F16,F20,F24,F28,F32)</f>
        <v>0.86443165642038933</v>
      </c>
      <c r="H8" s="103">
        <f t="shared" ref="H8:H22" si="0">D8/G8</f>
        <v>4.7430007561015239</v>
      </c>
      <c r="I8" s="255">
        <f t="shared" ref="I8:I31" si="1">C8*$C$4+$C$3</f>
        <v>5.3939999999999992</v>
      </c>
      <c r="J8" s="101">
        <f t="shared" ref="J8:J31" si="2">I8*G8</f>
        <v>4.6627443547315792</v>
      </c>
    </row>
    <row r="9" spans="2:10" x14ac:dyDescent="0.25">
      <c r="B9" s="49">
        <v>1</v>
      </c>
      <c r="C9" s="49">
        <v>3</v>
      </c>
      <c r="D9" s="49">
        <v>6</v>
      </c>
      <c r="E9" s="55">
        <f>AVERAGE(D8:D10)</f>
        <v>5.5333333333333341</v>
      </c>
      <c r="F9" s="55">
        <f t="shared" ref="F9:F22" si="3">D9/E9</f>
        <v>1.0843373493975903</v>
      </c>
      <c r="G9" s="102">
        <f t="shared" ref="G9:G10" si="4">AVERAGE(F9,F13,F17,F21,F25,F29,F33)</f>
        <v>1.0721679872325289</v>
      </c>
      <c r="H9" s="103">
        <f t="shared" si="0"/>
        <v>5.5961379853236899</v>
      </c>
      <c r="I9" s="255">
        <f t="shared" si="1"/>
        <v>5.5409999999999995</v>
      </c>
      <c r="J9" s="101">
        <f t="shared" si="2"/>
        <v>5.9408828172554422</v>
      </c>
    </row>
    <row r="10" spans="2:10" x14ac:dyDescent="0.25">
      <c r="B10" s="49">
        <v>1</v>
      </c>
      <c r="C10" s="49">
        <v>4</v>
      </c>
      <c r="D10" s="59">
        <v>6.5</v>
      </c>
      <c r="E10" s="60">
        <f t="shared" ref="E10:E22" si="5">AVERAGE(D9:D11)</f>
        <v>6.1000000000000005</v>
      </c>
      <c r="F10" s="60">
        <f t="shared" si="3"/>
        <v>1.0655737704918031</v>
      </c>
      <c r="G10" s="102">
        <f t="shared" si="4"/>
        <v>1.0680768121794186</v>
      </c>
      <c r="H10" s="103">
        <f t="shared" si="0"/>
        <v>6.0857046289926489</v>
      </c>
      <c r="I10" s="255">
        <f t="shared" si="1"/>
        <v>5.6879999999999997</v>
      </c>
      <c r="J10" s="101">
        <f t="shared" si="2"/>
        <v>6.0752209076765329</v>
      </c>
    </row>
    <row r="11" spans="2:10" x14ac:dyDescent="0.25">
      <c r="B11" s="52">
        <v>2</v>
      </c>
      <c r="C11" s="52">
        <v>5</v>
      </c>
      <c r="D11" s="49">
        <v>5.8</v>
      </c>
      <c r="E11" s="77">
        <f t="shared" si="5"/>
        <v>5.833333333333333</v>
      </c>
      <c r="F11" s="77">
        <f t="shared" si="3"/>
        <v>0.99428571428571433</v>
      </c>
      <c r="G11" s="99">
        <f>AVERAGE(F11,F15,F19,F23,F27,F31)</f>
        <v>0.96221804511278197</v>
      </c>
      <c r="H11" s="100">
        <f t="shared" si="0"/>
        <v>6.0277397929283056</v>
      </c>
      <c r="I11" s="254">
        <f t="shared" si="1"/>
        <v>5.835</v>
      </c>
      <c r="J11" s="101">
        <f t="shared" si="2"/>
        <v>5.6145422932330824</v>
      </c>
    </row>
    <row r="12" spans="2:10" x14ac:dyDescent="0.25">
      <c r="B12" s="49">
        <v>2</v>
      </c>
      <c r="C12" s="49">
        <v>6</v>
      </c>
      <c r="D12" s="49">
        <v>5.2</v>
      </c>
      <c r="E12" s="55">
        <f t="shared" si="5"/>
        <v>5.9333333333333336</v>
      </c>
      <c r="F12" s="55">
        <f t="shared" si="3"/>
        <v>0.8764044943820225</v>
      </c>
      <c r="G12" s="102">
        <v>1.2208585202408884</v>
      </c>
      <c r="H12" s="103">
        <f t="shared" si="0"/>
        <v>4.2592977923223936</v>
      </c>
      <c r="I12" s="255">
        <f t="shared" si="1"/>
        <v>5.9819999999999993</v>
      </c>
      <c r="J12" s="101">
        <f t="shared" si="2"/>
        <v>7.3031756680809936</v>
      </c>
    </row>
    <row r="13" spans="2:10" x14ac:dyDescent="0.25">
      <c r="B13" s="49">
        <v>2</v>
      </c>
      <c r="C13" s="49">
        <v>7</v>
      </c>
      <c r="D13" s="49">
        <v>6.8</v>
      </c>
      <c r="E13" s="55">
        <f t="shared" si="5"/>
        <v>6.4666666666666659</v>
      </c>
      <c r="F13" s="55">
        <f t="shared" si="3"/>
        <v>1.0515463917525774</v>
      </c>
      <c r="G13" s="102">
        <v>1.0572020440142551</v>
      </c>
      <c r="H13" s="103">
        <f t="shared" si="0"/>
        <v>6.4320723162622926</v>
      </c>
      <c r="I13" s="255">
        <f t="shared" si="1"/>
        <v>6.1289999999999996</v>
      </c>
      <c r="J13" s="101">
        <f t="shared" si="2"/>
        <v>6.4795913277633694</v>
      </c>
    </row>
    <row r="14" spans="2:10" x14ac:dyDescent="0.25">
      <c r="B14" s="49">
        <v>2</v>
      </c>
      <c r="C14" s="49">
        <v>8</v>
      </c>
      <c r="D14" s="49">
        <v>7.4</v>
      </c>
      <c r="E14" s="60">
        <f>AVERAGE(D13:D15)</f>
        <v>6.7333333333333334</v>
      </c>
      <c r="F14" s="60">
        <f t="shared" si="3"/>
        <v>1.0990099009900991</v>
      </c>
      <c r="G14" s="105">
        <v>0.77844362767962083</v>
      </c>
      <c r="H14" s="103">
        <f t="shared" si="0"/>
        <v>9.5061475704513985</v>
      </c>
      <c r="I14" s="255">
        <f t="shared" si="1"/>
        <v>6.2759999999999998</v>
      </c>
      <c r="J14" s="101">
        <f t="shared" si="2"/>
        <v>4.8855122073173005</v>
      </c>
    </row>
    <row r="15" spans="2:10" x14ac:dyDescent="0.25">
      <c r="B15" s="52">
        <v>3</v>
      </c>
      <c r="C15" s="52">
        <v>9</v>
      </c>
      <c r="D15" s="52">
        <v>6</v>
      </c>
      <c r="E15" s="77">
        <f>AVERAGE(D14:D16)</f>
        <v>6.333333333333333</v>
      </c>
      <c r="F15" s="77">
        <f t="shared" si="3"/>
        <v>0.94736842105263164</v>
      </c>
      <c r="G15" s="99">
        <v>0.90831661951255771</v>
      </c>
      <c r="H15" s="100">
        <f t="shared" si="0"/>
        <v>6.6056261342216347</v>
      </c>
      <c r="I15" s="254">
        <f t="shared" si="1"/>
        <v>6.423</v>
      </c>
      <c r="J15" s="101">
        <f t="shared" si="2"/>
        <v>5.8341176471291583</v>
      </c>
    </row>
    <row r="16" spans="2:10" x14ac:dyDescent="0.25">
      <c r="B16" s="49">
        <v>3</v>
      </c>
      <c r="C16" s="49">
        <v>10</v>
      </c>
      <c r="D16" s="49">
        <v>5.6</v>
      </c>
      <c r="E16" s="55">
        <f t="shared" si="5"/>
        <v>6.3666666666666671</v>
      </c>
      <c r="F16" s="55">
        <f t="shared" si="3"/>
        <v>0.87958115183246066</v>
      </c>
      <c r="G16" s="102">
        <v>1.2208585202408884</v>
      </c>
      <c r="H16" s="103">
        <f t="shared" si="0"/>
        <v>4.5869360840395004</v>
      </c>
      <c r="I16" s="255">
        <f t="shared" si="1"/>
        <v>6.5699999999999994</v>
      </c>
      <c r="J16" s="101">
        <f t="shared" si="2"/>
        <v>8.0210404779826359</v>
      </c>
    </row>
    <row r="17" spans="2:10" x14ac:dyDescent="0.25">
      <c r="B17" s="49">
        <v>3</v>
      </c>
      <c r="C17" s="49">
        <v>11</v>
      </c>
      <c r="D17" s="49">
        <v>7.5</v>
      </c>
      <c r="E17" s="55">
        <f t="shared" si="5"/>
        <v>6.9666666666666659</v>
      </c>
      <c r="F17" s="55">
        <f t="shared" si="3"/>
        <v>1.0765550239234452</v>
      </c>
      <c r="G17" s="102">
        <v>1.0572020440142551</v>
      </c>
      <c r="H17" s="103">
        <f t="shared" si="0"/>
        <v>7.0941974076422341</v>
      </c>
      <c r="I17" s="255">
        <f t="shared" si="1"/>
        <v>6.7169999999999996</v>
      </c>
      <c r="J17" s="101">
        <f t="shared" si="2"/>
        <v>7.1012261296437513</v>
      </c>
    </row>
    <row r="18" spans="2:10" x14ac:dyDescent="0.25">
      <c r="B18" s="49">
        <v>3</v>
      </c>
      <c r="C18" s="49">
        <v>12</v>
      </c>
      <c r="D18" s="59">
        <v>7.8</v>
      </c>
      <c r="E18" s="60">
        <f t="shared" si="5"/>
        <v>7.2</v>
      </c>
      <c r="F18" s="60">
        <f t="shared" si="3"/>
        <v>1.0833333333333333</v>
      </c>
      <c r="G18" s="105">
        <v>0.77844362767962083</v>
      </c>
      <c r="H18" s="103">
        <f t="shared" si="0"/>
        <v>10.019993385070393</v>
      </c>
      <c r="I18" s="255">
        <f t="shared" si="1"/>
        <v>6.863999999999999</v>
      </c>
      <c r="J18" s="101">
        <f t="shared" si="2"/>
        <v>5.3432370603929167</v>
      </c>
    </row>
    <row r="19" spans="2:10" x14ac:dyDescent="0.25">
      <c r="B19" s="52">
        <v>4</v>
      </c>
      <c r="C19" s="52">
        <v>13</v>
      </c>
      <c r="D19" s="49">
        <v>6.3</v>
      </c>
      <c r="E19" s="77">
        <f t="shared" si="5"/>
        <v>6.666666666666667</v>
      </c>
      <c r="F19" s="77">
        <f t="shared" si="3"/>
        <v>0.94499999999999995</v>
      </c>
      <c r="G19" s="99">
        <v>0.90831661951255771</v>
      </c>
      <c r="H19" s="100">
        <f t="shared" si="0"/>
        <v>6.9359074409327164</v>
      </c>
      <c r="I19" s="254">
        <f>C19*$C$4+$C$3</f>
        <v>7.0109999999999992</v>
      </c>
      <c r="J19" s="101">
        <f t="shared" si="2"/>
        <v>6.3682078194025413</v>
      </c>
    </row>
    <row r="20" spans="2:10" x14ac:dyDescent="0.25">
      <c r="B20" s="49">
        <v>4</v>
      </c>
      <c r="C20" s="49">
        <v>14</v>
      </c>
      <c r="D20" s="49">
        <v>5.9</v>
      </c>
      <c r="E20" s="55">
        <f t="shared" si="5"/>
        <v>6.7333333333333334</v>
      </c>
      <c r="F20" s="55">
        <f t="shared" si="3"/>
        <v>0.87623762376237624</v>
      </c>
      <c r="G20" s="102">
        <v>1.2208585202408884</v>
      </c>
      <c r="H20" s="103">
        <f t="shared" si="0"/>
        <v>4.8326648028273311</v>
      </c>
      <c r="I20" s="255">
        <f t="shared" si="1"/>
        <v>7.1579999999999995</v>
      </c>
      <c r="J20" s="101">
        <f t="shared" si="2"/>
        <v>8.738905287884279</v>
      </c>
    </row>
    <row r="21" spans="2:10" x14ac:dyDescent="0.25">
      <c r="B21" s="49">
        <v>4</v>
      </c>
      <c r="C21" s="49">
        <v>15</v>
      </c>
      <c r="D21" s="49">
        <v>8</v>
      </c>
      <c r="E21" s="55">
        <f t="shared" si="5"/>
        <v>7.4333333333333336</v>
      </c>
      <c r="F21" s="55">
        <f t="shared" si="3"/>
        <v>1.0762331838565022</v>
      </c>
      <c r="G21" s="102">
        <v>1.0572020440142551</v>
      </c>
      <c r="H21" s="103">
        <f t="shared" si="0"/>
        <v>7.5671439014850499</v>
      </c>
      <c r="I21" s="255">
        <f t="shared" si="1"/>
        <v>7.3049999999999997</v>
      </c>
      <c r="J21" s="101">
        <f t="shared" si="2"/>
        <v>7.7228609315241332</v>
      </c>
    </row>
    <row r="22" spans="2:10" x14ac:dyDescent="0.25">
      <c r="B22" s="49">
        <v>4</v>
      </c>
      <c r="C22" s="49">
        <v>16</v>
      </c>
      <c r="D22" s="49">
        <v>8.4</v>
      </c>
      <c r="E22" s="60">
        <f t="shared" si="5"/>
        <v>8.1999999999999993</v>
      </c>
      <c r="F22" s="60">
        <f t="shared" si="3"/>
        <v>1.024390243902439</v>
      </c>
      <c r="G22" s="105">
        <v>0.77844362767962105</v>
      </c>
      <c r="H22" s="103">
        <f t="shared" si="0"/>
        <v>10.790762106998882</v>
      </c>
      <c r="I22" s="255">
        <f t="shared" si="1"/>
        <v>7.452</v>
      </c>
      <c r="J22" s="101">
        <f t="shared" si="2"/>
        <v>5.8009619134685364</v>
      </c>
    </row>
    <row r="23" spans="2:10" x14ac:dyDescent="0.25">
      <c r="B23" s="52">
        <v>5</v>
      </c>
      <c r="C23" s="52">
        <v>17</v>
      </c>
      <c r="D23" s="52"/>
      <c r="E23" s="77"/>
      <c r="F23" s="77"/>
      <c r="G23" s="99"/>
      <c r="H23" s="100"/>
      <c r="I23" s="254">
        <f t="shared" si="1"/>
        <v>7.5989999999999993</v>
      </c>
      <c r="J23" s="101">
        <f t="shared" si="2"/>
        <v>0</v>
      </c>
    </row>
    <row r="24" spans="2:10" x14ac:dyDescent="0.25">
      <c r="B24" s="49">
        <v>5</v>
      </c>
      <c r="C24" s="49">
        <v>18</v>
      </c>
      <c r="D24" s="49"/>
      <c r="E24" s="55"/>
      <c r="F24" s="55"/>
      <c r="G24" s="102"/>
      <c r="H24" s="103"/>
      <c r="I24" s="255">
        <f t="shared" si="1"/>
        <v>7.7459999999999996</v>
      </c>
      <c r="J24" s="101">
        <f t="shared" si="2"/>
        <v>0</v>
      </c>
    </row>
    <row r="25" spans="2:10" x14ac:dyDescent="0.25">
      <c r="B25" s="49">
        <v>5</v>
      </c>
      <c r="C25" s="49">
        <v>19</v>
      </c>
      <c r="D25" s="49"/>
      <c r="E25" s="55"/>
      <c r="F25" s="55"/>
      <c r="G25" s="102"/>
      <c r="H25" s="103"/>
      <c r="I25" s="255">
        <f t="shared" si="1"/>
        <v>7.8929999999999989</v>
      </c>
      <c r="J25" s="101">
        <f t="shared" si="2"/>
        <v>0</v>
      </c>
    </row>
    <row r="26" spans="2:10" x14ac:dyDescent="0.25">
      <c r="B26" s="49">
        <v>5</v>
      </c>
      <c r="C26" s="49">
        <v>20</v>
      </c>
      <c r="D26" s="59"/>
      <c r="E26" s="60"/>
      <c r="F26" s="60"/>
      <c r="G26" s="105"/>
      <c r="H26" s="103"/>
      <c r="I26" s="257">
        <f t="shared" si="1"/>
        <v>8.0399999999999991</v>
      </c>
      <c r="J26" s="101">
        <f t="shared" si="2"/>
        <v>0</v>
      </c>
    </row>
    <row r="27" spans="2:10" x14ac:dyDescent="0.25">
      <c r="B27" s="52">
        <v>6</v>
      </c>
      <c r="C27" s="52">
        <v>21</v>
      </c>
      <c r="D27" s="49"/>
      <c r="E27" s="77"/>
      <c r="F27" s="77"/>
      <c r="G27" s="99"/>
      <c r="H27" s="100"/>
      <c r="I27" s="254">
        <f t="shared" si="1"/>
        <v>8.1869999999999994</v>
      </c>
      <c r="J27" s="101">
        <f t="shared" si="2"/>
        <v>0</v>
      </c>
    </row>
    <row r="28" spans="2:10" x14ac:dyDescent="0.25">
      <c r="B28" s="49">
        <v>6</v>
      </c>
      <c r="C28" s="49">
        <v>22</v>
      </c>
      <c r="D28" s="49"/>
      <c r="E28" s="55"/>
      <c r="F28" s="55"/>
      <c r="G28" s="102"/>
      <c r="H28" s="103"/>
      <c r="I28" s="255">
        <f t="shared" si="1"/>
        <v>8.3339999999999996</v>
      </c>
      <c r="J28" s="101">
        <f t="shared" si="2"/>
        <v>0</v>
      </c>
    </row>
    <row r="29" spans="2:10" x14ac:dyDescent="0.25">
      <c r="B29" s="49">
        <v>6</v>
      </c>
      <c r="C29" s="49">
        <v>23</v>
      </c>
      <c r="D29" s="49"/>
      <c r="E29" s="55"/>
      <c r="F29" s="55"/>
      <c r="G29" s="102"/>
      <c r="H29" s="103"/>
      <c r="I29" s="255">
        <f t="shared" si="1"/>
        <v>8.4809999999999999</v>
      </c>
      <c r="J29" s="101">
        <f t="shared" si="2"/>
        <v>0</v>
      </c>
    </row>
    <row r="30" spans="2:10" x14ac:dyDescent="0.25">
      <c r="B30" s="49">
        <v>6</v>
      </c>
      <c r="C30" s="49">
        <v>24</v>
      </c>
      <c r="D30" s="49"/>
      <c r="E30" s="60"/>
      <c r="F30" s="60"/>
      <c r="G30" s="105"/>
      <c r="H30" s="103"/>
      <c r="I30" s="255">
        <f t="shared" si="1"/>
        <v>8.6280000000000001</v>
      </c>
      <c r="J30" s="101">
        <f t="shared" si="2"/>
        <v>0</v>
      </c>
    </row>
    <row r="31" spans="2:10" x14ac:dyDescent="0.25">
      <c r="B31" s="52">
        <v>7</v>
      </c>
      <c r="C31" s="52">
        <v>25</v>
      </c>
      <c r="D31" s="52"/>
      <c r="E31" s="77"/>
      <c r="F31" s="77"/>
      <c r="G31" s="99"/>
      <c r="H31" s="100"/>
      <c r="I31" s="256">
        <f t="shared" si="1"/>
        <v>8.7749999999999986</v>
      </c>
      <c r="J31" s="101">
        <f t="shared" si="2"/>
        <v>0</v>
      </c>
    </row>
    <row r="32" spans="2:10" x14ac:dyDescent="0.25">
      <c r="B32" s="49">
        <v>7</v>
      </c>
      <c r="C32" s="49"/>
      <c r="D32" s="49"/>
      <c r="E32" s="55"/>
      <c r="F32" s="55"/>
      <c r="G32" s="102"/>
      <c r="H32" s="103"/>
      <c r="I32" s="55"/>
      <c r="J32" s="101"/>
    </row>
    <row r="33" spans="2:10" x14ac:dyDescent="0.25">
      <c r="B33" s="49">
        <v>7</v>
      </c>
      <c r="C33" s="49"/>
      <c r="D33" s="49"/>
      <c r="E33" s="55"/>
      <c r="F33" s="55"/>
      <c r="G33" s="102"/>
      <c r="H33" s="103"/>
      <c r="I33" s="103"/>
      <c r="J33" s="101"/>
    </row>
    <row r="34" spans="2:10" x14ac:dyDescent="0.25">
      <c r="B34" s="59">
        <v>7</v>
      </c>
      <c r="C34" s="59"/>
      <c r="D34" s="59"/>
      <c r="E34" s="60"/>
      <c r="F34" s="60"/>
      <c r="G34" s="105"/>
      <c r="H34" s="106"/>
      <c r="I34" s="103"/>
      <c r="J34" s="10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9F33-0E9C-4004-B71D-86D71A729A68}">
  <dimension ref="A1:U49"/>
  <sheetViews>
    <sheetView showGridLines="0" topLeftCell="A46" zoomScaleNormal="100" workbookViewId="0">
      <selection activeCell="D40" sqref="D40:D43"/>
    </sheetView>
  </sheetViews>
  <sheetFormatPr baseColWidth="10" defaultColWidth="8.6640625" defaultRowHeight="13.8" x14ac:dyDescent="0.25"/>
  <cols>
    <col min="1" max="4" width="8.6640625" style="122"/>
    <col min="5" max="5" width="3.6640625" style="122" customWidth="1"/>
    <col min="6" max="6" width="11.6640625" style="122" customWidth="1"/>
    <col min="7" max="7" width="11.6640625" style="126" customWidth="1"/>
    <col min="8" max="9" width="8.6640625" style="122"/>
    <col min="10" max="10" width="3.6640625" style="122" customWidth="1"/>
    <col min="11" max="11" width="8.6640625" style="122"/>
    <col min="12" max="12" width="4.6640625" style="122" customWidth="1"/>
    <col min="13" max="14" width="9.33203125" style="122" bestFit="1" customWidth="1"/>
    <col min="15" max="16384" width="8.6640625" style="122"/>
  </cols>
  <sheetData>
    <row r="1" spans="1:21" ht="14.4" thickBot="1" x14ac:dyDescent="0.3">
      <c r="A1" s="121" t="s">
        <v>191</v>
      </c>
      <c r="B1" s="122" t="s">
        <v>192</v>
      </c>
      <c r="I1" s="202"/>
    </row>
    <row r="2" spans="1:21" x14ac:dyDescent="0.25">
      <c r="A2" s="126"/>
      <c r="I2" s="202"/>
    </row>
    <row r="3" spans="1:21" x14ac:dyDescent="0.25">
      <c r="A3" s="134" t="s">
        <v>229</v>
      </c>
      <c r="I3" s="202"/>
    </row>
    <row r="4" spans="1:21" x14ac:dyDescent="0.25">
      <c r="A4" s="134" t="s">
        <v>230</v>
      </c>
      <c r="I4" s="202"/>
    </row>
    <row r="5" spans="1:21" x14ac:dyDescent="0.25">
      <c r="A5" s="134" t="s">
        <v>231</v>
      </c>
      <c r="I5" s="202"/>
    </row>
    <row r="6" spans="1:21" x14ac:dyDescent="0.25">
      <c r="A6" s="134" t="s">
        <v>232</v>
      </c>
      <c r="I6" s="202"/>
    </row>
    <row r="7" spans="1:21" x14ac:dyDescent="0.25">
      <c r="A7" s="134" t="s">
        <v>53</v>
      </c>
      <c r="I7" s="202"/>
    </row>
    <row r="8" spans="1:21" x14ac:dyDescent="0.25">
      <c r="A8" s="134" t="s">
        <v>54</v>
      </c>
      <c r="I8" s="202"/>
    </row>
    <row r="9" spans="1:21" x14ac:dyDescent="0.25">
      <c r="A9" s="134" t="s">
        <v>55</v>
      </c>
      <c r="I9" s="202"/>
    </row>
    <row r="10" spans="1:21" x14ac:dyDescent="0.25">
      <c r="A10" s="134" t="s">
        <v>56</v>
      </c>
      <c r="I10" s="202"/>
    </row>
    <row r="11" spans="1:21" x14ac:dyDescent="0.25">
      <c r="A11" s="134" t="s">
        <v>57</v>
      </c>
      <c r="I11" s="202"/>
    </row>
    <row r="12" spans="1:21" x14ac:dyDescent="0.25">
      <c r="A12" s="126"/>
      <c r="I12" s="202"/>
    </row>
    <row r="13" spans="1:21" x14ac:dyDescent="0.25">
      <c r="A13" s="126"/>
      <c r="I13" s="202"/>
    </row>
    <row r="14" spans="1:21" ht="14.4" thickBot="1" x14ac:dyDescent="0.3">
      <c r="A14" s="126"/>
      <c r="I14" s="202"/>
    </row>
    <row r="15" spans="1:21" s="203" customFormat="1" ht="45.6" customHeight="1" thickBot="1" x14ac:dyDescent="0.3">
      <c r="B15" s="204" t="s">
        <v>42</v>
      </c>
      <c r="C15" s="205" t="s">
        <v>193</v>
      </c>
      <c r="D15" s="206" t="s">
        <v>25</v>
      </c>
      <c r="F15" s="175" t="s">
        <v>194</v>
      </c>
      <c r="G15" s="175" t="s">
        <v>162</v>
      </c>
      <c r="H15" s="207" t="s">
        <v>163</v>
      </c>
      <c r="I15" s="208" t="s">
        <v>195</v>
      </c>
      <c r="K15" s="209" t="s">
        <v>165</v>
      </c>
      <c r="L15" s="210"/>
      <c r="N15" s="325" t="s">
        <v>196</v>
      </c>
      <c r="O15" s="325"/>
      <c r="P15" s="325"/>
      <c r="Q15" s="325"/>
      <c r="R15" s="325"/>
      <c r="S15" s="325"/>
      <c r="T15" s="325"/>
      <c r="U15" s="211"/>
    </row>
    <row r="16" spans="1:21" x14ac:dyDescent="0.25">
      <c r="B16" s="212">
        <v>1</v>
      </c>
      <c r="C16" s="213" t="s">
        <v>197</v>
      </c>
      <c r="D16" s="214">
        <v>9</v>
      </c>
      <c r="F16" s="215"/>
      <c r="G16" s="216"/>
      <c r="H16" s="217"/>
      <c r="I16" s="218">
        <v>0.88687275319440972</v>
      </c>
      <c r="K16" s="167">
        <f>D16/I16</f>
        <v>10.148017252286841</v>
      </c>
      <c r="L16" s="170">
        <v>1</v>
      </c>
    </row>
    <row r="17" spans="2:12" x14ac:dyDescent="0.25">
      <c r="B17" s="219">
        <v>1</v>
      </c>
      <c r="C17" s="220" t="s">
        <v>198</v>
      </c>
      <c r="D17" s="221">
        <v>22.5</v>
      </c>
      <c r="F17" s="222"/>
      <c r="G17" s="167"/>
      <c r="I17" s="223">
        <v>1.3548546181158267</v>
      </c>
      <c r="K17" s="167">
        <f>D17/I17</f>
        <v>16.606947859313767</v>
      </c>
      <c r="L17" s="170">
        <v>2</v>
      </c>
    </row>
    <row r="18" spans="2:12" x14ac:dyDescent="0.25">
      <c r="B18" s="219">
        <v>1</v>
      </c>
      <c r="C18" s="220" t="s">
        <v>199</v>
      </c>
      <c r="D18" s="221">
        <v>12</v>
      </c>
      <c r="F18" s="222">
        <f>(D16+D17+D18+D19)/4</f>
        <v>12.375</v>
      </c>
      <c r="G18" s="167">
        <f>(F18+F19)/2</f>
        <v>13.125</v>
      </c>
      <c r="H18" s="167">
        <f>D18/G18</f>
        <v>0.91428571428571426</v>
      </c>
      <c r="I18" s="224">
        <f>(H18+H22+H26+H30+H34+H38)/6</f>
        <v>1.0717660332358341</v>
      </c>
      <c r="J18" s="225" t="s">
        <v>16</v>
      </c>
      <c r="K18" s="167">
        <f t="shared" ref="K18:K43" si="0">D18/I18</f>
        <v>11.19647350996007</v>
      </c>
      <c r="L18" s="170">
        <v>3</v>
      </c>
    </row>
    <row r="19" spans="2:12" ht="14.4" thickBot="1" x14ac:dyDescent="0.3">
      <c r="B19" s="226">
        <v>1</v>
      </c>
      <c r="C19" s="227" t="s">
        <v>200</v>
      </c>
      <c r="D19" s="228">
        <v>6</v>
      </c>
      <c r="F19" s="229">
        <f>(D17+D18+D19+D20)/4</f>
        <v>13.875</v>
      </c>
      <c r="G19" s="230">
        <f t="shared" ref="G19:G41" si="1">(F19+F20)/2</f>
        <v>14.4375</v>
      </c>
      <c r="H19" s="230">
        <f t="shared" ref="H19:H41" si="2">D19/G19</f>
        <v>0.41558441558441561</v>
      </c>
      <c r="I19" s="231">
        <f>(H19+H23+H27+H31+H35+H39)/6</f>
        <v>0.62291333976102814</v>
      </c>
      <c r="K19" s="167">
        <f t="shared" si="0"/>
        <v>9.6321584673428493</v>
      </c>
      <c r="L19" s="170">
        <v>4</v>
      </c>
    </row>
    <row r="20" spans="2:12" x14ac:dyDescent="0.25">
      <c r="B20" s="212">
        <v>2</v>
      </c>
      <c r="C20" s="213" t="s">
        <v>201</v>
      </c>
      <c r="D20" s="214">
        <v>15</v>
      </c>
      <c r="F20" s="215">
        <f t="shared" ref="F20:F42" si="3">(D18+D19+D20+D21)/4</f>
        <v>15</v>
      </c>
      <c r="G20" s="216">
        <f t="shared" si="1"/>
        <v>16.3125</v>
      </c>
      <c r="H20" s="216">
        <f t="shared" si="2"/>
        <v>0.91954022988505746</v>
      </c>
      <c r="I20" s="232">
        <f>(H20+H24+H28+H32+H36+H40+H44)/6</f>
        <v>0.88687275319440972</v>
      </c>
      <c r="J20" s="233"/>
      <c r="K20" s="167">
        <f t="shared" si="0"/>
        <v>16.913362087144737</v>
      </c>
      <c r="L20" s="170">
        <v>5</v>
      </c>
    </row>
    <row r="21" spans="2:12" x14ac:dyDescent="0.25">
      <c r="B21" s="234">
        <v>2</v>
      </c>
      <c r="C21" s="125" t="s">
        <v>202</v>
      </c>
      <c r="D21" s="235">
        <v>27</v>
      </c>
      <c r="F21" s="222">
        <f t="shared" si="3"/>
        <v>17.625</v>
      </c>
      <c r="G21" s="167">
        <f t="shared" si="1"/>
        <v>18.1875</v>
      </c>
      <c r="H21" s="167">
        <f t="shared" si="2"/>
        <v>1.4845360824742269</v>
      </c>
      <c r="I21" s="224">
        <f>(H21+H25+H29+H33+H37+H41+H45)/6</f>
        <v>1.3548546181158267</v>
      </c>
      <c r="K21" s="167">
        <f t="shared" si="0"/>
        <v>19.928337431176519</v>
      </c>
      <c r="L21" s="170">
        <v>6</v>
      </c>
    </row>
    <row r="22" spans="2:12" x14ac:dyDescent="0.25">
      <c r="B22" s="234">
        <v>2</v>
      </c>
      <c r="C22" s="125" t="s">
        <v>203</v>
      </c>
      <c r="D22" s="235">
        <v>22.5</v>
      </c>
      <c r="F22" s="222">
        <f t="shared" si="3"/>
        <v>18.75</v>
      </c>
      <c r="G22" s="167">
        <f t="shared" si="1"/>
        <v>19.5</v>
      </c>
      <c r="H22" s="167">
        <f t="shared" si="2"/>
        <v>1.1538461538461537</v>
      </c>
      <c r="I22" s="223">
        <v>1.0717660332358341</v>
      </c>
      <c r="K22" s="167">
        <f t="shared" si="0"/>
        <v>20.993387831175131</v>
      </c>
      <c r="L22" s="170">
        <v>7</v>
      </c>
    </row>
    <row r="23" spans="2:12" ht="14.4" thickBot="1" x14ac:dyDescent="0.3">
      <c r="B23" s="236">
        <v>2</v>
      </c>
      <c r="C23" s="237" t="s">
        <v>204</v>
      </c>
      <c r="D23" s="238">
        <v>10.5</v>
      </c>
      <c r="F23" s="229">
        <f t="shared" si="3"/>
        <v>20.25</v>
      </c>
      <c r="G23" s="230">
        <f t="shared" si="1"/>
        <v>22.125</v>
      </c>
      <c r="H23" s="230">
        <f t="shared" si="2"/>
        <v>0.47457627118644069</v>
      </c>
      <c r="I23" s="239">
        <v>0.62291333976102814</v>
      </c>
      <c r="K23" s="167">
        <f t="shared" si="0"/>
        <v>16.856277317849987</v>
      </c>
      <c r="L23" s="170">
        <v>8</v>
      </c>
    </row>
    <row r="24" spans="2:12" x14ac:dyDescent="0.25">
      <c r="B24" s="212">
        <v>3</v>
      </c>
      <c r="C24" s="213" t="s">
        <v>205</v>
      </c>
      <c r="D24" s="214">
        <v>21</v>
      </c>
      <c r="F24" s="215">
        <f t="shared" si="3"/>
        <v>24</v>
      </c>
      <c r="G24" s="216">
        <f t="shared" si="1"/>
        <v>25.5</v>
      </c>
      <c r="H24" s="216">
        <f t="shared" si="2"/>
        <v>0.82352941176470584</v>
      </c>
      <c r="I24" s="218">
        <v>0.88687275319440972</v>
      </c>
      <c r="K24" s="167">
        <f t="shared" si="0"/>
        <v>23.678706922002629</v>
      </c>
      <c r="L24" s="170">
        <v>9</v>
      </c>
    </row>
    <row r="25" spans="2:12" x14ac:dyDescent="0.25">
      <c r="B25" s="234">
        <v>3</v>
      </c>
      <c r="C25" s="125" t="s">
        <v>206</v>
      </c>
      <c r="D25" s="235">
        <v>42</v>
      </c>
      <c r="F25" s="222">
        <f t="shared" si="3"/>
        <v>27</v>
      </c>
      <c r="G25" s="167">
        <f t="shared" si="1"/>
        <v>27.9375</v>
      </c>
      <c r="H25" s="167">
        <f t="shared" si="2"/>
        <v>1.5033557046979866</v>
      </c>
      <c r="I25" s="223">
        <v>1.3548546181158267</v>
      </c>
      <c r="K25" s="167">
        <f t="shared" si="0"/>
        <v>30.999636004052366</v>
      </c>
      <c r="L25" s="170">
        <v>10</v>
      </c>
    </row>
    <row r="26" spans="2:12" x14ac:dyDescent="0.25">
      <c r="B26" s="234">
        <v>3</v>
      </c>
      <c r="C26" s="125" t="s">
        <v>207</v>
      </c>
      <c r="D26" s="235">
        <v>34.5</v>
      </c>
      <c r="F26" s="222">
        <f t="shared" si="3"/>
        <v>28.875</v>
      </c>
      <c r="G26" s="167">
        <f t="shared" si="1"/>
        <v>29.8125</v>
      </c>
      <c r="H26" s="167">
        <f t="shared" si="2"/>
        <v>1.1572327044025157</v>
      </c>
      <c r="I26" s="223">
        <v>1.0717660332358341</v>
      </c>
      <c r="K26" s="167">
        <f t="shared" si="0"/>
        <v>32.189861341135199</v>
      </c>
      <c r="L26" s="170">
        <v>11</v>
      </c>
    </row>
    <row r="27" spans="2:12" ht="14.4" thickBot="1" x14ac:dyDescent="0.3">
      <c r="B27" s="236">
        <v>3</v>
      </c>
      <c r="C27" s="237" t="s">
        <v>208</v>
      </c>
      <c r="D27" s="238">
        <v>18</v>
      </c>
      <c r="F27" s="229">
        <f t="shared" si="3"/>
        <v>30.75</v>
      </c>
      <c r="G27" s="230">
        <f t="shared" si="1"/>
        <v>30.75</v>
      </c>
      <c r="H27" s="230">
        <f t="shared" si="2"/>
        <v>0.58536585365853655</v>
      </c>
      <c r="I27" s="239">
        <v>0.62291333976102814</v>
      </c>
      <c r="K27" s="167">
        <f t="shared" si="0"/>
        <v>28.896475402028546</v>
      </c>
      <c r="L27" s="170">
        <v>12</v>
      </c>
    </row>
    <row r="28" spans="2:12" x14ac:dyDescent="0.25">
      <c r="B28" s="212">
        <v>4</v>
      </c>
      <c r="C28" s="213" t="s">
        <v>209</v>
      </c>
      <c r="D28" s="214">
        <v>28.5</v>
      </c>
      <c r="F28" s="215">
        <f t="shared" si="3"/>
        <v>30.75</v>
      </c>
      <c r="G28" s="216">
        <f t="shared" si="1"/>
        <v>31.125</v>
      </c>
      <c r="H28" s="216">
        <f t="shared" si="2"/>
        <v>0.91566265060240959</v>
      </c>
      <c r="I28" s="218">
        <v>0.88687275319440972</v>
      </c>
      <c r="K28" s="167">
        <f t="shared" si="0"/>
        <v>32.135387965574999</v>
      </c>
      <c r="L28" s="170">
        <v>13</v>
      </c>
    </row>
    <row r="29" spans="2:12" x14ac:dyDescent="0.25">
      <c r="B29" s="234">
        <v>4</v>
      </c>
      <c r="C29" s="125" t="s">
        <v>210</v>
      </c>
      <c r="D29" s="235">
        <v>42</v>
      </c>
      <c r="F29" s="222">
        <f t="shared" si="3"/>
        <v>31.5</v>
      </c>
      <c r="G29" s="167">
        <f t="shared" si="1"/>
        <v>32.875</v>
      </c>
      <c r="H29" s="167">
        <f t="shared" si="2"/>
        <v>1.2775665399239544</v>
      </c>
      <c r="I29" s="223">
        <v>1.3548546181158267</v>
      </c>
      <c r="K29" s="167">
        <f t="shared" si="0"/>
        <v>30.999636004052366</v>
      </c>
      <c r="L29" s="170">
        <v>14</v>
      </c>
    </row>
    <row r="30" spans="2:12" x14ac:dyDescent="0.25">
      <c r="B30" s="234">
        <v>4</v>
      </c>
      <c r="C30" s="125" t="s">
        <v>211</v>
      </c>
      <c r="D30" s="235">
        <v>37.5</v>
      </c>
      <c r="F30" s="222">
        <f t="shared" si="3"/>
        <v>34.25</v>
      </c>
      <c r="G30" s="167">
        <f t="shared" si="1"/>
        <v>34.8125</v>
      </c>
      <c r="H30" s="167">
        <f t="shared" si="2"/>
        <v>1.0771992818671454</v>
      </c>
      <c r="I30" s="223">
        <v>1.0717660332358341</v>
      </c>
      <c r="K30" s="167">
        <f t="shared" si="0"/>
        <v>34.988979718625217</v>
      </c>
      <c r="L30" s="170">
        <v>15</v>
      </c>
    </row>
    <row r="31" spans="2:12" ht="14.4" thickBot="1" x14ac:dyDescent="0.3">
      <c r="B31" s="236">
        <v>4</v>
      </c>
      <c r="C31" s="237" t="s">
        <v>212</v>
      </c>
      <c r="D31" s="238">
        <v>29</v>
      </c>
      <c r="F31" s="229">
        <f t="shared" si="3"/>
        <v>35.375</v>
      </c>
      <c r="G31" s="230">
        <f t="shared" si="1"/>
        <v>36.5</v>
      </c>
      <c r="H31" s="230">
        <f t="shared" si="2"/>
        <v>0.79452054794520544</v>
      </c>
      <c r="I31" s="239">
        <v>0.62291333976102814</v>
      </c>
      <c r="K31" s="167">
        <f t="shared" si="0"/>
        <v>46.555432592157103</v>
      </c>
      <c r="L31" s="170">
        <v>16</v>
      </c>
    </row>
    <row r="32" spans="2:12" x14ac:dyDescent="0.25">
      <c r="B32" s="212">
        <v>5</v>
      </c>
      <c r="C32" s="213" t="s">
        <v>213</v>
      </c>
      <c r="D32" s="214">
        <v>33</v>
      </c>
      <c r="F32" s="215">
        <f t="shared" si="3"/>
        <v>37.625</v>
      </c>
      <c r="G32" s="216">
        <f t="shared" si="1"/>
        <v>38.1875</v>
      </c>
      <c r="H32" s="216">
        <f t="shared" si="2"/>
        <v>0.86415711947626839</v>
      </c>
      <c r="I32" s="218">
        <v>0.88687275319440972</v>
      </c>
      <c r="K32" s="167">
        <f t="shared" si="0"/>
        <v>37.209396591718416</v>
      </c>
      <c r="L32" s="170">
        <v>17</v>
      </c>
    </row>
    <row r="33" spans="2:15" x14ac:dyDescent="0.25">
      <c r="B33" s="234">
        <v>5</v>
      </c>
      <c r="C33" s="125" t="s">
        <v>214</v>
      </c>
      <c r="D33" s="235">
        <v>51</v>
      </c>
      <c r="F33" s="222">
        <f t="shared" si="3"/>
        <v>38.75</v>
      </c>
      <c r="G33" s="167">
        <f t="shared" si="1"/>
        <v>39.0625</v>
      </c>
      <c r="H33" s="167">
        <f t="shared" si="2"/>
        <v>1.3056000000000001</v>
      </c>
      <c r="I33" s="223">
        <v>1.3548546181158267</v>
      </c>
      <c r="K33" s="167">
        <f t="shared" si="0"/>
        <v>37.642415147777868</v>
      </c>
      <c r="L33" s="170">
        <v>18</v>
      </c>
    </row>
    <row r="34" spans="2:15" x14ac:dyDescent="0.25">
      <c r="B34" s="234">
        <v>5</v>
      </c>
      <c r="C34" s="125" t="s">
        <v>215</v>
      </c>
      <c r="D34" s="235">
        <v>42</v>
      </c>
      <c r="F34" s="222">
        <f t="shared" si="3"/>
        <v>39.375</v>
      </c>
      <c r="G34" s="167">
        <f t="shared" si="1"/>
        <v>39.75</v>
      </c>
      <c r="H34" s="167">
        <f t="shared" si="2"/>
        <v>1.0566037735849056</v>
      </c>
      <c r="I34" s="223">
        <v>1.0717660332358341</v>
      </c>
      <c r="K34" s="167">
        <f t="shared" si="0"/>
        <v>39.187657284860244</v>
      </c>
      <c r="L34" s="170">
        <v>19</v>
      </c>
    </row>
    <row r="35" spans="2:15" ht="14.4" thickBot="1" x14ac:dyDescent="0.3">
      <c r="B35" s="236">
        <v>5</v>
      </c>
      <c r="C35" s="237" t="s">
        <v>216</v>
      </c>
      <c r="D35" s="238">
        <v>31.5</v>
      </c>
      <c r="F35" s="229">
        <f t="shared" si="3"/>
        <v>40.125</v>
      </c>
      <c r="G35" s="230">
        <f t="shared" si="1"/>
        <v>40.5</v>
      </c>
      <c r="H35" s="230">
        <f t="shared" si="2"/>
        <v>0.77777777777777779</v>
      </c>
      <c r="I35" s="239">
        <v>0.62291333976102814</v>
      </c>
      <c r="K35" s="167">
        <f t="shared" si="0"/>
        <v>50.568831953549953</v>
      </c>
      <c r="L35" s="170">
        <v>20</v>
      </c>
    </row>
    <row r="36" spans="2:15" x14ac:dyDescent="0.25">
      <c r="B36" s="212">
        <v>6</v>
      </c>
      <c r="C36" s="213" t="s">
        <v>217</v>
      </c>
      <c r="D36" s="214">
        <v>36</v>
      </c>
      <c r="F36" s="215">
        <f t="shared" si="3"/>
        <v>40.875</v>
      </c>
      <c r="G36" s="216">
        <f t="shared" si="1"/>
        <v>41.25</v>
      </c>
      <c r="H36" s="216">
        <f t="shared" si="2"/>
        <v>0.87272727272727268</v>
      </c>
      <c r="I36" s="218">
        <v>0.88687275319440972</v>
      </c>
      <c r="K36" s="167">
        <f t="shared" si="0"/>
        <v>40.592069009147366</v>
      </c>
      <c r="L36" s="170">
        <v>21</v>
      </c>
    </row>
    <row r="37" spans="2:15" x14ac:dyDescent="0.25">
      <c r="B37" s="234">
        <v>6</v>
      </c>
      <c r="C37" s="125" t="s">
        <v>218</v>
      </c>
      <c r="D37" s="235">
        <v>54</v>
      </c>
      <c r="F37" s="222">
        <f t="shared" si="3"/>
        <v>41.625</v>
      </c>
      <c r="G37" s="167">
        <f t="shared" si="1"/>
        <v>41.4375</v>
      </c>
      <c r="H37" s="167">
        <f t="shared" si="2"/>
        <v>1.3031674208144797</v>
      </c>
      <c r="I37" s="223">
        <v>1.3548546181158267</v>
      </c>
      <c r="K37" s="167">
        <f t="shared" si="0"/>
        <v>39.856674862353039</v>
      </c>
      <c r="L37" s="170">
        <v>22</v>
      </c>
    </row>
    <row r="38" spans="2:15" x14ac:dyDescent="0.25">
      <c r="B38" s="234">
        <v>6</v>
      </c>
      <c r="C38" s="125" t="s">
        <v>219</v>
      </c>
      <c r="D38" s="235">
        <v>45</v>
      </c>
      <c r="F38" s="222">
        <f t="shared" si="3"/>
        <v>41.25</v>
      </c>
      <c r="G38" s="167">
        <f t="shared" si="1"/>
        <v>42</v>
      </c>
      <c r="H38" s="167">
        <f t="shared" si="2"/>
        <v>1.0714285714285714</v>
      </c>
      <c r="I38" s="223">
        <v>1.0717660332358341</v>
      </c>
      <c r="K38" s="167">
        <f t="shared" si="0"/>
        <v>41.986775662350261</v>
      </c>
      <c r="L38" s="170">
        <v>23</v>
      </c>
    </row>
    <row r="39" spans="2:15" ht="14.4" thickBot="1" x14ac:dyDescent="0.3">
      <c r="B39" s="236">
        <v>6</v>
      </c>
      <c r="C39" s="237" t="s">
        <v>220</v>
      </c>
      <c r="D39" s="238">
        <v>30</v>
      </c>
      <c r="F39" s="229">
        <f t="shared" si="3"/>
        <v>42.75</v>
      </c>
      <c r="G39" s="230">
        <f t="shared" si="1"/>
        <v>43.5</v>
      </c>
      <c r="H39" s="230">
        <f t="shared" si="2"/>
        <v>0.68965517241379315</v>
      </c>
      <c r="I39" s="239">
        <v>0.62291333976102814</v>
      </c>
      <c r="K39" s="167">
        <f t="shared" si="0"/>
        <v>48.160792336714245</v>
      </c>
      <c r="L39" s="170">
        <v>24</v>
      </c>
    </row>
    <row r="40" spans="2:15" x14ac:dyDescent="0.25">
      <c r="B40" s="212">
        <v>7</v>
      </c>
      <c r="C40" s="213" t="s">
        <v>221</v>
      </c>
      <c r="D40" s="214">
        <v>42</v>
      </c>
      <c r="F40" s="215">
        <f t="shared" si="3"/>
        <v>44.25</v>
      </c>
      <c r="G40" s="216">
        <f t="shared" si="1"/>
        <v>45.375</v>
      </c>
      <c r="H40" s="216">
        <f t="shared" si="2"/>
        <v>0.92561983471074383</v>
      </c>
      <c r="I40" s="218">
        <v>0.88687275319440972</v>
      </c>
      <c r="K40" s="167">
        <f t="shared" si="0"/>
        <v>47.357413844005258</v>
      </c>
      <c r="L40" s="170">
        <v>25</v>
      </c>
    </row>
    <row r="41" spans="2:15" x14ac:dyDescent="0.25">
      <c r="B41" s="234">
        <v>7</v>
      </c>
      <c r="C41" s="125" t="s">
        <v>222</v>
      </c>
      <c r="D41" s="235">
        <v>60</v>
      </c>
      <c r="F41" s="222">
        <f t="shared" si="3"/>
        <v>46.5</v>
      </c>
      <c r="G41" s="167">
        <f t="shared" si="1"/>
        <v>47.8125</v>
      </c>
      <c r="H41" s="167">
        <f t="shared" si="2"/>
        <v>1.2549019607843137</v>
      </c>
      <c r="I41" s="223">
        <v>1.3548546181158267</v>
      </c>
      <c r="K41" s="167">
        <f t="shared" si="0"/>
        <v>44.28519429150338</v>
      </c>
      <c r="L41" s="170">
        <v>26</v>
      </c>
    </row>
    <row r="42" spans="2:15" x14ac:dyDescent="0.25">
      <c r="B42" s="234">
        <v>7</v>
      </c>
      <c r="C42" s="125" t="s">
        <v>223</v>
      </c>
      <c r="D42" s="235">
        <v>54</v>
      </c>
      <c r="F42" s="222">
        <f t="shared" si="3"/>
        <v>49.125</v>
      </c>
      <c r="G42" s="167"/>
      <c r="H42" s="167"/>
      <c r="I42" s="223">
        <v>1.0717660332358341</v>
      </c>
      <c r="K42" s="167">
        <f t="shared" si="0"/>
        <v>50.384130794820315</v>
      </c>
      <c r="L42" s="170">
        <v>27</v>
      </c>
      <c r="M42" s="173" t="s">
        <v>60</v>
      </c>
      <c r="N42" s="180" t="s">
        <v>87</v>
      </c>
      <c r="O42" s="180"/>
    </row>
    <row r="43" spans="2:15" ht="14.4" thickBot="1" x14ac:dyDescent="0.3">
      <c r="B43" s="236">
        <v>7</v>
      </c>
      <c r="C43" s="237" t="s">
        <v>224</v>
      </c>
      <c r="D43" s="238">
        <v>40.5</v>
      </c>
      <c r="F43" s="240"/>
      <c r="G43" s="241"/>
      <c r="H43" s="241"/>
      <c r="I43" s="239">
        <v>0.62291333976102814</v>
      </c>
      <c r="K43" s="167">
        <f t="shared" si="0"/>
        <v>65.017069654564224</v>
      </c>
      <c r="L43" s="170">
        <v>28</v>
      </c>
      <c r="M43" s="122">
        <f>O43+(O44*L43)</f>
        <v>54.965600000000002</v>
      </c>
      <c r="N43" s="180" t="s">
        <v>89</v>
      </c>
      <c r="O43" s="180">
        <v>9.4795999999999996</v>
      </c>
    </row>
    <row r="44" spans="2:15" x14ac:dyDescent="0.25">
      <c r="F44" s="242"/>
      <c r="G44" s="242"/>
      <c r="K44" s="243"/>
      <c r="L44" s="243"/>
      <c r="N44" s="180" t="s">
        <v>91</v>
      </c>
      <c r="O44" s="180">
        <v>1.6245000000000001</v>
      </c>
    </row>
    <row r="45" spans="2:15" x14ac:dyDescent="0.25">
      <c r="F45" s="244"/>
    </row>
    <row r="46" spans="2:15" x14ac:dyDescent="0.25">
      <c r="I46" s="130" t="s">
        <v>225</v>
      </c>
      <c r="J46" s="130">
        <v>29</v>
      </c>
      <c r="K46" s="178">
        <f>$O$43+($O$44*J46)</f>
        <v>56.5901</v>
      </c>
      <c r="L46" s="245" t="s">
        <v>68</v>
      </c>
      <c r="M46" s="131">
        <v>0.88687275319440972</v>
      </c>
      <c r="N46" s="178">
        <f>K46*M46</f>
        <v>50.188217790546965</v>
      </c>
      <c r="O46" s="225" t="s">
        <v>61</v>
      </c>
    </row>
    <row r="47" spans="2:15" x14ac:dyDescent="0.25">
      <c r="I47" s="130" t="s">
        <v>226</v>
      </c>
      <c r="J47" s="130">
        <v>30</v>
      </c>
      <c r="K47" s="178">
        <f t="shared" ref="K47:K49" si="4">$O$43+($O$44*J47)</f>
        <v>58.214599999999997</v>
      </c>
      <c r="M47" s="131">
        <v>1.3548546181158267</v>
      </c>
      <c r="N47" s="178">
        <f t="shared" ref="N47:N49" si="5">K47*M47</f>
        <v>78.872319651765608</v>
      </c>
    </row>
    <row r="48" spans="2:15" x14ac:dyDescent="0.25">
      <c r="I48" s="130" t="s">
        <v>227</v>
      </c>
      <c r="J48" s="130">
        <v>31</v>
      </c>
      <c r="K48" s="178">
        <f t="shared" si="4"/>
        <v>59.839100000000002</v>
      </c>
      <c r="M48" s="131">
        <v>1.0717660332358341</v>
      </c>
      <c r="N48" s="178">
        <f t="shared" si="5"/>
        <v>64.133514839402395</v>
      </c>
    </row>
    <row r="49" spans="9:14" x14ac:dyDescent="0.25">
      <c r="I49" s="130" t="s">
        <v>228</v>
      </c>
      <c r="J49" s="130">
        <v>32</v>
      </c>
      <c r="K49" s="178">
        <f t="shared" si="4"/>
        <v>61.4636</v>
      </c>
      <c r="M49" s="131">
        <v>0.62291333976102814</v>
      </c>
      <c r="N49" s="178">
        <f t="shared" si="5"/>
        <v>38.286496349735927</v>
      </c>
    </row>
  </sheetData>
  <mergeCells count="1">
    <mergeCell ref="N15:T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878D-4062-4678-BB64-3AD6BF93BC0B}">
  <dimension ref="A1:O114"/>
  <sheetViews>
    <sheetView showGridLines="0" topLeftCell="A26" zoomScaleNormal="100" workbookViewId="0">
      <selection activeCell="N65" sqref="N65"/>
    </sheetView>
  </sheetViews>
  <sheetFormatPr baseColWidth="10" defaultRowHeight="13.2" x14ac:dyDescent="0.25"/>
  <cols>
    <col min="4" max="4" width="6.33203125" customWidth="1"/>
  </cols>
  <sheetData>
    <row r="1" spans="1:15" ht="13.8" x14ac:dyDescent="0.25">
      <c r="A1" s="201" t="s">
        <v>174</v>
      </c>
    </row>
    <row r="3" spans="1:15" x14ac:dyDescent="0.25">
      <c r="A3" t="s">
        <v>175</v>
      </c>
    </row>
    <row r="4" spans="1:15" x14ac:dyDescent="0.25">
      <c r="A4" t="s">
        <v>168</v>
      </c>
    </row>
    <row r="5" spans="1:15" x14ac:dyDescent="0.25">
      <c r="A5" t="s">
        <v>169</v>
      </c>
    </row>
    <row r="6" spans="1:15" x14ac:dyDescent="0.25">
      <c r="A6" t="s">
        <v>176</v>
      </c>
    </row>
    <row r="7" spans="1:15" x14ac:dyDescent="0.25">
      <c r="A7" t="s">
        <v>171</v>
      </c>
    </row>
    <row r="8" spans="1:15" x14ac:dyDescent="0.25">
      <c r="A8" t="s">
        <v>172</v>
      </c>
    </row>
    <row r="9" spans="1:15" x14ac:dyDescent="0.25">
      <c r="A9" t="s">
        <v>177</v>
      </c>
    </row>
    <row r="10" spans="1:15" x14ac:dyDescent="0.25">
      <c r="A10" s="183"/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</row>
    <row r="11" spans="1:15" x14ac:dyDescent="0.25">
      <c r="A11" t="s">
        <v>178</v>
      </c>
    </row>
    <row r="12" spans="1:15" x14ac:dyDescent="0.25">
      <c r="A12" s="183"/>
      <c r="B12" s="183"/>
      <c r="C12" s="183"/>
      <c r="D12" s="183"/>
      <c r="E12" s="183"/>
      <c r="I12" t="s">
        <v>179</v>
      </c>
    </row>
    <row r="13" spans="1:15" ht="39.6" x14ac:dyDescent="0.25">
      <c r="A13" s="184" t="s">
        <v>180</v>
      </c>
      <c r="B13" s="184" t="s">
        <v>181</v>
      </c>
      <c r="C13" s="185" t="s">
        <v>25</v>
      </c>
      <c r="D13" s="186" t="s">
        <v>182</v>
      </c>
      <c r="E13" s="186" t="s">
        <v>183</v>
      </c>
      <c r="F13" s="186" t="s">
        <v>184</v>
      </c>
      <c r="G13" s="186" t="s">
        <v>185</v>
      </c>
      <c r="H13" s="186" t="s">
        <v>186</v>
      </c>
      <c r="I13" s="186" t="s">
        <v>187</v>
      </c>
      <c r="J13" s="186" t="s">
        <v>188</v>
      </c>
      <c r="O13" t="s">
        <v>179</v>
      </c>
    </row>
    <row r="14" spans="1:15" x14ac:dyDescent="0.25">
      <c r="A14" s="187">
        <v>1</v>
      </c>
      <c r="B14" s="187">
        <v>1</v>
      </c>
      <c r="C14" s="188">
        <v>349.17</v>
      </c>
      <c r="D14" s="189"/>
      <c r="E14" s="189"/>
      <c r="F14" s="189"/>
      <c r="G14" s="189"/>
      <c r="H14" s="189"/>
      <c r="I14" s="189">
        <f>2.0395*B14+298.49</f>
        <v>300.52949999999998</v>
      </c>
      <c r="J14" s="189"/>
    </row>
    <row r="15" spans="1:15" x14ac:dyDescent="0.25">
      <c r="A15" s="187">
        <v>1</v>
      </c>
      <c r="B15" s="187">
        <v>2</v>
      </c>
      <c r="C15" s="188">
        <v>339.07</v>
      </c>
      <c r="D15" s="189"/>
      <c r="E15" s="189"/>
      <c r="F15" s="190"/>
      <c r="G15" s="190"/>
      <c r="H15" s="189"/>
      <c r="I15" s="189">
        <f>2.0395*B15+298.49</f>
        <v>302.56900000000002</v>
      </c>
      <c r="J15" s="189"/>
    </row>
    <row r="16" spans="1:15" x14ac:dyDescent="0.25">
      <c r="A16" s="187">
        <v>1</v>
      </c>
      <c r="B16" s="187">
        <v>3</v>
      </c>
      <c r="C16" s="188">
        <v>334.74</v>
      </c>
      <c r="D16" s="191">
        <f t="shared" ref="D16:D48" si="0">AVERAGE(C14:C17)</f>
        <v>319.95</v>
      </c>
      <c r="E16" s="192">
        <f t="shared" ref="E16:E47" si="1">AVERAGE(D16:D17)</f>
        <v>309.48874999999998</v>
      </c>
      <c r="F16" s="193">
        <f t="shared" ref="F16:F47" si="2">C16/E16</f>
        <v>1.0815902031980162</v>
      </c>
      <c r="G16" s="194">
        <f>AVERAGE(F16,F20,F24)</f>
        <v>1.0758417469437545</v>
      </c>
      <c r="H16" s="195">
        <f t="shared" ref="H16:H47" si="3">C16/F16</f>
        <v>309.48874999999998</v>
      </c>
      <c r="I16" s="189">
        <f t="shared" ref="I16:I62" si="4">2.0395*B16+298.49</f>
        <v>304.60849999999999</v>
      </c>
      <c r="J16" s="191">
        <f t="shared" ref="J16:J47" si="5">C16-E16</f>
        <v>25.251250000000027</v>
      </c>
    </row>
    <row r="17" spans="1:10" x14ac:dyDescent="0.25">
      <c r="A17" s="187">
        <v>1</v>
      </c>
      <c r="B17" s="187">
        <v>4</v>
      </c>
      <c r="C17" s="188">
        <v>256.82</v>
      </c>
      <c r="D17" s="191">
        <f t="shared" si="0"/>
        <v>299.02749999999997</v>
      </c>
      <c r="E17" s="192">
        <f t="shared" si="1"/>
        <v>281.89374999999995</v>
      </c>
      <c r="F17" s="193">
        <f t="shared" si="2"/>
        <v>0.91105247987938731</v>
      </c>
      <c r="G17" s="194">
        <f t="shared" ref="G17:G39" si="6">AVERAGE(F17,F21,F25)</f>
        <v>1.114217306789298</v>
      </c>
      <c r="H17" s="195">
        <f t="shared" si="3"/>
        <v>281.89374999999995</v>
      </c>
      <c r="I17" s="189">
        <f t="shared" si="4"/>
        <v>306.64800000000002</v>
      </c>
      <c r="J17" s="191">
        <f t="shared" si="5"/>
        <v>-25.073749999999961</v>
      </c>
    </row>
    <row r="18" spans="1:10" x14ac:dyDescent="0.25">
      <c r="A18" s="187">
        <v>1</v>
      </c>
      <c r="B18" s="187">
        <v>5</v>
      </c>
      <c r="C18" s="188">
        <v>265.48</v>
      </c>
      <c r="D18" s="191">
        <f t="shared" si="0"/>
        <v>264.76</v>
      </c>
      <c r="E18" s="192">
        <f t="shared" si="1"/>
        <v>265.33875</v>
      </c>
      <c r="F18" s="193">
        <f t="shared" si="2"/>
        <v>1.0005323383787705</v>
      </c>
      <c r="G18" s="194">
        <f t="shared" si="6"/>
        <v>0.92896488194361249</v>
      </c>
      <c r="H18" s="195">
        <f t="shared" si="3"/>
        <v>265.33875</v>
      </c>
      <c r="I18" s="189">
        <f t="shared" si="4"/>
        <v>308.6875</v>
      </c>
      <c r="J18" s="191">
        <f t="shared" si="5"/>
        <v>0.14125000000001364</v>
      </c>
    </row>
    <row r="19" spans="1:10" x14ac:dyDescent="0.25">
      <c r="A19" s="187">
        <v>1</v>
      </c>
      <c r="B19" s="187">
        <v>6</v>
      </c>
      <c r="C19" s="188">
        <v>202</v>
      </c>
      <c r="D19" s="191">
        <f t="shared" si="0"/>
        <v>265.91750000000002</v>
      </c>
      <c r="E19" s="192">
        <f t="shared" si="1"/>
        <v>278.28500000000003</v>
      </c>
      <c r="F19" s="193">
        <f t="shared" si="2"/>
        <v>0.72587455306610127</v>
      </c>
      <c r="G19" s="194">
        <f t="shared" si="6"/>
        <v>0.85921353349423502</v>
      </c>
      <c r="H19" s="195">
        <f t="shared" si="3"/>
        <v>278.28500000000003</v>
      </c>
      <c r="I19" s="189">
        <f t="shared" si="4"/>
        <v>310.72700000000003</v>
      </c>
      <c r="J19" s="191">
        <f t="shared" si="5"/>
        <v>-76.285000000000025</v>
      </c>
    </row>
    <row r="20" spans="1:10" x14ac:dyDescent="0.25">
      <c r="A20" s="187">
        <v>1</v>
      </c>
      <c r="B20" s="187">
        <v>7</v>
      </c>
      <c r="C20" s="188">
        <v>339.37</v>
      </c>
      <c r="D20" s="191">
        <f t="shared" si="0"/>
        <v>290.65250000000003</v>
      </c>
      <c r="E20" s="192">
        <f t="shared" si="1"/>
        <v>289.64875000000001</v>
      </c>
      <c r="F20" s="193">
        <f t="shared" si="2"/>
        <v>1.171660502591501</v>
      </c>
      <c r="G20" s="194">
        <f t="shared" si="6"/>
        <v>1.0788149807845413</v>
      </c>
      <c r="H20" s="195">
        <f t="shared" si="3"/>
        <v>289.64875000000001</v>
      </c>
      <c r="I20" s="189">
        <f t="shared" si="4"/>
        <v>312.76650000000001</v>
      </c>
      <c r="J20" s="191">
        <f t="shared" si="5"/>
        <v>49.721249999999998</v>
      </c>
    </row>
    <row r="21" spans="1:10" x14ac:dyDescent="0.25">
      <c r="A21" s="187">
        <v>1</v>
      </c>
      <c r="B21" s="187">
        <v>8</v>
      </c>
      <c r="C21" s="188">
        <v>355.76</v>
      </c>
      <c r="D21" s="191">
        <f t="shared" si="0"/>
        <v>288.64499999999998</v>
      </c>
      <c r="E21" s="192">
        <f t="shared" si="1"/>
        <v>301.42750000000001</v>
      </c>
      <c r="F21" s="193">
        <f t="shared" si="2"/>
        <v>1.1802506407013293</v>
      </c>
      <c r="G21" s="194">
        <f t="shared" si="6"/>
        <v>1.1218889342965008</v>
      </c>
      <c r="H21" s="195">
        <f t="shared" si="3"/>
        <v>301.42750000000001</v>
      </c>
      <c r="I21" s="189">
        <f t="shared" si="4"/>
        <v>314.80599999999998</v>
      </c>
      <c r="J21" s="191">
        <f t="shared" si="5"/>
        <v>54.332499999999982</v>
      </c>
    </row>
    <row r="22" spans="1:10" x14ac:dyDescent="0.25">
      <c r="A22" s="187">
        <v>1</v>
      </c>
      <c r="B22" s="187">
        <v>9</v>
      </c>
      <c r="C22" s="188">
        <v>257.45</v>
      </c>
      <c r="D22" s="191">
        <f t="shared" si="0"/>
        <v>314.20999999999998</v>
      </c>
      <c r="E22" s="192">
        <f t="shared" si="1"/>
        <v>316.25874999999996</v>
      </c>
      <c r="F22" s="193">
        <f t="shared" si="2"/>
        <v>0.8140486231606241</v>
      </c>
      <c r="G22" s="194">
        <f>AVERAGE(F22,F26,F30)</f>
        <v>0.92291947090755055</v>
      </c>
      <c r="H22" s="195">
        <f t="shared" si="3"/>
        <v>316.25874999999996</v>
      </c>
      <c r="I22" s="189">
        <f t="shared" si="4"/>
        <v>316.84550000000002</v>
      </c>
      <c r="J22" s="191">
        <f t="shared" si="5"/>
        <v>-58.808749999999975</v>
      </c>
    </row>
    <row r="23" spans="1:10" x14ac:dyDescent="0.25">
      <c r="A23" s="187">
        <v>1</v>
      </c>
      <c r="B23" s="187">
        <v>10</v>
      </c>
      <c r="C23" s="188">
        <v>304.26</v>
      </c>
      <c r="D23" s="191">
        <f t="shared" si="0"/>
        <v>318.3075</v>
      </c>
      <c r="E23" s="192">
        <f t="shared" si="1"/>
        <v>334.10500000000002</v>
      </c>
      <c r="F23" s="193">
        <f t="shared" si="2"/>
        <v>0.91067179479504934</v>
      </c>
      <c r="G23" s="194">
        <f t="shared" si="6"/>
        <v>0.85842214411259643</v>
      </c>
      <c r="H23" s="195">
        <f t="shared" si="3"/>
        <v>334.10500000000002</v>
      </c>
      <c r="I23" s="189">
        <f t="shared" si="4"/>
        <v>318.88499999999999</v>
      </c>
      <c r="J23" s="191">
        <f t="shared" si="5"/>
        <v>-29.845000000000027</v>
      </c>
    </row>
    <row r="24" spans="1:10" x14ac:dyDescent="0.25">
      <c r="A24" s="187">
        <v>1</v>
      </c>
      <c r="B24" s="187">
        <v>11</v>
      </c>
      <c r="C24" s="188">
        <v>355.76</v>
      </c>
      <c r="D24" s="191">
        <f t="shared" si="0"/>
        <v>349.90250000000003</v>
      </c>
      <c r="E24" s="192">
        <f t="shared" si="1"/>
        <v>365.15375</v>
      </c>
      <c r="F24" s="193">
        <f t="shared" si="2"/>
        <v>0.9742745350417461</v>
      </c>
      <c r="G24" s="194">
        <f t="shared" si="6"/>
        <v>1.0829770859086851</v>
      </c>
      <c r="H24" s="195">
        <f t="shared" si="3"/>
        <v>365.15375</v>
      </c>
      <c r="I24" s="189">
        <f t="shared" si="4"/>
        <v>320.92450000000002</v>
      </c>
      <c r="J24" s="191">
        <f t="shared" si="5"/>
        <v>-9.3937500000000114</v>
      </c>
    </row>
    <row r="25" spans="1:10" x14ac:dyDescent="0.25">
      <c r="A25" s="187">
        <v>1</v>
      </c>
      <c r="B25" s="187">
        <v>12</v>
      </c>
      <c r="C25" s="188">
        <v>482.14</v>
      </c>
      <c r="D25" s="191">
        <f t="shared" si="0"/>
        <v>380.40499999999997</v>
      </c>
      <c r="E25" s="192">
        <f t="shared" si="1"/>
        <v>385.29624999999999</v>
      </c>
      <c r="F25" s="193">
        <f t="shared" si="2"/>
        <v>1.2513487997871768</v>
      </c>
      <c r="G25" s="194">
        <f t="shared" si="6"/>
        <v>1.1181192394041646</v>
      </c>
      <c r="H25" s="195">
        <f t="shared" si="3"/>
        <v>385.29624999999999</v>
      </c>
      <c r="I25" s="189">
        <f t="shared" si="4"/>
        <v>322.964</v>
      </c>
      <c r="J25" s="191">
        <f t="shared" si="5"/>
        <v>96.84375</v>
      </c>
    </row>
    <row r="26" spans="1:10" x14ac:dyDescent="0.25">
      <c r="A26" s="187">
        <v>2</v>
      </c>
      <c r="B26" s="187">
        <v>13</v>
      </c>
      <c r="C26" s="188">
        <v>379.46</v>
      </c>
      <c r="D26" s="191">
        <f t="shared" si="0"/>
        <v>390.1875</v>
      </c>
      <c r="E26" s="192">
        <f t="shared" si="1"/>
        <v>390.26499999999999</v>
      </c>
      <c r="F26" s="193">
        <f t="shared" si="2"/>
        <v>0.97231368429144294</v>
      </c>
      <c r="G26" s="194">
        <f>AVERAGE(F26,F30,F34)</f>
        <v>0.93446906641421978</v>
      </c>
      <c r="H26" s="195">
        <f t="shared" si="3"/>
        <v>390.26499999999999</v>
      </c>
      <c r="I26" s="189">
        <f t="shared" si="4"/>
        <v>325.00350000000003</v>
      </c>
      <c r="J26" s="191">
        <f t="shared" si="5"/>
        <v>-10.805000000000007</v>
      </c>
    </row>
    <row r="27" spans="1:10" x14ac:dyDescent="0.25">
      <c r="A27" s="187">
        <v>2</v>
      </c>
      <c r="B27" s="187">
        <v>14</v>
      </c>
      <c r="C27" s="188">
        <v>343.39</v>
      </c>
      <c r="D27" s="191">
        <f t="shared" si="0"/>
        <v>390.34249999999997</v>
      </c>
      <c r="E27" s="192">
        <f t="shared" si="1"/>
        <v>364.88374999999996</v>
      </c>
      <c r="F27" s="193">
        <f t="shared" si="2"/>
        <v>0.94109425262155422</v>
      </c>
      <c r="G27" s="194">
        <f t="shared" si="6"/>
        <v>0.83693479174674967</v>
      </c>
      <c r="H27" s="195">
        <f t="shared" si="3"/>
        <v>364.88374999999996</v>
      </c>
      <c r="I27" s="189">
        <f t="shared" si="4"/>
        <v>327.04300000000001</v>
      </c>
      <c r="J27" s="191">
        <f t="shared" si="5"/>
        <v>-21.493749999999977</v>
      </c>
    </row>
    <row r="28" spans="1:10" x14ac:dyDescent="0.25">
      <c r="A28" s="187">
        <v>2</v>
      </c>
      <c r="B28" s="187">
        <v>15</v>
      </c>
      <c r="C28" s="188">
        <v>356.38</v>
      </c>
      <c r="D28" s="191">
        <f t="shared" si="0"/>
        <v>339.42500000000001</v>
      </c>
      <c r="E28" s="191">
        <f t="shared" si="1"/>
        <v>326.80124999999998</v>
      </c>
      <c r="F28" s="196">
        <f t="shared" si="2"/>
        <v>1.0905099047203768</v>
      </c>
      <c r="G28" s="194">
        <f t="shared" si="6"/>
        <v>1.0881337404769529</v>
      </c>
      <c r="H28" s="195">
        <f t="shared" si="3"/>
        <v>326.80124999999998</v>
      </c>
      <c r="I28" s="189">
        <f t="shared" si="4"/>
        <v>329.08249999999998</v>
      </c>
      <c r="J28" s="191">
        <f t="shared" si="5"/>
        <v>29.578750000000014</v>
      </c>
    </row>
    <row r="29" spans="1:10" x14ac:dyDescent="0.25">
      <c r="A29" s="187">
        <v>2</v>
      </c>
      <c r="B29" s="187">
        <v>16</v>
      </c>
      <c r="C29" s="188">
        <v>278.47000000000003</v>
      </c>
      <c r="D29" s="191">
        <f t="shared" si="0"/>
        <v>314.17750000000001</v>
      </c>
      <c r="E29" s="191">
        <f t="shared" si="1"/>
        <v>298.12625000000003</v>
      </c>
      <c r="F29" s="193">
        <f t="shared" si="2"/>
        <v>0.93406736240099619</v>
      </c>
      <c r="G29" s="194">
        <f t="shared" si="6"/>
        <v>1.1302413539647216</v>
      </c>
      <c r="H29" s="195">
        <f t="shared" si="3"/>
        <v>298.12625000000003</v>
      </c>
      <c r="I29" s="189">
        <f t="shared" si="4"/>
        <v>331.12200000000001</v>
      </c>
      <c r="J29" s="191">
        <f t="shared" si="5"/>
        <v>-19.65625</v>
      </c>
    </row>
    <row r="30" spans="1:10" x14ac:dyDescent="0.25">
      <c r="A30" s="187">
        <v>2</v>
      </c>
      <c r="B30" s="187">
        <v>17</v>
      </c>
      <c r="C30" s="188">
        <v>278.47000000000003</v>
      </c>
      <c r="D30" s="191">
        <f t="shared" si="0"/>
        <v>282.07499999999999</v>
      </c>
      <c r="E30" s="191">
        <f t="shared" si="1"/>
        <v>283.46000000000004</v>
      </c>
      <c r="F30" s="193">
        <f t="shared" si="2"/>
        <v>0.98239610527058485</v>
      </c>
      <c r="G30" s="194">
        <f t="shared" si="6"/>
        <v>0.92953958237416401</v>
      </c>
      <c r="H30" s="195">
        <f t="shared" si="3"/>
        <v>283.46000000000004</v>
      </c>
      <c r="I30" s="189">
        <f t="shared" si="4"/>
        <v>333.16149999999999</v>
      </c>
      <c r="J30" s="191">
        <f t="shared" si="5"/>
        <v>-4.9900000000000091</v>
      </c>
    </row>
    <row r="31" spans="1:10" x14ac:dyDescent="0.25">
      <c r="A31" s="187">
        <v>2</v>
      </c>
      <c r="B31" s="187">
        <v>18</v>
      </c>
      <c r="C31" s="188">
        <v>214.98</v>
      </c>
      <c r="D31" s="191">
        <f t="shared" si="0"/>
        <v>284.84500000000003</v>
      </c>
      <c r="E31" s="191">
        <f t="shared" si="1"/>
        <v>297.13875000000002</v>
      </c>
      <c r="F31" s="193">
        <f t="shared" si="2"/>
        <v>0.72350038492118574</v>
      </c>
      <c r="G31" s="194">
        <f>AVERAGE(F31,F35,F39)</f>
        <v>0.83486264968777402</v>
      </c>
      <c r="H31" s="195">
        <f t="shared" si="3"/>
        <v>297.13875000000002</v>
      </c>
      <c r="I31" s="189">
        <f t="shared" si="4"/>
        <v>335.20100000000002</v>
      </c>
      <c r="J31" s="191">
        <f t="shared" si="5"/>
        <v>-82.158750000000026</v>
      </c>
    </row>
    <row r="32" spans="1:10" x14ac:dyDescent="0.25">
      <c r="A32" s="187">
        <v>2</v>
      </c>
      <c r="B32" s="187">
        <v>19</v>
      </c>
      <c r="C32" s="188">
        <v>367.46</v>
      </c>
      <c r="D32" s="191">
        <f t="shared" si="0"/>
        <v>309.4325</v>
      </c>
      <c r="E32" s="191">
        <f t="shared" si="1"/>
        <v>310.31624999999997</v>
      </c>
      <c r="F32" s="193">
        <f t="shared" si="2"/>
        <v>1.1841468179639321</v>
      </c>
      <c r="G32" s="194">
        <f t="shared" si="6"/>
        <v>1.0885172756647725</v>
      </c>
      <c r="H32" s="195">
        <f t="shared" si="3"/>
        <v>310.31624999999997</v>
      </c>
      <c r="I32" s="189">
        <f t="shared" si="4"/>
        <v>337.2405</v>
      </c>
      <c r="J32" s="191">
        <f t="shared" si="5"/>
        <v>57.143750000000011</v>
      </c>
    </row>
    <row r="33" spans="1:10" x14ac:dyDescent="0.25">
      <c r="A33" s="187">
        <v>2</v>
      </c>
      <c r="B33" s="187">
        <v>20</v>
      </c>
      <c r="C33" s="188">
        <v>376.82</v>
      </c>
      <c r="D33" s="191">
        <f t="shared" si="0"/>
        <v>311.2</v>
      </c>
      <c r="E33" s="191">
        <f t="shared" si="1"/>
        <v>322.36</v>
      </c>
      <c r="F33" s="193">
        <f t="shared" si="2"/>
        <v>1.1689415560243206</v>
      </c>
      <c r="G33" s="194">
        <f t="shared" si="6"/>
        <v>1.1268682243813963</v>
      </c>
      <c r="H33" s="195">
        <f t="shared" si="3"/>
        <v>322.36</v>
      </c>
      <c r="I33" s="189">
        <f t="shared" si="4"/>
        <v>339.28000000000003</v>
      </c>
      <c r="J33" s="191">
        <f t="shared" si="5"/>
        <v>54.45999999999998</v>
      </c>
    </row>
    <row r="34" spans="1:10" x14ac:dyDescent="0.25">
      <c r="A34" s="187">
        <v>2</v>
      </c>
      <c r="B34" s="187">
        <v>21</v>
      </c>
      <c r="C34" s="188">
        <v>285.54000000000002</v>
      </c>
      <c r="D34" s="191">
        <f t="shared" si="0"/>
        <v>333.52</v>
      </c>
      <c r="E34" s="191">
        <f t="shared" si="1"/>
        <v>336.44499999999999</v>
      </c>
      <c r="F34" s="193">
        <f t="shared" si="2"/>
        <v>0.84869740968063134</v>
      </c>
      <c r="G34" s="194">
        <f t="shared" si="6"/>
        <v>0.93455847735160669</v>
      </c>
      <c r="H34" s="195">
        <f t="shared" si="3"/>
        <v>336.44499999999999</v>
      </c>
      <c r="I34" s="189">
        <f t="shared" si="4"/>
        <v>341.31950000000001</v>
      </c>
      <c r="J34" s="191">
        <f t="shared" si="5"/>
        <v>-50.904999999999973</v>
      </c>
    </row>
    <row r="35" spans="1:10" x14ac:dyDescent="0.25">
      <c r="A35" s="187">
        <v>2</v>
      </c>
      <c r="B35" s="187">
        <v>22</v>
      </c>
      <c r="C35" s="188">
        <v>304.26</v>
      </c>
      <c r="D35" s="191">
        <f t="shared" si="0"/>
        <v>339.37</v>
      </c>
      <c r="E35" s="191">
        <f t="shared" si="1"/>
        <v>359.55624999999998</v>
      </c>
      <c r="F35" s="193">
        <f t="shared" si="2"/>
        <v>0.84620973769750907</v>
      </c>
      <c r="G35" s="194">
        <f t="shared" si="6"/>
        <v>0.83532081791687141</v>
      </c>
      <c r="H35" s="195">
        <f t="shared" si="3"/>
        <v>359.55624999999998</v>
      </c>
      <c r="I35" s="189">
        <f t="shared" si="4"/>
        <v>343.35900000000004</v>
      </c>
      <c r="J35" s="191">
        <f t="shared" si="5"/>
        <v>-55.296249999999986</v>
      </c>
    </row>
    <row r="36" spans="1:10" x14ac:dyDescent="0.25">
      <c r="A36" s="187">
        <v>2</v>
      </c>
      <c r="B36" s="187">
        <v>23</v>
      </c>
      <c r="C36" s="188">
        <v>390.86</v>
      </c>
      <c r="D36" s="191">
        <f t="shared" si="0"/>
        <v>379.74249999999995</v>
      </c>
      <c r="E36" s="191">
        <f t="shared" si="1"/>
        <v>394.90999999999997</v>
      </c>
      <c r="F36" s="193">
        <f t="shared" si="2"/>
        <v>0.98974449874655002</v>
      </c>
      <c r="G36" s="194">
        <f t="shared" si="6"/>
        <v>1.0845985500007831</v>
      </c>
      <c r="H36" s="195">
        <f t="shared" si="3"/>
        <v>394.90999999999997</v>
      </c>
      <c r="I36" s="189">
        <f t="shared" si="4"/>
        <v>345.39850000000001</v>
      </c>
      <c r="J36" s="191">
        <f t="shared" si="5"/>
        <v>-4.0499999999999545</v>
      </c>
    </row>
    <row r="37" spans="1:10" x14ac:dyDescent="0.25">
      <c r="A37" s="187">
        <v>2</v>
      </c>
      <c r="B37" s="187">
        <v>24</v>
      </c>
      <c r="C37" s="188">
        <v>538.30999999999995</v>
      </c>
      <c r="D37" s="191">
        <f t="shared" si="0"/>
        <v>410.07749999999999</v>
      </c>
      <c r="E37" s="191">
        <f t="shared" si="1"/>
        <v>418.03499999999997</v>
      </c>
      <c r="F37" s="193">
        <f t="shared" si="2"/>
        <v>1.2877151434688483</v>
      </c>
      <c r="G37" s="194">
        <f t="shared" si="6"/>
        <v>1.1309018458318565</v>
      </c>
      <c r="H37" s="195">
        <f t="shared" si="3"/>
        <v>418.03499999999997</v>
      </c>
      <c r="I37" s="189">
        <f t="shared" si="4"/>
        <v>347.43799999999999</v>
      </c>
      <c r="J37" s="191">
        <f t="shared" si="5"/>
        <v>120.27499999999998</v>
      </c>
    </row>
    <row r="38" spans="1:10" x14ac:dyDescent="0.25">
      <c r="A38" s="187">
        <v>3</v>
      </c>
      <c r="B38" s="187">
        <v>25</v>
      </c>
      <c r="C38" s="188">
        <v>406.88</v>
      </c>
      <c r="D38" s="191">
        <f t="shared" si="0"/>
        <v>425.99250000000001</v>
      </c>
      <c r="E38" s="191">
        <f t="shared" si="1"/>
        <v>424.92875000000004</v>
      </c>
      <c r="F38" s="193">
        <f t="shared" si="2"/>
        <v>0.95752523217127572</v>
      </c>
      <c r="G38" s="194">
        <f t="shared" si="6"/>
        <v>0.92372205636754012</v>
      </c>
      <c r="H38" s="195">
        <f t="shared" si="3"/>
        <v>424.92875000000004</v>
      </c>
      <c r="I38" s="189">
        <f t="shared" si="4"/>
        <v>349.47750000000002</v>
      </c>
      <c r="J38" s="191">
        <f t="shared" si="5"/>
        <v>-18.048750000000041</v>
      </c>
    </row>
    <row r="39" spans="1:10" x14ac:dyDescent="0.25">
      <c r="A39" s="187">
        <v>3</v>
      </c>
      <c r="B39" s="187">
        <v>26</v>
      </c>
      <c r="C39" s="188">
        <v>367.92</v>
      </c>
      <c r="D39" s="191">
        <f t="shared" si="0"/>
        <v>423.86500000000001</v>
      </c>
      <c r="E39" s="191">
        <f t="shared" si="1"/>
        <v>393.54875000000004</v>
      </c>
      <c r="F39" s="193">
        <f t="shared" si="2"/>
        <v>0.93487782644462725</v>
      </c>
      <c r="G39" s="194">
        <f t="shared" si="6"/>
        <v>0.85613832158514125</v>
      </c>
      <c r="H39" s="195">
        <f t="shared" si="3"/>
        <v>393.54875000000004</v>
      </c>
      <c r="I39" s="189">
        <f t="shared" si="4"/>
        <v>351.517</v>
      </c>
      <c r="J39" s="191">
        <f t="shared" si="5"/>
        <v>-25.628750000000025</v>
      </c>
    </row>
    <row r="40" spans="1:10" x14ac:dyDescent="0.25">
      <c r="A40" s="187">
        <v>3</v>
      </c>
      <c r="B40" s="187">
        <v>27</v>
      </c>
      <c r="C40" s="188">
        <v>382.35</v>
      </c>
      <c r="D40" s="191">
        <f t="shared" si="0"/>
        <v>363.23250000000002</v>
      </c>
      <c r="E40" s="191">
        <f t="shared" si="1"/>
        <v>350.24625000000003</v>
      </c>
      <c r="F40" s="193">
        <f t="shared" si="2"/>
        <v>1.0916605102838359</v>
      </c>
      <c r="G40" s="189">
        <v>1.0758417469437545</v>
      </c>
      <c r="H40" s="195">
        <f t="shared" si="3"/>
        <v>350.24625000000003</v>
      </c>
      <c r="I40" s="189">
        <f t="shared" si="4"/>
        <v>353.55650000000003</v>
      </c>
      <c r="J40" s="191">
        <f t="shared" si="5"/>
        <v>32.103749999999991</v>
      </c>
    </row>
    <row r="41" spans="1:10" x14ac:dyDescent="0.25">
      <c r="A41" s="187">
        <v>3</v>
      </c>
      <c r="B41" s="187">
        <v>28</v>
      </c>
      <c r="C41" s="188">
        <v>295.77999999999997</v>
      </c>
      <c r="D41" s="191">
        <f t="shared" si="0"/>
        <v>337.26</v>
      </c>
      <c r="E41" s="191">
        <f t="shared" si="1"/>
        <v>320.12625000000003</v>
      </c>
      <c r="F41" s="193">
        <f t="shared" si="2"/>
        <v>0.92394797365102033</v>
      </c>
      <c r="G41" s="189">
        <v>1.114217306789298</v>
      </c>
      <c r="H41" s="195">
        <f t="shared" si="3"/>
        <v>320.12625000000003</v>
      </c>
      <c r="I41" s="189">
        <f t="shared" si="4"/>
        <v>355.596</v>
      </c>
      <c r="J41" s="191">
        <f t="shared" si="5"/>
        <v>-24.346250000000055</v>
      </c>
    </row>
    <row r="42" spans="1:10" x14ac:dyDescent="0.25">
      <c r="A42" s="187">
        <v>3</v>
      </c>
      <c r="B42" s="187">
        <v>29</v>
      </c>
      <c r="C42" s="188">
        <v>302.99</v>
      </c>
      <c r="D42" s="191">
        <f t="shared" si="0"/>
        <v>302.99250000000001</v>
      </c>
      <c r="E42" s="191">
        <f t="shared" si="1"/>
        <v>303.76374999999996</v>
      </c>
      <c r="F42" s="193">
        <f t="shared" si="2"/>
        <v>0.99745279020291278</v>
      </c>
      <c r="G42" s="189">
        <v>0.92896488194361249</v>
      </c>
      <c r="H42" s="195">
        <f t="shared" si="3"/>
        <v>303.76374999999996</v>
      </c>
      <c r="I42" s="189">
        <f t="shared" si="4"/>
        <v>357.63549999999998</v>
      </c>
      <c r="J42" s="191">
        <f t="shared" si="5"/>
        <v>-0.77374999999994998</v>
      </c>
    </row>
    <row r="43" spans="1:10" x14ac:dyDescent="0.25">
      <c r="A43" s="187">
        <v>3</v>
      </c>
      <c r="B43" s="187">
        <v>30</v>
      </c>
      <c r="C43" s="188">
        <v>230.85</v>
      </c>
      <c r="D43" s="191">
        <f t="shared" si="0"/>
        <v>304.53499999999997</v>
      </c>
      <c r="E43" s="191">
        <f t="shared" si="1"/>
        <v>318.46875</v>
      </c>
      <c r="F43" s="193">
        <f t="shared" si="2"/>
        <v>0.72487488960847801</v>
      </c>
      <c r="G43" s="189">
        <v>0.85921353349423502</v>
      </c>
      <c r="H43" s="195">
        <f t="shared" si="3"/>
        <v>318.46875</v>
      </c>
      <c r="I43" s="189">
        <f t="shared" si="4"/>
        <v>359.67500000000001</v>
      </c>
      <c r="J43" s="191">
        <f t="shared" si="5"/>
        <v>-87.618750000000006</v>
      </c>
    </row>
    <row r="44" spans="1:10" x14ac:dyDescent="0.25">
      <c r="A44" s="187">
        <v>3</v>
      </c>
      <c r="B44" s="187">
        <v>31</v>
      </c>
      <c r="C44" s="188">
        <v>388.52</v>
      </c>
      <c r="D44" s="191">
        <f t="shared" si="0"/>
        <v>332.40250000000003</v>
      </c>
      <c r="E44" s="191">
        <f t="shared" si="1"/>
        <v>331.39125000000001</v>
      </c>
      <c r="F44" s="193">
        <f t="shared" si="2"/>
        <v>1.1723906409719629</v>
      </c>
      <c r="G44" s="189">
        <v>1.0788149807845413</v>
      </c>
      <c r="H44" s="195">
        <f t="shared" si="3"/>
        <v>331.39125000000001</v>
      </c>
      <c r="I44" s="189">
        <f t="shared" si="4"/>
        <v>361.71449999999999</v>
      </c>
      <c r="J44" s="191">
        <f t="shared" si="5"/>
        <v>57.128749999999968</v>
      </c>
    </row>
    <row r="45" spans="1:10" x14ac:dyDescent="0.25">
      <c r="A45" s="187">
        <v>3</v>
      </c>
      <c r="B45" s="187">
        <v>32</v>
      </c>
      <c r="C45" s="188">
        <v>407.25</v>
      </c>
      <c r="D45" s="191">
        <f t="shared" si="0"/>
        <v>330.38</v>
      </c>
      <c r="E45" s="191">
        <f t="shared" si="1"/>
        <v>344.82249999999999</v>
      </c>
      <c r="F45" s="193">
        <f t="shared" si="2"/>
        <v>1.1810424203757006</v>
      </c>
      <c r="G45" s="189">
        <v>1.1218889342965008</v>
      </c>
      <c r="H45" s="195">
        <f t="shared" si="3"/>
        <v>344.82249999999999</v>
      </c>
      <c r="I45" s="189">
        <f t="shared" si="4"/>
        <v>363.75400000000002</v>
      </c>
      <c r="J45" s="191">
        <f t="shared" si="5"/>
        <v>62.427500000000009</v>
      </c>
    </row>
    <row r="46" spans="1:10" x14ac:dyDescent="0.25">
      <c r="A46" s="187">
        <v>3</v>
      </c>
      <c r="B46" s="187">
        <v>33</v>
      </c>
      <c r="C46" s="188">
        <v>294.89999999999998</v>
      </c>
      <c r="D46" s="191">
        <f t="shared" si="0"/>
        <v>359.26499999999999</v>
      </c>
      <c r="E46" s="191">
        <f t="shared" si="1"/>
        <v>361.31375000000003</v>
      </c>
      <c r="F46" s="193">
        <f t="shared" si="2"/>
        <v>0.81618814672843187</v>
      </c>
      <c r="G46" s="189">
        <v>0.92291947090755055</v>
      </c>
      <c r="H46" s="195">
        <f t="shared" si="3"/>
        <v>361.31375000000003</v>
      </c>
      <c r="I46" s="189">
        <f t="shared" si="4"/>
        <v>365.79349999999999</v>
      </c>
      <c r="J46" s="191">
        <f t="shared" si="5"/>
        <v>-66.41375000000005</v>
      </c>
    </row>
    <row r="47" spans="1:10" x14ac:dyDescent="0.25">
      <c r="A47" s="187">
        <v>3</v>
      </c>
      <c r="B47" s="187">
        <v>34</v>
      </c>
      <c r="C47" s="188">
        <v>346.39</v>
      </c>
      <c r="D47" s="191">
        <f t="shared" si="0"/>
        <v>363.36250000000001</v>
      </c>
      <c r="E47" s="191">
        <f t="shared" si="1"/>
        <v>381.20875000000001</v>
      </c>
      <c r="F47" s="193">
        <f t="shared" si="2"/>
        <v>0.9086622487023186</v>
      </c>
      <c r="G47" s="197">
        <v>0.85842214411259599</v>
      </c>
      <c r="H47" s="195">
        <f t="shared" si="3"/>
        <v>381.20875000000001</v>
      </c>
      <c r="I47" s="189">
        <f t="shared" si="4"/>
        <v>367.83299999999997</v>
      </c>
      <c r="J47" s="191">
        <f t="shared" si="5"/>
        <v>-34.818750000000023</v>
      </c>
    </row>
    <row r="48" spans="1:10" x14ac:dyDescent="0.25">
      <c r="A48" s="187">
        <v>3</v>
      </c>
      <c r="B48" s="187">
        <v>35</v>
      </c>
      <c r="C48" s="188">
        <v>404.91</v>
      </c>
      <c r="D48" s="191">
        <f t="shared" si="0"/>
        <v>399.05500000000001</v>
      </c>
      <c r="E48" s="189"/>
      <c r="F48" s="189"/>
      <c r="G48" s="197">
        <v>1.08297708590869</v>
      </c>
      <c r="H48" s="198">
        <f t="shared" ref="H48:H62" si="7">I48/G48</f>
        <v>341.53308025871326</v>
      </c>
      <c r="I48" s="189">
        <f t="shared" si="4"/>
        <v>369.8725</v>
      </c>
      <c r="J48" s="191"/>
    </row>
    <row r="49" spans="1:10" x14ac:dyDescent="0.25">
      <c r="A49" s="187">
        <v>3</v>
      </c>
      <c r="B49" s="187">
        <v>36</v>
      </c>
      <c r="C49" s="188">
        <v>550.02</v>
      </c>
      <c r="D49" s="191"/>
      <c r="E49" s="189"/>
      <c r="F49" s="189"/>
      <c r="G49" s="197">
        <v>1.1181192394041646</v>
      </c>
      <c r="H49" s="198">
        <f t="shared" si="7"/>
        <v>332.62284280001165</v>
      </c>
      <c r="I49" s="189">
        <f t="shared" si="4"/>
        <v>371.91200000000003</v>
      </c>
      <c r="J49" s="191"/>
    </row>
    <row r="50" spans="1:10" x14ac:dyDescent="0.25">
      <c r="A50" s="187">
        <v>4</v>
      </c>
      <c r="B50" s="187">
        <v>37</v>
      </c>
      <c r="C50" s="188"/>
      <c r="D50" s="191"/>
      <c r="E50" s="189"/>
      <c r="F50" s="189"/>
      <c r="G50" s="197">
        <v>0.93446906641421978</v>
      </c>
      <c r="H50" s="198">
        <f t="shared" si="7"/>
        <v>400.17536528516769</v>
      </c>
      <c r="I50" s="189">
        <f t="shared" si="4"/>
        <v>373.95150000000001</v>
      </c>
      <c r="J50" s="191"/>
    </row>
    <row r="51" spans="1:10" x14ac:dyDescent="0.25">
      <c r="A51" s="187">
        <v>4</v>
      </c>
      <c r="B51" s="187">
        <v>38</v>
      </c>
      <c r="C51" s="188"/>
      <c r="D51" s="191"/>
      <c r="E51" s="189"/>
      <c r="F51" s="189"/>
      <c r="G51" s="197">
        <v>0.83693479174674967</v>
      </c>
      <c r="H51" s="198">
        <f t="shared" si="7"/>
        <v>449.24766386551664</v>
      </c>
      <c r="I51" s="189">
        <f t="shared" si="4"/>
        <v>375.99099999999999</v>
      </c>
      <c r="J51" s="191"/>
    </row>
    <row r="52" spans="1:10" x14ac:dyDescent="0.25">
      <c r="A52" s="187">
        <v>4</v>
      </c>
      <c r="B52" s="187">
        <v>39</v>
      </c>
      <c r="C52" s="188"/>
      <c r="D52" s="191"/>
      <c r="E52" s="189"/>
      <c r="F52" s="189"/>
      <c r="G52" s="197">
        <v>1.0881337404769529</v>
      </c>
      <c r="H52" s="198">
        <f t="shared" si="7"/>
        <v>347.41179869516861</v>
      </c>
      <c r="I52" s="189">
        <f t="shared" si="4"/>
        <v>378.03050000000002</v>
      </c>
      <c r="J52" s="191"/>
    </row>
    <row r="53" spans="1:10" x14ac:dyDescent="0.25">
      <c r="A53" s="187">
        <v>4</v>
      </c>
      <c r="B53" s="187">
        <v>40</v>
      </c>
      <c r="C53" s="188"/>
      <c r="D53" s="191"/>
      <c r="E53" s="189"/>
      <c r="F53" s="189"/>
      <c r="G53" s="197">
        <v>1.1302413539647216</v>
      </c>
      <c r="H53" s="198">
        <f t="shared" si="7"/>
        <v>336.27330894128937</v>
      </c>
      <c r="I53" s="189">
        <f t="shared" si="4"/>
        <v>380.07</v>
      </c>
      <c r="J53" s="191"/>
    </row>
    <row r="54" spans="1:10" x14ac:dyDescent="0.25">
      <c r="A54" s="187">
        <v>4</v>
      </c>
      <c r="B54" s="187">
        <v>41</v>
      </c>
      <c r="C54" s="188"/>
      <c r="D54" s="191"/>
      <c r="E54" s="189"/>
      <c r="F54" s="189"/>
      <c r="G54" s="197">
        <v>0.92953958237416401</v>
      </c>
      <c r="H54" s="198">
        <f t="shared" si="7"/>
        <v>411.07394160025234</v>
      </c>
      <c r="I54" s="189">
        <f t="shared" si="4"/>
        <v>382.10950000000003</v>
      </c>
      <c r="J54" s="191"/>
    </row>
    <row r="55" spans="1:10" x14ac:dyDescent="0.25">
      <c r="A55" s="187">
        <v>4</v>
      </c>
      <c r="B55" s="187">
        <v>42</v>
      </c>
      <c r="C55" s="188"/>
      <c r="D55" s="191"/>
      <c r="E55" s="189"/>
      <c r="F55" s="189"/>
      <c r="G55" s="197">
        <v>0.83486264968777402</v>
      </c>
      <c r="H55" s="198">
        <f t="shared" si="7"/>
        <v>460.13437077783504</v>
      </c>
      <c r="I55" s="189">
        <f t="shared" si="4"/>
        <v>384.149</v>
      </c>
      <c r="J55" s="191"/>
    </row>
    <row r="56" spans="1:10" x14ac:dyDescent="0.25">
      <c r="A56" s="187">
        <v>4</v>
      </c>
      <c r="B56" s="187">
        <v>43</v>
      </c>
      <c r="C56" s="188"/>
      <c r="D56" s="191"/>
      <c r="E56" s="189"/>
      <c r="F56" s="189"/>
      <c r="G56" s="197">
        <v>1.0885172756647701</v>
      </c>
      <c r="H56" s="198">
        <f t="shared" si="7"/>
        <v>354.78398793822561</v>
      </c>
      <c r="I56" s="189">
        <f t="shared" si="4"/>
        <v>386.18849999999998</v>
      </c>
      <c r="J56" s="191"/>
    </row>
    <row r="57" spans="1:10" x14ac:dyDescent="0.25">
      <c r="A57" s="187">
        <v>4</v>
      </c>
      <c r="B57" s="187">
        <v>44</v>
      </c>
      <c r="C57" s="188"/>
      <c r="D57" s="191"/>
      <c r="E57" s="189"/>
      <c r="F57" s="189"/>
      <c r="G57" s="197">
        <v>1.1268682243813963</v>
      </c>
      <c r="H57" s="198">
        <f t="shared" si="7"/>
        <v>344.51943146513071</v>
      </c>
      <c r="I57" s="189">
        <f t="shared" si="4"/>
        <v>388.22800000000001</v>
      </c>
      <c r="J57" s="191"/>
    </row>
    <row r="58" spans="1:10" x14ac:dyDescent="0.25">
      <c r="A58" s="187">
        <v>4</v>
      </c>
      <c r="B58" s="187">
        <v>45</v>
      </c>
      <c r="C58" s="188"/>
      <c r="D58" s="191"/>
      <c r="E58" s="189"/>
      <c r="F58" s="189"/>
      <c r="G58" s="197">
        <v>0.93455847735160669</v>
      </c>
      <c r="H58" s="198">
        <f t="shared" si="7"/>
        <v>417.59559134914423</v>
      </c>
      <c r="I58" s="189">
        <f t="shared" si="4"/>
        <v>390.26749999999998</v>
      </c>
      <c r="J58" s="191"/>
    </row>
    <row r="59" spans="1:10" x14ac:dyDescent="0.25">
      <c r="A59" s="187">
        <v>4</v>
      </c>
      <c r="B59" s="187">
        <v>46</v>
      </c>
      <c r="C59" s="188"/>
      <c r="D59" s="191"/>
      <c r="E59" s="189"/>
      <c r="F59" s="189"/>
      <c r="G59" s="197">
        <v>0.83532081791687141</v>
      </c>
      <c r="H59" s="198">
        <f t="shared" si="7"/>
        <v>469.64829749884342</v>
      </c>
      <c r="I59" s="189">
        <f t="shared" si="4"/>
        <v>392.30700000000002</v>
      </c>
      <c r="J59" s="191"/>
    </row>
    <row r="60" spans="1:10" x14ac:dyDescent="0.25">
      <c r="A60" s="187">
        <v>4</v>
      </c>
      <c r="B60" s="187">
        <v>47</v>
      </c>
      <c r="C60" s="188"/>
      <c r="D60" s="191"/>
      <c r="E60" s="189"/>
      <c r="F60" s="189"/>
      <c r="G60" s="197">
        <v>1.0845985500007831</v>
      </c>
      <c r="H60" s="198">
        <f t="shared" si="7"/>
        <v>363.58752277486934</v>
      </c>
      <c r="I60" s="189">
        <f t="shared" si="4"/>
        <v>394.34649999999999</v>
      </c>
      <c r="J60" s="191"/>
    </row>
    <row r="61" spans="1:10" x14ac:dyDescent="0.25">
      <c r="A61" s="187">
        <v>4</v>
      </c>
      <c r="B61" s="187">
        <v>48</v>
      </c>
      <c r="C61" s="188"/>
      <c r="D61" s="191"/>
      <c r="E61" s="189"/>
      <c r="F61" s="189"/>
      <c r="G61" s="197">
        <v>1.1309018458318565</v>
      </c>
      <c r="H61" s="198">
        <f t="shared" si="7"/>
        <v>350.50433550971053</v>
      </c>
      <c r="I61" s="189">
        <f t="shared" si="4"/>
        <v>396.38599999999997</v>
      </c>
      <c r="J61" s="191"/>
    </row>
    <row r="62" spans="1:10" x14ac:dyDescent="0.25">
      <c r="A62" s="187">
        <v>4</v>
      </c>
      <c r="B62" s="187">
        <v>49</v>
      </c>
      <c r="C62" s="188"/>
      <c r="D62" s="191"/>
      <c r="E62" s="189"/>
      <c r="F62" s="189"/>
      <c r="G62" s="197">
        <v>0.92372205636754012</v>
      </c>
      <c r="H62" s="198">
        <f t="shared" si="7"/>
        <v>431.32617355351999</v>
      </c>
      <c r="I62" s="189">
        <f t="shared" si="4"/>
        <v>398.4255</v>
      </c>
      <c r="J62" s="191"/>
    </row>
    <row r="63" spans="1:10" x14ac:dyDescent="0.25">
      <c r="B63" s="187"/>
    </row>
    <row r="64" spans="1:10" x14ac:dyDescent="0.25">
      <c r="A64" t="s">
        <v>189</v>
      </c>
    </row>
    <row r="65" spans="1:14" x14ac:dyDescent="0.25">
      <c r="A65" s="183"/>
      <c r="B65" s="183"/>
      <c r="C65" s="183"/>
      <c r="D65" s="183"/>
      <c r="N65" t="s">
        <v>190</v>
      </c>
    </row>
    <row r="66" spans="1:14" ht="39.6" x14ac:dyDescent="0.25">
      <c r="A66" s="184" t="s">
        <v>180</v>
      </c>
      <c r="B66" s="184" t="s">
        <v>181</v>
      </c>
      <c r="C66" s="185" t="s">
        <v>25</v>
      </c>
      <c r="D66" s="186" t="s">
        <v>182</v>
      </c>
      <c r="E66" s="186" t="s">
        <v>183</v>
      </c>
      <c r="F66" s="186" t="s">
        <v>184</v>
      </c>
      <c r="G66" s="186" t="s">
        <v>185</v>
      </c>
      <c r="H66" s="186" t="s">
        <v>186</v>
      </c>
      <c r="I66" s="186" t="s">
        <v>187</v>
      </c>
      <c r="J66" s="186" t="s">
        <v>188</v>
      </c>
    </row>
    <row r="67" spans="1:14" x14ac:dyDescent="0.25">
      <c r="A67" s="187">
        <v>1</v>
      </c>
      <c r="B67" s="187">
        <v>1</v>
      </c>
      <c r="C67" s="188">
        <v>349.17</v>
      </c>
      <c r="D67" s="189"/>
      <c r="E67" s="189"/>
      <c r="F67" s="189"/>
      <c r="G67" s="189"/>
      <c r="H67" s="189"/>
      <c r="I67" s="189">
        <f t="shared" ref="I67:I114" si="8">1.9769*B67+313.49</f>
        <v>315.46690000000001</v>
      </c>
      <c r="J67" s="189"/>
    </row>
    <row r="68" spans="1:14" x14ac:dyDescent="0.25">
      <c r="A68" s="187">
        <v>1</v>
      </c>
      <c r="B68" s="187">
        <v>2</v>
      </c>
      <c r="C68" s="188">
        <v>339.07</v>
      </c>
      <c r="D68" s="189"/>
      <c r="E68" s="189"/>
      <c r="F68" s="190"/>
      <c r="G68" s="190"/>
      <c r="H68" s="190"/>
      <c r="I68" s="189">
        <f t="shared" si="8"/>
        <v>317.44380000000001</v>
      </c>
      <c r="J68" s="189"/>
    </row>
    <row r="69" spans="1:14" x14ac:dyDescent="0.25">
      <c r="A69" s="187">
        <v>1</v>
      </c>
      <c r="B69" s="187">
        <v>3</v>
      </c>
      <c r="C69" s="188">
        <v>334.74</v>
      </c>
      <c r="D69" s="191">
        <f t="shared" ref="D69:D93" si="9">AVERAGE(C67:C78)</f>
        <v>320.16833333333335</v>
      </c>
      <c r="E69" s="192">
        <f t="shared" ref="E69:E93" si="10">AVERAGE(D69:D70)</f>
        <v>321.4304166666667</v>
      </c>
      <c r="F69" s="193">
        <f t="shared" ref="F69:F93" si="11">C69/E69</f>
        <v>1.0414073548837033</v>
      </c>
      <c r="G69" s="194">
        <f t="shared" ref="G69:G85" si="12">AVERAGE(F69,F73,F77)</f>
        <v>1.047819734169787</v>
      </c>
      <c r="H69" s="191">
        <f t="shared" ref="H69:H93" si="13">C69/F69</f>
        <v>321.4304166666667</v>
      </c>
      <c r="I69" s="189">
        <f t="shared" si="8"/>
        <v>319.42070000000001</v>
      </c>
      <c r="J69" s="195">
        <f t="shared" ref="J69:J93" si="14">C69-E69</f>
        <v>13.309583333333308</v>
      </c>
    </row>
    <row r="70" spans="1:14" x14ac:dyDescent="0.25">
      <c r="A70" s="187">
        <v>1</v>
      </c>
      <c r="B70" s="187">
        <v>4</v>
      </c>
      <c r="C70" s="188">
        <v>256.82</v>
      </c>
      <c r="D70" s="191">
        <f t="shared" si="9"/>
        <v>322.6925</v>
      </c>
      <c r="E70" s="192">
        <f t="shared" si="10"/>
        <v>322.8725</v>
      </c>
      <c r="F70" s="193">
        <f t="shared" si="11"/>
        <v>0.79542234163640446</v>
      </c>
      <c r="G70" s="194">
        <f t="shared" si="12"/>
        <v>1.1057415097985575</v>
      </c>
      <c r="H70" s="191">
        <f t="shared" si="13"/>
        <v>322.8725</v>
      </c>
      <c r="I70" s="189">
        <f t="shared" si="8"/>
        <v>321.39760000000001</v>
      </c>
      <c r="J70" s="195">
        <f t="shared" si="14"/>
        <v>-66.052500000000009</v>
      </c>
    </row>
    <row r="71" spans="1:14" x14ac:dyDescent="0.25">
      <c r="A71" s="187">
        <v>1</v>
      </c>
      <c r="B71" s="187">
        <v>5</v>
      </c>
      <c r="C71" s="188">
        <v>265.48</v>
      </c>
      <c r="D71" s="191">
        <f t="shared" si="9"/>
        <v>323.05250000000001</v>
      </c>
      <c r="E71" s="192">
        <f t="shared" si="10"/>
        <v>323.95416666666665</v>
      </c>
      <c r="F71" s="193">
        <f t="shared" si="11"/>
        <v>0.81949864306936437</v>
      </c>
      <c r="G71" s="194">
        <f t="shared" si="12"/>
        <v>0.90886073178828752</v>
      </c>
      <c r="H71" s="191">
        <f t="shared" si="13"/>
        <v>323.95416666666665</v>
      </c>
      <c r="I71" s="189">
        <f t="shared" si="8"/>
        <v>323.37450000000001</v>
      </c>
      <c r="J71" s="195">
        <f t="shared" si="14"/>
        <v>-58.474166666666633</v>
      </c>
    </row>
    <row r="72" spans="1:14" x14ac:dyDescent="0.25">
      <c r="A72" s="187">
        <v>1</v>
      </c>
      <c r="B72" s="187">
        <v>6</v>
      </c>
      <c r="C72" s="188">
        <v>202</v>
      </c>
      <c r="D72" s="191">
        <f t="shared" si="9"/>
        <v>324.85583333333335</v>
      </c>
      <c r="E72" s="192">
        <f t="shared" si="10"/>
        <v>325.75791666666669</v>
      </c>
      <c r="F72" s="193">
        <f t="shared" si="11"/>
        <v>0.62009237432193376</v>
      </c>
      <c r="G72" s="194">
        <f t="shared" si="12"/>
        <v>0.8482768779607136</v>
      </c>
      <c r="H72" s="191">
        <f t="shared" si="13"/>
        <v>325.75791666666669</v>
      </c>
      <c r="I72" s="189">
        <f t="shared" si="8"/>
        <v>325.35140000000001</v>
      </c>
      <c r="J72" s="195">
        <f t="shared" si="14"/>
        <v>-123.75791666666669</v>
      </c>
    </row>
    <row r="73" spans="1:14" x14ac:dyDescent="0.25">
      <c r="A73" s="187">
        <v>1</v>
      </c>
      <c r="B73" s="187">
        <v>7</v>
      </c>
      <c r="C73" s="188">
        <v>339.37</v>
      </c>
      <c r="D73" s="191">
        <f t="shared" si="9"/>
        <v>326.66000000000003</v>
      </c>
      <c r="E73" s="192">
        <f t="shared" si="10"/>
        <v>327.20125000000002</v>
      </c>
      <c r="F73" s="193">
        <f t="shared" si="11"/>
        <v>1.037190414156425</v>
      </c>
      <c r="G73" s="194">
        <f t="shared" si="12"/>
        <v>1.0460042047249996</v>
      </c>
      <c r="H73" s="191">
        <f t="shared" si="13"/>
        <v>327.20125000000007</v>
      </c>
      <c r="I73" s="189">
        <f t="shared" si="8"/>
        <v>327.32830000000001</v>
      </c>
      <c r="J73" s="195">
        <f t="shared" si="14"/>
        <v>12.168749999999989</v>
      </c>
    </row>
    <row r="74" spans="1:14" x14ac:dyDescent="0.25">
      <c r="A74" s="187">
        <v>1</v>
      </c>
      <c r="B74" s="187">
        <v>8</v>
      </c>
      <c r="C74" s="188">
        <v>355.76</v>
      </c>
      <c r="D74" s="191">
        <f t="shared" si="9"/>
        <v>327.74250000000001</v>
      </c>
      <c r="E74" s="192">
        <f t="shared" si="10"/>
        <v>328.2833333333333</v>
      </c>
      <c r="F74" s="193">
        <f t="shared" si="11"/>
        <v>1.0836980250799615</v>
      </c>
      <c r="G74" s="194">
        <f t="shared" si="12"/>
        <v>1.1087416074488894</v>
      </c>
      <c r="H74" s="191">
        <f t="shared" si="13"/>
        <v>328.2833333333333</v>
      </c>
      <c r="I74" s="189">
        <f t="shared" si="8"/>
        <v>329.30520000000001</v>
      </c>
      <c r="J74" s="195">
        <f t="shared" si="14"/>
        <v>27.476666666666688</v>
      </c>
    </row>
    <row r="75" spans="1:14" x14ac:dyDescent="0.25">
      <c r="A75" s="187">
        <v>1</v>
      </c>
      <c r="B75" s="187">
        <v>9</v>
      </c>
      <c r="C75" s="188">
        <v>257.45</v>
      </c>
      <c r="D75" s="191">
        <f t="shared" si="9"/>
        <v>328.82416666666666</v>
      </c>
      <c r="E75" s="192">
        <f t="shared" si="10"/>
        <v>329.99458333333337</v>
      </c>
      <c r="F75" s="193">
        <f t="shared" si="11"/>
        <v>0.78016432087900422</v>
      </c>
      <c r="G75" s="194">
        <f t="shared" si="12"/>
        <v>0.90221538737884588</v>
      </c>
      <c r="H75" s="191">
        <f t="shared" si="13"/>
        <v>329.99458333333337</v>
      </c>
      <c r="I75" s="189">
        <f t="shared" si="8"/>
        <v>331.28210000000001</v>
      </c>
      <c r="J75" s="195">
        <f t="shared" si="14"/>
        <v>-72.544583333333378</v>
      </c>
    </row>
    <row r="76" spans="1:14" x14ac:dyDescent="0.25">
      <c r="A76" s="187">
        <v>1</v>
      </c>
      <c r="B76" s="187">
        <v>10</v>
      </c>
      <c r="C76" s="188">
        <v>304.26</v>
      </c>
      <c r="D76" s="191">
        <f t="shared" si="9"/>
        <v>331.16500000000002</v>
      </c>
      <c r="E76" s="192">
        <f t="shared" si="10"/>
        <v>332.04250000000002</v>
      </c>
      <c r="F76" s="193">
        <f t="shared" si="11"/>
        <v>0.9163284820467259</v>
      </c>
      <c r="G76" s="194">
        <f t="shared" si="12"/>
        <v>0.84627475843551714</v>
      </c>
      <c r="H76" s="191">
        <f t="shared" si="13"/>
        <v>332.04250000000002</v>
      </c>
      <c r="I76" s="189">
        <f t="shared" si="8"/>
        <v>333.25900000000001</v>
      </c>
      <c r="J76" s="195">
        <f t="shared" si="14"/>
        <v>-27.782500000000027</v>
      </c>
    </row>
    <row r="77" spans="1:14" x14ac:dyDescent="0.25">
      <c r="A77" s="187">
        <v>1</v>
      </c>
      <c r="B77" s="187">
        <v>11</v>
      </c>
      <c r="C77" s="188">
        <v>355.76</v>
      </c>
      <c r="D77" s="191">
        <f t="shared" si="9"/>
        <v>332.92000000000007</v>
      </c>
      <c r="E77" s="192">
        <f t="shared" si="10"/>
        <v>334.09041666666667</v>
      </c>
      <c r="F77" s="193">
        <f t="shared" si="11"/>
        <v>1.064861433469233</v>
      </c>
      <c r="G77" s="194">
        <f t="shared" si="12"/>
        <v>1.0484214603756783</v>
      </c>
      <c r="H77" s="191">
        <f t="shared" si="13"/>
        <v>334.09041666666667</v>
      </c>
      <c r="I77" s="189">
        <f t="shared" si="8"/>
        <v>335.23590000000002</v>
      </c>
      <c r="J77" s="195">
        <f t="shared" si="14"/>
        <v>21.669583333333321</v>
      </c>
    </row>
    <row r="78" spans="1:14" x14ac:dyDescent="0.25">
      <c r="A78" s="187">
        <v>1</v>
      </c>
      <c r="B78" s="187">
        <v>12</v>
      </c>
      <c r="C78" s="188">
        <v>482.14</v>
      </c>
      <c r="D78" s="191">
        <f t="shared" si="9"/>
        <v>335.26083333333332</v>
      </c>
      <c r="E78" s="192">
        <f t="shared" si="10"/>
        <v>335.26083333333338</v>
      </c>
      <c r="F78" s="193">
        <f t="shared" si="11"/>
        <v>1.4381041626793067</v>
      </c>
      <c r="G78" s="194">
        <f t="shared" si="12"/>
        <v>1.1028247735711048</v>
      </c>
      <c r="H78" s="191">
        <f t="shared" si="13"/>
        <v>335.26083333333338</v>
      </c>
      <c r="I78" s="189">
        <f t="shared" si="8"/>
        <v>337.21280000000002</v>
      </c>
      <c r="J78" s="195">
        <f t="shared" si="14"/>
        <v>146.87916666666661</v>
      </c>
    </row>
    <row r="79" spans="1:14" x14ac:dyDescent="0.25">
      <c r="A79" s="187">
        <v>2</v>
      </c>
      <c r="B79" s="187">
        <v>13</v>
      </c>
      <c r="C79" s="188">
        <v>379.46</v>
      </c>
      <c r="D79" s="191">
        <f t="shared" si="9"/>
        <v>335.26083333333344</v>
      </c>
      <c r="E79" s="192">
        <f t="shared" si="10"/>
        <v>336.72333333333336</v>
      </c>
      <c r="F79" s="193">
        <f t="shared" si="11"/>
        <v>1.1269192314164942</v>
      </c>
      <c r="G79" s="194">
        <f t="shared" si="12"/>
        <v>0.91023867879106246</v>
      </c>
      <c r="H79" s="191">
        <f t="shared" si="13"/>
        <v>336.72333333333336</v>
      </c>
      <c r="I79" s="189">
        <f t="shared" si="8"/>
        <v>339.18970000000002</v>
      </c>
      <c r="J79" s="195">
        <f t="shared" si="14"/>
        <v>42.736666666666622</v>
      </c>
    </row>
    <row r="80" spans="1:14" x14ac:dyDescent="0.25">
      <c r="A80" s="187">
        <v>2</v>
      </c>
      <c r="B80" s="187">
        <v>14</v>
      </c>
      <c r="C80" s="188">
        <v>343.39</v>
      </c>
      <c r="D80" s="191">
        <f t="shared" si="9"/>
        <v>338.18583333333333</v>
      </c>
      <c r="E80" s="192">
        <f t="shared" si="10"/>
        <v>340.52625</v>
      </c>
      <c r="F80" s="193">
        <f t="shared" si="11"/>
        <v>1.0084097775134808</v>
      </c>
      <c r="G80" s="194">
        <f t="shared" si="12"/>
        <v>0.82476945755177233</v>
      </c>
      <c r="H80" s="191">
        <f t="shared" si="13"/>
        <v>340.52625000000006</v>
      </c>
      <c r="I80" s="189">
        <f t="shared" si="8"/>
        <v>341.16660000000002</v>
      </c>
      <c r="J80" s="195">
        <f t="shared" si="14"/>
        <v>2.8637499999999818</v>
      </c>
    </row>
    <row r="81" spans="1:10" x14ac:dyDescent="0.25">
      <c r="A81" s="187">
        <v>2</v>
      </c>
      <c r="B81" s="187">
        <v>15</v>
      </c>
      <c r="C81" s="188">
        <v>356.38</v>
      </c>
      <c r="D81" s="191">
        <f t="shared" si="9"/>
        <v>342.86666666666673</v>
      </c>
      <c r="E81" s="191">
        <f t="shared" si="10"/>
        <v>344.00916666666672</v>
      </c>
      <c r="F81" s="196">
        <f t="shared" si="11"/>
        <v>1.0359607665493409</v>
      </c>
      <c r="G81" s="194">
        <f t="shared" si="12"/>
        <v>1.0565356977726288</v>
      </c>
      <c r="H81" s="191">
        <f t="shared" si="13"/>
        <v>344.00916666666672</v>
      </c>
      <c r="I81" s="189">
        <f t="shared" si="8"/>
        <v>343.14350000000002</v>
      </c>
      <c r="J81" s="195">
        <f t="shared" si="14"/>
        <v>12.37083333333328</v>
      </c>
    </row>
    <row r="82" spans="1:10" x14ac:dyDescent="0.25">
      <c r="A82" s="187">
        <v>2</v>
      </c>
      <c r="B82" s="187">
        <v>16</v>
      </c>
      <c r="C82" s="188">
        <v>278.47000000000003</v>
      </c>
      <c r="D82" s="191">
        <f t="shared" si="9"/>
        <v>345.1516666666667</v>
      </c>
      <c r="E82" s="191">
        <f t="shared" si="10"/>
        <v>346.17375000000004</v>
      </c>
      <c r="F82" s="193">
        <f t="shared" si="11"/>
        <v>0.80442263458740004</v>
      </c>
      <c r="G82" s="194">
        <f t="shared" si="12"/>
        <v>1.1205186558695708</v>
      </c>
      <c r="H82" s="191">
        <f t="shared" si="13"/>
        <v>346.17375000000004</v>
      </c>
      <c r="I82" s="189">
        <f t="shared" si="8"/>
        <v>345.12040000000002</v>
      </c>
      <c r="J82" s="195">
        <f t="shared" si="14"/>
        <v>-67.703750000000014</v>
      </c>
    </row>
    <row r="83" spans="1:10" x14ac:dyDescent="0.25">
      <c r="A83" s="187">
        <v>2</v>
      </c>
      <c r="B83" s="187">
        <v>17</v>
      </c>
      <c r="C83" s="188">
        <v>278.47000000000003</v>
      </c>
      <c r="D83" s="191">
        <f t="shared" si="9"/>
        <v>347.19583333333338</v>
      </c>
      <c r="E83" s="191">
        <f t="shared" si="10"/>
        <v>348.27791666666673</v>
      </c>
      <c r="F83" s="193">
        <f t="shared" si="11"/>
        <v>0.79956260984103922</v>
      </c>
      <c r="G83" s="194">
        <f t="shared" si="12"/>
        <v>0.90788119827533909</v>
      </c>
      <c r="H83" s="191">
        <f t="shared" si="13"/>
        <v>348.27791666666673</v>
      </c>
      <c r="I83" s="189">
        <f t="shared" si="8"/>
        <v>347.09730000000002</v>
      </c>
      <c r="J83" s="195">
        <f t="shared" si="14"/>
        <v>-69.807916666666699</v>
      </c>
    </row>
    <row r="84" spans="1:10" x14ac:dyDescent="0.25">
      <c r="A84" s="187">
        <v>2</v>
      </c>
      <c r="B84" s="187">
        <v>18</v>
      </c>
      <c r="C84" s="188">
        <v>214.98</v>
      </c>
      <c r="D84" s="191">
        <f t="shared" si="9"/>
        <v>349.36000000000007</v>
      </c>
      <c r="E84" s="191">
        <f t="shared" si="10"/>
        <v>350.08125000000007</v>
      </c>
      <c r="F84" s="193">
        <f t="shared" si="11"/>
        <v>0.61408601574634447</v>
      </c>
      <c r="G84" s="194">
        <f t="shared" si="12"/>
        <v>0.82517802209962721</v>
      </c>
      <c r="H84" s="191">
        <f t="shared" si="13"/>
        <v>350.08125000000007</v>
      </c>
      <c r="I84" s="189">
        <f t="shared" si="8"/>
        <v>349.07420000000002</v>
      </c>
      <c r="J84" s="195">
        <f t="shared" si="14"/>
        <v>-135.10125000000008</v>
      </c>
    </row>
    <row r="85" spans="1:10" x14ac:dyDescent="0.25">
      <c r="A85" s="187">
        <v>2</v>
      </c>
      <c r="B85" s="187">
        <v>19</v>
      </c>
      <c r="C85" s="188">
        <v>367.46</v>
      </c>
      <c r="D85" s="191">
        <f t="shared" si="9"/>
        <v>350.80250000000001</v>
      </c>
      <c r="E85" s="191">
        <f t="shared" si="10"/>
        <v>351.82416666666666</v>
      </c>
      <c r="F85" s="193">
        <f t="shared" si="11"/>
        <v>1.0444421811084608</v>
      </c>
      <c r="G85" s="194">
        <f t="shared" si="12"/>
        <v>1.0604924065109025</v>
      </c>
      <c r="H85" s="191">
        <f t="shared" si="13"/>
        <v>351.82416666666671</v>
      </c>
      <c r="I85" s="189">
        <f t="shared" si="8"/>
        <v>351.05110000000002</v>
      </c>
      <c r="J85" s="195">
        <f t="shared" si="14"/>
        <v>15.635833333333323</v>
      </c>
    </row>
    <row r="86" spans="1:10" x14ac:dyDescent="0.25">
      <c r="A86" s="187">
        <v>2</v>
      </c>
      <c r="B86" s="187">
        <v>20</v>
      </c>
      <c r="C86" s="188">
        <v>376.82</v>
      </c>
      <c r="D86" s="191">
        <f t="shared" si="9"/>
        <v>352.8458333333333</v>
      </c>
      <c r="E86" s="191">
        <f t="shared" si="10"/>
        <v>353.5070833333333</v>
      </c>
      <c r="F86" s="193">
        <f t="shared" si="11"/>
        <v>1.0659475234466071</v>
      </c>
      <c r="G86" s="194">
        <v>1.047819734169787</v>
      </c>
      <c r="H86" s="191">
        <f t="shared" si="13"/>
        <v>353.5070833333333</v>
      </c>
      <c r="I86" s="189">
        <f t="shared" si="8"/>
        <v>353.02800000000002</v>
      </c>
      <c r="J86" s="195">
        <f t="shared" si="14"/>
        <v>23.312916666666695</v>
      </c>
    </row>
    <row r="87" spans="1:10" x14ac:dyDescent="0.25">
      <c r="A87" s="187">
        <v>2</v>
      </c>
      <c r="B87" s="187">
        <v>21</v>
      </c>
      <c r="C87" s="188">
        <v>285.54000000000002</v>
      </c>
      <c r="D87" s="191">
        <f t="shared" si="9"/>
        <v>354.16833333333335</v>
      </c>
      <c r="E87" s="191">
        <f t="shared" si="10"/>
        <v>355.04583333333335</v>
      </c>
      <c r="F87" s="193">
        <f t="shared" si="11"/>
        <v>0.80423419511565408</v>
      </c>
      <c r="G87" s="194">
        <v>1.1057415097985575</v>
      </c>
      <c r="H87" s="191">
        <f t="shared" si="13"/>
        <v>355.04583333333335</v>
      </c>
      <c r="I87" s="189">
        <f t="shared" si="8"/>
        <v>355.00490000000002</v>
      </c>
      <c r="J87" s="195">
        <f t="shared" si="14"/>
        <v>-69.505833333333328</v>
      </c>
    </row>
    <row r="88" spans="1:10" x14ac:dyDescent="0.25">
      <c r="A88" s="187">
        <v>2</v>
      </c>
      <c r="B88" s="187">
        <v>22</v>
      </c>
      <c r="C88" s="188">
        <v>304.26</v>
      </c>
      <c r="D88" s="191">
        <f t="shared" si="9"/>
        <v>355.92333333333335</v>
      </c>
      <c r="E88" s="191">
        <f t="shared" si="10"/>
        <v>357.19124999999997</v>
      </c>
      <c r="F88" s="193">
        <f t="shared" si="11"/>
        <v>0.85181257939549193</v>
      </c>
      <c r="G88" s="194">
        <v>0.90886073178828752</v>
      </c>
      <c r="H88" s="191">
        <f t="shared" si="13"/>
        <v>357.19124999999997</v>
      </c>
      <c r="I88" s="189">
        <f t="shared" si="8"/>
        <v>356.98180000000002</v>
      </c>
      <c r="J88" s="195">
        <f t="shared" si="14"/>
        <v>-52.931249999999977</v>
      </c>
    </row>
    <row r="89" spans="1:10" x14ac:dyDescent="0.25">
      <c r="A89" s="187">
        <v>2</v>
      </c>
      <c r="B89" s="187">
        <v>23</v>
      </c>
      <c r="C89" s="188">
        <v>390.86</v>
      </c>
      <c r="D89" s="191">
        <f t="shared" si="9"/>
        <v>358.45916666666659</v>
      </c>
      <c r="E89" s="191">
        <f t="shared" si="10"/>
        <v>358.84916666666658</v>
      </c>
      <c r="F89" s="193">
        <f t="shared" si="11"/>
        <v>1.0892041456600849</v>
      </c>
      <c r="G89" s="194">
        <v>0.8482768779607136</v>
      </c>
      <c r="H89" s="191">
        <f t="shared" si="13"/>
        <v>358.84916666666658</v>
      </c>
      <c r="I89" s="189">
        <f t="shared" si="8"/>
        <v>358.95870000000002</v>
      </c>
      <c r="J89" s="195">
        <f t="shared" si="14"/>
        <v>32.010833333333437</v>
      </c>
    </row>
    <row r="90" spans="1:10" x14ac:dyDescent="0.25">
      <c r="A90" s="187">
        <v>2</v>
      </c>
      <c r="B90" s="187">
        <v>24</v>
      </c>
      <c r="C90" s="188">
        <v>538.30999999999995</v>
      </c>
      <c r="D90" s="191">
        <f t="shared" si="9"/>
        <v>359.23916666666656</v>
      </c>
      <c r="E90" s="191">
        <f t="shared" si="10"/>
        <v>360.99458333333325</v>
      </c>
      <c r="F90" s="193">
        <f t="shared" si="11"/>
        <v>1.4911858095747053</v>
      </c>
      <c r="G90" s="194">
        <v>1.0460042047249996</v>
      </c>
      <c r="H90" s="191">
        <f t="shared" si="13"/>
        <v>360.99458333333325</v>
      </c>
      <c r="I90" s="189">
        <f t="shared" si="8"/>
        <v>360.93560000000002</v>
      </c>
      <c r="J90" s="195">
        <f t="shared" si="14"/>
        <v>177.31541666666669</v>
      </c>
    </row>
    <row r="91" spans="1:10" x14ac:dyDescent="0.25">
      <c r="A91" s="187">
        <v>3</v>
      </c>
      <c r="B91" s="187">
        <v>25</v>
      </c>
      <c r="C91" s="188">
        <v>406.88</v>
      </c>
      <c r="D91" s="191">
        <f t="shared" si="9"/>
        <v>362.75</v>
      </c>
      <c r="E91" s="191">
        <f t="shared" si="10"/>
        <v>363.33541666666667</v>
      </c>
      <c r="F91" s="193">
        <f t="shared" si="11"/>
        <v>1.1198467898693241</v>
      </c>
      <c r="G91" s="194">
        <v>1.1087416074488894</v>
      </c>
      <c r="H91" s="191">
        <f t="shared" si="13"/>
        <v>363.33541666666667</v>
      </c>
      <c r="I91" s="189">
        <f t="shared" si="8"/>
        <v>362.91250000000002</v>
      </c>
      <c r="J91" s="195">
        <f t="shared" si="14"/>
        <v>43.544583333333321</v>
      </c>
    </row>
    <row r="92" spans="1:10" x14ac:dyDescent="0.25">
      <c r="A92" s="187">
        <v>3</v>
      </c>
      <c r="B92" s="187">
        <v>26</v>
      </c>
      <c r="C92" s="188">
        <v>367.92</v>
      </c>
      <c r="D92" s="191">
        <f t="shared" si="9"/>
        <v>363.92083333333335</v>
      </c>
      <c r="E92" s="191">
        <f t="shared" si="10"/>
        <v>364.40875000000005</v>
      </c>
      <c r="F92" s="193">
        <f t="shared" si="11"/>
        <v>1.0096354711570454</v>
      </c>
      <c r="G92" s="194">
        <v>0.90221538737884588</v>
      </c>
      <c r="H92" s="191">
        <f t="shared" si="13"/>
        <v>364.40875000000005</v>
      </c>
      <c r="I92" s="189">
        <f t="shared" si="8"/>
        <v>364.88940000000002</v>
      </c>
      <c r="J92" s="195">
        <f t="shared" si="14"/>
        <v>3.5112499999999613</v>
      </c>
    </row>
    <row r="93" spans="1:10" x14ac:dyDescent="0.25">
      <c r="A93" s="187">
        <v>3</v>
      </c>
      <c r="B93" s="187">
        <v>27</v>
      </c>
      <c r="C93" s="188">
        <v>382.35</v>
      </c>
      <c r="D93" s="191">
        <f t="shared" si="9"/>
        <v>364.8966666666667</v>
      </c>
      <c r="E93" s="191">
        <f t="shared" si="10"/>
        <v>364.8966666666667</v>
      </c>
      <c r="F93" s="193">
        <f t="shared" si="11"/>
        <v>1.0478308927641615</v>
      </c>
      <c r="G93" s="199">
        <v>0.84627475843551714</v>
      </c>
      <c r="H93" s="191">
        <f t="shared" si="13"/>
        <v>364.8966666666667</v>
      </c>
      <c r="I93" s="200">
        <f t="shared" si="8"/>
        <v>366.86630000000002</v>
      </c>
      <c r="J93" s="195">
        <f t="shared" si="14"/>
        <v>17.453333333333319</v>
      </c>
    </row>
    <row r="94" spans="1:10" x14ac:dyDescent="0.25">
      <c r="A94" s="187">
        <v>3</v>
      </c>
      <c r="B94" s="187">
        <v>28</v>
      </c>
      <c r="C94" s="188">
        <v>295.77999999999997</v>
      </c>
      <c r="D94" s="191"/>
      <c r="E94" s="191"/>
      <c r="F94" s="193"/>
      <c r="G94" s="199">
        <v>1.0484214603756783</v>
      </c>
      <c r="H94" s="191">
        <f t="shared" ref="H94:H114" si="15">I94/G94</f>
        <v>351.80813626977204</v>
      </c>
      <c r="I94" s="200">
        <f t="shared" si="8"/>
        <v>368.84320000000002</v>
      </c>
      <c r="J94" s="195"/>
    </row>
    <row r="95" spans="1:10" x14ac:dyDescent="0.25">
      <c r="A95" s="187">
        <v>3</v>
      </c>
      <c r="B95" s="187">
        <v>29</v>
      </c>
      <c r="C95" s="188">
        <v>302.99</v>
      </c>
      <c r="D95" s="191"/>
      <c r="E95" s="191"/>
      <c r="F95" s="193"/>
      <c r="G95" s="199">
        <v>1.1028247735711048</v>
      </c>
      <c r="H95" s="191">
        <f t="shared" si="15"/>
        <v>336.24571091129133</v>
      </c>
      <c r="I95" s="200">
        <f t="shared" si="8"/>
        <v>370.82010000000002</v>
      </c>
      <c r="J95" s="195"/>
    </row>
    <row r="96" spans="1:10" x14ac:dyDescent="0.25">
      <c r="A96" s="187">
        <v>3</v>
      </c>
      <c r="B96" s="187">
        <v>30</v>
      </c>
      <c r="C96" s="188">
        <v>230.85</v>
      </c>
      <c r="D96" s="191"/>
      <c r="E96" s="191"/>
      <c r="F96" s="193"/>
      <c r="G96" s="199">
        <v>0.91023867879106246</v>
      </c>
      <c r="H96" s="191">
        <f t="shared" si="15"/>
        <v>409.55961187579067</v>
      </c>
      <c r="I96" s="200">
        <f t="shared" si="8"/>
        <v>372.79700000000003</v>
      </c>
      <c r="J96" s="195"/>
    </row>
    <row r="97" spans="1:10" x14ac:dyDescent="0.25">
      <c r="A97" s="187">
        <v>3</v>
      </c>
      <c r="B97" s="187">
        <v>31</v>
      </c>
      <c r="C97" s="188">
        <v>388.52</v>
      </c>
      <c r="D97" s="191"/>
      <c r="E97" s="191"/>
      <c r="F97" s="193"/>
      <c r="G97" s="199">
        <v>0.82476945755177233</v>
      </c>
      <c r="H97" s="191">
        <f t="shared" si="15"/>
        <v>454.39837347089781</v>
      </c>
      <c r="I97" s="200">
        <f t="shared" si="8"/>
        <v>374.77390000000003</v>
      </c>
      <c r="J97" s="195"/>
    </row>
    <row r="98" spans="1:10" x14ac:dyDescent="0.25">
      <c r="A98" s="187">
        <v>3</v>
      </c>
      <c r="B98" s="187">
        <v>32</v>
      </c>
      <c r="C98" s="188">
        <v>407.25</v>
      </c>
      <c r="D98" s="191"/>
      <c r="E98" s="191"/>
      <c r="F98" s="193"/>
      <c r="G98" s="199">
        <v>1.0565356977726288</v>
      </c>
      <c r="H98" s="191">
        <f t="shared" si="15"/>
        <v>356.59069617265169</v>
      </c>
      <c r="I98" s="200">
        <f t="shared" si="8"/>
        <v>376.75080000000003</v>
      </c>
      <c r="J98" s="195"/>
    </row>
    <row r="99" spans="1:10" x14ac:dyDescent="0.25">
      <c r="A99" s="187">
        <v>3</v>
      </c>
      <c r="B99" s="187">
        <v>33</v>
      </c>
      <c r="C99" s="188">
        <v>294.89999999999998</v>
      </c>
      <c r="D99" s="191"/>
      <c r="E99" s="189"/>
      <c r="F99" s="193"/>
      <c r="G99" s="199">
        <v>1.1205186558695708</v>
      </c>
      <c r="H99" s="191">
        <f t="shared" si="15"/>
        <v>337.99321235405137</v>
      </c>
      <c r="I99" s="200">
        <f t="shared" si="8"/>
        <v>378.72770000000003</v>
      </c>
      <c r="J99" s="195"/>
    </row>
    <row r="100" spans="1:10" x14ac:dyDescent="0.25">
      <c r="A100" s="187">
        <v>3</v>
      </c>
      <c r="B100" s="187">
        <v>34</v>
      </c>
      <c r="C100" s="188">
        <v>346.39</v>
      </c>
      <c r="D100" s="191"/>
      <c r="E100" s="189"/>
      <c r="F100" s="193"/>
      <c r="G100" s="199">
        <v>0.90788119827533909</v>
      </c>
      <c r="H100" s="191">
        <f t="shared" si="15"/>
        <v>419.33305891035894</v>
      </c>
      <c r="I100" s="200">
        <f t="shared" si="8"/>
        <v>380.70460000000003</v>
      </c>
      <c r="J100" s="195"/>
    </row>
    <row r="101" spans="1:10" x14ac:dyDescent="0.25">
      <c r="A101" s="187">
        <v>3</v>
      </c>
      <c r="B101" s="187">
        <v>35</v>
      </c>
      <c r="C101" s="188">
        <v>404.91</v>
      </c>
      <c r="D101" s="191"/>
      <c r="E101" s="189"/>
      <c r="F101" s="193"/>
      <c r="G101" s="199">
        <v>0.82517802209962721</v>
      </c>
      <c r="H101" s="191">
        <f t="shared" si="15"/>
        <v>463.75629228016118</v>
      </c>
      <c r="I101" s="200">
        <f t="shared" si="8"/>
        <v>382.68150000000003</v>
      </c>
      <c r="J101" s="195"/>
    </row>
    <row r="102" spans="1:10" x14ac:dyDescent="0.25">
      <c r="A102" s="187">
        <v>3</v>
      </c>
      <c r="B102" s="187">
        <v>36</v>
      </c>
      <c r="C102" s="188">
        <v>550.02</v>
      </c>
      <c r="D102" s="191"/>
      <c r="E102" s="189"/>
      <c r="F102" s="193"/>
      <c r="G102" s="199">
        <v>1.0604924065109025</v>
      </c>
      <c r="H102" s="191">
        <f t="shared" si="15"/>
        <v>362.71678857706701</v>
      </c>
      <c r="I102" s="200">
        <f t="shared" si="8"/>
        <v>384.65840000000003</v>
      </c>
      <c r="J102" s="195"/>
    </row>
    <row r="103" spans="1:10" x14ac:dyDescent="0.25">
      <c r="A103" s="187">
        <v>4</v>
      </c>
      <c r="B103" s="187">
        <v>37</v>
      </c>
      <c r="C103" s="188"/>
      <c r="D103" s="191"/>
      <c r="E103" s="189"/>
      <c r="F103" s="193"/>
      <c r="G103" s="193">
        <v>1.047819734169787</v>
      </c>
      <c r="H103" s="191">
        <f t="shared" si="15"/>
        <v>368.99028276685448</v>
      </c>
      <c r="I103" s="200">
        <f t="shared" si="8"/>
        <v>386.63530000000003</v>
      </c>
      <c r="J103" s="195"/>
    </row>
    <row r="104" spans="1:10" x14ac:dyDescent="0.25">
      <c r="A104" s="187">
        <v>4</v>
      </c>
      <c r="B104" s="187">
        <v>38</v>
      </c>
      <c r="C104" s="188"/>
      <c r="D104" s="191"/>
      <c r="E104" s="189"/>
      <c r="F104" s="193"/>
      <c r="G104" s="193">
        <v>1.1057415097985575</v>
      </c>
      <c r="H104" s="191">
        <f t="shared" si="15"/>
        <v>351.44940888652798</v>
      </c>
      <c r="I104" s="200">
        <f t="shared" si="8"/>
        <v>388.61220000000003</v>
      </c>
      <c r="J104" s="195"/>
    </row>
    <row r="105" spans="1:10" x14ac:dyDescent="0.25">
      <c r="A105" s="187">
        <v>4</v>
      </c>
      <c r="B105" s="187">
        <v>39</v>
      </c>
      <c r="C105" s="188"/>
      <c r="D105" s="191"/>
      <c r="E105" s="189"/>
      <c r="F105" s="193"/>
      <c r="G105" s="193">
        <v>0.90886073178828752</v>
      </c>
      <c r="H105" s="191">
        <f t="shared" si="15"/>
        <v>429.75682229275247</v>
      </c>
      <c r="I105" s="200">
        <f t="shared" si="8"/>
        <v>390.58910000000003</v>
      </c>
      <c r="J105" s="195"/>
    </row>
    <row r="106" spans="1:10" x14ac:dyDescent="0.25">
      <c r="A106" s="187">
        <v>4</v>
      </c>
      <c r="B106" s="187">
        <v>40</v>
      </c>
      <c r="C106" s="188"/>
      <c r="D106" s="191"/>
      <c r="E106" s="189"/>
      <c r="F106" s="193"/>
      <c r="G106" s="193">
        <v>0.8482768779607136</v>
      </c>
      <c r="H106" s="191">
        <f t="shared" si="15"/>
        <v>462.7805026865073</v>
      </c>
      <c r="I106" s="200">
        <f t="shared" si="8"/>
        <v>392.56600000000003</v>
      </c>
      <c r="J106" s="195"/>
    </row>
    <row r="107" spans="1:10" x14ac:dyDescent="0.25">
      <c r="A107" s="187">
        <v>4</v>
      </c>
      <c r="B107" s="187">
        <v>41</v>
      </c>
      <c r="C107" s="188"/>
      <c r="D107" s="191"/>
      <c r="E107" s="189"/>
      <c r="F107" s="193"/>
      <c r="G107" s="193">
        <v>1.0460042047249996</v>
      </c>
      <c r="H107" s="191">
        <f t="shared" si="15"/>
        <v>377.19054877387191</v>
      </c>
      <c r="I107" s="200">
        <f t="shared" si="8"/>
        <v>394.54290000000003</v>
      </c>
      <c r="J107" s="195"/>
    </row>
    <row r="108" spans="1:10" x14ac:dyDescent="0.25">
      <c r="A108" s="187">
        <v>4</v>
      </c>
      <c r="B108" s="187">
        <v>42</v>
      </c>
      <c r="C108" s="188"/>
      <c r="D108" s="191"/>
      <c r="E108" s="189"/>
      <c r="F108" s="193"/>
      <c r="G108" s="193">
        <v>1.1087416074488894</v>
      </c>
      <c r="H108" s="191">
        <f t="shared" si="15"/>
        <v>357.63048607182242</v>
      </c>
      <c r="I108" s="200">
        <f t="shared" si="8"/>
        <v>396.51980000000003</v>
      </c>
      <c r="J108" s="195"/>
    </row>
    <row r="109" spans="1:10" x14ac:dyDescent="0.25">
      <c r="A109" s="187">
        <v>4</v>
      </c>
      <c r="B109" s="187">
        <v>43</v>
      </c>
      <c r="C109" s="188"/>
      <c r="D109" s="191"/>
      <c r="E109" s="189"/>
      <c r="F109" s="193"/>
      <c r="G109" s="193">
        <v>0.90221538737884588</v>
      </c>
      <c r="H109" s="191">
        <f t="shared" si="15"/>
        <v>441.68688051057234</v>
      </c>
      <c r="I109" s="200">
        <f t="shared" si="8"/>
        <v>398.49670000000003</v>
      </c>
      <c r="J109" s="195"/>
    </row>
    <row r="110" spans="1:10" x14ac:dyDescent="0.25">
      <c r="A110" s="187">
        <v>4</v>
      </c>
      <c r="B110" s="187">
        <v>44</v>
      </c>
      <c r="C110" s="188"/>
      <c r="D110" s="191"/>
      <c r="E110" s="189"/>
      <c r="F110" s="193"/>
      <c r="G110" s="193">
        <v>0.84627475843551714</v>
      </c>
      <c r="H110" s="191">
        <f t="shared" si="15"/>
        <v>473.21936050691573</v>
      </c>
      <c r="I110" s="200">
        <f t="shared" si="8"/>
        <v>400.47360000000003</v>
      </c>
      <c r="J110" s="195"/>
    </row>
    <row r="111" spans="1:10" x14ac:dyDescent="0.25">
      <c r="A111" s="187">
        <v>4</v>
      </c>
      <c r="B111" s="187">
        <v>45</v>
      </c>
      <c r="C111" s="188"/>
      <c r="D111" s="191"/>
      <c r="E111" s="189"/>
      <c r="F111" s="193"/>
      <c r="G111" s="193">
        <v>1.0484214603756783</v>
      </c>
      <c r="H111" s="191">
        <f t="shared" si="15"/>
        <v>383.86327942561468</v>
      </c>
      <c r="I111" s="200">
        <f t="shared" si="8"/>
        <v>402.45050000000003</v>
      </c>
      <c r="J111" s="195"/>
    </row>
    <row r="112" spans="1:10" x14ac:dyDescent="0.25">
      <c r="A112" s="187">
        <v>4</v>
      </c>
      <c r="B112" s="187">
        <v>46</v>
      </c>
      <c r="C112" s="188"/>
      <c r="D112" s="191"/>
      <c r="E112" s="189"/>
      <c r="F112" s="193"/>
      <c r="G112" s="193">
        <v>1.1028247735711048</v>
      </c>
      <c r="H112" s="191">
        <f t="shared" si="15"/>
        <v>366.7195457447026</v>
      </c>
      <c r="I112" s="200">
        <f t="shared" si="8"/>
        <v>404.42740000000003</v>
      </c>
      <c r="J112" s="195"/>
    </row>
    <row r="113" spans="1:10" x14ac:dyDescent="0.25">
      <c r="A113" s="187">
        <v>4</v>
      </c>
      <c r="B113" s="187">
        <v>47</v>
      </c>
      <c r="C113" s="188"/>
      <c r="D113" s="191"/>
      <c r="E113" s="189"/>
      <c r="F113" s="193"/>
      <c r="G113" s="193">
        <v>0.91023867879106246</v>
      </c>
      <c r="H113" s="191">
        <f t="shared" si="15"/>
        <v>446.48102686623656</v>
      </c>
      <c r="I113" s="200">
        <f t="shared" si="8"/>
        <v>406.40430000000003</v>
      </c>
      <c r="J113" s="195"/>
    </row>
    <row r="114" spans="1:10" x14ac:dyDescent="0.25">
      <c r="A114" s="187">
        <v>4</v>
      </c>
      <c r="B114" s="187">
        <v>48</v>
      </c>
      <c r="C114" s="188"/>
      <c r="D114" s="191"/>
      <c r="E114" s="189"/>
      <c r="F114" s="193"/>
      <c r="G114" s="193">
        <v>0.82476945755177233</v>
      </c>
      <c r="H114" s="191">
        <f t="shared" si="15"/>
        <v>495.14588138633297</v>
      </c>
      <c r="I114" s="200">
        <f t="shared" si="8"/>
        <v>408.38120000000004</v>
      </c>
      <c r="J114" s="195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0568-891B-4C59-AE08-5083D3AC9136}">
  <dimension ref="A1:L102"/>
  <sheetViews>
    <sheetView showGridLines="0" zoomScaleNormal="100" workbookViewId="0">
      <selection activeCell="N23" sqref="N23"/>
    </sheetView>
  </sheetViews>
  <sheetFormatPr baseColWidth="10" defaultColWidth="8.6640625" defaultRowHeight="13.8" x14ac:dyDescent="0.25"/>
  <cols>
    <col min="1" max="2" width="8.6640625" style="122"/>
    <col min="3" max="3" width="5.6640625" style="122" customWidth="1"/>
    <col min="4" max="5" width="9.6640625" style="122" customWidth="1"/>
    <col min="6" max="7" width="9.33203125" style="122" customWidth="1"/>
    <col min="8" max="8" width="3.6640625" style="122" customWidth="1"/>
    <col min="9" max="10" width="8.6640625" style="122"/>
    <col min="11" max="12" width="9.33203125" style="122" bestFit="1" customWidth="1"/>
    <col min="13" max="16384" width="8.6640625" style="122"/>
  </cols>
  <sheetData>
    <row r="1" spans="1:12" ht="14.4" thickBot="1" x14ac:dyDescent="0.3">
      <c r="A1" s="121" t="s">
        <v>154</v>
      </c>
      <c r="B1" s="126"/>
    </row>
    <row r="2" spans="1:12" x14ac:dyDescent="0.25">
      <c r="A2" s="126"/>
      <c r="B2" s="126"/>
    </row>
    <row r="3" spans="1:12" x14ac:dyDescent="0.25">
      <c r="A3" s="134" t="s">
        <v>167</v>
      </c>
      <c r="B3" s="126"/>
    </row>
    <row r="4" spans="1:12" x14ac:dyDescent="0.25">
      <c r="A4" s="134" t="s">
        <v>168</v>
      </c>
      <c r="B4" s="126"/>
    </row>
    <row r="5" spans="1:12" x14ac:dyDescent="0.25">
      <c r="A5" s="134" t="s">
        <v>169</v>
      </c>
      <c r="B5" s="126"/>
    </row>
    <row r="6" spans="1:12" x14ac:dyDescent="0.25">
      <c r="A6" s="134" t="s">
        <v>170</v>
      </c>
      <c r="B6" s="126"/>
    </row>
    <row r="7" spans="1:12" x14ac:dyDescent="0.25">
      <c r="A7" s="134" t="s">
        <v>171</v>
      </c>
      <c r="B7" s="126"/>
    </row>
    <row r="8" spans="1:12" x14ac:dyDescent="0.25">
      <c r="A8" s="134" t="s">
        <v>172</v>
      </c>
      <c r="B8" s="126"/>
    </row>
    <row r="9" spans="1:12" x14ac:dyDescent="0.25">
      <c r="A9" s="134" t="s">
        <v>173</v>
      </c>
      <c r="B9" s="126"/>
    </row>
    <row r="10" spans="1:12" x14ac:dyDescent="0.25">
      <c r="A10" s="134"/>
      <c r="B10" s="126"/>
    </row>
    <row r="11" spans="1:12" ht="14.4" thickBot="1" x14ac:dyDescent="0.3"/>
    <row r="12" spans="1:12" ht="15" thickBot="1" x14ac:dyDescent="0.35">
      <c r="A12" s="326" t="s">
        <v>25</v>
      </c>
      <c r="B12" s="327"/>
      <c r="D12" s="163" t="s">
        <v>155</v>
      </c>
      <c r="E12" s="163" t="s">
        <v>12</v>
      </c>
      <c r="F12" s="163" t="s">
        <v>156</v>
      </c>
      <c r="G12" s="163" t="s">
        <v>157</v>
      </c>
      <c r="H12" s="164"/>
      <c r="I12" s="163" t="s">
        <v>158</v>
      </c>
      <c r="J12" s="163" t="s">
        <v>12</v>
      </c>
      <c r="K12" s="163" t="s">
        <v>156</v>
      </c>
      <c r="L12" s="163" t="s">
        <v>157</v>
      </c>
    </row>
    <row r="13" spans="1:12" x14ac:dyDescent="0.25">
      <c r="A13" s="165">
        <v>40544</v>
      </c>
      <c r="B13" s="166">
        <v>242.65</v>
      </c>
      <c r="D13" s="167"/>
      <c r="E13" s="167"/>
      <c r="F13" s="167"/>
      <c r="G13" s="167"/>
      <c r="H13" s="128"/>
      <c r="I13" s="125"/>
    </row>
    <row r="14" spans="1:12" x14ac:dyDescent="0.25">
      <c r="A14" s="168">
        <v>40575</v>
      </c>
      <c r="B14" s="129">
        <v>178.63</v>
      </c>
      <c r="D14" s="167"/>
      <c r="E14" s="167"/>
      <c r="F14" s="167"/>
      <c r="G14" s="167"/>
      <c r="H14" s="128"/>
      <c r="I14" s="125"/>
    </row>
    <row r="15" spans="1:12" x14ac:dyDescent="0.25">
      <c r="A15" s="168">
        <v>40603</v>
      </c>
      <c r="B15" s="129">
        <v>152.82</v>
      </c>
      <c r="D15" s="167"/>
      <c r="E15" s="167"/>
      <c r="F15" s="167"/>
      <c r="G15" s="167"/>
      <c r="H15" s="128"/>
      <c r="I15" s="125"/>
    </row>
    <row r="16" spans="1:12" x14ac:dyDescent="0.25">
      <c r="A16" s="168">
        <v>40634</v>
      </c>
      <c r="B16" s="129">
        <v>130.1</v>
      </c>
      <c r="D16" s="167"/>
      <c r="E16" s="167"/>
      <c r="F16" s="167"/>
      <c r="G16" s="167"/>
      <c r="H16" s="128"/>
      <c r="I16" s="125"/>
    </row>
    <row r="17" spans="1:12" x14ac:dyDescent="0.25">
      <c r="A17" s="168">
        <v>40664</v>
      </c>
      <c r="B17" s="129">
        <v>179.67</v>
      </c>
      <c r="D17" s="167">
        <f>SUM(B13:B16)/4</f>
        <v>176.04999999999998</v>
      </c>
      <c r="E17" s="167">
        <f>D17-B17</f>
        <v>-3.6200000000000045</v>
      </c>
      <c r="F17" s="167">
        <f>ABS(E17)</f>
        <v>3.6200000000000045</v>
      </c>
      <c r="G17" s="169">
        <f>F17*F17</f>
        <v>13.104400000000034</v>
      </c>
      <c r="H17" s="170"/>
      <c r="I17" s="125"/>
    </row>
    <row r="18" spans="1:12" x14ac:dyDescent="0.25">
      <c r="A18" s="168">
        <v>40695</v>
      </c>
      <c r="B18" s="129">
        <v>171.41</v>
      </c>
      <c r="D18" s="167">
        <f>SUM(B14:B17)/4</f>
        <v>160.30499999999998</v>
      </c>
      <c r="E18" s="167">
        <f>D18-B18</f>
        <v>-11.105000000000018</v>
      </c>
      <c r="F18" s="167">
        <f t="shared" ref="F18:F48" si="0">ABS(E18)</f>
        <v>11.105000000000018</v>
      </c>
      <c r="G18" s="169">
        <f t="shared" ref="G18:G48" si="1">F18*F18</f>
        <v>123.3210250000004</v>
      </c>
      <c r="H18" s="170"/>
      <c r="I18" s="125"/>
    </row>
    <row r="19" spans="1:12" x14ac:dyDescent="0.25">
      <c r="A19" s="168">
        <v>40725</v>
      </c>
      <c r="B19" s="129">
        <v>177.58</v>
      </c>
      <c r="D19" s="167">
        <f t="shared" ref="D19:D48" si="2">SUM(B15:B18)/4</f>
        <v>158.49999999999997</v>
      </c>
      <c r="E19" s="167">
        <f t="shared" ref="E19:E48" si="3">D19-B19</f>
        <v>-19.080000000000041</v>
      </c>
      <c r="F19" s="167">
        <f t="shared" si="0"/>
        <v>19.080000000000041</v>
      </c>
      <c r="G19" s="169">
        <f t="shared" si="1"/>
        <v>364.04640000000154</v>
      </c>
      <c r="H19" s="170"/>
      <c r="I19" s="125"/>
    </row>
    <row r="20" spans="1:12" x14ac:dyDescent="0.25">
      <c r="A20" s="168">
        <v>40756</v>
      </c>
      <c r="B20" s="129">
        <v>209.77</v>
      </c>
      <c r="D20" s="167">
        <f t="shared" si="2"/>
        <v>164.69</v>
      </c>
      <c r="E20" s="167">
        <f t="shared" si="3"/>
        <v>-45.080000000000013</v>
      </c>
      <c r="F20" s="167">
        <f t="shared" si="0"/>
        <v>45.080000000000013</v>
      </c>
      <c r="G20" s="169">
        <f t="shared" si="1"/>
        <v>2032.2064000000012</v>
      </c>
      <c r="H20" s="170"/>
      <c r="I20" s="125"/>
    </row>
    <row r="21" spans="1:12" x14ac:dyDescent="0.25">
      <c r="A21" s="168">
        <v>40787</v>
      </c>
      <c r="B21" s="129">
        <v>204.77</v>
      </c>
      <c r="D21" s="167">
        <f t="shared" si="2"/>
        <v>184.60749999999999</v>
      </c>
      <c r="E21" s="167">
        <f t="shared" si="3"/>
        <v>-20.162500000000023</v>
      </c>
      <c r="F21" s="167">
        <f t="shared" si="0"/>
        <v>20.162500000000023</v>
      </c>
      <c r="G21" s="169">
        <f t="shared" si="1"/>
        <v>406.52640625000089</v>
      </c>
      <c r="H21" s="170"/>
      <c r="I21" s="125"/>
    </row>
    <row r="22" spans="1:12" x14ac:dyDescent="0.25">
      <c r="A22" s="168">
        <v>40817</v>
      </c>
      <c r="B22" s="129">
        <v>264.7</v>
      </c>
      <c r="D22" s="167">
        <f t="shared" si="2"/>
        <v>190.88249999999999</v>
      </c>
      <c r="E22" s="167">
        <f t="shared" si="3"/>
        <v>-73.817499999999995</v>
      </c>
      <c r="F22" s="167">
        <f t="shared" si="0"/>
        <v>73.817499999999995</v>
      </c>
      <c r="G22" s="169">
        <f t="shared" si="1"/>
        <v>5449.0233062499992</v>
      </c>
      <c r="H22" s="170"/>
      <c r="I22" s="125"/>
    </row>
    <row r="23" spans="1:12" x14ac:dyDescent="0.25">
      <c r="A23" s="168">
        <v>40848</v>
      </c>
      <c r="B23" s="129">
        <v>254.72</v>
      </c>
      <c r="D23" s="167">
        <f t="shared" si="2"/>
        <v>214.20499999999998</v>
      </c>
      <c r="E23" s="167">
        <f t="shared" si="3"/>
        <v>-40.515000000000015</v>
      </c>
      <c r="F23" s="167">
        <f t="shared" si="0"/>
        <v>40.515000000000015</v>
      </c>
      <c r="G23" s="169">
        <f t="shared" si="1"/>
        <v>1641.4652250000013</v>
      </c>
      <c r="H23" s="170"/>
      <c r="I23" s="125"/>
    </row>
    <row r="24" spans="1:12" x14ac:dyDescent="0.25">
      <c r="A24" s="168">
        <v>40878</v>
      </c>
      <c r="B24" s="129">
        <v>281.69</v>
      </c>
      <c r="D24" s="167">
        <f t="shared" si="2"/>
        <v>233.49</v>
      </c>
      <c r="E24" s="167">
        <f t="shared" si="3"/>
        <v>-48.199999999999989</v>
      </c>
      <c r="F24" s="167">
        <f t="shared" si="0"/>
        <v>48.199999999999989</v>
      </c>
      <c r="G24" s="169">
        <f t="shared" si="1"/>
        <v>2323.2399999999989</v>
      </c>
      <c r="H24" s="170"/>
      <c r="I24" s="125"/>
    </row>
    <row r="25" spans="1:12" x14ac:dyDescent="0.25">
      <c r="A25" s="168">
        <v>40909</v>
      </c>
      <c r="B25" s="129">
        <v>237.49</v>
      </c>
      <c r="D25" s="167">
        <f t="shared" si="2"/>
        <v>251.47000000000003</v>
      </c>
      <c r="E25" s="167">
        <f t="shared" si="3"/>
        <v>13.980000000000018</v>
      </c>
      <c r="F25" s="167">
        <f t="shared" si="0"/>
        <v>13.980000000000018</v>
      </c>
      <c r="G25" s="169">
        <f t="shared" si="1"/>
        <v>195.44040000000052</v>
      </c>
      <c r="H25" s="170"/>
      <c r="I25" s="167">
        <f t="shared" ref="I25:I48" si="4">SUM(B13:B24)/12</f>
        <v>204.04249999999999</v>
      </c>
      <c r="J25" s="171">
        <f>I25-B25</f>
        <v>-33.447500000000019</v>
      </c>
      <c r="K25" s="167">
        <f>ABS(J25)</f>
        <v>33.447500000000019</v>
      </c>
      <c r="L25" s="169">
        <f>K25*K25</f>
        <v>1118.7352562500014</v>
      </c>
    </row>
    <row r="26" spans="1:12" x14ac:dyDescent="0.25">
      <c r="A26" s="168">
        <v>40940</v>
      </c>
      <c r="B26" s="129">
        <v>172.44</v>
      </c>
      <c r="D26" s="167">
        <f t="shared" si="2"/>
        <v>259.64999999999998</v>
      </c>
      <c r="E26" s="167">
        <f t="shared" si="3"/>
        <v>87.20999999999998</v>
      </c>
      <c r="F26" s="167">
        <f t="shared" si="0"/>
        <v>87.20999999999998</v>
      </c>
      <c r="G26" s="169">
        <f t="shared" si="1"/>
        <v>7605.5840999999964</v>
      </c>
      <c r="H26" s="170"/>
      <c r="I26" s="167">
        <f t="shared" si="4"/>
        <v>203.61250000000004</v>
      </c>
      <c r="J26" s="171">
        <f t="shared" ref="J26:J48" si="5">I26-B26</f>
        <v>31.172500000000042</v>
      </c>
      <c r="K26" s="167">
        <f t="shared" ref="K26:K48" si="6">ABS(J26)</f>
        <v>31.172500000000042</v>
      </c>
      <c r="L26" s="169">
        <f t="shared" ref="L26:L48" si="7">K26*K26</f>
        <v>971.72475625000266</v>
      </c>
    </row>
    <row r="27" spans="1:12" x14ac:dyDescent="0.25">
      <c r="A27" s="168">
        <v>40969</v>
      </c>
      <c r="B27" s="129">
        <v>134.22999999999999</v>
      </c>
      <c r="D27" s="167">
        <f t="shared" si="2"/>
        <v>236.58499999999998</v>
      </c>
      <c r="E27" s="167">
        <f t="shared" si="3"/>
        <v>102.35499999999999</v>
      </c>
      <c r="F27" s="167">
        <f t="shared" si="0"/>
        <v>102.35499999999999</v>
      </c>
      <c r="G27" s="169">
        <f t="shared" si="1"/>
        <v>10476.546024999998</v>
      </c>
      <c r="H27" s="170"/>
      <c r="I27" s="167">
        <f t="shared" si="4"/>
        <v>203.09666666666669</v>
      </c>
      <c r="J27" s="171">
        <f t="shared" si="5"/>
        <v>68.866666666666703</v>
      </c>
      <c r="K27" s="167">
        <f t="shared" si="6"/>
        <v>68.866666666666703</v>
      </c>
      <c r="L27" s="169">
        <f t="shared" si="7"/>
        <v>4742.617777777783</v>
      </c>
    </row>
    <row r="28" spans="1:12" x14ac:dyDescent="0.25">
      <c r="A28" s="168">
        <v>41000</v>
      </c>
      <c r="B28" s="129">
        <v>125.97</v>
      </c>
      <c r="D28" s="167">
        <f t="shared" si="2"/>
        <v>206.46250000000003</v>
      </c>
      <c r="E28" s="167">
        <f t="shared" si="3"/>
        <v>80.492500000000035</v>
      </c>
      <c r="F28" s="167">
        <f t="shared" si="0"/>
        <v>80.492500000000035</v>
      </c>
      <c r="G28" s="169">
        <f t="shared" si="1"/>
        <v>6479.0425562500059</v>
      </c>
      <c r="H28" s="170"/>
      <c r="I28" s="167">
        <f t="shared" si="4"/>
        <v>201.54750000000001</v>
      </c>
      <c r="J28" s="171">
        <f t="shared" si="5"/>
        <v>75.577500000000015</v>
      </c>
      <c r="K28" s="167">
        <f t="shared" si="6"/>
        <v>75.577500000000015</v>
      </c>
      <c r="L28" s="169">
        <f t="shared" si="7"/>
        <v>5711.9585062500018</v>
      </c>
    </row>
    <row r="29" spans="1:12" x14ac:dyDescent="0.25">
      <c r="A29" s="168">
        <v>41030</v>
      </c>
      <c r="B29" s="129">
        <v>166.24</v>
      </c>
      <c r="D29" s="167">
        <f t="shared" si="2"/>
        <v>167.5325</v>
      </c>
      <c r="E29" s="167">
        <f t="shared" si="3"/>
        <v>1.2924999999999898</v>
      </c>
      <c r="F29" s="167">
        <f t="shared" si="0"/>
        <v>1.2924999999999898</v>
      </c>
      <c r="G29" s="169">
        <f t="shared" si="1"/>
        <v>1.6705562499999735</v>
      </c>
      <c r="H29" s="170"/>
      <c r="I29" s="167">
        <f t="shared" si="4"/>
        <v>201.20333333333329</v>
      </c>
      <c r="J29" s="171">
        <f t="shared" si="5"/>
        <v>34.963333333333281</v>
      </c>
      <c r="K29" s="167">
        <f t="shared" si="6"/>
        <v>34.963333333333281</v>
      </c>
      <c r="L29" s="169">
        <f t="shared" si="7"/>
        <v>1222.4346777777741</v>
      </c>
    </row>
    <row r="30" spans="1:12" x14ac:dyDescent="0.25">
      <c r="A30" s="168">
        <v>41061</v>
      </c>
      <c r="B30" s="129">
        <v>162.11000000000001</v>
      </c>
      <c r="D30" s="167">
        <f t="shared" si="2"/>
        <v>149.72</v>
      </c>
      <c r="E30" s="167">
        <f t="shared" si="3"/>
        <v>-12.390000000000015</v>
      </c>
      <c r="F30" s="167">
        <f t="shared" si="0"/>
        <v>12.390000000000015</v>
      </c>
      <c r="G30" s="169">
        <f t="shared" si="1"/>
        <v>153.51210000000037</v>
      </c>
      <c r="H30" s="170"/>
      <c r="I30" s="167">
        <f t="shared" si="4"/>
        <v>200.08416666666668</v>
      </c>
      <c r="J30" s="171">
        <f t="shared" si="5"/>
        <v>37.974166666666662</v>
      </c>
      <c r="K30" s="167">
        <f t="shared" si="6"/>
        <v>37.974166666666662</v>
      </c>
      <c r="L30" s="169">
        <f t="shared" si="7"/>
        <v>1442.0373340277774</v>
      </c>
    </row>
    <row r="31" spans="1:12" x14ac:dyDescent="0.25">
      <c r="A31" s="168">
        <v>41091</v>
      </c>
      <c r="B31" s="129">
        <v>148.83000000000001</v>
      </c>
      <c r="D31" s="167">
        <f t="shared" si="2"/>
        <v>147.13749999999999</v>
      </c>
      <c r="E31" s="167">
        <f t="shared" si="3"/>
        <v>-1.6925000000000239</v>
      </c>
      <c r="F31" s="167">
        <f t="shared" si="0"/>
        <v>1.6925000000000239</v>
      </c>
      <c r="G31" s="169">
        <f t="shared" si="1"/>
        <v>2.864556250000081</v>
      </c>
      <c r="H31" s="170"/>
      <c r="I31" s="167">
        <f t="shared" si="4"/>
        <v>199.3091666666667</v>
      </c>
      <c r="J31" s="171">
        <f t="shared" si="5"/>
        <v>50.479166666666686</v>
      </c>
      <c r="K31" s="167">
        <f t="shared" si="6"/>
        <v>50.479166666666686</v>
      </c>
      <c r="L31" s="169">
        <f t="shared" si="7"/>
        <v>2548.1462673611131</v>
      </c>
    </row>
    <row r="32" spans="1:12" x14ac:dyDescent="0.25">
      <c r="A32" s="168">
        <v>41122</v>
      </c>
      <c r="B32" s="129">
        <v>192.78</v>
      </c>
      <c r="D32" s="167">
        <f t="shared" si="2"/>
        <v>150.78750000000002</v>
      </c>
      <c r="E32" s="167">
        <f t="shared" si="3"/>
        <v>-41.992499999999978</v>
      </c>
      <c r="F32" s="167">
        <f t="shared" si="0"/>
        <v>41.992499999999978</v>
      </c>
      <c r="G32" s="169">
        <f t="shared" si="1"/>
        <v>1763.3700562499982</v>
      </c>
      <c r="H32" s="170"/>
      <c r="I32" s="167">
        <f t="shared" si="4"/>
        <v>196.91333333333338</v>
      </c>
      <c r="J32" s="171">
        <f t="shared" si="5"/>
        <v>4.1333333333333826</v>
      </c>
      <c r="K32" s="167">
        <f t="shared" si="6"/>
        <v>4.1333333333333826</v>
      </c>
      <c r="L32" s="169">
        <f t="shared" si="7"/>
        <v>17.084444444444852</v>
      </c>
    </row>
    <row r="33" spans="1:12" x14ac:dyDescent="0.25">
      <c r="A33" s="168">
        <v>41153</v>
      </c>
      <c r="B33" s="129">
        <v>192.78</v>
      </c>
      <c r="D33" s="167">
        <f t="shared" si="2"/>
        <v>167.49</v>
      </c>
      <c r="E33" s="167">
        <f t="shared" si="3"/>
        <v>-25.289999999999992</v>
      </c>
      <c r="F33" s="167">
        <f t="shared" si="0"/>
        <v>25.289999999999992</v>
      </c>
      <c r="G33" s="169">
        <f t="shared" si="1"/>
        <v>639.58409999999958</v>
      </c>
      <c r="H33" s="170"/>
      <c r="I33" s="167">
        <f t="shared" si="4"/>
        <v>195.49750000000003</v>
      </c>
      <c r="J33" s="171">
        <f t="shared" si="5"/>
        <v>2.7175000000000296</v>
      </c>
      <c r="K33" s="167">
        <f t="shared" si="6"/>
        <v>2.7175000000000296</v>
      </c>
      <c r="L33" s="169">
        <f t="shared" si="7"/>
        <v>7.3848062500001603</v>
      </c>
    </row>
    <row r="34" spans="1:12" x14ac:dyDescent="0.25">
      <c r="A34" s="168">
        <v>41183</v>
      </c>
      <c r="B34" s="129">
        <v>246.72</v>
      </c>
      <c r="D34" s="167">
        <f t="shared" si="2"/>
        <v>174.125</v>
      </c>
      <c r="E34" s="167">
        <f t="shared" si="3"/>
        <v>-72.594999999999999</v>
      </c>
      <c r="F34" s="167">
        <f t="shared" si="0"/>
        <v>72.594999999999999</v>
      </c>
      <c r="G34" s="169">
        <f t="shared" si="1"/>
        <v>5270.0340249999999</v>
      </c>
      <c r="H34" s="170"/>
      <c r="I34" s="167">
        <f t="shared" si="4"/>
        <v>194.49833333333336</v>
      </c>
      <c r="J34" s="171">
        <f t="shared" si="5"/>
        <v>-52.221666666666636</v>
      </c>
      <c r="K34" s="167">
        <f t="shared" si="6"/>
        <v>52.221666666666636</v>
      </c>
      <c r="L34" s="169">
        <f t="shared" si="7"/>
        <v>2727.1024694444413</v>
      </c>
    </row>
    <row r="35" spans="1:12" x14ac:dyDescent="0.25">
      <c r="A35" s="168">
        <v>41214</v>
      </c>
      <c r="B35" s="129">
        <v>237.73</v>
      </c>
      <c r="D35" s="167">
        <f t="shared" si="2"/>
        <v>195.2775</v>
      </c>
      <c r="E35" s="167">
        <f t="shared" si="3"/>
        <v>-42.452499999999986</v>
      </c>
      <c r="F35" s="167">
        <f t="shared" si="0"/>
        <v>42.452499999999986</v>
      </c>
      <c r="G35" s="169">
        <f t="shared" si="1"/>
        <v>1802.2147562499988</v>
      </c>
      <c r="H35" s="170"/>
      <c r="I35" s="167">
        <f t="shared" si="4"/>
        <v>192.99999999999997</v>
      </c>
      <c r="J35" s="171">
        <f t="shared" si="5"/>
        <v>-44.730000000000018</v>
      </c>
      <c r="K35" s="167">
        <f t="shared" si="6"/>
        <v>44.730000000000018</v>
      </c>
      <c r="L35" s="169">
        <f t="shared" si="7"/>
        <v>2000.7729000000015</v>
      </c>
    </row>
    <row r="36" spans="1:12" x14ac:dyDescent="0.25">
      <c r="A36" s="168">
        <v>41244</v>
      </c>
      <c r="B36" s="129">
        <v>262.70999999999998</v>
      </c>
      <c r="D36" s="167">
        <f t="shared" si="2"/>
        <v>217.5025</v>
      </c>
      <c r="E36" s="167">
        <f t="shared" si="3"/>
        <v>-45.207499999999982</v>
      </c>
      <c r="F36" s="167">
        <f t="shared" si="0"/>
        <v>45.207499999999982</v>
      </c>
      <c r="G36" s="169">
        <f t="shared" si="1"/>
        <v>2043.7180562499984</v>
      </c>
      <c r="H36" s="170"/>
      <c r="I36" s="167">
        <f t="shared" si="4"/>
        <v>191.58416666666665</v>
      </c>
      <c r="J36" s="171">
        <f t="shared" si="5"/>
        <v>-71.125833333333333</v>
      </c>
      <c r="K36" s="167">
        <f t="shared" si="6"/>
        <v>71.125833333333333</v>
      </c>
      <c r="L36" s="169">
        <f t="shared" si="7"/>
        <v>5058.8841673611114</v>
      </c>
    </row>
    <row r="37" spans="1:12" x14ac:dyDescent="0.25">
      <c r="A37" s="168">
        <v>41275</v>
      </c>
      <c r="B37" s="129">
        <v>212.71</v>
      </c>
      <c r="D37" s="167">
        <f t="shared" si="2"/>
        <v>234.98500000000001</v>
      </c>
      <c r="E37" s="167">
        <f t="shared" si="3"/>
        <v>22.275000000000006</v>
      </c>
      <c r="F37" s="167">
        <f t="shared" si="0"/>
        <v>22.275000000000006</v>
      </c>
      <c r="G37" s="169">
        <f t="shared" si="1"/>
        <v>496.17562500000025</v>
      </c>
      <c r="H37" s="170"/>
      <c r="I37" s="167">
        <f t="shared" si="4"/>
        <v>190.00249999999997</v>
      </c>
      <c r="J37" s="171">
        <f t="shared" si="5"/>
        <v>-22.707500000000039</v>
      </c>
      <c r="K37" s="167">
        <f t="shared" si="6"/>
        <v>22.707500000000039</v>
      </c>
      <c r="L37" s="169">
        <f t="shared" si="7"/>
        <v>515.63055625000175</v>
      </c>
    </row>
    <row r="38" spans="1:12" x14ac:dyDescent="0.25">
      <c r="A38" s="168">
        <v>41306</v>
      </c>
      <c r="B38" s="129">
        <v>156.94999999999999</v>
      </c>
      <c r="D38" s="167">
        <f t="shared" si="2"/>
        <v>239.9675</v>
      </c>
      <c r="E38" s="167">
        <f t="shared" si="3"/>
        <v>83.017500000000013</v>
      </c>
      <c r="F38" s="167">
        <f t="shared" si="0"/>
        <v>83.017500000000013</v>
      </c>
      <c r="G38" s="169">
        <f t="shared" si="1"/>
        <v>6891.9053062500025</v>
      </c>
      <c r="H38" s="170"/>
      <c r="I38" s="167">
        <f t="shared" si="4"/>
        <v>187.9375</v>
      </c>
      <c r="J38" s="171">
        <f t="shared" si="5"/>
        <v>30.987500000000011</v>
      </c>
      <c r="K38" s="167">
        <f t="shared" si="6"/>
        <v>30.987500000000011</v>
      </c>
      <c r="L38" s="169">
        <f t="shared" si="7"/>
        <v>960.22515625000074</v>
      </c>
    </row>
    <row r="39" spans="1:12" x14ac:dyDescent="0.25">
      <c r="A39" s="168">
        <v>41334</v>
      </c>
      <c r="B39" s="129">
        <v>134.22999999999999</v>
      </c>
      <c r="D39" s="167">
        <f t="shared" si="2"/>
        <v>217.52499999999998</v>
      </c>
      <c r="E39" s="167">
        <f t="shared" si="3"/>
        <v>83.294999999999987</v>
      </c>
      <c r="F39" s="167">
        <f t="shared" si="0"/>
        <v>83.294999999999987</v>
      </c>
      <c r="G39" s="169">
        <f t="shared" si="1"/>
        <v>6938.0570249999982</v>
      </c>
      <c r="H39" s="170"/>
      <c r="I39" s="167">
        <f t="shared" si="4"/>
        <v>186.64666666666665</v>
      </c>
      <c r="J39" s="171">
        <f t="shared" si="5"/>
        <v>52.416666666666657</v>
      </c>
      <c r="K39" s="167">
        <f t="shared" si="6"/>
        <v>52.416666666666657</v>
      </c>
      <c r="L39" s="169">
        <f t="shared" si="7"/>
        <v>2747.5069444444434</v>
      </c>
    </row>
    <row r="40" spans="1:12" x14ac:dyDescent="0.25">
      <c r="A40" s="168">
        <v>41365</v>
      </c>
      <c r="B40" s="129">
        <v>113.58</v>
      </c>
      <c r="D40" s="167">
        <f t="shared" si="2"/>
        <v>191.64999999999998</v>
      </c>
      <c r="E40" s="167">
        <f t="shared" si="3"/>
        <v>78.069999999999979</v>
      </c>
      <c r="F40" s="167">
        <f t="shared" si="0"/>
        <v>78.069999999999979</v>
      </c>
      <c r="G40" s="169">
        <f t="shared" si="1"/>
        <v>6094.9248999999963</v>
      </c>
      <c r="H40" s="170"/>
      <c r="I40" s="167">
        <f t="shared" si="4"/>
        <v>186.64666666666668</v>
      </c>
      <c r="J40" s="171">
        <f t="shared" si="5"/>
        <v>73.066666666666677</v>
      </c>
      <c r="K40" s="167">
        <f t="shared" si="6"/>
        <v>73.066666666666677</v>
      </c>
      <c r="L40" s="169">
        <f t="shared" si="7"/>
        <v>5338.7377777777792</v>
      </c>
    </row>
    <row r="41" spans="1:12" x14ac:dyDescent="0.25">
      <c r="A41" s="168">
        <v>41395</v>
      </c>
      <c r="B41" s="129">
        <v>156.94999999999999</v>
      </c>
      <c r="D41" s="167">
        <f t="shared" si="2"/>
        <v>154.36750000000001</v>
      </c>
      <c r="E41" s="167">
        <f t="shared" si="3"/>
        <v>-2.5824999999999818</v>
      </c>
      <c r="F41" s="167">
        <f t="shared" si="0"/>
        <v>2.5824999999999818</v>
      </c>
      <c r="G41" s="169">
        <f t="shared" si="1"/>
        <v>6.6693062499999058</v>
      </c>
      <c r="H41" s="170"/>
      <c r="I41" s="167">
        <f t="shared" si="4"/>
        <v>185.61416666666665</v>
      </c>
      <c r="J41" s="171">
        <f t="shared" si="5"/>
        <v>28.664166666666659</v>
      </c>
      <c r="K41" s="167">
        <f t="shared" si="6"/>
        <v>28.664166666666659</v>
      </c>
      <c r="L41" s="169">
        <f t="shared" si="7"/>
        <v>821.63445069444401</v>
      </c>
    </row>
    <row r="42" spans="1:12" x14ac:dyDescent="0.25">
      <c r="A42" s="168">
        <v>41426</v>
      </c>
      <c r="B42" s="129">
        <v>149.72</v>
      </c>
      <c r="D42" s="167">
        <f t="shared" si="2"/>
        <v>140.42749999999998</v>
      </c>
      <c r="E42" s="167">
        <f t="shared" si="3"/>
        <v>-9.2925000000000182</v>
      </c>
      <c r="F42" s="167">
        <f t="shared" si="0"/>
        <v>9.2925000000000182</v>
      </c>
      <c r="G42" s="169">
        <f t="shared" si="1"/>
        <v>86.350556250000338</v>
      </c>
      <c r="H42" s="170"/>
      <c r="I42" s="167">
        <f t="shared" si="4"/>
        <v>184.84</v>
      </c>
      <c r="J42" s="171">
        <f t="shared" si="5"/>
        <v>35.120000000000005</v>
      </c>
      <c r="K42" s="167">
        <f t="shared" si="6"/>
        <v>35.120000000000005</v>
      </c>
      <c r="L42" s="169">
        <f t="shared" si="7"/>
        <v>1233.4144000000003</v>
      </c>
    </row>
    <row r="43" spans="1:12" x14ac:dyDescent="0.25">
      <c r="A43" s="168">
        <v>41456</v>
      </c>
      <c r="B43" s="129">
        <v>139.84</v>
      </c>
      <c r="D43" s="167">
        <f t="shared" si="2"/>
        <v>138.62</v>
      </c>
      <c r="E43" s="167">
        <f t="shared" si="3"/>
        <v>-1.2199999999999989</v>
      </c>
      <c r="F43" s="167">
        <f t="shared" si="0"/>
        <v>1.2199999999999989</v>
      </c>
      <c r="G43" s="169">
        <f t="shared" si="1"/>
        <v>1.4883999999999973</v>
      </c>
      <c r="H43" s="170"/>
      <c r="I43" s="167">
        <f t="shared" si="4"/>
        <v>183.80749999999998</v>
      </c>
      <c r="J43" s="171">
        <f t="shared" si="5"/>
        <v>43.967499999999973</v>
      </c>
      <c r="K43" s="167">
        <f t="shared" si="6"/>
        <v>43.967499999999973</v>
      </c>
      <c r="L43" s="169">
        <f t="shared" si="7"/>
        <v>1933.1410562499975</v>
      </c>
    </row>
    <row r="44" spans="1:12" x14ac:dyDescent="0.25">
      <c r="A44" s="168">
        <v>41487</v>
      </c>
      <c r="B44" s="129">
        <v>183.79</v>
      </c>
      <c r="D44" s="167">
        <f t="shared" si="2"/>
        <v>140.02250000000001</v>
      </c>
      <c r="E44" s="167">
        <f t="shared" si="3"/>
        <v>-43.767499999999984</v>
      </c>
      <c r="F44" s="167">
        <f t="shared" si="0"/>
        <v>43.767499999999984</v>
      </c>
      <c r="G44" s="169">
        <f t="shared" si="1"/>
        <v>1915.5940562499986</v>
      </c>
      <c r="H44" s="170"/>
      <c r="I44" s="167">
        <f t="shared" si="4"/>
        <v>183.05833333333337</v>
      </c>
      <c r="J44" s="171">
        <f t="shared" si="5"/>
        <v>-0.7316666666666265</v>
      </c>
      <c r="K44" s="167">
        <f t="shared" si="6"/>
        <v>0.7316666666666265</v>
      </c>
      <c r="L44" s="169">
        <f t="shared" si="7"/>
        <v>0.53533611111105228</v>
      </c>
    </row>
    <row r="45" spans="1:12" x14ac:dyDescent="0.25">
      <c r="A45" s="168">
        <v>41518</v>
      </c>
      <c r="B45" s="129">
        <v>177.8</v>
      </c>
      <c r="D45" s="167">
        <f t="shared" si="2"/>
        <v>157.57499999999999</v>
      </c>
      <c r="E45" s="167">
        <f t="shared" si="3"/>
        <v>-20.225000000000023</v>
      </c>
      <c r="F45" s="167">
        <f t="shared" si="0"/>
        <v>20.225000000000023</v>
      </c>
      <c r="G45" s="169">
        <f t="shared" si="1"/>
        <v>409.05062500000093</v>
      </c>
      <c r="H45" s="170"/>
      <c r="I45" s="167">
        <f t="shared" si="4"/>
        <v>182.30916666666667</v>
      </c>
      <c r="J45" s="171">
        <f t="shared" si="5"/>
        <v>4.5091666666666583</v>
      </c>
      <c r="K45" s="167">
        <f t="shared" si="6"/>
        <v>4.5091666666666583</v>
      </c>
      <c r="L45" s="169">
        <f t="shared" si="7"/>
        <v>20.332584027777703</v>
      </c>
    </row>
    <row r="46" spans="1:12" x14ac:dyDescent="0.25">
      <c r="A46" s="168">
        <v>41548</v>
      </c>
      <c r="B46" s="129">
        <v>231.74</v>
      </c>
      <c r="D46" s="167">
        <f t="shared" si="2"/>
        <v>162.78750000000002</v>
      </c>
      <c r="E46" s="167">
        <f t="shared" si="3"/>
        <v>-68.952499999999986</v>
      </c>
      <c r="F46" s="167">
        <f t="shared" si="0"/>
        <v>68.952499999999986</v>
      </c>
      <c r="G46" s="169">
        <f t="shared" si="1"/>
        <v>4754.4472562499977</v>
      </c>
      <c r="H46" s="170"/>
      <c r="I46" s="167">
        <f t="shared" si="4"/>
        <v>181.06083333333333</v>
      </c>
      <c r="J46" s="171">
        <f t="shared" si="5"/>
        <v>-50.679166666666674</v>
      </c>
      <c r="K46" s="167">
        <f t="shared" si="6"/>
        <v>50.679166666666674</v>
      </c>
      <c r="L46" s="169">
        <f t="shared" si="7"/>
        <v>2568.3779340277783</v>
      </c>
    </row>
    <row r="47" spans="1:12" x14ac:dyDescent="0.25">
      <c r="A47" s="168">
        <v>41579</v>
      </c>
      <c r="B47" s="129">
        <v>231.74</v>
      </c>
      <c r="D47" s="167">
        <f t="shared" si="2"/>
        <v>183.29250000000002</v>
      </c>
      <c r="E47" s="167">
        <f t="shared" si="3"/>
        <v>-48.447499999999991</v>
      </c>
      <c r="F47" s="167">
        <f t="shared" si="0"/>
        <v>48.447499999999991</v>
      </c>
      <c r="G47" s="169">
        <f t="shared" si="1"/>
        <v>2347.1602562499993</v>
      </c>
      <c r="H47" s="170"/>
      <c r="I47" s="167">
        <f t="shared" si="4"/>
        <v>179.8125</v>
      </c>
      <c r="J47" s="171">
        <f t="shared" si="5"/>
        <v>-51.927500000000009</v>
      </c>
      <c r="K47" s="167">
        <f t="shared" si="6"/>
        <v>51.927500000000009</v>
      </c>
      <c r="L47" s="169">
        <f t="shared" si="7"/>
        <v>2696.4652562500009</v>
      </c>
    </row>
    <row r="48" spans="1:12" x14ac:dyDescent="0.25">
      <c r="A48" s="168">
        <v>41609</v>
      </c>
      <c r="B48" s="129">
        <v>241.73</v>
      </c>
      <c r="D48" s="167">
        <f t="shared" si="2"/>
        <v>206.26750000000001</v>
      </c>
      <c r="E48" s="167">
        <f t="shared" si="3"/>
        <v>-35.462499999999977</v>
      </c>
      <c r="F48" s="167">
        <f t="shared" si="0"/>
        <v>35.462499999999977</v>
      </c>
      <c r="G48" s="169">
        <f t="shared" si="1"/>
        <v>1257.5889062499984</v>
      </c>
      <c r="H48" s="170"/>
      <c r="I48" s="167">
        <f t="shared" si="4"/>
        <v>179.3133333333333</v>
      </c>
      <c r="J48" s="171">
        <f t="shared" si="5"/>
        <v>-62.416666666666686</v>
      </c>
      <c r="K48" s="167">
        <f t="shared" si="6"/>
        <v>62.416666666666686</v>
      </c>
      <c r="L48" s="169">
        <f t="shared" si="7"/>
        <v>3895.8402777777801</v>
      </c>
    </row>
    <row r="49" spans="1:12" ht="14.4" thickBot="1" x14ac:dyDescent="0.3"/>
    <row r="50" spans="1:12" ht="14.4" thickBot="1" x14ac:dyDescent="0.3">
      <c r="G50" s="172">
        <f>SUM(G17:G48)/32</f>
        <v>2499.5602083984381</v>
      </c>
      <c r="K50" s="173" t="s">
        <v>16</v>
      </c>
      <c r="L50" s="174">
        <f>SUM(L25:L48)/24</f>
        <v>2095.8635455439817</v>
      </c>
    </row>
    <row r="51" spans="1:12" x14ac:dyDescent="0.25">
      <c r="K51" s="122" t="s">
        <v>159</v>
      </c>
    </row>
    <row r="52" spans="1:12" ht="14.4" thickBot="1" x14ac:dyDescent="0.3">
      <c r="A52" s="122" t="s">
        <v>160</v>
      </c>
    </row>
    <row r="53" spans="1:12" ht="42" thickBot="1" x14ac:dyDescent="0.3">
      <c r="A53" s="328" t="s">
        <v>25</v>
      </c>
      <c r="B53" s="329"/>
      <c r="D53" s="175" t="s">
        <v>161</v>
      </c>
      <c r="E53" s="175" t="s">
        <v>162</v>
      </c>
      <c r="F53" s="175" t="s">
        <v>163</v>
      </c>
      <c r="G53" s="175" t="s">
        <v>164</v>
      </c>
      <c r="I53" s="175" t="s">
        <v>165</v>
      </c>
    </row>
    <row r="54" spans="1:12" x14ac:dyDescent="0.25">
      <c r="A54" s="165">
        <v>40544</v>
      </c>
      <c r="B54" s="166">
        <v>242.65</v>
      </c>
      <c r="C54" s="126">
        <v>1</v>
      </c>
      <c r="G54" s="176">
        <v>0.73143092155627276</v>
      </c>
      <c r="I54" s="177">
        <f>B54/G54</f>
        <v>331.74698095031476</v>
      </c>
    </row>
    <row r="55" spans="1:12" x14ac:dyDescent="0.25">
      <c r="A55" s="168">
        <v>40575</v>
      </c>
      <c r="B55" s="129">
        <v>178.63</v>
      </c>
      <c r="C55" s="126">
        <v>2</v>
      </c>
      <c r="D55" s="129"/>
      <c r="G55" s="167">
        <v>0.58803911521357677</v>
      </c>
      <c r="I55" s="169">
        <f t="shared" ref="I55:I89" si="8">B55/G55</f>
        <v>303.7723093218404</v>
      </c>
    </row>
    <row r="56" spans="1:12" x14ac:dyDescent="0.25">
      <c r="A56" s="168">
        <v>40603</v>
      </c>
      <c r="B56" s="129">
        <v>152.82</v>
      </c>
      <c r="C56" s="126">
        <v>3</v>
      </c>
      <c r="D56" s="129"/>
      <c r="G56" s="167">
        <v>0.79115934325636061</v>
      </c>
      <c r="I56" s="169">
        <f t="shared" si="8"/>
        <v>193.15957183922364</v>
      </c>
    </row>
    <row r="57" spans="1:12" x14ac:dyDescent="0.25">
      <c r="A57" s="168">
        <v>40634</v>
      </c>
      <c r="B57" s="129">
        <v>130.1</v>
      </c>
      <c r="C57" s="126">
        <v>4</v>
      </c>
      <c r="D57" s="167">
        <f>SUM(B54:B59)/6</f>
        <v>175.88</v>
      </c>
      <c r="E57" s="169">
        <f>(D57+D58)/2</f>
        <v>170.45749999999998</v>
      </c>
      <c r="F57" s="167">
        <f>B57/E57</f>
        <v>0.76324010383820018</v>
      </c>
      <c r="G57" s="178">
        <f>(F57+F69+F81)/3</f>
        <v>0.77435572275689502</v>
      </c>
      <c r="I57" s="169">
        <f t="shared" si="8"/>
        <v>168.01063926642436</v>
      </c>
    </row>
    <row r="58" spans="1:12" x14ac:dyDescent="0.25">
      <c r="A58" s="168">
        <v>40664</v>
      </c>
      <c r="B58" s="129">
        <v>179.67</v>
      </c>
      <c r="C58" s="126">
        <v>5</v>
      </c>
      <c r="D58" s="167">
        <f>SUM(B55:B60)/6</f>
        <v>165.035</v>
      </c>
      <c r="E58" s="169">
        <f>(D58+D59)/2</f>
        <v>167.63</v>
      </c>
      <c r="F58" s="167">
        <f t="shared" ref="F58:F86" si="9">B58/E58</f>
        <v>1.0718248523533973</v>
      </c>
      <c r="G58" s="178">
        <f>(F58+F70+F82)/3</f>
        <v>1.0816904565028211</v>
      </c>
      <c r="I58" s="169">
        <f t="shared" si="8"/>
        <v>166.10112340353388</v>
      </c>
    </row>
    <row r="59" spans="1:12" x14ac:dyDescent="0.25">
      <c r="A59" s="168">
        <v>40695</v>
      </c>
      <c r="B59" s="129">
        <v>171.41</v>
      </c>
      <c r="C59" s="126">
        <v>6</v>
      </c>
      <c r="D59" s="167">
        <f t="shared" ref="D59:D87" si="10">SUM(B56:B61)/6</f>
        <v>170.22499999999999</v>
      </c>
      <c r="E59" s="169">
        <f t="shared" ref="E59:E86" si="11">(D59+D60)/2</f>
        <v>174.55416666666667</v>
      </c>
      <c r="F59" s="167">
        <f t="shared" si="9"/>
        <v>0.98198744420308881</v>
      </c>
      <c r="G59" s="178">
        <f t="shared" ref="G59:G65" si="12">(F59+F71+F83)/3</f>
        <v>0.99800713140945418</v>
      </c>
      <c r="I59" s="169">
        <f t="shared" si="8"/>
        <v>171.75227972361583</v>
      </c>
    </row>
    <row r="60" spans="1:12" x14ac:dyDescent="0.25">
      <c r="A60" s="168">
        <v>40725</v>
      </c>
      <c r="B60" s="129">
        <v>177.58</v>
      </c>
      <c r="C60" s="126">
        <v>7</v>
      </c>
      <c r="D60" s="167">
        <f t="shared" si="10"/>
        <v>178.88333333333333</v>
      </c>
      <c r="E60" s="169">
        <f t="shared" si="11"/>
        <v>190.09999999999997</v>
      </c>
      <c r="F60" s="167">
        <f t="shared" si="9"/>
        <v>0.93413992635455045</v>
      </c>
      <c r="G60" s="178">
        <f t="shared" si="12"/>
        <v>0.88027954824121302</v>
      </c>
      <c r="I60" s="169">
        <f t="shared" si="8"/>
        <v>201.73137085236448</v>
      </c>
    </row>
    <row r="61" spans="1:12" x14ac:dyDescent="0.25">
      <c r="A61" s="168">
        <v>40756</v>
      </c>
      <c r="B61" s="129">
        <v>209.77</v>
      </c>
      <c r="C61" s="126">
        <v>8</v>
      </c>
      <c r="D61" s="167">
        <f t="shared" si="10"/>
        <v>201.31666666666663</v>
      </c>
      <c r="E61" s="169">
        <f t="shared" si="11"/>
        <v>207.57083333333333</v>
      </c>
      <c r="F61" s="167">
        <f t="shared" si="9"/>
        <v>1.0105947768833934</v>
      </c>
      <c r="G61" s="178">
        <f t="shared" si="12"/>
        <v>1.0147637245205654</v>
      </c>
      <c r="I61" s="169">
        <f t="shared" si="8"/>
        <v>206.71807134129455</v>
      </c>
    </row>
    <row r="62" spans="1:12" x14ac:dyDescent="0.25">
      <c r="A62" s="168">
        <v>40787</v>
      </c>
      <c r="B62" s="129">
        <v>204.77</v>
      </c>
      <c r="C62" s="126">
        <v>9</v>
      </c>
      <c r="D62" s="167">
        <f t="shared" si="10"/>
        <v>213.82500000000002</v>
      </c>
      <c r="E62" s="169">
        <f t="shared" si="11"/>
        <v>223.01500000000001</v>
      </c>
      <c r="F62" s="167">
        <f t="shared" si="9"/>
        <v>0.91818935946012603</v>
      </c>
      <c r="G62" s="178">
        <f t="shared" si="12"/>
        <v>0.92559230279245608</v>
      </c>
      <c r="I62" s="169">
        <f t="shared" si="8"/>
        <v>221.23131251439892</v>
      </c>
    </row>
    <row r="63" spans="1:12" x14ac:dyDescent="0.25">
      <c r="A63" s="168">
        <v>40817</v>
      </c>
      <c r="B63" s="129">
        <v>264.7</v>
      </c>
      <c r="C63" s="126">
        <v>10</v>
      </c>
      <c r="D63" s="167">
        <f t="shared" si="10"/>
        <v>232.20500000000001</v>
      </c>
      <c r="E63" s="169">
        <f t="shared" si="11"/>
        <v>237.19750000000002</v>
      </c>
      <c r="F63" s="167">
        <f t="shared" si="9"/>
        <v>1.1159476807301931</v>
      </c>
      <c r="G63" s="178">
        <f t="shared" si="12"/>
        <v>0.74765348274756604</v>
      </c>
      <c r="I63" s="169">
        <f t="shared" si="8"/>
        <v>354.04101780847583</v>
      </c>
    </row>
    <row r="64" spans="1:12" x14ac:dyDescent="0.25">
      <c r="A64" s="168">
        <v>40848</v>
      </c>
      <c r="B64" s="129">
        <v>254.72</v>
      </c>
      <c r="C64" s="126">
        <v>11</v>
      </c>
      <c r="D64" s="167">
        <f t="shared" si="10"/>
        <v>242.19000000000003</v>
      </c>
      <c r="E64" s="169">
        <f t="shared" si="11"/>
        <v>239.07916666666671</v>
      </c>
      <c r="F64" s="167">
        <f t="shared" si="9"/>
        <v>1.0654211471095696</v>
      </c>
      <c r="G64" s="178">
        <f t="shared" si="12"/>
        <v>0.71329829395654298</v>
      </c>
      <c r="I64" s="169">
        <f t="shared" si="8"/>
        <v>357.10165320473703</v>
      </c>
    </row>
    <row r="65" spans="1:11" x14ac:dyDescent="0.25">
      <c r="A65" s="168">
        <v>40878</v>
      </c>
      <c r="B65" s="129">
        <v>281.69</v>
      </c>
      <c r="C65" s="126">
        <v>12</v>
      </c>
      <c r="D65" s="167">
        <f t="shared" si="10"/>
        <v>235.96833333333336</v>
      </c>
      <c r="E65" s="169">
        <f t="shared" si="11"/>
        <v>230.09000000000003</v>
      </c>
      <c r="F65" s="167">
        <f t="shared" si="9"/>
        <v>1.224260072145682</v>
      </c>
      <c r="G65" s="178">
        <f t="shared" si="12"/>
        <v>0.81846686762343424</v>
      </c>
      <c r="I65" s="169">
        <f t="shared" si="8"/>
        <v>344.16787183815711</v>
      </c>
    </row>
    <row r="66" spans="1:11" x14ac:dyDescent="0.25">
      <c r="A66" s="168">
        <v>40909</v>
      </c>
      <c r="B66" s="129">
        <v>237.49</v>
      </c>
      <c r="C66" s="126">
        <v>13</v>
      </c>
      <c r="D66" s="167">
        <f t="shared" si="10"/>
        <v>224.21166666666667</v>
      </c>
      <c r="E66" s="169">
        <f t="shared" si="11"/>
        <v>212.65083333333334</v>
      </c>
      <c r="F66" s="167">
        <f t="shared" si="9"/>
        <v>1.1168072858088964</v>
      </c>
      <c r="G66" s="178">
        <f>(F66+F78+F91)/3</f>
        <v>0.97524122874169705</v>
      </c>
      <c r="I66" s="169">
        <f t="shared" si="8"/>
        <v>243.51923708805973</v>
      </c>
    </row>
    <row r="67" spans="1:11" x14ac:dyDescent="0.25">
      <c r="A67" s="168">
        <v>40940</v>
      </c>
      <c r="B67" s="129">
        <v>172.44</v>
      </c>
      <c r="C67" s="126">
        <v>14</v>
      </c>
      <c r="D67" s="167">
        <f t="shared" si="10"/>
        <v>201.09</v>
      </c>
      <c r="E67" s="169">
        <f t="shared" si="11"/>
        <v>193.7166666666667</v>
      </c>
      <c r="F67" s="167">
        <f t="shared" si="9"/>
        <v>0.89016605007313077</v>
      </c>
      <c r="G67" s="178">
        <f>(F67+F79+F92)/3</f>
        <v>0.78405215361810232</v>
      </c>
      <c r="I67" s="169">
        <f t="shared" si="8"/>
        <v>219.93434901524728</v>
      </c>
    </row>
    <row r="68" spans="1:11" x14ac:dyDescent="0.25">
      <c r="A68" s="168">
        <v>40969</v>
      </c>
      <c r="B68" s="129">
        <v>134.22999999999999</v>
      </c>
      <c r="C68" s="126">
        <v>15</v>
      </c>
      <c r="D68" s="167">
        <f t="shared" si="10"/>
        <v>186.34333333333336</v>
      </c>
      <c r="E68" s="169">
        <f t="shared" si="11"/>
        <v>176.37833333333333</v>
      </c>
      <c r="F68" s="167">
        <f t="shared" si="9"/>
        <v>0.76103451860111304</v>
      </c>
      <c r="G68" s="178">
        <f>(F68+F80)/2</f>
        <v>0.79115934325636061</v>
      </c>
      <c r="I68" s="169">
        <f t="shared" si="8"/>
        <v>169.66240889922125</v>
      </c>
    </row>
    <row r="69" spans="1:11" x14ac:dyDescent="0.25">
      <c r="A69" s="168">
        <v>41000</v>
      </c>
      <c r="B69" s="129">
        <v>125.97</v>
      </c>
      <c r="C69" s="126">
        <v>16</v>
      </c>
      <c r="D69" s="167">
        <f t="shared" si="10"/>
        <v>166.41333333333333</v>
      </c>
      <c r="E69" s="169">
        <f t="shared" si="11"/>
        <v>159.02500000000001</v>
      </c>
      <c r="F69" s="167">
        <f t="shared" si="9"/>
        <v>0.79213960069171507</v>
      </c>
      <c r="G69" s="167">
        <v>0.77435572275689502</v>
      </c>
      <c r="I69" s="169">
        <f t="shared" si="8"/>
        <v>162.67717316211741</v>
      </c>
    </row>
    <row r="70" spans="1:11" x14ac:dyDescent="0.25">
      <c r="A70" s="168">
        <v>41030</v>
      </c>
      <c r="B70" s="129">
        <v>166.24</v>
      </c>
      <c r="C70" s="126">
        <v>17</v>
      </c>
      <c r="D70" s="167">
        <f t="shared" si="10"/>
        <v>151.63666666666668</v>
      </c>
      <c r="E70" s="169">
        <f t="shared" si="11"/>
        <v>153.33166666666668</v>
      </c>
      <c r="F70" s="167">
        <f t="shared" si="9"/>
        <v>1.0841856976706268</v>
      </c>
      <c r="G70" s="167">
        <v>1.0816904565028211</v>
      </c>
      <c r="I70" s="169">
        <f t="shared" si="8"/>
        <v>153.68537181835296</v>
      </c>
    </row>
    <row r="71" spans="1:11" x14ac:dyDescent="0.25">
      <c r="A71" s="168">
        <v>41061</v>
      </c>
      <c r="B71" s="129">
        <v>162.11000000000001</v>
      </c>
      <c r="C71" s="126">
        <v>18</v>
      </c>
      <c r="D71" s="167">
        <f t="shared" si="10"/>
        <v>155.02666666666667</v>
      </c>
      <c r="E71" s="169">
        <f t="shared" si="11"/>
        <v>159.90583333333333</v>
      </c>
      <c r="F71" s="167">
        <f t="shared" si="9"/>
        <v>1.0137841542157624</v>
      </c>
      <c r="G71" s="167">
        <v>0.99800713140945418</v>
      </c>
      <c r="I71" s="169">
        <f t="shared" si="8"/>
        <v>162.43370903678527</v>
      </c>
    </row>
    <row r="72" spans="1:11" x14ac:dyDescent="0.25">
      <c r="A72" s="168">
        <v>41091</v>
      </c>
      <c r="B72" s="129">
        <v>148.83000000000001</v>
      </c>
      <c r="C72" s="126">
        <v>19</v>
      </c>
      <c r="D72" s="167">
        <f t="shared" si="10"/>
        <v>164.785</v>
      </c>
      <c r="E72" s="169">
        <f t="shared" si="11"/>
        <v>174.8475</v>
      </c>
      <c r="F72" s="167">
        <f t="shared" si="9"/>
        <v>0.8511989019002274</v>
      </c>
      <c r="G72" s="167">
        <v>0.88027954824121302</v>
      </c>
      <c r="I72" s="169">
        <f t="shared" si="8"/>
        <v>169.07129138392503</v>
      </c>
    </row>
    <row r="73" spans="1:11" x14ac:dyDescent="0.25">
      <c r="A73" s="168">
        <v>41122</v>
      </c>
      <c r="B73" s="129">
        <v>192.78</v>
      </c>
      <c r="C73" s="126">
        <v>20</v>
      </c>
      <c r="D73" s="167">
        <f t="shared" si="10"/>
        <v>184.91</v>
      </c>
      <c r="E73" s="169">
        <f t="shared" si="11"/>
        <v>190.86750000000001</v>
      </c>
      <c r="F73" s="167">
        <f t="shared" si="9"/>
        <v>1.0100200400801602</v>
      </c>
      <c r="G73" s="167">
        <v>1.0147637245205654</v>
      </c>
      <c r="I73" s="169">
        <f t="shared" si="8"/>
        <v>189.9752576306181</v>
      </c>
    </row>
    <row r="74" spans="1:11" x14ac:dyDescent="0.25">
      <c r="A74" s="168">
        <v>41153</v>
      </c>
      <c r="B74" s="129">
        <v>192.78</v>
      </c>
      <c r="C74" s="126">
        <v>21</v>
      </c>
      <c r="D74" s="167">
        <f t="shared" si="10"/>
        <v>196.82500000000002</v>
      </c>
      <c r="E74" s="169">
        <f t="shared" si="11"/>
        <v>205.20833333333334</v>
      </c>
      <c r="F74" s="167">
        <f t="shared" si="9"/>
        <v>0.93943553299492377</v>
      </c>
      <c r="G74" s="167">
        <v>0.92559230279245608</v>
      </c>
      <c r="I74" s="169">
        <f t="shared" si="8"/>
        <v>208.27744506776298</v>
      </c>
    </row>
    <row r="75" spans="1:11" x14ac:dyDescent="0.25">
      <c r="A75" s="168">
        <v>41183</v>
      </c>
      <c r="B75" s="129">
        <v>246.72</v>
      </c>
      <c r="C75" s="126">
        <v>22</v>
      </c>
      <c r="D75" s="167">
        <f t="shared" si="10"/>
        <v>213.59166666666667</v>
      </c>
      <c r="E75" s="169">
        <f t="shared" si="11"/>
        <v>218.91500000000002</v>
      </c>
      <c r="F75" s="167">
        <f t="shared" si="9"/>
        <v>1.1270127675125048</v>
      </c>
      <c r="G75" s="167">
        <v>0.74765348274756604</v>
      </c>
      <c r="I75" s="169">
        <f t="shared" si="8"/>
        <v>329.99244395053705</v>
      </c>
    </row>
    <row r="76" spans="1:11" x14ac:dyDescent="0.25">
      <c r="A76" s="168">
        <v>41214</v>
      </c>
      <c r="B76" s="129">
        <v>237.73</v>
      </c>
      <c r="C76" s="126">
        <v>23</v>
      </c>
      <c r="D76" s="167">
        <f t="shared" si="10"/>
        <v>224.23833333333334</v>
      </c>
      <c r="E76" s="169">
        <f t="shared" si="11"/>
        <v>221.2525</v>
      </c>
      <c r="F76" s="167">
        <f t="shared" si="9"/>
        <v>1.0744737347600593</v>
      </c>
      <c r="G76" s="167">
        <v>0.71329829395654298</v>
      </c>
      <c r="I76" s="169">
        <f t="shared" si="8"/>
        <v>333.28272619488905</v>
      </c>
      <c r="K76" s="122" t="s">
        <v>166</v>
      </c>
    </row>
    <row r="77" spans="1:11" x14ac:dyDescent="0.25">
      <c r="A77" s="168">
        <v>41244</v>
      </c>
      <c r="B77" s="129">
        <v>262.70999999999998</v>
      </c>
      <c r="C77" s="126">
        <v>24</v>
      </c>
      <c r="D77" s="167">
        <f t="shared" si="10"/>
        <v>218.26666666666668</v>
      </c>
      <c r="E77" s="169">
        <f t="shared" si="11"/>
        <v>213.38749999999999</v>
      </c>
      <c r="F77" s="167">
        <f t="shared" si="9"/>
        <v>1.2311405307246206</v>
      </c>
      <c r="G77" s="167">
        <v>0.81846686762343424</v>
      </c>
      <c r="I77" s="169">
        <f t="shared" si="8"/>
        <v>320.97817320672459</v>
      </c>
    </row>
    <row r="78" spans="1:11" x14ac:dyDescent="0.25">
      <c r="A78" s="168">
        <v>41275</v>
      </c>
      <c r="B78" s="129">
        <v>212.71</v>
      </c>
      <c r="C78" s="126">
        <v>25</v>
      </c>
      <c r="D78" s="167">
        <f t="shared" si="10"/>
        <v>208.50833333333333</v>
      </c>
      <c r="E78" s="169">
        <f t="shared" si="11"/>
        <v>197.4133333333333</v>
      </c>
      <c r="F78" s="179">
        <f t="shared" si="9"/>
        <v>1.077485478859922</v>
      </c>
      <c r="G78" s="167">
        <v>0.73143092155627276</v>
      </c>
      <c r="I78" s="169">
        <f t="shared" si="8"/>
        <v>290.81351872219847</v>
      </c>
    </row>
    <row r="79" spans="1:11" x14ac:dyDescent="0.25">
      <c r="A79" s="168">
        <v>41306</v>
      </c>
      <c r="B79" s="129">
        <v>156.94999999999999</v>
      </c>
      <c r="C79" s="126">
        <v>26</v>
      </c>
      <c r="D79" s="167">
        <f t="shared" si="10"/>
        <v>186.3183333333333</v>
      </c>
      <c r="E79" s="169">
        <f t="shared" si="11"/>
        <v>179.58666666666664</v>
      </c>
      <c r="F79" s="179">
        <f t="shared" si="9"/>
        <v>0.87395129556759976</v>
      </c>
      <c r="G79" s="167">
        <v>0.58803911521357677</v>
      </c>
      <c r="I79" s="169">
        <f t="shared" si="8"/>
        <v>266.90401359269356</v>
      </c>
    </row>
    <row r="80" spans="1:11" x14ac:dyDescent="0.25">
      <c r="A80" s="168">
        <v>41334</v>
      </c>
      <c r="B80" s="129">
        <v>134.22999999999999</v>
      </c>
      <c r="C80" s="126">
        <v>27</v>
      </c>
      <c r="D80" s="167">
        <f t="shared" si="10"/>
        <v>172.85499999999999</v>
      </c>
      <c r="E80" s="169">
        <f t="shared" si="11"/>
        <v>163.43916666666667</v>
      </c>
      <c r="F80" s="179">
        <f t="shared" si="9"/>
        <v>0.82128416791160819</v>
      </c>
      <c r="G80" s="167">
        <v>0.79115934325636061</v>
      </c>
      <c r="I80" s="169">
        <f t="shared" si="8"/>
        <v>169.66240889922125</v>
      </c>
    </row>
    <row r="81" spans="1:12" x14ac:dyDescent="0.25">
      <c r="A81" s="168">
        <v>41365</v>
      </c>
      <c r="B81" s="129">
        <v>113.58</v>
      </c>
      <c r="C81" s="126">
        <v>28</v>
      </c>
      <c r="D81" s="167">
        <f t="shared" si="10"/>
        <v>154.02333333333334</v>
      </c>
      <c r="E81" s="169">
        <f t="shared" si="11"/>
        <v>147.95083333333332</v>
      </c>
      <c r="F81" s="179">
        <f t="shared" si="9"/>
        <v>0.76768746374076979</v>
      </c>
      <c r="G81" s="167">
        <v>0.77435572275689502</v>
      </c>
      <c r="I81" s="169">
        <f t="shared" si="8"/>
        <v>146.67677484919662</v>
      </c>
    </row>
    <row r="82" spans="1:12" x14ac:dyDescent="0.25">
      <c r="A82" s="168">
        <v>41395</v>
      </c>
      <c r="B82" s="129">
        <v>156.94999999999999</v>
      </c>
      <c r="C82" s="126">
        <v>29</v>
      </c>
      <c r="D82" s="167">
        <f t="shared" si="10"/>
        <v>141.87833333333333</v>
      </c>
      <c r="E82" s="169">
        <f t="shared" si="11"/>
        <v>144.11500000000001</v>
      </c>
      <c r="F82" s="179">
        <f t="shared" si="9"/>
        <v>1.0890608194844393</v>
      </c>
      <c r="G82" s="167">
        <v>1.0816904565028211</v>
      </c>
      <c r="I82" s="169">
        <f t="shared" si="8"/>
        <v>145.09696286628065</v>
      </c>
    </row>
    <row r="83" spans="1:12" x14ac:dyDescent="0.25">
      <c r="A83" s="168">
        <v>41426</v>
      </c>
      <c r="B83" s="129">
        <v>149.72</v>
      </c>
      <c r="C83" s="126">
        <v>30</v>
      </c>
      <c r="D83" s="167">
        <f t="shared" si="10"/>
        <v>146.35166666666666</v>
      </c>
      <c r="E83" s="169">
        <f t="shared" si="11"/>
        <v>149.98250000000002</v>
      </c>
      <c r="F83" s="179">
        <f t="shared" si="9"/>
        <v>0.99824979580951101</v>
      </c>
      <c r="G83" s="167">
        <v>0.99800713140945418</v>
      </c>
      <c r="I83" s="169">
        <f t="shared" si="8"/>
        <v>150.01896808949164</v>
      </c>
    </row>
    <row r="84" spans="1:12" x14ac:dyDescent="0.25">
      <c r="A84" s="168">
        <v>41456</v>
      </c>
      <c r="B84" s="129">
        <v>139.84</v>
      </c>
      <c r="C84" s="126">
        <v>31</v>
      </c>
      <c r="D84" s="167">
        <f t="shared" si="10"/>
        <v>153.61333333333334</v>
      </c>
      <c r="E84" s="169">
        <f t="shared" si="11"/>
        <v>163.45999999999998</v>
      </c>
      <c r="F84" s="179">
        <f t="shared" si="9"/>
        <v>0.85549981646886097</v>
      </c>
      <c r="G84" s="167">
        <v>0.88027954824121302</v>
      </c>
      <c r="I84" s="169">
        <f t="shared" si="8"/>
        <v>158.8586265344895</v>
      </c>
    </row>
    <row r="85" spans="1:12" x14ac:dyDescent="0.25">
      <c r="A85" s="168">
        <v>41487</v>
      </c>
      <c r="B85" s="129">
        <v>183.79</v>
      </c>
      <c r="C85" s="126">
        <v>32</v>
      </c>
      <c r="D85" s="167">
        <f t="shared" si="10"/>
        <v>173.30666666666664</v>
      </c>
      <c r="E85" s="169">
        <f t="shared" si="11"/>
        <v>179.53916666666666</v>
      </c>
      <c r="F85" s="179">
        <f t="shared" si="9"/>
        <v>1.0236763565981424</v>
      </c>
      <c r="G85" s="167">
        <v>1.0147637245205654</v>
      </c>
      <c r="I85" s="169">
        <f t="shared" si="8"/>
        <v>181.11605249471575</v>
      </c>
      <c r="K85" s="180" t="s">
        <v>87</v>
      </c>
    </row>
    <row r="86" spans="1:12" x14ac:dyDescent="0.25">
      <c r="A86" s="168">
        <v>41518</v>
      </c>
      <c r="B86" s="129">
        <v>177.8</v>
      </c>
      <c r="C86" s="126">
        <v>33</v>
      </c>
      <c r="D86" s="167">
        <f t="shared" si="10"/>
        <v>185.77166666666668</v>
      </c>
      <c r="E86" s="169">
        <f t="shared" si="11"/>
        <v>193.43916666666667</v>
      </c>
      <c r="F86" s="179">
        <f t="shared" si="9"/>
        <v>0.91915201592231843</v>
      </c>
      <c r="G86" s="167">
        <v>0.92559230279245608</v>
      </c>
      <c r="I86" s="169">
        <f t="shared" si="8"/>
        <v>192.0932136790552</v>
      </c>
      <c r="K86" s="180" t="s">
        <v>89</v>
      </c>
      <c r="L86" s="122">
        <v>825.67</v>
      </c>
    </row>
    <row r="87" spans="1:12" x14ac:dyDescent="0.25">
      <c r="A87" s="168">
        <v>41548</v>
      </c>
      <c r="B87" s="129">
        <v>231.74</v>
      </c>
      <c r="C87" s="126">
        <v>34</v>
      </c>
      <c r="D87" s="167">
        <f t="shared" si="10"/>
        <v>201.10666666666668</v>
      </c>
      <c r="E87" s="127"/>
      <c r="F87" s="179"/>
      <c r="G87" s="167">
        <v>0.74765348274756604</v>
      </c>
      <c r="I87" s="169">
        <f t="shared" si="8"/>
        <v>309.95642412896183</v>
      </c>
      <c r="K87" s="180" t="s">
        <v>91</v>
      </c>
      <c r="L87" s="122">
        <v>-1.44E-2</v>
      </c>
    </row>
    <row r="88" spans="1:12" x14ac:dyDescent="0.25">
      <c r="A88" s="168">
        <v>41579</v>
      </c>
      <c r="B88" s="129">
        <v>231.74</v>
      </c>
      <c r="C88" s="126">
        <v>35</v>
      </c>
      <c r="D88" s="126"/>
      <c r="G88" s="167">
        <v>0.71329829395654298</v>
      </c>
      <c r="I88" s="169">
        <f t="shared" si="8"/>
        <v>324.88511743744414</v>
      </c>
    </row>
    <row r="89" spans="1:12" x14ac:dyDescent="0.25">
      <c r="A89" s="168">
        <v>41609</v>
      </c>
      <c r="B89" s="129">
        <v>241.73</v>
      </c>
      <c r="C89" s="126">
        <v>36</v>
      </c>
      <c r="D89" s="126"/>
      <c r="G89" s="167">
        <v>0.81846686762343424</v>
      </c>
      <c r="I89" s="169">
        <f t="shared" si="8"/>
        <v>295.34488146344461</v>
      </c>
    </row>
    <row r="90" spans="1:12" x14ac:dyDescent="0.25">
      <c r="A90" s="181"/>
      <c r="C90" s="126"/>
      <c r="D90" s="126"/>
      <c r="G90" s="128"/>
      <c r="I90" s="126"/>
    </row>
    <row r="91" spans="1:12" x14ac:dyDescent="0.25">
      <c r="C91" s="125">
        <v>37</v>
      </c>
      <c r="D91" s="182">
        <v>41640</v>
      </c>
      <c r="E91" s="171">
        <f>$L$86+($L$87*C91)</f>
        <v>825.13720000000001</v>
      </c>
      <c r="F91" s="167">
        <v>0.73143092155627276</v>
      </c>
      <c r="G91" s="131">
        <f>E91*F91</f>
        <v>603.53086260636258</v>
      </c>
    </row>
    <row r="92" spans="1:12" x14ac:dyDescent="0.25">
      <c r="C92" s="125">
        <v>38</v>
      </c>
      <c r="D92" s="182">
        <v>41671</v>
      </c>
      <c r="E92" s="171">
        <f t="shared" ref="E92:E102" si="13">$L$86+($L$87*C92)</f>
        <v>825.12279999999998</v>
      </c>
      <c r="F92" s="167">
        <v>0.58803911521357677</v>
      </c>
      <c r="G92" s="131">
        <f t="shared" ref="G92:G102" si="14">E92*F92</f>
        <v>485.20448125454908</v>
      </c>
    </row>
    <row r="93" spans="1:12" x14ac:dyDescent="0.25">
      <c r="C93" s="125">
        <v>39</v>
      </c>
      <c r="D93" s="182">
        <v>41699</v>
      </c>
      <c r="E93" s="171">
        <f t="shared" si="13"/>
        <v>825.10839999999996</v>
      </c>
      <c r="F93" s="167">
        <v>0.79115934325636061</v>
      </c>
      <c r="G93" s="131">
        <f t="shared" si="14"/>
        <v>652.79221985930644</v>
      </c>
    </row>
    <row r="94" spans="1:12" x14ac:dyDescent="0.25">
      <c r="C94" s="125">
        <v>40</v>
      </c>
      <c r="D94" s="182">
        <v>41730</v>
      </c>
      <c r="E94" s="171">
        <f t="shared" si="13"/>
        <v>825.09399999999994</v>
      </c>
      <c r="F94" s="167">
        <v>0.77435572275689502</v>
      </c>
      <c r="G94" s="131">
        <f t="shared" si="14"/>
        <v>638.91626071237749</v>
      </c>
    </row>
    <row r="95" spans="1:12" x14ac:dyDescent="0.25">
      <c r="C95" s="125">
        <v>41</v>
      </c>
      <c r="D95" s="182">
        <v>41760</v>
      </c>
      <c r="E95" s="171">
        <f t="shared" si="13"/>
        <v>825.07959999999991</v>
      </c>
      <c r="F95" s="167">
        <v>1.0816904565028211</v>
      </c>
      <c r="G95" s="131">
        <f t="shared" si="14"/>
        <v>892.48072917516492</v>
      </c>
    </row>
    <row r="96" spans="1:12" x14ac:dyDescent="0.25">
      <c r="C96" s="125">
        <v>42</v>
      </c>
      <c r="D96" s="182">
        <v>41791</v>
      </c>
      <c r="E96" s="171">
        <f t="shared" si="13"/>
        <v>825.0652</v>
      </c>
      <c r="F96" s="167">
        <v>0.99800713140945418</v>
      </c>
      <c r="G96" s="131">
        <f t="shared" si="14"/>
        <v>823.42095347776763</v>
      </c>
    </row>
    <row r="97" spans="3:7" x14ac:dyDescent="0.25">
      <c r="C97" s="125">
        <v>43</v>
      </c>
      <c r="D97" s="182">
        <v>41821</v>
      </c>
      <c r="E97" s="171">
        <f t="shared" si="13"/>
        <v>825.05079999999998</v>
      </c>
      <c r="F97" s="167">
        <v>0.88027954824121302</v>
      </c>
      <c r="G97" s="131">
        <f t="shared" si="14"/>
        <v>726.27534550005134</v>
      </c>
    </row>
    <row r="98" spans="3:7" x14ac:dyDescent="0.25">
      <c r="C98" s="125">
        <v>44</v>
      </c>
      <c r="D98" s="182">
        <v>41852</v>
      </c>
      <c r="E98" s="171">
        <f t="shared" si="13"/>
        <v>825.03639999999996</v>
      </c>
      <c r="F98" s="167">
        <v>1.0147637245205654</v>
      </c>
      <c r="G98" s="131">
        <f t="shared" si="14"/>
        <v>837.21701012903895</v>
      </c>
    </row>
    <row r="99" spans="3:7" x14ac:dyDescent="0.25">
      <c r="C99" s="125">
        <v>45</v>
      </c>
      <c r="D99" s="182">
        <v>41883</v>
      </c>
      <c r="E99" s="171">
        <f t="shared" si="13"/>
        <v>825.02199999999993</v>
      </c>
      <c r="F99" s="167">
        <v>0.92559230279245608</v>
      </c>
      <c r="G99" s="131">
        <f t="shared" si="14"/>
        <v>763.63401283443761</v>
      </c>
    </row>
    <row r="100" spans="3:7" x14ac:dyDescent="0.25">
      <c r="C100" s="125">
        <v>46</v>
      </c>
      <c r="D100" s="182">
        <v>41913</v>
      </c>
      <c r="E100" s="171">
        <f t="shared" si="13"/>
        <v>825.00759999999991</v>
      </c>
      <c r="F100" s="167">
        <v>0.74765348274756604</v>
      </c>
      <c r="G100" s="131">
        <f t="shared" si="14"/>
        <v>616.81980543321083</v>
      </c>
    </row>
    <row r="101" spans="3:7" x14ac:dyDescent="0.25">
      <c r="C101" s="125">
        <v>47</v>
      </c>
      <c r="D101" s="182">
        <v>41944</v>
      </c>
      <c r="E101" s="171">
        <f t="shared" si="13"/>
        <v>824.9932</v>
      </c>
      <c r="F101" s="167">
        <v>0.71329829395654298</v>
      </c>
      <c r="G101" s="131">
        <f t="shared" si="14"/>
        <v>588.46624208574906</v>
      </c>
    </row>
    <row r="102" spans="3:7" x14ac:dyDescent="0.25">
      <c r="C102" s="125">
        <v>48</v>
      </c>
      <c r="D102" s="182">
        <v>41974</v>
      </c>
      <c r="E102" s="171">
        <f t="shared" si="13"/>
        <v>824.97879999999998</v>
      </c>
      <c r="F102" s="167">
        <v>0.81846686762343424</v>
      </c>
      <c r="G102" s="131">
        <f t="shared" si="14"/>
        <v>675.21781429173961</v>
      </c>
    </row>
  </sheetData>
  <mergeCells count="2">
    <mergeCell ref="A12:B12"/>
    <mergeCell ref="A53:B53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28D25-43E2-464A-974D-243CBA792A80}">
  <sheetPr>
    <outlinePr summaryBelow="0" summaryRight="0"/>
  </sheetPr>
  <dimension ref="A1:B1017"/>
  <sheetViews>
    <sheetView showGridLines="0" workbookViewId="0">
      <selection activeCell="J18" sqref="J18"/>
    </sheetView>
  </sheetViews>
  <sheetFormatPr baseColWidth="10" defaultColWidth="14.44140625" defaultRowHeight="15" customHeight="1" x14ac:dyDescent="0.3"/>
  <cols>
    <col min="1" max="1" width="21.6640625" style="136" customWidth="1"/>
    <col min="2" max="2" width="23" style="136" customWidth="1"/>
    <col min="3" max="26" width="11.44140625" style="136" customWidth="1"/>
    <col min="27" max="16384" width="14.44140625" style="136"/>
  </cols>
  <sheetData>
    <row r="1" spans="1:1" ht="14.4" x14ac:dyDescent="0.3">
      <c r="A1" s="135" t="s">
        <v>98</v>
      </c>
    </row>
    <row r="2" spans="1:1" ht="14.4" x14ac:dyDescent="0.3">
      <c r="A2" s="135"/>
    </row>
    <row r="3" spans="1:1" ht="14.4" x14ac:dyDescent="0.3">
      <c r="A3" s="140" t="s">
        <v>109</v>
      </c>
    </row>
    <row r="4" spans="1:1" ht="14.4" x14ac:dyDescent="0.3">
      <c r="A4" s="140" t="s">
        <v>110</v>
      </c>
    </row>
    <row r="5" spans="1:1" ht="13.95" customHeight="1" x14ac:dyDescent="0.3">
      <c r="A5" s="135" t="s">
        <v>111</v>
      </c>
    </row>
    <row r="6" spans="1:1" ht="14.4" x14ac:dyDescent="0.3">
      <c r="A6" s="135" t="s">
        <v>112</v>
      </c>
    </row>
    <row r="7" spans="1:1" ht="14.4" x14ac:dyDescent="0.3">
      <c r="A7" s="135" t="s">
        <v>113</v>
      </c>
    </row>
    <row r="8" spans="1:1" ht="14.4" x14ac:dyDescent="0.3">
      <c r="A8" s="135" t="s">
        <v>114</v>
      </c>
    </row>
    <row r="9" spans="1:1" ht="14.4" x14ac:dyDescent="0.3">
      <c r="A9" s="135" t="s">
        <v>115</v>
      </c>
    </row>
    <row r="10" spans="1:1" ht="14.4" x14ac:dyDescent="0.3">
      <c r="A10" s="135" t="s">
        <v>116</v>
      </c>
    </row>
    <row r="11" spans="1:1" ht="14.4" x14ac:dyDescent="0.3">
      <c r="A11" s="135" t="s">
        <v>117</v>
      </c>
    </row>
    <row r="12" spans="1:1" ht="14.4" x14ac:dyDescent="0.3">
      <c r="A12" s="135" t="s">
        <v>118</v>
      </c>
    </row>
    <row r="13" spans="1:1" ht="14.4" x14ac:dyDescent="0.3">
      <c r="A13" s="135" t="s">
        <v>119</v>
      </c>
    </row>
    <row r="14" spans="1:1" ht="14.4" x14ac:dyDescent="0.3">
      <c r="A14" s="135" t="s">
        <v>120</v>
      </c>
    </row>
    <row r="15" spans="1:1" ht="14.4" x14ac:dyDescent="0.3">
      <c r="A15" s="135" t="s">
        <v>121</v>
      </c>
    </row>
    <row r="16" spans="1:1" ht="14.4" x14ac:dyDescent="0.3">
      <c r="A16" s="135"/>
    </row>
    <row r="17" spans="1:2" ht="14.4" x14ac:dyDescent="0.3">
      <c r="A17" s="141" t="s">
        <v>122</v>
      </c>
    </row>
    <row r="18" spans="1:2" ht="14.4" x14ac:dyDescent="0.3">
      <c r="A18" s="135"/>
    </row>
    <row r="19" spans="1:2" ht="14.4" x14ac:dyDescent="0.3">
      <c r="A19" s="136" t="s">
        <v>99</v>
      </c>
      <c r="B19" s="136" t="s">
        <v>100</v>
      </c>
    </row>
    <row r="20" spans="1:2" ht="14.4" x14ac:dyDescent="0.3">
      <c r="A20" s="136">
        <v>4.5</v>
      </c>
      <c r="B20" s="137">
        <v>2228</v>
      </c>
    </row>
    <row r="21" spans="1:2" ht="14.4" x14ac:dyDescent="0.3">
      <c r="A21" s="136">
        <v>4.5</v>
      </c>
      <c r="B21" s="137">
        <v>3146</v>
      </c>
    </row>
    <row r="22" spans="1:2" ht="14.4" x14ac:dyDescent="0.3">
      <c r="A22" s="136">
        <v>4.5</v>
      </c>
      <c r="B22" s="137">
        <v>2002</v>
      </c>
    </row>
    <row r="23" spans="1:2" ht="14.4" x14ac:dyDescent="0.3">
      <c r="A23" s="136">
        <v>9</v>
      </c>
      <c r="B23" s="137">
        <v>2717</v>
      </c>
    </row>
    <row r="24" spans="1:2" ht="14.4" x14ac:dyDescent="0.3">
      <c r="A24" s="136">
        <v>9</v>
      </c>
      <c r="B24" s="137">
        <v>3432</v>
      </c>
    </row>
    <row r="25" spans="1:2" ht="14.4" x14ac:dyDescent="0.3">
      <c r="A25" s="136">
        <v>9</v>
      </c>
      <c r="B25" s="137">
        <v>3718</v>
      </c>
    </row>
    <row r="26" spans="1:2" ht="14.4" x14ac:dyDescent="0.3">
      <c r="A26" s="136">
        <v>13.5</v>
      </c>
      <c r="B26" s="137">
        <v>3289</v>
      </c>
    </row>
    <row r="27" spans="1:2" ht="14.4" x14ac:dyDescent="0.3">
      <c r="A27" s="136">
        <v>13.5</v>
      </c>
      <c r="B27" s="137">
        <v>3861</v>
      </c>
    </row>
    <row r="28" spans="1:2" ht="14.4" x14ac:dyDescent="0.3">
      <c r="A28" s="136">
        <v>13.5</v>
      </c>
      <c r="B28" s="137">
        <v>4004</v>
      </c>
    </row>
    <row r="29" spans="1:2" ht="14.4" x14ac:dyDescent="0.3">
      <c r="A29" s="136">
        <v>18</v>
      </c>
      <c r="B29" s="137">
        <v>3718</v>
      </c>
    </row>
    <row r="30" spans="1:2" ht="14.4" x14ac:dyDescent="0.3">
      <c r="A30" s="136">
        <v>18</v>
      </c>
      <c r="B30" s="137">
        <v>4147</v>
      </c>
    </row>
    <row r="31" spans="1:2" ht="14.4" x14ac:dyDescent="0.3">
      <c r="A31" s="136">
        <v>18</v>
      </c>
      <c r="B31" s="137">
        <v>4433</v>
      </c>
    </row>
    <row r="32" spans="1:2" ht="14.4" x14ac:dyDescent="0.3">
      <c r="A32" s="136" t="s">
        <v>16</v>
      </c>
    </row>
    <row r="33" spans="1:1" ht="14.4" x14ac:dyDescent="0.3">
      <c r="A33" s="136" t="s">
        <v>101</v>
      </c>
    </row>
    <row r="34" spans="1:1" ht="14.4" x14ac:dyDescent="0.3">
      <c r="A34" s="136" t="s">
        <v>102</v>
      </c>
    </row>
    <row r="35" spans="1:1" ht="14.4" x14ac:dyDescent="0.3">
      <c r="A35" s="136" t="s">
        <v>103</v>
      </c>
    </row>
    <row r="36" spans="1:1" ht="14.4" x14ac:dyDescent="0.3">
      <c r="A36" s="136" t="s">
        <v>104</v>
      </c>
    </row>
    <row r="37" spans="1:1" ht="14.4" x14ac:dyDescent="0.3">
      <c r="A37" s="136" t="s">
        <v>105</v>
      </c>
    </row>
    <row r="38" spans="1:1" ht="15.75" customHeight="1" x14ac:dyDescent="0.3">
      <c r="A38" s="136" t="s">
        <v>106</v>
      </c>
    </row>
    <row r="39" spans="1:1" ht="18" customHeight="1" x14ac:dyDescent="0.3">
      <c r="A39" s="136" t="s">
        <v>107</v>
      </c>
    </row>
    <row r="40" spans="1:1" ht="15.75" customHeight="1" x14ac:dyDescent="0.3">
      <c r="A40" s="136" t="s">
        <v>108</v>
      </c>
    </row>
    <row r="41" spans="1:1" ht="15.75" customHeight="1" x14ac:dyDescent="0.3"/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</sheetData>
  <pageMargins left="0.7" right="0.7" top="0.75" bottom="0.75" header="0" footer="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9EA3-F78D-47D1-AA9B-3FD9DAB98A67}">
  <dimension ref="A1:G29"/>
  <sheetViews>
    <sheetView showGridLines="0" zoomScale="90" zoomScaleNormal="90" workbookViewId="0">
      <selection activeCell="E5" sqref="E5"/>
    </sheetView>
  </sheetViews>
  <sheetFormatPr baseColWidth="10" defaultColWidth="8.6640625" defaultRowHeight="13.8" x14ac:dyDescent="0.25"/>
  <cols>
    <col min="1" max="1" width="8.6640625" style="122"/>
    <col min="2" max="3" width="11.6640625" style="122" customWidth="1"/>
    <col min="4" max="16384" width="8.6640625" style="122"/>
  </cols>
  <sheetData>
    <row r="1" spans="1:6" ht="14.4" thickBot="1" x14ac:dyDescent="0.3">
      <c r="A1" s="139" t="s">
        <v>74</v>
      </c>
    </row>
    <row r="2" spans="1:6" x14ac:dyDescent="0.25">
      <c r="A2" s="126"/>
    </row>
    <row r="3" spans="1:6" x14ac:dyDescent="0.25">
      <c r="A3" s="138" t="s">
        <v>94</v>
      </c>
    </row>
    <row r="4" spans="1:6" x14ac:dyDescent="0.25">
      <c r="A4" s="138" t="s">
        <v>95</v>
      </c>
    </row>
    <row r="5" spans="1:6" x14ac:dyDescent="0.25">
      <c r="A5" s="138" t="s">
        <v>96</v>
      </c>
    </row>
    <row r="6" spans="1:6" x14ac:dyDescent="0.25">
      <c r="A6" s="138" t="s">
        <v>97</v>
      </c>
    </row>
    <row r="7" spans="1:6" x14ac:dyDescent="0.25">
      <c r="A7" s="126"/>
    </row>
    <row r="9" spans="1:6" ht="41.4" x14ac:dyDescent="0.25">
      <c r="A9" s="123" t="s">
        <v>75</v>
      </c>
      <c r="B9" s="124" t="s">
        <v>76</v>
      </c>
      <c r="C9" s="124" t="s">
        <v>77</v>
      </c>
    </row>
    <row r="10" spans="1:6" x14ac:dyDescent="0.25">
      <c r="A10" s="125">
        <v>1</v>
      </c>
      <c r="B10" s="125">
        <v>14.68</v>
      </c>
      <c r="C10" s="125">
        <v>3.8450000000000002</v>
      </c>
      <c r="E10" s="122" t="s">
        <v>78</v>
      </c>
      <c r="F10" s="126">
        <f>AVERAGE(B10:B21)</f>
        <v>28.84</v>
      </c>
    </row>
    <row r="11" spans="1:6" x14ac:dyDescent="0.25">
      <c r="A11" s="125">
        <v>2</v>
      </c>
      <c r="B11" s="125">
        <v>22.93</v>
      </c>
      <c r="C11" s="125">
        <v>5.45</v>
      </c>
      <c r="E11" s="122" t="s">
        <v>79</v>
      </c>
      <c r="F11" s="127">
        <f>AVERAGE(C10:C21)</f>
        <v>7.2280833333333341</v>
      </c>
    </row>
    <row r="12" spans="1:6" x14ac:dyDescent="0.25">
      <c r="A12" s="125">
        <v>3</v>
      </c>
      <c r="B12" s="125">
        <v>16.649999999999999</v>
      </c>
      <c r="C12" s="125">
        <v>5.0990000000000002</v>
      </c>
    </row>
    <row r="13" spans="1:6" x14ac:dyDescent="0.25">
      <c r="A13" s="125">
        <v>4</v>
      </c>
      <c r="B13" s="125">
        <v>35.99</v>
      </c>
      <c r="C13" s="125">
        <v>8.89</v>
      </c>
      <c r="E13" s="122" t="s">
        <v>80</v>
      </c>
      <c r="F13" s="127">
        <f>_xlfn.STDEV.S(B10:B21)</f>
        <v>13.128171651417846</v>
      </c>
    </row>
    <row r="14" spans="1:6" x14ac:dyDescent="0.25">
      <c r="A14" s="125">
        <v>5</v>
      </c>
      <c r="B14" s="125">
        <v>32.479999999999997</v>
      </c>
      <c r="C14" s="125">
        <v>6.681</v>
      </c>
      <c r="E14" s="122" t="s">
        <v>81</v>
      </c>
      <c r="F14" s="127">
        <f>_xlfn.STDEV.S(C10:C21)</f>
        <v>2.981693980344772</v>
      </c>
    </row>
    <row r="15" spans="1:6" x14ac:dyDescent="0.25">
      <c r="A15" s="125">
        <v>6</v>
      </c>
      <c r="B15" s="125">
        <v>38.770000000000003</v>
      </c>
      <c r="C15" s="125">
        <v>9.6780000000000008</v>
      </c>
      <c r="E15" s="122" t="s">
        <v>82</v>
      </c>
      <c r="F15" s="127">
        <f>_xlfn.VAR.S(B10:B21)</f>
        <v>172.34889090909118</v>
      </c>
    </row>
    <row r="16" spans="1:6" x14ac:dyDescent="0.25">
      <c r="A16" s="125">
        <v>7</v>
      </c>
      <c r="B16" s="125">
        <v>10.029999999999999</v>
      </c>
      <c r="C16" s="125">
        <v>4.5419999999999998</v>
      </c>
      <c r="E16" s="122" t="s">
        <v>83</v>
      </c>
      <c r="F16" s="122">
        <f>_xlfn.COVARIANCE.S(B10:B21,C10:C21)</f>
        <v>36.542757272727279</v>
      </c>
    </row>
    <row r="17" spans="1:7" x14ac:dyDescent="0.25">
      <c r="A17" s="125">
        <v>8</v>
      </c>
      <c r="B17" s="125">
        <v>24.26</v>
      </c>
      <c r="C17" s="125">
        <v>4.5570000000000004</v>
      </c>
    </row>
    <row r="18" spans="1:7" x14ac:dyDescent="0.25">
      <c r="A18" s="125">
        <v>9</v>
      </c>
      <c r="B18" s="125">
        <v>52.46</v>
      </c>
      <c r="C18" s="125">
        <v>13.289</v>
      </c>
      <c r="E18" s="122" t="s">
        <v>84</v>
      </c>
      <c r="F18" s="128">
        <f>F16/(F13*F14)</f>
        <v>0.93354229356673846</v>
      </c>
    </row>
    <row r="19" spans="1:7" x14ac:dyDescent="0.25">
      <c r="A19" s="125">
        <v>10</v>
      </c>
      <c r="B19" s="125">
        <v>36.799999999999997</v>
      </c>
      <c r="C19" s="125">
        <v>10.506</v>
      </c>
    </row>
    <row r="20" spans="1:7" x14ac:dyDescent="0.25">
      <c r="A20" s="125">
        <v>11</v>
      </c>
      <c r="B20" s="125">
        <v>17.34</v>
      </c>
      <c r="C20" s="125">
        <v>5.1340000000000003</v>
      </c>
      <c r="E20" s="122" t="s">
        <v>85</v>
      </c>
      <c r="F20" s="128">
        <f>F16/F15</f>
        <v>0.21202780638723387</v>
      </c>
      <c r="G20" s="128">
        <f>(F14*F18)/F13</f>
        <v>0.21202780638723392</v>
      </c>
    </row>
    <row r="21" spans="1:7" x14ac:dyDescent="0.25">
      <c r="A21" s="125">
        <v>12</v>
      </c>
      <c r="B21" s="125">
        <v>43.69</v>
      </c>
      <c r="C21" s="125">
        <v>9.0660000000000007</v>
      </c>
    </row>
    <row r="22" spans="1:7" x14ac:dyDescent="0.25">
      <c r="E22" s="122" t="s">
        <v>86</v>
      </c>
      <c r="F22" s="128">
        <f>F11-F20*F10</f>
        <v>1.1132013971255095</v>
      </c>
    </row>
    <row r="24" spans="1:7" x14ac:dyDescent="0.25">
      <c r="B24" s="129" t="s">
        <v>87</v>
      </c>
      <c r="D24" s="122" t="s">
        <v>88</v>
      </c>
    </row>
    <row r="25" spans="1:7" x14ac:dyDescent="0.25">
      <c r="B25" s="129" t="s">
        <v>89</v>
      </c>
      <c r="C25" s="126">
        <v>1.1132</v>
      </c>
      <c r="D25" s="130" t="s">
        <v>90</v>
      </c>
      <c r="E25" s="131">
        <f>C25+(C26*50)</f>
        <v>11.713200000000001</v>
      </c>
    </row>
    <row r="26" spans="1:7" x14ac:dyDescent="0.25">
      <c r="B26" s="129" t="s">
        <v>91</v>
      </c>
      <c r="C26" s="126">
        <v>0.21199999999999999</v>
      </c>
    </row>
    <row r="27" spans="1:7" x14ac:dyDescent="0.25">
      <c r="C27" s="126"/>
    </row>
    <row r="28" spans="1:7" x14ac:dyDescent="0.25">
      <c r="B28" s="129" t="s">
        <v>92</v>
      </c>
      <c r="C28" s="132">
        <v>0.95</v>
      </c>
    </row>
    <row r="29" spans="1:7" x14ac:dyDescent="0.25">
      <c r="B29" s="129" t="s">
        <v>93</v>
      </c>
      <c r="C29" s="133">
        <f>1-C28</f>
        <v>5.0000000000000044E-2</v>
      </c>
    </row>
  </sheetData>
  <pageMargins left="0.7" right="0.7" top="0.75" bottom="0.75" header="0.3" footer="0.3"/>
  <pageSetup paperSize="9" scale="5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Caratula</vt:lpstr>
      <vt:lpstr>Ej 11</vt:lpstr>
      <vt:lpstr>Ej 12</vt:lpstr>
      <vt:lpstr>Ej 13</vt:lpstr>
      <vt:lpstr>Ej 14</vt:lpstr>
      <vt:lpstr>Ej 15</vt:lpstr>
      <vt:lpstr>ejercicio parcial</vt:lpstr>
      <vt:lpstr>Ej 16</vt:lpstr>
      <vt:lpstr>Ej 17</vt:lpstr>
      <vt:lpstr>Ej 18</vt:lpstr>
      <vt:lpstr>Ej 19</vt:lpstr>
      <vt:lpstr>Ej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yoel valencia</dc:creator>
  <cp:lastModifiedBy>Joel Armado Irvin  VALENCIA BOCANEGRA</cp:lastModifiedBy>
  <dcterms:created xsi:type="dcterms:W3CDTF">2022-04-18T17:31:12Z</dcterms:created>
  <dcterms:modified xsi:type="dcterms:W3CDTF">2023-12-01T19:27:00Z</dcterms:modified>
</cp:coreProperties>
</file>