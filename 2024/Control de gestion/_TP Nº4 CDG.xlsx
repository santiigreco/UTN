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4"/>
    <sheet state="visible" name="A512" sheetId="2" r:id="rId5"/>
    <sheet state="visible" name="A513" sheetId="3" r:id="rId6"/>
    <sheet state="visible" name="A514" sheetId="4" r:id="rId7"/>
  </sheets>
  <definedNames/>
  <calcPr/>
  <extLst>
    <ext uri="GoogleSheetsCustomDataVersion2">
      <go:sheetsCustomData xmlns:go="http://customooxmlschemas.google.com/" r:id="rId8" roundtripDataChecksum="q4RrY0h2D+CMmYatXcOtsaVmU/m86Y38M/YSAZxggh8="/>
    </ext>
  </extLst>
</workbook>
</file>

<file path=xl/sharedStrings.xml><?xml version="1.0" encoding="utf-8"?>
<sst xmlns="http://schemas.openxmlformats.org/spreadsheetml/2006/main" count="268" uniqueCount="129">
  <si>
    <t>UNIVERSIDAD TECNOLOGICA NACIONAL</t>
  </si>
  <si>
    <t>FACULTAD REGIONAL BUENOS AIRES</t>
  </si>
  <si>
    <t>DEPARTAMENTO DE INGENIERIA INDUSTRIAL</t>
  </si>
  <si>
    <t>ASIGNATURA</t>
  </si>
  <si>
    <t>CODIGO</t>
  </si>
  <si>
    <t>CONTROL DE GESTION</t>
  </si>
  <si>
    <t xml:space="preserve">                – Ciclo Lectivo 2024</t>
  </si>
  <si>
    <t>NOMBRE Y APELLIDO</t>
  </si>
  <si>
    <t>SANTIAGO GRECO</t>
  </si>
  <si>
    <t xml:space="preserve">                                                      </t>
  </si>
  <si>
    <t>LEGAJO N° 173276-6</t>
  </si>
  <si>
    <t>DIVISION       I5054                AÑO 2024</t>
  </si>
  <si>
    <t>GRUPO</t>
  </si>
  <si>
    <t xml:space="preserve"> </t>
  </si>
  <si>
    <t>PROFESOR</t>
  </si>
  <si>
    <t>DIEGO PELACCINI</t>
  </si>
  <si>
    <t>JEFE T.P.</t>
  </si>
  <si>
    <t>AYUD. T.P.</t>
  </si>
  <si>
    <t>TRABAJO PRACTICO</t>
  </si>
  <si>
    <t>N° 1</t>
  </si>
  <si>
    <t>TEMA: TP N 4</t>
  </si>
  <si>
    <t>FECHA ENTREGA:</t>
  </si>
  <si>
    <t>FECHA DE VENCIMIENTO:</t>
  </si>
  <si>
    <t>INTEGRANTES GRUPO</t>
  </si>
  <si>
    <t xml:space="preserve">N° </t>
  </si>
  <si>
    <t xml:space="preserve">INTEGRANTES </t>
  </si>
  <si>
    <t>N° DE LEGAJO</t>
  </si>
  <si>
    <t>Manonelles, Joan Manuel</t>
  </si>
  <si>
    <t>173276-6</t>
  </si>
  <si>
    <t>Greco, Santiago</t>
  </si>
  <si>
    <t>177980-1</t>
  </si>
  <si>
    <t>CORRECCIONES</t>
  </si>
  <si>
    <t>FIRMA DOCENTE</t>
  </si>
  <si>
    <t>ORIGINAL</t>
  </si>
  <si>
    <t>COPIA</t>
  </si>
  <si>
    <t>Balance A. Vertical</t>
  </si>
  <si>
    <t>Balance 2009</t>
  </si>
  <si>
    <t>Activo Circulante</t>
  </si>
  <si>
    <t>Exigible CP</t>
  </si>
  <si>
    <t>Activo Inmovilizado</t>
  </si>
  <si>
    <t>Exigible LP</t>
  </si>
  <si>
    <t>Capital Propio</t>
  </si>
  <si>
    <t>Activo Total</t>
  </si>
  <si>
    <t>Pasivo Total</t>
  </si>
  <si>
    <t>Balance 2010</t>
  </si>
  <si>
    <t>Balance A. Horizontal</t>
  </si>
  <si>
    <t>Var. Anual</t>
  </si>
  <si>
    <t>a) Ratios de liquidez → cap. de una compañía de hacer frente en el corto plazo a sus obligaciones</t>
  </si>
  <si>
    <t xml:space="preserve">a1 Índice de Liquidez corriente </t>
  </si>
  <si>
    <t>ACP / PCP</t>
  </si>
  <si>
    <t>a2 Test Ácido</t>
  </si>
  <si>
    <t>(ACP -BdeC )/ PCP</t>
  </si>
  <si>
    <t>a3 Ratio del efectivo</t>
  </si>
  <si>
    <t>Disp / PCP</t>
  </si>
  <si>
    <t>b) Ratios de Endeudamiento</t>
  </si>
  <si>
    <t>b1 Tasa de Endeudamiento</t>
  </si>
  <si>
    <t>(Debt to equity Ratio) = (D / E )</t>
  </si>
  <si>
    <t>b2 Palanca Financiera</t>
  </si>
  <si>
    <t>1+(D / E ) = (E+D)/E</t>
  </si>
  <si>
    <t>b3 Solvencia</t>
  </si>
  <si>
    <t>E/ (E+D)</t>
  </si>
  <si>
    <t>b4 Razon de Deuda Total</t>
  </si>
  <si>
    <t>D/ (E+D)</t>
  </si>
  <si>
    <t>b5 Equilibrio patrimonial de LP</t>
  </si>
  <si>
    <t>C) Ratios de Rendimiento</t>
  </si>
  <si>
    <t>c1 amrgen bruto</t>
  </si>
  <si>
    <t>Ut bruta / Ventas</t>
  </si>
  <si>
    <t>c2 masrgen neto</t>
  </si>
  <si>
    <t>Ut neta / ventas</t>
  </si>
  <si>
    <t>?</t>
  </si>
  <si>
    <t>c3 Rend activos explotacion</t>
  </si>
  <si>
    <t>BAII / Act Tot prom</t>
  </si>
  <si>
    <t>c4 rend ento del activo</t>
  </si>
  <si>
    <t>U neta / Activo tot PROM</t>
  </si>
  <si>
    <t>c5 rentabildiad finacniera (ROE)</t>
  </si>
  <si>
    <t>U neta / capital propio prom</t>
  </si>
  <si>
    <t>Balance 2008</t>
  </si>
  <si>
    <t>Plazo medio de inventarios</t>
  </si>
  <si>
    <t>(Bienes de Cbio PROM./ CMV) x 365=</t>
  </si>
  <si>
    <t>DIAS</t>
  </si>
  <si>
    <t>Plazo Medio de Cobro: (PMcli)</t>
  </si>
  <si>
    <t>(Créd. x Ventas PROM. / Ventas + IVA) x 365=</t>
  </si>
  <si>
    <t>Ciclo del Negocio</t>
  </si>
  <si>
    <t>pmm</t>
  </si>
  <si>
    <t>Plazo Medio Pago(1) o´(2): (PMpr)</t>
  </si>
  <si>
    <t>(Proveed. PROM./ CMV+iva) x 365 (1)=</t>
  </si>
  <si>
    <t>"Ciclo del efectivo" : (PMef)</t>
  </si>
  <si>
    <t>Plazo Invent+Plazo Cobro - Plazo Pago</t>
  </si>
  <si>
    <t>Rotación de Cobranzas:</t>
  </si>
  <si>
    <t>(365/Plazo Medio de cobro) =</t>
  </si>
  <si>
    <t>Rotación de Cuentas a Pagar</t>
  </si>
  <si>
    <t>(365/ Plazo Medio de Pago)</t>
  </si>
  <si>
    <t>Rotación del activo total</t>
  </si>
  <si>
    <t>Ventas anuales/ Activo Total PROM.</t>
  </si>
  <si>
    <t>Rotación del activo fijo</t>
  </si>
  <si>
    <t>Ventas anuales/ Activo fijo PROM</t>
  </si>
  <si>
    <t>Rotación del activo circulante:</t>
  </si>
  <si>
    <t>(Costo de Ventas/Activo Circ. PROM.)</t>
  </si>
  <si>
    <t>Rotación Inventarios:</t>
  </si>
  <si>
    <t>(Costo de Ventas/Bienes de Cbio PROM.)</t>
  </si>
  <si>
    <t>dias</t>
  </si>
  <si>
    <t>Balance 2011</t>
  </si>
  <si>
    <t>Plazo medio Inventarios</t>
  </si>
  <si>
    <t>PM mp + PM fab + PM vta</t>
  </si>
  <si>
    <t>PM mp</t>
  </si>
  <si>
    <t>Saldo medio MP + Consumo MP X365</t>
  </si>
  <si>
    <t>PM fab</t>
  </si>
  <si>
    <t>Saldo medio PP / costo produ  * 365</t>
  </si>
  <si>
    <t>PM vta</t>
  </si>
  <si>
    <t>S medio P.Terminados / Costo Productos vendidos ) x 365</t>
  </si>
  <si>
    <t>→ P med invent</t>
  </si>
  <si>
    <t>Plazo medio de cobro</t>
  </si>
  <si>
    <t>cred xvtas prom / ventnas + iva *365</t>
  </si>
  <si>
    <t>Ciclo del negocio</t>
  </si>
  <si>
    <t>P inv + Pmedio de cobro</t>
  </si>
  <si>
    <t>Plazo medio de pago</t>
  </si>
  <si>
    <t>prov prom / cmv + iva *365</t>
  </si>
  <si>
    <t>Rotaciones</t>
  </si>
  <si>
    <t>Rot de cobranzas</t>
  </si>
  <si>
    <t>365 / Plazo medio de cobro</t>
  </si>
  <si>
    <t>Rot de ctas a pagar</t>
  </si>
  <si>
    <t>365 / plazo medio de pago</t>
  </si>
  <si>
    <t>Rot de AT</t>
  </si>
  <si>
    <t>vtas / AT prom</t>
  </si>
  <si>
    <t>Rot de AF</t>
  </si>
  <si>
    <t>vtas / AF prom</t>
  </si>
  <si>
    <t>Rot de activo circulante</t>
  </si>
  <si>
    <t>CMV / Activ circ prom</t>
  </si>
  <si>
    <t>Ciclo de caja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</si>
</sst>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"/>
    <numFmt numFmtId="166" formatCode="0.0%"/>
  </numFmts>
  <fonts count="17">
    <font>
      <sz val="11.0"/>
      <color theme="1"/>
      <name val="Calibri"/>
      <scheme val="minor"/>
    </font>
    <font>
      <sz val="11.0"/>
      <color rgb="FF000000"/>
      <name val="Calibri"/>
    </font>
    <font>
      <sz val="12.0"/>
      <color rgb="FF000000"/>
      <name val="Times New Roman"/>
    </font>
    <font/>
    <font>
      <b/>
      <sz val="10.0"/>
      <color rgb="FF000000"/>
      <name val="Times New Roman"/>
    </font>
    <font>
      <b/>
      <sz val="12.0"/>
      <color rgb="FF000000"/>
      <name val="Times New Roman"/>
    </font>
    <font>
      <sz val="26.0"/>
      <color rgb="FF000000"/>
      <name val="Times New Roman"/>
    </font>
    <font>
      <b/>
      <sz val="14.0"/>
      <color rgb="FF000000"/>
      <name val="Calibri"/>
    </font>
    <font>
      <sz val="16.0"/>
      <color rgb="FF000000"/>
      <name val="Times New Roman"/>
    </font>
    <font>
      <b/>
      <sz val="16.0"/>
      <color rgb="FF000000"/>
      <name val="Calibri"/>
    </font>
    <font>
      <sz val="11.0"/>
      <color rgb="FF000000"/>
      <name val="Times New Roman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rgb="FF0000FF"/>
      <name val="Calibri"/>
      <scheme val="minor"/>
    </font>
    <font>
      <sz val="11.0"/>
      <color theme="1"/>
      <name val="Calibri"/>
    </font>
    <font>
      <sz val="9.0"/>
      <color rgb="FF000000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5" fillId="0" fontId="3" numFmtId="0" xfId="0" applyBorder="1" applyFont="1"/>
    <xf borderId="4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shrinkToFit="0" vertical="center" wrapText="1"/>
    </xf>
    <xf borderId="10" fillId="0" fontId="3" numFmtId="0" xfId="0" applyBorder="1" applyFont="1"/>
    <xf borderId="11" fillId="0" fontId="3" numFmtId="0" xfId="0" applyBorder="1" applyFont="1"/>
    <xf borderId="9" fillId="0" fontId="4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10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top" wrapText="1"/>
    </xf>
    <xf borderId="12" fillId="0" fontId="5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9" fillId="0" fontId="1" numFmtId="164" xfId="0" applyAlignment="1" applyBorder="1" applyFont="1" applyNumberFormat="1">
      <alignment readingOrder="0"/>
    </xf>
    <xf borderId="10" fillId="0" fontId="1" numFmtId="0" xfId="0" applyBorder="1" applyFont="1"/>
    <xf borderId="10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0" fontId="2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horizontal="center"/>
    </xf>
    <xf borderId="9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/>
    </xf>
    <xf borderId="9" fillId="0" fontId="7" numFmtId="0" xfId="0" applyAlignment="1" applyBorder="1" applyFont="1">
      <alignment horizontal="left"/>
    </xf>
    <xf borderId="11" fillId="0" fontId="7" numFmtId="0" xfId="0" applyAlignment="1" applyBorder="1" applyFont="1">
      <alignment horizontal="center"/>
    </xf>
    <xf borderId="12" fillId="0" fontId="8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left"/>
    </xf>
    <xf borderId="10" fillId="0" fontId="9" numFmtId="0" xfId="0" applyAlignment="1" applyBorder="1" applyFont="1">
      <alignment horizontal="left"/>
    </xf>
    <xf borderId="11" fillId="0" fontId="9" numFmtId="0" xfId="0" applyAlignment="1" applyBorder="1" applyFont="1">
      <alignment horizontal="left"/>
    </xf>
    <xf borderId="6" fillId="0" fontId="8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shrinkToFit="0" vertical="top" wrapText="1"/>
    </xf>
    <xf borderId="13" fillId="0" fontId="2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shrinkToFit="0" vertical="center" wrapText="1"/>
    </xf>
    <xf borderId="14" fillId="0" fontId="3" numFmtId="0" xfId="0" applyBorder="1" applyFont="1"/>
    <xf borderId="14" fillId="0" fontId="2" numFmtId="0" xfId="0" applyAlignment="1" applyBorder="1" applyFont="1">
      <alignment shrinkToFit="0" vertical="center" wrapText="1"/>
    </xf>
    <xf borderId="15" fillId="0" fontId="3" numFmtId="0" xfId="0" applyBorder="1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16" fillId="0" fontId="12" numFmtId="0" xfId="0" applyBorder="1" applyFont="1"/>
    <xf borderId="17" fillId="0" fontId="12" numFmtId="0" xfId="0" applyBorder="1" applyFont="1"/>
    <xf borderId="18" fillId="0" fontId="12" numFmtId="165" xfId="0" applyAlignment="1" applyBorder="1" applyFont="1" applyNumberFormat="1">
      <alignment horizontal="center" readingOrder="0"/>
    </xf>
    <xf borderId="19" fillId="0" fontId="12" numFmtId="165" xfId="0" applyAlignment="1" applyBorder="1" applyFont="1" applyNumberFormat="1">
      <alignment horizontal="center" readingOrder="0"/>
    </xf>
    <xf borderId="17" fillId="0" fontId="12" numFmtId="0" xfId="0" applyAlignment="1" applyBorder="1" applyFont="1">
      <alignment readingOrder="0"/>
    </xf>
    <xf borderId="20" fillId="0" fontId="12" numFmtId="0" xfId="0" applyAlignment="1" applyBorder="1" applyFont="1">
      <alignment readingOrder="0"/>
    </xf>
    <xf borderId="0" fillId="0" fontId="12" numFmtId="166" xfId="0" applyAlignment="1" applyFont="1" applyNumberFormat="1">
      <alignment horizontal="center"/>
    </xf>
    <xf borderId="16" fillId="0" fontId="12" numFmtId="165" xfId="0" applyAlignment="1" applyBorder="1" applyFont="1" applyNumberFormat="1">
      <alignment horizontal="center" readingOrder="0"/>
    </xf>
    <xf borderId="17" fillId="0" fontId="12" numFmtId="165" xfId="0" applyAlignment="1" applyBorder="1" applyFont="1" applyNumberFormat="1">
      <alignment horizontal="center" readingOrder="0"/>
    </xf>
    <xf borderId="16" fillId="0" fontId="12" numFmtId="165" xfId="0" applyAlignment="1" applyBorder="1" applyFont="1" applyNumberFormat="1">
      <alignment horizontal="center"/>
    </xf>
    <xf borderId="20" fillId="0" fontId="12" numFmtId="0" xfId="0" applyBorder="1" applyFont="1"/>
    <xf borderId="21" fillId="0" fontId="13" numFmtId="0" xfId="0" applyAlignment="1" applyBorder="1" applyFont="1">
      <alignment readingOrder="0"/>
    </xf>
    <xf borderId="22" fillId="2" fontId="12" numFmtId="165" xfId="0" applyAlignment="1" applyBorder="1" applyFill="1" applyFont="1" applyNumberFormat="1">
      <alignment horizontal="center"/>
    </xf>
    <xf borderId="23" fillId="2" fontId="12" numFmtId="165" xfId="0" applyAlignment="1" applyBorder="1" applyFont="1" applyNumberFormat="1">
      <alignment horizontal="center"/>
    </xf>
    <xf borderId="23" fillId="0" fontId="13" numFmtId="0" xfId="0" applyAlignment="1" applyBorder="1" applyFont="1">
      <alignment readingOrder="0"/>
    </xf>
    <xf borderId="24" fillId="0" fontId="13" numFmtId="0" xfId="0" applyAlignment="1" applyBorder="1" applyFont="1">
      <alignment readingOrder="0"/>
    </xf>
    <xf borderId="21" fillId="2" fontId="12" numFmtId="166" xfId="0" applyAlignment="1" applyBorder="1" applyFont="1" applyNumberFormat="1">
      <alignment horizontal="center" readingOrder="0"/>
    </xf>
    <xf borderId="0" fillId="0" fontId="12" numFmtId="165" xfId="0" applyAlignment="1" applyFont="1" applyNumberFormat="1">
      <alignment horizontal="center"/>
    </xf>
    <xf borderId="0" fillId="0" fontId="12" numFmtId="166" xfId="0" applyFont="1" applyNumberFormat="1"/>
    <xf borderId="22" fillId="0" fontId="12" numFmtId="0" xfId="0" applyBorder="1" applyFont="1"/>
    <xf borderId="21" fillId="0" fontId="12" numFmtId="165" xfId="0" applyAlignment="1" applyBorder="1" applyFont="1" applyNumberFormat="1">
      <alignment horizontal="center" readingOrder="0"/>
    </xf>
    <xf borderId="21" fillId="0" fontId="3" numFmtId="0" xfId="0" applyBorder="1" applyFont="1"/>
    <xf borderId="23" fillId="0" fontId="12" numFmtId="0" xfId="0" applyBorder="1" applyFont="1"/>
    <xf borderId="25" fillId="0" fontId="12" numFmtId="0" xfId="0" applyBorder="1" applyFont="1"/>
    <xf borderId="26" fillId="0" fontId="12" numFmtId="0" xfId="0" applyAlignment="1" applyBorder="1" applyFont="1">
      <alignment horizontal="center" readingOrder="0"/>
    </xf>
    <xf borderId="26" fillId="0" fontId="3" numFmtId="0" xfId="0" applyBorder="1" applyFont="1"/>
    <xf borderId="19" fillId="0" fontId="12" numFmtId="0" xfId="0" applyAlignment="1" applyBorder="1" applyFont="1">
      <alignment readingOrder="0"/>
    </xf>
    <xf borderId="27" fillId="0" fontId="12" numFmtId="165" xfId="0" applyAlignment="1" applyBorder="1" applyFont="1" applyNumberFormat="1">
      <alignment horizontal="center"/>
    </xf>
    <xf borderId="28" fillId="0" fontId="12" numFmtId="165" xfId="0" applyAlignment="1" applyBorder="1" applyFont="1" applyNumberFormat="1">
      <alignment horizontal="center" readingOrder="0"/>
    </xf>
    <xf borderId="22" fillId="0" fontId="13" numFmtId="0" xfId="0" applyAlignment="1" applyBorder="1" applyFont="1">
      <alignment readingOrder="0"/>
    </xf>
    <xf borderId="29" fillId="2" fontId="12" numFmtId="166" xfId="0" applyAlignment="1" applyBorder="1" applyFont="1" applyNumberFormat="1">
      <alignment horizontal="center" readingOrder="0"/>
    </xf>
    <xf borderId="29" fillId="0" fontId="12" numFmtId="0" xfId="0" applyBorder="1" applyFont="1"/>
    <xf borderId="29" fillId="0" fontId="12" numFmtId="0" xfId="0" applyAlignment="1" applyBorder="1" applyFont="1">
      <alignment horizontal="center" readingOrder="0"/>
    </xf>
    <xf borderId="25" fillId="0" fontId="12" numFmtId="165" xfId="0" applyAlignment="1" applyBorder="1" applyFont="1" applyNumberFormat="1">
      <alignment horizontal="center" readingOrder="0"/>
    </xf>
    <xf borderId="26" fillId="0" fontId="14" numFmtId="9" xfId="0" applyAlignment="1" applyBorder="1" applyFont="1" applyNumberFormat="1">
      <alignment horizontal="center"/>
    </xf>
    <xf borderId="20" fillId="0" fontId="12" numFmtId="165" xfId="0" applyAlignment="1" applyBorder="1" applyFont="1" applyNumberFormat="1">
      <alignment horizontal="center" readingOrder="0"/>
    </xf>
    <xf borderId="0" fillId="0" fontId="14" numFmtId="9" xfId="0" applyAlignment="1" applyFont="1" applyNumberFormat="1">
      <alignment horizontal="center"/>
    </xf>
    <xf borderId="20" fillId="0" fontId="12" numFmtId="165" xfId="0" applyAlignment="1" applyBorder="1" applyFont="1" applyNumberFormat="1">
      <alignment horizontal="center"/>
    </xf>
    <xf borderId="30" fillId="0" fontId="12" numFmtId="165" xfId="0" applyAlignment="1" applyBorder="1" applyFont="1" applyNumberFormat="1">
      <alignment horizontal="center"/>
    </xf>
    <xf borderId="24" fillId="0" fontId="12" numFmtId="165" xfId="0" applyAlignment="1" applyBorder="1" applyFont="1" applyNumberFormat="1">
      <alignment horizontal="center"/>
    </xf>
    <xf borderId="21" fillId="0" fontId="14" numFmtId="9" xfId="0" applyAlignment="1" applyBorder="1" applyFont="1" applyNumberFormat="1">
      <alignment horizontal="center"/>
    </xf>
    <xf borderId="25" fillId="0" fontId="14" numFmtId="9" xfId="0" applyAlignment="1" applyBorder="1" applyFont="1" applyNumberFormat="1">
      <alignment horizontal="center"/>
    </xf>
    <xf borderId="20" fillId="0" fontId="14" numFmtId="9" xfId="0" applyAlignment="1" applyBorder="1" applyFont="1" applyNumberFormat="1">
      <alignment horizontal="center"/>
    </xf>
    <xf borderId="23" fillId="0" fontId="12" numFmtId="165" xfId="0" applyAlignment="1" applyBorder="1" applyFont="1" applyNumberFormat="1">
      <alignment horizontal="center"/>
    </xf>
    <xf borderId="24" fillId="0" fontId="14" numFmtId="9" xfId="0" applyAlignment="1" applyBorder="1" applyFont="1" applyNumberFormat="1">
      <alignment horizontal="center"/>
    </xf>
    <xf borderId="0" fillId="0" fontId="12" numFmtId="2" xfId="0" applyAlignment="1" applyFont="1" applyNumberFormat="1">
      <alignment horizontal="center"/>
    </xf>
    <xf borderId="0" fillId="0" fontId="15" numFmtId="0" xfId="0" applyAlignment="1" applyFont="1">
      <alignment readingOrder="0" vertical="bottom"/>
    </xf>
    <xf borderId="0" fillId="0" fontId="12" numFmtId="0" xfId="0" applyAlignment="1" applyFont="1">
      <alignment horizontal="center"/>
    </xf>
    <xf borderId="0" fillId="0" fontId="12" numFmtId="2" xfId="0" applyFont="1" applyNumberFormat="1"/>
    <xf borderId="0" fillId="0" fontId="12" numFmtId="0" xfId="0" applyFont="1"/>
    <xf borderId="0" fillId="0" fontId="12" numFmtId="10" xfId="0" applyFont="1" applyNumberFormat="1"/>
    <xf borderId="0" fillId="3" fontId="16" numFmtId="0" xfId="0" applyAlignment="1" applyFill="1" applyFont="1">
      <alignment readingOrder="0"/>
    </xf>
    <xf borderId="0" fillId="0" fontId="12" numFmtId="2" xfId="0" applyAlignment="1" applyFont="1" applyNumberFormat="1">
      <alignment readingOrder="0"/>
    </xf>
    <xf borderId="0" fillId="0" fontId="1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13</xdr:row>
      <xdr:rowOff>19050</xdr:rowOff>
    </xdr:from>
    <xdr:ext cx="361950" cy="771525"/>
    <xdr:sp>
      <xdr:nvSpPr>
        <xdr:cNvPr id="3" name="Shape 3"/>
        <xdr:cNvSpPr txBox="1"/>
      </xdr:nvSpPr>
      <xdr:spPr>
        <a:xfrm rot="-5400000">
          <a:off x="4965001" y="3603788"/>
          <a:ext cx="76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ALUMNO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17</xdr:row>
      <xdr:rowOff>0</xdr:rowOff>
    </xdr:from>
    <xdr:ext cx="381000" cy="704850"/>
    <xdr:sp>
      <xdr:nvSpPr>
        <xdr:cNvPr id="4" name="Shape 4"/>
        <xdr:cNvSpPr txBox="1"/>
      </xdr:nvSpPr>
      <xdr:spPr>
        <a:xfrm rot="-5400000">
          <a:off x="4998338" y="3594263"/>
          <a:ext cx="69532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05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Docentes</a:t>
          </a:r>
          <a:endParaRPr b="1" i="0" sz="10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361950</xdr:colOff>
      <xdr:row>2</xdr:row>
      <xdr:rowOff>47625</xdr:rowOff>
    </xdr:from>
    <xdr:ext cx="666750" cy="1162050"/>
    <xdr:sp>
      <xdr:nvSpPr>
        <xdr:cNvPr id="5" name="Shape 5"/>
        <xdr:cNvSpPr txBox="1"/>
      </xdr:nvSpPr>
      <xdr:spPr>
        <a:xfrm>
          <a:off x="5017388" y="3203738"/>
          <a:ext cx="657225" cy="11525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714375</xdr:colOff>
      <xdr:row>39</xdr:row>
      <xdr:rowOff>9525</xdr:rowOff>
    </xdr:from>
    <xdr:ext cx="361950" cy="1009650"/>
    <xdr:sp>
      <xdr:nvSpPr>
        <xdr:cNvPr id="6" name="Shape 6"/>
        <xdr:cNvSpPr txBox="1"/>
      </xdr:nvSpPr>
      <xdr:spPr>
        <a:xfrm rot="-5400000">
          <a:off x="4845938" y="3603788"/>
          <a:ext cx="10001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ENTREGAS</a:t>
          </a:r>
          <a:endParaRPr sz="1400"/>
        </a:p>
      </xdr:txBody>
    </xdr:sp>
    <xdr:clientData fLocksWithSheet="0"/>
  </xdr:oneCellAnchor>
  <xdr:oneCellAnchor>
    <xdr:from>
      <xdr:col>4</xdr:col>
      <xdr:colOff>142875</xdr:colOff>
      <xdr:row>38</xdr:row>
      <xdr:rowOff>85725</xdr:rowOff>
    </xdr:from>
    <xdr:ext cx="381000" cy="1476375"/>
    <xdr:sp>
      <xdr:nvSpPr>
        <xdr:cNvPr id="7" name="Shape 7"/>
        <xdr:cNvSpPr txBox="1"/>
      </xdr:nvSpPr>
      <xdr:spPr>
        <a:xfrm rot="-5400000">
          <a:off x="4612576" y="3594263"/>
          <a:ext cx="146685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OBSERVACIONES</a:t>
          </a:r>
          <a:endParaRPr sz="1400"/>
        </a:p>
      </xdr:txBody>
    </xdr:sp>
    <xdr:clientData fLocksWithSheet="0"/>
  </xdr:oneCellAnchor>
  <xdr:oneCellAnchor>
    <xdr:from>
      <xdr:col>0</xdr:col>
      <xdr:colOff>752475</xdr:colOff>
      <xdr:row>13</xdr:row>
      <xdr:rowOff>19050</xdr:rowOff>
    </xdr:from>
    <xdr:ext cx="361950" cy="771525"/>
    <xdr:sp>
      <xdr:nvSpPr>
        <xdr:cNvPr id="8" name="Shape 8"/>
        <xdr:cNvSpPr txBox="1"/>
      </xdr:nvSpPr>
      <xdr:spPr>
        <a:xfrm rot="-5400000">
          <a:off x="4965001" y="3603788"/>
          <a:ext cx="76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ALUMNO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17</xdr:row>
      <xdr:rowOff>0</xdr:rowOff>
    </xdr:from>
    <xdr:ext cx="381000" cy="704850"/>
    <xdr:sp>
      <xdr:nvSpPr>
        <xdr:cNvPr id="9" name="Shape 9"/>
        <xdr:cNvSpPr txBox="1"/>
      </xdr:nvSpPr>
      <xdr:spPr>
        <a:xfrm rot="-5400000">
          <a:off x="4998338" y="3594263"/>
          <a:ext cx="69532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05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Docentes</a:t>
          </a:r>
          <a:endParaRPr b="1" i="0" sz="10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361950</xdr:colOff>
      <xdr:row>2</xdr:row>
      <xdr:rowOff>47625</xdr:rowOff>
    </xdr:from>
    <xdr:ext cx="666750" cy="1162050"/>
    <xdr:sp>
      <xdr:nvSpPr>
        <xdr:cNvPr id="5" name="Shape 5"/>
        <xdr:cNvSpPr txBox="1"/>
      </xdr:nvSpPr>
      <xdr:spPr>
        <a:xfrm>
          <a:off x="5017388" y="3203738"/>
          <a:ext cx="657225" cy="11525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714375</xdr:colOff>
      <xdr:row>39</xdr:row>
      <xdr:rowOff>9525</xdr:rowOff>
    </xdr:from>
    <xdr:ext cx="361950" cy="1009650"/>
    <xdr:sp>
      <xdr:nvSpPr>
        <xdr:cNvPr id="10" name="Shape 10"/>
        <xdr:cNvSpPr txBox="1"/>
      </xdr:nvSpPr>
      <xdr:spPr>
        <a:xfrm rot="-5400000">
          <a:off x="4845938" y="3603788"/>
          <a:ext cx="10001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ENTREGAS</a:t>
          </a:r>
          <a:endParaRPr sz="1400"/>
        </a:p>
      </xdr:txBody>
    </xdr:sp>
    <xdr:clientData fLocksWithSheet="0"/>
  </xdr:oneCellAnchor>
  <xdr:oneCellAnchor>
    <xdr:from>
      <xdr:col>4</xdr:col>
      <xdr:colOff>142875</xdr:colOff>
      <xdr:row>38</xdr:row>
      <xdr:rowOff>85725</xdr:rowOff>
    </xdr:from>
    <xdr:ext cx="381000" cy="1476375"/>
    <xdr:sp>
      <xdr:nvSpPr>
        <xdr:cNvPr id="11" name="Shape 11"/>
        <xdr:cNvSpPr txBox="1"/>
      </xdr:nvSpPr>
      <xdr:spPr>
        <a:xfrm rot="-5400000">
          <a:off x="4612576" y="3594263"/>
          <a:ext cx="146685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OBSERVACIONES</a:t>
          </a:r>
          <a:endParaRPr sz="1400"/>
        </a:p>
      </xdr:txBody>
    </xdr:sp>
    <xdr:clientData fLocksWithSheet="0"/>
  </xdr:oneCellAnchor>
  <xdr:oneCellAnchor>
    <xdr:from>
      <xdr:col>0</xdr:col>
      <xdr:colOff>752475</xdr:colOff>
      <xdr:row>13</xdr:row>
      <xdr:rowOff>19050</xdr:rowOff>
    </xdr:from>
    <xdr:ext cx="361950" cy="771525"/>
    <xdr:sp>
      <xdr:nvSpPr>
        <xdr:cNvPr id="12" name="Shape 12"/>
        <xdr:cNvSpPr txBox="1"/>
      </xdr:nvSpPr>
      <xdr:spPr>
        <a:xfrm rot="-5400000">
          <a:off x="4965001" y="3603788"/>
          <a:ext cx="76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ALUMNO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17</xdr:row>
      <xdr:rowOff>0</xdr:rowOff>
    </xdr:from>
    <xdr:ext cx="381000" cy="704850"/>
    <xdr:sp>
      <xdr:nvSpPr>
        <xdr:cNvPr id="13" name="Shape 13"/>
        <xdr:cNvSpPr txBox="1"/>
      </xdr:nvSpPr>
      <xdr:spPr>
        <a:xfrm rot="-5400000">
          <a:off x="4998338" y="3594263"/>
          <a:ext cx="69532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05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Docentes</a:t>
          </a:r>
          <a:endParaRPr b="1" i="0" sz="10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361950</xdr:colOff>
      <xdr:row>2</xdr:row>
      <xdr:rowOff>47625</xdr:rowOff>
    </xdr:from>
    <xdr:ext cx="666750" cy="1162050"/>
    <xdr:sp>
      <xdr:nvSpPr>
        <xdr:cNvPr id="5" name="Shape 5"/>
        <xdr:cNvSpPr txBox="1"/>
      </xdr:nvSpPr>
      <xdr:spPr>
        <a:xfrm>
          <a:off x="5017388" y="3203738"/>
          <a:ext cx="657225" cy="11525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714375</xdr:colOff>
      <xdr:row>39</xdr:row>
      <xdr:rowOff>9525</xdr:rowOff>
    </xdr:from>
    <xdr:ext cx="361950" cy="1009650"/>
    <xdr:sp>
      <xdr:nvSpPr>
        <xdr:cNvPr id="14" name="Shape 14"/>
        <xdr:cNvSpPr txBox="1"/>
      </xdr:nvSpPr>
      <xdr:spPr>
        <a:xfrm rot="-5400000">
          <a:off x="4845938" y="3603788"/>
          <a:ext cx="10001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ENTREGAS</a:t>
          </a:r>
          <a:endParaRPr sz="1400"/>
        </a:p>
      </xdr:txBody>
    </xdr:sp>
    <xdr:clientData fLocksWithSheet="0"/>
  </xdr:oneCellAnchor>
  <xdr:oneCellAnchor>
    <xdr:from>
      <xdr:col>4</xdr:col>
      <xdr:colOff>142875</xdr:colOff>
      <xdr:row>38</xdr:row>
      <xdr:rowOff>85725</xdr:rowOff>
    </xdr:from>
    <xdr:ext cx="381000" cy="1476375"/>
    <xdr:sp>
      <xdr:nvSpPr>
        <xdr:cNvPr id="15" name="Shape 15"/>
        <xdr:cNvSpPr txBox="1"/>
      </xdr:nvSpPr>
      <xdr:spPr>
        <a:xfrm rot="-5400000">
          <a:off x="4612576" y="3594263"/>
          <a:ext cx="146685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2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OBSERVACIONES</a:t>
          </a:r>
          <a:endParaRPr sz="1400"/>
        </a:p>
      </xdr:txBody>
    </xdr:sp>
    <xdr:clientData fLocksWithSheet="0"/>
  </xdr:oneCellAnchor>
  <xdr:oneCellAnchor>
    <xdr:from>
      <xdr:col>1</xdr:col>
      <xdr:colOff>333375</xdr:colOff>
      <xdr:row>2</xdr:row>
      <xdr:rowOff>152400</xdr:rowOff>
    </xdr:from>
    <xdr:ext cx="63817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2</xdr:row>
      <xdr:rowOff>152400</xdr:rowOff>
    </xdr:from>
    <xdr:ext cx="63817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2</xdr:row>
      <xdr:rowOff>152400</xdr:rowOff>
    </xdr:from>
    <xdr:ext cx="63817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57"/>
    <col customWidth="1" min="2" max="2" width="6.0"/>
    <col customWidth="1" min="3" max="5" width="11.57"/>
    <col customWidth="1" min="6" max="6" width="7.14"/>
    <col customWidth="1" min="7" max="7" width="10.86"/>
    <col customWidth="1" min="8" max="8" width="11.57"/>
    <col customWidth="1" min="9" max="9" width="6.43"/>
    <col customWidth="1" min="10" max="12" width="11.57"/>
    <col customWidth="1" min="13" max="13" width="4.43"/>
    <col customWidth="1" min="14" max="14" width="11.57"/>
    <col customWidth="1" min="15" max="15" width="9.43"/>
    <col customWidth="1" min="16" max="26" width="11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3"/>
      <c r="D3" s="3"/>
      <c r="E3" s="3"/>
      <c r="F3" s="3"/>
      <c r="G3" s="3"/>
      <c r="H3" s="4" t="s">
        <v>0</v>
      </c>
      <c r="I3" s="3"/>
      <c r="J3" s="3"/>
      <c r="K3" s="3"/>
      <c r="L3" s="3"/>
      <c r="M3" s="3"/>
      <c r="N3" s="3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/>
      <c r="H4" s="7" t="s">
        <v>1</v>
      </c>
      <c r="O4" s="8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/>
      <c r="H5" s="7"/>
      <c r="O5" s="8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/>
      <c r="H6" s="7"/>
      <c r="O6" s="8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/>
      <c r="H7" s="7"/>
      <c r="O7" s="8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/>
      <c r="H8" s="7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/>
      <c r="H9" s="7"/>
      <c r="O9" s="8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9" t="s">
        <v>2</v>
      </c>
      <c r="N10" s="10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" t="s">
        <v>3</v>
      </c>
      <c r="C12" s="15"/>
      <c r="D12" s="15"/>
      <c r="E12" s="15"/>
      <c r="F12" s="15"/>
      <c r="G12" s="15"/>
      <c r="H12" s="15"/>
      <c r="I12" s="15"/>
      <c r="J12" s="16"/>
      <c r="K12" s="14" t="s">
        <v>4</v>
      </c>
      <c r="L12" s="15"/>
      <c r="M12" s="15"/>
      <c r="N12" s="15"/>
      <c r="O12" s="1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7" t="s">
        <v>5</v>
      </c>
      <c r="C13" s="15"/>
      <c r="D13" s="15"/>
      <c r="E13" s="15"/>
      <c r="F13" s="15"/>
      <c r="G13" s="15"/>
      <c r="H13" s="15"/>
      <c r="I13" s="15"/>
      <c r="J13" s="16"/>
      <c r="K13" s="18" t="s">
        <v>6</v>
      </c>
      <c r="L13" s="15"/>
      <c r="M13" s="15"/>
      <c r="N13" s="15"/>
      <c r="O13" s="1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9"/>
      <c r="C14" s="5"/>
      <c r="D14" s="14" t="s">
        <v>7</v>
      </c>
      <c r="E14" s="15"/>
      <c r="F14" s="15"/>
      <c r="G14" s="20" t="s">
        <v>8</v>
      </c>
      <c r="H14" s="15"/>
      <c r="I14" s="15"/>
      <c r="J14" s="15"/>
      <c r="K14" s="15"/>
      <c r="L14" s="15"/>
      <c r="M14" s="15"/>
      <c r="N14" s="15"/>
      <c r="O14" s="2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/>
      <c r="C15" s="8"/>
      <c r="D15" s="22" t="s">
        <v>9</v>
      </c>
      <c r="E15" s="15"/>
      <c r="F15" s="15"/>
      <c r="G15" s="15"/>
      <c r="H15" s="15"/>
      <c r="I15" s="15"/>
      <c r="J15" s="15"/>
      <c r="K15" s="23"/>
      <c r="L15" s="15"/>
      <c r="M15" s="15"/>
      <c r="N15" s="15"/>
      <c r="O15" s="2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/>
      <c r="C16" s="8"/>
      <c r="D16" s="14" t="s">
        <v>10</v>
      </c>
      <c r="E16" s="15"/>
      <c r="F16" s="16"/>
      <c r="G16" s="14" t="s">
        <v>11</v>
      </c>
      <c r="H16" s="15"/>
      <c r="I16" s="15"/>
      <c r="J16" s="15"/>
      <c r="K16" s="15"/>
      <c r="L16" s="15"/>
      <c r="M16" s="15"/>
      <c r="N16" s="16"/>
      <c r="O16" s="24" t="s">
        <v>12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5"/>
      <c r="C17" s="13"/>
      <c r="D17" s="18"/>
      <c r="E17" s="15"/>
      <c r="F17" s="16"/>
      <c r="G17" s="18"/>
      <c r="H17" s="15"/>
      <c r="I17" s="15"/>
      <c r="J17" s="15"/>
      <c r="K17" s="15"/>
      <c r="L17" s="15"/>
      <c r="M17" s="15"/>
      <c r="N17" s="16"/>
      <c r="O17" s="26" t="s">
        <v>13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9"/>
      <c r="C18" s="5"/>
      <c r="D18" s="14" t="s">
        <v>14</v>
      </c>
      <c r="E18" s="15"/>
      <c r="F18" s="16"/>
      <c r="G18" s="18" t="s">
        <v>15</v>
      </c>
      <c r="H18" s="15"/>
      <c r="I18" s="15"/>
      <c r="J18" s="15"/>
      <c r="K18" s="15"/>
      <c r="L18" s="15"/>
      <c r="M18" s="15"/>
      <c r="N18" s="15"/>
      <c r="O18" s="2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/>
      <c r="C19" s="8"/>
      <c r="D19" s="14" t="s">
        <v>16</v>
      </c>
      <c r="E19" s="15"/>
      <c r="F19" s="16"/>
      <c r="G19" s="18"/>
      <c r="H19" s="15"/>
      <c r="I19" s="15"/>
      <c r="J19" s="15"/>
      <c r="K19" s="15"/>
      <c r="L19" s="15"/>
      <c r="M19" s="15"/>
      <c r="N19" s="15"/>
      <c r="O19" s="2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7"/>
      <c r="C20" s="13"/>
      <c r="D20" s="14" t="s">
        <v>17</v>
      </c>
      <c r="E20" s="15"/>
      <c r="F20" s="16"/>
      <c r="G20" s="18"/>
      <c r="H20" s="15"/>
      <c r="I20" s="15"/>
      <c r="J20" s="15"/>
      <c r="K20" s="15"/>
      <c r="L20" s="15"/>
      <c r="M20" s="15"/>
      <c r="N20" s="15"/>
      <c r="O20" s="2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4" t="s">
        <v>18</v>
      </c>
      <c r="C21" s="15"/>
      <c r="D21" s="15"/>
      <c r="E21" s="15"/>
      <c r="F21" s="15"/>
      <c r="G21" s="15"/>
      <c r="H21" s="15"/>
      <c r="I21" s="15"/>
      <c r="J21" s="16"/>
      <c r="K21" s="14" t="s">
        <v>19</v>
      </c>
      <c r="L21" s="15"/>
      <c r="M21" s="15"/>
      <c r="N21" s="15"/>
      <c r="O21" s="1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28" t="s">
        <v>20</v>
      </c>
      <c r="C22" s="3"/>
      <c r="D22" s="3"/>
      <c r="E22" s="3"/>
      <c r="F22" s="3"/>
      <c r="G22" s="3"/>
      <c r="H22" s="3"/>
      <c r="I22" s="3"/>
      <c r="J22" s="3"/>
      <c r="K22" s="29"/>
      <c r="L22" s="3"/>
      <c r="M22" s="3"/>
      <c r="N22" s="3"/>
      <c r="O22" s="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6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6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6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"/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4" t="s">
        <v>21</v>
      </c>
      <c r="C27" s="15"/>
      <c r="D27" s="15"/>
      <c r="E27" s="15"/>
      <c r="F27" s="16"/>
      <c r="G27" s="30">
        <v>45583.0</v>
      </c>
      <c r="H27" s="31"/>
      <c r="I27" s="32"/>
      <c r="J27" s="15"/>
      <c r="K27" s="32"/>
      <c r="L27" s="15"/>
      <c r="M27" s="23"/>
      <c r="N27" s="15"/>
      <c r="O27" s="16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4" t="s">
        <v>22</v>
      </c>
      <c r="C28" s="15"/>
      <c r="D28" s="15"/>
      <c r="E28" s="15"/>
      <c r="F28" s="16"/>
      <c r="G28" s="33"/>
      <c r="H28" s="12"/>
      <c r="I28" s="34"/>
      <c r="J28" s="12"/>
      <c r="K28" s="34"/>
      <c r="L28" s="12"/>
      <c r="M28" s="35"/>
      <c r="N28" s="12"/>
      <c r="O28" s="1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4"/>
      <c r="C29" s="29"/>
      <c r="D29" s="29"/>
      <c r="E29" s="29"/>
      <c r="F29" s="29"/>
      <c r="G29" s="34"/>
      <c r="H29" s="34"/>
      <c r="I29" s="36"/>
      <c r="J29" s="36"/>
      <c r="K29" s="36"/>
      <c r="L29" s="36"/>
      <c r="M29" s="10"/>
      <c r="N29" s="10"/>
      <c r="O29" s="3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4" t="s">
        <v>23</v>
      </c>
      <c r="C30" s="15"/>
      <c r="D30" s="15"/>
      <c r="E30" s="15"/>
      <c r="F30" s="15"/>
      <c r="G30" s="15"/>
      <c r="H30" s="15"/>
      <c r="I30" s="15"/>
      <c r="J30" s="15"/>
      <c r="K30" s="29"/>
      <c r="L30" s="3"/>
      <c r="M30" s="3"/>
      <c r="N30" s="3"/>
      <c r="O30" s="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8" t="s">
        <v>24</v>
      </c>
      <c r="C31" s="39" t="s">
        <v>25</v>
      </c>
      <c r="D31" s="15"/>
      <c r="E31" s="15"/>
      <c r="F31" s="16"/>
      <c r="G31" s="40" t="s">
        <v>26</v>
      </c>
      <c r="H31" s="16"/>
      <c r="I31" s="38" t="s">
        <v>24</v>
      </c>
      <c r="J31" s="39" t="s">
        <v>25</v>
      </c>
      <c r="K31" s="15"/>
      <c r="L31" s="15"/>
      <c r="M31" s="16"/>
      <c r="N31" s="41" t="s">
        <v>26</v>
      </c>
      <c r="O31" s="4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43">
        <v>1.0</v>
      </c>
      <c r="C32" s="44" t="s">
        <v>27</v>
      </c>
      <c r="D32" s="45"/>
      <c r="E32" s="45"/>
      <c r="F32" s="46"/>
      <c r="G32" s="40" t="s">
        <v>28</v>
      </c>
      <c r="H32" s="16"/>
      <c r="I32" s="43">
        <v>5.0</v>
      </c>
      <c r="J32" s="44"/>
      <c r="K32" s="45"/>
      <c r="L32" s="45"/>
      <c r="M32" s="46"/>
      <c r="N32" s="40"/>
      <c r="O32" s="4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47">
        <v>2.0</v>
      </c>
      <c r="C33" s="44" t="s">
        <v>29</v>
      </c>
      <c r="D33" s="45"/>
      <c r="E33" s="45"/>
      <c r="F33" s="46"/>
      <c r="G33" s="40" t="s">
        <v>30</v>
      </c>
      <c r="H33" s="16"/>
      <c r="I33" s="47">
        <v>6.0</v>
      </c>
      <c r="J33" s="44"/>
      <c r="K33" s="45"/>
      <c r="L33" s="45"/>
      <c r="M33" s="46"/>
      <c r="N33" s="40"/>
      <c r="O33" s="4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47">
        <v>3.0</v>
      </c>
      <c r="C34" s="44"/>
      <c r="D34" s="45"/>
      <c r="E34" s="45"/>
      <c r="F34" s="46"/>
      <c r="G34" s="40"/>
      <c r="H34" s="16"/>
      <c r="I34" s="43">
        <v>7.0</v>
      </c>
      <c r="J34" s="44"/>
      <c r="K34" s="45"/>
      <c r="L34" s="45"/>
      <c r="M34" s="46"/>
      <c r="N34" s="40"/>
      <c r="O34" s="4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47">
        <v>4.0</v>
      </c>
      <c r="C35" s="44"/>
      <c r="D35" s="45"/>
      <c r="E35" s="45"/>
      <c r="F35" s="46"/>
      <c r="G35" s="40"/>
      <c r="H35" s="16"/>
      <c r="I35" s="47">
        <v>8.0</v>
      </c>
      <c r="J35" s="44"/>
      <c r="K35" s="45"/>
      <c r="L35" s="45"/>
      <c r="M35" s="46"/>
      <c r="N35" s="40"/>
      <c r="O35" s="4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9" t="s">
        <v>31</v>
      </c>
      <c r="C36" s="3"/>
      <c r="D36" s="3"/>
      <c r="E36" s="3"/>
      <c r="F36" s="3"/>
      <c r="G36" s="3"/>
      <c r="H36" s="3"/>
      <c r="I36" s="3"/>
      <c r="J36" s="5"/>
      <c r="K36" s="9" t="s">
        <v>32</v>
      </c>
      <c r="O36" s="8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"/>
      <c r="J37" s="8"/>
      <c r="K37" s="6"/>
      <c r="O37" s="8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1"/>
      <c r="C38" s="12"/>
      <c r="D38" s="12"/>
      <c r="E38" s="12"/>
      <c r="F38" s="12"/>
      <c r="G38" s="12"/>
      <c r="H38" s="12"/>
      <c r="I38" s="12"/>
      <c r="J38" s="13"/>
      <c r="K38" s="6"/>
      <c r="O38" s="8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48"/>
      <c r="C39" s="19"/>
      <c r="D39" s="5"/>
      <c r="E39" s="49"/>
      <c r="F39" s="19"/>
      <c r="G39" s="5"/>
      <c r="H39" s="50" t="s">
        <v>33</v>
      </c>
      <c r="I39" s="3"/>
      <c r="J39" s="3"/>
      <c r="K39" s="5"/>
      <c r="L39" s="19"/>
      <c r="M39" s="3"/>
      <c r="N39" s="3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1"/>
      <c r="C40" s="11"/>
      <c r="D40" s="13"/>
      <c r="E40" s="51"/>
      <c r="F40" s="11"/>
      <c r="G40" s="13"/>
      <c r="H40" s="11"/>
      <c r="I40" s="12"/>
      <c r="J40" s="12"/>
      <c r="K40" s="13"/>
      <c r="L40" s="11"/>
      <c r="M40" s="12"/>
      <c r="N40" s="12"/>
      <c r="O40" s="1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2"/>
      <c r="C41" s="19"/>
      <c r="D41" s="5"/>
      <c r="E41" s="52"/>
      <c r="F41" s="19"/>
      <c r="G41" s="5"/>
      <c r="H41" s="49"/>
      <c r="I41" s="49"/>
      <c r="J41" s="19"/>
      <c r="K41" s="5"/>
      <c r="L41" s="19"/>
      <c r="M41" s="3"/>
      <c r="N41" s="3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1"/>
      <c r="C42" s="11"/>
      <c r="D42" s="13"/>
      <c r="E42" s="51"/>
      <c r="F42" s="11"/>
      <c r="G42" s="13"/>
      <c r="H42" s="53"/>
      <c r="I42" s="53"/>
      <c r="J42" s="11"/>
      <c r="K42" s="13"/>
      <c r="L42" s="11"/>
      <c r="M42" s="12"/>
      <c r="N42" s="12"/>
      <c r="O42" s="13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52"/>
      <c r="C43" s="19"/>
      <c r="D43" s="5"/>
      <c r="E43" s="52"/>
      <c r="F43" s="19"/>
      <c r="G43" s="5"/>
      <c r="H43" s="19" t="s">
        <v>34</v>
      </c>
      <c r="I43" s="3"/>
      <c r="J43" s="3"/>
      <c r="K43" s="5"/>
      <c r="L43" s="19"/>
      <c r="M43" s="3"/>
      <c r="N43" s="3"/>
      <c r="O43" s="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1"/>
      <c r="C44" s="11"/>
      <c r="D44" s="13"/>
      <c r="E44" s="51"/>
      <c r="F44" s="11"/>
      <c r="G44" s="13"/>
      <c r="H44" s="11"/>
      <c r="I44" s="12"/>
      <c r="J44" s="12"/>
      <c r="K44" s="13"/>
      <c r="L44" s="11"/>
      <c r="M44" s="12"/>
      <c r="N44" s="12"/>
      <c r="O44" s="1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52"/>
      <c r="C45" s="19"/>
      <c r="D45" s="5"/>
      <c r="E45" s="52"/>
      <c r="F45" s="19"/>
      <c r="G45" s="5"/>
      <c r="H45" s="49"/>
      <c r="I45" s="49"/>
      <c r="J45" s="19"/>
      <c r="K45" s="5"/>
      <c r="L45" s="19"/>
      <c r="M45" s="3"/>
      <c r="N45" s="3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3"/>
      <c r="C46" s="11"/>
      <c r="D46" s="13"/>
      <c r="E46" s="53"/>
      <c r="F46" s="11"/>
      <c r="G46" s="13"/>
      <c r="H46" s="53"/>
      <c r="I46" s="53"/>
      <c r="J46" s="11"/>
      <c r="K46" s="13"/>
      <c r="L46" s="11"/>
      <c r="M46" s="12"/>
      <c r="N46" s="12"/>
      <c r="O46" s="1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7">
    <mergeCell ref="B3:G9"/>
    <mergeCell ref="H3:O3"/>
    <mergeCell ref="H4:O4"/>
    <mergeCell ref="H5:O5"/>
    <mergeCell ref="H6:O6"/>
    <mergeCell ref="H7:O7"/>
    <mergeCell ref="H8:O8"/>
    <mergeCell ref="H9:O9"/>
    <mergeCell ref="B10:M11"/>
    <mergeCell ref="N10:O11"/>
    <mergeCell ref="B12:J12"/>
    <mergeCell ref="K12:O12"/>
    <mergeCell ref="B13:J13"/>
    <mergeCell ref="K13:O13"/>
    <mergeCell ref="D16:F16"/>
    <mergeCell ref="G16:N16"/>
    <mergeCell ref="B14:C14"/>
    <mergeCell ref="D14:F14"/>
    <mergeCell ref="G14:N14"/>
    <mergeCell ref="B15:C15"/>
    <mergeCell ref="B16:C16"/>
    <mergeCell ref="K15:N15"/>
    <mergeCell ref="D15:J15"/>
    <mergeCell ref="D19:F19"/>
    <mergeCell ref="G19:N19"/>
    <mergeCell ref="B17:C17"/>
    <mergeCell ref="D17:F17"/>
    <mergeCell ref="G17:N17"/>
    <mergeCell ref="B18:C18"/>
    <mergeCell ref="D18:F18"/>
    <mergeCell ref="G18:N18"/>
    <mergeCell ref="B19:C19"/>
    <mergeCell ref="B20:C20"/>
    <mergeCell ref="D20:F20"/>
    <mergeCell ref="G20:N20"/>
    <mergeCell ref="B21:J21"/>
    <mergeCell ref="K21:O21"/>
    <mergeCell ref="B22:J26"/>
    <mergeCell ref="K22:O26"/>
    <mergeCell ref="C45:D46"/>
    <mergeCell ref="E45:E46"/>
    <mergeCell ref="F45:G46"/>
    <mergeCell ref="H45:H46"/>
    <mergeCell ref="I45:I46"/>
    <mergeCell ref="J45:K46"/>
    <mergeCell ref="B43:B44"/>
    <mergeCell ref="C43:D44"/>
    <mergeCell ref="E43:E44"/>
    <mergeCell ref="F43:G44"/>
    <mergeCell ref="H43:K44"/>
    <mergeCell ref="L43:O44"/>
    <mergeCell ref="B45:B46"/>
    <mergeCell ref="L45:O46"/>
    <mergeCell ref="K28:L28"/>
    <mergeCell ref="M28:O28"/>
    <mergeCell ref="B27:F27"/>
    <mergeCell ref="I27:J27"/>
    <mergeCell ref="K27:L27"/>
    <mergeCell ref="M27:O27"/>
    <mergeCell ref="B28:F28"/>
    <mergeCell ref="G28:H28"/>
    <mergeCell ref="I28:J28"/>
    <mergeCell ref="B30:J30"/>
    <mergeCell ref="K30:O30"/>
    <mergeCell ref="C31:F31"/>
    <mergeCell ref="G31:H31"/>
    <mergeCell ref="J31:M31"/>
    <mergeCell ref="G32:H32"/>
    <mergeCell ref="G33:H33"/>
    <mergeCell ref="F39:G40"/>
    <mergeCell ref="H39:K40"/>
    <mergeCell ref="G34:H34"/>
    <mergeCell ref="G35:H35"/>
    <mergeCell ref="B36:J38"/>
    <mergeCell ref="K36:O38"/>
    <mergeCell ref="C39:D40"/>
    <mergeCell ref="E39:E40"/>
    <mergeCell ref="L39:O40"/>
    <mergeCell ref="J41:K42"/>
    <mergeCell ref="L41:O42"/>
    <mergeCell ref="B39:B40"/>
    <mergeCell ref="B41:B42"/>
    <mergeCell ref="C41:D42"/>
    <mergeCell ref="E41:E42"/>
    <mergeCell ref="F41:G42"/>
    <mergeCell ref="H41:H42"/>
    <mergeCell ref="I41:I4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71"/>
    <col customWidth="1" min="6" max="6" width="17.71"/>
  </cols>
  <sheetData>
    <row r="1">
      <c r="A1" s="54" t="s">
        <v>35</v>
      </c>
    </row>
    <row r="2">
      <c r="A2" s="55"/>
      <c r="B2" s="56" t="s">
        <v>36</v>
      </c>
      <c r="F2" s="57"/>
      <c r="G2" s="56" t="s">
        <v>36</v>
      </c>
      <c r="I2" s="58"/>
    </row>
    <row r="3">
      <c r="A3" s="55" t="s">
        <v>37</v>
      </c>
      <c r="B3" s="59">
        <v>1300.0</v>
      </c>
      <c r="C3" s="60">
        <v>750.0</v>
      </c>
      <c r="D3" s="61" t="s">
        <v>38</v>
      </c>
      <c r="F3" s="62" t="s">
        <v>37</v>
      </c>
      <c r="G3" s="63">
        <f t="shared" ref="G3:H3" si="1">B3/B6</f>
        <v>0.52</v>
      </c>
      <c r="H3" s="63">
        <f t="shared" si="1"/>
        <v>0.3</v>
      </c>
      <c r="I3" s="62" t="s">
        <v>38</v>
      </c>
    </row>
    <row r="4">
      <c r="A4" s="55" t="s">
        <v>39</v>
      </c>
      <c r="B4" s="64">
        <v>1200.0</v>
      </c>
      <c r="C4" s="65">
        <v>850.0</v>
      </c>
      <c r="D4" s="61" t="s">
        <v>40</v>
      </c>
      <c r="F4" s="62" t="s">
        <v>39</v>
      </c>
      <c r="G4" s="63">
        <f t="shared" ref="G4:H4" si="2">B4/B6</f>
        <v>0.48</v>
      </c>
      <c r="H4" s="63">
        <f t="shared" si="2"/>
        <v>0.34</v>
      </c>
      <c r="I4" s="62" t="s">
        <v>40</v>
      </c>
    </row>
    <row r="5">
      <c r="B5" s="66"/>
      <c r="C5" s="65">
        <v>900.0</v>
      </c>
      <c r="D5" s="61" t="s">
        <v>41</v>
      </c>
      <c r="F5" s="67"/>
      <c r="G5" s="63"/>
      <c r="H5" s="63">
        <f>C5/C6</f>
        <v>0.36</v>
      </c>
      <c r="I5" s="62" t="s">
        <v>41</v>
      </c>
    </row>
    <row r="6">
      <c r="A6" s="68" t="s">
        <v>42</v>
      </c>
      <c r="B6" s="69">
        <f>SUM(B3,B4)</f>
        <v>2500</v>
      </c>
      <c r="C6" s="70">
        <f>SUM(C3:C5)</f>
        <v>2500</v>
      </c>
      <c r="D6" s="71" t="s">
        <v>43</v>
      </c>
      <c r="F6" s="72" t="s">
        <v>42</v>
      </c>
      <c r="G6" s="73">
        <v>1.0</v>
      </c>
      <c r="H6" s="73">
        <v>1.0</v>
      </c>
      <c r="I6" s="72" t="s">
        <v>43</v>
      </c>
    </row>
    <row r="7">
      <c r="B7" s="74"/>
      <c r="C7" s="74"/>
      <c r="D7" s="58"/>
      <c r="F7" s="67"/>
      <c r="G7" s="75"/>
      <c r="H7" s="75"/>
      <c r="I7" s="67"/>
    </row>
    <row r="8">
      <c r="A8" s="76"/>
      <c r="B8" s="77" t="s">
        <v>44</v>
      </c>
      <c r="C8" s="78"/>
      <c r="D8" s="79"/>
      <c r="F8" s="80"/>
      <c r="G8" s="81" t="s">
        <v>44</v>
      </c>
      <c r="H8" s="82"/>
      <c r="I8" s="80"/>
    </row>
    <row r="9">
      <c r="A9" s="83" t="s">
        <v>37</v>
      </c>
      <c r="B9" s="59">
        <v>1622.0</v>
      </c>
      <c r="C9" s="60">
        <v>1094.0</v>
      </c>
      <c r="D9" s="61" t="s">
        <v>38</v>
      </c>
      <c r="F9" s="62" t="s">
        <v>37</v>
      </c>
      <c r="G9" s="63">
        <f t="shared" ref="G9:H9" si="3">B9/B12</f>
        <v>0.5847152127</v>
      </c>
      <c r="H9" s="63">
        <f t="shared" si="3"/>
        <v>0.3943763518</v>
      </c>
      <c r="I9" s="62" t="s">
        <v>38</v>
      </c>
    </row>
    <row r="10">
      <c r="A10" s="61" t="s">
        <v>39</v>
      </c>
      <c r="B10" s="64">
        <v>1152.0</v>
      </c>
      <c r="C10" s="65">
        <v>816.0</v>
      </c>
      <c r="D10" s="61" t="s">
        <v>40</v>
      </c>
      <c r="F10" s="62" t="s">
        <v>39</v>
      </c>
      <c r="G10" s="63">
        <f t="shared" ref="G10:H10" si="4">B10/B12</f>
        <v>0.4152847873</v>
      </c>
      <c r="H10" s="63">
        <f t="shared" si="4"/>
        <v>0.2941600577</v>
      </c>
      <c r="I10" s="62" t="s">
        <v>40</v>
      </c>
    </row>
    <row r="11">
      <c r="A11" s="58"/>
      <c r="B11" s="84"/>
      <c r="C11" s="85">
        <v>864.0</v>
      </c>
      <c r="D11" s="61" t="s">
        <v>41</v>
      </c>
      <c r="F11" s="67"/>
      <c r="G11" s="63"/>
      <c r="H11" s="63">
        <f>C11/C12</f>
        <v>0.3114635905</v>
      </c>
      <c r="I11" s="62" t="s">
        <v>41</v>
      </c>
    </row>
    <row r="12">
      <c r="A12" s="71" t="s">
        <v>42</v>
      </c>
      <c r="B12" s="69">
        <f>SUM(B9,B10)</f>
        <v>2774</v>
      </c>
      <c r="C12" s="70">
        <f>SUM(C9:C11)</f>
        <v>2774</v>
      </c>
      <c r="D12" s="71" t="s">
        <v>43</v>
      </c>
      <c r="F12" s="86" t="s">
        <v>42</v>
      </c>
      <c r="G12" s="87">
        <v>1.0</v>
      </c>
      <c r="H12" s="87">
        <v>1.0</v>
      </c>
      <c r="I12" s="71" t="s">
        <v>43</v>
      </c>
    </row>
    <row r="16">
      <c r="A16" s="54" t="s">
        <v>45</v>
      </c>
    </row>
    <row r="17">
      <c r="A17" s="88"/>
      <c r="B17" s="89">
        <v>2009.0</v>
      </c>
      <c r="C17" s="89" t="s">
        <v>46</v>
      </c>
      <c r="D17" s="89">
        <v>2010.0</v>
      </c>
    </row>
    <row r="18">
      <c r="A18" s="55" t="s">
        <v>37</v>
      </c>
      <c r="B18" s="90">
        <v>1300.0</v>
      </c>
      <c r="C18" s="91">
        <f t="shared" ref="C18:C19" si="5">(D18-B18)/B18</f>
        <v>0.2476923077</v>
      </c>
      <c r="D18" s="90">
        <v>1622.0</v>
      </c>
    </row>
    <row r="19">
      <c r="A19" s="55" t="s">
        <v>39</v>
      </c>
      <c r="B19" s="92">
        <v>1200.0</v>
      </c>
      <c r="C19" s="93">
        <f t="shared" si="5"/>
        <v>-0.04</v>
      </c>
      <c r="D19" s="92">
        <v>1152.0</v>
      </c>
    </row>
    <row r="20">
      <c r="B20" s="94"/>
      <c r="C20" s="93"/>
      <c r="D20" s="95"/>
    </row>
    <row r="21">
      <c r="A21" s="68" t="s">
        <v>42</v>
      </c>
      <c r="B21" s="96">
        <f>SUM(B18,B19)</f>
        <v>2500</v>
      </c>
      <c r="C21" s="97">
        <f>(D21-B21)/B21</f>
        <v>0.1096</v>
      </c>
      <c r="D21" s="96">
        <f>SUM(D18,D19)</f>
        <v>2774</v>
      </c>
    </row>
    <row r="22">
      <c r="C22" s="93"/>
    </row>
    <row r="23">
      <c r="A23" s="61" t="s">
        <v>38</v>
      </c>
      <c r="B23" s="60">
        <v>750.0</v>
      </c>
      <c r="C23" s="98">
        <f t="shared" ref="C23:C26" si="6">(D23-B23)/B23</f>
        <v>0.4586666667</v>
      </c>
      <c r="D23" s="60">
        <v>1094.0</v>
      </c>
    </row>
    <row r="24">
      <c r="A24" s="61" t="s">
        <v>40</v>
      </c>
      <c r="B24" s="65">
        <v>850.0</v>
      </c>
      <c r="C24" s="99">
        <f t="shared" si="6"/>
        <v>-0.04</v>
      </c>
      <c r="D24" s="65">
        <v>816.0</v>
      </c>
    </row>
    <row r="25">
      <c r="A25" s="61" t="s">
        <v>41</v>
      </c>
      <c r="B25" s="65">
        <v>900.0</v>
      </c>
      <c r="C25" s="99">
        <f t="shared" si="6"/>
        <v>-0.04</v>
      </c>
      <c r="D25" s="85">
        <v>864.0</v>
      </c>
    </row>
    <row r="26">
      <c r="A26" s="71" t="s">
        <v>43</v>
      </c>
      <c r="B26" s="100">
        <f>SUM(B23:B25)</f>
        <v>2500</v>
      </c>
      <c r="C26" s="101">
        <f t="shared" si="6"/>
        <v>0.1096</v>
      </c>
      <c r="D26" s="100">
        <f>SUM(D23:D25)</f>
        <v>2774</v>
      </c>
    </row>
    <row r="29">
      <c r="A29" s="55" t="s">
        <v>47</v>
      </c>
    </row>
    <row r="31">
      <c r="C31" s="56">
        <v>2009.0</v>
      </c>
      <c r="D31" s="56">
        <v>2010.0</v>
      </c>
    </row>
    <row r="32">
      <c r="A32" s="55" t="s">
        <v>48</v>
      </c>
      <c r="B32" s="55" t="s">
        <v>49</v>
      </c>
      <c r="C32" s="102">
        <f>B3/C3</f>
        <v>1.733333333</v>
      </c>
      <c r="D32" s="102">
        <f>B9/C9</f>
        <v>1.482632541</v>
      </c>
    </row>
    <row r="33">
      <c r="A33" s="103" t="s">
        <v>50</v>
      </c>
      <c r="B33" s="103" t="s">
        <v>51</v>
      </c>
      <c r="C33" s="102">
        <f>(B4-20)/C4</f>
        <v>1.388235294</v>
      </c>
      <c r="D33" s="102">
        <f>(B10-39.4)/C9</f>
        <v>1.017001828</v>
      </c>
    </row>
    <row r="34">
      <c r="A34" s="103" t="s">
        <v>52</v>
      </c>
      <c r="B34" s="103" t="s">
        <v>53</v>
      </c>
      <c r="C34" s="104">
        <f>180/C3</f>
        <v>0.24</v>
      </c>
      <c r="D34" s="102">
        <f>225.6/C9</f>
        <v>0.2062157221</v>
      </c>
    </row>
    <row r="35">
      <c r="D35" s="55" t="s">
        <v>13</v>
      </c>
    </row>
    <row r="37">
      <c r="A37" s="55" t="s">
        <v>54</v>
      </c>
    </row>
    <row r="39">
      <c r="C39" s="56">
        <v>2009.0</v>
      </c>
      <c r="D39" s="56">
        <v>2010.0</v>
      </c>
    </row>
    <row r="40">
      <c r="A40" s="55" t="s">
        <v>55</v>
      </c>
      <c r="B40" s="55" t="s">
        <v>56</v>
      </c>
      <c r="C40" s="105">
        <f>(C3+C4)/C5</f>
        <v>1.777777778</v>
      </c>
      <c r="D40" s="105">
        <f>(C9+C10)/C11</f>
        <v>2.210648148</v>
      </c>
    </row>
    <row r="41">
      <c r="A41" s="55" t="s">
        <v>57</v>
      </c>
      <c r="B41" s="55" t="s">
        <v>58</v>
      </c>
      <c r="C41" s="105">
        <f t="shared" ref="C41:D41" si="7">1+C40</f>
        <v>2.777777778</v>
      </c>
      <c r="D41" s="105">
        <f t="shared" si="7"/>
        <v>3.210648148</v>
      </c>
    </row>
    <row r="42">
      <c r="A42" s="55" t="s">
        <v>59</v>
      </c>
      <c r="B42" s="55" t="s">
        <v>60</v>
      </c>
      <c r="C42" s="105">
        <f>C5/B6</f>
        <v>0.36</v>
      </c>
      <c r="D42" s="105">
        <f>C11/B12</f>
        <v>0.3114635905</v>
      </c>
    </row>
    <row r="43">
      <c r="A43" s="55" t="s">
        <v>61</v>
      </c>
      <c r="B43" s="55" t="s">
        <v>62</v>
      </c>
      <c r="C43" s="106">
        <f>(C3+C4)/B6</f>
        <v>0.64</v>
      </c>
      <c r="D43" s="105">
        <f>(C9+C10)/B12</f>
        <v>0.6885364095</v>
      </c>
    </row>
    <row r="44">
      <c r="A44" s="55" t="s">
        <v>63</v>
      </c>
      <c r="B44" s="55" t="s">
        <v>62</v>
      </c>
      <c r="C44" s="105">
        <f>(C5+C4)/B4</f>
        <v>1.458333333</v>
      </c>
      <c r="D44" s="105">
        <f>(C5+C4)/B4</f>
        <v>1.458333333</v>
      </c>
    </row>
    <row r="48">
      <c r="A48" s="55" t="s">
        <v>64</v>
      </c>
    </row>
    <row r="49">
      <c r="A49" s="55" t="s">
        <v>65</v>
      </c>
      <c r="B49" s="55" t="s">
        <v>66</v>
      </c>
      <c r="D49" s="107">
        <f>(1258+1570)/(2800+3495)</f>
        <v>0.4492454329</v>
      </c>
    </row>
    <row r="50">
      <c r="A50" s="55" t="s">
        <v>67</v>
      </c>
      <c r="B50" s="55" t="s">
        <v>68</v>
      </c>
      <c r="D50" s="107">
        <f>(157.63+331.47)/(2800+3495)</f>
        <v>0.07769658459</v>
      </c>
      <c r="E50" s="55" t="s">
        <v>69</v>
      </c>
    </row>
    <row r="51">
      <c r="A51" s="55" t="s">
        <v>70</v>
      </c>
      <c r="B51" s="55" t="s">
        <v>71</v>
      </c>
      <c r="D51" s="107">
        <f>(749)/((B21+D21)/2)</f>
        <v>0.2840348881</v>
      </c>
    </row>
    <row r="52">
      <c r="A52" s="55" t="s">
        <v>72</v>
      </c>
      <c r="B52" s="55" t="s">
        <v>73</v>
      </c>
      <c r="D52" s="107">
        <f>(157.63+331.47)/((B21+D21)/2)</f>
        <v>0.1854759196</v>
      </c>
      <c r="E52" s="55" t="s">
        <v>69</v>
      </c>
    </row>
    <row r="53">
      <c r="A53" s="55" t="s">
        <v>74</v>
      </c>
      <c r="B53" s="55" t="s">
        <v>75</v>
      </c>
      <c r="D53" s="107">
        <f>(157.63+331.47)/((C5+C11)/2)</f>
        <v>0.5545351474</v>
      </c>
      <c r="E53" s="55" t="s">
        <v>69</v>
      </c>
      <c r="F53" s="108"/>
    </row>
  </sheetData>
  <mergeCells count="6">
    <mergeCell ref="B8:C8"/>
    <mergeCell ref="B2:C2"/>
    <mergeCell ref="G2:H2"/>
    <mergeCell ref="A1:I1"/>
    <mergeCell ref="A16:I16"/>
    <mergeCell ref="G8:H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</cols>
  <sheetData>
    <row r="1">
      <c r="A1" s="54" t="s">
        <v>35</v>
      </c>
    </row>
    <row r="2">
      <c r="A2" s="55"/>
      <c r="B2" s="56" t="s">
        <v>76</v>
      </c>
      <c r="F2" s="57"/>
      <c r="G2" s="56" t="s">
        <v>76</v>
      </c>
      <c r="I2" s="58"/>
    </row>
    <row r="3">
      <c r="A3" s="55" t="s">
        <v>37</v>
      </c>
      <c r="B3" s="59">
        <v>56260.0</v>
      </c>
      <c r="C3" s="60">
        <v>38963.0</v>
      </c>
      <c r="D3" s="61" t="s">
        <v>38</v>
      </c>
      <c r="F3" s="62" t="s">
        <v>37</v>
      </c>
      <c r="G3" s="63">
        <f t="shared" ref="G3:H3" si="1">B3/B6</f>
        <v>0.1937808272</v>
      </c>
      <c r="H3" s="63">
        <f t="shared" si="1"/>
        <v>0.1342033838</v>
      </c>
      <c r="I3" s="62" t="s">
        <v>38</v>
      </c>
    </row>
    <row r="4">
      <c r="A4" s="55" t="s">
        <v>39</v>
      </c>
      <c r="B4" s="64">
        <v>234068.0</v>
      </c>
      <c r="C4" s="65">
        <v>75000.0</v>
      </c>
      <c r="D4" s="61" t="s">
        <v>40</v>
      </c>
      <c r="F4" s="62" t="s">
        <v>39</v>
      </c>
      <c r="G4" s="63">
        <f t="shared" ref="G4:H4" si="2">B4/B6</f>
        <v>0.8062191728</v>
      </c>
      <c r="H4" s="63">
        <f t="shared" si="2"/>
        <v>0.2583285112</v>
      </c>
      <c r="I4" s="62" t="s">
        <v>40</v>
      </c>
    </row>
    <row r="5">
      <c r="B5" s="66"/>
      <c r="C5" s="65">
        <v>176365.0</v>
      </c>
      <c r="D5" s="61" t="s">
        <v>41</v>
      </c>
      <c r="F5" s="67"/>
      <c r="G5" s="63"/>
      <c r="H5" s="63">
        <f>C5/C6</f>
        <v>0.607468105</v>
      </c>
      <c r="I5" s="62" t="s">
        <v>41</v>
      </c>
    </row>
    <row r="6">
      <c r="A6" s="68" t="s">
        <v>42</v>
      </c>
      <c r="B6" s="69">
        <f>SUM(B3,B4)</f>
        <v>290328</v>
      </c>
      <c r="C6" s="70">
        <f>SUM(C3:C5)</f>
        <v>290328</v>
      </c>
      <c r="D6" s="71" t="s">
        <v>43</v>
      </c>
      <c r="F6" s="72" t="s">
        <v>42</v>
      </c>
      <c r="G6" s="73">
        <v>1.0</v>
      </c>
      <c r="H6" s="73">
        <v>1.0</v>
      </c>
      <c r="I6" s="72" t="s">
        <v>43</v>
      </c>
    </row>
    <row r="7">
      <c r="B7" s="74"/>
      <c r="C7" s="74"/>
      <c r="D7" s="58"/>
      <c r="F7" s="67"/>
      <c r="G7" s="75"/>
      <c r="H7" s="75"/>
      <c r="I7" s="67"/>
    </row>
    <row r="8">
      <c r="A8" s="76"/>
      <c r="B8" s="77" t="s">
        <v>36</v>
      </c>
      <c r="C8" s="78"/>
      <c r="D8" s="79"/>
      <c r="F8" s="80"/>
      <c r="G8" s="81" t="s">
        <v>36</v>
      </c>
      <c r="H8" s="82"/>
      <c r="I8" s="80"/>
    </row>
    <row r="9">
      <c r="A9" s="83" t="s">
        <v>37</v>
      </c>
      <c r="B9" s="59">
        <v>60550.0</v>
      </c>
      <c r="C9" s="60">
        <v>43235.0</v>
      </c>
      <c r="D9" s="61" t="s">
        <v>38</v>
      </c>
      <c r="F9" s="62" t="s">
        <v>37</v>
      </c>
      <c r="G9" s="63">
        <f t="shared" ref="G9:H9" si="3">B9/B12</f>
        <v>0.1885852215</v>
      </c>
      <c r="H9" s="63">
        <f t="shared" si="3"/>
        <v>0.1346570116</v>
      </c>
      <c r="I9" s="62" t="s">
        <v>38</v>
      </c>
    </row>
    <row r="10">
      <c r="A10" s="61" t="s">
        <v>39</v>
      </c>
      <c r="B10" s="64">
        <v>260525.0</v>
      </c>
      <c r="C10" s="65">
        <v>85000.0</v>
      </c>
      <c r="D10" s="61" t="s">
        <v>40</v>
      </c>
      <c r="F10" s="62" t="s">
        <v>39</v>
      </c>
      <c r="G10" s="63">
        <f t="shared" ref="G10:H10" si="4">B10/B12</f>
        <v>0.8114147785</v>
      </c>
      <c r="H10" s="63">
        <f t="shared" si="4"/>
        <v>0.2647356537</v>
      </c>
      <c r="I10" s="62" t="s">
        <v>40</v>
      </c>
    </row>
    <row r="11">
      <c r="A11" s="58"/>
      <c r="B11" s="84"/>
      <c r="C11" s="85">
        <v>192840.0</v>
      </c>
      <c r="D11" s="61" t="s">
        <v>41</v>
      </c>
      <c r="F11" s="67"/>
      <c r="G11" s="63"/>
      <c r="H11" s="63">
        <f>C11/C12</f>
        <v>0.6006073347</v>
      </c>
      <c r="I11" s="62" t="s">
        <v>41</v>
      </c>
    </row>
    <row r="12">
      <c r="A12" s="71" t="s">
        <v>42</v>
      </c>
      <c r="B12" s="69">
        <f>SUM(B9,B10)</f>
        <v>321075</v>
      </c>
      <c r="C12" s="70">
        <f>SUM(C9:C11)</f>
        <v>321075</v>
      </c>
      <c r="D12" s="71" t="s">
        <v>43</v>
      </c>
      <c r="F12" s="86" t="s">
        <v>42</v>
      </c>
      <c r="G12" s="87">
        <v>1.0</v>
      </c>
      <c r="H12" s="87">
        <v>1.0</v>
      </c>
      <c r="I12" s="71" t="s">
        <v>43</v>
      </c>
    </row>
    <row r="16">
      <c r="A16" s="54" t="s">
        <v>45</v>
      </c>
    </row>
    <row r="17">
      <c r="A17" s="88"/>
      <c r="B17" s="89">
        <v>2008.0</v>
      </c>
      <c r="C17" s="89" t="s">
        <v>46</v>
      </c>
      <c r="D17" s="89">
        <v>2009.0</v>
      </c>
    </row>
    <row r="18">
      <c r="A18" s="55" t="s">
        <v>37</v>
      </c>
      <c r="B18" s="59">
        <v>56260.0</v>
      </c>
      <c r="C18" s="91">
        <f t="shared" ref="C18:C19" si="5">(D18-B18)/B18</f>
        <v>0.07625311056</v>
      </c>
      <c r="D18" s="59">
        <v>60550.0</v>
      </c>
    </row>
    <row r="19">
      <c r="A19" s="55" t="s">
        <v>39</v>
      </c>
      <c r="B19" s="64">
        <v>234068.0</v>
      </c>
      <c r="C19" s="93">
        <f t="shared" si="5"/>
        <v>0.1130312559</v>
      </c>
      <c r="D19" s="64">
        <v>260525.0</v>
      </c>
    </row>
    <row r="20">
      <c r="B20" s="94"/>
      <c r="C20" s="93"/>
      <c r="D20" s="95"/>
    </row>
    <row r="21">
      <c r="A21" s="68" t="s">
        <v>42</v>
      </c>
      <c r="B21" s="96">
        <f>SUM(B18,B19)</f>
        <v>290328</v>
      </c>
      <c r="C21" s="97">
        <f>(D21-B21)/B21</f>
        <v>0.1059043565</v>
      </c>
      <c r="D21" s="96">
        <f>SUM(D18,D19)</f>
        <v>321075</v>
      </c>
    </row>
    <row r="22">
      <c r="C22" s="93"/>
    </row>
    <row r="23">
      <c r="A23" s="61" t="s">
        <v>38</v>
      </c>
      <c r="B23" s="60">
        <v>38963.0</v>
      </c>
      <c r="C23" s="98">
        <f t="shared" ref="C23:C26" si="6">(D23-B23)/B23</f>
        <v>0.1096424813</v>
      </c>
      <c r="D23" s="60">
        <v>43235.0</v>
      </c>
    </row>
    <row r="24">
      <c r="A24" s="61" t="s">
        <v>40</v>
      </c>
      <c r="B24" s="65">
        <v>75000.0</v>
      </c>
      <c r="C24" s="99">
        <f t="shared" si="6"/>
        <v>0.1333333333</v>
      </c>
      <c r="D24" s="65">
        <v>85000.0</v>
      </c>
    </row>
    <row r="25">
      <c r="A25" s="61" t="s">
        <v>41</v>
      </c>
      <c r="B25" s="65">
        <v>176365.0</v>
      </c>
      <c r="C25" s="99">
        <f t="shared" si="6"/>
        <v>0.09341422618</v>
      </c>
      <c r="D25" s="85">
        <v>192840.0</v>
      </c>
    </row>
    <row r="26">
      <c r="A26" s="71" t="s">
        <v>43</v>
      </c>
      <c r="B26" s="100">
        <f>SUM(B23:B25)</f>
        <v>290328</v>
      </c>
      <c r="C26" s="101">
        <f t="shared" si="6"/>
        <v>0.1059043565</v>
      </c>
      <c r="D26" s="100">
        <f>SUM(D23:D25)</f>
        <v>321075</v>
      </c>
    </row>
    <row r="29">
      <c r="A29" s="55" t="s">
        <v>77</v>
      </c>
      <c r="B29" s="55" t="s">
        <v>78</v>
      </c>
      <c r="C29" s="105">
        <f>(((23084+24650)/2)/210935)*365</f>
        <v>41.2992391</v>
      </c>
      <c r="D29" s="55" t="s">
        <v>79</v>
      </c>
    </row>
    <row r="30">
      <c r="A30" s="55" t="s">
        <v>80</v>
      </c>
      <c r="B30" s="55" t="s">
        <v>81</v>
      </c>
      <c r="C30" s="105">
        <f>(((11316+13850)/2)/(305830*1.21))*365</f>
        <v>12.41113804</v>
      </c>
      <c r="D30" s="55" t="s">
        <v>79</v>
      </c>
    </row>
    <row r="31">
      <c r="A31" s="55" t="s">
        <v>82</v>
      </c>
      <c r="B31" s="55" t="s">
        <v>83</v>
      </c>
      <c r="C31" s="105">
        <f>C29+C30</f>
        <v>53.71037714</v>
      </c>
      <c r="D31" s="55" t="s">
        <v>79</v>
      </c>
    </row>
    <row r="32">
      <c r="A32" s="55" t="s">
        <v>84</v>
      </c>
      <c r="B32" s="55" t="s">
        <v>85</v>
      </c>
      <c r="C32" s="105">
        <f>(((19320+22850)/2)/(210935*1.21)*365)</f>
        <v>30.15313362</v>
      </c>
      <c r="D32" s="55" t="s">
        <v>79</v>
      </c>
      <c r="E32" s="55" t="s">
        <v>69</v>
      </c>
    </row>
    <row r="33">
      <c r="A33" s="55" t="s">
        <v>86</v>
      </c>
      <c r="B33" s="55" t="s">
        <v>87</v>
      </c>
      <c r="C33" s="105">
        <f>C29+C30-C32</f>
        <v>23.55724353</v>
      </c>
      <c r="D33" s="55" t="s">
        <v>79</v>
      </c>
      <c r="E33" s="55" t="s">
        <v>69</v>
      </c>
    </row>
    <row r="34">
      <c r="A34" s="55" t="s">
        <v>88</v>
      </c>
      <c r="B34" s="55" t="s">
        <v>89</v>
      </c>
      <c r="C34" s="105">
        <f>365/C30</f>
        <v>29.40906779</v>
      </c>
      <c r="D34" s="55" t="s">
        <v>79</v>
      </c>
    </row>
    <row r="35">
      <c r="A35" s="55" t="s">
        <v>90</v>
      </c>
      <c r="B35" s="55" t="s">
        <v>91</v>
      </c>
      <c r="C35" s="105">
        <f>365/C32</f>
        <v>12.10487788</v>
      </c>
      <c r="D35" s="55" t="s">
        <v>79</v>
      </c>
      <c r="E35" s="55" t="s">
        <v>69</v>
      </c>
    </row>
    <row r="36">
      <c r="A36" s="55" t="s">
        <v>92</v>
      </c>
      <c r="B36" s="55" t="s">
        <v>93</v>
      </c>
      <c r="C36" s="105">
        <f>305830/((B12+B6)/2)</f>
        <v>1.000420345</v>
      </c>
    </row>
    <row r="37">
      <c r="A37" s="55" t="s">
        <v>94</v>
      </c>
      <c r="B37" s="55" t="s">
        <v>95</v>
      </c>
      <c r="C37" s="105">
        <f>305830/((B10+B4)/2)</f>
        <v>1.236693605</v>
      </c>
    </row>
    <row r="38">
      <c r="A38" s="55" t="s">
        <v>96</v>
      </c>
      <c r="B38" s="55" t="s">
        <v>97</v>
      </c>
      <c r="C38" s="105">
        <f>210935/((B3+B9)/2)</f>
        <v>3.611591473</v>
      </c>
    </row>
    <row r="39">
      <c r="A39" s="55" t="s">
        <v>98</v>
      </c>
      <c r="B39" s="55" t="s">
        <v>99</v>
      </c>
      <c r="C39" s="105">
        <f>210935/((23084+24650)/2)</f>
        <v>8.837935224</v>
      </c>
    </row>
  </sheetData>
  <mergeCells count="6">
    <mergeCell ref="B8:C8"/>
    <mergeCell ref="B2:C2"/>
    <mergeCell ref="G2:H2"/>
    <mergeCell ref="A1:I1"/>
    <mergeCell ref="A16:I16"/>
    <mergeCell ref="G8:H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</cols>
  <sheetData>
    <row r="1">
      <c r="A1" s="55" t="s">
        <v>100</v>
      </c>
    </row>
    <row r="2">
      <c r="A2" s="55"/>
      <c r="B2" s="56" t="s">
        <v>44</v>
      </c>
      <c r="F2" s="57"/>
      <c r="G2" s="56" t="s">
        <v>44</v>
      </c>
      <c r="I2" s="58"/>
    </row>
    <row r="3">
      <c r="A3" s="55" t="s">
        <v>37</v>
      </c>
      <c r="B3" s="59">
        <v>1834.0</v>
      </c>
      <c r="C3" s="60">
        <v>3135.0</v>
      </c>
      <c r="D3" s="61" t="s">
        <v>38</v>
      </c>
      <c r="F3" s="62" t="s">
        <v>37</v>
      </c>
      <c r="G3" s="63">
        <f t="shared" ref="G3:H3" si="1">B3/B6</f>
        <v>0.1136166522</v>
      </c>
      <c r="H3" s="63">
        <f t="shared" si="1"/>
        <v>0.1942138521</v>
      </c>
      <c r="I3" s="62" t="s">
        <v>38</v>
      </c>
    </row>
    <row r="4">
      <c r="A4" s="55" t="s">
        <v>39</v>
      </c>
      <c r="B4" s="64">
        <v>14308.0</v>
      </c>
      <c r="C4" s="65">
        <v>4785.0</v>
      </c>
      <c r="D4" s="61" t="s">
        <v>40</v>
      </c>
      <c r="F4" s="62" t="s">
        <v>39</v>
      </c>
      <c r="G4" s="63">
        <f t="shared" ref="G4:H4" si="2">B4/B6</f>
        <v>0.8863833478</v>
      </c>
      <c r="H4" s="63">
        <f t="shared" si="2"/>
        <v>0.2964316689</v>
      </c>
      <c r="I4" s="62" t="s">
        <v>40</v>
      </c>
    </row>
    <row r="5">
      <c r="B5" s="66"/>
      <c r="C5" s="65">
        <v>8222.0</v>
      </c>
      <c r="D5" s="61" t="s">
        <v>41</v>
      </c>
      <c r="F5" s="67"/>
      <c r="G5" s="63"/>
      <c r="H5" s="63">
        <f>C5/C6</f>
        <v>0.509354479</v>
      </c>
      <c r="I5" s="62" t="s">
        <v>41</v>
      </c>
    </row>
    <row r="6">
      <c r="A6" s="68" t="s">
        <v>42</v>
      </c>
      <c r="B6" s="69">
        <f>SUM(B3,B4)</f>
        <v>16142</v>
      </c>
      <c r="C6" s="70">
        <f>SUM(C3:C5)</f>
        <v>16142</v>
      </c>
      <c r="D6" s="71" t="s">
        <v>43</v>
      </c>
      <c r="F6" s="72" t="s">
        <v>42</v>
      </c>
      <c r="G6" s="73">
        <v>1.0</v>
      </c>
      <c r="H6" s="73">
        <v>1.0</v>
      </c>
      <c r="I6" s="72" t="s">
        <v>43</v>
      </c>
    </row>
    <row r="7">
      <c r="B7" s="74"/>
      <c r="C7" s="74"/>
      <c r="D7" s="58"/>
      <c r="F7" s="67"/>
      <c r="G7" s="75"/>
      <c r="H7" s="75"/>
      <c r="I7" s="67"/>
    </row>
    <row r="8">
      <c r="A8" s="76"/>
      <c r="B8" s="77" t="s">
        <v>101</v>
      </c>
      <c r="C8" s="78"/>
      <c r="D8" s="79"/>
      <c r="F8" s="80"/>
      <c r="G8" s="81" t="s">
        <v>101</v>
      </c>
      <c r="H8" s="82"/>
      <c r="I8" s="80"/>
    </row>
    <row r="9">
      <c r="A9" s="83" t="s">
        <v>37</v>
      </c>
      <c r="B9" s="59">
        <v>2186.0</v>
      </c>
      <c r="C9" s="60">
        <v>2919.0</v>
      </c>
      <c r="D9" s="61" t="s">
        <v>38</v>
      </c>
      <c r="F9" s="62" t="s">
        <v>37</v>
      </c>
      <c r="G9" s="63">
        <f t="shared" ref="G9:H9" si="3">B9/B12</f>
        <v>0.1194013546</v>
      </c>
      <c r="H9" s="63">
        <f t="shared" si="3"/>
        <v>0.1594384968</v>
      </c>
      <c r="I9" s="62" t="s">
        <v>38</v>
      </c>
    </row>
    <row r="10">
      <c r="A10" s="61" t="s">
        <v>39</v>
      </c>
      <c r="B10" s="64">
        <v>16122.0</v>
      </c>
      <c r="C10" s="65">
        <v>5320.0</v>
      </c>
      <c r="D10" s="61" t="s">
        <v>40</v>
      </c>
      <c r="F10" s="62" t="s">
        <v>39</v>
      </c>
      <c r="G10" s="63">
        <f t="shared" ref="G10:H10" si="4">B10/B12</f>
        <v>0.8805986454</v>
      </c>
      <c r="H10" s="63">
        <f t="shared" si="4"/>
        <v>0.2905833515</v>
      </c>
      <c r="I10" s="62" t="s">
        <v>40</v>
      </c>
    </row>
    <row r="11">
      <c r="A11" s="58"/>
      <c r="B11" s="84"/>
      <c r="C11" s="85">
        <v>10069.0</v>
      </c>
      <c r="D11" s="61" t="s">
        <v>41</v>
      </c>
      <c r="F11" s="67"/>
      <c r="G11" s="63"/>
      <c r="H11" s="63">
        <f>C11/C12</f>
        <v>0.5499781516</v>
      </c>
      <c r="I11" s="62" t="s">
        <v>41</v>
      </c>
    </row>
    <row r="12">
      <c r="A12" s="71" t="s">
        <v>42</v>
      </c>
      <c r="B12" s="69">
        <f>SUM(B9,B10)</f>
        <v>18308</v>
      </c>
      <c r="C12" s="70">
        <f>SUM(C9:C11)</f>
        <v>18308</v>
      </c>
      <c r="D12" s="71" t="s">
        <v>43</v>
      </c>
      <c r="F12" s="86" t="s">
        <v>42</v>
      </c>
      <c r="G12" s="87">
        <v>1.0</v>
      </c>
      <c r="H12" s="87">
        <v>1.0</v>
      </c>
      <c r="I12" s="71" t="s">
        <v>43</v>
      </c>
    </row>
    <row r="16">
      <c r="A16" s="54" t="s">
        <v>45</v>
      </c>
    </row>
    <row r="17">
      <c r="A17" s="88"/>
      <c r="B17" s="89">
        <v>2010.0</v>
      </c>
      <c r="C17" s="89" t="s">
        <v>46</v>
      </c>
      <c r="D17" s="89">
        <v>2011.0</v>
      </c>
    </row>
    <row r="18">
      <c r="A18" s="55" t="s">
        <v>37</v>
      </c>
      <c r="B18" s="59">
        <v>1834.0</v>
      </c>
      <c r="C18" s="91">
        <f t="shared" ref="C18:C19" si="5">(D18-B18)/B18</f>
        <v>0.1919302072</v>
      </c>
      <c r="D18" s="59">
        <v>2186.0</v>
      </c>
    </row>
    <row r="19">
      <c r="A19" s="55" t="s">
        <v>39</v>
      </c>
      <c r="B19" s="64">
        <v>14308.0</v>
      </c>
      <c r="C19" s="93">
        <f t="shared" si="5"/>
        <v>0.1267822197</v>
      </c>
      <c r="D19" s="64">
        <v>16122.0</v>
      </c>
    </row>
    <row r="20">
      <c r="B20" s="94"/>
      <c r="C20" s="93"/>
      <c r="D20" s="95"/>
    </row>
    <row r="21">
      <c r="A21" s="68" t="s">
        <v>42</v>
      </c>
      <c r="B21" s="96">
        <f>SUM(B18,B19)</f>
        <v>16142</v>
      </c>
      <c r="C21" s="97">
        <f>(D21-B21)/B21</f>
        <v>0.134184116</v>
      </c>
      <c r="D21" s="96">
        <f>SUM(D18,D19)</f>
        <v>18308</v>
      </c>
    </row>
    <row r="22">
      <c r="C22" s="93"/>
    </row>
    <row r="23">
      <c r="A23" s="61" t="s">
        <v>38</v>
      </c>
      <c r="B23" s="60">
        <v>3135.0</v>
      </c>
      <c r="C23" s="98">
        <f t="shared" ref="C23:C26" si="6">(D23-B23)/B23</f>
        <v>-0.06889952153</v>
      </c>
      <c r="D23" s="60">
        <v>2919.0</v>
      </c>
    </row>
    <row r="24">
      <c r="A24" s="61" t="s">
        <v>40</v>
      </c>
      <c r="B24" s="65">
        <v>4785.0</v>
      </c>
      <c r="C24" s="99">
        <f t="shared" si="6"/>
        <v>0.1118077325</v>
      </c>
      <c r="D24" s="65">
        <v>5320.0</v>
      </c>
    </row>
    <row r="25">
      <c r="A25" s="61" t="s">
        <v>41</v>
      </c>
      <c r="B25" s="65">
        <v>8222.0</v>
      </c>
      <c r="C25" s="99">
        <f t="shared" si="6"/>
        <v>0.2246412065</v>
      </c>
      <c r="D25" s="85">
        <v>10069.0</v>
      </c>
    </row>
    <row r="26">
      <c r="A26" s="71" t="s">
        <v>43</v>
      </c>
      <c r="B26" s="100">
        <f>SUM(B23:B25)</f>
        <v>16142</v>
      </c>
      <c r="C26" s="101">
        <f t="shared" si="6"/>
        <v>0.134184116</v>
      </c>
      <c r="D26" s="100">
        <f>SUM(D23:D25)</f>
        <v>18308</v>
      </c>
    </row>
    <row r="29">
      <c r="A29" s="55" t="s">
        <v>102</v>
      </c>
      <c r="B29" s="55" t="s">
        <v>103</v>
      </c>
      <c r="C29" s="105"/>
    </row>
    <row r="30">
      <c r="C30" s="105"/>
    </row>
    <row r="31">
      <c r="B31" s="55" t="s">
        <v>104</v>
      </c>
      <c r="C31" s="109" t="s">
        <v>105</v>
      </c>
      <c r="D31" s="110">
        <f>218/8445.34 * 365</f>
        <v>9.421763955</v>
      </c>
      <c r="E31" s="55" t="s">
        <v>100</v>
      </c>
    </row>
    <row r="32">
      <c r="B32" s="55" t="s">
        <v>106</v>
      </c>
      <c r="C32" s="109" t="s">
        <v>107</v>
      </c>
      <c r="D32" s="110">
        <f> 350/13335.5 *365</f>
        <v>9.5796933</v>
      </c>
      <c r="E32" s="55" t="s">
        <v>100</v>
      </c>
    </row>
    <row r="33">
      <c r="B33" s="55" t="s">
        <v>108</v>
      </c>
      <c r="C33" s="109" t="s">
        <v>109</v>
      </c>
      <c r="D33" s="110">
        <f>408/22224.6 *365</f>
        <v>6.700683027</v>
      </c>
      <c r="E33" s="55" t="s">
        <v>100</v>
      </c>
    </row>
    <row r="34">
      <c r="C34" s="105"/>
    </row>
    <row r="35">
      <c r="B35" s="55" t="s">
        <v>110</v>
      </c>
      <c r="C35" s="105">
        <f>D31+D32+D33</f>
        <v>25.70214028</v>
      </c>
      <c r="D35" s="55" t="s">
        <v>100</v>
      </c>
    </row>
    <row r="36">
      <c r="C36" s="105"/>
    </row>
    <row r="37">
      <c r="A37" s="55" t="s">
        <v>111</v>
      </c>
      <c r="B37" s="55" t="s">
        <v>112</v>
      </c>
      <c r="C37" s="105">
        <f>((567+708)/2)/(30499*1.21) *365</f>
        <v>6.305246697</v>
      </c>
      <c r="D37" s="55" t="s">
        <v>100</v>
      </c>
    </row>
    <row r="38">
      <c r="A38" s="55" t="s">
        <v>113</v>
      </c>
      <c r="B38" s="55" t="s">
        <v>114</v>
      </c>
      <c r="C38" s="105">
        <f>C35+C37</f>
        <v>32.00738698</v>
      </c>
      <c r="D38" s="55" t="s">
        <v>100</v>
      </c>
    </row>
    <row r="39">
      <c r="A39" s="55" t="s">
        <v>115</v>
      </c>
      <c r="B39" s="55" t="s">
        <v>116</v>
      </c>
      <c r="C39" s="105">
        <f>(((1436+889)/2)/(22225*1.21))*365</f>
        <v>15.77824466</v>
      </c>
      <c r="D39" s="55" t="s">
        <v>100</v>
      </c>
      <c r="E39" s="55" t="s">
        <v>69</v>
      </c>
    </row>
    <row r="41">
      <c r="A41" s="55" t="s">
        <v>117</v>
      </c>
    </row>
    <row r="42">
      <c r="A42" s="55" t="s">
        <v>118</v>
      </c>
      <c r="B42" s="55" t="s">
        <v>119</v>
      </c>
      <c r="C42" s="110">
        <f>365/C37</f>
        <v>57.88829804</v>
      </c>
      <c r="D42" s="55" t="s">
        <v>100</v>
      </c>
    </row>
    <row r="43">
      <c r="A43" s="55" t="s">
        <v>120</v>
      </c>
      <c r="B43" s="55" t="s">
        <v>121</v>
      </c>
      <c r="C43" s="110">
        <f>365/C39</f>
        <v>23.13311828</v>
      </c>
      <c r="D43" s="55" t="s">
        <v>100</v>
      </c>
      <c r="E43" s="55" t="s">
        <v>69</v>
      </c>
    </row>
    <row r="44">
      <c r="A44" s="55" t="s">
        <v>122</v>
      </c>
      <c r="B44" s="55" t="s">
        <v>123</v>
      </c>
      <c r="C44" s="110">
        <f>30499/((B6+B12)/2)</f>
        <v>1.770624093</v>
      </c>
    </row>
    <row r="45">
      <c r="A45" s="55" t="s">
        <v>124</v>
      </c>
      <c r="B45" s="55" t="s">
        <v>125</v>
      </c>
      <c r="C45" s="110">
        <f>30499/((B4+B10)/2)</f>
        <v>2.004534998</v>
      </c>
    </row>
    <row r="46">
      <c r="A46" s="55" t="s">
        <v>126</v>
      </c>
      <c r="B46" s="55" t="s">
        <v>127</v>
      </c>
      <c r="C46" s="110">
        <f>22225/((B3+B9)/2)</f>
        <v>11.05721393</v>
      </c>
    </row>
    <row r="49">
      <c r="A49" s="55" t="s">
        <v>128</v>
      </c>
      <c r="B49" s="105">
        <f>C38-C39</f>
        <v>16.22914232</v>
      </c>
      <c r="D49" s="55" t="s">
        <v>69</v>
      </c>
    </row>
  </sheetData>
  <mergeCells count="6">
    <mergeCell ref="B8:C8"/>
    <mergeCell ref="B2:C2"/>
    <mergeCell ref="G2:H2"/>
    <mergeCell ref="A1:I1"/>
    <mergeCell ref="A16:I16"/>
    <mergeCell ref="G8:H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2024-09-28T00:21:45Z</dcterms:created>
  <dc:creator>Joan</dc:creator>
</cp:coreProperties>
</file>