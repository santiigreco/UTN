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esktop\Franco\UTN\5° Año\Control de Gestion\"/>
    </mc:Choice>
  </mc:AlternateContent>
  <xr:revisionPtr revIDLastSave="0" documentId="13_ncr:1_{A5C91891-D2DE-4CFC-8250-63BFE6852CFE}" xr6:coauthVersionLast="47" xr6:coauthVersionMax="47" xr10:uidLastSave="{00000000-0000-0000-0000-000000000000}"/>
  <bookViews>
    <workbookView xWindow="-120" yWindow="-120" windowWidth="20730" windowHeight="11040" firstSheet="5" activeTab="11" xr2:uid="{1537489F-AB63-4A4D-BD38-FCA1D55BC07C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  <sheet name="Ejercicio 6" sheetId="6" r:id="rId6"/>
    <sheet name="Ejercicio 7" sheetId="7" r:id="rId7"/>
    <sheet name="Ejercicio 8" sheetId="8" r:id="rId8"/>
    <sheet name="Ejercicio 9" sheetId="9" r:id="rId9"/>
    <sheet name="Ejercicio 10" sheetId="10" r:id="rId10"/>
    <sheet name="Ejercicio 11" sheetId="11" r:id="rId11"/>
    <sheet name="Ejercicio 12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2" l="1"/>
  <c r="B16" i="12"/>
  <c r="B17" i="12" s="1"/>
  <c r="E32" i="11"/>
  <c r="D32" i="11"/>
  <c r="E28" i="11"/>
  <c r="D28" i="11"/>
  <c r="E31" i="11"/>
  <c r="F29" i="11"/>
  <c r="C29" i="11"/>
  <c r="D29" i="11"/>
  <c r="D31" i="11" s="1"/>
  <c r="E29" i="11"/>
  <c r="B29" i="11"/>
  <c r="E30" i="11"/>
  <c r="D30" i="11"/>
  <c r="F27" i="11"/>
  <c r="D27" i="11"/>
  <c r="E27" i="11"/>
  <c r="C27" i="11"/>
  <c r="B27" i="11"/>
  <c r="F28" i="11"/>
  <c r="F26" i="11"/>
  <c r="E26" i="11"/>
  <c r="D26" i="11"/>
  <c r="F25" i="11"/>
  <c r="E25" i="11"/>
  <c r="D25" i="11"/>
  <c r="H20" i="11"/>
  <c r="G20" i="11"/>
  <c r="H17" i="11"/>
  <c r="G17" i="11"/>
  <c r="H16" i="11"/>
  <c r="G16" i="11"/>
  <c r="I17" i="11"/>
  <c r="I16" i="11"/>
  <c r="F24" i="11"/>
  <c r="F23" i="11"/>
  <c r="E23" i="11"/>
  <c r="D23" i="11"/>
  <c r="C23" i="11"/>
  <c r="B23" i="11"/>
  <c r="F20" i="11" l="1"/>
  <c r="N21" i="10" l="1"/>
  <c r="I21" i="10"/>
  <c r="J21" i="10"/>
  <c r="K21" i="10"/>
  <c r="L21" i="10"/>
  <c r="H21" i="10"/>
  <c r="M18" i="10"/>
  <c r="M19" i="10"/>
  <c r="M17" i="10"/>
  <c r="I18" i="10"/>
  <c r="J18" i="10"/>
  <c r="K18" i="10"/>
  <c r="L18" i="10"/>
  <c r="I19" i="10"/>
  <c r="J19" i="10"/>
  <c r="K19" i="10"/>
  <c r="L19" i="10"/>
  <c r="H19" i="10"/>
  <c r="H18" i="10"/>
  <c r="I17" i="10"/>
  <c r="J17" i="10"/>
  <c r="K17" i="10"/>
  <c r="L17" i="10"/>
  <c r="H17" i="10"/>
  <c r="I28" i="9"/>
  <c r="E28" i="9"/>
  <c r="F28" i="9"/>
  <c r="G28" i="9"/>
  <c r="H28" i="9"/>
  <c r="D28" i="9"/>
  <c r="E27" i="9"/>
  <c r="F27" i="9"/>
  <c r="G27" i="9"/>
  <c r="H27" i="9"/>
  <c r="D27" i="9"/>
  <c r="C21" i="9"/>
  <c r="C19" i="9"/>
  <c r="C20" i="9"/>
  <c r="C18" i="9"/>
  <c r="E24" i="9" s="1"/>
  <c r="M31" i="8"/>
  <c r="I31" i="8"/>
  <c r="J31" i="8"/>
  <c r="K31" i="8"/>
  <c r="L31" i="8"/>
  <c r="H31" i="8"/>
  <c r="I30" i="8"/>
  <c r="J30" i="8"/>
  <c r="K30" i="8"/>
  <c r="L30" i="8"/>
  <c r="H30" i="8"/>
  <c r="I26" i="8"/>
  <c r="J26" i="8"/>
  <c r="K26" i="8"/>
  <c r="L26" i="8"/>
  <c r="I27" i="8"/>
  <c r="J27" i="8"/>
  <c r="K27" i="8"/>
  <c r="L27" i="8"/>
  <c r="I28" i="8"/>
  <c r="J28" i="8"/>
  <c r="K28" i="8"/>
  <c r="L28" i="8"/>
  <c r="H28" i="8"/>
  <c r="H27" i="8"/>
  <c r="H26" i="8"/>
  <c r="I25" i="8"/>
  <c r="J25" i="8"/>
  <c r="K25" i="8"/>
  <c r="L25" i="8"/>
  <c r="H25" i="8"/>
  <c r="E25" i="9" l="1"/>
  <c r="E26" i="9"/>
  <c r="H24" i="9"/>
  <c r="F24" i="9"/>
  <c r="D24" i="9"/>
  <c r="G24" i="9"/>
  <c r="G25" i="9" l="1"/>
  <c r="G26" i="9"/>
  <c r="F26" i="9"/>
  <c r="F25" i="9"/>
  <c r="D25" i="9"/>
  <c r="D26" i="9"/>
  <c r="H26" i="9"/>
  <c r="H25" i="9"/>
  <c r="I17" i="8"/>
  <c r="I18" i="8"/>
  <c r="I21" i="8" s="1"/>
  <c r="I19" i="8"/>
  <c r="I16" i="8"/>
  <c r="H17" i="8"/>
  <c r="H18" i="8"/>
  <c r="H19" i="8"/>
  <c r="H21" i="8"/>
  <c r="H16" i="8"/>
  <c r="G18" i="6"/>
  <c r="H18" i="6"/>
  <c r="D20" i="7"/>
  <c r="D19" i="7"/>
  <c r="D18" i="7"/>
  <c r="D17" i="7"/>
  <c r="F17" i="5"/>
  <c r="E20" i="6"/>
  <c r="G20" i="6" s="1"/>
  <c r="H20" i="6" s="1"/>
  <c r="D21" i="6"/>
  <c r="E21" i="6" s="1"/>
  <c r="G21" i="6" s="1"/>
  <c r="H21" i="6" s="1"/>
  <c r="D20" i="6"/>
  <c r="D19" i="6"/>
  <c r="E19" i="6" s="1"/>
  <c r="G19" i="6" s="1"/>
  <c r="H19" i="6" s="1"/>
  <c r="D18" i="6"/>
  <c r="E18" i="6" s="1"/>
  <c r="F14" i="3"/>
  <c r="E19" i="5"/>
  <c r="F19" i="5" s="1"/>
  <c r="D18" i="5"/>
  <c r="E18" i="5" s="1"/>
  <c r="F18" i="5" s="1"/>
  <c r="D17" i="5"/>
  <c r="E17" i="5" s="1"/>
  <c r="G17" i="4"/>
  <c r="G18" i="4"/>
  <c r="G16" i="4"/>
  <c r="F18" i="4"/>
  <c r="F17" i="4"/>
  <c r="F16" i="4"/>
  <c r="E17" i="4"/>
  <c r="E18" i="4"/>
  <c r="E16" i="4"/>
  <c r="D18" i="4"/>
  <c r="D17" i="4"/>
  <c r="D16" i="4"/>
  <c r="H22" i="6" l="1"/>
  <c r="F15" i="3" l="1"/>
  <c r="F16" i="3"/>
  <c r="E16" i="3"/>
  <c r="E15" i="3"/>
  <c r="E14" i="3"/>
  <c r="D16" i="3"/>
  <c r="D15" i="3"/>
  <c r="D14" i="3"/>
  <c r="K18" i="2"/>
  <c r="L18" i="2"/>
  <c r="M18" i="2"/>
  <c r="N18" i="2"/>
  <c r="O18" i="2"/>
  <c r="P18" i="2"/>
  <c r="Q18" i="2"/>
  <c r="R18" i="2"/>
  <c r="I17" i="2"/>
  <c r="Q17" i="2" s="1"/>
  <c r="J16" i="2"/>
  <c r="R16" i="2" s="1"/>
  <c r="J17" i="2"/>
  <c r="I16" i="2"/>
  <c r="R17" i="2"/>
  <c r="Q16" i="2"/>
  <c r="L17" i="2"/>
  <c r="P17" i="2" s="1"/>
  <c r="O17" i="2" s="1"/>
  <c r="L16" i="2"/>
  <c r="P16" i="2" s="1"/>
  <c r="O16" i="2" s="1"/>
  <c r="K16" i="2"/>
  <c r="K17" i="2"/>
  <c r="N17" i="2" s="1"/>
  <c r="M17" i="2" s="1"/>
  <c r="H18" i="2"/>
  <c r="G18" i="2"/>
  <c r="F18" i="2"/>
  <c r="E18" i="2"/>
  <c r="D18" i="2"/>
  <c r="C18" i="2"/>
  <c r="B18" i="2"/>
  <c r="K16" i="1"/>
  <c r="K17" i="1"/>
  <c r="K15" i="1"/>
  <c r="J16" i="1"/>
  <c r="J17" i="1"/>
  <c r="J15" i="1"/>
  <c r="I16" i="1"/>
  <c r="I17" i="1"/>
  <c r="I18" i="1" s="1"/>
  <c r="I15" i="1"/>
  <c r="H16" i="1"/>
  <c r="H17" i="1"/>
  <c r="H15" i="1"/>
  <c r="G17" i="1"/>
  <c r="G16" i="1"/>
  <c r="G15" i="1"/>
  <c r="K18" i="1"/>
  <c r="C18" i="1"/>
  <c r="D18" i="1"/>
  <c r="E18" i="1"/>
  <c r="F18" i="1"/>
  <c r="G18" i="1"/>
  <c r="H18" i="1"/>
  <c r="J18" i="1"/>
  <c r="B18" i="1"/>
  <c r="S17" i="2" l="1"/>
  <c r="S16" i="2"/>
  <c r="I18" i="2"/>
  <c r="N16" i="2"/>
  <c r="M16" i="2" s="1"/>
  <c r="J18" i="2"/>
  <c r="S18" i="2" l="1"/>
</calcChain>
</file>

<file path=xl/sharedStrings.xml><?xml version="1.0" encoding="utf-8"?>
<sst xmlns="http://schemas.openxmlformats.org/spreadsheetml/2006/main" count="222" uniqueCount="108">
  <si>
    <t>PRODUCTO</t>
  </si>
  <si>
    <t>VENTAS ESTIMADAS</t>
  </si>
  <si>
    <t>REGION (Participación)</t>
  </si>
  <si>
    <t>REGION (Importes)</t>
  </si>
  <si>
    <t>REGION (Precio de Venta)</t>
  </si>
  <si>
    <t>A</t>
  </si>
  <si>
    <t>B</t>
  </si>
  <si>
    <t>C</t>
  </si>
  <si>
    <t>NORTE</t>
  </si>
  <si>
    <t>SUR</t>
  </si>
  <si>
    <t>TOTAL</t>
  </si>
  <si>
    <t>$ de VENTA (Cons. final)</t>
  </si>
  <si>
    <t>PARTICIPACION DIST</t>
  </si>
  <si>
    <t>$ de VENTA (Distrib)</t>
  </si>
  <si>
    <t>PARTICIPACION NORTE</t>
  </si>
  <si>
    <t>DIST</t>
  </si>
  <si>
    <t>PARTICIPACION SUR</t>
  </si>
  <si>
    <t>FINAL</t>
  </si>
  <si>
    <t>TOTAL NOR</t>
  </si>
  <si>
    <t>TOTAL SUR</t>
  </si>
  <si>
    <t>DISTRIBUCION NORTE</t>
  </si>
  <si>
    <t>DISTRIBUCION SUR</t>
  </si>
  <si>
    <t>INV INICIAL</t>
  </si>
  <si>
    <t>VOL DE VENTAS ANTERIOR</t>
  </si>
  <si>
    <t>OBJETIVO</t>
  </si>
  <si>
    <t>INVENTARIO FINAL</t>
  </si>
  <si>
    <t>UNIDADES A PRODUCIR</t>
  </si>
  <si>
    <t>INV. INICIAL</t>
  </si>
  <si>
    <t>VENTAS AÑO ANTERIOR</t>
  </si>
  <si>
    <t>INV. FINAL</t>
  </si>
  <si>
    <t>VOL MENSUAL</t>
  </si>
  <si>
    <t>PRODUCCION</t>
  </si>
  <si>
    <t>VOL VENTAS ANTERIOR</t>
  </si>
  <si>
    <t>INV FINAL</t>
  </si>
  <si>
    <t>COMPRAS</t>
  </si>
  <si>
    <t>D</t>
  </si>
  <si>
    <t>COSTO UNITARIO</t>
  </si>
  <si>
    <t>COSTO</t>
  </si>
  <si>
    <t>INV PROMEDIO</t>
  </si>
  <si>
    <t>DUDA DE PORQUE SE MULTIPLICA POR 2 EL INVENTARIO PROMEDIO</t>
  </si>
  <si>
    <t>PLAN PRODUCCION</t>
  </si>
  <si>
    <t>INSUMOS</t>
  </si>
  <si>
    <t>COSTO X 1 PIEZA</t>
  </si>
  <si>
    <t>COSTO TOTAL</t>
  </si>
  <si>
    <t>CONSUMO</t>
  </si>
  <si>
    <t>STOCK INICIAL</t>
  </si>
  <si>
    <t>STOCK FINAL</t>
  </si>
  <si>
    <t>PROMEDIO MENSUAL</t>
  </si>
  <si>
    <t>USO MENSUAL</t>
  </si>
  <si>
    <t>TOTAL A UTILIZAR</t>
  </si>
  <si>
    <t>USO ANUAL</t>
  </si>
  <si>
    <t>TOTAL A PAGAR</t>
  </si>
  <si>
    <t>TIEMPO (Hs/1000 Unidades)</t>
  </si>
  <si>
    <t>Etapa 1</t>
  </si>
  <si>
    <t>Etapa 2</t>
  </si>
  <si>
    <t>Etapa 3</t>
  </si>
  <si>
    <t>Etapa 4</t>
  </si>
  <si>
    <t>Etapa 5</t>
  </si>
  <si>
    <t>PRODUCCION ANUAL</t>
  </si>
  <si>
    <t>Leche</t>
  </si>
  <si>
    <t>Queso</t>
  </si>
  <si>
    <t>Crema</t>
  </si>
  <si>
    <t>Costo Hs/MOD</t>
  </si>
  <si>
    <t>TIEMPO TOTAL X ETAPA (Hs)</t>
  </si>
  <si>
    <t>TOTAL X PRODUCTO</t>
  </si>
  <si>
    <t>COSTO TOT X MOD</t>
  </si>
  <si>
    <t>PRESUPUESTO</t>
  </si>
  <si>
    <t>ACTIVIDAD</t>
  </si>
  <si>
    <t>STD HM B</t>
  </si>
  <si>
    <t>STD HM A</t>
  </si>
  <si>
    <t>EMPLEADOS</t>
  </si>
  <si>
    <t>DPTO PROD 1</t>
  </si>
  <si>
    <t>DPTO PROD 2</t>
  </si>
  <si>
    <t>DPTO SERV GRAL</t>
  </si>
  <si>
    <t>DPTO MANT</t>
  </si>
  <si>
    <t>HM</t>
  </si>
  <si>
    <t>N° Empleados</t>
  </si>
  <si>
    <t>Hs de mant</t>
  </si>
  <si>
    <t>100 HM DEPTO 1 = 2 Hs DE MANT</t>
  </si>
  <si>
    <t>100 HM DEPTO 2 = 4 Hs DE MANT</t>
  </si>
  <si>
    <t>HS MANT</t>
  </si>
  <si>
    <t>DEPTO SERVICIOS</t>
  </si>
  <si>
    <t>GASTOS DIRECTOS</t>
  </si>
  <si>
    <t>GASTOS GENERALES</t>
  </si>
  <si>
    <t>GASTOS MANT</t>
  </si>
  <si>
    <t>GASTOS TOTALES</t>
  </si>
  <si>
    <t>HM DEPTOS</t>
  </si>
  <si>
    <t>CUOTA POR CIF</t>
  </si>
  <si>
    <t>CIF POR PRODUCTO</t>
  </si>
  <si>
    <t>HS MAQUINAS</t>
  </si>
  <si>
    <t>HS MAQUINAS UTILIZADAS A</t>
  </si>
  <si>
    <t>VENTAS ANUALES</t>
  </si>
  <si>
    <t>PROM VENT ANUALES</t>
  </si>
  <si>
    <t>INV FINAL PRON</t>
  </si>
  <si>
    <t>PRODUCTO TERMINADO</t>
  </si>
  <si>
    <t>MATERIA PRIMA</t>
  </si>
  <si>
    <t>VENTAS DIRECTAS</t>
  </si>
  <si>
    <t>VENTAS DISTRIBUIDOR</t>
  </si>
  <si>
    <t xml:space="preserve">1 UNIDAD = </t>
  </si>
  <si>
    <t>COSTO POR KG</t>
  </si>
  <si>
    <t>1 PRODUCTO =</t>
  </si>
  <si>
    <t>Kg</t>
  </si>
  <si>
    <t>COMERCIALIZACION</t>
  </si>
  <si>
    <t>ADMINISTRACION</t>
  </si>
  <si>
    <t>RESULTADOS</t>
  </si>
  <si>
    <t>PRESUPUESTO DE VENTAS</t>
  </si>
  <si>
    <t>PRESUPUESTO COMPRA MP</t>
  </si>
  <si>
    <t>UTILIDAD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</si>
</sst>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vertical="center"/>
    </xf>
    <xf numFmtId="44" fontId="0" fillId="0" borderId="1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2" applyFont="1" applyBorder="1" applyAlignment="1">
      <alignment horizontal="center" vertical="center"/>
    </xf>
    <xf numFmtId="44" fontId="4" fillId="0" borderId="8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4" fontId="6" fillId="2" borderId="6" xfId="0" applyNumberFormat="1" applyFont="1" applyFill="1" applyBorder="1" applyAlignment="1">
      <alignment horizontal="center" vertical="center"/>
    </xf>
    <xf numFmtId="44" fontId="4" fillId="2" borderId="9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4" fontId="0" fillId="0" borderId="1" xfId="1" applyFont="1" applyBorder="1"/>
    <xf numFmtId="44" fontId="4" fillId="0" borderId="0" xfId="1" applyFont="1" applyBorder="1" applyAlignment="1">
      <alignment horizontal="center" vertical="center"/>
    </xf>
    <xf numFmtId="44" fontId="0" fillId="0" borderId="0" xfId="0" applyNumberFormat="1"/>
    <xf numFmtId="0" fontId="3" fillId="0" borderId="0" xfId="0" applyFont="1" applyAlignment="1">
      <alignment vertical="center"/>
    </xf>
    <xf numFmtId="9" fontId="0" fillId="0" borderId="1" xfId="2" applyFont="1" applyBorder="1" applyAlignment="1">
      <alignment horizontal="center" vertical="center"/>
    </xf>
    <xf numFmtId="44" fontId="0" fillId="0" borderId="1" xfId="0" applyNumberFormat="1" applyBorder="1"/>
    <xf numFmtId="0" fontId="2" fillId="0" borderId="3" xfId="0" applyFont="1" applyBorder="1" applyAlignment="1">
      <alignment horizontal="center" vertical="center"/>
    </xf>
    <xf numFmtId="44" fontId="2" fillId="2" borderId="6" xfId="0" applyNumberFormat="1" applyFont="1" applyFill="1" applyBorder="1"/>
    <xf numFmtId="0" fontId="4" fillId="0" borderId="8" xfId="1" applyNumberFormat="1" applyFont="1" applyBorder="1" applyAlignment="1">
      <alignment horizontal="center" vertical="center"/>
    </xf>
    <xf numFmtId="44" fontId="2" fillId="2" borderId="9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4" fontId="0" fillId="2" borderId="6" xfId="0" applyNumberFormat="1" applyFill="1" applyBorder="1"/>
    <xf numFmtId="44" fontId="0" fillId="2" borderId="9" xfId="0" applyNumberFormat="1" applyFill="1" applyBorder="1"/>
    <xf numFmtId="44" fontId="0" fillId="2" borderId="12" xfId="0" applyNumberFormat="1" applyFill="1" applyBorder="1"/>
    <xf numFmtId="0" fontId="0" fillId="0" borderId="0" xfId="0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6" xfId="0" applyFont="1" applyFill="1" applyBorder="1"/>
    <xf numFmtId="0" fontId="3" fillId="0" borderId="5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8" xfId="0" applyBorder="1"/>
    <xf numFmtId="44" fontId="0" fillId="0" borderId="8" xfId="0" applyNumberFormat="1" applyBorder="1"/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44" fontId="0" fillId="0" borderId="14" xfId="0" applyNumberFormat="1" applyBorder="1"/>
    <xf numFmtId="44" fontId="0" fillId="0" borderId="15" xfId="0" applyNumberFormat="1" applyBorder="1"/>
    <xf numFmtId="44" fontId="0" fillId="2" borderId="16" xfId="0" applyNumberFormat="1" applyFill="1" applyBorder="1"/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/>
    <xf numFmtId="0" fontId="0" fillId="0" borderId="17" xfId="0" applyBorder="1"/>
    <xf numFmtId="0" fontId="0" fillId="0" borderId="18" xfId="0" applyBorder="1"/>
    <xf numFmtId="0" fontId="3" fillId="2" borderId="5" xfId="0" applyFont="1" applyFill="1" applyBorder="1" applyAlignment="1">
      <alignment horizontal="center" vertical="center"/>
    </xf>
    <xf numFmtId="0" fontId="0" fillId="0" borderId="19" xfId="0" applyBorder="1"/>
    <xf numFmtId="44" fontId="0" fillId="2" borderId="8" xfId="0" applyNumberFormat="1" applyFill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44" fontId="9" fillId="0" borderId="1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0" fontId="0" fillId="0" borderId="1" xfId="0" applyFill="1" applyBorder="1"/>
    <xf numFmtId="44" fontId="0" fillId="0" borderId="1" xfId="0" applyNumberFormat="1" applyFill="1" applyBorder="1"/>
    <xf numFmtId="0" fontId="3" fillId="0" borderId="2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8" xfId="0" applyFont="1" applyFill="1" applyBorder="1"/>
    <xf numFmtId="44" fontId="0" fillId="0" borderId="1" xfId="0" applyNumberFormat="1" applyFill="1" applyBorder="1" applyAlignment="1">
      <alignment horizontal="center" vertical="center"/>
    </xf>
    <xf numFmtId="44" fontId="2" fillId="2" borderId="6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6" xfId="0" applyFill="1" applyBorder="1"/>
    <xf numFmtId="0" fontId="2" fillId="2" borderId="8" xfId="0" applyFont="1" applyFill="1" applyBorder="1" applyAlignment="1">
      <alignment horizontal="center" vertical="center"/>
    </xf>
    <xf numFmtId="44" fontId="2" fillId="2" borderId="6" xfId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4" fontId="2" fillId="2" borderId="1" xfId="0" applyNumberFormat="1" applyFont="1" applyFill="1" applyBorder="1"/>
    <xf numFmtId="44" fontId="2" fillId="0" borderId="1" xfId="0" applyNumberFormat="1" applyFont="1" applyFill="1" applyBorder="1"/>
    <xf numFmtId="44" fontId="2" fillId="2" borderId="8" xfId="0" applyNumberFormat="1" applyFont="1" applyFill="1" applyBorder="1"/>
    <xf numFmtId="0" fontId="2" fillId="0" borderId="6" xfId="0" applyFont="1" applyFill="1" applyBorder="1"/>
    <xf numFmtId="0" fontId="2" fillId="0" borderId="9" xfId="0" applyFont="1" applyFill="1" applyBorder="1"/>
    <xf numFmtId="0" fontId="0" fillId="0" borderId="7" xfId="0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Fill="1" applyBorder="1"/>
    <xf numFmtId="9" fontId="0" fillId="0" borderId="6" xfId="2" applyFont="1" applyBorder="1" applyAlignment="1">
      <alignment horizontal="center" vertical="center"/>
    </xf>
    <xf numFmtId="0" fontId="0" fillId="0" borderId="7" xfId="0" applyFill="1" applyBorder="1"/>
    <xf numFmtId="9" fontId="0" fillId="0" borderId="9" xfId="2" applyFont="1" applyFill="1" applyBorder="1" applyAlignment="1">
      <alignment horizontal="center" vertical="center"/>
    </xf>
    <xf numFmtId="44" fontId="0" fillId="0" borderId="24" xfId="1" applyFont="1" applyBorder="1"/>
    <xf numFmtId="44" fontId="0" fillId="0" borderId="25" xfId="1" applyFont="1" applyBorder="1"/>
    <xf numFmtId="44" fontId="0" fillId="0" borderId="6" xfId="1" applyFont="1" applyBorder="1"/>
    <xf numFmtId="0" fontId="0" fillId="0" borderId="9" xfId="0" applyFill="1" applyBorder="1"/>
    <xf numFmtId="0" fontId="0" fillId="0" borderId="12" xfId="0" applyBorder="1"/>
    <xf numFmtId="0" fontId="0" fillId="0" borderId="14" xfId="0" applyBorder="1"/>
    <xf numFmtId="44" fontId="0" fillId="0" borderId="16" xfId="1" applyFont="1" applyBorder="1"/>
    <xf numFmtId="0" fontId="0" fillId="0" borderId="23" xfId="0" applyBorder="1"/>
    <xf numFmtId="44" fontId="2" fillId="0" borderId="6" xfId="1" applyFont="1" applyBorder="1" applyAlignment="1">
      <alignment horizontal="center" vertical="center"/>
    </xf>
    <xf numFmtId="44" fontId="2" fillId="0" borderId="9" xfId="1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6</xdr:col>
      <xdr:colOff>285750</xdr:colOff>
      <xdr:row>10</xdr:row>
      <xdr:rowOff>191617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8A46AC-8138-CD38-8FF3-8DA983D9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23825"/>
          <a:ext cx="6029325" cy="2258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123825</xdr:rowOff>
    </xdr:from>
    <xdr:to>
      <xdr:col>5</xdr:col>
      <xdr:colOff>523875</xdr:colOff>
      <xdr:row>11</xdr:row>
      <xdr:rowOff>146541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0CD044-C253-43A8-8D85-48CB11E44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23825"/>
          <a:ext cx="5553075" cy="24325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142875</xdr:rowOff>
    </xdr:from>
    <xdr:to>
      <xdr:col>5</xdr:col>
      <xdr:colOff>316057</xdr:colOff>
      <xdr:row>10</xdr:row>
      <xdr:rowOff>84182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4892CD-BD60-A520-94CF-B337E3A6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42875"/>
          <a:ext cx="5419725" cy="21320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152400</xdr:rowOff>
    </xdr:from>
    <xdr:to>
      <xdr:col>6</xdr:col>
      <xdr:colOff>85725</xdr:colOff>
      <xdr:row>12</xdr:row>
      <xdr:rowOff>35591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0C9A0A-15E6-C93B-7FAA-B46E48E0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52400"/>
          <a:ext cx="6105525" cy="21691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133350</xdr:rowOff>
    </xdr:from>
    <xdr:to>
      <xdr:col>4</xdr:col>
      <xdr:colOff>733425</xdr:colOff>
      <xdr:row>13</xdr:row>
      <xdr:rowOff>2089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B3710-6C01-2145-53C9-31304B684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33350"/>
          <a:ext cx="4619625" cy="23452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133351</xdr:rowOff>
    </xdr:from>
    <xdr:to>
      <xdr:col>5</xdr:col>
      <xdr:colOff>723900</xdr:colOff>
      <xdr:row>14</xdr:row>
      <xdr:rowOff>104775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BD5A386-02E1-A281-1042-B0928DAD8F64}"/>
            </a:ext>
          </a:extLst>
        </xdr:cNvPr>
        <xdr:cNvGrpSpPr/>
      </xdr:nvGrpSpPr>
      <xdr:grpSpPr>
        <a:xfrm>
          <a:off x="152400" y="133351"/>
          <a:ext cx="5638800" cy="2638424"/>
          <a:chOff x="314325" y="209551"/>
          <a:chExt cx="6315954" cy="3143956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C650543A-CEB2-05F4-0928-A83E45D05B2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72185"/>
          <a:stretch/>
        </xdr:blipFill>
        <xdr:spPr>
          <a:xfrm>
            <a:off x="333375" y="209551"/>
            <a:ext cx="6296904" cy="1409699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DE6ACD13-1192-9731-CCC1-A378C4BEB3C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66156"/>
          <a:stretch/>
        </xdr:blipFill>
        <xdr:spPr>
          <a:xfrm>
            <a:off x="314325" y="1638300"/>
            <a:ext cx="6296904" cy="1715207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198197</xdr:colOff>
      <xdr:row>0</xdr:row>
      <xdr:rowOff>136962</xdr:rowOff>
    </xdr:from>
    <xdr:to>
      <xdr:col>4</xdr:col>
      <xdr:colOff>952500</xdr:colOff>
      <xdr:row>14</xdr:row>
      <xdr:rowOff>9525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752C97EC-48C9-A94D-EB41-C864D022966C}"/>
            </a:ext>
          </a:extLst>
        </xdr:cNvPr>
        <xdr:cNvGrpSpPr/>
      </xdr:nvGrpSpPr>
      <xdr:grpSpPr>
        <a:xfrm>
          <a:off x="198197" y="136962"/>
          <a:ext cx="5040553" cy="2539563"/>
          <a:chOff x="998296" y="2394387"/>
          <a:chExt cx="6377194" cy="3497036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416C8693-8FB2-921F-68EC-61D0A14EE7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56508"/>
          <a:stretch/>
        </xdr:blipFill>
        <xdr:spPr>
          <a:xfrm>
            <a:off x="1021428" y="4229992"/>
            <a:ext cx="6354062" cy="1661431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49747D0F-5822-DB5F-51FA-0C32A890A4E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51008"/>
          <a:stretch/>
        </xdr:blipFill>
        <xdr:spPr>
          <a:xfrm>
            <a:off x="998296" y="2394387"/>
            <a:ext cx="6354062" cy="1871515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4</xdr:col>
      <xdr:colOff>458932</xdr:colOff>
      <xdr:row>12</xdr:row>
      <xdr:rowOff>102032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66D1B7-FE68-39D4-071E-F6438AA74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42875"/>
          <a:ext cx="4675043" cy="22451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0</xdr:row>
      <xdr:rowOff>133351</xdr:rowOff>
    </xdr:from>
    <xdr:to>
      <xdr:col>5</xdr:col>
      <xdr:colOff>66675</xdr:colOff>
      <xdr:row>14</xdr:row>
      <xdr:rowOff>133351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C8F4C2E1-9943-23DD-D6B0-E90D22EA6071}"/>
            </a:ext>
          </a:extLst>
        </xdr:cNvPr>
        <xdr:cNvGrpSpPr/>
      </xdr:nvGrpSpPr>
      <xdr:grpSpPr>
        <a:xfrm>
          <a:off x="266700" y="133351"/>
          <a:ext cx="6419850" cy="2667000"/>
          <a:chOff x="352425" y="752475"/>
          <a:chExt cx="6306429" cy="4010025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7695A899-A376-F232-779C-EF5EA573D5D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58684"/>
          <a:stretch/>
        </xdr:blipFill>
        <xdr:spPr>
          <a:xfrm>
            <a:off x="361950" y="752475"/>
            <a:ext cx="6296904" cy="2286772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BD76C4AA-5DBC-46C3-8174-0181F45F325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23921" b="44758"/>
          <a:stretch/>
        </xdr:blipFill>
        <xdr:spPr>
          <a:xfrm>
            <a:off x="352425" y="3028950"/>
            <a:ext cx="6296904" cy="1733550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123826</xdr:rowOff>
    </xdr:from>
    <xdr:to>
      <xdr:col>6</xdr:col>
      <xdr:colOff>695326</xdr:colOff>
      <xdr:row>13</xdr:row>
      <xdr:rowOff>99170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6C0B0E-8233-14E6-55D0-747B9425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23826"/>
          <a:ext cx="5695950" cy="245184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0</xdr:row>
      <xdr:rowOff>95252</xdr:rowOff>
    </xdr:from>
    <xdr:to>
      <xdr:col>8</xdr:col>
      <xdr:colOff>104776</xdr:colOff>
      <xdr:row>12</xdr:row>
      <xdr:rowOff>142875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198A82EB-E776-EC08-A0F0-613811BA672A}"/>
            </a:ext>
          </a:extLst>
        </xdr:cNvPr>
        <xdr:cNvGrpSpPr/>
      </xdr:nvGrpSpPr>
      <xdr:grpSpPr>
        <a:xfrm>
          <a:off x="57152" y="95252"/>
          <a:ext cx="11134724" cy="2676523"/>
          <a:chOff x="0" y="0"/>
          <a:chExt cx="13116842" cy="3495675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4F82DC58-53A4-45C6-1BD9-CFB5B771BAD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6183"/>
          <a:stretch/>
        </xdr:blipFill>
        <xdr:spPr>
          <a:xfrm>
            <a:off x="0" y="0"/>
            <a:ext cx="6573167" cy="3495675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EBDE26CE-93F6-FF9B-D8C2-2388A5E5D1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67295"/>
          <a:stretch/>
        </xdr:blipFill>
        <xdr:spPr>
          <a:xfrm>
            <a:off x="6543675" y="85725"/>
            <a:ext cx="6573167" cy="1791464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9525</xdr:rowOff>
    </xdr:from>
    <xdr:to>
      <xdr:col>11</xdr:col>
      <xdr:colOff>9525</xdr:colOff>
      <xdr:row>13</xdr:row>
      <xdr:rowOff>133350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3B2FBEBE-BAAF-F7D0-12C1-D9DB3D6532CE}"/>
            </a:ext>
          </a:extLst>
        </xdr:cNvPr>
        <xdr:cNvGrpSpPr/>
      </xdr:nvGrpSpPr>
      <xdr:grpSpPr>
        <a:xfrm>
          <a:off x="85725" y="200025"/>
          <a:ext cx="10325100" cy="2447925"/>
          <a:chOff x="19050" y="285750"/>
          <a:chExt cx="9297053" cy="2524914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59EF78D4-DF4F-7899-6006-DA28B16CFE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82830"/>
          <a:stretch/>
        </xdr:blipFill>
        <xdr:spPr>
          <a:xfrm>
            <a:off x="47625" y="285750"/>
            <a:ext cx="4677428" cy="971550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2250EB17-079A-4D34-ACEF-D3727909514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44270" b="43611"/>
          <a:stretch/>
        </xdr:blipFill>
        <xdr:spPr>
          <a:xfrm>
            <a:off x="19050" y="1257299"/>
            <a:ext cx="4677428" cy="68580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4803E6F3-F2A3-4468-A160-BE27BBA1CB9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56221"/>
          <a:stretch/>
        </xdr:blipFill>
        <xdr:spPr>
          <a:xfrm>
            <a:off x="4638675" y="333375"/>
            <a:ext cx="4677428" cy="247728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AD69-F8E4-4756-BAF0-8CB5F32B4B9F}">
  <dimension ref="A12:K18"/>
  <sheetViews>
    <sheetView workbookViewId="0">
      <selection activeCell="H1" sqref="H1"/>
    </sheetView>
  </sheetViews>
  <sheetFormatPr baseColWidth="10" defaultRowHeight="17.25" customHeight="1" x14ac:dyDescent="0.25"/>
  <cols>
    <col min="1" max="1" width="13.42578125" customWidth="1"/>
    <col min="2" max="2" width="21.5703125" customWidth="1"/>
    <col min="4" max="4" width="12.85546875" customWidth="1"/>
    <col min="5" max="5" width="14.140625" customWidth="1"/>
    <col min="6" max="6" width="13.42578125" customWidth="1"/>
    <col min="8" max="8" width="13.85546875" customWidth="1"/>
    <col min="9" max="9" width="15.42578125" customWidth="1"/>
    <col min="10" max="10" width="12.7109375" customWidth="1"/>
    <col min="11" max="11" width="15" customWidth="1"/>
  </cols>
  <sheetData>
    <row r="12" spans="1:11" ht="17.25" customHeight="1" thickBot="1" x14ac:dyDescent="0.3"/>
    <row r="13" spans="1:11" ht="17.25" customHeight="1" x14ac:dyDescent="0.25">
      <c r="A13" s="8" t="s">
        <v>0</v>
      </c>
      <c r="B13" s="9" t="s">
        <v>1</v>
      </c>
      <c r="C13" s="72" t="s">
        <v>2</v>
      </c>
      <c r="D13" s="73"/>
      <c r="E13" s="72" t="s">
        <v>4</v>
      </c>
      <c r="F13" s="73"/>
      <c r="G13" s="72" t="s">
        <v>2</v>
      </c>
      <c r="H13" s="73"/>
      <c r="I13" s="72" t="s">
        <v>3</v>
      </c>
      <c r="J13" s="73"/>
      <c r="K13" s="19" t="s">
        <v>10</v>
      </c>
    </row>
    <row r="14" spans="1:11" ht="17.25" customHeight="1" x14ac:dyDescent="0.25">
      <c r="A14" s="10"/>
      <c r="B14" s="2"/>
      <c r="C14" s="3" t="s">
        <v>8</v>
      </c>
      <c r="D14" s="3" t="s">
        <v>9</v>
      </c>
      <c r="E14" s="3" t="s">
        <v>8</v>
      </c>
      <c r="F14" s="3" t="s">
        <v>9</v>
      </c>
      <c r="G14" s="3" t="s">
        <v>8</v>
      </c>
      <c r="H14" s="3" t="s">
        <v>9</v>
      </c>
      <c r="I14" s="3" t="s">
        <v>8</v>
      </c>
      <c r="J14" s="3" t="s">
        <v>9</v>
      </c>
      <c r="K14" s="11"/>
    </row>
    <row r="15" spans="1:11" ht="17.25" customHeight="1" x14ac:dyDescent="0.25">
      <c r="A15" s="12" t="s">
        <v>5</v>
      </c>
      <c r="B15" s="4">
        <v>12000</v>
      </c>
      <c r="C15" s="5">
        <v>0.5</v>
      </c>
      <c r="D15" s="5">
        <v>0.5</v>
      </c>
      <c r="E15" s="6">
        <v>15</v>
      </c>
      <c r="F15" s="6">
        <v>16.5</v>
      </c>
      <c r="G15" s="17">
        <f>C15*B15</f>
        <v>6000</v>
      </c>
      <c r="H15" s="17">
        <f>D15*B15</f>
        <v>6000</v>
      </c>
      <c r="I15" s="18">
        <f>G15*E15</f>
        <v>90000</v>
      </c>
      <c r="J15" s="18">
        <f>H15*F15</f>
        <v>99000</v>
      </c>
      <c r="K15" s="20">
        <f>SUM(I15:J15)</f>
        <v>189000</v>
      </c>
    </row>
    <row r="16" spans="1:11" ht="17.25" customHeight="1" x14ac:dyDescent="0.25">
      <c r="A16" s="12" t="s">
        <v>6</v>
      </c>
      <c r="B16" s="4">
        <v>15000</v>
      </c>
      <c r="C16" s="5">
        <v>0.4</v>
      </c>
      <c r="D16" s="5">
        <v>0.6</v>
      </c>
      <c r="E16" s="6">
        <v>24</v>
      </c>
      <c r="F16" s="6">
        <v>27</v>
      </c>
      <c r="G16" s="17">
        <f>C16*B16</f>
        <v>6000</v>
      </c>
      <c r="H16" s="17">
        <f t="shared" ref="H16:H17" si="0">D16*B16</f>
        <v>9000</v>
      </c>
      <c r="I16" s="18">
        <f t="shared" ref="I16:I17" si="1">G16*E16</f>
        <v>144000</v>
      </c>
      <c r="J16" s="18">
        <f t="shared" ref="J16:J17" si="2">H16*F16</f>
        <v>243000</v>
      </c>
      <c r="K16" s="20">
        <f t="shared" ref="K16:K17" si="3">SUM(I16:J16)</f>
        <v>387000</v>
      </c>
    </row>
    <row r="17" spans="1:11" ht="17.25" customHeight="1" x14ac:dyDescent="0.25">
      <c r="A17" s="12" t="s">
        <v>7</v>
      </c>
      <c r="B17" s="4">
        <v>22000</v>
      </c>
      <c r="C17" s="5">
        <v>0.7</v>
      </c>
      <c r="D17" s="5">
        <v>0.3</v>
      </c>
      <c r="E17" s="6">
        <v>12.5</v>
      </c>
      <c r="F17" s="6">
        <v>14</v>
      </c>
      <c r="G17" s="17">
        <f>C17*B17</f>
        <v>15399.999999999998</v>
      </c>
      <c r="H17" s="17">
        <f t="shared" si="0"/>
        <v>6600</v>
      </c>
      <c r="I17" s="18">
        <f t="shared" si="1"/>
        <v>192499.99999999997</v>
      </c>
      <c r="J17" s="18">
        <f t="shared" si="2"/>
        <v>92400</v>
      </c>
      <c r="K17" s="20">
        <f t="shared" si="3"/>
        <v>284900</v>
      </c>
    </row>
    <row r="18" spans="1:11" ht="17.25" customHeight="1" thickBot="1" x14ac:dyDescent="0.3">
      <c r="A18" s="13" t="s">
        <v>10</v>
      </c>
      <c r="B18" s="14">
        <f>SUM(B15:B17)</f>
        <v>49000</v>
      </c>
      <c r="C18" s="15">
        <f t="shared" ref="C18:J18" si="4">SUM(C15:C17)</f>
        <v>1.6</v>
      </c>
      <c r="D18" s="15">
        <f t="shared" si="4"/>
        <v>1.4000000000000001</v>
      </c>
      <c r="E18" s="16">
        <f t="shared" si="4"/>
        <v>51.5</v>
      </c>
      <c r="F18" s="16">
        <f t="shared" si="4"/>
        <v>57.5</v>
      </c>
      <c r="G18" s="14">
        <f t="shared" si="4"/>
        <v>27400</v>
      </c>
      <c r="H18" s="14">
        <f t="shared" si="4"/>
        <v>21600</v>
      </c>
      <c r="I18" s="16">
        <f t="shared" si="4"/>
        <v>426500</v>
      </c>
      <c r="J18" s="16">
        <f t="shared" si="4"/>
        <v>434400</v>
      </c>
      <c r="K18" s="21">
        <f>SUM(K15:K17)</f>
        <v>860900</v>
      </c>
    </row>
  </sheetData>
  <mergeCells count="4">
    <mergeCell ref="C13:D13"/>
    <mergeCell ref="E13:F13"/>
    <mergeCell ref="G13:H13"/>
    <mergeCell ref="I13:J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A78E-B26B-43DB-84FD-6B3D8EF5F798}">
  <dimension ref="A13:V18"/>
  <sheetViews>
    <sheetView zoomScaleNormal="100" workbookViewId="0">
      <selection activeCell="S17" sqref="S17"/>
    </sheetView>
  </sheetViews>
  <sheetFormatPr baseColWidth="10" defaultRowHeight="17.25" customHeight="1" x14ac:dyDescent="0.25"/>
  <cols>
    <col min="1" max="1" width="13.140625" customWidth="1"/>
    <col min="2" max="2" width="23.28515625" customWidth="1"/>
    <col min="3" max="3" width="13.140625" customWidth="1"/>
    <col min="5" max="5" width="14.85546875" customWidth="1"/>
    <col min="9" max="9" width="22.85546875" customWidth="1"/>
    <col min="10" max="10" width="20" customWidth="1"/>
    <col min="11" max="11" width="24.5703125" customWidth="1"/>
    <col min="12" max="12" width="23.28515625" customWidth="1"/>
    <col min="13" max="13" width="13.85546875" customWidth="1"/>
    <col min="14" max="14" width="14.28515625" customWidth="1"/>
    <col min="15" max="16" width="13" bestFit="1" customWidth="1"/>
    <col min="17" max="17" width="19.140625" customWidth="1"/>
    <col min="18" max="19" width="15.28515625" customWidth="1"/>
    <col min="20" max="20" width="13.42578125" customWidth="1"/>
    <col min="21" max="21" width="15.28515625" customWidth="1"/>
  </cols>
  <sheetData>
    <row r="13" spans="1:22" ht="17.25" customHeight="1" thickBot="1" x14ac:dyDescent="0.3"/>
    <row r="14" spans="1:22" ht="17.25" customHeight="1" x14ac:dyDescent="0.25">
      <c r="A14" s="23" t="s">
        <v>0</v>
      </c>
      <c r="B14" s="24" t="s">
        <v>1</v>
      </c>
      <c r="C14" s="74" t="s">
        <v>2</v>
      </c>
      <c r="D14" s="74"/>
      <c r="E14" s="74" t="s">
        <v>11</v>
      </c>
      <c r="F14" s="74"/>
      <c r="G14" s="74" t="s">
        <v>12</v>
      </c>
      <c r="H14" s="74"/>
      <c r="I14" s="74" t="s">
        <v>13</v>
      </c>
      <c r="J14" s="74"/>
      <c r="K14" s="32" t="s">
        <v>14</v>
      </c>
      <c r="L14" s="32" t="s">
        <v>16</v>
      </c>
      <c r="M14" s="75" t="s">
        <v>20</v>
      </c>
      <c r="N14" s="75"/>
      <c r="O14" s="75" t="s">
        <v>21</v>
      </c>
      <c r="P14" s="75"/>
      <c r="Q14" s="32" t="s">
        <v>18</v>
      </c>
      <c r="R14" s="32" t="s">
        <v>19</v>
      </c>
      <c r="S14" s="19" t="s">
        <v>10</v>
      </c>
      <c r="T14" s="22"/>
      <c r="U14" s="22"/>
      <c r="V14" s="29"/>
    </row>
    <row r="15" spans="1:22" ht="17.25" customHeight="1" x14ac:dyDescent="0.25">
      <c r="A15" s="10"/>
      <c r="B15" s="2"/>
      <c r="C15" s="7" t="s">
        <v>8</v>
      </c>
      <c r="D15" s="7" t="s">
        <v>9</v>
      </c>
      <c r="E15" s="7" t="s">
        <v>8</v>
      </c>
      <c r="F15" s="7" t="s">
        <v>9</v>
      </c>
      <c r="G15" s="7" t="s">
        <v>8</v>
      </c>
      <c r="H15" s="7" t="s">
        <v>9</v>
      </c>
      <c r="I15" s="7" t="s">
        <v>8</v>
      </c>
      <c r="J15" s="7" t="s">
        <v>9</v>
      </c>
      <c r="K15" s="7" t="s">
        <v>10</v>
      </c>
      <c r="L15" s="7" t="s">
        <v>10</v>
      </c>
      <c r="M15" s="7" t="s">
        <v>17</v>
      </c>
      <c r="N15" s="7" t="s">
        <v>15</v>
      </c>
      <c r="O15" s="7" t="s">
        <v>17</v>
      </c>
      <c r="P15" s="7" t="s">
        <v>15</v>
      </c>
      <c r="Q15" s="2"/>
      <c r="R15" s="2"/>
      <c r="S15" s="11"/>
      <c r="T15" s="1"/>
    </row>
    <row r="16" spans="1:22" ht="17.25" customHeight="1" x14ac:dyDescent="0.25">
      <c r="A16" s="12" t="s">
        <v>5</v>
      </c>
      <c r="B16" s="4">
        <v>35000</v>
      </c>
      <c r="C16" s="30">
        <v>0.5</v>
      </c>
      <c r="D16" s="30">
        <v>0.5</v>
      </c>
      <c r="E16" s="26">
        <v>23</v>
      </c>
      <c r="F16" s="26">
        <v>22</v>
      </c>
      <c r="G16" s="30">
        <v>0.2</v>
      </c>
      <c r="H16" s="30">
        <v>0.25</v>
      </c>
      <c r="I16" s="31">
        <f>E16*(1-0.18)</f>
        <v>18.860000000000003</v>
      </c>
      <c r="J16" s="31">
        <f>F16*(1-0.18)</f>
        <v>18.040000000000003</v>
      </c>
      <c r="K16" s="2">
        <f>C16*B16</f>
        <v>17500</v>
      </c>
      <c r="L16" s="2">
        <f>D16*B16</f>
        <v>17500</v>
      </c>
      <c r="M16" s="2">
        <f>K16-N16</f>
        <v>14000</v>
      </c>
      <c r="N16" s="2">
        <f>K16*G16</f>
        <v>3500</v>
      </c>
      <c r="O16" s="2">
        <f>L16-P16</f>
        <v>13125</v>
      </c>
      <c r="P16" s="2">
        <f>L16*H16</f>
        <v>4375</v>
      </c>
      <c r="Q16" s="31">
        <f>M16*E16+N16*I16</f>
        <v>388010</v>
      </c>
      <c r="R16" s="31">
        <f>O16*F16+P16*J16</f>
        <v>367675</v>
      </c>
      <c r="S16" s="33">
        <f>SUM(Q16:R16)</f>
        <v>755685</v>
      </c>
      <c r="T16" s="28"/>
      <c r="U16" s="28"/>
    </row>
    <row r="17" spans="1:21" ht="17.25" customHeight="1" x14ac:dyDescent="0.25">
      <c r="A17" s="12" t="s">
        <v>6</v>
      </c>
      <c r="B17" s="4">
        <v>52000</v>
      </c>
      <c r="C17" s="30">
        <v>0.6</v>
      </c>
      <c r="D17" s="30">
        <v>0.4</v>
      </c>
      <c r="E17" s="26">
        <v>31</v>
      </c>
      <c r="F17" s="26">
        <v>33</v>
      </c>
      <c r="G17" s="30">
        <v>0.3</v>
      </c>
      <c r="H17" s="30">
        <v>0.15</v>
      </c>
      <c r="I17" s="31">
        <f>E17*(1-0.21)</f>
        <v>24.490000000000002</v>
      </c>
      <c r="J17" s="31">
        <f>F17*(1-0.21)</f>
        <v>26.07</v>
      </c>
      <c r="K17" s="2">
        <f>C17*B17</f>
        <v>31200</v>
      </c>
      <c r="L17" s="2">
        <f>D17*B17</f>
        <v>20800</v>
      </c>
      <c r="M17" s="2">
        <f>K17-N17</f>
        <v>21840</v>
      </c>
      <c r="N17" s="2">
        <f>K17*G17</f>
        <v>9360</v>
      </c>
      <c r="O17" s="2">
        <f>L17-P17</f>
        <v>17680</v>
      </c>
      <c r="P17" s="2">
        <f>L17*H17</f>
        <v>3120</v>
      </c>
      <c r="Q17" s="31">
        <f>M17*E17+N17*I17</f>
        <v>906266.4</v>
      </c>
      <c r="R17" s="31">
        <f>O17*F17+P17*J17</f>
        <v>664778.4</v>
      </c>
      <c r="S17" s="33">
        <f>SUM(Q17:R17)</f>
        <v>1571044.8</v>
      </c>
      <c r="T17" s="28"/>
      <c r="U17" s="28"/>
    </row>
    <row r="18" spans="1:21" ht="17.25" customHeight="1" thickBot="1" x14ac:dyDescent="0.3">
      <c r="A18" s="25" t="s">
        <v>10</v>
      </c>
      <c r="B18" s="14">
        <f>SUM(B16:B17)</f>
        <v>87000</v>
      </c>
      <c r="C18" s="15">
        <f t="shared" ref="C18" si="0">SUM(C16:C17)</f>
        <v>1.1000000000000001</v>
      </c>
      <c r="D18" s="15">
        <f t="shared" ref="D18" si="1">SUM(D16:D17)</f>
        <v>0.9</v>
      </c>
      <c r="E18" s="16">
        <f t="shared" ref="E18" si="2">SUM(E16:E17)</f>
        <v>54</v>
      </c>
      <c r="F18" s="16">
        <f t="shared" ref="F18" si="3">SUM(F16:F17)</f>
        <v>55</v>
      </c>
      <c r="G18" s="15">
        <f t="shared" ref="G18" si="4">SUM(G16:G17)</f>
        <v>0.5</v>
      </c>
      <c r="H18" s="15">
        <f t="shared" ref="H18" si="5">SUM(H16:H17)</f>
        <v>0.4</v>
      </c>
      <c r="I18" s="16">
        <f>SUM(I16:I17)</f>
        <v>43.350000000000009</v>
      </c>
      <c r="J18" s="16">
        <f>SUM(J16:J17)</f>
        <v>44.11</v>
      </c>
      <c r="K18" s="34">
        <f t="shared" ref="K18:R18" si="6">SUM(K16:K17)</f>
        <v>48700</v>
      </c>
      <c r="L18" s="34">
        <f t="shared" si="6"/>
        <v>38300</v>
      </c>
      <c r="M18" s="34">
        <f t="shared" si="6"/>
        <v>35840</v>
      </c>
      <c r="N18" s="34">
        <f t="shared" si="6"/>
        <v>12860</v>
      </c>
      <c r="O18" s="34">
        <f t="shared" si="6"/>
        <v>30805</v>
      </c>
      <c r="P18" s="34">
        <f t="shared" si="6"/>
        <v>7495</v>
      </c>
      <c r="Q18" s="16">
        <f t="shared" si="6"/>
        <v>1294276.3999999999</v>
      </c>
      <c r="R18" s="16">
        <f t="shared" si="6"/>
        <v>1032453.4</v>
      </c>
      <c r="S18" s="35">
        <f>SUM(S16:S17)</f>
        <v>2326729.7999999998</v>
      </c>
      <c r="T18" s="27"/>
      <c r="U18" s="27"/>
    </row>
  </sheetData>
  <mergeCells count="6">
    <mergeCell ref="C14:D14"/>
    <mergeCell ref="E14:F14"/>
    <mergeCell ref="G14:H14"/>
    <mergeCell ref="M14:N14"/>
    <mergeCell ref="O14:P14"/>
    <mergeCell ref="I14:J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30D8-EDFD-4C03-8B5D-EE1DCA827EEF}">
  <dimension ref="A12:F16"/>
  <sheetViews>
    <sheetView zoomScale="110" zoomScaleNormal="110" workbookViewId="0">
      <selection activeCell="F11" sqref="F11"/>
    </sheetView>
  </sheetViews>
  <sheetFormatPr baseColWidth="10" defaultRowHeight="17.25" customHeight="1" x14ac:dyDescent="0.25"/>
  <cols>
    <col min="3" max="3" width="25.7109375" customWidth="1"/>
    <col min="5" max="5" width="18.85546875" customWidth="1"/>
    <col min="6" max="6" width="23.42578125" customWidth="1"/>
  </cols>
  <sheetData>
    <row r="12" spans="1:6" ht="17.25" customHeight="1" thickBot="1" x14ac:dyDescent="0.3"/>
    <row r="13" spans="1:6" ht="17.25" customHeight="1" x14ac:dyDescent="0.25">
      <c r="A13" s="36" t="s">
        <v>0</v>
      </c>
      <c r="B13" s="32" t="s">
        <v>22</v>
      </c>
      <c r="C13" s="32" t="s">
        <v>23</v>
      </c>
      <c r="D13" s="32" t="s">
        <v>24</v>
      </c>
      <c r="E13" s="32" t="s">
        <v>25</v>
      </c>
      <c r="F13" s="19" t="s">
        <v>26</v>
      </c>
    </row>
    <row r="14" spans="1:6" ht="17.25" customHeight="1" x14ac:dyDescent="0.25">
      <c r="A14" s="12" t="s">
        <v>5</v>
      </c>
      <c r="B14" s="4">
        <v>300</v>
      </c>
      <c r="C14" s="4">
        <v>2400</v>
      </c>
      <c r="D14" s="4">
        <f>C14*1.05</f>
        <v>2520</v>
      </c>
      <c r="E14" s="4">
        <f>D14*1.25</f>
        <v>3150</v>
      </c>
      <c r="F14" s="41">
        <f>E14-B14</f>
        <v>2850</v>
      </c>
    </row>
    <row r="15" spans="1:6" ht="17.25" customHeight="1" x14ac:dyDescent="0.25">
      <c r="A15" s="12" t="s">
        <v>6</v>
      </c>
      <c r="B15" s="4">
        <v>500</v>
      </c>
      <c r="C15" s="4">
        <v>3200</v>
      </c>
      <c r="D15" s="4">
        <f>C15*1.08</f>
        <v>3456</v>
      </c>
      <c r="E15" s="4">
        <f>D15*1.25</f>
        <v>4320</v>
      </c>
      <c r="F15" s="41">
        <f t="shared" ref="F15:F16" si="0">E15-B15</f>
        <v>3820</v>
      </c>
    </row>
    <row r="16" spans="1:6" ht="17.25" customHeight="1" thickBot="1" x14ac:dyDescent="0.3">
      <c r="A16" s="37" t="s">
        <v>7</v>
      </c>
      <c r="B16" s="38">
        <v>800</v>
      </c>
      <c r="C16" s="38">
        <v>3750</v>
      </c>
      <c r="D16" s="38">
        <f>C16*1.12</f>
        <v>4200</v>
      </c>
      <c r="E16" s="38">
        <f>D16*1.25</f>
        <v>5250</v>
      </c>
      <c r="F16" s="42">
        <f t="shared" si="0"/>
        <v>4450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E837-7D93-4DD3-B63B-A787CF57BC6C}">
  <dimension ref="A14:G18"/>
  <sheetViews>
    <sheetView workbookViewId="0">
      <selection activeCell="K16" sqref="K16"/>
    </sheetView>
  </sheetViews>
  <sheetFormatPr baseColWidth="10" defaultRowHeight="15" x14ac:dyDescent="0.25"/>
  <cols>
    <col min="2" max="2" width="14.7109375" customWidth="1"/>
    <col min="3" max="3" width="25.85546875" customWidth="1"/>
    <col min="5" max="5" width="18" customWidth="1"/>
    <col min="7" max="7" width="15.28515625" customWidth="1"/>
  </cols>
  <sheetData>
    <row r="14" spans="1:7" ht="15.75" thickBot="1" x14ac:dyDescent="0.3"/>
    <row r="15" spans="1:7" ht="15.75" x14ac:dyDescent="0.25">
      <c r="A15" s="23" t="s">
        <v>0</v>
      </c>
      <c r="B15" s="24" t="s">
        <v>27</v>
      </c>
      <c r="C15" s="24" t="s">
        <v>28</v>
      </c>
      <c r="D15" s="24" t="s">
        <v>24</v>
      </c>
      <c r="E15" s="24" t="s">
        <v>30</v>
      </c>
      <c r="F15" s="24" t="s">
        <v>29</v>
      </c>
      <c r="G15" s="43" t="s">
        <v>31</v>
      </c>
    </row>
    <row r="16" spans="1:7" x14ac:dyDescent="0.25">
      <c r="A16" s="12" t="s">
        <v>5</v>
      </c>
      <c r="B16" s="4">
        <v>300</v>
      </c>
      <c r="C16" s="4">
        <v>2400</v>
      </c>
      <c r="D16" s="4">
        <f>C16*1.05</f>
        <v>2520</v>
      </c>
      <c r="E16" s="4">
        <f>D16/12</f>
        <v>210</v>
      </c>
      <c r="F16" s="4">
        <f>E16*2</f>
        <v>420</v>
      </c>
      <c r="G16" s="41">
        <f>D16-B16+F16</f>
        <v>2640</v>
      </c>
    </row>
    <row r="17" spans="1:7" x14ac:dyDescent="0.25">
      <c r="A17" s="12" t="s">
        <v>6</v>
      </c>
      <c r="B17" s="4">
        <v>500</v>
      </c>
      <c r="C17" s="4">
        <v>3200</v>
      </c>
      <c r="D17" s="4">
        <f>C17*1.08</f>
        <v>3456</v>
      </c>
      <c r="E17" s="4">
        <f t="shared" ref="E17:E18" si="0">D17/12</f>
        <v>288</v>
      </c>
      <c r="F17" s="4">
        <f>E17*1.5</f>
        <v>432</v>
      </c>
      <c r="G17" s="41">
        <f t="shared" ref="G17:G18" si="1">D17-B17+F17</f>
        <v>3388</v>
      </c>
    </row>
    <row r="18" spans="1:7" ht="15.75" thickBot="1" x14ac:dyDescent="0.3">
      <c r="A18" s="37" t="s">
        <v>7</v>
      </c>
      <c r="B18" s="38">
        <v>800</v>
      </c>
      <c r="C18" s="38">
        <v>3750</v>
      </c>
      <c r="D18" s="38">
        <f>C18*1.12</f>
        <v>4200</v>
      </c>
      <c r="E18" s="38">
        <f t="shared" si="0"/>
        <v>350</v>
      </c>
      <c r="F18" s="38">
        <f>E18*1</f>
        <v>350</v>
      </c>
      <c r="G18" s="42">
        <f t="shared" si="1"/>
        <v>3750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5417-01E0-48DA-BC48-F2099EB523DB}">
  <dimension ref="A15:F19"/>
  <sheetViews>
    <sheetView workbookViewId="0">
      <selection activeCell="F17" sqref="F17"/>
    </sheetView>
  </sheetViews>
  <sheetFormatPr baseColWidth="10" defaultRowHeight="15" x14ac:dyDescent="0.25"/>
  <cols>
    <col min="2" max="2" width="14" customWidth="1"/>
    <col min="3" max="3" width="24" customWidth="1"/>
    <col min="5" max="5" width="12.140625" customWidth="1"/>
    <col min="6" max="6" width="15.5703125" customWidth="1"/>
  </cols>
  <sheetData>
    <row r="15" spans="1:6" ht="15.75" thickBot="1" x14ac:dyDescent="0.3"/>
    <row r="16" spans="1:6" ht="15.75" x14ac:dyDescent="0.25">
      <c r="A16" s="23" t="s">
        <v>0</v>
      </c>
      <c r="B16" s="24" t="s">
        <v>22</v>
      </c>
      <c r="C16" s="24" t="s">
        <v>32</v>
      </c>
      <c r="D16" s="24" t="s">
        <v>24</v>
      </c>
      <c r="E16" s="24" t="s">
        <v>29</v>
      </c>
      <c r="F16" s="43" t="s">
        <v>31</v>
      </c>
    </row>
    <row r="17" spans="1:6" x14ac:dyDescent="0.25">
      <c r="A17" s="12" t="s">
        <v>5</v>
      </c>
      <c r="B17" s="4">
        <v>300</v>
      </c>
      <c r="C17" s="4">
        <v>2400</v>
      </c>
      <c r="D17" s="4">
        <f>C17*1.03</f>
        <v>2472</v>
      </c>
      <c r="E17" s="4">
        <f>D17*1.25</f>
        <v>3090</v>
      </c>
      <c r="F17" s="39">
        <f>E17-B17</f>
        <v>2790</v>
      </c>
    </row>
    <row r="18" spans="1:6" x14ac:dyDescent="0.25">
      <c r="A18" s="12" t="s">
        <v>6</v>
      </c>
      <c r="B18" s="4">
        <v>500</v>
      </c>
      <c r="C18" s="4">
        <v>3200</v>
      </c>
      <c r="D18" s="4">
        <f>C18*1.05</f>
        <v>3360</v>
      </c>
      <c r="E18" s="4">
        <f>D18*1.15</f>
        <v>3863.9999999999995</v>
      </c>
      <c r="F18" s="39">
        <f t="shared" ref="F18:F19" si="0">E18-B18</f>
        <v>3363.9999999999995</v>
      </c>
    </row>
    <row r="19" spans="1:6" ht="15.75" thickBot="1" x14ac:dyDescent="0.3">
      <c r="A19" s="37" t="s">
        <v>7</v>
      </c>
      <c r="B19" s="38">
        <v>0</v>
      </c>
      <c r="C19" s="38"/>
      <c r="D19" s="38">
        <v>2000</v>
      </c>
      <c r="E19" s="38">
        <f>D19*1.2</f>
        <v>2400</v>
      </c>
      <c r="F19" s="40">
        <f t="shared" si="0"/>
        <v>2400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EA23-F7E3-4C86-8B7E-B80366B7E22C}">
  <dimension ref="A16:H22"/>
  <sheetViews>
    <sheetView workbookViewId="0">
      <selection activeCell="G13" sqref="G13"/>
    </sheetView>
  </sheetViews>
  <sheetFormatPr baseColWidth="10" defaultRowHeight="15" x14ac:dyDescent="0.25"/>
  <cols>
    <col min="1" max="1" width="12.85546875" customWidth="1"/>
    <col min="2" max="2" width="12.7109375" customWidth="1"/>
    <col min="3" max="3" width="26.5703125" customWidth="1"/>
    <col min="4" max="4" width="12.42578125" customWidth="1"/>
    <col min="6" max="6" width="18.5703125" customWidth="1"/>
    <col min="8" max="8" width="18.42578125" customWidth="1"/>
  </cols>
  <sheetData>
    <row r="16" ht="15.75" thickBot="1" x14ac:dyDescent="0.3"/>
    <row r="17" spans="1:8" ht="15.75" x14ac:dyDescent="0.25">
      <c r="A17" s="23" t="s">
        <v>0</v>
      </c>
      <c r="B17" s="24" t="s">
        <v>22</v>
      </c>
      <c r="C17" s="24" t="s">
        <v>32</v>
      </c>
      <c r="D17" s="24" t="s">
        <v>24</v>
      </c>
      <c r="E17" s="24" t="s">
        <v>33</v>
      </c>
      <c r="F17" s="24" t="s">
        <v>36</v>
      </c>
      <c r="G17" s="24" t="s">
        <v>34</v>
      </c>
      <c r="H17" s="43" t="s">
        <v>37</v>
      </c>
    </row>
    <row r="18" spans="1:8" x14ac:dyDescent="0.25">
      <c r="A18" s="12" t="s">
        <v>5</v>
      </c>
      <c r="B18" s="4">
        <v>1500</v>
      </c>
      <c r="C18" s="4">
        <v>12000</v>
      </c>
      <c r="D18" s="4">
        <f>C18*1.03</f>
        <v>12360</v>
      </c>
      <c r="E18" s="4">
        <f>D18*1.1</f>
        <v>13596.000000000002</v>
      </c>
      <c r="F18" s="44">
        <v>1.3</v>
      </c>
      <c r="G18" s="4">
        <f>E18-B18</f>
        <v>12096.000000000002</v>
      </c>
      <c r="H18" s="47">
        <f>G18*F18</f>
        <v>15724.800000000003</v>
      </c>
    </row>
    <row r="19" spans="1:8" x14ac:dyDescent="0.25">
      <c r="A19" s="12" t="s">
        <v>6</v>
      </c>
      <c r="B19" s="4">
        <v>1300</v>
      </c>
      <c r="C19" s="4">
        <v>16000</v>
      </c>
      <c r="D19" s="4">
        <f>C19*1.05</f>
        <v>16800</v>
      </c>
      <c r="E19" s="4">
        <f>D19*1.1</f>
        <v>18480</v>
      </c>
      <c r="F19" s="44">
        <v>2.6</v>
      </c>
      <c r="G19" s="4">
        <f t="shared" ref="G19:G21" si="0">E19-B19</f>
        <v>17180</v>
      </c>
      <c r="H19" s="47">
        <f>G19*F19</f>
        <v>44668</v>
      </c>
    </row>
    <row r="20" spans="1:8" x14ac:dyDescent="0.25">
      <c r="A20" s="12" t="s">
        <v>7</v>
      </c>
      <c r="B20" s="4">
        <v>1400</v>
      </c>
      <c r="C20" s="4">
        <v>8000</v>
      </c>
      <c r="D20" s="4">
        <f>C20*1.075</f>
        <v>8600</v>
      </c>
      <c r="E20" s="4">
        <f>D20*1.2</f>
        <v>10320</v>
      </c>
      <c r="F20" s="44">
        <v>6.35</v>
      </c>
      <c r="G20" s="4">
        <f t="shared" si="0"/>
        <v>8920</v>
      </c>
      <c r="H20" s="47">
        <f>G20*F20</f>
        <v>56642</v>
      </c>
    </row>
    <row r="21" spans="1:8" ht="15.75" thickBot="1" x14ac:dyDescent="0.3">
      <c r="A21" s="37" t="s">
        <v>35</v>
      </c>
      <c r="B21" s="38">
        <v>850</v>
      </c>
      <c r="C21" s="38">
        <v>20000</v>
      </c>
      <c r="D21" s="38">
        <f>C21*1.1</f>
        <v>22000</v>
      </c>
      <c r="E21" s="38">
        <f>D21*1.05</f>
        <v>23100</v>
      </c>
      <c r="F21" s="45">
        <v>4.8</v>
      </c>
      <c r="G21" s="38">
        <f t="shared" si="0"/>
        <v>22250</v>
      </c>
      <c r="H21" s="48">
        <f>G21*F21</f>
        <v>106800</v>
      </c>
    </row>
    <row r="22" spans="1:8" ht="15.75" thickBot="1" x14ac:dyDescent="0.3">
      <c r="A22" s="46" t="s">
        <v>10</v>
      </c>
      <c r="H22" s="49">
        <f>SUM(H18:H21)</f>
        <v>223834.8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996F-8D67-49F2-8CC0-21927D2D7C27}">
  <sheetPr>
    <tabColor rgb="FFFF0000"/>
  </sheetPr>
  <dimension ref="A4:G21"/>
  <sheetViews>
    <sheetView zoomScaleNormal="100" workbookViewId="0">
      <selection activeCell="J15" sqref="J15"/>
    </sheetView>
  </sheetViews>
  <sheetFormatPr baseColWidth="10" defaultRowHeight="15" x14ac:dyDescent="0.25"/>
  <cols>
    <col min="3" max="3" width="24.42578125" customWidth="1"/>
    <col min="4" max="4" width="17" customWidth="1"/>
    <col min="5" max="5" width="19.5703125" customWidth="1"/>
    <col min="6" max="6" width="16.42578125" customWidth="1"/>
    <col min="7" max="7" width="21.28515625" customWidth="1"/>
  </cols>
  <sheetData>
    <row r="4" spans="1:7" x14ac:dyDescent="0.25">
      <c r="F4" s="76" t="s">
        <v>39</v>
      </c>
      <c r="G4" s="76"/>
    </row>
    <row r="5" spans="1:7" x14ac:dyDescent="0.25">
      <c r="F5" s="76"/>
      <c r="G5" s="76"/>
    </row>
    <row r="6" spans="1:7" x14ac:dyDescent="0.25">
      <c r="F6" s="76"/>
      <c r="G6" s="76"/>
    </row>
    <row r="7" spans="1:7" x14ac:dyDescent="0.25">
      <c r="F7" s="76"/>
      <c r="G7" s="76"/>
    </row>
    <row r="16" spans="1:7" ht="15.75" x14ac:dyDescent="0.25">
      <c r="A16" s="22" t="s">
        <v>0</v>
      </c>
      <c r="B16" s="22" t="s">
        <v>22</v>
      </c>
      <c r="C16" s="22" t="s">
        <v>32</v>
      </c>
      <c r="D16" s="22" t="s">
        <v>38</v>
      </c>
      <c r="E16" s="22" t="s">
        <v>24</v>
      </c>
      <c r="F16" s="22" t="s">
        <v>33</v>
      </c>
      <c r="G16" s="22" t="s">
        <v>36</v>
      </c>
    </row>
    <row r="17" spans="1:7" x14ac:dyDescent="0.25">
      <c r="A17" s="50" t="s">
        <v>5</v>
      </c>
      <c r="B17" s="50">
        <v>1500</v>
      </c>
      <c r="C17" s="50">
        <v>12000</v>
      </c>
      <c r="D17" s="52">
        <f>C17/(365/45)</f>
        <v>1479.4520547945206</v>
      </c>
      <c r="E17" s="52"/>
      <c r="F17" s="50"/>
      <c r="G17" s="51"/>
    </row>
    <row r="18" spans="1:7" x14ac:dyDescent="0.25">
      <c r="A18" s="50" t="s">
        <v>6</v>
      </c>
      <c r="B18" s="50">
        <v>1300</v>
      </c>
      <c r="C18" s="50">
        <v>16000</v>
      </c>
      <c r="D18" s="52">
        <f>C18/(365/30)</f>
        <v>1315.0684931506851</v>
      </c>
      <c r="E18" s="50"/>
      <c r="F18" s="50"/>
      <c r="G18" s="51"/>
    </row>
    <row r="19" spans="1:7" x14ac:dyDescent="0.25">
      <c r="A19" s="50" t="s">
        <v>7</v>
      </c>
      <c r="B19" s="50">
        <v>1400</v>
      </c>
      <c r="C19" s="50">
        <v>8000</v>
      </c>
      <c r="D19" s="52">
        <f>C19/(365/60)</f>
        <v>1315.0684931506851</v>
      </c>
      <c r="E19" s="50"/>
      <c r="F19" s="50"/>
      <c r="G19" s="51"/>
    </row>
    <row r="20" spans="1:7" x14ac:dyDescent="0.25">
      <c r="A20" s="50" t="s">
        <v>35</v>
      </c>
      <c r="B20" s="50">
        <v>850</v>
      </c>
      <c r="C20" s="50">
        <v>20000</v>
      </c>
      <c r="D20" s="52">
        <f>C20/(365/15)</f>
        <v>821.91780821917814</v>
      </c>
      <c r="E20" s="50"/>
      <c r="F20" s="50"/>
      <c r="G20" s="51"/>
    </row>
    <row r="21" spans="1:7" x14ac:dyDescent="0.25">
      <c r="A21" s="1" t="s">
        <v>10</v>
      </c>
    </row>
  </sheetData>
  <mergeCells count="1">
    <mergeCell ref="F4:G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F8D6-382C-4B65-9A40-4DB7091C2717}">
  <dimension ref="A13:M31"/>
  <sheetViews>
    <sheetView topLeftCell="A6" zoomScaleNormal="100" workbookViewId="0">
      <selection activeCell="A14" sqref="A14:G21"/>
    </sheetView>
  </sheetViews>
  <sheetFormatPr baseColWidth="10" defaultRowHeight="15" x14ac:dyDescent="0.25"/>
  <cols>
    <col min="1" max="1" width="20.140625" customWidth="1"/>
    <col min="2" max="2" width="21.85546875" customWidth="1"/>
    <col min="8" max="12" width="18.42578125" customWidth="1"/>
    <col min="13" max="13" width="16.7109375" bestFit="1" customWidth="1"/>
  </cols>
  <sheetData>
    <row r="13" spans="1:9" ht="15.75" thickBot="1" x14ac:dyDescent="0.3"/>
    <row r="14" spans="1:9" ht="15.75" x14ac:dyDescent="0.25">
      <c r="A14" s="23" t="s">
        <v>0</v>
      </c>
      <c r="B14" s="24" t="s">
        <v>40</v>
      </c>
      <c r="C14" s="74" t="s">
        <v>41</v>
      </c>
      <c r="D14" s="74"/>
      <c r="E14" s="74"/>
      <c r="F14" s="74"/>
      <c r="G14" s="74"/>
      <c r="H14" s="24" t="s">
        <v>42</v>
      </c>
      <c r="I14" s="43" t="s">
        <v>43</v>
      </c>
    </row>
    <row r="15" spans="1:9" ht="15.75" x14ac:dyDescent="0.25">
      <c r="A15" s="10"/>
      <c r="B15" s="2"/>
      <c r="C15" s="53">
        <v>1</v>
      </c>
      <c r="D15" s="53">
        <v>2</v>
      </c>
      <c r="E15" s="53">
        <v>3</v>
      </c>
      <c r="F15" s="53">
        <v>4</v>
      </c>
      <c r="G15" s="53">
        <v>5</v>
      </c>
      <c r="H15" s="2"/>
      <c r="I15" s="54"/>
    </row>
    <row r="16" spans="1:9" x14ac:dyDescent="0.25">
      <c r="A16" s="12" t="s">
        <v>5</v>
      </c>
      <c r="B16" s="4">
        <v>75000</v>
      </c>
      <c r="C16" s="4">
        <v>1.5</v>
      </c>
      <c r="D16" s="4">
        <v>50</v>
      </c>
      <c r="E16" s="4">
        <v>120</v>
      </c>
      <c r="F16" s="4">
        <v>2</v>
      </c>
      <c r="G16" s="4">
        <v>1</v>
      </c>
      <c r="H16" s="26">
        <f>$C$20*C16+$D$20*D16+$E$20*E16+$F$20*F16+$G$20*G16</f>
        <v>1391</v>
      </c>
      <c r="I16" s="33">
        <f>H16*B16</f>
        <v>104325000</v>
      </c>
    </row>
    <row r="17" spans="1:13" x14ac:dyDescent="0.25">
      <c r="A17" s="12" t="s">
        <v>6</v>
      </c>
      <c r="B17" s="4">
        <v>20000</v>
      </c>
      <c r="C17" s="4">
        <v>0.8</v>
      </c>
      <c r="D17" s="4">
        <v>40</v>
      </c>
      <c r="E17" s="4">
        <v>150</v>
      </c>
      <c r="F17" s="4">
        <v>2.5</v>
      </c>
      <c r="G17" s="4">
        <v>0</v>
      </c>
      <c r="H17" s="26">
        <f t="shared" ref="H17:H19" si="0">$C$20*C17+$D$20*D17+$E$20*E17+$F$20*F17+$G$20*G17</f>
        <v>1411.5</v>
      </c>
      <c r="I17" s="33">
        <f t="shared" ref="I17:I19" si="1">H17*B17</f>
        <v>28230000</v>
      </c>
    </row>
    <row r="18" spans="1:13" x14ac:dyDescent="0.25">
      <c r="A18" s="12" t="s">
        <v>7</v>
      </c>
      <c r="B18" s="4">
        <v>45000</v>
      </c>
      <c r="C18" s="4">
        <v>2</v>
      </c>
      <c r="D18" s="4">
        <v>30</v>
      </c>
      <c r="E18" s="4">
        <v>100</v>
      </c>
      <c r="F18" s="4">
        <v>0</v>
      </c>
      <c r="G18" s="4">
        <v>1.5</v>
      </c>
      <c r="H18" s="26">
        <f t="shared" si="0"/>
        <v>894</v>
      </c>
      <c r="I18" s="33">
        <f t="shared" si="1"/>
        <v>40230000</v>
      </c>
    </row>
    <row r="19" spans="1:13" x14ac:dyDescent="0.25">
      <c r="A19" s="12" t="s">
        <v>35</v>
      </c>
      <c r="B19" s="4">
        <v>30000</v>
      </c>
      <c r="C19" s="4">
        <v>1</v>
      </c>
      <c r="D19" s="4">
        <v>70</v>
      </c>
      <c r="E19" s="4">
        <v>120</v>
      </c>
      <c r="F19" s="4">
        <v>1.5</v>
      </c>
      <c r="G19" s="4">
        <v>0</v>
      </c>
      <c r="H19" s="26">
        <f t="shared" si="0"/>
        <v>1457.5</v>
      </c>
      <c r="I19" s="33">
        <f t="shared" si="1"/>
        <v>43725000</v>
      </c>
    </row>
    <row r="20" spans="1:13" ht="15.75" x14ac:dyDescent="0.25">
      <c r="A20" s="55" t="s">
        <v>36</v>
      </c>
      <c r="B20" s="2"/>
      <c r="C20" s="44">
        <v>30</v>
      </c>
      <c r="D20" s="44">
        <v>10</v>
      </c>
      <c r="E20" s="44">
        <v>4.5</v>
      </c>
      <c r="F20" s="44">
        <v>125</v>
      </c>
      <c r="G20" s="44">
        <v>56</v>
      </c>
      <c r="H20" s="2"/>
      <c r="I20" s="54"/>
    </row>
    <row r="21" spans="1:13" ht="16.5" thickBot="1" x14ac:dyDescent="0.3">
      <c r="A21" s="56" t="s">
        <v>10</v>
      </c>
      <c r="B21" s="57"/>
      <c r="C21" s="57"/>
      <c r="D21" s="57"/>
      <c r="E21" s="57"/>
      <c r="F21" s="57"/>
      <c r="G21" s="57"/>
      <c r="H21" s="58">
        <f>SUM(H16:H19)</f>
        <v>5154</v>
      </c>
      <c r="I21" s="35">
        <f>SUM(I16:I19)</f>
        <v>216510000</v>
      </c>
    </row>
    <row r="22" spans="1:13" ht="15.75" thickBot="1" x14ac:dyDescent="0.3"/>
    <row r="23" spans="1:13" ht="15.75" x14ac:dyDescent="0.25">
      <c r="A23" s="23" t="s">
        <v>0</v>
      </c>
      <c r="B23" s="24" t="s">
        <v>40</v>
      </c>
      <c r="C23" s="74" t="s">
        <v>41</v>
      </c>
      <c r="D23" s="74"/>
      <c r="E23" s="74"/>
      <c r="F23" s="74"/>
      <c r="G23" s="74"/>
      <c r="H23" s="74" t="s">
        <v>44</v>
      </c>
      <c r="I23" s="74"/>
      <c r="J23" s="74"/>
      <c r="K23" s="74"/>
      <c r="L23" s="74"/>
      <c r="M23" s="60" t="s">
        <v>10</v>
      </c>
    </row>
    <row r="24" spans="1:13" ht="15.75" x14ac:dyDescent="0.25">
      <c r="A24" s="10"/>
      <c r="B24" s="2"/>
      <c r="C24" s="53">
        <v>1</v>
      </c>
      <c r="D24" s="53">
        <v>2</v>
      </c>
      <c r="E24" s="53">
        <v>3</v>
      </c>
      <c r="F24" s="53">
        <v>4</v>
      </c>
      <c r="G24" s="53">
        <v>5</v>
      </c>
      <c r="H24" s="53">
        <v>1</v>
      </c>
      <c r="I24" s="53">
        <v>2</v>
      </c>
      <c r="J24" s="53">
        <v>3</v>
      </c>
      <c r="K24" s="53">
        <v>4</v>
      </c>
      <c r="L24" s="53">
        <v>5</v>
      </c>
      <c r="M24" s="11"/>
    </row>
    <row r="25" spans="1:13" x14ac:dyDescent="0.25">
      <c r="A25" s="12" t="s">
        <v>5</v>
      </c>
      <c r="B25" s="4">
        <v>75000</v>
      </c>
      <c r="C25" s="4">
        <v>1.5</v>
      </c>
      <c r="D25" s="4">
        <v>50</v>
      </c>
      <c r="E25" s="4">
        <v>120</v>
      </c>
      <c r="F25" s="4">
        <v>2</v>
      </c>
      <c r="G25" s="4">
        <v>1</v>
      </c>
      <c r="H25" s="4">
        <f>$B$25*C25</f>
        <v>112500</v>
      </c>
      <c r="I25" s="4">
        <f t="shared" ref="I25:L25" si="2">$B$25*D25</f>
        <v>3750000</v>
      </c>
      <c r="J25" s="4">
        <f t="shared" si="2"/>
        <v>9000000</v>
      </c>
      <c r="K25" s="4">
        <f t="shared" si="2"/>
        <v>150000</v>
      </c>
      <c r="L25" s="4">
        <f t="shared" si="2"/>
        <v>75000</v>
      </c>
      <c r="M25" s="11"/>
    </row>
    <row r="26" spans="1:13" x14ac:dyDescent="0.25">
      <c r="A26" s="12" t="s">
        <v>6</v>
      </c>
      <c r="B26" s="4">
        <v>20000</v>
      </c>
      <c r="C26" s="4">
        <v>0.8</v>
      </c>
      <c r="D26" s="4">
        <v>40</v>
      </c>
      <c r="E26" s="4">
        <v>150</v>
      </c>
      <c r="F26" s="4">
        <v>2.5</v>
      </c>
      <c r="G26" s="4">
        <v>0</v>
      </c>
      <c r="H26" s="59">
        <f>$B$26*C26</f>
        <v>16000</v>
      </c>
      <c r="I26" s="59">
        <f t="shared" ref="I26:L26" si="3">$B$26*D26</f>
        <v>800000</v>
      </c>
      <c r="J26" s="59">
        <f t="shared" si="3"/>
        <v>3000000</v>
      </c>
      <c r="K26" s="59">
        <f t="shared" si="3"/>
        <v>50000</v>
      </c>
      <c r="L26" s="59">
        <f t="shared" si="3"/>
        <v>0</v>
      </c>
      <c r="M26" s="11"/>
    </row>
    <row r="27" spans="1:13" x14ac:dyDescent="0.25">
      <c r="A27" s="12" t="s">
        <v>7</v>
      </c>
      <c r="B27" s="4">
        <v>45000</v>
      </c>
      <c r="C27" s="4">
        <v>2</v>
      </c>
      <c r="D27" s="4">
        <v>30</v>
      </c>
      <c r="E27" s="4">
        <v>100</v>
      </c>
      <c r="F27" s="4">
        <v>0</v>
      </c>
      <c r="G27" s="4">
        <v>1.5</v>
      </c>
      <c r="H27" s="59">
        <f>$B$27*C27</f>
        <v>90000</v>
      </c>
      <c r="I27" s="59">
        <f t="shared" ref="I27:L27" si="4">$B$27*D27</f>
        <v>1350000</v>
      </c>
      <c r="J27" s="59">
        <f t="shared" si="4"/>
        <v>4500000</v>
      </c>
      <c r="K27" s="59">
        <f t="shared" si="4"/>
        <v>0</v>
      </c>
      <c r="L27" s="59">
        <f t="shared" si="4"/>
        <v>67500</v>
      </c>
      <c r="M27" s="11"/>
    </row>
    <row r="28" spans="1:13" x14ac:dyDescent="0.25">
      <c r="A28" s="12" t="s">
        <v>35</v>
      </c>
      <c r="B28" s="4">
        <v>30000</v>
      </c>
      <c r="C28" s="4">
        <v>1</v>
      </c>
      <c r="D28" s="4">
        <v>70</v>
      </c>
      <c r="E28" s="4">
        <v>120</v>
      </c>
      <c r="F28" s="4">
        <v>1.5</v>
      </c>
      <c r="G28" s="4">
        <v>0</v>
      </c>
      <c r="H28" s="59">
        <f>$B$28*C28</f>
        <v>30000</v>
      </c>
      <c r="I28" s="59">
        <f t="shared" ref="I28:L28" si="5">$B$28*D28</f>
        <v>2100000</v>
      </c>
      <c r="J28" s="59">
        <f t="shared" si="5"/>
        <v>3600000</v>
      </c>
      <c r="K28" s="59">
        <f t="shared" si="5"/>
        <v>45000</v>
      </c>
      <c r="L28" s="59">
        <f t="shared" si="5"/>
        <v>0</v>
      </c>
      <c r="M28" s="11"/>
    </row>
    <row r="29" spans="1:13" ht="15.75" x14ac:dyDescent="0.25">
      <c r="A29" s="55" t="s">
        <v>36</v>
      </c>
      <c r="B29" s="2"/>
      <c r="C29" s="44">
        <v>30</v>
      </c>
      <c r="D29" s="44">
        <v>10</v>
      </c>
      <c r="E29" s="44">
        <v>4.5</v>
      </c>
      <c r="F29" s="44">
        <v>125</v>
      </c>
      <c r="G29" s="44">
        <v>56</v>
      </c>
      <c r="H29" s="2"/>
      <c r="I29" s="2"/>
      <c r="J29" s="2"/>
      <c r="K29" s="2"/>
      <c r="L29" s="2"/>
      <c r="M29" s="11"/>
    </row>
    <row r="30" spans="1:13" ht="16.5" thickBot="1" x14ac:dyDescent="0.3">
      <c r="A30" s="56" t="s">
        <v>10</v>
      </c>
      <c r="B30" s="57"/>
      <c r="C30" s="57"/>
      <c r="D30" s="57"/>
      <c r="E30" s="57"/>
      <c r="F30" s="57"/>
      <c r="G30" s="57"/>
      <c r="H30" s="38">
        <f>SUM(H25:H28)</f>
        <v>248500</v>
      </c>
      <c r="I30" s="38">
        <f t="shared" ref="I30:L30" si="6">SUM(I25:I28)</f>
        <v>8000000</v>
      </c>
      <c r="J30" s="38">
        <f t="shared" si="6"/>
        <v>20100000</v>
      </c>
      <c r="K30" s="38">
        <f t="shared" si="6"/>
        <v>245000</v>
      </c>
      <c r="L30" s="38">
        <f t="shared" si="6"/>
        <v>142500</v>
      </c>
      <c r="M30" s="61"/>
    </row>
    <row r="31" spans="1:13" ht="15.75" thickBot="1" x14ac:dyDescent="0.3">
      <c r="H31" s="62">
        <f>H30*C29</f>
        <v>7455000</v>
      </c>
      <c r="I31" s="63">
        <f t="shared" ref="I31:L31" si="7">I30*D29</f>
        <v>80000000</v>
      </c>
      <c r="J31" s="63">
        <f t="shared" si="7"/>
        <v>90450000</v>
      </c>
      <c r="K31" s="63">
        <f t="shared" si="7"/>
        <v>30625000</v>
      </c>
      <c r="L31" s="63">
        <f t="shared" si="7"/>
        <v>7980000</v>
      </c>
      <c r="M31" s="64">
        <f>SUM(H31:L31)</f>
        <v>216510000</v>
      </c>
    </row>
  </sheetData>
  <mergeCells count="3">
    <mergeCell ref="C14:G14"/>
    <mergeCell ref="C23:G23"/>
    <mergeCell ref="H23:L2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99B7-4FF8-4959-AE73-79009804A4F3}">
  <dimension ref="A15:I28"/>
  <sheetViews>
    <sheetView topLeftCell="A10" zoomScaleNormal="100" workbookViewId="0">
      <selection activeCell="C25" sqref="C25"/>
    </sheetView>
  </sheetViews>
  <sheetFormatPr baseColWidth="10" defaultRowHeight="15" x14ac:dyDescent="0.25"/>
  <cols>
    <col min="1" max="1" width="23.140625" customWidth="1"/>
    <col min="2" max="2" width="23" customWidth="1"/>
    <col min="3" max="3" width="22.28515625" customWidth="1"/>
    <col min="4" max="4" width="14.5703125" bestFit="1" customWidth="1"/>
    <col min="5" max="8" width="16.28515625" customWidth="1"/>
    <col min="9" max="9" width="16.7109375" bestFit="1" customWidth="1"/>
  </cols>
  <sheetData>
    <row r="15" spans="1:9" ht="15.75" thickBot="1" x14ac:dyDescent="0.3"/>
    <row r="16" spans="1:9" ht="15.75" x14ac:dyDescent="0.25">
      <c r="A16" s="23" t="s">
        <v>0</v>
      </c>
      <c r="B16" s="24" t="s">
        <v>40</v>
      </c>
      <c r="C16" s="24" t="s">
        <v>47</v>
      </c>
      <c r="D16" s="74" t="s">
        <v>41</v>
      </c>
      <c r="E16" s="74"/>
      <c r="F16" s="74"/>
      <c r="G16" s="74"/>
      <c r="H16" s="74"/>
      <c r="I16" s="43" t="s">
        <v>10</v>
      </c>
    </row>
    <row r="17" spans="1:9" ht="15.75" x14ac:dyDescent="0.25">
      <c r="A17" s="67"/>
      <c r="D17" s="53">
        <v>1</v>
      </c>
      <c r="E17" s="53">
        <v>2</v>
      </c>
      <c r="F17" s="53">
        <v>3</v>
      </c>
      <c r="G17" s="53">
        <v>4</v>
      </c>
      <c r="H17" s="53">
        <v>5</v>
      </c>
      <c r="I17" s="68"/>
    </row>
    <row r="18" spans="1:9" x14ac:dyDescent="0.25">
      <c r="A18" s="12" t="s">
        <v>5</v>
      </c>
      <c r="B18" s="4">
        <v>75000</v>
      </c>
      <c r="C18" s="4">
        <f>B18/12</f>
        <v>6250</v>
      </c>
      <c r="D18" s="4">
        <v>1.5</v>
      </c>
      <c r="E18" s="4">
        <v>50</v>
      </c>
      <c r="F18" s="4">
        <v>120</v>
      </c>
      <c r="G18" s="4">
        <v>2</v>
      </c>
      <c r="H18" s="4">
        <v>1</v>
      </c>
      <c r="I18" s="68"/>
    </row>
    <row r="19" spans="1:9" x14ac:dyDescent="0.25">
      <c r="A19" s="12" t="s">
        <v>6</v>
      </c>
      <c r="B19" s="4">
        <v>20000</v>
      </c>
      <c r="C19" s="65">
        <f t="shared" ref="C19:C21" si="0">B19/12</f>
        <v>1666.6666666666667</v>
      </c>
      <c r="D19" s="4">
        <v>0.8</v>
      </c>
      <c r="E19" s="4">
        <v>40</v>
      </c>
      <c r="F19" s="4">
        <v>150</v>
      </c>
      <c r="G19" s="4">
        <v>2.5</v>
      </c>
      <c r="H19" s="4">
        <v>0</v>
      </c>
      <c r="I19" s="68"/>
    </row>
    <row r="20" spans="1:9" x14ac:dyDescent="0.25">
      <c r="A20" s="12" t="s">
        <v>7</v>
      </c>
      <c r="B20" s="4">
        <v>45000</v>
      </c>
      <c r="C20" s="4">
        <f t="shared" si="0"/>
        <v>3750</v>
      </c>
      <c r="D20" s="4">
        <v>2</v>
      </c>
      <c r="E20" s="4">
        <v>30</v>
      </c>
      <c r="F20" s="4">
        <v>100</v>
      </c>
      <c r="G20" s="4">
        <v>0</v>
      </c>
      <c r="H20" s="4">
        <v>1.5</v>
      </c>
      <c r="I20" s="68"/>
    </row>
    <row r="21" spans="1:9" x14ac:dyDescent="0.25">
      <c r="A21" s="12" t="s">
        <v>35</v>
      </c>
      <c r="B21" s="4">
        <v>30000</v>
      </c>
      <c r="C21" s="4">
        <f t="shared" si="0"/>
        <v>2500</v>
      </c>
      <c r="D21" s="4">
        <v>1</v>
      </c>
      <c r="E21" s="4">
        <v>70</v>
      </c>
      <c r="F21" s="4">
        <v>120</v>
      </c>
      <c r="G21" s="4">
        <v>1.5</v>
      </c>
      <c r="H21" s="4">
        <v>0</v>
      </c>
      <c r="I21" s="68"/>
    </row>
    <row r="22" spans="1:9" ht="15.75" x14ac:dyDescent="0.25">
      <c r="A22" s="55" t="s">
        <v>36</v>
      </c>
      <c r="D22" s="44">
        <v>30</v>
      </c>
      <c r="E22" s="44">
        <v>10</v>
      </c>
      <c r="F22" s="44">
        <v>4.5</v>
      </c>
      <c r="G22" s="44">
        <v>125</v>
      </c>
      <c r="H22" s="44">
        <v>56</v>
      </c>
      <c r="I22" s="68"/>
    </row>
    <row r="23" spans="1:9" ht="15.75" x14ac:dyDescent="0.25">
      <c r="A23" s="55" t="s">
        <v>45</v>
      </c>
      <c r="D23" s="4">
        <v>30000</v>
      </c>
      <c r="E23" s="4">
        <v>1000000</v>
      </c>
      <c r="F23" s="4">
        <v>5000000</v>
      </c>
      <c r="G23" s="4">
        <v>20000</v>
      </c>
      <c r="H23" s="4">
        <v>30000</v>
      </c>
      <c r="I23" s="68"/>
    </row>
    <row r="24" spans="1:9" ht="15.75" x14ac:dyDescent="0.25">
      <c r="A24" s="55" t="s">
        <v>48</v>
      </c>
      <c r="D24" s="65">
        <f>D18*$C$18+D19*$C$19+D20*$C$20+D21*$C$21</f>
        <v>20708.333333333336</v>
      </c>
      <c r="E24" s="65">
        <f t="shared" ref="E24:H24" si="1">E18*$C$18+E19*$C$19+E20*$C$20+E21*$C$21</f>
        <v>666666.66666666674</v>
      </c>
      <c r="F24" s="65">
        <f t="shared" si="1"/>
        <v>1675000</v>
      </c>
      <c r="G24" s="65">
        <f t="shared" si="1"/>
        <v>20416.666666666668</v>
      </c>
      <c r="H24" s="65">
        <f t="shared" si="1"/>
        <v>11875</v>
      </c>
      <c r="I24" s="68"/>
    </row>
    <row r="25" spans="1:9" ht="15.75" x14ac:dyDescent="0.25">
      <c r="A25" s="55" t="s">
        <v>50</v>
      </c>
      <c r="D25" s="4">
        <f>D24*12</f>
        <v>248500.00000000003</v>
      </c>
      <c r="E25" s="4">
        <f t="shared" ref="E25:H25" si="2">E24*12</f>
        <v>8000000.0000000009</v>
      </c>
      <c r="F25" s="4">
        <f t="shared" si="2"/>
        <v>20100000</v>
      </c>
      <c r="G25" s="4">
        <f t="shared" si="2"/>
        <v>245000</v>
      </c>
      <c r="H25" s="4">
        <f t="shared" si="2"/>
        <v>142500</v>
      </c>
      <c r="I25" s="68"/>
    </row>
    <row r="26" spans="1:9" ht="15.75" x14ac:dyDescent="0.25">
      <c r="A26" s="55" t="s">
        <v>46</v>
      </c>
      <c r="D26" s="65">
        <f>D24*2</f>
        <v>41416.666666666672</v>
      </c>
      <c r="E26" s="65">
        <f>E24*2</f>
        <v>1333333.3333333335</v>
      </c>
      <c r="F26" s="65">
        <f>F24*2</f>
        <v>3350000</v>
      </c>
      <c r="G26" s="65">
        <f>G24*2</f>
        <v>40833.333333333336</v>
      </c>
      <c r="H26" s="65">
        <f>H24*2</f>
        <v>23750</v>
      </c>
      <c r="I26" s="68"/>
    </row>
    <row r="27" spans="1:9" ht="15.75" x14ac:dyDescent="0.25">
      <c r="A27" s="69" t="s">
        <v>49</v>
      </c>
      <c r="D27" s="66">
        <f>D25-D23+D26</f>
        <v>259916.66666666669</v>
      </c>
      <c r="E27" s="66">
        <f t="shared" ref="E27:H27" si="3">E25-E23+E26</f>
        <v>8333333.333333334</v>
      </c>
      <c r="F27" s="66">
        <f t="shared" si="3"/>
        <v>18450000</v>
      </c>
      <c r="G27" s="66">
        <f t="shared" si="3"/>
        <v>265833.33333333331</v>
      </c>
      <c r="H27" s="66">
        <f t="shared" si="3"/>
        <v>136250</v>
      </c>
      <c r="I27" s="68"/>
    </row>
    <row r="28" spans="1:9" ht="16.5" thickBot="1" x14ac:dyDescent="0.3">
      <c r="A28" s="56" t="s">
        <v>51</v>
      </c>
      <c r="B28" s="70"/>
      <c r="C28" s="70"/>
      <c r="D28" s="71">
        <f>D27*D22</f>
        <v>7797500.0000000009</v>
      </c>
      <c r="E28" s="71">
        <f t="shared" ref="E28:H28" si="4">E27*E22</f>
        <v>83333333.333333343</v>
      </c>
      <c r="F28" s="71">
        <f t="shared" si="4"/>
        <v>83025000</v>
      </c>
      <c r="G28" s="71">
        <f t="shared" si="4"/>
        <v>33229166.666666664</v>
      </c>
      <c r="H28" s="71">
        <f t="shared" si="4"/>
        <v>7630000</v>
      </c>
      <c r="I28" s="48">
        <f>SUM(D28:H28)</f>
        <v>215015000</v>
      </c>
    </row>
  </sheetData>
  <mergeCells count="1">
    <mergeCell ref="D16:H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090C-4809-4D76-9724-2F02ECCF6AC4}">
  <dimension ref="A14:N21"/>
  <sheetViews>
    <sheetView topLeftCell="C1" workbookViewId="0">
      <selection activeCell="I10" sqref="I10"/>
    </sheetView>
  </sheetViews>
  <sheetFormatPr baseColWidth="10" defaultRowHeight="15" x14ac:dyDescent="0.25"/>
  <cols>
    <col min="1" max="1" width="19.5703125" bestFit="1" customWidth="1"/>
    <col min="7" max="7" width="22.140625" customWidth="1"/>
    <col min="8" max="12" width="15.28515625" customWidth="1"/>
    <col min="13" max="13" width="21" customWidth="1"/>
    <col min="14" max="14" width="15.5703125" bestFit="1" customWidth="1"/>
  </cols>
  <sheetData>
    <row r="14" spans="1:14" ht="15.75" thickBot="1" x14ac:dyDescent="0.3">
      <c r="H14" s="77">
        <v>1000</v>
      </c>
      <c r="I14" s="77"/>
      <c r="J14" s="77"/>
      <c r="K14" s="77"/>
      <c r="L14" s="77"/>
    </row>
    <row r="15" spans="1:14" ht="15.75" x14ac:dyDescent="0.25">
      <c r="A15" s="23" t="s">
        <v>0</v>
      </c>
      <c r="B15" s="74" t="s">
        <v>52</v>
      </c>
      <c r="C15" s="74"/>
      <c r="D15" s="74"/>
      <c r="E15" s="74"/>
      <c r="F15" s="74"/>
      <c r="G15" s="24" t="s">
        <v>58</v>
      </c>
      <c r="H15" s="74" t="s">
        <v>63</v>
      </c>
      <c r="I15" s="74"/>
      <c r="J15" s="74"/>
      <c r="K15" s="74"/>
      <c r="L15" s="74"/>
      <c r="M15" s="24" t="s">
        <v>64</v>
      </c>
      <c r="N15" s="60" t="s">
        <v>43</v>
      </c>
    </row>
    <row r="16" spans="1:14" x14ac:dyDescent="0.25">
      <c r="A16" s="67"/>
      <c r="B16" s="7" t="s">
        <v>53</v>
      </c>
      <c r="C16" s="7" t="s">
        <v>54</v>
      </c>
      <c r="D16" s="7" t="s">
        <v>55</v>
      </c>
      <c r="E16" s="7" t="s">
        <v>56</v>
      </c>
      <c r="F16" s="7" t="s">
        <v>57</v>
      </c>
      <c r="H16" s="7" t="s">
        <v>53</v>
      </c>
      <c r="I16" s="7" t="s">
        <v>54</v>
      </c>
      <c r="J16" s="7" t="s">
        <v>55</v>
      </c>
      <c r="K16" s="7" t="s">
        <v>56</v>
      </c>
      <c r="L16" s="7" t="s">
        <v>57</v>
      </c>
      <c r="N16" s="68"/>
    </row>
    <row r="17" spans="1:14" x14ac:dyDescent="0.25">
      <c r="A17" s="10" t="s">
        <v>59</v>
      </c>
      <c r="B17" s="4">
        <v>2</v>
      </c>
      <c r="C17" s="4">
        <v>1.5</v>
      </c>
      <c r="D17" s="4">
        <v>0.5</v>
      </c>
      <c r="E17" s="4">
        <v>1</v>
      </c>
      <c r="F17" s="4">
        <v>0</v>
      </c>
      <c r="G17" s="4">
        <v>1350000</v>
      </c>
      <c r="H17" s="4">
        <f>$G$17*B17/$H$14</f>
        <v>2700</v>
      </c>
      <c r="I17" s="4">
        <f t="shared" ref="I17:L17" si="0">$G$17*C17/$H$14</f>
        <v>2025</v>
      </c>
      <c r="J17" s="4">
        <f t="shared" si="0"/>
        <v>675</v>
      </c>
      <c r="K17" s="4">
        <f t="shared" si="0"/>
        <v>1350</v>
      </c>
      <c r="L17" s="4">
        <f t="shared" si="0"/>
        <v>0</v>
      </c>
      <c r="M17" s="4">
        <f>SUM(H17:L17)</f>
        <v>6750</v>
      </c>
      <c r="N17" s="68"/>
    </row>
    <row r="18" spans="1:14" x14ac:dyDescent="0.25">
      <c r="A18" s="10" t="s">
        <v>60</v>
      </c>
      <c r="B18" s="4">
        <v>1</v>
      </c>
      <c r="C18" s="4">
        <v>0.5</v>
      </c>
      <c r="D18" s="4">
        <v>2</v>
      </c>
      <c r="E18" s="4">
        <v>0</v>
      </c>
      <c r="F18" s="4">
        <v>1</v>
      </c>
      <c r="G18" s="4">
        <v>400000</v>
      </c>
      <c r="H18" s="4">
        <f>$G$18*B18/$H$14</f>
        <v>400</v>
      </c>
      <c r="I18" s="4">
        <f t="shared" ref="I18:L18" si="1">$G$18*C18/$H$14</f>
        <v>200</v>
      </c>
      <c r="J18" s="4">
        <f t="shared" si="1"/>
        <v>800</v>
      </c>
      <c r="K18" s="4">
        <f t="shared" si="1"/>
        <v>0</v>
      </c>
      <c r="L18" s="4">
        <f t="shared" si="1"/>
        <v>400</v>
      </c>
      <c r="M18" s="4">
        <f t="shared" ref="M18:M19" si="2">SUM(H18:L18)</f>
        <v>1800</v>
      </c>
      <c r="N18" s="68"/>
    </row>
    <row r="19" spans="1:14" x14ac:dyDescent="0.25">
      <c r="A19" s="10" t="s">
        <v>61</v>
      </c>
      <c r="B19" s="4">
        <v>1.5</v>
      </c>
      <c r="C19" s="4">
        <v>1</v>
      </c>
      <c r="D19" s="4">
        <v>0</v>
      </c>
      <c r="E19" s="4">
        <v>2</v>
      </c>
      <c r="F19" s="4">
        <v>0.5</v>
      </c>
      <c r="G19" s="4">
        <v>750000</v>
      </c>
      <c r="H19" s="4">
        <f>$G$19*B19/$H$14</f>
        <v>1125</v>
      </c>
      <c r="I19" s="4">
        <f t="shared" ref="I19:L19" si="3">$G$19*C19/$H$14</f>
        <v>750</v>
      </c>
      <c r="J19" s="4">
        <f t="shared" si="3"/>
        <v>0</v>
      </c>
      <c r="K19" s="4">
        <f t="shared" si="3"/>
        <v>1500</v>
      </c>
      <c r="L19" s="4">
        <f t="shared" si="3"/>
        <v>375</v>
      </c>
      <c r="M19" s="4">
        <f t="shared" si="2"/>
        <v>3750</v>
      </c>
      <c r="N19" s="68"/>
    </row>
    <row r="20" spans="1:14" ht="15.75" x14ac:dyDescent="0.25">
      <c r="A20" s="55" t="s">
        <v>62</v>
      </c>
      <c r="B20" s="26">
        <v>3000</v>
      </c>
      <c r="C20" s="26">
        <v>3250</v>
      </c>
      <c r="D20" s="26">
        <v>2750</v>
      </c>
      <c r="E20" s="26">
        <v>3000</v>
      </c>
      <c r="F20" s="26">
        <v>3500</v>
      </c>
      <c r="N20" s="68"/>
    </row>
    <row r="21" spans="1:14" ht="16.5" thickBot="1" x14ac:dyDescent="0.3">
      <c r="A21" s="56" t="s">
        <v>65</v>
      </c>
      <c r="B21" s="70"/>
      <c r="C21" s="70"/>
      <c r="D21" s="70"/>
      <c r="E21" s="70"/>
      <c r="F21" s="70"/>
      <c r="G21" s="70"/>
      <c r="H21" s="71">
        <f>B20*SUM(H17:H19)</f>
        <v>12675000</v>
      </c>
      <c r="I21" s="71">
        <f t="shared" ref="I21:L21" si="4">C20*SUM(I17:I19)</f>
        <v>9668750</v>
      </c>
      <c r="J21" s="71">
        <f t="shared" si="4"/>
        <v>4056250</v>
      </c>
      <c r="K21" s="71">
        <f t="shared" si="4"/>
        <v>8550000</v>
      </c>
      <c r="L21" s="71">
        <f t="shared" si="4"/>
        <v>2712500</v>
      </c>
      <c r="M21" s="70"/>
      <c r="N21" s="48">
        <f>SUM(H21:L21)</f>
        <v>37662500</v>
      </c>
    </row>
  </sheetData>
  <mergeCells count="3">
    <mergeCell ref="B15:F15"/>
    <mergeCell ref="H15:L15"/>
    <mergeCell ref="H14:L14"/>
  </mergeCells>
  <phoneticPr fontId="8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DB7E-1ED4-4E56-904B-F40045C6AFD2}">
  <dimension ref="A9:L32"/>
  <sheetViews>
    <sheetView workbookViewId="0">
      <selection activeCell="G31" sqref="G31"/>
    </sheetView>
  </sheetViews>
  <sheetFormatPr baseColWidth="10" defaultColWidth="15.7109375" defaultRowHeight="17.25" customHeight="1" x14ac:dyDescent="0.25"/>
  <cols>
    <col min="1" max="1" width="20.85546875" bestFit="1" customWidth="1"/>
    <col min="2" max="2" width="18.5703125" customWidth="1"/>
    <col min="5" max="5" width="16.7109375" customWidth="1"/>
    <col min="6" max="6" width="17.140625" customWidth="1"/>
    <col min="7" max="7" width="32" customWidth="1"/>
    <col min="8" max="8" width="29.5703125" bestFit="1" customWidth="1"/>
    <col min="9" max="9" width="12" customWidth="1"/>
    <col min="10" max="10" width="17.7109375" customWidth="1"/>
    <col min="11" max="11" width="19.140625" customWidth="1"/>
  </cols>
  <sheetData>
    <row r="9" spans="1:12" ht="17.25" customHeight="1" thickBot="1" x14ac:dyDescent="0.3"/>
    <row r="10" spans="1:12" ht="17.25" customHeight="1" thickBot="1" x14ac:dyDescent="0.3">
      <c r="F10" s="79" t="s">
        <v>24</v>
      </c>
      <c r="G10" s="80"/>
      <c r="H10" s="85" t="s">
        <v>78</v>
      </c>
      <c r="I10" s="86"/>
    </row>
    <row r="11" spans="1:12" ht="17.25" customHeight="1" thickBot="1" x14ac:dyDescent="0.3">
      <c r="F11" s="81" t="s">
        <v>5</v>
      </c>
      <c r="G11" s="82">
        <v>50000</v>
      </c>
      <c r="H11" s="85" t="s">
        <v>79</v>
      </c>
      <c r="I11" s="86"/>
    </row>
    <row r="12" spans="1:12" ht="17.25" customHeight="1" thickBot="1" x14ac:dyDescent="0.3">
      <c r="F12" s="83" t="s">
        <v>6</v>
      </c>
      <c r="G12" s="84">
        <v>80000</v>
      </c>
    </row>
    <row r="14" spans="1:12" ht="17.25" customHeight="1" thickBot="1" x14ac:dyDescent="0.3"/>
    <row r="15" spans="1:12" ht="17.25" customHeight="1" x14ac:dyDescent="0.25">
      <c r="A15" s="108"/>
      <c r="B15" s="24" t="s">
        <v>66</v>
      </c>
      <c r="C15" s="24" t="s">
        <v>67</v>
      </c>
      <c r="D15" s="24" t="s">
        <v>69</v>
      </c>
      <c r="E15" s="24" t="s">
        <v>68</v>
      </c>
      <c r="F15" s="24" t="s">
        <v>70</v>
      </c>
      <c r="G15" s="89" t="s">
        <v>90</v>
      </c>
      <c r="H15" s="89" t="s">
        <v>90</v>
      </c>
      <c r="I15" s="43" t="s">
        <v>10</v>
      </c>
      <c r="J15" s="96"/>
      <c r="K15" s="96"/>
      <c r="L15" s="96"/>
    </row>
    <row r="16" spans="1:12" ht="17.25" customHeight="1" x14ac:dyDescent="0.25">
      <c r="A16" s="55" t="s">
        <v>71</v>
      </c>
      <c r="B16" s="87">
        <v>765000</v>
      </c>
      <c r="C16" s="78" t="s">
        <v>75</v>
      </c>
      <c r="D16" s="78">
        <v>4</v>
      </c>
      <c r="E16" s="78">
        <v>3</v>
      </c>
      <c r="F16" s="78">
        <v>40</v>
      </c>
      <c r="G16" s="2">
        <f>G11*D16</f>
        <v>200000</v>
      </c>
      <c r="H16" s="2">
        <f>G12*E16</f>
        <v>240000</v>
      </c>
      <c r="I16" s="101">
        <f>SUM(G16:H16)</f>
        <v>440000</v>
      </c>
      <c r="J16" s="88"/>
      <c r="K16" s="88"/>
      <c r="L16" s="88"/>
    </row>
    <row r="17" spans="1:12" ht="17.25" customHeight="1" x14ac:dyDescent="0.25">
      <c r="A17" s="55" t="s">
        <v>72</v>
      </c>
      <c r="B17" s="87">
        <v>420000</v>
      </c>
      <c r="C17" s="78" t="s">
        <v>75</v>
      </c>
      <c r="D17" s="78">
        <v>2.5</v>
      </c>
      <c r="E17" s="78">
        <v>1</v>
      </c>
      <c r="F17" s="78">
        <v>25</v>
      </c>
      <c r="G17" s="2">
        <f>G11*D17</f>
        <v>125000</v>
      </c>
      <c r="H17" s="2">
        <f>G12*E17</f>
        <v>80000</v>
      </c>
      <c r="I17" s="101">
        <f>SUM(G17:H17)</f>
        <v>205000</v>
      </c>
      <c r="J17" s="95"/>
      <c r="K17" s="95"/>
      <c r="L17" s="95"/>
    </row>
    <row r="18" spans="1:12" ht="17.25" customHeight="1" x14ac:dyDescent="0.25">
      <c r="A18" s="55" t="s">
        <v>73</v>
      </c>
      <c r="B18" s="87">
        <v>80000</v>
      </c>
      <c r="C18" s="78" t="s">
        <v>76</v>
      </c>
      <c r="D18" s="78"/>
      <c r="E18" s="78"/>
      <c r="F18" s="78">
        <v>10</v>
      </c>
      <c r="G18" s="2"/>
      <c r="H18" s="2"/>
      <c r="I18" s="109"/>
      <c r="J18" s="95"/>
      <c r="K18" s="95"/>
      <c r="L18" s="95"/>
    </row>
    <row r="19" spans="1:12" ht="17.25" customHeight="1" x14ac:dyDescent="0.25">
      <c r="A19" s="55" t="s">
        <v>74</v>
      </c>
      <c r="B19" s="87">
        <v>175000</v>
      </c>
      <c r="C19" s="78" t="s">
        <v>77</v>
      </c>
      <c r="D19" s="78"/>
      <c r="E19" s="78"/>
      <c r="F19" s="78">
        <v>5</v>
      </c>
      <c r="G19" s="2"/>
      <c r="H19" s="2"/>
      <c r="I19" s="109"/>
      <c r="J19" s="95"/>
      <c r="K19" s="95"/>
      <c r="L19" s="95"/>
    </row>
    <row r="20" spans="1:12" ht="17.25" customHeight="1" thickBot="1" x14ac:dyDescent="0.3">
      <c r="A20" s="56" t="s">
        <v>10</v>
      </c>
      <c r="B20" s="57"/>
      <c r="C20" s="57"/>
      <c r="D20" s="57"/>
      <c r="E20" s="57"/>
      <c r="F20" s="91">
        <f>SUM(F16:F19)</f>
        <v>80</v>
      </c>
      <c r="G20" s="110">
        <f>SUM(G16:G17)</f>
        <v>325000</v>
      </c>
      <c r="H20" s="110">
        <f>SUM(H16:H17)</f>
        <v>320000</v>
      </c>
      <c r="I20" s="94"/>
      <c r="J20" s="95"/>
      <c r="K20" s="95"/>
      <c r="L20" s="95"/>
    </row>
    <row r="21" spans="1:12" ht="17.25" customHeight="1" thickBot="1" x14ac:dyDescent="0.3"/>
    <row r="22" spans="1:12" ht="17.25" customHeight="1" x14ac:dyDescent="0.25">
      <c r="A22" s="99"/>
      <c r="B22" s="89" t="s">
        <v>81</v>
      </c>
      <c r="C22" s="89" t="s">
        <v>74</v>
      </c>
      <c r="D22" s="89" t="s">
        <v>71</v>
      </c>
      <c r="E22" s="89" t="s">
        <v>72</v>
      </c>
      <c r="F22" s="43" t="s">
        <v>10</v>
      </c>
    </row>
    <row r="23" spans="1:12" ht="17.25" customHeight="1" x14ac:dyDescent="0.25">
      <c r="A23" s="100" t="s">
        <v>82</v>
      </c>
      <c r="B23" s="104">
        <f>B18</f>
        <v>80000</v>
      </c>
      <c r="C23" s="104">
        <f>B19</f>
        <v>175000</v>
      </c>
      <c r="D23" s="104">
        <f>B16</f>
        <v>765000</v>
      </c>
      <c r="E23" s="104">
        <f>B17</f>
        <v>420000</v>
      </c>
      <c r="F23" s="105">
        <f>SUM(B23:E23)</f>
        <v>1440000</v>
      </c>
    </row>
    <row r="24" spans="1:12" ht="17.25" customHeight="1" x14ac:dyDescent="0.25">
      <c r="A24" s="100" t="s">
        <v>70</v>
      </c>
      <c r="B24" s="93"/>
      <c r="C24" s="93">
        <v>5</v>
      </c>
      <c r="D24" s="93">
        <v>40</v>
      </c>
      <c r="E24" s="93">
        <v>25</v>
      </c>
      <c r="F24" s="106">
        <f>SUM(B24:E24)</f>
        <v>70</v>
      </c>
    </row>
    <row r="25" spans="1:12" ht="17.25" customHeight="1" x14ac:dyDescent="0.25">
      <c r="A25" s="100" t="s">
        <v>89</v>
      </c>
      <c r="B25" s="2"/>
      <c r="C25" s="2"/>
      <c r="D25" s="4">
        <f>I16</f>
        <v>440000</v>
      </c>
      <c r="E25" s="4">
        <f>I17</f>
        <v>205000</v>
      </c>
      <c r="F25" s="106">
        <f>SUM(B25:E25)</f>
        <v>645000</v>
      </c>
    </row>
    <row r="26" spans="1:12" ht="17.25" customHeight="1" x14ac:dyDescent="0.25">
      <c r="A26" s="100" t="s">
        <v>80</v>
      </c>
      <c r="B26" s="97"/>
      <c r="C26" s="97"/>
      <c r="D26" s="4">
        <f>D25*2/100</f>
        <v>8800</v>
      </c>
      <c r="E26" s="4">
        <f>E25*4/100</f>
        <v>8200</v>
      </c>
      <c r="F26" s="106">
        <f>SUM(B26:E26)</f>
        <v>17000</v>
      </c>
    </row>
    <row r="27" spans="1:12" ht="17.25" customHeight="1" x14ac:dyDescent="0.25">
      <c r="A27" s="100" t="s">
        <v>83</v>
      </c>
      <c r="B27" s="98">
        <f>B18</f>
        <v>80000</v>
      </c>
      <c r="C27" s="98">
        <f>$B$27/$F$24*C24</f>
        <v>5714.2857142857147</v>
      </c>
      <c r="D27" s="98">
        <f t="shared" ref="D27:E27" si="0">$B$27/$F$24*D24</f>
        <v>45714.285714285717</v>
      </c>
      <c r="E27" s="98">
        <f t="shared" si="0"/>
        <v>28571.428571428572</v>
      </c>
      <c r="F27" s="111">
        <f>SUM(B27:E27)</f>
        <v>160000</v>
      </c>
    </row>
    <row r="28" spans="1:12" ht="17.25" customHeight="1" x14ac:dyDescent="0.25">
      <c r="A28" s="100" t="s">
        <v>84</v>
      </c>
      <c r="B28" s="97"/>
      <c r="C28" s="97"/>
      <c r="D28" s="98">
        <f>$C$29/$F$26*D26</f>
        <v>93546.218487394959</v>
      </c>
      <c r="E28" s="98">
        <f>$C$29/$F$26*E26</f>
        <v>87168.067226890751</v>
      </c>
      <c r="F28" s="33">
        <f>SUM(D28:E28)</f>
        <v>180714.28571428571</v>
      </c>
    </row>
    <row r="29" spans="1:12" ht="17.25" customHeight="1" x14ac:dyDescent="0.25">
      <c r="A29" s="100" t="s">
        <v>85</v>
      </c>
      <c r="B29" s="98">
        <f>B23+B27+B28</f>
        <v>160000</v>
      </c>
      <c r="C29" s="114">
        <f t="shared" ref="C29:E29" si="1">C23+C27+C28</f>
        <v>180714.28571428571</v>
      </c>
      <c r="D29" s="98">
        <f t="shared" si="1"/>
        <v>904260.50420168065</v>
      </c>
      <c r="E29" s="98">
        <f t="shared" si="1"/>
        <v>535739.49579831935</v>
      </c>
      <c r="F29" s="33">
        <f>SUM(D29:E29)</f>
        <v>1440000</v>
      </c>
    </row>
    <row r="30" spans="1:12" ht="17.25" customHeight="1" x14ac:dyDescent="0.25">
      <c r="A30" s="100" t="s">
        <v>86</v>
      </c>
      <c r="B30" s="97"/>
      <c r="C30" s="97"/>
      <c r="D30" s="112">
        <f>I16</f>
        <v>440000</v>
      </c>
      <c r="E30" s="112">
        <f>I17</f>
        <v>205000</v>
      </c>
      <c r="F30" s="116"/>
    </row>
    <row r="31" spans="1:12" ht="17.25" customHeight="1" x14ac:dyDescent="0.25">
      <c r="A31" s="69" t="s">
        <v>87</v>
      </c>
      <c r="B31" s="102"/>
      <c r="C31" s="102"/>
      <c r="D31" s="113">
        <f>D29/D30</f>
        <v>2.0551375095492741</v>
      </c>
      <c r="E31" s="113">
        <f>E29/E30</f>
        <v>2.6133633941381431</v>
      </c>
      <c r="F31" s="116"/>
    </row>
    <row r="32" spans="1:12" ht="17.25" customHeight="1" thickBot="1" x14ac:dyDescent="0.3">
      <c r="A32" s="56" t="s">
        <v>88</v>
      </c>
      <c r="B32" s="103"/>
      <c r="C32" s="103"/>
      <c r="D32" s="115">
        <f>D31*D16+E31*D17</f>
        <v>14.753958523542455</v>
      </c>
      <c r="E32" s="115">
        <f>D31*E16+E17*E31</f>
        <v>8.7787759227859645</v>
      </c>
      <c r="F32" s="117"/>
    </row>
  </sheetData>
  <mergeCells count="3">
    <mergeCell ref="F10:G10"/>
    <mergeCell ref="H11:I11"/>
    <mergeCell ref="H10:I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7252-B2E2-430E-AA97-99D266F9527C}">
  <dimension ref="A11:J25"/>
  <sheetViews>
    <sheetView tabSelected="1" workbookViewId="0">
      <selection activeCell="D24" sqref="D24"/>
    </sheetView>
  </sheetViews>
  <sheetFormatPr baseColWidth="10" defaultRowHeight="15" x14ac:dyDescent="0.25"/>
  <cols>
    <col min="1" max="1" width="25.28515625" bestFit="1" customWidth="1"/>
    <col min="2" max="2" width="14.7109375" customWidth="1"/>
    <col min="4" max="4" width="14" bestFit="1" customWidth="1"/>
    <col min="8" max="8" width="18.85546875" bestFit="1" customWidth="1"/>
    <col min="10" max="10" width="14.5703125" bestFit="1" customWidth="1"/>
  </cols>
  <sheetData>
    <row r="11" spans="1:10" ht="15.75" thickBot="1" x14ac:dyDescent="0.3"/>
    <row r="12" spans="1:10" ht="16.5" thickBot="1" x14ac:dyDescent="0.3">
      <c r="D12" s="119" t="s">
        <v>95</v>
      </c>
      <c r="E12" s="120"/>
    </row>
    <row r="13" spans="1:10" ht="15.75" x14ac:dyDescent="0.25">
      <c r="A13" s="79" t="s">
        <v>94</v>
      </c>
      <c r="B13" s="80"/>
      <c r="D13" s="10" t="s">
        <v>45</v>
      </c>
      <c r="E13" s="11">
        <v>85000</v>
      </c>
    </row>
    <row r="14" spans="1:10" x14ac:dyDescent="0.25">
      <c r="A14" s="10" t="s">
        <v>91</v>
      </c>
      <c r="B14" s="90">
        <v>504000</v>
      </c>
      <c r="D14" s="10" t="s">
        <v>46</v>
      </c>
      <c r="E14" s="11">
        <v>15000</v>
      </c>
    </row>
    <row r="15" spans="1:10" ht="15.75" thickBot="1" x14ac:dyDescent="0.3">
      <c r="A15" s="10" t="s">
        <v>22</v>
      </c>
      <c r="B15" s="90">
        <v>12000</v>
      </c>
      <c r="D15" s="10" t="s">
        <v>99</v>
      </c>
      <c r="E15" s="127">
        <v>7</v>
      </c>
    </row>
    <row r="16" spans="1:10" ht="16.5" thickBot="1" x14ac:dyDescent="0.3">
      <c r="A16" s="10" t="s">
        <v>92</v>
      </c>
      <c r="B16" s="90">
        <f>B14/12</f>
        <v>42000</v>
      </c>
      <c r="D16" s="118" t="s">
        <v>100</v>
      </c>
      <c r="E16" s="128">
        <v>1.2</v>
      </c>
      <c r="F16" s="129" t="s">
        <v>101</v>
      </c>
      <c r="H16" s="79" t="s">
        <v>66</v>
      </c>
      <c r="I16" s="74"/>
      <c r="J16" s="132"/>
    </row>
    <row r="17" spans="1:10" ht="15.75" thickBot="1" x14ac:dyDescent="0.3">
      <c r="A17" s="10" t="s">
        <v>93</v>
      </c>
      <c r="B17" s="90">
        <f>B16*0.8</f>
        <v>33600</v>
      </c>
      <c r="H17" s="67"/>
      <c r="I17" s="107"/>
      <c r="J17" s="11" t="s">
        <v>10</v>
      </c>
    </row>
    <row r="18" spans="1:10" ht="15.75" thickBot="1" x14ac:dyDescent="0.3">
      <c r="A18" s="121" t="s">
        <v>97</v>
      </c>
      <c r="B18" s="122">
        <v>0.7</v>
      </c>
      <c r="C18" s="125">
        <f>C19*0.8</f>
        <v>36</v>
      </c>
      <c r="E18" s="130" t="s">
        <v>98</v>
      </c>
      <c r="F18" s="131">
        <v>15</v>
      </c>
      <c r="H18" s="10" t="s">
        <v>102</v>
      </c>
      <c r="I18" s="2"/>
      <c r="J18" s="133">
        <v>3650000</v>
      </c>
    </row>
    <row r="19" spans="1:10" ht="15.75" thickBot="1" x14ac:dyDescent="0.3">
      <c r="A19" s="123" t="s">
        <v>96</v>
      </c>
      <c r="B19" s="124">
        <v>0.3</v>
      </c>
      <c r="C19" s="126">
        <v>45</v>
      </c>
      <c r="H19" s="118" t="s">
        <v>103</v>
      </c>
      <c r="I19" s="57"/>
      <c r="J19" s="134"/>
    </row>
    <row r="20" spans="1:10" ht="15.75" thickBot="1" x14ac:dyDescent="0.3"/>
    <row r="21" spans="1:10" ht="15.75" x14ac:dyDescent="0.25">
      <c r="A21" s="119" t="s">
        <v>104</v>
      </c>
      <c r="B21" s="120"/>
    </row>
    <row r="22" spans="1:10" ht="15.75" x14ac:dyDescent="0.25">
      <c r="A22" s="10" t="s">
        <v>105</v>
      </c>
      <c r="B22" s="101"/>
    </row>
    <row r="23" spans="1:10" ht="15.75" x14ac:dyDescent="0.25">
      <c r="A23" s="10" t="s">
        <v>26</v>
      </c>
      <c r="B23" s="101"/>
    </row>
    <row r="24" spans="1:10" ht="15.75" x14ac:dyDescent="0.25">
      <c r="A24" s="10" t="s">
        <v>106</v>
      </c>
      <c r="B24" s="101"/>
    </row>
    <row r="25" spans="1:10" ht="16.5" thickBot="1" x14ac:dyDescent="0.3">
      <c r="A25" s="118" t="s">
        <v>107</v>
      </c>
      <c r="B25" s="92"/>
    </row>
  </sheetData>
  <mergeCells count="5">
    <mergeCell ref="A13:B13"/>
    <mergeCell ref="D12:E12"/>
    <mergeCell ref="H16:I16"/>
    <mergeCell ref="J18:J19"/>
    <mergeCell ref="A21: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Ejercicio 1</vt:lpstr>
      <vt:lpstr>Ejercicio 2</vt:lpstr>
      <vt:lpstr>Ejercicio 3</vt:lpstr>
      <vt:lpstr>Ejercicio 4</vt:lpstr>
      <vt:lpstr>Ejercicio 5</vt:lpstr>
      <vt:lpstr>Ejercicio 6</vt:lpstr>
      <vt:lpstr>Ejercicio 7</vt:lpstr>
      <vt:lpstr>Ejercicio 8</vt:lpstr>
      <vt:lpstr>Ejercicio 9</vt:lpstr>
      <vt:lpstr>Ejercicio 10</vt:lpstr>
      <vt:lpstr>Ejercicio 11</vt:lpstr>
      <vt:lpstr>Ejercicio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Schiavone</dc:creator>
  <cp:lastModifiedBy>Franco Schiavone</cp:lastModifiedBy>
  <dcterms:created xsi:type="dcterms:W3CDTF">2024-06-02T21:23:08Z</dcterms:created>
  <dcterms:modified xsi:type="dcterms:W3CDTF">2024-06-05T23:49:22Z</dcterms:modified>
</cp:coreProperties>
</file>