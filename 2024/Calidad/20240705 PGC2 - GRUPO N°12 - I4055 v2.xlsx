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ml.chartshape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8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cargas\UTN\2024\Calidad\"/>
    </mc:Choice>
  </mc:AlternateContent>
  <xr:revisionPtr revIDLastSave="0" documentId="8_{23D28CCC-9B3F-4032-8488-ECA130747E19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Caratula" sheetId="1" r:id="rId1"/>
    <sheet name="Binomial" sheetId="2" r:id="rId2"/>
    <sheet name="POISSON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2" i="4" l="1"/>
  <c r="N31" i="4"/>
  <c r="N30" i="4"/>
  <c r="D30" i="4"/>
  <c r="D31" i="4" s="1"/>
  <c r="D42" i="4"/>
  <c r="D35" i="4" l="1"/>
  <c r="D34" i="4"/>
  <c r="K16" i="4"/>
  <c r="D30" i="2"/>
  <c r="D31" i="2" s="1"/>
  <c r="I79" i="2"/>
  <c r="I78" i="2"/>
  <c r="I77" i="2"/>
  <c r="K16" i="2"/>
  <c r="N33" i="2" s="1"/>
  <c r="D35" i="2"/>
  <c r="D34" i="2"/>
  <c r="N32" i="2"/>
  <c r="N31" i="2"/>
  <c r="N30" i="2"/>
  <c r="N35" i="4" l="1"/>
  <c r="N34" i="4"/>
  <c r="N33" i="4"/>
  <c r="H30" i="4"/>
  <c r="H31" i="4" s="1"/>
  <c r="H30" i="2"/>
  <c r="H31" i="2" s="1"/>
  <c r="N34" i="2"/>
  <c r="I82" i="2"/>
  <c r="N35" i="2"/>
  <c r="I80" i="2"/>
  <c r="I8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tc={4F4DC9C2-226C-4B53-B808-C6817CF70894}</author>
  </authors>
  <commentList>
    <comment ref="K16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0,4/100
</t>
        </r>
      </text>
    </comment>
  </commentList>
</comments>
</file>

<file path=xl/sharedStrings.xml><?xml version="1.0" encoding="utf-8"?>
<sst xmlns="http://schemas.openxmlformats.org/spreadsheetml/2006/main" count="457" uniqueCount="180">
  <si>
    <t xml:space="preserve">Fecha </t>
  </si>
  <si>
    <t>Observaciones</t>
  </si>
  <si>
    <t>Nota</t>
  </si>
  <si>
    <t>Firma  y Aclaración</t>
  </si>
  <si>
    <t>Entrega</t>
  </si>
  <si>
    <t>Corrección</t>
  </si>
  <si>
    <t>Legajo</t>
  </si>
  <si>
    <t>Apellido y Nombre</t>
  </si>
  <si>
    <t>Práctica grupal en clase 2 (G1)</t>
  </si>
  <si>
    <t>Fecha</t>
  </si>
  <si>
    <t>Muestreo de aceptación por atributos (IRAM 15)</t>
  </si>
  <si>
    <t>Curso</t>
  </si>
  <si>
    <t>Página</t>
  </si>
  <si>
    <t>Ingeniería en Calidad</t>
  </si>
  <si>
    <t>1 de 1</t>
  </si>
  <si>
    <t xml:space="preserve">Cliente y proveedor acuerdan para cada entrega mensual, un muestreo de aceptación por atributos a dos características de calidad bajo la norma IRAM 15-1 VERSIÓN 2010. </t>
  </si>
  <si>
    <t>1.    Problema:</t>
  </si>
  <si>
    <t xml:space="preserve">Para cada característica de calidad, desarrollar las siguientes consignas, explicando y justificando en cada caso, las tablas empleadas de la norma aplicada: </t>
  </si>
  <si>
    <t>1.1.  (0,5 puntos) Suponga que toma una muestra donde n=N. (n: tamaño de la muestra)</t>
  </si>
  <si>
    <t xml:space="preserve">1.1.1.   Quién es el cliente y quién es el proveedor? </t>
  </si>
  <si>
    <t>1.1.2.   Cuál es el plan de muestreo de la inspección ideal (n=N)?</t>
  </si>
  <si>
    <t>1.1.1</t>
  </si>
  <si>
    <t>Proveedor</t>
  </si>
  <si>
    <t>Cliente</t>
  </si>
  <si>
    <t>1.1.2</t>
  </si>
  <si>
    <t>n=N</t>
  </si>
  <si>
    <t>Características de Funcionalidad</t>
  </si>
  <si>
    <t>Características Generales No Críticas</t>
  </si>
  <si>
    <t>AQL =</t>
  </si>
  <si>
    <t>Binomial</t>
  </si>
  <si>
    <t>Poisson</t>
  </si>
  <si>
    <t>1.2.  (2,5 puntos) Para la inspección de partida:</t>
  </si>
  <si>
    <t xml:space="preserve">1.2.1.   Determinar el Plan de Muestreo Simple de partida para el Control de Recepción, hallando tamaño de muestra (n), nº aceptación (Ac) y nº rechazo (Re). </t>
  </si>
  <si>
    <t>1.2.1.</t>
  </si>
  <si>
    <t>Plan de Muestreo</t>
  </si>
  <si>
    <t>Ac</t>
  </si>
  <si>
    <t>Re</t>
  </si>
  <si>
    <t>B (c.NC)</t>
  </si>
  <si>
    <t>A (c.F)</t>
  </si>
  <si>
    <t>Letra</t>
  </si>
  <si>
    <t>Muestreo</t>
  </si>
  <si>
    <t>AQL</t>
  </si>
  <si>
    <t>Tipo inspección</t>
  </si>
  <si>
    <t>Tabla</t>
  </si>
  <si>
    <t>Letra final</t>
  </si>
  <si>
    <t>n</t>
  </si>
  <si>
    <t>Ac1</t>
  </si>
  <si>
    <t>Re1</t>
  </si>
  <si>
    <t>simple</t>
  </si>
  <si>
    <t>normal</t>
  </si>
  <si>
    <t>2A</t>
  </si>
  <si>
    <t>estricta</t>
  </si>
  <si>
    <t>2B</t>
  </si>
  <si>
    <t>simplificada</t>
  </si>
  <si>
    <t>2C</t>
  </si>
  <si>
    <t>N</t>
  </si>
  <si>
    <t>1.2.2.</t>
  </si>
  <si>
    <t>Defecto</t>
  </si>
  <si>
    <t>Lím Ac</t>
  </si>
  <si>
    <t>Un. Defectuosas</t>
  </si>
  <si>
    <t>Conclusión</t>
  </si>
  <si>
    <t>ACEPTO</t>
  </si>
  <si>
    <t>P</t>
  </si>
  <si>
    <t>La empresa ensambladora P acuerda la entrega de piezas inyectadas por la empresa N. Se acuerdan entregas mensuales de tamaño de lote N=7.000, durante un año.</t>
  </si>
  <si>
    <t>·         Para la característica funcional, se define un nivel de calidad aceptable (AQL) de 0,15%.</t>
  </si>
  <si>
    <t>·         Para las características no críticas se define un AQL de 0,4 defectos cada 100 unidades.</t>
  </si>
  <si>
    <t>1.2.2.   Qué sucede si se detectan 1 unidad defectuosas /  1 defecto, según corresponda?</t>
  </si>
  <si>
    <t>1.2.3.   Graficar la Curva Característica (CO) del plan de muestreo determinado en 1.2.1 Consignar en la gráfica máximo el riesgo del proveedor y LTPD para un riesgo del consumidor de un 10%. En la misma gráfica contraste la curva CO del plan de muestreo que aplica con la curva CO ideal. En tabla aparte indique los valores de tabla IRAM 15-1 que aplique a la curva del plan de muestreo de 1.2.1</t>
  </si>
  <si>
    <t>1.2.4.   Cuál es el máximo riesgo de N?</t>
  </si>
  <si>
    <t>1.2.5.   Cuál es el riesgo del P para una proporción defectuosa de un 1,0% / proporción defectos de 3 defectos cada 100 unidades según corresponda?</t>
  </si>
  <si>
    <t xml:space="preserve">1.2.6.   A partir de qué proporción de unidades defectuosas, o proporción de defectos, según corresponda, existe menos de un 10% de que P acepte el lote? </t>
  </si>
  <si>
    <t>L</t>
  </si>
  <si>
    <t>Utilizo muestreo simple, inspección normal:</t>
  </si>
  <si>
    <t>1.2.3</t>
  </si>
  <si>
    <t>U defect</t>
  </si>
  <si>
    <t>P aceptacion</t>
  </si>
  <si>
    <t>m</t>
  </si>
  <si>
    <t>l</t>
  </si>
  <si>
    <t>Por tabla 10-M</t>
  </si>
  <si>
    <t>Valor interpolado</t>
  </si>
  <si>
    <t>1.2.4</t>
  </si>
  <si>
    <t>De tabla 5A</t>
  </si>
  <si>
    <t>1.2.5</t>
  </si>
  <si>
    <t>Máximo riesgo N (AQL=0,15%)</t>
  </si>
  <si>
    <t>Máximo riesgo P (AQL=1%)</t>
  </si>
  <si>
    <t>1.2.6</t>
  </si>
  <si>
    <t xml:space="preserve">Proporción de U. defectuosas </t>
  </si>
  <si>
    <t>De tabla 10M</t>
  </si>
  <si>
    <t xml:space="preserve">1.3.  (2,5 puntos) Suponiendo que se rechazaron 2 lotes de 5 consecutivos; </t>
  </si>
  <si>
    <t xml:space="preserve">1.3.1.   Determinar el nuevo Plan de Muestreo simple. </t>
  </si>
  <si>
    <t>Utilizo muestreo simple, inspección estricta:</t>
  </si>
  <si>
    <t>1.3.1</t>
  </si>
  <si>
    <t>U. Defectuosas</t>
  </si>
  <si>
    <t>1.3.2.   Graficar la Curva Característica (CO) del nuevo plan de muestreo de 1.3.1. Para ello:</t>
  </si>
  <si>
    <t xml:space="preserve">1.3.2.1.   Consignar en la gráfica el máximo riesgo del proveedor y LTPD para un riesgo del consumidor de un 10% y en la misma gráfica contraste la curva CO del plan de muestreo que aplica con la curva CO ideal. </t>
  </si>
  <si>
    <t>1.3.2.2.   En tabla aparte indique los valores de tabla IRAM 15-1 que aplique a la curva del plan de muestreo.</t>
  </si>
  <si>
    <t xml:space="preserve">1.3.2.3.    Calcule y compare el máximo riesgo de N y el LTPD para un riesgo de P de un 10%,  contra los hallados para la inspección normal.. </t>
  </si>
  <si>
    <t>1.3.2.1</t>
  </si>
  <si>
    <t>Valor Interpolado</t>
  </si>
  <si>
    <t>1.3.2.2</t>
  </si>
  <si>
    <t>De Tabla 10-N</t>
  </si>
  <si>
    <t>1.3.2.3</t>
  </si>
  <si>
    <t>De tabla 5B</t>
  </si>
  <si>
    <t>1.3.3.   En qué situación se pasa de inspección estricta a la normal?</t>
  </si>
  <si>
    <t>1.3.4.   En qué caso se debe dejar de proveer?. Se puede volver a retomar la inspección? Si es así en qué condiciones?</t>
  </si>
  <si>
    <t>1.3.3</t>
  </si>
  <si>
    <t>Se volverá a pasar a una inspección normal al aceptar 5 lotes consecutivos de manera estricta</t>
  </si>
  <si>
    <t>1.3.4</t>
  </si>
  <si>
    <t>Se debe dejar de proveer en el caso que se rechacen 5 lotes de inspección estricta y se podrá volver a inspeccionar en el caso que la autoridad responsable corrobore que el proveedor mejore su calidad</t>
  </si>
  <si>
    <t>Por tabla 10-L</t>
  </si>
  <si>
    <t>Interpolado</t>
  </si>
  <si>
    <t>Máximo riesgo N (AQL=0,4%)</t>
  </si>
  <si>
    <t>De tabla 10L</t>
  </si>
  <si>
    <t xml:space="preserve">1.4.3.1.       Consignar en la gráfica el máximo riesgo del proveedor y LTPD para un riesgo del consumidor de un 10% y en la misma gráfica contraste la curva CO del plan de muestreo que aplica con  la curva CO ideal. </t>
  </si>
  <si>
    <t>1.4.3.2.       En tabla aparte indique los valores de tabla IRAM 15-1 que aplique a la curva del plan de muestreo.</t>
  </si>
  <si>
    <t xml:space="preserve">1.4.3.3.        Calcule y compare el máximo riesgo de N y el LTPD para un riesgo de P de un 10%, contra los hallados para la inspección normal y estricta. </t>
  </si>
  <si>
    <t>1.4.1</t>
  </si>
  <si>
    <t>Castro Leandro</t>
  </si>
  <si>
    <t>Greco Santiago</t>
  </si>
  <si>
    <t>p (def/100 uni)</t>
  </si>
  <si>
    <t>Pa (%)</t>
  </si>
  <si>
    <t xml:space="preserve">Funcional </t>
  </si>
  <si>
    <t>-</t>
  </si>
  <si>
    <t>Defectos cada 100 unidades</t>
  </si>
  <si>
    <t>M</t>
  </si>
  <si>
    <t>1.4.2</t>
  </si>
  <si>
    <t xml:space="preserve">1.4.1.   En qué caso se pasa de inspección normal a inspección simplificada?. </t>
  </si>
  <si>
    <t>1.4.  ( 2,5 puntos) Si hubo un buen desempeño durante la inspección normal;</t>
  </si>
  <si>
    <t xml:space="preserve">1.4.2.   Indique el plan de muestreo correspondiente. </t>
  </si>
  <si>
    <t>1.4.3.   Graficar la Curva Característica (CO) del nuevo plan de muestreo de 1.4.2. Para ello:</t>
  </si>
  <si>
    <t>1.4.3</t>
  </si>
  <si>
    <t>Característica</t>
  </si>
  <si>
    <t>Alpha</t>
  </si>
  <si>
    <t>Beta</t>
  </si>
  <si>
    <t>LTPD</t>
  </si>
  <si>
    <t>5C</t>
  </si>
  <si>
    <t>6C</t>
  </si>
  <si>
    <t>Funcionalidad</t>
  </si>
  <si>
    <t>Comparado con la inspección normal y estricta, por un lado el riesgo del proveedor aumenta  aún mas, y por el otro, el LTPD es mayor que en las otras dos inspecciones.</t>
  </si>
  <si>
    <t>1.4.3.3</t>
  </si>
  <si>
    <t>1.5.1.</t>
  </si>
  <si>
    <t xml:space="preserve">Qué decisión toma si detecto 0 unidades defectuosas o 0 defectos (según corresponda) en la primera muestra? </t>
  </si>
  <si>
    <t>1.5.2.</t>
  </si>
  <si>
    <t>Tomando en cuenta el ítem anterior, si corresponde una segunda muestra, qué decisión toma si detecta 2unidades defectuosas / 2 defectos, según corresponda?</t>
  </si>
  <si>
    <t xml:space="preserve">1.5 Cuál es el plan a seguir para muestreo doble de inspección estricta?  Represente las decisiones a tomar mediante un esquema.
</t>
  </si>
  <si>
    <t xml:space="preserve">1.5.1 </t>
  </si>
  <si>
    <t>1.5.2</t>
  </si>
  <si>
    <t>Si corresponde una segunda muestra y se detectan 2 unidades defectuosas, se rechaza el lote</t>
  </si>
  <si>
    <t>Si detecto 0 unidades defectuosas, se toma la decisión de aceptar el lote en el muestreo doble de inspección estricta</t>
  </si>
  <si>
    <t xml:space="preserve">
1.6.	(1 punto) Cuál es el plan a seguir para muestreo múltiple de inspección normal?. Represente las decisiones a tomar mediante un esquema.</t>
  </si>
  <si>
    <t>1.6.1.</t>
  </si>
  <si>
    <t xml:space="preserve">Qué decisión toma si detecto 1 unidad defectuosa o 1defecto (según corresponda) en la primera muestra? </t>
  </si>
  <si>
    <t>1.6.2.</t>
  </si>
  <si>
    <t>Tomando en cuenta el ítem anterior, si corresponde una segunda muestra, qué decisión toma si detecta 8 unidades defectuosas / 6 defectos, según corresponda?</t>
  </si>
  <si>
    <t xml:space="preserve">Letra </t>
  </si>
  <si>
    <t>Muestra</t>
  </si>
  <si>
    <t>Primera</t>
  </si>
  <si>
    <t>Segunda</t>
  </si>
  <si>
    <t>Tercera</t>
  </si>
  <si>
    <t>Cuarta</t>
  </si>
  <si>
    <t>Quinta</t>
  </si>
  <si>
    <t>#</t>
  </si>
  <si>
    <t>1.6.1</t>
  </si>
  <si>
    <t>Si detecto 1 unidad defectuosa en la primera muetra, se procede a analizar la segunda muestra</t>
  </si>
  <si>
    <t>1.6.2</t>
  </si>
  <si>
    <t>Si se detectan 8 unidades defectuosas en la segunda muestra, se rechaza el lote</t>
  </si>
  <si>
    <t>1.3.2</t>
  </si>
  <si>
    <t>De Tabla 10-L</t>
  </si>
  <si>
    <r>
      <t>1. Series consecutivas aceptadas:</t>
    </r>
    <r>
      <rPr>
        <sz val="11"/>
        <color theme="1"/>
        <rFont val="Calibri"/>
        <family val="2"/>
        <scheme val="minor"/>
      </rPr>
      <t xml:space="preserve"> Se deben aceptar al menos </t>
    </r>
    <r>
      <rPr>
        <b/>
        <sz val="11"/>
        <color theme="1"/>
        <rFont val="Calibri"/>
        <family val="2"/>
        <scheme val="minor"/>
      </rPr>
      <t>cinco lotes consecutivos</t>
    </r>
    <r>
      <rPr>
        <sz val="11"/>
        <color theme="1"/>
        <rFont val="Calibri"/>
        <family val="2"/>
        <scheme val="minor"/>
      </rPr>
      <t xml:space="preserve"> bajo inspección estricta.</t>
    </r>
  </si>
  <si>
    <r>
      <t>2. Estabilidad del proceso:</t>
    </r>
    <r>
      <rPr>
        <sz val="11"/>
        <color theme="1"/>
        <rFont val="Calibri"/>
        <family val="2"/>
        <scheme val="minor"/>
      </rPr>
      <t xml:space="preserve"> No se observan problemas o defectos críticos que requieran mantener un control más estricto.</t>
    </r>
  </si>
  <si>
    <t>Se pasa de inspección estricta a inspección normal cuando se cumplen las siguientes condiciones:</t>
  </si>
  <si>
    <t>Prop de defectos cada 100 unidades</t>
  </si>
  <si>
    <t>Cuando se cumplen cada una de las condiciones:</t>
  </si>
  <si>
    <t>* El valor de la puntuación de cambio (ver ítem 9.3.3.2 ) es como mínimo 30</t>
  </si>
  <si>
    <t>* La producción está en régimen estable</t>
  </si>
  <si>
    <t>*La inspección simplificada es considerada deseable por la autoridad responsible</t>
  </si>
  <si>
    <t>Comparado con la inspección normal,  el riesgo del proveedor disminuye, y el LTPD también.</t>
  </si>
  <si>
    <t>Comparado con la inspección normal, por un lado el riesgo del proveedor aumenta considerablemente, y por el otro, el LTPD disminuye.</t>
  </si>
  <si>
    <t>Comparado con la inspección normal y estricta, por un lado el riesgo del proveedor disminuye respecto a ambas inspecciones, y por el otro, el LTPD es mayor que en las otras dos inspecciones.</t>
  </si>
  <si>
    <t>n acum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</si>
</sst>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0.000%"/>
    <numFmt numFmtId="166" formatCode="0.0000%"/>
    <numFmt numFmtId="174" formatCode="0.000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Arial Narrow"/>
      <family val="2"/>
    </font>
    <font>
      <b/>
      <sz val="12"/>
      <color theme="1"/>
      <name val="Arial Narrow"/>
      <family val="2"/>
    </font>
    <font>
      <b/>
      <sz val="13"/>
      <color rgb="FF000000"/>
      <name val="Arial Narrow"/>
      <family val="2"/>
    </font>
    <font>
      <b/>
      <sz val="10"/>
      <color rgb="FF000000"/>
      <name val="Arial Narrow"/>
      <family val="2"/>
    </font>
    <font>
      <b/>
      <sz val="14"/>
      <color rgb="FF000000"/>
      <name val="Arial Narrow"/>
      <family val="2"/>
    </font>
    <font>
      <b/>
      <sz val="17"/>
      <color theme="1"/>
      <name val="Arial Narrow"/>
      <family val="2"/>
    </font>
    <font>
      <b/>
      <sz val="16"/>
      <color theme="1"/>
      <name val="Arial Narrow"/>
      <family val="2"/>
    </font>
    <font>
      <b/>
      <sz val="18"/>
      <color theme="1"/>
      <name val="Arial Narrow"/>
      <family val="2"/>
    </font>
    <font>
      <b/>
      <sz val="12"/>
      <color theme="1"/>
      <name val="Calibri"/>
      <family val="2"/>
    </font>
    <font>
      <b/>
      <sz val="9"/>
      <color rgb="FF000000"/>
      <name val="Arial Narrow"/>
      <family val="2"/>
    </font>
    <font>
      <b/>
      <sz val="9"/>
      <color theme="1"/>
      <name val="Arial Narrow"/>
      <family val="2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8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5E0B3"/>
        <bgColor rgb="FFC5E0B3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</fills>
  <borders count="89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ck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ck">
        <color rgb="FF000000"/>
      </left>
      <right style="medium">
        <color indexed="64"/>
      </right>
      <top style="thick">
        <color rgb="FF000000"/>
      </top>
      <bottom/>
      <diagonal/>
    </border>
    <border>
      <left style="medium">
        <color indexed="64"/>
      </left>
      <right/>
      <top style="thick">
        <color rgb="FF000000"/>
      </top>
      <bottom/>
      <diagonal/>
    </border>
    <border>
      <left/>
      <right style="medium">
        <color indexed="64"/>
      </right>
      <top style="thick">
        <color rgb="FF000000"/>
      </top>
      <bottom/>
      <diagonal/>
    </border>
    <border>
      <left style="medium">
        <color indexed="64"/>
      </left>
      <right/>
      <top style="thick">
        <color rgb="FF000000"/>
      </top>
      <bottom style="medium">
        <color indexed="64"/>
      </bottom>
      <diagonal/>
    </border>
    <border>
      <left/>
      <right style="thick">
        <color rgb="FF000000"/>
      </right>
      <top style="thick">
        <color rgb="FF000000"/>
      </top>
      <bottom style="medium">
        <color indexed="64"/>
      </bottom>
      <diagonal/>
    </border>
    <border>
      <left style="thick">
        <color rgb="FF000000"/>
      </left>
      <right style="medium">
        <color indexed="64"/>
      </right>
      <top/>
      <bottom/>
      <diagonal/>
    </border>
    <border>
      <left/>
      <right style="thick">
        <color rgb="FF000000"/>
      </right>
      <top style="medium">
        <color indexed="64"/>
      </top>
      <bottom style="medium">
        <color indexed="64"/>
      </bottom>
      <diagonal/>
    </border>
    <border>
      <left style="thick">
        <color rgb="FF000000"/>
      </left>
      <right style="medium">
        <color indexed="64"/>
      </right>
      <top/>
      <bottom style="medium">
        <color indexed="64"/>
      </bottom>
      <diagonal/>
    </border>
    <border>
      <left style="thick">
        <color rgb="FF000000"/>
      </left>
      <right/>
      <top/>
      <bottom style="medium">
        <color rgb="FF000000"/>
      </bottom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ck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 style="medium">
        <color indexed="64"/>
      </left>
      <right style="medium">
        <color indexed="64"/>
      </right>
      <top/>
      <bottom style="thick">
        <color rgb="FF000000"/>
      </bottom>
      <diagonal/>
    </border>
    <border>
      <left style="medium">
        <color rgb="FF000000"/>
      </left>
      <right/>
      <top/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1">
    <xf numFmtId="0" fontId="0" fillId="0" borderId="0" xfId="0"/>
    <xf numFmtId="0" fontId="6" fillId="2" borderId="1" xfId="0" applyFont="1" applyFill="1" applyBorder="1" applyAlignment="1">
      <alignment vertical="center" wrapText="1"/>
    </xf>
    <xf numFmtId="0" fontId="9" fillId="0" borderId="15" xfId="0" applyFont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8" fillId="0" borderId="31" xfId="0" applyFont="1" applyBorder="1" applyAlignment="1">
      <alignment vertical="center" wrapText="1"/>
    </xf>
    <xf numFmtId="0" fontId="6" fillId="2" borderId="5" xfId="0" applyFont="1" applyFill="1" applyBorder="1" applyAlignment="1">
      <alignment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8" xfId="0" applyFont="1" applyBorder="1" applyAlignment="1">
      <alignment vertical="center" wrapText="1"/>
    </xf>
    <xf numFmtId="0" fontId="4" fillId="0" borderId="7" xfId="0" applyFont="1" applyBorder="1" applyAlignment="1">
      <alignment horizontal="center" vertical="center" wrapText="1"/>
    </xf>
    <xf numFmtId="0" fontId="7" fillId="2" borderId="33" xfId="0" applyFont="1" applyFill="1" applyBorder="1" applyAlignment="1">
      <alignment horizontal="center" vertical="center" wrapText="1"/>
    </xf>
    <xf numFmtId="0" fontId="7" fillId="2" borderId="34" xfId="0" applyFont="1" applyFill="1" applyBorder="1" applyAlignment="1">
      <alignment horizontal="center" vertical="center" wrapText="1"/>
    </xf>
    <xf numFmtId="0" fontId="8" fillId="0" borderId="35" xfId="0" applyFont="1" applyBorder="1" applyAlignment="1">
      <alignment vertical="center" wrapText="1"/>
    </xf>
    <xf numFmtId="0" fontId="9" fillId="0" borderId="36" xfId="0" applyFont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2" borderId="40" xfId="0" applyFont="1" applyFill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28" xfId="0" applyFont="1" applyBorder="1" applyAlignment="1">
      <alignment horizontal="center" vertical="center" wrapText="1"/>
    </xf>
    <xf numFmtId="0" fontId="2" fillId="0" borderId="0" xfId="0" applyFont="1"/>
    <xf numFmtId="0" fontId="0" fillId="0" borderId="41" xfId="0" applyBorder="1"/>
    <xf numFmtId="0" fontId="0" fillId="0" borderId="42" xfId="0" applyBorder="1" applyAlignment="1">
      <alignment horizontal="center"/>
    </xf>
    <xf numFmtId="0" fontId="0" fillId="0" borderId="43" xfId="0" applyBorder="1"/>
    <xf numFmtId="0" fontId="0" fillId="0" borderId="44" xfId="0" applyBorder="1" applyAlignment="1">
      <alignment horizontal="center"/>
    </xf>
    <xf numFmtId="0" fontId="0" fillId="0" borderId="45" xfId="0" applyBorder="1"/>
    <xf numFmtId="0" fontId="0" fillId="0" borderId="48" xfId="0" applyBorder="1"/>
    <xf numFmtId="10" fontId="0" fillId="0" borderId="44" xfId="1" applyNumberFormat="1" applyFont="1" applyBorder="1"/>
    <xf numFmtId="0" fontId="0" fillId="0" borderId="44" xfId="0" applyBorder="1"/>
    <xf numFmtId="0" fontId="0" fillId="0" borderId="54" xfId="0" applyBorder="1"/>
    <xf numFmtId="0" fontId="0" fillId="0" borderId="55" xfId="0" applyBorder="1"/>
    <xf numFmtId="0" fontId="14" fillId="0" borderId="56" xfId="0" applyFont="1" applyBorder="1" applyAlignment="1">
      <alignment horizontal="center"/>
    </xf>
    <xf numFmtId="0" fontId="14" fillId="0" borderId="19" xfId="0" applyFont="1" applyBorder="1" applyAlignment="1">
      <alignment horizontal="center"/>
    </xf>
    <xf numFmtId="0" fontId="14" fillId="0" borderId="58" xfId="0" applyFont="1" applyBorder="1" applyAlignment="1">
      <alignment horizontal="center"/>
    </xf>
    <xf numFmtId="10" fontId="14" fillId="0" borderId="59" xfId="0" applyNumberFormat="1" applyFont="1" applyBorder="1" applyAlignment="1">
      <alignment horizontal="center"/>
    </xf>
    <xf numFmtId="0" fontId="14" fillId="0" borderId="59" xfId="0" applyFont="1" applyBorder="1" applyAlignment="1">
      <alignment horizontal="center"/>
    </xf>
    <xf numFmtId="0" fontId="14" fillId="0" borderId="53" xfId="0" applyFont="1" applyBorder="1" applyAlignment="1">
      <alignment horizontal="center"/>
    </xf>
    <xf numFmtId="0" fontId="14" fillId="0" borderId="60" xfId="0" applyFont="1" applyBorder="1" applyAlignment="1">
      <alignment horizontal="center"/>
    </xf>
    <xf numFmtId="10" fontId="14" fillId="0" borderId="48" xfId="0" applyNumberFormat="1" applyFont="1" applyBorder="1" applyAlignment="1">
      <alignment horizontal="center"/>
    </xf>
    <xf numFmtId="0" fontId="14" fillId="0" borderId="48" xfId="0" applyFont="1" applyBorder="1" applyAlignment="1">
      <alignment horizontal="center"/>
    </xf>
    <xf numFmtId="0" fontId="14" fillId="0" borderId="44" xfId="0" applyFont="1" applyBorder="1" applyAlignment="1">
      <alignment horizontal="center"/>
    </xf>
    <xf numFmtId="0" fontId="14" fillId="0" borderId="9" xfId="0" applyFont="1" applyBorder="1" applyAlignment="1">
      <alignment horizontal="center"/>
    </xf>
    <xf numFmtId="0" fontId="14" fillId="3" borderId="57" xfId="0" applyFont="1" applyFill="1" applyBorder="1" applyAlignment="1">
      <alignment horizontal="center"/>
    </xf>
    <xf numFmtId="10" fontId="14" fillId="3" borderId="47" xfId="0" applyNumberFormat="1" applyFont="1" applyFill="1" applyBorder="1" applyAlignment="1">
      <alignment horizontal="center"/>
    </xf>
    <xf numFmtId="0" fontId="14" fillId="3" borderId="47" xfId="0" applyFont="1" applyFill="1" applyBorder="1" applyAlignment="1">
      <alignment horizontal="center"/>
    </xf>
    <xf numFmtId="0" fontId="14" fillId="3" borderId="42" xfId="0" applyFont="1" applyFill="1" applyBorder="1" applyAlignment="1">
      <alignment horizontal="center"/>
    </xf>
    <xf numFmtId="0" fontId="0" fillId="0" borderId="62" xfId="0" applyBorder="1"/>
    <xf numFmtId="0" fontId="0" fillId="0" borderId="63" xfId="0" applyBorder="1"/>
    <xf numFmtId="0" fontId="0" fillId="0" borderId="46" xfId="0" applyBorder="1"/>
    <xf numFmtId="9" fontId="0" fillId="0" borderId="0" xfId="0" applyNumberFormat="1"/>
    <xf numFmtId="10" fontId="0" fillId="0" borderId="0" xfId="0" applyNumberFormat="1"/>
    <xf numFmtId="164" fontId="0" fillId="0" borderId="0" xfId="0" applyNumberFormat="1"/>
    <xf numFmtId="10" fontId="1" fillId="0" borderId="0" xfId="1" applyNumberFormat="1" applyFont="1"/>
    <xf numFmtId="165" fontId="1" fillId="0" borderId="0" xfId="1" applyNumberFormat="1" applyFont="1"/>
    <xf numFmtId="166" fontId="1" fillId="0" borderId="0" xfId="1" applyNumberFormat="1" applyFont="1"/>
    <xf numFmtId="165" fontId="0" fillId="0" borderId="0" xfId="0" applyNumberFormat="1"/>
    <xf numFmtId="165" fontId="0" fillId="5" borderId="0" xfId="0" applyNumberFormat="1" applyFill="1"/>
    <xf numFmtId="164" fontId="0" fillId="5" borderId="0" xfId="0" applyNumberFormat="1" applyFill="1"/>
    <xf numFmtId="0" fontId="14" fillId="6" borderId="58" xfId="0" applyFont="1" applyFill="1" applyBorder="1" applyAlignment="1">
      <alignment horizontal="center"/>
    </xf>
    <xf numFmtId="10" fontId="14" fillId="6" borderId="59" xfId="0" applyNumberFormat="1" applyFont="1" applyFill="1" applyBorder="1" applyAlignment="1">
      <alignment horizontal="center"/>
    </xf>
    <xf numFmtId="0" fontId="14" fillId="6" borderId="59" xfId="0" applyFont="1" applyFill="1" applyBorder="1" applyAlignment="1">
      <alignment horizontal="center"/>
    </xf>
    <xf numFmtId="0" fontId="14" fillId="6" borderId="53" xfId="0" applyFont="1" applyFill="1" applyBorder="1" applyAlignment="1">
      <alignment horizontal="center"/>
    </xf>
    <xf numFmtId="0" fontId="14" fillId="0" borderId="57" xfId="0" applyFont="1" applyBorder="1" applyAlignment="1">
      <alignment horizontal="center"/>
    </xf>
    <xf numFmtId="10" fontId="14" fillId="0" borderId="47" xfId="0" applyNumberFormat="1" applyFont="1" applyBorder="1" applyAlignment="1">
      <alignment horizontal="center"/>
    </xf>
    <xf numFmtId="0" fontId="14" fillId="0" borderId="47" xfId="0" applyFont="1" applyBorder="1" applyAlignment="1">
      <alignment horizontal="center"/>
    </xf>
    <xf numFmtId="0" fontId="14" fillId="0" borderId="42" xfId="0" applyFont="1" applyBorder="1" applyAlignment="1">
      <alignment horizontal="center"/>
    </xf>
    <xf numFmtId="9" fontId="1" fillId="0" borderId="0" xfId="1" applyFont="1"/>
    <xf numFmtId="10" fontId="0" fillId="0" borderId="14" xfId="0" applyNumberFormat="1" applyBorder="1"/>
    <xf numFmtId="0" fontId="15" fillId="0" borderId="0" xfId="0" applyFont="1"/>
    <xf numFmtId="0" fontId="1" fillId="0" borderId="0" xfId="0" applyFont="1"/>
    <xf numFmtId="0" fontId="16" fillId="0" borderId="64" xfId="0" applyFont="1" applyBorder="1"/>
    <xf numFmtId="0" fontId="16" fillId="0" borderId="65" xfId="0" applyFont="1" applyBorder="1" applyAlignment="1">
      <alignment horizontal="center"/>
    </xf>
    <xf numFmtId="0" fontId="16" fillId="0" borderId="71" xfId="0" applyFont="1" applyBorder="1"/>
    <xf numFmtId="0" fontId="16" fillId="0" borderId="72" xfId="0" applyFont="1" applyBorder="1" applyAlignment="1">
      <alignment horizontal="center"/>
    </xf>
    <xf numFmtId="0" fontId="16" fillId="0" borderId="75" xfId="0" applyFont="1" applyBorder="1"/>
    <xf numFmtId="10" fontId="16" fillId="0" borderId="72" xfId="0" applyNumberFormat="1" applyFont="1" applyBorder="1"/>
    <xf numFmtId="0" fontId="16" fillId="0" borderId="76" xfId="0" applyFont="1" applyBorder="1"/>
    <xf numFmtId="0" fontId="16" fillId="0" borderId="80" xfId="0" applyFont="1" applyBorder="1"/>
    <xf numFmtId="0" fontId="16" fillId="0" borderId="81" xfId="0" applyFont="1" applyBorder="1"/>
    <xf numFmtId="0" fontId="16" fillId="0" borderId="72" xfId="0" applyFont="1" applyBorder="1"/>
    <xf numFmtId="0" fontId="16" fillId="0" borderId="82" xfId="0" applyFont="1" applyBorder="1"/>
    <xf numFmtId="0" fontId="16" fillId="0" borderId="77" xfId="0" applyFont="1" applyBorder="1"/>
    <xf numFmtId="0" fontId="16" fillId="0" borderId="83" xfId="0" applyFont="1" applyBorder="1"/>
    <xf numFmtId="0" fontId="15" fillId="7" borderId="81" xfId="0" applyFont="1" applyFill="1" applyBorder="1"/>
    <xf numFmtId="0" fontId="15" fillId="7" borderId="72" xfId="0" applyFont="1" applyFill="1" applyBorder="1"/>
    <xf numFmtId="165" fontId="16" fillId="0" borderId="0" xfId="0" applyNumberFormat="1" applyFont="1"/>
    <xf numFmtId="164" fontId="16" fillId="0" borderId="0" xfId="0" applyNumberFormat="1" applyFont="1"/>
    <xf numFmtId="10" fontId="16" fillId="0" borderId="0" xfId="0" applyNumberFormat="1" applyFont="1"/>
    <xf numFmtId="10" fontId="16" fillId="0" borderId="73" xfId="0" applyNumberFormat="1" applyFont="1" applyBorder="1"/>
    <xf numFmtId="166" fontId="16" fillId="0" borderId="0" xfId="0" applyNumberFormat="1" applyFont="1"/>
    <xf numFmtId="9" fontId="16" fillId="0" borderId="0" xfId="0" applyNumberFormat="1" applyFont="1"/>
    <xf numFmtId="0" fontId="14" fillId="0" borderId="61" xfId="0" applyFont="1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0" borderId="59" xfId="0" applyBorder="1"/>
    <xf numFmtId="0" fontId="2" fillId="8" borderId="59" xfId="0" applyFont="1" applyFill="1" applyBorder="1" applyAlignment="1">
      <alignment horizontal="center" vertical="center" wrapText="1"/>
    </xf>
    <xf numFmtId="0" fontId="0" fillId="0" borderId="59" xfId="0" applyBorder="1" applyAlignment="1">
      <alignment horizontal="center"/>
    </xf>
    <xf numFmtId="0" fontId="11" fillId="0" borderId="23" xfId="0" applyFont="1" applyBorder="1" applyAlignment="1">
      <alignment vertical="center" wrapText="1"/>
    </xf>
    <xf numFmtId="0" fontId="11" fillId="0" borderId="28" xfId="0" applyFont="1" applyBorder="1" applyAlignment="1">
      <alignment vertical="center" wrapText="1"/>
    </xf>
    <xf numFmtId="0" fontId="11" fillId="0" borderId="30" xfId="0" applyFont="1" applyBorder="1" applyAlignment="1">
      <alignment vertical="center" wrapText="1"/>
    </xf>
    <xf numFmtId="0" fontId="12" fillId="2" borderId="26" xfId="0" applyFont="1" applyFill="1" applyBorder="1" applyAlignment="1">
      <alignment horizontal="center" vertical="center" wrapText="1"/>
    </xf>
    <xf numFmtId="0" fontId="12" fillId="2" borderId="27" xfId="0" applyFont="1" applyFill="1" applyBorder="1" applyAlignment="1">
      <alignment horizontal="center" vertical="center" wrapText="1"/>
    </xf>
    <xf numFmtId="14" fontId="13" fillId="0" borderId="18" xfId="0" applyNumberFormat="1" applyFont="1" applyBorder="1" applyAlignment="1">
      <alignment horizontal="center" vertical="center" wrapText="1"/>
    </xf>
    <xf numFmtId="14" fontId="13" fillId="0" borderId="29" xfId="0" applyNumberFormat="1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5" fillId="2" borderId="38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3" fillId="2" borderId="38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7" fillId="2" borderId="26" xfId="0" applyFont="1" applyFill="1" applyBorder="1" applyAlignment="1">
      <alignment horizontal="center" vertical="center" wrapText="1"/>
    </xf>
    <xf numFmtId="0" fontId="7" fillId="2" borderId="27" xfId="0" applyFont="1" applyFill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10" fillId="0" borderId="29" xfId="0" applyFont="1" applyBorder="1" applyAlignment="1">
      <alignment horizontal="center" vertical="center" wrapText="1"/>
    </xf>
    <xf numFmtId="0" fontId="10" fillId="0" borderId="37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4" fillId="0" borderId="61" xfId="0" applyFont="1" applyBorder="1" applyAlignment="1">
      <alignment horizontal="center" vertical="center"/>
    </xf>
    <xf numFmtId="0" fontId="0" fillId="0" borderId="61" xfId="0" applyBorder="1"/>
    <xf numFmtId="0" fontId="0" fillId="0" borderId="16" xfId="0" applyBorder="1"/>
    <xf numFmtId="10" fontId="0" fillId="0" borderId="52" xfId="0" applyNumberFormat="1" applyBorder="1" applyAlignment="1">
      <alignment horizontal="center"/>
    </xf>
    <xf numFmtId="10" fontId="0" fillId="0" borderId="51" xfId="0" applyNumberFormat="1" applyBorder="1" applyAlignment="1">
      <alignment horizontal="center"/>
    </xf>
    <xf numFmtId="10" fontId="0" fillId="0" borderId="10" xfId="0" applyNumberFormat="1" applyBorder="1" applyAlignment="1">
      <alignment horizontal="center"/>
    </xf>
    <xf numFmtId="10" fontId="1" fillId="0" borderId="20" xfId="1" applyNumberFormat="1" applyFont="1" applyBorder="1" applyAlignment="1">
      <alignment horizontal="center"/>
    </xf>
    <xf numFmtId="10" fontId="1" fillId="0" borderId="13" xfId="1" applyNumberFormat="1" applyFont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41" xfId="0" applyBorder="1" applyAlignment="1">
      <alignment horizontal="center" wrapText="1"/>
    </xf>
    <xf numFmtId="0" fontId="0" fillId="0" borderId="47" xfId="0" applyBorder="1" applyAlignment="1">
      <alignment horizontal="center" wrapText="1"/>
    </xf>
    <xf numFmtId="0" fontId="0" fillId="0" borderId="43" xfId="0" applyBorder="1" applyAlignment="1">
      <alignment horizontal="center" wrapText="1"/>
    </xf>
    <xf numFmtId="0" fontId="0" fillId="0" borderId="48" xfId="0" applyBorder="1" applyAlignment="1">
      <alignment horizontal="center" wrapText="1"/>
    </xf>
    <xf numFmtId="0" fontId="0" fillId="0" borderId="49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21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0" fontId="0" fillId="0" borderId="0" xfId="0" applyNumberFormat="1" applyAlignment="1">
      <alignment horizontal="center" vertical="center" wrapText="1"/>
    </xf>
    <xf numFmtId="0" fontId="16" fillId="0" borderId="66" xfId="0" applyFont="1" applyBorder="1" applyAlignment="1">
      <alignment horizontal="center" vertical="center"/>
    </xf>
    <xf numFmtId="0" fontId="17" fillId="0" borderId="2" xfId="0" applyFont="1" applyBorder="1"/>
    <xf numFmtId="0" fontId="16" fillId="0" borderId="67" xfId="0" applyFont="1" applyBorder="1" applyAlignment="1">
      <alignment horizontal="center" wrapText="1"/>
    </xf>
    <xf numFmtId="0" fontId="17" fillId="0" borderId="68" xfId="0" applyFont="1" applyBorder="1"/>
    <xf numFmtId="0" fontId="17" fillId="0" borderId="73" xfId="0" applyFont="1" applyBorder="1"/>
    <xf numFmtId="0" fontId="17" fillId="0" borderId="74" xfId="0" applyFont="1" applyBorder="1"/>
    <xf numFmtId="0" fontId="16" fillId="0" borderId="69" xfId="0" applyFont="1" applyBorder="1" applyAlignment="1">
      <alignment horizontal="center"/>
    </xf>
    <xf numFmtId="0" fontId="17" fillId="0" borderId="70" xfId="0" applyFont="1" applyBorder="1"/>
    <xf numFmtId="0" fontId="16" fillId="0" borderId="78" xfId="0" applyFont="1" applyBorder="1" applyAlignment="1">
      <alignment horizontal="center"/>
    </xf>
    <xf numFmtId="0" fontId="17" fillId="0" borderId="79" xfId="0" applyFont="1" applyBorder="1"/>
    <xf numFmtId="0" fontId="16" fillId="0" borderId="67" xfId="0" applyFont="1" applyBorder="1" applyAlignment="1">
      <alignment horizontal="center"/>
    </xf>
    <xf numFmtId="0" fontId="17" fillId="0" borderId="84" xfId="0" applyFont="1" applyBorder="1"/>
    <xf numFmtId="0" fontId="17" fillId="0" borderId="85" xfId="0" applyFont="1" applyBorder="1"/>
    <xf numFmtId="10" fontId="16" fillId="0" borderId="17" xfId="0" applyNumberFormat="1" applyFont="1" applyBorder="1" applyAlignment="1">
      <alignment horizontal="center"/>
    </xf>
    <xf numFmtId="0" fontId="17" fillId="0" borderId="1" xfId="0" applyFont="1" applyBorder="1"/>
    <xf numFmtId="10" fontId="16" fillId="0" borderId="67" xfId="0" applyNumberFormat="1" applyFont="1" applyBorder="1" applyAlignment="1">
      <alignment horizontal="center"/>
    </xf>
    <xf numFmtId="0" fontId="16" fillId="0" borderId="17" xfId="0" applyFont="1" applyBorder="1" applyAlignment="1">
      <alignment horizontal="center"/>
    </xf>
    <xf numFmtId="0" fontId="0" fillId="0" borderId="20" xfId="0" applyBorder="1"/>
    <xf numFmtId="0" fontId="0" fillId="4" borderId="42" xfId="0" applyFont="1" applyFill="1" applyBorder="1"/>
    <xf numFmtId="0" fontId="0" fillId="4" borderId="44" xfId="0" applyFont="1" applyFill="1" applyBorder="1"/>
    <xf numFmtId="0" fontId="19" fillId="0" borderId="20" xfId="0" applyFont="1" applyFill="1" applyBorder="1" applyAlignment="1">
      <alignment wrapText="1"/>
    </xf>
    <xf numFmtId="0" fontId="19" fillId="0" borderId="0" xfId="0" applyFont="1" applyFill="1" applyAlignment="1"/>
    <xf numFmtId="0" fontId="10" fillId="0" borderId="17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9" fillId="0" borderId="0" xfId="0" applyFont="1" applyFill="1" applyAlignment="1">
      <alignment horizontal="center"/>
    </xf>
    <xf numFmtId="0" fontId="22" fillId="0" borderId="59" xfId="0" applyFont="1" applyFill="1" applyBorder="1" applyAlignment="1">
      <alignment horizontal="center" vertical="center"/>
    </xf>
    <xf numFmtId="9" fontId="22" fillId="0" borderId="59" xfId="0" applyNumberFormat="1" applyFont="1" applyFill="1" applyBorder="1" applyAlignment="1">
      <alignment horizontal="center" vertical="center"/>
    </xf>
    <xf numFmtId="0" fontId="20" fillId="0" borderId="59" xfId="0" applyFont="1" applyFill="1" applyBorder="1" applyAlignment="1">
      <alignment horizontal="center" vertical="center" wrapText="1"/>
    </xf>
    <xf numFmtId="0" fontId="21" fillId="0" borderId="59" xfId="0" applyFont="1" applyFill="1" applyBorder="1" applyAlignment="1">
      <alignment horizontal="center" vertical="center"/>
    </xf>
    <xf numFmtId="0" fontId="18" fillId="0" borderId="0" xfId="0" applyFont="1" applyFill="1" applyAlignment="1"/>
    <xf numFmtId="0" fontId="17" fillId="0" borderId="86" xfId="0" applyFont="1" applyBorder="1"/>
    <xf numFmtId="0" fontId="17" fillId="0" borderId="87" xfId="0" applyFont="1" applyBorder="1"/>
    <xf numFmtId="0" fontId="0" fillId="0" borderId="0" xfId="0" applyFill="1" applyBorder="1"/>
    <xf numFmtId="0" fontId="0" fillId="0" borderId="0" xfId="0" applyBorder="1"/>
    <xf numFmtId="0" fontId="0" fillId="0" borderId="52" xfId="0" applyBorder="1"/>
    <xf numFmtId="3" fontId="0" fillId="0" borderId="10" xfId="0" applyNumberFormat="1" applyBorder="1" applyAlignment="1">
      <alignment horizontal="center"/>
    </xf>
    <xf numFmtId="0" fontId="0" fillId="0" borderId="14" xfId="0" applyFill="1" applyBorder="1"/>
    <xf numFmtId="0" fontId="0" fillId="0" borderId="13" xfId="0" applyBorder="1"/>
    <xf numFmtId="0" fontId="0" fillId="0" borderId="22" xfId="0" applyFill="1" applyBorder="1"/>
    <xf numFmtId="0" fontId="0" fillId="0" borderId="11" xfId="0" applyBorder="1"/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0" xfId="0" applyBorder="1" applyAlignment="1">
      <alignment horizontal="center"/>
    </xf>
    <xf numFmtId="0" fontId="14" fillId="0" borderId="21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10" fontId="0" fillId="0" borderId="0" xfId="1" applyNumberFormat="1" applyFont="1"/>
    <xf numFmtId="10" fontId="0" fillId="5" borderId="0" xfId="1" applyNumberFormat="1" applyFont="1" applyFill="1"/>
    <xf numFmtId="0" fontId="23" fillId="0" borderId="59" xfId="0" applyFont="1" applyBorder="1" applyAlignment="1">
      <alignment horizontal="center"/>
    </xf>
    <xf numFmtId="10" fontId="23" fillId="0" borderId="59" xfId="0" applyNumberFormat="1" applyFont="1" applyBorder="1" applyAlignment="1">
      <alignment horizontal="center"/>
    </xf>
    <xf numFmtId="9" fontId="23" fillId="0" borderId="59" xfId="0" applyNumberFormat="1" applyFont="1" applyBorder="1" applyAlignment="1">
      <alignment horizontal="center"/>
    </xf>
    <xf numFmtId="0" fontId="24" fillId="0" borderId="88" xfId="0" applyFont="1" applyBorder="1" applyAlignment="1">
      <alignment horizontal="center" wrapText="1"/>
    </xf>
    <xf numFmtId="0" fontId="25" fillId="0" borderId="88" xfId="0" applyFont="1" applyBorder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/>
    <xf numFmtId="0" fontId="0" fillId="0" borderId="51" xfId="0" applyBorder="1"/>
    <xf numFmtId="0" fontId="0" fillId="0" borderId="10" xfId="0" applyBorder="1"/>
    <xf numFmtId="0" fontId="2" fillId="0" borderId="18" xfId="0" applyFont="1" applyBorder="1"/>
    <xf numFmtId="0" fontId="2" fillId="0" borderId="56" xfId="0" applyFont="1" applyBorder="1"/>
    <xf numFmtId="0" fontId="2" fillId="0" borderId="19" xfId="0" applyFont="1" applyBorder="1"/>
    <xf numFmtId="0" fontId="2" fillId="0" borderId="52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2" fillId="9" borderId="59" xfId="0" applyFont="1" applyFill="1" applyBorder="1" applyAlignment="1">
      <alignment horizontal="center"/>
    </xf>
    <xf numFmtId="10" fontId="22" fillId="9" borderId="59" xfId="0" applyNumberFormat="1" applyFont="1" applyFill="1" applyBorder="1" applyAlignment="1">
      <alignment horizontal="center"/>
    </xf>
    <xf numFmtId="0" fontId="16" fillId="0" borderId="79" xfId="0" applyFont="1" applyBorder="1" applyAlignment="1">
      <alignment horizontal="center"/>
    </xf>
    <xf numFmtId="0" fontId="0" fillId="0" borderId="0" xfId="0" applyAlignment="1">
      <alignment vertical="center" wrapText="1"/>
    </xf>
    <xf numFmtId="2" fontId="0" fillId="0" borderId="0" xfId="0" applyNumberFormat="1" applyAlignment="1">
      <alignment horizontal="left" indent="1"/>
    </xf>
    <xf numFmtId="0" fontId="20" fillId="0" borderId="41" xfId="0" applyFont="1" applyFill="1" applyBorder="1" applyAlignment="1">
      <alignment horizontal="center" vertical="center" wrapText="1"/>
    </xf>
    <xf numFmtId="0" fontId="21" fillId="0" borderId="42" xfId="0" applyFont="1" applyFill="1" applyBorder="1" applyAlignment="1">
      <alignment horizontal="center" vertical="center"/>
    </xf>
    <xf numFmtId="9" fontId="0" fillId="0" borderId="11" xfId="0" applyNumberFormat="1" applyBorder="1"/>
    <xf numFmtId="9" fontId="0" fillId="0" borderId="13" xfId="0" applyNumberFormat="1" applyBorder="1"/>
    <xf numFmtId="174" fontId="0" fillId="0" borderId="22" xfId="0" applyNumberFormat="1" applyBorder="1" applyAlignment="1">
      <alignment horizontal="center"/>
    </xf>
    <xf numFmtId="174" fontId="0" fillId="0" borderId="14" xfId="0" applyNumberFormat="1" applyBorder="1" applyAlignment="1">
      <alignment horizontal="center"/>
    </xf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0" fillId="0" borderId="0" xfId="0" applyAlignment="1">
      <alignment vertical="center"/>
    </xf>
    <xf numFmtId="0" fontId="19" fillId="0" borderId="0" xfId="0" applyFont="1" applyFill="1"/>
    <xf numFmtId="164" fontId="0" fillId="5" borderId="11" xfId="0" applyNumberFormat="1" applyFill="1" applyBorder="1"/>
    <xf numFmtId="0" fontId="20" fillId="0" borderId="45" xfId="0" applyFont="1" applyFill="1" applyBorder="1" applyAlignment="1">
      <alignment horizontal="center" vertical="center" wrapText="1"/>
    </xf>
    <xf numFmtId="0" fontId="26" fillId="0" borderId="19" xfId="0" applyFont="1" applyBorder="1"/>
    <xf numFmtId="0" fontId="19" fillId="0" borderId="0" xfId="0" applyFont="1" applyFill="1" applyAlignment="1">
      <alignment wrapText="1"/>
    </xf>
    <xf numFmtId="2" fontId="0" fillId="0" borderId="22" xfId="1" applyNumberFormat="1" applyFont="1" applyBorder="1"/>
    <xf numFmtId="2" fontId="0" fillId="5" borderId="22" xfId="1" applyNumberFormat="1" applyFont="1" applyFill="1" applyBorder="1"/>
    <xf numFmtId="2" fontId="0" fillId="0" borderId="14" xfId="1" applyNumberFormat="1" applyFont="1" applyBorder="1"/>
    <xf numFmtId="2" fontId="23" fillId="0" borderId="59" xfId="0" applyNumberFormat="1" applyFont="1" applyBorder="1" applyAlignment="1">
      <alignment horizontal="center"/>
    </xf>
    <xf numFmtId="174" fontId="0" fillId="10" borderId="22" xfId="0" applyNumberFormat="1" applyFill="1" applyBorder="1" applyAlignment="1">
      <alignment horizontal="center"/>
    </xf>
    <xf numFmtId="10" fontId="0" fillId="10" borderId="11" xfId="0" applyNumberFormat="1" applyFill="1" applyBorder="1"/>
    <xf numFmtId="0" fontId="2" fillId="0" borderId="52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0" xfId="0" applyFont="1" applyFill="1" applyBorder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CO normal Binomial, AQL 0,15%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Binomial!$C$40:$C$51</c:f>
              <c:numCache>
                <c:formatCode>0.000%</c:formatCode>
                <c:ptCount val="12"/>
                <c:pt idx="0">
                  <c:v>0</c:v>
                </c:pt>
                <c:pt idx="1">
                  <c:v>4.6999999999999999E-4</c:v>
                </c:pt>
                <c:pt idx="2">
                  <c:v>1.1299999999999999E-3</c:v>
                </c:pt>
                <c:pt idx="3">
                  <c:v>1.5E-3</c:v>
                </c:pt>
                <c:pt idx="4">
                  <c:v>1.6900000000000001E-3</c:v>
                </c:pt>
                <c:pt idx="5">
                  <c:v>3.0500000000000002E-3</c:v>
                </c:pt>
                <c:pt idx="6">
                  <c:v>5.3200000000000001E-3</c:v>
                </c:pt>
                <c:pt idx="7">
                  <c:v>8.5299999999999994E-3</c:v>
                </c:pt>
                <c:pt idx="8">
                  <c:v>0.01</c:v>
                </c:pt>
                <c:pt idx="9">
                  <c:v>1.23E-2</c:v>
                </c:pt>
                <c:pt idx="10">
                  <c:v>1.4999999999999999E-2</c:v>
                </c:pt>
                <c:pt idx="11">
                  <c:v>2.0899999999999998E-2</c:v>
                </c:pt>
              </c:numCache>
            </c:numRef>
          </c:cat>
          <c:val>
            <c:numRef>
              <c:f>Binomial!$D$40:$D$51</c:f>
              <c:numCache>
                <c:formatCode>0.0%</c:formatCode>
                <c:ptCount val="12"/>
                <c:pt idx="0">
                  <c:v>1</c:v>
                </c:pt>
                <c:pt idx="1">
                  <c:v>0.99</c:v>
                </c:pt>
                <c:pt idx="2">
                  <c:v>0.95</c:v>
                </c:pt>
                <c:pt idx="3">
                  <c:v>0.91700000000000004</c:v>
                </c:pt>
                <c:pt idx="4">
                  <c:v>0.9</c:v>
                </c:pt>
                <c:pt idx="5">
                  <c:v>0.75</c:v>
                </c:pt>
                <c:pt idx="6">
                  <c:v>0.5</c:v>
                </c:pt>
                <c:pt idx="7">
                  <c:v>0.25</c:v>
                </c:pt>
                <c:pt idx="8">
                  <c:v>0.1915</c:v>
                </c:pt>
                <c:pt idx="9">
                  <c:v>0.1</c:v>
                </c:pt>
                <c:pt idx="10">
                  <c:v>0.05</c:v>
                </c:pt>
                <c:pt idx="11">
                  <c:v>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0F-4FB4-865A-038CB406E6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23815008"/>
        <c:axId val="-123817184"/>
      </c:lineChart>
      <c:catAx>
        <c:axId val="-123815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Prop defectuosa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3817184"/>
        <c:crosses val="autoZero"/>
        <c:auto val="1"/>
        <c:lblAlgn val="ctr"/>
        <c:lblOffset val="100"/>
        <c:noMultiLvlLbl val="0"/>
      </c:catAx>
      <c:valAx>
        <c:axId val="-12381718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Probabilidad de aceptación Pa(%)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3815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 normal Binomial, AQL 0,15%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Binomial!$C$86:$C$96</c:f>
              <c:numCache>
                <c:formatCode>0.00%</c:formatCode>
                <c:ptCount val="11"/>
                <c:pt idx="0">
                  <c:v>0</c:v>
                </c:pt>
                <c:pt idx="1">
                  <c:v>8.7000000000000001E-4</c:v>
                </c:pt>
                <c:pt idx="2" formatCode="0.000%">
                  <c:v>1.5E-3</c:v>
                </c:pt>
                <c:pt idx="3">
                  <c:v>1.64E-3</c:v>
                </c:pt>
                <c:pt idx="4">
                  <c:v>2.2100000000000002E-3</c:v>
                </c:pt>
                <c:pt idx="5">
                  <c:v>3.46E-3</c:v>
                </c:pt>
                <c:pt idx="6">
                  <c:v>5.3400000000000001E-3</c:v>
                </c:pt>
                <c:pt idx="7">
                  <c:v>7.8300000000000002E-3</c:v>
                </c:pt>
                <c:pt idx="8">
                  <c:v>1.06E-2</c:v>
                </c:pt>
                <c:pt idx="9">
                  <c:v>1.2500000000000001E-2</c:v>
                </c:pt>
                <c:pt idx="10">
                  <c:v>1.67E-2</c:v>
                </c:pt>
              </c:numCache>
            </c:numRef>
          </c:cat>
          <c:val>
            <c:numRef>
              <c:f>Binomial!$D$86:$D$96</c:f>
              <c:numCache>
                <c:formatCode>0%</c:formatCode>
                <c:ptCount val="11"/>
                <c:pt idx="0">
                  <c:v>1</c:v>
                </c:pt>
                <c:pt idx="1">
                  <c:v>0.99</c:v>
                </c:pt>
                <c:pt idx="2" formatCode="0.0%">
                  <c:v>0.95569999999999999</c:v>
                </c:pt>
                <c:pt idx="3">
                  <c:v>0.95</c:v>
                </c:pt>
                <c:pt idx="4">
                  <c:v>0.9</c:v>
                </c:pt>
                <c:pt idx="5">
                  <c:v>0.75</c:v>
                </c:pt>
                <c:pt idx="6">
                  <c:v>0.5</c:v>
                </c:pt>
                <c:pt idx="7">
                  <c:v>0.25</c:v>
                </c:pt>
                <c:pt idx="8">
                  <c:v>0.1</c:v>
                </c:pt>
                <c:pt idx="9">
                  <c:v>0.05</c:v>
                </c:pt>
                <c:pt idx="10">
                  <c:v>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C54-4289-9E31-70AA385E39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23812288"/>
        <c:axId val="-123819904"/>
      </c:lineChart>
      <c:catAx>
        <c:axId val="-123812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Prop defectuosa (%)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3819904"/>
        <c:crosses val="autoZero"/>
        <c:auto val="1"/>
        <c:lblAlgn val="ctr"/>
        <c:lblOffset val="100"/>
        <c:noMultiLvlLbl val="0"/>
      </c:catAx>
      <c:valAx>
        <c:axId val="-12381990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Probabilidad de aceptación Pa(%)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3812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CO normal Binomial, AQL 0,15%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Binomial!$B$141:$B$143</c:f>
              <c:numCache>
                <c:formatCode>0.00%</c:formatCode>
                <c:ptCount val="3"/>
                <c:pt idx="0">
                  <c:v>0</c:v>
                </c:pt>
                <c:pt idx="1">
                  <c:v>1.5E-3</c:v>
                </c:pt>
                <c:pt idx="2">
                  <c:v>1.9300000000000001E-2</c:v>
                </c:pt>
              </c:numCache>
            </c:numRef>
          </c:cat>
          <c:val>
            <c:numRef>
              <c:f>Binomial!$C$141:$C$143</c:f>
              <c:numCache>
                <c:formatCode>0.0%</c:formatCode>
                <c:ptCount val="3"/>
                <c:pt idx="0" formatCode="0%">
                  <c:v>1</c:v>
                </c:pt>
                <c:pt idx="1">
                  <c:v>0.96319999999999995</c:v>
                </c:pt>
                <c:pt idx="2" formatCode="0%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D6-4D1B-8252-5FF340EB17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23815008"/>
        <c:axId val="-123817184"/>
      </c:lineChart>
      <c:catAx>
        <c:axId val="-123815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Porcentaje de defectos (%)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3817184"/>
        <c:crosses val="autoZero"/>
        <c:auto val="1"/>
        <c:lblAlgn val="ctr"/>
        <c:lblOffset val="100"/>
        <c:noMultiLvlLbl val="0"/>
      </c:catAx>
      <c:valAx>
        <c:axId val="-12381718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Probabilidad de aceptación Pa(%)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3815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Curva CO letra L</a:t>
            </a:r>
          </a:p>
          <a:p>
            <a:pPr>
              <a:defRPr/>
            </a:pP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924781277340332"/>
          <c:y val="0.15824074074074074"/>
          <c:w val="0.80441185476815402"/>
          <c:h val="0.63618839311752695"/>
        </c:manualLayout>
      </c:layout>
      <c:scatterChart>
        <c:scatterStyle val="lineMarker"/>
        <c:varyColors val="0"/>
        <c:ser>
          <c:idx val="0"/>
          <c:order val="0"/>
          <c:tx>
            <c:strRef>
              <c:f>POISSON!$D$39</c:f>
              <c:strCache>
                <c:ptCount val="1"/>
                <c:pt idx="0">
                  <c:v>Pa (%)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POISSON!$C$40:$C$50</c:f>
              <c:numCache>
                <c:formatCode>General</c:formatCode>
                <c:ptCount val="11"/>
                <c:pt idx="0">
                  <c:v>0</c:v>
                </c:pt>
                <c:pt idx="1">
                  <c:v>0.218</c:v>
                </c:pt>
                <c:pt idx="2">
                  <c:v>0.4</c:v>
                </c:pt>
                <c:pt idx="3">
                  <c:v>0.40899999999999997</c:v>
                </c:pt>
                <c:pt idx="4">
                  <c:v>0.55100000000000005</c:v>
                </c:pt>
                <c:pt idx="5">
                  <c:v>0.86399999999999999</c:v>
                </c:pt>
                <c:pt idx="6">
                  <c:v>1.34</c:v>
                </c:pt>
                <c:pt idx="7">
                  <c:v>1.96</c:v>
                </c:pt>
                <c:pt idx="8">
                  <c:v>2.66</c:v>
                </c:pt>
                <c:pt idx="9">
                  <c:v>3.15</c:v>
                </c:pt>
                <c:pt idx="10">
                  <c:v>4.2</c:v>
                </c:pt>
              </c:numCache>
            </c:numRef>
          </c:xVal>
          <c:yVal>
            <c:numRef>
              <c:f>POISSON!$D$40:$D$50</c:f>
              <c:numCache>
                <c:formatCode>0%</c:formatCode>
                <c:ptCount val="11"/>
                <c:pt idx="0">
                  <c:v>1</c:v>
                </c:pt>
                <c:pt idx="1">
                  <c:v>0.99</c:v>
                </c:pt>
                <c:pt idx="2" formatCode="0.00%">
                  <c:v>0.9526</c:v>
                </c:pt>
                <c:pt idx="3">
                  <c:v>0.95</c:v>
                </c:pt>
                <c:pt idx="4">
                  <c:v>0.9</c:v>
                </c:pt>
                <c:pt idx="5">
                  <c:v>0.75</c:v>
                </c:pt>
                <c:pt idx="6">
                  <c:v>0.5</c:v>
                </c:pt>
                <c:pt idx="7">
                  <c:v>0.25</c:v>
                </c:pt>
                <c:pt idx="8">
                  <c:v>0.1</c:v>
                </c:pt>
                <c:pt idx="9">
                  <c:v>0.05</c:v>
                </c:pt>
                <c:pt idx="10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1D-4641-A72E-5B6342706E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965518704"/>
        <c:axId val="-1965520336"/>
      </c:scatterChart>
      <c:valAx>
        <c:axId val="-1965518704"/>
        <c:scaling>
          <c:orientation val="minMax"/>
          <c:max val="4.400000000000000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 b="1"/>
                  <a:t>defectos cada 100 unidades </a:t>
                </a:r>
              </a:p>
            </c:rich>
          </c:tx>
          <c:layout>
            <c:manualLayout>
              <c:xMode val="edge"/>
              <c:yMode val="edge"/>
              <c:x val="0.77076027409325509"/>
              <c:y val="0.897198891805190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65520336"/>
        <c:crosses val="autoZero"/>
        <c:crossBetween val="midCat"/>
        <c:majorUnit val="0.4"/>
      </c:valAx>
      <c:valAx>
        <c:axId val="-19655203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 b="1"/>
                  <a:t>Probabilidad de aceptación Pa(%)</a:t>
                </a:r>
              </a:p>
            </c:rich>
          </c:tx>
          <c:layout>
            <c:manualLayout>
              <c:xMode val="edge"/>
              <c:yMode val="edge"/>
              <c:x val="5.589388574750305E-2"/>
              <c:y val="0.111971420239136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65518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Curva CO letra L</a:t>
            </a:r>
          </a:p>
          <a:p>
            <a:pPr>
              <a:defRPr/>
            </a:pP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924781277340332"/>
          <c:y val="0.15824074074074074"/>
          <c:w val="0.80441185476815402"/>
          <c:h val="0.63618839311752695"/>
        </c:manualLayout>
      </c:layout>
      <c:scatterChart>
        <c:scatterStyle val="lineMarker"/>
        <c:varyColors val="0"/>
        <c:ser>
          <c:idx val="0"/>
          <c:order val="0"/>
          <c:tx>
            <c:strRef>
              <c:f>POISSON!$D$81</c:f>
              <c:strCache>
                <c:ptCount val="1"/>
                <c:pt idx="0">
                  <c:v>Pa (%)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POISSON!$C$82:$C$92</c:f>
              <c:numCache>
                <c:formatCode>0.000</c:formatCode>
                <c:ptCount val="11"/>
                <c:pt idx="0">
                  <c:v>0</c:v>
                </c:pt>
                <c:pt idx="1">
                  <c:v>7.0400000000000004E-2</c:v>
                </c:pt>
                <c:pt idx="2">
                  <c:v>0.17799999999999999</c:v>
                </c:pt>
                <c:pt idx="3">
                  <c:v>0.26600000000000001</c:v>
                </c:pt>
                <c:pt idx="4">
                  <c:v>0.4</c:v>
                </c:pt>
                <c:pt idx="5">
                  <c:v>0.48099999999999998</c:v>
                </c:pt>
                <c:pt idx="6">
                  <c:v>0.83899999999999997</c:v>
                </c:pt>
                <c:pt idx="7">
                  <c:v>1.335</c:v>
                </c:pt>
                <c:pt idx="8">
                  <c:v>1.94</c:v>
                </c:pt>
                <c:pt idx="9">
                  <c:v>2.37</c:v>
                </c:pt>
                <c:pt idx="10">
                  <c:v>3.32</c:v>
                </c:pt>
              </c:numCache>
            </c:numRef>
          </c:xVal>
          <c:yVal>
            <c:numRef>
              <c:f>POISSON!$D$82:$D$92</c:f>
              <c:numCache>
                <c:formatCode>0%</c:formatCode>
                <c:ptCount val="11"/>
                <c:pt idx="0">
                  <c:v>1</c:v>
                </c:pt>
                <c:pt idx="1">
                  <c:v>0.99</c:v>
                </c:pt>
                <c:pt idx="2">
                  <c:v>0.95</c:v>
                </c:pt>
                <c:pt idx="3">
                  <c:v>0.9</c:v>
                </c:pt>
                <c:pt idx="4" formatCode="0.00%">
                  <c:v>0.80650000000000011</c:v>
                </c:pt>
                <c:pt idx="5">
                  <c:v>0.75</c:v>
                </c:pt>
                <c:pt idx="6">
                  <c:v>0.5</c:v>
                </c:pt>
                <c:pt idx="7">
                  <c:v>0.25</c:v>
                </c:pt>
                <c:pt idx="8">
                  <c:v>0.1</c:v>
                </c:pt>
                <c:pt idx="9">
                  <c:v>0.05</c:v>
                </c:pt>
                <c:pt idx="10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34-45D3-9BC2-179FB65163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965518704"/>
        <c:axId val="-1965520336"/>
      </c:scatterChart>
      <c:valAx>
        <c:axId val="-1965518704"/>
        <c:scaling>
          <c:orientation val="minMax"/>
          <c:max val="4.400000000000000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 b="1"/>
                  <a:t>defectos cada 100 unidades </a:t>
                </a:r>
              </a:p>
            </c:rich>
          </c:tx>
          <c:layout>
            <c:manualLayout>
              <c:xMode val="edge"/>
              <c:yMode val="edge"/>
              <c:x val="0.77076027409325509"/>
              <c:y val="0.897198891805190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65520336"/>
        <c:crosses val="autoZero"/>
        <c:crossBetween val="midCat"/>
        <c:majorUnit val="0.4"/>
      </c:valAx>
      <c:valAx>
        <c:axId val="-19655203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 b="1"/>
                  <a:t>Probabilidad de aceptación Pa(%)</a:t>
                </a:r>
              </a:p>
            </c:rich>
          </c:tx>
          <c:layout>
            <c:manualLayout>
              <c:xMode val="edge"/>
              <c:yMode val="edge"/>
              <c:x val="5.589388574750305E-2"/>
              <c:y val="0.111971420239136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65518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Curva CO letra L</a:t>
            </a:r>
          </a:p>
          <a:p>
            <a:pPr>
              <a:defRPr/>
            </a:pP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924781277340332"/>
          <c:y val="0.15824074074074074"/>
          <c:w val="0.80441185476815402"/>
          <c:h val="0.63618839311752695"/>
        </c:manualLayout>
      </c:layout>
      <c:scatterChart>
        <c:scatterStyle val="lineMarker"/>
        <c:varyColors val="0"/>
        <c:ser>
          <c:idx val="0"/>
          <c:order val="0"/>
          <c:tx>
            <c:strRef>
              <c:f>POISSON!$C$147</c:f>
              <c:strCache>
                <c:ptCount val="1"/>
                <c:pt idx="0">
                  <c:v>P aceptacion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POISSON!$B$148:$B$150</c:f>
              <c:numCache>
                <c:formatCode>0.00</c:formatCode>
                <c:ptCount val="3"/>
                <c:pt idx="0">
                  <c:v>0</c:v>
                </c:pt>
                <c:pt idx="1">
                  <c:v>0.4</c:v>
                </c:pt>
                <c:pt idx="2">
                  <c:v>4.78</c:v>
                </c:pt>
              </c:numCache>
            </c:numRef>
          </c:xVal>
          <c:yVal>
            <c:numRef>
              <c:f>POISSON!$C$148:$C$150</c:f>
              <c:numCache>
                <c:formatCode>0.0%</c:formatCode>
                <c:ptCount val="3"/>
                <c:pt idx="0" formatCode="0%">
                  <c:v>1</c:v>
                </c:pt>
                <c:pt idx="1">
                  <c:v>0.95899999999999996</c:v>
                </c:pt>
                <c:pt idx="2" formatCode="0%">
                  <c:v>0.1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25-453B-B3CA-CB6E614FAB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965518704"/>
        <c:axId val="-1965520336"/>
      </c:scatterChart>
      <c:valAx>
        <c:axId val="-1965518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 b="1"/>
                  <a:t>defectos cada 100 unidades </a:t>
                </a:r>
              </a:p>
            </c:rich>
          </c:tx>
          <c:layout>
            <c:manualLayout>
              <c:xMode val="edge"/>
              <c:yMode val="edge"/>
              <c:x val="0.77076027409325509"/>
              <c:y val="0.897198891805190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65520336"/>
        <c:crosses val="autoZero"/>
        <c:crossBetween val="midCat"/>
      </c:valAx>
      <c:valAx>
        <c:axId val="-19655203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 b="1"/>
                  <a:t>Probabilidad de aceptación Pa(%)</a:t>
                </a:r>
              </a:p>
            </c:rich>
          </c:tx>
          <c:layout>
            <c:manualLayout>
              <c:xMode val="edge"/>
              <c:yMode val="edge"/>
              <c:x val="5.589388574750305E-2"/>
              <c:y val="0.111971420239136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65518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2</xdr:row>
      <xdr:rowOff>57149</xdr:rowOff>
    </xdr:from>
    <xdr:to>
      <xdr:col>1</xdr:col>
      <xdr:colOff>1343025</xdr:colOff>
      <xdr:row>4</xdr:row>
      <xdr:rowOff>152399</xdr:rowOff>
    </xdr:to>
    <xdr:pic>
      <xdr:nvPicPr>
        <xdr:cNvPr id="2" name="Imagen 11" descr="http://actividades.frba.utn.edu.ar/imagenes/logo-con-margenes.jpg">
          <a:extLst>
            <a:ext uri="{FF2B5EF4-FFF2-40B4-BE49-F238E27FC236}">
              <a16:creationId xmlns:a16="http://schemas.microsoft.com/office/drawing/2014/main" id="{BB66BF3C-D546-53EF-D11E-1C0B9B2E2B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100" y="1209674"/>
          <a:ext cx="1304925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3509</xdr:colOff>
      <xdr:row>38</xdr:row>
      <xdr:rowOff>174206</xdr:rowOff>
    </xdr:from>
    <xdr:to>
      <xdr:col>14</xdr:col>
      <xdr:colOff>0</xdr:colOff>
      <xdr:row>58</xdr:row>
      <xdr:rowOff>30079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940E058-B262-482C-0659-860BD4E066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644387</xdr:colOff>
      <xdr:row>82</xdr:row>
      <xdr:rowOff>164824</xdr:rowOff>
    </xdr:from>
    <xdr:to>
      <xdr:col>12</xdr:col>
      <xdr:colOff>503582</xdr:colOff>
      <xdr:row>100</xdr:row>
      <xdr:rowOff>33543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16409383-B1E1-6564-2601-DD04A3D4A8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530087</xdr:colOff>
      <xdr:row>42</xdr:row>
      <xdr:rowOff>107674</xdr:rowOff>
    </xdr:from>
    <xdr:to>
      <xdr:col>9</xdr:col>
      <xdr:colOff>546651</xdr:colOff>
      <xdr:row>55</xdr:row>
      <xdr:rowOff>41413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881C09E5-4BF0-4889-AC02-7E055F818109}"/>
            </a:ext>
          </a:extLst>
        </xdr:cNvPr>
        <xdr:cNvCxnSpPr/>
      </xdr:nvCxnSpPr>
      <xdr:spPr>
        <a:xfrm>
          <a:off x="7644848" y="8001000"/>
          <a:ext cx="16564" cy="2435087"/>
        </a:xfrm>
        <a:prstGeom prst="line">
          <a:avLst/>
        </a:prstGeom>
        <a:ln>
          <a:solidFill>
            <a:srgbClr val="FF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330868</xdr:colOff>
      <xdr:row>56</xdr:row>
      <xdr:rowOff>54041</xdr:rowOff>
    </xdr:from>
    <xdr:to>
      <xdr:col>10</xdr:col>
      <xdr:colOff>47023</xdr:colOff>
      <xdr:row>57</xdr:row>
      <xdr:rowOff>116405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BA8AE56A-B54F-42A6-B2CB-634F79788732}"/>
            </a:ext>
          </a:extLst>
        </xdr:cNvPr>
        <xdr:cNvSpPr txBox="1"/>
      </xdr:nvSpPr>
      <xdr:spPr>
        <a:xfrm>
          <a:off x="7449552" y="10651857"/>
          <a:ext cx="478155" cy="2628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100" b="1">
              <a:solidFill>
                <a:srgbClr val="FF0000"/>
              </a:solidFill>
            </a:rPr>
            <a:t>AQL</a:t>
          </a:r>
        </a:p>
      </xdr:txBody>
    </xdr:sp>
    <xdr:clientData/>
  </xdr:twoCellAnchor>
  <xdr:twoCellAnchor>
    <xdr:from>
      <xdr:col>8</xdr:col>
      <xdr:colOff>10026</xdr:colOff>
      <xdr:row>53</xdr:row>
      <xdr:rowOff>190500</xdr:rowOff>
    </xdr:from>
    <xdr:to>
      <xdr:col>12</xdr:col>
      <xdr:colOff>485775</xdr:colOff>
      <xdr:row>53</xdr:row>
      <xdr:rowOff>190500</xdr:rowOff>
    </xdr:to>
    <xdr:cxnSp macro="">
      <xdr:nvCxnSpPr>
        <xdr:cNvPr id="13" name="Conector recto 12">
          <a:extLst>
            <a:ext uri="{FF2B5EF4-FFF2-40B4-BE49-F238E27FC236}">
              <a16:creationId xmlns:a16="http://schemas.microsoft.com/office/drawing/2014/main" id="{3A2380F2-DA42-4412-B30E-244800084CB7}"/>
            </a:ext>
          </a:extLst>
        </xdr:cNvPr>
        <xdr:cNvCxnSpPr/>
      </xdr:nvCxnSpPr>
      <xdr:spPr>
        <a:xfrm>
          <a:off x="6363201" y="10401300"/>
          <a:ext cx="3523749" cy="0"/>
        </a:xfrm>
        <a:prstGeom prst="line">
          <a:avLst/>
        </a:prstGeom>
        <a:ln>
          <a:solidFill>
            <a:srgbClr val="00B0F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476450</xdr:colOff>
      <xdr:row>54</xdr:row>
      <xdr:rowOff>7621</xdr:rowOff>
    </xdr:from>
    <xdr:to>
      <xdr:col>12</xdr:col>
      <xdr:colOff>491290</xdr:colOff>
      <xdr:row>57</xdr:row>
      <xdr:rowOff>30079</xdr:rowOff>
    </xdr:to>
    <xdr:cxnSp macro="">
      <xdr:nvCxnSpPr>
        <xdr:cNvPr id="14" name="Conector recto de flecha 13">
          <a:extLst>
            <a:ext uri="{FF2B5EF4-FFF2-40B4-BE49-F238E27FC236}">
              <a16:creationId xmlns:a16="http://schemas.microsoft.com/office/drawing/2014/main" id="{85FE7EED-FA5E-4CDB-8F6F-E42F5CFEF6CB}"/>
            </a:ext>
          </a:extLst>
        </xdr:cNvPr>
        <xdr:cNvCxnSpPr/>
      </xdr:nvCxnSpPr>
      <xdr:spPr>
        <a:xfrm>
          <a:off x="9881134" y="10224437"/>
          <a:ext cx="14840" cy="614010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90237</xdr:colOff>
      <xdr:row>56</xdr:row>
      <xdr:rowOff>190499</xdr:rowOff>
    </xdr:from>
    <xdr:to>
      <xdr:col>14</xdr:col>
      <xdr:colOff>250658</xdr:colOff>
      <xdr:row>58</xdr:row>
      <xdr:rowOff>42812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6C57411A-4967-4115-86D6-FE5A86E98ED3}"/>
            </a:ext>
          </a:extLst>
        </xdr:cNvPr>
        <xdr:cNvSpPr txBox="1"/>
      </xdr:nvSpPr>
      <xdr:spPr>
        <a:xfrm>
          <a:off x="9494921" y="10788315"/>
          <a:ext cx="1684421" cy="2533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800" b="1">
              <a:solidFill>
                <a:srgbClr val="00B0F0"/>
              </a:solidFill>
            </a:rPr>
            <a:t>LTPD:1.23%</a:t>
          </a:r>
          <a:r>
            <a:rPr lang="es-AR" sz="800" b="1" baseline="0">
              <a:solidFill>
                <a:srgbClr val="00B0F0"/>
              </a:solidFill>
            </a:rPr>
            <a:t> </a:t>
          </a:r>
          <a:r>
            <a:rPr lang="es-AR" sz="800" b="1">
              <a:solidFill>
                <a:srgbClr val="00B0F0"/>
              </a:solidFill>
            </a:rPr>
            <a:t>prop. defecrtuosa</a:t>
          </a:r>
        </a:p>
      </xdr:txBody>
    </xdr:sp>
    <xdr:clientData/>
  </xdr:twoCellAnchor>
  <xdr:twoCellAnchor>
    <xdr:from>
      <xdr:col>8</xdr:col>
      <xdr:colOff>245114</xdr:colOff>
      <xdr:row>41</xdr:row>
      <xdr:rowOff>70401</xdr:rowOff>
    </xdr:from>
    <xdr:to>
      <xdr:col>11</xdr:col>
      <xdr:colOff>54614</xdr:colOff>
      <xdr:row>41</xdr:row>
      <xdr:rowOff>76355</xdr:rowOff>
    </xdr:to>
    <xdr:cxnSp macro="">
      <xdr:nvCxnSpPr>
        <xdr:cNvPr id="23" name="Conector recto 22">
          <a:extLst>
            <a:ext uri="{FF2B5EF4-FFF2-40B4-BE49-F238E27FC236}">
              <a16:creationId xmlns:a16="http://schemas.microsoft.com/office/drawing/2014/main" id="{E2C0CCB5-8F22-47E1-9B16-78A7CCF6CC91}"/>
            </a:ext>
          </a:extLst>
        </xdr:cNvPr>
        <xdr:cNvCxnSpPr/>
      </xdr:nvCxnSpPr>
      <xdr:spPr>
        <a:xfrm>
          <a:off x="6597875" y="7773227"/>
          <a:ext cx="2095500" cy="5954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43985</xdr:colOff>
      <xdr:row>41</xdr:row>
      <xdr:rowOff>54832</xdr:rowOff>
    </xdr:from>
    <xdr:to>
      <xdr:col>12</xdr:col>
      <xdr:colOff>266870</xdr:colOff>
      <xdr:row>42</xdr:row>
      <xdr:rowOff>117697</xdr:rowOff>
    </xdr:to>
    <xdr:sp macro="" textlink="">
      <xdr:nvSpPr>
        <xdr:cNvPr id="24" name="CuadroTexto 23">
          <a:extLst>
            <a:ext uri="{FF2B5EF4-FFF2-40B4-BE49-F238E27FC236}">
              <a16:creationId xmlns:a16="http://schemas.microsoft.com/office/drawing/2014/main" id="{9BA2976C-A6EB-401B-8514-DD141E9C77DD}"/>
            </a:ext>
          </a:extLst>
        </xdr:cNvPr>
        <xdr:cNvSpPr txBox="1"/>
      </xdr:nvSpPr>
      <xdr:spPr>
        <a:xfrm>
          <a:off x="8681799" y="7783689"/>
          <a:ext cx="984885" cy="2533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rgbClr val="FF0000"/>
              </a:solidFill>
            </a:rPr>
            <a:t> }  </a:t>
          </a:r>
          <a:r>
            <a:rPr lang="el-GR" sz="1100" b="1">
              <a:solidFill>
                <a:srgbClr val="FF0000"/>
              </a:solidFill>
            </a:rPr>
            <a:t>α</a:t>
          </a:r>
          <a:r>
            <a:rPr lang="es-ES" sz="1100" b="1">
              <a:solidFill>
                <a:srgbClr val="FF0000"/>
              </a:solidFill>
            </a:rPr>
            <a:t>=8.3%</a:t>
          </a:r>
          <a:endParaRPr lang="es-AR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9</xdr:col>
      <xdr:colOff>524660</xdr:colOff>
      <xdr:row>42</xdr:row>
      <xdr:rowOff>98347</xdr:rowOff>
    </xdr:from>
    <xdr:to>
      <xdr:col>11</xdr:col>
      <xdr:colOff>48410</xdr:colOff>
      <xdr:row>42</xdr:row>
      <xdr:rowOff>104301</xdr:rowOff>
    </xdr:to>
    <xdr:cxnSp macro="">
      <xdr:nvCxnSpPr>
        <xdr:cNvPr id="28" name="Conector recto 27">
          <a:extLst>
            <a:ext uri="{FF2B5EF4-FFF2-40B4-BE49-F238E27FC236}">
              <a16:creationId xmlns:a16="http://schemas.microsoft.com/office/drawing/2014/main" id="{A4303D8E-75B5-447E-B3B7-4799B19A2F63}"/>
            </a:ext>
          </a:extLst>
        </xdr:cNvPr>
        <xdr:cNvCxnSpPr/>
      </xdr:nvCxnSpPr>
      <xdr:spPr>
        <a:xfrm>
          <a:off x="7638474" y="8017704"/>
          <a:ext cx="1047750" cy="5954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119009</xdr:colOff>
      <xdr:row>53</xdr:row>
      <xdr:rowOff>54053</xdr:rowOff>
    </xdr:from>
    <xdr:to>
      <xdr:col>7</xdr:col>
      <xdr:colOff>538370</xdr:colOff>
      <xdr:row>54</xdr:row>
      <xdr:rowOff>105149</xdr:rowOff>
    </xdr:to>
    <xdr:sp macro="" textlink="">
      <xdr:nvSpPr>
        <xdr:cNvPr id="34" name="CuadroTexto 33">
          <a:extLst>
            <a:ext uri="{FF2B5EF4-FFF2-40B4-BE49-F238E27FC236}">
              <a16:creationId xmlns:a16="http://schemas.microsoft.com/office/drawing/2014/main" id="{086EF5FD-961F-4D60-B671-352773FEBEA6}"/>
            </a:ext>
          </a:extLst>
        </xdr:cNvPr>
        <xdr:cNvSpPr txBox="1"/>
      </xdr:nvSpPr>
      <xdr:spPr>
        <a:xfrm>
          <a:off x="5709770" y="10051162"/>
          <a:ext cx="419361" cy="2498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0" lang="el-GR" sz="900" b="1" i="0" u="none" strike="noStrike" kern="0" cap="none" spc="0" normalizeH="0" baseline="0" noProof="0">
              <a:ln>
                <a:noFill/>
              </a:ln>
              <a:solidFill>
                <a:srgbClr val="00B0F0"/>
              </a:solidFill>
              <a:effectLst/>
              <a:uLnTx/>
              <a:uFillTx/>
              <a:latin typeface="+mn-lt"/>
              <a:ea typeface="+mn-ea"/>
              <a:cs typeface="+mn-cs"/>
            </a:rPr>
            <a:t>β</a:t>
          </a:r>
          <a:r>
            <a:rPr kumimoji="0" lang="en-US" sz="900" b="1" i="0" u="none" strike="noStrike" kern="0" cap="none" spc="0" normalizeH="0" baseline="0" noProof="0">
              <a:ln>
                <a:noFill/>
              </a:ln>
              <a:solidFill>
                <a:srgbClr val="00B0F0"/>
              </a:solidFill>
              <a:effectLst/>
              <a:uLnTx/>
              <a:uFillTx/>
              <a:latin typeface="+mn-lt"/>
              <a:ea typeface="+mn-ea"/>
              <a:cs typeface="+mn-cs"/>
            </a:rPr>
            <a:t> =</a:t>
          </a:r>
          <a:endParaRPr lang="es-AR" sz="800" b="1">
            <a:solidFill>
              <a:srgbClr val="00B0F0"/>
            </a:solidFill>
          </a:endParaRPr>
        </a:p>
      </xdr:txBody>
    </xdr:sp>
    <xdr:clientData/>
  </xdr:twoCellAnchor>
  <xdr:twoCellAnchor>
    <xdr:from>
      <xdr:col>9</xdr:col>
      <xdr:colOff>534010</xdr:colOff>
      <xdr:row>42</xdr:row>
      <xdr:rowOff>107674</xdr:rowOff>
    </xdr:from>
    <xdr:to>
      <xdr:col>9</xdr:col>
      <xdr:colOff>550574</xdr:colOff>
      <xdr:row>55</xdr:row>
      <xdr:rowOff>41413</xdr:rowOff>
    </xdr:to>
    <xdr:cxnSp macro="">
      <xdr:nvCxnSpPr>
        <xdr:cNvPr id="35" name="Conector recto 34">
          <a:extLst>
            <a:ext uri="{FF2B5EF4-FFF2-40B4-BE49-F238E27FC236}">
              <a16:creationId xmlns:a16="http://schemas.microsoft.com/office/drawing/2014/main" id="{BF4431EA-56B7-4371-ACD4-02A7F9C017A7}"/>
            </a:ext>
          </a:extLst>
        </xdr:cNvPr>
        <xdr:cNvCxnSpPr/>
      </xdr:nvCxnSpPr>
      <xdr:spPr>
        <a:xfrm>
          <a:off x="7648771" y="8001000"/>
          <a:ext cx="16564" cy="2435087"/>
        </a:xfrm>
        <a:prstGeom prst="line">
          <a:avLst/>
        </a:prstGeom>
        <a:ln>
          <a:solidFill>
            <a:srgbClr val="FF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334791</xdr:colOff>
      <xdr:row>56</xdr:row>
      <xdr:rowOff>54041</xdr:rowOff>
    </xdr:from>
    <xdr:to>
      <xdr:col>10</xdr:col>
      <xdr:colOff>50946</xdr:colOff>
      <xdr:row>57</xdr:row>
      <xdr:rowOff>116405</xdr:rowOff>
    </xdr:to>
    <xdr:sp macro="" textlink="">
      <xdr:nvSpPr>
        <xdr:cNvPr id="36" name="CuadroTexto 35">
          <a:extLst>
            <a:ext uri="{FF2B5EF4-FFF2-40B4-BE49-F238E27FC236}">
              <a16:creationId xmlns:a16="http://schemas.microsoft.com/office/drawing/2014/main" id="{D80FB5D9-3FB1-48C9-8F92-82EDC3FE0CA4}"/>
            </a:ext>
          </a:extLst>
        </xdr:cNvPr>
        <xdr:cNvSpPr txBox="1"/>
      </xdr:nvSpPr>
      <xdr:spPr>
        <a:xfrm>
          <a:off x="7449552" y="10639215"/>
          <a:ext cx="478155" cy="2611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100" b="1">
              <a:solidFill>
                <a:srgbClr val="FF0000"/>
              </a:solidFill>
            </a:rPr>
            <a:t>AQL</a:t>
          </a:r>
        </a:p>
      </xdr:txBody>
    </xdr:sp>
    <xdr:clientData/>
  </xdr:twoCellAnchor>
  <xdr:twoCellAnchor>
    <xdr:from>
      <xdr:col>6</xdr:col>
      <xdr:colOff>523875</xdr:colOff>
      <xdr:row>129</xdr:row>
      <xdr:rowOff>47625</xdr:rowOff>
    </xdr:from>
    <xdr:to>
      <xdr:col>13</xdr:col>
      <xdr:colOff>520366</xdr:colOff>
      <xdr:row>148</xdr:row>
      <xdr:rowOff>122573</xdr:rowOff>
    </xdr:to>
    <xdr:graphicFrame macro="">
      <xdr:nvGraphicFramePr>
        <xdr:cNvPr id="40" name="Gráfico 39">
          <a:extLst>
            <a:ext uri="{FF2B5EF4-FFF2-40B4-BE49-F238E27FC236}">
              <a16:creationId xmlns:a16="http://schemas.microsoft.com/office/drawing/2014/main" id="{A8E1E007-469B-41E3-90E3-D43AC18388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514350</xdr:colOff>
      <xdr:row>161</xdr:row>
      <xdr:rowOff>85725</xdr:rowOff>
    </xdr:from>
    <xdr:to>
      <xdr:col>10</xdr:col>
      <xdr:colOff>642132</xdr:colOff>
      <xdr:row>187</xdr:row>
      <xdr:rowOff>57150</xdr:rowOff>
    </xdr:to>
    <xdr:pic>
      <xdr:nvPicPr>
        <xdr:cNvPr id="45" name="Imagen 44">
          <a:extLst>
            <a:ext uri="{FF2B5EF4-FFF2-40B4-BE49-F238E27FC236}">
              <a16:creationId xmlns:a16="http://schemas.microsoft.com/office/drawing/2014/main" id="{94525E84-67CA-F81A-0F80-5B1E79CC41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76350" y="31013400"/>
          <a:ext cx="7242957" cy="4953000"/>
        </a:xfrm>
        <a:prstGeom prst="rect">
          <a:avLst/>
        </a:prstGeom>
      </xdr:spPr>
    </xdr:pic>
    <xdr:clientData/>
  </xdr:twoCellAnchor>
  <xdr:twoCellAnchor>
    <xdr:from>
      <xdr:col>5</xdr:col>
      <xdr:colOff>600074</xdr:colOff>
      <xdr:row>163</xdr:row>
      <xdr:rowOff>85724</xdr:rowOff>
    </xdr:from>
    <xdr:to>
      <xdr:col>6</xdr:col>
      <xdr:colOff>219075</xdr:colOff>
      <xdr:row>164</xdr:row>
      <xdr:rowOff>143567</xdr:rowOff>
    </xdr:to>
    <xdr:sp macro="" textlink="">
      <xdr:nvSpPr>
        <xdr:cNvPr id="46" name="CuadroTexto 4">
          <a:extLst>
            <a:ext uri="{FF2B5EF4-FFF2-40B4-BE49-F238E27FC236}">
              <a16:creationId xmlns:a16="http://schemas.microsoft.com/office/drawing/2014/main" id="{3E922571-B386-7B84-1B85-CBE5F5FE4A86}"/>
            </a:ext>
          </a:extLst>
        </xdr:cNvPr>
        <xdr:cNvSpPr txBox="1"/>
      </xdr:nvSpPr>
      <xdr:spPr>
        <a:xfrm>
          <a:off x="4667249" y="31394399"/>
          <a:ext cx="381001" cy="248343"/>
        </a:xfrm>
        <a:prstGeom prst="rect">
          <a:avLst/>
        </a:prstGeom>
        <a:solidFill>
          <a:sysClr val="windowText" lastClr="000000">
            <a:lumMod val="65000"/>
            <a:lumOff val="35000"/>
          </a:sys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AR" sz="1000" b="1">
              <a:solidFill>
                <a:srgbClr val="FF0000"/>
              </a:solidFill>
            </a:rPr>
            <a:t>315</a:t>
          </a:r>
          <a:endParaRPr lang="es-AR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542924</xdr:colOff>
      <xdr:row>176</xdr:row>
      <xdr:rowOff>38099</xdr:rowOff>
    </xdr:from>
    <xdr:to>
      <xdr:col>6</xdr:col>
      <xdr:colOff>161925</xdr:colOff>
      <xdr:row>177</xdr:row>
      <xdr:rowOff>95942</xdr:rowOff>
    </xdr:to>
    <xdr:sp macro="" textlink="">
      <xdr:nvSpPr>
        <xdr:cNvPr id="47" name="CuadroTexto 4">
          <a:extLst>
            <a:ext uri="{FF2B5EF4-FFF2-40B4-BE49-F238E27FC236}">
              <a16:creationId xmlns:a16="http://schemas.microsoft.com/office/drawing/2014/main" id="{7014D8B7-BE5F-4D89-8445-BF38BCA0D5DC}"/>
            </a:ext>
          </a:extLst>
        </xdr:cNvPr>
        <xdr:cNvSpPr txBox="1"/>
      </xdr:nvSpPr>
      <xdr:spPr>
        <a:xfrm>
          <a:off x="4610099" y="33823274"/>
          <a:ext cx="381001" cy="248343"/>
        </a:xfrm>
        <a:prstGeom prst="rect">
          <a:avLst/>
        </a:prstGeom>
        <a:solidFill>
          <a:sysClr val="windowText" lastClr="000000">
            <a:lumMod val="65000"/>
            <a:lumOff val="35000"/>
          </a:sys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AR" sz="1000" b="1">
              <a:solidFill>
                <a:srgbClr val="FF0000"/>
              </a:solidFill>
            </a:rPr>
            <a:t>315</a:t>
          </a:r>
          <a:endParaRPr lang="es-AR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704850</xdr:colOff>
      <xdr:row>173</xdr:row>
      <xdr:rowOff>66675</xdr:rowOff>
    </xdr:from>
    <xdr:to>
      <xdr:col>3</xdr:col>
      <xdr:colOff>323851</xdr:colOff>
      <xdr:row>174</xdr:row>
      <xdr:rowOff>124518</xdr:rowOff>
    </xdr:to>
    <xdr:sp macro="" textlink="">
      <xdr:nvSpPr>
        <xdr:cNvPr id="48" name="CuadroTexto 4">
          <a:extLst>
            <a:ext uri="{FF2B5EF4-FFF2-40B4-BE49-F238E27FC236}">
              <a16:creationId xmlns:a16="http://schemas.microsoft.com/office/drawing/2014/main" id="{063715AE-F81D-4ACD-A1D9-54B749296245}"/>
            </a:ext>
          </a:extLst>
        </xdr:cNvPr>
        <xdr:cNvSpPr txBox="1"/>
      </xdr:nvSpPr>
      <xdr:spPr>
        <a:xfrm>
          <a:off x="2228850" y="33280350"/>
          <a:ext cx="381001" cy="248343"/>
        </a:xfrm>
        <a:prstGeom prst="rect">
          <a:avLst/>
        </a:prstGeom>
        <a:solidFill>
          <a:sysClr val="windowText" lastClr="000000">
            <a:lumMod val="65000"/>
            <a:lumOff val="35000"/>
          </a:sys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AR" sz="1000" b="1">
              <a:solidFill>
                <a:srgbClr val="FF0000"/>
              </a:solidFill>
            </a:rPr>
            <a:t>0</a:t>
          </a:r>
          <a:endParaRPr lang="es-AR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419101</xdr:colOff>
      <xdr:row>171</xdr:row>
      <xdr:rowOff>57150</xdr:rowOff>
    </xdr:from>
    <xdr:to>
      <xdr:col>5</xdr:col>
      <xdr:colOff>609600</xdr:colOff>
      <xdr:row>172</xdr:row>
      <xdr:rowOff>114993</xdr:rowOff>
    </xdr:to>
    <xdr:sp macro="" textlink="">
      <xdr:nvSpPr>
        <xdr:cNvPr id="50" name="CuadroTexto 4">
          <a:extLst>
            <a:ext uri="{FF2B5EF4-FFF2-40B4-BE49-F238E27FC236}">
              <a16:creationId xmlns:a16="http://schemas.microsoft.com/office/drawing/2014/main" id="{9F97655E-015B-438D-9634-ED572D7E567D}"/>
            </a:ext>
          </a:extLst>
        </xdr:cNvPr>
        <xdr:cNvSpPr txBox="1"/>
      </xdr:nvSpPr>
      <xdr:spPr>
        <a:xfrm>
          <a:off x="4486276" y="32889825"/>
          <a:ext cx="190499" cy="248343"/>
        </a:xfrm>
        <a:prstGeom prst="rect">
          <a:avLst/>
        </a:prstGeom>
        <a:solidFill>
          <a:sysClr val="windowText" lastClr="000000">
            <a:lumMod val="65000"/>
            <a:lumOff val="35000"/>
          </a:sys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AR" sz="1000" b="1">
              <a:solidFill>
                <a:srgbClr val="FF0000"/>
              </a:solidFill>
            </a:rPr>
            <a:t>0</a:t>
          </a:r>
          <a:endParaRPr lang="es-AR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7</xdr:col>
      <xdr:colOff>38102</xdr:colOff>
      <xdr:row>171</xdr:row>
      <xdr:rowOff>66675</xdr:rowOff>
    </xdr:from>
    <xdr:to>
      <xdr:col>7</xdr:col>
      <xdr:colOff>219076</xdr:colOff>
      <xdr:row>172</xdr:row>
      <xdr:rowOff>124518</xdr:rowOff>
    </xdr:to>
    <xdr:sp macro="" textlink="">
      <xdr:nvSpPr>
        <xdr:cNvPr id="52" name="CuadroTexto 4">
          <a:extLst>
            <a:ext uri="{FF2B5EF4-FFF2-40B4-BE49-F238E27FC236}">
              <a16:creationId xmlns:a16="http://schemas.microsoft.com/office/drawing/2014/main" id="{814ABE28-B80E-4841-B801-46F5004885E9}"/>
            </a:ext>
          </a:extLst>
        </xdr:cNvPr>
        <xdr:cNvSpPr txBox="1"/>
      </xdr:nvSpPr>
      <xdr:spPr>
        <a:xfrm>
          <a:off x="5629277" y="32899350"/>
          <a:ext cx="180974" cy="248343"/>
        </a:xfrm>
        <a:prstGeom prst="rect">
          <a:avLst/>
        </a:prstGeom>
        <a:solidFill>
          <a:sysClr val="windowText" lastClr="000000">
            <a:lumMod val="65000"/>
            <a:lumOff val="35000"/>
          </a:sys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AR" sz="1100" b="1">
              <a:solidFill>
                <a:srgbClr val="FF0000"/>
              </a:solidFill>
            </a:rPr>
            <a:t>2</a:t>
          </a:r>
        </a:p>
      </xdr:txBody>
    </xdr:sp>
    <xdr:clientData/>
  </xdr:twoCellAnchor>
  <xdr:twoCellAnchor>
    <xdr:from>
      <xdr:col>9</xdr:col>
      <xdr:colOff>238127</xdr:colOff>
      <xdr:row>173</xdr:row>
      <xdr:rowOff>85725</xdr:rowOff>
    </xdr:from>
    <xdr:to>
      <xdr:col>9</xdr:col>
      <xdr:colOff>419101</xdr:colOff>
      <xdr:row>174</xdr:row>
      <xdr:rowOff>143568</xdr:rowOff>
    </xdr:to>
    <xdr:sp macro="" textlink="">
      <xdr:nvSpPr>
        <xdr:cNvPr id="56" name="CuadroTexto 4">
          <a:extLst>
            <a:ext uri="{FF2B5EF4-FFF2-40B4-BE49-F238E27FC236}">
              <a16:creationId xmlns:a16="http://schemas.microsoft.com/office/drawing/2014/main" id="{192A2657-4FCC-43E2-AFF4-6F222B1C8EDA}"/>
            </a:ext>
          </a:extLst>
        </xdr:cNvPr>
        <xdr:cNvSpPr txBox="1"/>
      </xdr:nvSpPr>
      <xdr:spPr>
        <a:xfrm>
          <a:off x="7353302" y="33299400"/>
          <a:ext cx="180974" cy="248343"/>
        </a:xfrm>
        <a:prstGeom prst="rect">
          <a:avLst/>
        </a:prstGeom>
        <a:solidFill>
          <a:sysClr val="windowText" lastClr="000000">
            <a:lumMod val="65000"/>
            <a:lumOff val="35000"/>
          </a:sys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AR" sz="1100" b="1">
              <a:solidFill>
                <a:srgbClr val="FF0000"/>
              </a:solidFill>
            </a:rPr>
            <a:t>2</a:t>
          </a:r>
        </a:p>
      </xdr:txBody>
    </xdr:sp>
    <xdr:clientData/>
  </xdr:twoCellAnchor>
  <xdr:twoCellAnchor>
    <xdr:from>
      <xdr:col>4</xdr:col>
      <xdr:colOff>904875</xdr:colOff>
      <xdr:row>184</xdr:row>
      <xdr:rowOff>171450</xdr:rowOff>
    </xdr:from>
    <xdr:to>
      <xdr:col>5</xdr:col>
      <xdr:colOff>66674</xdr:colOff>
      <xdr:row>186</xdr:row>
      <xdr:rowOff>38793</xdr:rowOff>
    </xdr:to>
    <xdr:sp macro="" textlink="">
      <xdr:nvSpPr>
        <xdr:cNvPr id="57" name="CuadroTexto 4">
          <a:extLst>
            <a:ext uri="{FF2B5EF4-FFF2-40B4-BE49-F238E27FC236}">
              <a16:creationId xmlns:a16="http://schemas.microsoft.com/office/drawing/2014/main" id="{E2BF2835-860C-4765-BA53-1CD000DCA6E1}"/>
            </a:ext>
          </a:extLst>
        </xdr:cNvPr>
        <xdr:cNvSpPr txBox="1"/>
      </xdr:nvSpPr>
      <xdr:spPr>
        <a:xfrm>
          <a:off x="3952875" y="35480625"/>
          <a:ext cx="180974" cy="248343"/>
        </a:xfrm>
        <a:prstGeom prst="rect">
          <a:avLst/>
        </a:prstGeom>
        <a:solidFill>
          <a:sysClr val="windowText" lastClr="000000">
            <a:lumMod val="65000"/>
            <a:lumOff val="35000"/>
          </a:sys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AR" sz="1100" b="1">
              <a:solidFill>
                <a:srgbClr val="FF0000"/>
              </a:solidFill>
            </a:rPr>
            <a:t>1</a:t>
          </a:r>
        </a:p>
      </xdr:txBody>
    </xdr:sp>
    <xdr:clientData/>
  </xdr:twoCellAnchor>
  <xdr:twoCellAnchor>
    <xdr:from>
      <xdr:col>7</xdr:col>
      <xdr:colOff>409577</xdr:colOff>
      <xdr:row>184</xdr:row>
      <xdr:rowOff>180975</xdr:rowOff>
    </xdr:from>
    <xdr:to>
      <xdr:col>7</xdr:col>
      <xdr:colOff>590551</xdr:colOff>
      <xdr:row>186</xdr:row>
      <xdr:rowOff>48318</xdr:rowOff>
    </xdr:to>
    <xdr:sp macro="" textlink="">
      <xdr:nvSpPr>
        <xdr:cNvPr id="58" name="CuadroTexto 4">
          <a:extLst>
            <a:ext uri="{FF2B5EF4-FFF2-40B4-BE49-F238E27FC236}">
              <a16:creationId xmlns:a16="http://schemas.microsoft.com/office/drawing/2014/main" id="{C6797DCD-43E1-4B2D-B0FF-12274C3A3367}"/>
            </a:ext>
          </a:extLst>
        </xdr:cNvPr>
        <xdr:cNvSpPr txBox="1"/>
      </xdr:nvSpPr>
      <xdr:spPr>
        <a:xfrm>
          <a:off x="6000752" y="35490150"/>
          <a:ext cx="180974" cy="248343"/>
        </a:xfrm>
        <a:prstGeom prst="rect">
          <a:avLst/>
        </a:prstGeom>
        <a:solidFill>
          <a:sysClr val="windowText" lastClr="000000">
            <a:lumMod val="65000"/>
            <a:lumOff val="35000"/>
          </a:sys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AR" sz="1100" b="1">
              <a:solidFill>
                <a:srgbClr val="FF0000"/>
              </a:solidFill>
            </a:rPr>
            <a:t>2</a:t>
          </a:r>
        </a:p>
      </xdr:txBody>
    </xdr:sp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0.32683</cdr:x>
      <cdr:y>0.15888</cdr:y>
    </cdr:from>
    <cdr:to>
      <cdr:x>0.32965</cdr:x>
      <cdr:y>0.82959</cdr:y>
    </cdr:to>
    <cdr:cxnSp macro="">
      <cdr:nvCxnSpPr>
        <cdr:cNvPr id="2" name="Conector recto 1">
          <a:extLst xmlns:a="http://schemas.openxmlformats.org/drawingml/2006/main">
            <a:ext uri="{FF2B5EF4-FFF2-40B4-BE49-F238E27FC236}">
              <a16:creationId xmlns:a16="http://schemas.microsoft.com/office/drawing/2014/main" id="{881C09E5-4BF0-4889-AC02-7E055F818109}"/>
            </a:ext>
          </a:extLst>
        </cdr:cNvPr>
        <cdr:cNvCxnSpPr/>
      </cdr:nvCxnSpPr>
      <cdr:spPr>
        <a:xfrm xmlns:a="http://schemas.openxmlformats.org/drawingml/2006/main">
          <a:off x="1697298" y="522442"/>
          <a:ext cx="14654" cy="2205404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FF0000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0.28813</cdr:x>
      <cdr:y>0.88483</cdr:y>
    </cdr:from>
    <cdr:to>
      <cdr:x>0.39271</cdr:x>
      <cdr:y>0.9688</cdr:y>
    </cdr:to>
    <cdr:sp macro="" textlink="">
      <cdr:nvSpPr>
        <cdr:cNvPr id="3" name="CuadroTexto 4">
          <a:extLst xmlns:a="http://schemas.openxmlformats.org/drawingml/2006/main">
            <a:ext uri="{FF2B5EF4-FFF2-40B4-BE49-F238E27FC236}">
              <a16:creationId xmlns:a16="http://schemas.microsoft.com/office/drawing/2014/main" id="{BA8AE56A-B54F-42A6-B2CB-634F79788732}"/>
            </a:ext>
          </a:extLst>
        </cdr:cNvPr>
        <cdr:cNvSpPr txBox="1"/>
      </cdr:nvSpPr>
      <cdr:spPr>
        <a:xfrm xmlns:a="http://schemas.openxmlformats.org/drawingml/2006/main">
          <a:off x="1496297" y="2909499"/>
          <a:ext cx="543122" cy="27611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AR" sz="1100" b="1">
              <a:solidFill>
                <a:srgbClr val="FF0000"/>
              </a:solidFill>
            </a:rPr>
            <a:t>AQL</a:t>
          </a:r>
        </a:p>
      </cdr:txBody>
    </cdr:sp>
  </cdr:relSizeAnchor>
  <cdr:relSizeAnchor xmlns:cdr="http://schemas.openxmlformats.org/drawingml/2006/chartDrawing">
    <cdr:from>
      <cdr:x>0.17626</cdr:x>
      <cdr:y>0.12714</cdr:y>
    </cdr:from>
    <cdr:to>
      <cdr:x>0.57977</cdr:x>
      <cdr:y>0.12895</cdr:y>
    </cdr:to>
    <cdr:cxnSp macro="">
      <cdr:nvCxnSpPr>
        <cdr:cNvPr id="6" name="Conector recto 5">
          <a:extLst xmlns:a="http://schemas.openxmlformats.org/drawingml/2006/main">
            <a:ext uri="{FF2B5EF4-FFF2-40B4-BE49-F238E27FC236}">
              <a16:creationId xmlns:a16="http://schemas.microsoft.com/office/drawing/2014/main" id="{E2C0CCB5-8F22-47E1-9B16-78A7CCF6CC91}"/>
            </a:ext>
          </a:extLst>
        </cdr:cNvPr>
        <cdr:cNvCxnSpPr/>
      </cdr:nvCxnSpPr>
      <cdr:spPr>
        <a:xfrm xmlns:a="http://schemas.openxmlformats.org/drawingml/2006/main">
          <a:off x="915376" y="418062"/>
          <a:ext cx="2095500" cy="5954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FF000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0.58619</cdr:x>
      <cdr:y>0.10458</cdr:y>
    </cdr:from>
    <cdr:to>
      <cdr:x>0.77584</cdr:x>
      <cdr:y>0.18163</cdr:y>
    </cdr:to>
    <cdr:sp macro="" textlink="">
      <cdr:nvSpPr>
        <cdr:cNvPr id="7" name="CuadroTexto 23">
          <a:extLst xmlns:a="http://schemas.openxmlformats.org/drawingml/2006/main">
            <a:ext uri="{FF2B5EF4-FFF2-40B4-BE49-F238E27FC236}">
              <a16:creationId xmlns:a16="http://schemas.microsoft.com/office/drawing/2014/main" id="{9BA2976C-A6EB-401B-8514-DD141E9C77DD}"/>
            </a:ext>
          </a:extLst>
        </cdr:cNvPr>
        <cdr:cNvSpPr txBox="1"/>
      </cdr:nvSpPr>
      <cdr:spPr>
        <a:xfrm xmlns:a="http://schemas.openxmlformats.org/drawingml/2006/main">
          <a:off x="3044208" y="343878"/>
          <a:ext cx="984885" cy="25336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b="1">
              <a:solidFill>
                <a:srgbClr val="FF0000"/>
              </a:solidFill>
            </a:rPr>
            <a:t> }  </a:t>
          </a:r>
          <a:r>
            <a:rPr lang="el-GR" sz="1100" b="1">
              <a:solidFill>
                <a:srgbClr val="FF0000"/>
              </a:solidFill>
            </a:rPr>
            <a:t>α</a:t>
          </a:r>
          <a:r>
            <a:rPr lang="es-ES" sz="1100" b="1">
              <a:solidFill>
                <a:srgbClr val="FF0000"/>
              </a:solidFill>
            </a:rPr>
            <a:t>=4.4%</a:t>
          </a:r>
          <a:endParaRPr lang="es-AR" sz="1100" b="1">
            <a:solidFill>
              <a:srgbClr val="FF0000"/>
            </a:solidFill>
          </a:endParaRPr>
        </a:p>
      </cdr:txBody>
    </cdr:sp>
  </cdr:relSizeAnchor>
  <cdr:relSizeAnchor xmlns:cdr="http://schemas.openxmlformats.org/drawingml/2006/chartDrawing">
    <cdr:from>
      <cdr:x>0.32321</cdr:x>
      <cdr:y>0.15792</cdr:y>
    </cdr:from>
    <cdr:to>
      <cdr:x>0.58079</cdr:x>
      <cdr:y>0.16111</cdr:y>
    </cdr:to>
    <cdr:cxnSp macro="">
      <cdr:nvCxnSpPr>
        <cdr:cNvPr id="8" name="Conector recto 7">
          <a:extLst xmlns:a="http://schemas.openxmlformats.org/drawingml/2006/main">
            <a:ext uri="{FF2B5EF4-FFF2-40B4-BE49-F238E27FC236}">
              <a16:creationId xmlns:a16="http://schemas.microsoft.com/office/drawing/2014/main" id="{A4303D8E-75B5-447E-B3B7-4799B19A2F63}"/>
            </a:ext>
          </a:extLst>
        </cdr:cNvPr>
        <cdr:cNvCxnSpPr/>
      </cdr:nvCxnSpPr>
      <cdr:spPr>
        <a:xfrm xmlns:a="http://schemas.openxmlformats.org/drawingml/2006/main">
          <a:off x="1678499" y="519277"/>
          <a:ext cx="1337645" cy="10492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FF000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0.13447</cdr:x>
      <cdr:y>0.75636</cdr:y>
    </cdr:from>
    <cdr:to>
      <cdr:x>0.77957</cdr:x>
      <cdr:y>0.76036</cdr:y>
    </cdr:to>
    <cdr:cxnSp macro="">
      <cdr:nvCxnSpPr>
        <cdr:cNvPr id="12" name="Conector recto 11">
          <a:extLst xmlns:a="http://schemas.openxmlformats.org/drawingml/2006/main">
            <a:ext uri="{FF2B5EF4-FFF2-40B4-BE49-F238E27FC236}">
              <a16:creationId xmlns:a16="http://schemas.microsoft.com/office/drawing/2014/main" id="{3A2380F2-DA42-4412-B30E-244800084CB7}"/>
            </a:ext>
          </a:extLst>
        </cdr:cNvPr>
        <cdr:cNvCxnSpPr/>
      </cdr:nvCxnSpPr>
      <cdr:spPr>
        <a:xfrm xmlns:a="http://schemas.openxmlformats.org/drawingml/2006/main" flipV="1">
          <a:off x="698309" y="2487068"/>
          <a:ext cx="3350173" cy="13138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00B0F0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0.78176</cdr:x>
      <cdr:y>0.76093</cdr:y>
    </cdr:from>
    <cdr:to>
      <cdr:x>0.7821</cdr:x>
      <cdr:y>0.92417</cdr:y>
    </cdr:to>
    <cdr:cxnSp macro="">
      <cdr:nvCxnSpPr>
        <cdr:cNvPr id="13" name="Conector recto de flecha 12">
          <a:extLst xmlns:a="http://schemas.openxmlformats.org/drawingml/2006/main">
            <a:ext uri="{FF2B5EF4-FFF2-40B4-BE49-F238E27FC236}">
              <a16:creationId xmlns:a16="http://schemas.microsoft.com/office/drawing/2014/main" id="{85FE7EED-FA5E-4CDB-8F6F-E42F5CFEF6CB}"/>
            </a:ext>
          </a:extLst>
        </cdr:cNvPr>
        <cdr:cNvCxnSpPr/>
      </cdr:nvCxnSpPr>
      <cdr:spPr>
        <a:xfrm xmlns:a="http://schemas.openxmlformats.org/drawingml/2006/main">
          <a:off x="4059827" y="2502091"/>
          <a:ext cx="1793" cy="536770"/>
        </a:xfrm>
        <a:prstGeom xmlns:a="http://schemas.openxmlformats.org/drawingml/2006/main" prst="straightConnector1">
          <a:avLst/>
        </a:prstGeom>
        <a:ln xmlns:a="http://schemas.openxmlformats.org/drawingml/2006/main">
          <a:prstDash val="dash"/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0.02953</cdr:x>
      <cdr:y>0.72626</cdr:y>
    </cdr:from>
    <cdr:to>
      <cdr:x>0.11029</cdr:x>
      <cdr:y>0.80196</cdr:y>
    </cdr:to>
    <cdr:sp macro="" textlink="">
      <cdr:nvSpPr>
        <cdr:cNvPr id="14" name="CuadroTexto 33">
          <a:extLst xmlns:a="http://schemas.openxmlformats.org/drawingml/2006/main">
            <a:ext uri="{FF2B5EF4-FFF2-40B4-BE49-F238E27FC236}">
              <a16:creationId xmlns:a16="http://schemas.microsoft.com/office/drawing/2014/main" id="{086EF5FD-961F-4D60-B671-352773FEBEA6}"/>
            </a:ext>
          </a:extLst>
        </cdr:cNvPr>
        <cdr:cNvSpPr txBox="1"/>
      </cdr:nvSpPr>
      <cdr:spPr>
        <a:xfrm xmlns:a="http://schemas.openxmlformats.org/drawingml/2006/main">
          <a:off x="153377" y="2388088"/>
          <a:ext cx="419361" cy="24892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kumimoji="0" lang="el-GR" sz="900" b="1" i="0" u="none" strike="noStrike" kern="0" cap="none" spc="0" normalizeH="0" baseline="0" noProof="0">
              <a:ln>
                <a:noFill/>
              </a:ln>
              <a:solidFill>
                <a:srgbClr val="00B0F0"/>
              </a:solidFill>
              <a:effectLst/>
              <a:uLnTx/>
              <a:uFillTx/>
              <a:latin typeface="+mn-lt"/>
              <a:ea typeface="+mn-ea"/>
              <a:cs typeface="+mn-cs"/>
            </a:rPr>
            <a:t>β</a:t>
          </a:r>
          <a:r>
            <a:rPr kumimoji="0" lang="en-US" sz="900" b="1" i="0" u="none" strike="noStrike" kern="0" cap="none" spc="0" normalizeH="0" baseline="0" noProof="0">
              <a:ln>
                <a:noFill/>
              </a:ln>
              <a:solidFill>
                <a:srgbClr val="00B0F0"/>
              </a:solidFill>
              <a:effectLst/>
              <a:uLnTx/>
              <a:uFillTx/>
              <a:latin typeface="+mn-lt"/>
              <a:ea typeface="+mn-ea"/>
              <a:cs typeface="+mn-cs"/>
            </a:rPr>
            <a:t> =</a:t>
          </a:r>
          <a:endParaRPr lang="es-AR" sz="800" b="1">
            <a:solidFill>
              <a:srgbClr val="00B0F0"/>
            </a:solidFill>
          </a:endParaRPr>
        </a:p>
      </cdr:txBody>
    </cdr:sp>
  </cdr:relSizeAnchor>
  <cdr:relSizeAnchor xmlns:cdr="http://schemas.openxmlformats.org/drawingml/2006/chartDrawing">
    <cdr:from>
      <cdr:x>0.71127</cdr:x>
      <cdr:y>0.92505</cdr:y>
    </cdr:from>
    <cdr:to>
      <cdr:x>1</cdr:x>
      <cdr:y>1</cdr:y>
    </cdr:to>
    <cdr:sp macro="" textlink="">
      <cdr:nvSpPr>
        <cdr:cNvPr id="19" name="CuadroTexto 20">
          <a:extLst xmlns:a="http://schemas.openxmlformats.org/drawingml/2006/main">
            <a:ext uri="{FF2B5EF4-FFF2-40B4-BE49-F238E27FC236}">
              <a16:creationId xmlns:a16="http://schemas.microsoft.com/office/drawing/2014/main" id="{6C57411A-4967-4115-86D6-FE5A86E98ED3}"/>
            </a:ext>
          </a:extLst>
        </cdr:cNvPr>
        <cdr:cNvSpPr txBox="1"/>
      </cdr:nvSpPr>
      <cdr:spPr>
        <a:xfrm xmlns:a="http://schemas.openxmlformats.org/drawingml/2006/main">
          <a:off x="3693757" y="3041744"/>
          <a:ext cx="1499438" cy="2464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AR" sz="800" b="1">
              <a:solidFill>
                <a:srgbClr val="00B0F0"/>
              </a:solidFill>
            </a:rPr>
            <a:t>LTPD:1.06%</a:t>
          </a:r>
          <a:r>
            <a:rPr lang="es-AR" sz="800" b="1" baseline="0">
              <a:solidFill>
                <a:srgbClr val="00B0F0"/>
              </a:solidFill>
            </a:rPr>
            <a:t> </a:t>
          </a:r>
          <a:r>
            <a:rPr lang="es-AR" sz="800" b="1">
              <a:solidFill>
                <a:srgbClr val="00B0F0"/>
              </a:solidFill>
            </a:rPr>
            <a:t>prop. defecrtuosa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0.55036</cdr:x>
      <cdr:y>0.16672</cdr:y>
    </cdr:from>
    <cdr:to>
      <cdr:x>0.55566</cdr:x>
      <cdr:y>0.89862</cdr:y>
    </cdr:to>
    <cdr:cxnSp macro="">
      <cdr:nvCxnSpPr>
        <cdr:cNvPr id="2" name="Conector recto 1">
          <a:extLst xmlns:a="http://schemas.openxmlformats.org/drawingml/2006/main">
            <a:ext uri="{FF2B5EF4-FFF2-40B4-BE49-F238E27FC236}">
              <a16:creationId xmlns:a16="http://schemas.microsoft.com/office/drawing/2014/main" id="{4AE6AAA5-6EFC-EEBA-DCD3-FA41C11AD7F9}"/>
            </a:ext>
          </a:extLst>
        </cdr:cNvPr>
        <cdr:cNvCxnSpPr/>
      </cdr:nvCxnSpPr>
      <cdr:spPr>
        <a:xfrm xmlns:a="http://schemas.openxmlformats.org/drawingml/2006/main">
          <a:off x="2933700" y="619125"/>
          <a:ext cx="28226" cy="2717899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FF0000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0.13104</cdr:x>
      <cdr:y>0.12349</cdr:y>
    </cdr:from>
    <cdr:to>
      <cdr:x>0.61112</cdr:x>
      <cdr:y>0.12825</cdr:y>
    </cdr:to>
    <cdr:cxnSp macro="">
      <cdr:nvCxnSpPr>
        <cdr:cNvPr id="3" name="Conector recto 2">
          <a:extLst xmlns:a="http://schemas.openxmlformats.org/drawingml/2006/main">
            <a:ext uri="{FF2B5EF4-FFF2-40B4-BE49-F238E27FC236}">
              <a16:creationId xmlns:a16="http://schemas.microsoft.com/office/drawing/2014/main" id="{50297C0E-4516-3545-70E6-2AB82409A894}"/>
            </a:ext>
          </a:extLst>
        </cdr:cNvPr>
        <cdr:cNvCxnSpPr/>
      </cdr:nvCxnSpPr>
      <cdr:spPr>
        <a:xfrm xmlns:a="http://schemas.openxmlformats.org/drawingml/2006/main">
          <a:off x="698500" y="458574"/>
          <a:ext cx="2559050" cy="17676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FF000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0.62869</cdr:x>
      <cdr:y>0.10602</cdr:y>
    </cdr:from>
    <cdr:to>
      <cdr:x>0.81345</cdr:x>
      <cdr:y>0.17444</cdr:y>
    </cdr:to>
    <cdr:sp macro="" textlink="">
      <cdr:nvSpPr>
        <cdr:cNvPr id="4" name="CuadroTexto 23">
          <a:extLst xmlns:a="http://schemas.openxmlformats.org/drawingml/2006/main">
            <a:ext uri="{FF2B5EF4-FFF2-40B4-BE49-F238E27FC236}">
              <a16:creationId xmlns:a16="http://schemas.microsoft.com/office/drawing/2014/main" id="{F987DA76-474A-5C5B-F8FE-3DB76431308D}"/>
            </a:ext>
          </a:extLst>
        </cdr:cNvPr>
        <cdr:cNvSpPr txBox="1"/>
      </cdr:nvSpPr>
      <cdr:spPr>
        <a:xfrm xmlns:a="http://schemas.openxmlformats.org/drawingml/2006/main">
          <a:off x="3351207" y="393700"/>
          <a:ext cx="984885" cy="25409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b="1">
              <a:solidFill>
                <a:srgbClr val="FF0000"/>
              </a:solidFill>
            </a:rPr>
            <a:t> }  </a:t>
          </a:r>
          <a:r>
            <a:rPr lang="el-GR" sz="1100" b="1">
              <a:solidFill>
                <a:srgbClr val="FF0000"/>
              </a:solidFill>
            </a:rPr>
            <a:t>α</a:t>
          </a:r>
          <a:r>
            <a:rPr lang="es-ES" sz="1100" b="1">
              <a:solidFill>
                <a:srgbClr val="FF0000"/>
              </a:solidFill>
            </a:rPr>
            <a:t>=3.68%</a:t>
          </a:r>
          <a:endParaRPr lang="es-AR" sz="1100" b="1">
            <a:solidFill>
              <a:srgbClr val="FF0000"/>
            </a:solidFill>
          </a:endParaRPr>
        </a:p>
      </cdr:txBody>
    </cdr:sp>
  </cdr:relSizeAnchor>
  <cdr:relSizeAnchor xmlns:cdr="http://schemas.openxmlformats.org/drawingml/2006/chartDrawing">
    <cdr:from>
      <cdr:x>0.13044</cdr:x>
      <cdr:y>0.15133</cdr:y>
    </cdr:from>
    <cdr:to>
      <cdr:x>0.60754</cdr:x>
      <cdr:y>0.15646</cdr:y>
    </cdr:to>
    <cdr:cxnSp macro="">
      <cdr:nvCxnSpPr>
        <cdr:cNvPr id="5" name="Conector recto 4">
          <a:extLst xmlns:a="http://schemas.openxmlformats.org/drawingml/2006/main">
            <a:ext uri="{FF2B5EF4-FFF2-40B4-BE49-F238E27FC236}">
              <a16:creationId xmlns:a16="http://schemas.microsoft.com/office/drawing/2014/main" id="{7F941480-A8C2-C589-2E20-26E42A5EC700}"/>
            </a:ext>
          </a:extLst>
        </cdr:cNvPr>
        <cdr:cNvCxnSpPr/>
      </cdr:nvCxnSpPr>
      <cdr:spPr>
        <a:xfrm xmlns:a="http://schemas.openxmlformats.org/drawingml/2006/main">
          <a:off x="695325" y="561975"/>
          <a:ext cx="2543175" cy="1905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FF000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0.4491</cdr:x>
      <cdr:y>0.8396</cdr:y>
    </cdr:from>
    <cdr:to>
      <cdr:x>0.55099</cdr:x>
      <cdr:y>0.91417</cdr:y>
    </cdr:to>
    <cdr:sp macro="" textlink="">
      <cdr:nvSpPr>
        <cdr:cNvPr id="11" name="CuadroTexto 4">
          <a:extLst xmlns:a="http://schemas.openxmlformats.org/drawingml/2006/main">
            <a:ext uri="{FF2B5EF4-FFF2-40B4-BE49-F238E27FC236}">
              <a16:creationId xmlns:a16="http://schemas.microsoft.com/office/drawing/2014/main" id="{599E3E25-D029-FF2D-0A11-54FC60241EAC}"/>
            </a:ext>
          </a:extLst>
        </cdr:cNvPr>
        <cdr:cNvSpPr txBox="1"/>
      </cdr:nvSpPr>
      <cdr:spPr>
        <a:xfrm xmlns:a="http://schemas.openxmlformats.org/drawingml/2006/main">
          <a:off x="2393950" y="3117850"/>
          <a:ext cx="543122" cy="27691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AR" sz="1100" b="1">
              <a:solidFill>
                <a:srgbClr val="FF0000"/>
              </a:solidFill>
            </a:rPr>
            <a:t>AQL</a:t>
          </a:r>
        </a:p>
      </cdr:txBody>
    </cdr:sp>
  </cdr:relSizeAnchor>
  <cdr:relSizeAnchor xmlns:cdr="http://schemas.openxmlformats.org/drawingml/2006/chartDrawing">
    <cdr:from>
      <cdr:x>0.1364</cdr:x>
      <cdr:y>0.77719</cdr:y>
    </cdr:from>
    <cdr:to>
      <cdr:x>0.83984</cdr:x>
      <cdr:y>0.77902</cdr:y>
    </cdr:to>
    <cdr:cxnSp macro="">
      <cdr:nvCxnSpPr>
        <cdr:cNvPr id="12" name="Conector recto 11">
          <a:extLst xmlns:a="http://schemas.openxmlformats.org/drawingml/2006/main">
            <a:ext uri="{FF2B5EF4-FFF2-40B4-BE49-F238E27FC236}">
              <a16:creationId xmlns:a16="http://schemas.microsoft.com/office/drawing/2014/main" id="{757F3DBC-1BAD-D187-F356-6DCD48C8F101}"/>
            </a:ext>
          </a:extLst>
        </cdr:cNvPr>
        <cdr:cNvCxnSpPr/>
      </cdr:nvCxnSpPr>
      <cdr:spPr>
        <a:xfrm xmlns:a="http://schemas.openxmlformats.org/drawingml/2006/main" flipV="1">
          <a:off x="727075" y="2886075"/>
          <a:ext cx="3749675" cy="6826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00B0F0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0.83313</cdr:x>
      <cdr:y>0.77953</cdr:y>
    </cdr:from>
    <cdr:to>
      <cdr:x>0.83347</cdr:x>
      <cdr:y>0.9245</cdr:y>
    </cdr:to>
    <cdr:cxnSp macro="">
      <cdr:nvCxnSpPr>
        <cdr:cNvPr id="13" name="Conector recto de flecha 12">
          <a:extLst xmlns:a="http://schemas.openxmlformats.org/drawingml/2006/main">
            <a:ext uri="{FF2B5EF4-FFF2-40B4-BE49-F238E27FC236}">
              <a16:creationId xmlns:a16="http://schemas.microsoft.com/office/drawing/2014/main" id="{64582E15-F92A-9DA4-4E49-A2CA8E53F74E}"/>
            </a:ext>
          </a:extLst>
        </cdr:cNvPr>
        <cdr:cNvCxnSpPr/>
      </cdr:nvCxnSpPr>
      <cdr:spPr>
        <a:xfrm xmlns:a="http://schemas.openxmlformats.org/drawingml/2006/main">
          <a:off x="4441018" y="2894792"/>
          <a:ext cx="1793" cy="538325"/>
        </a:xfrm>
        <a:prstGeom xmlns:a="http://schemas.openxmlformats.org/drawingml/2006/main" prst="straightConnector1">
          <a:avLst/>
        </a:prstGeom>
        <a:ln xmlns:a="http://schemas.openxmlformats.org/drawingml/2006/main">
          <a:prstDash val="dash"/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0.69835</cdr:x>
      <cdr:y>0.92528</cdr:y>
    </cdr:from>
    <cdr:to>
      <cdr:x>0.97964</cdr:x>
      <cdr:y>0.99183</cdr:y>
    </cdr:to>
    <cdr:sp macro="" textlink="">
      <cdr:nvSpPr>
        <cdr:cNvPr id="14" name="CuadroTexto 20">
          <a:extLst xmlns:a="http://schemas.openxmlformats.org/drawingml/2006/main">
            <a:ext uri="{FF2B5EF4-FFF2-40B4-BE49-F238E27FC236}">
              <a16:creationId xmlns:a16="http://schemas.microsoft.com/office/drawing/2014/main" id="{4CDA707B-AE2E-9C06-B8B9-9D10CEFD33AF}"/>
            </a:ext>
          </a:extLst>
        </cdr:cNvPr>
        <cdr:cNvSpPr txBox="1"/>
      </cdr:nvSpPr>
      <cdr:spPr>
        <a:xfrm xmlns:a="http://schemas.openxmlformats.org/drawingml/2006/main">
          <a:off x="3722523" y="3436008"/>
          <a:ext cx="1499438" cy="24716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AR" sz="800" b="1">
              <a:solidFill>
                <a:srgbClr val="00B0F0"/>
              </a:solidFill>
            </a:rPr>
            <a:t>LTPD:1.06%</a:t>
          </a:r>
          <a:r>
            <a:rPr lang="es-AR" sz="800" b="1" baseline="0">
              <a:solidFill>
                <a:srgbClr val="00B0F0"/>
              </a:solidFill>
            </a:rPr>
            <a:t> </a:t>
          </a:r>
          <a:r>
            <a:rPr lang="es-AR" sz="800" b="1">
              <a:solidFill>
                <a:srgbClr val="00B0F0"/>
              </a:solidFill>
            </a:rPr>
            <a:t>prop. defecrtuosa</a:t>
          </a:r>
        </a:p>
      </cdr:txBody>
    </cdr:sp>
  </cdr:relSizeAnchor>
  <cdr:relSizeAnchor xmlns:cdr="http://schemas.openxmlformats.org/drawingml/2006/chartDrawing">
    <cdr:from>
      <cdr:x>0.02647</cdr:x>
      <cdr:y>0.74573</cdr:y>
    </cdr:from>
    <cdr:to>
      <cdr:x>0.08577</cdr:x>
      <cdr:y>0.81229</cdr:y>
    </cdr:to>
    <cdr:sp macro="" textlink="">
      <cdr:nvSpPr>
        <cdr:cNvPr id="18" name="CuadroTexto 20">
          <a:extLst xmlns:a="http://schemas.openxmlformats.org/drawingml/2006/main">
            <a:ext uri="{FF2B5EF4-FFF2-40B4-BE49-F238E27FC236}">
              <a16:creationId xmlns:a16="http://schemas.microsoft.com/office/drawing/2014/main" id="{4CDA707B-AE2E-9C06-B8B9-9D10CEFD33AF}"/>
            </a:ext>
          </a:extLst>
        </cdr:cNvPr>
        <cdr:cNvSpPr txBox="1"/>
      </cdr:nvSpPr>
      <cdr:spPr>
        <a:xfrm xmlns:a="http://schemas.openxmlformats.org/drawingml/2006/main">
          <a:off x="141123" y="2769258"/>
          <a:ext cx="316077" cy="24716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AR" sz="800" b="1">
              <a:solidFill>
                <a:srgbClr val="00B0F0"/>
              </a:solidFill>
            </a:rPr>
            <a:t>B=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240030</xdr:colOff>
      <xdr:row>36</xdr:row>
      <xdr:rowOff>171450</xdr:rowOff>
    </xdr:from>
    <xdr:to>
      <xdr:col>13</xdr:col>
      <xdr:colOff>81915</xdr:colOff>
      <xdr:row>50</xdr:row>
      <xdr:rowOff>140970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361950</xdr:colOff>
      <xdr:row>46</xdr:row>
      <xdr:rowOff>196215</xdr:rowOff>
    </xdr:from>
    <xdr:to>
      <xdr:col>10</xdr:col>
      <xdr:colOff>148590</xdr:colOff>
      <xdr:row>47</xdr:row>
      <xdr:rowOff>11430</xdr:rowOff>
    </xdr:to>
    <xdr:cxnSp macro="">
      <xdr:nvCxnSpPr>
        <xdr:cNvPr id="13" name="Conector recto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CxnSpPr/>
      </xdr:nvCxnSpPr>
      <xdr:spPr>
        <a:xfrm>
          <a:off x="4953000" y="9035415"/>
          <a:ext cx="2644140" cy="15240"/>
        </a:xfrm>
        <a:prstGeom prst="line">
          <a:avLst/>
        </a:prstGeom>
        <a:ln>
          <a:solidFill>
            <a:srgbClr val="00B0F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190832</xdr:colOff>
      <xdr:row>46</xdr:row>
      <xdr:rowOff>171947</xdr:rowOff>
    </xdr:from>
    <xdr:to>
      <xdr:col>10</xdr:col>
      <xdr:colOff>198783</xdr:colOff>
      <xdr:row>48</xdr:row>
      <xdr:rowOff>182218</xdr:rowOff>
    </xdr:to>
    <xdr:cxnSp macro="">
      <xdr:nvCxnSpPr>
        <xdr:cNvPr id="15" name="Conector recto de flecha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CxnSpPr/>
      </xdr:nvCxnSpPr>
      <xdr:spPr>
        <a:xfrm>
          <a:off x="7620332" y="8976360"/>
          <a:ext cx="7951" cy="407836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240030</xdr:colOff>
      <xdr:row>49</xdr:row>
      <xdr:rowOff>26670</xdr:rowOff>
    </xdr:from>
    <xdr:to>
      <xdr:col>11</xdr:col>
      <xdr:colOff>13335</xdr:colOff>
      <xdr:row>50</xdr:row>
      <xdr:rowOff>80010</xdr:rowOff>
    </xdr:to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 txBox="1"/>
      </xdr:nvSpPr>
      <xdr:spPr>
        <a:xfrm>
          <a:off x="6974205" y="9465945"/>
          <a:ext cx="1202055" cy="2533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800" b="1">
              <a:solidFill>
                <a:srgbClr val="00B0F0"/>
              </a:solidFill>
            </a:rPr>
            <a:t>LTPD:2.66 DEF/100UNI</a:t>
          </a:r>
        </a:p>
      </xdr:txBody>
    </xdr:sp>
    <xdr:clientData/>
  </xdr:twoCellAnchor>
  <xdr:twoCellAnchor>
    <xdr:from>
      <xdr:col>7</xdr:col>
      <xdr:colOff>43815</xdr:colOff>
      <xdr:row>39</xdr:row>
      <xdr:rowOff>87630</xdr:rowOff>
    </xdr:from>
    <xdr:to>
      <xdr:col>7</xdr:col>
      <xdr:colOff>59055</xdr:colOff>
      <xdr:row>47</xdr:row>
      <xdr:rowOff>148590</xdr:rowOff>
    </xdr:to>
    <xdr:cxnSp macro="">
      <xdr:nvCxnSpPr>
        <xdr:cNvPr id="18" name="Conector rect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CxnSpPr/>
      </xdr:nvCxnSpPr>
      <xdr:spPr>
        <a:xfrm>
          <a:off x="5349240" y="7526655"/>
          <a:ext cx="15240" cy="1661160"/>
        </a:xfrm>
        <a:prstGeom prst="line">
          <a:avLst/>
        </a:prstGeom>
        <a:ln>
          <a:solidFill>
            <a:srgbClr val="FF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643890</xdr:colOff>
      <xdr:row>48</xdr:row>
      <xdr:rowOff>156210</xdr:rowOff>
    </xdr:from>
    <xdr:to>
      <xdr:col>7</xdr:col>
      <xdr:colOff>407670</xdr:colOff>
      <xdr:row>50</xdr:row>
      <xdr:rowOff>19050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 txBox="1"/>
      </xdr:nvSpPr>
      <xdr:spPr>
        <a:xfrm>
          <a:off x="5234940" y="9395460"/>
          <a:ext cx="478155" cy="2628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100" b="1">
              <a:solidFill>
                <a:srgbClr val="FF0000"/>
              </a:solidFill>
            </a:rPr>
            <a:t>AQL</a:t>
          </a:r>
        </a:p>
      </xdr:txBody>
    </xdr:sp>
    <xdr:clientData/>
  </xdr:twoCellAnchor>
  <xdr:twoCellAnchor>
    <xdr:from>
      <xdr:col>7</xdr:col>
      <xdr:colOff>68580</xdr:colOff>
      <xdr:row>39</xdr:row>
      <xdr:rowOff>89535</xdr:rowOff>
    </xdr:from>
    <xdr:to>
      <xdr:col>7</xdr:col>
      <xdr:colOff>455295</xdr:colOff>
      <xdr:row>39</xdr:row>
      <xdr:rowOff>89535</xdr:rowOff>
    </xdr:to>
    <xdr:cxnSp macro="">
      <xdr:nvCxnSpPr>
        <xdr:cNvPr id="21" name="Conector rect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CxnSpPr/>
      </xdr:nvCxnSpPr>
      <xdr:spPr>
        <a:xfrm>
          <a:off x="5374005" y="7528560"/>
          <a:ext cx="386715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316230</xdr:colOff>
      <xdr:row>38</xdr:row>
      <xdr:rowOff>188595</xdr:rowOff>
    </xdr:from>
    <xdr:to>
      <xdr:col>7</xdr:col>
      <xdr:colOff>461010</xdr:colOff>
      <xdr:row>39</xdr:row>
      <xdr:rowOff>3810</xdr:rowOff>
    </xdr:to>
    <xdr:cxnSp macro="">
      <xdr:nvCxnSpPr>
        <xdr:cNvPr id="23" name="Conector rect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CxnSpPr/>
      </xdr:nvCxnSpPr>
      <xdr:spPr>
        <a:xfrm>
          <a:off x="4907280" y="7427595"/>
          <a:ext cx="859155" cy="1524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519154</xdr:colOff>
      <xdr:row>38</xdr:row>
      <xdr:rowOff>189176</xdr:rowOff>
    </xdr:from>
    <xdr:to>
      <xdr:col>7</xdr:col>
      <xdr:colOff>564873</xdr:colOff>
      <xdr:row>39</xdr:row>
      <xdr:rowOff>119933</xdr:rowOff>
    </xdr:to>
    <xdr:sp macro="" textlink="">
      <xdr:nvSpPr>
        <xdr:cNvPr id="24" name="Cerrar llave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5811741" y="7403328"/>
          <a:ext cx="45719" cy="129540"/>
        </a:xfrm>
        <a:prstGeom prst="rightBrac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7</xdr:col>
      <xdr:colOff>521970</xdr:colOff>
      <xdr:row>38</xdr:row>
      <xdr:rowOff>110490</xdr:rowOff>
    </xdr:from>
    <xdr:to>
      <xdr:col>8</xdr:col>
      <xdr:colOff>544830</xdr:colOff>
      <xdr:row>39</xdr:row>
      <xdr:rowOff>163830</xdr:rowOff>
    </xdr:to>
    <xdr:sp macro="" textlink="">
      <xdr:nvSpPr>
        <xdr:cNvPr id="25" name="CuadroText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 txBox="1"/>
      </xdr:nvSpPr>
      <xdr:spPr>
        <a:xfrm>
          <a:off x="5827395" y="7349490"/>
          <a:ext cx="737235" cy="2533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l-GR" sz="1100" b="1">
              <a:solidFill>
                <a:srgbClr val="FF0000"/>
              </a:solidFill>
            </a:rPr>
            <a:t>α</a:t>
          </a:r>
          <a:r>
            <a:rPr lang="es-ES" sz="1100" b="1">
              <a:solidFill>
                <a:srgbClr val="FF0000"/>
              </a:solidFill>
            </a:rPr>
            <a:t>=4,74%</a:t>
          </a:r>
          <a:endParaRPr lang="es-AR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638175</xdr:colOff>
      <xdr:row>76</xdr:row>
      <xdr:rowOff>95250</xdr:rowOff>
    </xdr:from>
    <xdr:to>
      <xdr:col>14</xdr:col>
      <xdr:colOff>438150</xdr:colOff>
      <xdr:row>94</xdr:row>
      <xdr:rowOff>38100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E7129D3C-9BA7-4153-A251-7FD46E2F65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438150</xdr:colOff>
      <xdr:row>136</xdr:row>
      <xdr:rowOff>142875</xdr:rowOff>
    </xdr:from>
    <xdr:to>
      <xdr:col>16</xdr:col>
      <xdr:colOff>57150</xdr:colOff>
      <xdr:row>154</xdr:row>
      <xdr:rowOff>171450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61D09A38-8D74-4A22-A3B0-E0FB6ED4E2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</xdr:col>
      <xdr:colOff>647700</xdr:colOff>
      <xdr:row>169</xdr:row>
      <xdr:rowOff>123825</xdr:rowOff>
    </xdr:from>
    <xdr:to>
      <xdr:col>12</xdr:col>
      <xdr:colOff>442107</xdr:colOff>
      <xdr:row>194</xdr:row>
      <xdr:rowOff>76200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3D79D6B3-8B3B-444D-A30F-255E124B7E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076450" y="33842325"/>
          <a:ext cx="7242957" cy="4953000"/>
        </a:xfrm>
        <a:prstGeom prst="rect">
          <a:avLst/>
        </a:prstGeom>
      </xdr:spPr>
    </xdr:pic>
    <xdr:clientData/>
  </xdr:twoCellAnchor>
  <xdr:twoCellAnchor>
    <xdr:from>
      <xdr:col>7</xdr:col>
      <xdr:colOff>66675</xdr:colOff>
      <xdr:row>171</xdr:row>
      <xdr:rowOff>104775</xdr:rowOff>
    </xdr:from>
    <xdr:to>
      <xdr:col>7</xdr:col>
      <xdr:colOff>447676</xdr:colOff>
      <xdr:row>172</xdr:row>
      <xdr:rowOff>153093</xdr:rowOff>
    </xdr:to>
    <xdr:sp macro="" textlink="">
      <xdr:nvSpPr>
        <xdr:cNvPr id="22" name="CuadroTexto 4">
          <a:extLst>
            <a:ext uri="{FF2B5EF4-FFF2-40B4-BE49-F238E27FC236}">
              <a16:creationId xmlns:a16="http://schemas.microsoft.com/office/drawing/2014/main" id="{D03CE0DE-856E-4B19-B98D-1D8AAA19053C}"/>
            </a:ext>
          </a:extLst>
        </xdr:cNvPr>
        <xdr:cNvSpPr txBox="1"/>
      </xdr:nvSpPr>
      <xdr:spPr>
        <a:xfrm>
          <a:off x="5372100" y="34223325"/>
          <a:ext cx="381001" cy="248343"/>
        </a:xfrm>
        <a:prstGeom prst="rect">
          <a:avLst/>
        </a:prstGeom>
        <a:solidFill>
          <a:sysClr val="windowText" lastClr="000000">
            <a:lumMod val="65000"/>
            <a:lumOff val="35000"/>
          </a:sys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AR" sz="1000" b="1">
              <a:solidFill>
                <a:srgbClr val="FF0000"/>
              </a:solidFill>
            </a:rPr>
            <a:t>125</a:t>
          </a:r>
          <a:endParaRPr lang="es-AR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200025</xdr:colOff>
      <xdr:row>181</xdr:row>
      <xdr:rowOff>0</xdr:rowOff>
    </xdr:from>
    <xdr:to>
      <xdr:col>4</xdr:col>
      <xdr:colOff>419100</xdr:colOff>
      <xdr:row>182</xdr:row>
      <xdr:rowOff>48318</xdr:rowOff>
    </xdr:to>
    <xdr:sp macro="" textlink="">
      <xdr:nvSpPr>
        <xdr:cNvPr id="26" name="CuadroTexto 4">
          <a:extLst>
            <a:ext uri="{FF2B5EF4-FFF2-40B4-BE49-F238E27FC236}">
              <a16:creationId xmlns:a16="http://schemas.microsoft.com/office/drawing/2014/main" id="{F29A34D8-38C3-42CB-AC67-CEAE0AA5363F}"/>
            </a:ext>
          </a:extLst>
        </xdr:cNvPr>
        <xdr:cNvSpPr txBox="1"/>
      </xdr:nvSpPr>
      <xdr:spPr>
        <a:xfrm>
          <a:off x="3057525" y="36118800"/>
          <a:ext cx="219075" cy="248343"/>
        </a:xfrm>
        <a:prstGeom prst="rect">
          <a:avLst/>
        </a:prstGeom>
        <a:solidFill>
          <a:sysClr val="windowText" lastClr="000000">
            <a:lumMod val="65000"/>
            <a:lumOff val="35000"/>
          </a:sys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AR" sz="1000" b="1">
              <a:solidFill>
                <a:srgbClr val="FF0000"/>
              </a:solidFill>
            </a:rPr>
            <a:t>0</a:t>
          </a:r>
          <a:endParaRPr lang="es-AR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6</xdr:col>
      <xdr:colOff>695325</xdr:colOff>
      <xdr:row>179</xdr:row>
      <xdr:rowOff>9525</xdr:rowOff>
    </xdr:from>
    <xdr:to>
      <xdr:col>7</xdr:col>
      <xdr:colOff>200025</xdr:colOff>
      <xdr:row>180</xdr:row>
      <xdr:rowOff>57843</xdr:rowOff>
    </xdr:to>
    <xdr:sp macro="" textlink="">
      <xdr:nvSpPr>
        <xdr:cNvPr id="29" name="CuadroTexto 4">
          <a:extLst>
            <a:ext uri="{FF2B5EF4-FFF2-40B4-BE49-F238E27FC236}">
              <a16:creationId xmlns:a16="http://schemas.microsoft.com/office/drawing/2014/main" id="{72D93920-6DD4-4E28-86F2-66877EE876A2}"/>
            </a:ext>
          </a:extLst>
        </xdr:cNvPr>
        <xdr:cNvSpPr txBox="1"/>
      </xdr:nvSpPr>
      <xdr:spPr>
        <a:xfrm>
          <a:off x="5286375" y="35728275"/>
          <a:ext cx="219075" cy="248343"/>
        </a:xfrm>
        <a:prstGeom prst="rect">
          <a:avLst/>
        </a:prstGeom>
        <a:solidFill>
          <a:sysClr val="windowText" lastClr="000000">
            <a:lumMod val="65000"/>
            <a:lumOff val="35000"/>
          </a:sys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AR" sz="1000" b="1">
              <a:solidFill>
                <a:srgbClr val="FF0000"/>
              </a:solidFill>
            </a:rPr>
            <a:t>0</a:t>
          </a:r>
          <a:endParaRPr lang="es-AR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381000</xdr:colOff>
      <xdr:row>179</xdr:row>
      <xdr:rowOff>28575</xdr:rowOff>
    </xdr:from>
    <xdr:to>
      <xdr:col>8</xdr:col>
      <xdr:colOff>600075</xdr:colOff>
      <xdr:row>180</xdr:row>
      <xdr:rowOff>76893</xdr:rowOff>
    </xdr:to>
    <xdr:sp macro="" textlink="">
      <xdr:nvSpPr>
        <xdr:cNvPr id="30" name="CuadroTexto 4">
          <a:extLst>
            <a:ext uri="{FF2B5EF4-FFF2-40B4-BE49-F238E27FC236}">
              <a16:creationId xmlns:a16="http://schemas.microsoft.com/office/drawing/2014/main" id="{B1C2E65C-677C-4B11-BFBF-B823CDFAC7E0}"/>
            </a:ext>
          </a:extLst>
        </xdr:cNvPr>
        <xdr:cNvSpPr txBox="1"/>
      </xdr:nvSpPr>
      <xdr:spPr>
        <a:xfrm>
          <a:off x="6400800" y="35747325"/>
          <a:ext cx="219075" cy="248343"/>
        </a:xfrm>
        <a:prstGeom prst="rect">
          <a:avLst/>
        </a:prstGeom>
        <a:solidFill>
          <a:sysClr val="windowText" lastClr="000000">
            <a:lumMod val="65000"/>
            <a:lumOff val="35000"/>
          </a:sys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AR" sz="1000" b="1">
              <a:solidFill>
                <a:srgbClr val="FF0000"/>
              </a:solidFill>
            </a:rPr>
            <a:t>2</a:t>
          </a:r>
          <a:endParaRPr lang="es-AR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10</xdr:col>
      <xdr:colOff>676275</xdr:colOff>
      <xdr:row>181</xdr:row>
      <xdr:rowOff>9525</xdr:rowOff>
    </xdr:from>
    <xdr:to>
      <xdr:col>11</xdr:col>
      <xdr:colOff>180975</xdr:colOff>
      <xdr:row>182</xdr:row>
      <xdr:rowOff>57843</xdr:rowOff>
    </xdr:to>
    <xdr:sp macro="" textlink="">
      <xdr:nvSpPr>
        <xdr:cNvPr id="31" name="CuadroTexto 4">
          <a:extLst>
            <a:ext uri="{FF2B5EF4-FFF2-40B4-BE49-F238E27FC236}">
              <a16:creationId xmlns:a16="http://schemas.microsoft.com/office/drawing/2014/main" id="{3A1C2879-98A8-473B-8083-734831CF6570}"/>
            </a:ext>
          </a:extLst>
        </xdr:cNvPr>
        <xdr:cNvSpPr txBox="1"/>
      </xdr:nvSpPr>
      <xdr:spPr>
        <a:xfrm>
          <a:off x="8124825" y="36128325"/>
          <a:ext cx="219075" cy="248343"/>
        </a:xfrm>
        <a:prstGeom prst="rect">
          <a:avLst/>
        </a:prstGeom>
        <a:solidFill>
          <a:sysClr val="windowText" lastClr="000000">
            <a:lumMod val="65000"/>
            <a:lumOff val="35000"/>
          </a:sys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AR" sz="1000" b="1">
              <a:solidFill>
                <a:srgbClr val="FF0000"/>
              </a:solidFill>
            </a:rPr>
            <a:t>2</a:t>
          </a:r>
          <a:endParaRPr lang="es-AR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7</xdr:col>
      <xdr:colOff>38100</xdr:colOff>
      <xdr:row>183</xdr:row>
      <xdr:rowOff>123825</xdr:rowOff>
    </xdr:from>
    <xdr:to>
      <xdr:col>7</xdr:col>
      <xdr:colOff>419101</xdr:colOff>
      <xdr:row>184</xdr:row>
      <xdr:rowOff>172143</xdr:rowOff>
    </xdr:to>
    <xdr:sp macro="" textlink="">
      <xdr:nvSpPr>
        <xdr:cNvPr id="32" name="CuadroTexto 4">
          <a:extLst>
            <a:ext uri="{FF2B5EF4-FFF2-40B4-BE49-F238E27FC236}">
              <a16:creationId xmlns:a16="http://schemas.microsoft.com/office/drawing/2014/main" id="{B00B28B4-736D-4418-9546-955C34D50A7C}"/>
            </a:ext>
          </a:extLst>
        </xdr:cNvPr>
        <xdr:cNvSpPr txBox="1"/>
      </xdr:nvSpPr>
      <xdr:spPr>
        <a:xfrm>
          <a:off x="5343525" y="36642675"/>
          <a:ext cx="381001" cy="248343"/>
        </a:xfrm>
        <a:prstGeom prst="rect">
          <a:avLst/>
        </a:prstGeom>
        <a:solidFill>
          <a:sysClr val="windowText" lastClr="000000">
            <a:lumMod val="65000"/>
            <a:lumOff val="35000"/>
          </a:sys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AR" sz="1000" b="1">
              <a:solidFill>
                <a:srgbClr val="FF0000"/>
              </a:solidFill>
            </a:rPr>
            <a:t>125</a:t>
          </a:r>
          <a:endParaRPr lang="es-AR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6</xdr:col>
      <xdr:colOff>180975</xdr:colOff>
      <xdr:row>191</xdr:row>
      <xdr:rowOff>190500</xdr:rowOff>
    </xdr:from>
    <xdr:to>
      <xdr:col>6</xdr:col>
      <xdr:colOff>400050</xdr:colOff>
      <xdr:row>193</xdr:row>
      <xdr:rowOff>38793</xdr:rowOff>
    </xdr:to>
    <xdr:sp macro="" textlink="">
      <xdr:nvSpPr>
        <xdr:cNvPr id="33" name="CuadroTexto 4">
          <a:extLst>
            <a:ext uri="{FF2B5EF4-FFF2-40B4-BE49-F238E27FC236}">
              <a16:creationId xmlns:a16="http://schemas.microsoft.com/office/drawing/2014/main" id="{C59DD6FF-5902-40EC-A8F9-358D678FDC92}"/>
            </a:ext>
          </a:extLst>
        </xdr:cNvPr>
        <xdr:cNvSpPr txBox="1"/>
      </xdr:nvSpPr>
      <xdr:spPr>
        <a:xfrm>
          <a:off x="4772025" y="38309550"/>
          <a:ext cx="219075" cy="248343"/>
        </a:xfrm>
        <a:prstGeom prst="rect">
          <a:avLst/>
        </a:prstGeom>
        <a:solidFill>
          <a:sysClr val="windowText" lastClr="000000">
            <a:lumMod val="65000"/>
            <a:lumOff val="35000"/>
          </a:sys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AR" sz="1000" b="1">
              <a:solidFill>
                <a:srgbClr val="FF0000"/>
              </a:solidFill>
            </a:rPr>
            <a:t>1</a:t>
          </a:r>
          <a:endParaRPr lang="es-AR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9</xdr:col>
      <xdr:colOff>47625</xdr:colOff>
      <xdr:row>192</xdr:row>
      <xdr:rowOff>0</xdr:rowOff>
    </xdr:from>
    <xdr:to>
      <xdr:col>9</xdr:col>
      <xdr:colOff>266700</xdr:colOff>
      <xdr:row>193</xdr:row>
      <xdr:rowOff>48318</xdr:rowOff>
    </xdr:to>
    <xdr:sp macro="" textlink="">
      <xdr:nvSpPr>
        <xdr:cNvPr id="34" name="CuadroTexto 4">
          <a:extLst>
            <a:ext uri="{FF2B5EF4-FFF2-40B4-BE49-F238E27FC236}">
              <a16:creationId xmlns:a16="http://schemas.microsoft.com/office/drawing/2014/main" id="{488A4283-24EC-4CD9-B13D-F48B9F8E4FF2}"/>
            </a:ext>
          </a:extLst>
        </xdr:cNvPr>
        <xdr:cNvSpPr txBox="1"/>
      </xdr:nvSpPr>
      <xdr:spPr>
        <a:xfrm>
          <a:off x="6781800" y="38319075"/>
          <a:ext cx="219075" cy="248343"/>
        </a:xfrm>
        <a:prstGeom prst="rect">
          <a:avLst/>
        </a:prstGeom>
        <a:solidFill>
          <a:sysClr val="windowText" lastClr="000000">
            <a:lumMod val="65000"/>
            <a:lumOff val="35000"/>
          </a:sys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AR" sz="1000" b="1">
              <a:solidFill>
                <a:srgbClr val="FF0000"/>
              </a:solidFill>
            </a:rPr>
            <a:t>2</a:t>
          </a:r>
          <a:endParaRPr lang="es-AR" sz="1400" b="1">
            <a:solidFill>
              <a:srgbClr val="FF00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0.05369</cdr:x>
      <cdr:y>0.68889</cdr:y>
    </cdr:from>
    <cdr:to>
      <cdr:x>0.11409</cdr:x>
      <cdr:y>0.80556</cdr:y>
    </cdr:to>
    <cdr:sp macro="" textlink="">
      <cdr:nvSpPr>
        <cdr:cNvPr id="2" name="CuadroTexto 1"/>
        <cdr:cNvSpPr txBox="1"/>
      </cdr:nvSpPr>
      <cdr:spPr>
        <a:xfrm xmlns:a="http://schemas.openxmlformats.org/drawingml/2006/main">
          <a:off x="304800" y="1889760"/>
          <a:ext cx="342900" cy="3200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l-GR" sz="900" b="1">
              <a:solidFill>
                <a:srgbClr val="00B0F0"/>
              </a:solidFill>
            </a:rPr>
            <a:t>β</a:t>
          </a:r>
          <a:r>
            <a:rPr lang="es-ES" sz="900" b="1">
              <a:solidFill>
                <a:srgbClr val="00B0F0"/>
              </a:solidFill>
            </a:rPr>
            <a:t>=</a:t>
          </a:r>
          <a:endParaRPr lang="es-AR" sz="1200" b="1">
            <a:solidFill>
              <a:srgbClr val="00B0F0"/>
            </a:solidFill>
          </a:endParaRPr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0.05369</cdr:x>
      <cdr:y>0.68889</cdr:y>
    </cdr:from>
    <cdr:to>
      <cdr:x>0.11409</cdr:x>
      <cdr:y>0.80556</cdr:y>
    </cdr:to>
    <cdr:sp macro="" textlink="">
      <cdr:nvSpPr>
        <cdr:cNvPr id="2" name="CuadroTexto 1"/>
        <cdr:cNvSpPr txBox="1"/>
      </cdr:nvSpPr>
      <cdr:spPr>
        <a:xfrm xmlns:a="http://schemas.openxmlformats.org/drawingml/2006/main">
          <a:off x="304800" y="1889760"/>
          <a:ext cx="342900" cy="3200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l-GR" sz="900" b="1">
              <a:solidFill>
                <a:srgbClr val="00B0F0"/>
              </a:solidFill>
            </a:rPr>
            <a:t>β</a:t>
          </a:r>
          <a:r>
            <a:rPr lang="es-ES" sz="900" b="1">
              <a:solidFill>
                <a:srgbClr val="00B0F0"/>
              </a:solidFill>
            </a:rPr>
            <a:t>=</a:t>
          </a:r>
          <a:endParaRPr lang="es-AR" sz="1200" b="1">
            <a:solidFill>
              <a:srgbClr val="00B0F0"/>
            </a:solidFill>
          </a:endParaRPr>
        </a:p>
      </cdr:txBody>
    </cdr:sp>
  </cdr:relSizeAnchor>
  <cdr:relSizeAnchor xmlns:cdr="http://schemas.openxmlformats.org/drawingml/2006/chartDrawing">
    <cdr:from>
      <cdr:x>0.22324</cdr:x>
      <cdr:y>0.28084</cdr:y>
    </cdr:from>
    <cdr:to>
      <cdr:x>0.22324</cdr:x>
      <cdr:y>0.80278</cdr:y>
    </cdr:to>
    <cdr:cxnSp macro="">
      <cdr:nvCxnSpPr>
        <cdr:cNvPr id="3" name="Conector recto 2">
          <a:extLst xmlns:a="http://schemas.openxmlformats.org/drawingml/2006/main">
            <a:ext uri="{FF2B5EF4-FFF2-40B4-BE49-F238E27FC236}">
              <a16:creationId xmlns:a16="http://schemas.microsoft.com/office/drawing/2014/main" id="{00000000-0008-0000-0200-000012000000}"/>
            </a:ext>
          </a:extLst>
        </cdr:cNvPr>
        <cdr:cNvCxnSpPr/>
      </cdr:nvCxnSpPr>
      <cdr:spPr>
        <a:xfrm xmlns:a="http://schemas.openxmlformats.org/drawingml/2006/main">
          <a:off x="1390650" y="1019175"/>
          <a:ext cx="0" cy="1894126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FF0000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0.19225</cdr:x>
      <cdr:y>0.84204</cdr:y>
    </cdr:from>
    <cdr:to>
      <cdr:x>0.26901</cdr:x>
      <cdr:y>0.9187</cdr:y>
    </cdr:to>
    <cdr:sp macro="" textlink="">
      <cdr:nvSpPr>
        <cdr:cNvPr id="4" name="CuadroTexto 18">
          <a:extLst xmlns:a="http://schemas.openxmlformats.org/drawingml/2006/main">
            <a:ext uri="{FF2B5EF4-FFF2-40B4-BE49-F238E27FC236}">
              <a16:creationId xmlns:a16="http://schemas.microsoft.com/office/drawing/2014/main" id="{00000000-0008-0000-0200-000013000000}"/>
            </a:ext>
          </a:extLst>
        </cdr:cNvPr>
        <cdr:cNvSpPr txBox="1"/>
      </cdr:nvSpPr>
      <cdr:spPr>
        <a:xfrm xmlns:a="http://schemas.openxmlformats.org/drawingml/2006/main">
          <a:off x="1197610" y="2887345"/>
          <a:ext cx="478155" cy="26289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AR" sz="1100" b="1">
              <a:solidFill>
                <a:srgbClr val="FF0000"/>
              </a:solidFill>
            </a:rPr>
            <a:t>AQL</a:t>
          </a:r>
        </a:p>
      </cdr:txBody>
    </cdr:sp>
  </cdr:relSizeAnchor>
  <cdr:relSizeAnchor xmlns:cdr="http://schemas.openxmlformats.org/drawingml/2006/chartDrawing">
    <cdr:from>
      <cdr:x>0.22681</cdr:x>
      <cdr:y>0.28314</cdr:y>
    </cdr:from>
    <cdr:to>
      <cdr:x>0.28889</cdr:x>
      <cdr:y>0.28314</cdr:y>
    </cdr:to>
    <cdr:cxnSp macro="">
      <cdr:nvCxnSpPr>
        <cdr:cNvPr id="5" name="Conector recto 4">
          <a:extLst xmlns:a="http://schemas.openxmlformats.org/drawingml/2006/main">
            <a:ext uri="{FF2B5EF4-FFF2-40B4-BE49-F238E27FC236}">
              <a16:creationId xmlns:a16="http://schemas.microsoft.com/office/drawing/2014/main" id="{00000000-0008-0000-0200-000015000000}"/>
            </a:ext>
          </a:extLst>
        </cdr:cNvPr>
        <cdr:cNvCxnSpPr/>
      </cdr:nvCxnSpPr>
      <cdr:spPr>
        <a:xfrm xmlns:a="http://schemas.openxmlformats.org/drawingml/2006/main">
          <a:off x="1412875" y="1027504"/>
          <a:ext cx="386715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FF000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0.1422</cdr:x>
      <cdr:y>0.15223</cdr:y>
    </cdr:from>
    <cdr:to>
      <cdr:x>0.28675</cdr:x>
      <cdr:y>0.15315</cdr:y>
    </cdr:to>
    <cdr:cxnSp macro="">
      <cdr:nvCxnSpPr>
        <cdr:cNvPr id="6" name="Conector recto 5">
          <a:extLst xmlns:a="http://schemas.openxmlformats.org/drawingml/2006/main">
            <a:ext uri="{FF2B5EF4-FFF2-40B4-BE49-F238E27FC236}">
              <a16:creationId xmlns:a16="http://schemas.microsoft.com/office/drawing/2014/main" id="{00000000-0008-0000-0200-000017000000}"/>
            </a:ext>
          </a:extLst>
        </cdr:cNvPr>
        <cdr:cNvCxnSpPr/>
      </cdr:nvCxnSpPr>
      <cdr:spPr>
        <a:xfrm xmlns:a="http://schemas.openxmlformats.org/drawingml/2006/main">
          <a:off x="885825" y="552450"/>
          <a:ext cx="900430" cy="3328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FF000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0.31641</cdr:x>
      <cdr:y>0.18104</cdr:y>
    </cdr:from>
    <cdr:to>
      <cdr:x>0.45719</cdr:x>
      <cdr:y>0.25493</cdr:y>
    </cdr:to>
    <cdr:sp macro="" textlink="">
      <cdr:nvSpPr>
        <cdr:cNvPr id="7" name="CuadroTexto 24">
          <a:extLst xmlns:a="http://schemas.openxmlformats.org/drawingml/2006/main">
            <a:ext uri="{FF2B5EF4-FFF2-40B4-BE49-F238E27FC236}">
              <a16:creationId xmlns:a16="http://schemas.microsoft.com/office/drawing/2014/main" id="{00000000-0008-0000-0200-000019000000}"/>
            </a:ext>
          </a:extLst>
        </cdr:cNvPr>
        <cdr:cNvSpPr txBox="1"/>
      </cdr:nvSpPr>
      <cdr:spPr>
        <a:xfrm xmlns:a="http://schemas.openxmlformats.org/drawingml/2006/main">
          <a:off x="1971040" y="657013"/>
          <a:ext cx="876935" cy="26814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b="1">
              <a:solidFill>
                <a:srgbClr val="FF0000"/>
              </a:solidFill>
            </a:rPr>
            <a:t>] </a:t>
          </a:r>
          <a:r>
            <a:rPr lang="el-GR" sz="1100" b="1">
              <a:solidFill>
                <a:srgbClr val="FF0000"/>
              </a:solidFill>
            </a:rPr>
            <a:t>α</a:t>
          </a:r>
          <a:r>
            <a:rPr lang="es-ES" sz="1100" b="1">
              <a:solidFill>
                <a:srgbClr val="FF0000"/>
              </a:solidFill>
            </a:rPr>
            <a:t>=19.35%</a:t>
          </a:r>
          <a:endParaRPr lang="es-AR" sz="1100" b="1">
            <a:solidFill>
              <a:srgbClr val="FF0000"/>
            </a:solidFill>
          </a:endParaRPr>
        </a:p>
      </cdr:txBody>
    </cdr:sp>
  </cdr:relSizeAnchor>
  <cdr:relSizeAnchor xmlns:cdr="http://schemas.openxmlformats.org/drawingml/2006/chartDrawing">
    <cdr:from>
      <cdr:x>0.15036</cdr:x>
      <cdr:y>0.72703</cdr:y>
    </cdr:from>
    <cdr:to>
      <cdr:x>0.50459</cdr:x>
      <cdr:y>0.72935</cdr:y>
    </cdr:to>
    <cdr:cxnSp macro="">
      <cdr:nvCxnSpPr>
        <cdr:cNvPr id="9" name="Conector recto 8">
          <a:extLst xmlns:a="http://schemas.openxmlformats.org/drawingml/2006/main">
            <a:ext uri="{FF2B5EF4-FFF2-40B4-BE49-F238E27FC236}">
              <a16:creationId xmlns:a16="http://schemas.microsoft.com/office/drawing/2014/main" id="{00000000-0008-0000-0200-00000D000000}"/>
            </a:ext>
          </a:extLst>
        </cdr:cNvPr>
        <cdr:cNvCxnSpPr/>
      </cdr:nvCxnSpPr>
      <cdr:spPr>
        <a:xfrm xmlns:a="http://schemas.openxmlformats.org/drawingml/2006/main" flipV="1">
          <a:off x="936625" y="2638425"/>
          <a:ext cx="2206625" cy="8393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00B0F0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0.50403</cdr:x>
      <cdr:y>0.72003</cdr:y>
    </cdr:from>
    <cdr:to>
      <cdr:x>0.50668</cdr:x>
      <cdr:y>0.86373</cdr:y>
    </cdr:to>
    <cdr:cxnSp macro="">
      <cdr:nvCxnSpPr>
        <cdr:cNvPr id="10" name="Conector recto de flecha 9">
          <a:extLst xmlns:a="http://schemas.openxmlformats.org/drawingml/2006/main">
            <a:ext uri="{FF2B5EF4-FFF2-40B4-BE49-F238E27FC236}">
              <a16:creationId xmlns:a16="http://schemas.microsoft.com/office/drawing/2014/main" id="{00000000-0008-0000-0200-00000F000000}"/>
            </a:ext>
          </a:extLst>
        </cdr:cNvPr>
        <cdr:cNvCxnSpPr>
          <a:endCxn xmlns:a="http://schemas.openxmlformats.org/drawingml/2006/main" id="11" idx="0"/>
        </cdr:cNvCxnSpPr>
      </cdr:nvCxnSpPr>
      <cdr:spPr>
        <a:xfrm xmlns:a="http://schemas.openxmlformats.org/drawingml/2006/main" flipH="1">
          <a:off x="3139758" y="2613025"/>
          <a:ext cx="16524" cy="521473"/>
        </a:xfrm>
        <a:prstGeom xmlns:a="http://schemas.openxmlformats.org/drawingml/2006/main" prst="straightConnector1">
          <a:avLst/>
        </a:prstGeom>
        <a:ln xmlns:a="http://schemas.openxmlformats.org/drawingml/2006/main">
          <a:prstDash val="dash"/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0.40754</cdr:x>
      <cdr:y>0.86373</cdr:y>
    </cdr:from>
    <cdr:to>
      <cdr:x>0.60051</cdr:x>
      <cdr:y>0.93355</cdr:y>
    </cdr:to>
    <cdr:sp macro="" textlink="">
      <cdr:nvSpPr>
        <cdr:cNvPr id="11" name="CuadroTexto 15">
          <a:extLst xmlns:a="http://schemas.openxmlformats.org/drawingml/2006/main">
            <a:ext uri="{FF2B5EF4-FFF2-40B4-BE49-F238E27FC236}">
              <a16:creationId xmlns:a16="http://schemas.microsoft.com/office/drawing/2014/main" id="{00000000-0008-0000-0200-000010000000}"/>
            </a:ext>
          </a:extLst>
        </cdr:cNvPr>
        <cdr:cNvSpPr txBox="1"/>
      </cdr:nvSpPr>
      <cdr:spPr>
        <a:xfrm xmlns:a="http://schemas.openxmlformats.org/drawingml/2006/main">
          <a:off x="2538730" y="3134498"/>
          <a:ext cx="1202055" cy="25336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AR" sz="800" b="1">
              <a:solidFill>
                <a:srgbClr val="00B0F0"/>
              </a:solidFill>
            </a:rPr>
            <a:t>LTPD:1.93 DEF/100UNI</a:t>
          </a:r>
        </a:p>
      </cdr:txBody>
    </cdr: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0.05369</cdr:x>
      <cdr:y>0.68889</cdr:y>
    </cdr:from>
    <cdr:to>
      <cdr:x>0.11409</cdr:x>
      <cdr:y>0.80556</cdr:y>
    </cdr:to>
    <cdr:sp macro="" textlink="">
      <cdr:nvSpPr>
        <cdr:cNvPr id="2" name="CuadroTexto 1"/>
        <cdr:cNvSpPr txBox="1"/>
      </cdr:nvSpPr>
      <cdr:spPr>
        <a:xfrm xmlns:a="http://schemas.openxmlformats.org/drawingml/2006/main">
          <a:off x="304800" y="1889760"/>
          <a:ext cx="342900" cy="3200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l-GR" sz="900" b="1">
              <a:solidFill>
                <a:srgbClr val="00B0F0"/>
              </a:solidFill>
            </a:rPr>
            <a:t>β</a:t>
          </a:r>
          <a:r>
            <a:rPr lang="es-ES" sz="900" b="1">
              <a:solidFill>
                <a:srgbClr val="00B0F0"/>
              </a:solidFill>
            </a:rPr>
            <a:t>=</a:t>
          </a:r>
          <a:endParaRPr lang="es-AR" sz="1200" b="1">
            <a:solidFill>
              <a:srgbClr val="00B0F0"/>
            </a:solidFill>
          </a:endParaRPr>
        </a:p>
      </cdr:txBody>
    </cdr:sp>
  </cdr:relSizeAnchor>
  <cdr:relSizeAnchor xmlns:cdr="http://schemas.openxmlformats.org/drawingml/2006/chartDrawing">
    <cdr:from>
      <cdr:x>0.20183</cdr:x>
      <cdr:y>0.19423</cdr:y>
    </cdr:from>
    <cdr:to>
      <cdr:x>0.20336</cdr:x>
      <cdr:y>0.80315</cdr:y>
    </cdr:to>
    <cdr:cxnSp macro="">
      <cdr:nvCxnSpPr>
        <cdr:cNvPr id="3" name="Conector recto 2">
          <a:extLst xmlns:a="http://schemas.openxmlformats.org/drawingml/2006/main">
            <a:ext uri="{FF2B5EF4-FFF2-40B4-BE49-F238E27FC236}">
              <a16:creationId xmlns:a16="http://schemas.microsoft.com/office/drawing/2014/main" id="{00000000-0008-0000-0200-000012000000}"/>
            </a:ext>
          </a:extLst>
        </cdr:cNvPr>
        <cdr:cNvCxnSpPr/>
      </cdr:nvCxnSpPr>
      <cdr:spPr>
        <a:xfrm xmlns:a="http://schemas.openxmlformats.org/drawingml/2006/main">
          <a:off x="1257290" y="704850"/>
          <a:ext cx="9535" cy="220980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FF0000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0.19225</cdr:x>
      <cdr:y>0.84204</cdr:y>
    </cdr:from>
    <cdr:to>
      <cdr:x>0.26901</cdr:x>
      <cdr:y>0.9187</cdr:y>
    </cdr:to>
    <cdr:sp macro="" textlink="">
      <cdr:nvSpPr>
        <cdr:cNvPr id="4" name="CuadroTexto 18">
          <a:extLst xmlns:a="http://schemas.openxmlformats.org/drawingml/2006/main">
            <a:ext uri="{FF2B5EF4-FFF2-40B4-BE49-F238E27FC236}">
              <a16:creationId xmlns:a16="http://schemas.microsoft.com/office/drawing/2014/main" id="{00000000-0008-0000-0200-000013000000}"/>
            </a:ext>
          </a:extLst>
        </cdr:cNvPr>
        <cdr:cNvSpPr txBox="1"/>
      </cdr:nvSpPr>
      <cdr:spPr>
        <a:xfrm xmlns:a="http://schemas.openxmlformats.org/drawingml/2006/main">
          <a:off x="1197610" y="2887345"/>
          <a:ext cx="478155" cy="26289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AR" sz="1100" b="1">
              <a:solidFill>
                <a:srgbClr val="FF0000"/>
              </a:solidFill>
            </a:rPr>
            <a:t>AQL</a:t>
          </a:r>
        </a:p>
      </cdr:txBody>
    </cdr:sp>
  </cdr:relSizeAnchor>
  <cdr:relSizeAnchor xmlns:cdr="http://schemas.openxmlformats.org/drawingml/2006/chartDrawing">
    <cdr:from>
      <cdr:x>0.1473</cdr:x>
      <cdr:y>0.18603</cdr:y>
    </cdr:from>
    <cdr:to>
      <cdr:x>0.2844</cdr:x>
      <cdr:y>0.18898</cdr:y>
    </cdr:to>
    <cdr:cxnSp macro="">
      <cdr:nvCxnSpPr>
        <cdr:cNvPr id="5" name="Conector recto 4">
          <a:extLst xmlns:a="http://schemas.openxmlformats.org/drawingml/2006/main">
            <a:ext uri="{FF2B5EF4-FFF2-40B4-BE49-F238E27FC236}">
              <a16:creationId xmlns:a16="http://schemas.microsoft.com/office/drawing/2014/main" id="{00000000-0008-0000-0200-000015000000}"/>
            </a:ext>
          </a:extLst>
        </cdr:cNvPr>
        <cdr:cNvCxnSpPr/>
      </cdr:nvCxnSpPr>
      <cdr:spPr>
        <a:xfrm xmlns:a="http://schemas.openxmlformats.org/drawingml/2006/main">
          <a:off x="917579" y="675097"/>
          <a:ext cx="854071" cy="10703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FF000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0.1422</cdr:x>
      <cdr:y>0.15223</cdr:y>
    </cdr:from>
    <cdr:to>
      <cdr:x>0.28675</cdr:x>
      <cdr:y>0.15315</cdr:y>
    </cdr:to>
    <cdr:cxnSp macro="">
      <cdr:nvCxnSpPr>
        <cdr:cNvPr id="6" name="Conector recto 5">
          <a:extLst xmlns:a="http://schemas.openxmlformats.org/drawingml/2006/main">
            <a:ext uri="{FF2B5EF4-FFF2-40B4-BE49-F238E27FC236}">
              <a16:creationId xmlns:a16="http://schemas.microsoft.com/office/drawing/2014/main" id="{00000000-0008-0000-0200-000017000000}"/>
            </a:ext>
          </a:extLst>
        </cdr:cNvPr>
        <cdr:cNvCxnSpPr/>
      </cdr:nvCxnSpPr>
      <cdr:spPr>
        <a:xfrm xmlns:a="http://schemas.openxmlformats.org/drawingml/2006/main">
          <a:off x="885825" y="552450"/>
          <a:ext cx="900430" cy="3328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FF000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0.29195</cdr:x>
      <cdr:y>0.13642</cdr:y>
    </cdr:from>
    <cdr:to>
      <cdr:x>0.43273</cdr:x>
      <cdr:y>0.21031</cdr:y>
    </cdr:to>
    <cdr:sp macro="" textlink="">
      <cdr:nvSpPr>
        <cdr:cNvPr id="7" name="CuadroTexto 24">
          <a:extLst xmlns:a="http://schemas.openxmlformats.org/drawingml/2006/main">
            <a:ext uri="{FF2B5EF4-FFF2-40B4-BE49-F238E27FC236}">
              <a16:creationId xmlns:a16="http://schemas.microsoft.com/office/drawing/2014/main" id="{00000000-0008-0000-0200-000019000000}"/>
            </a:ext>
          </a:extLst>
        </cdr:cNvPr>
        <cdr:cNvSpPr txBox="1"/>
      </cdr:nvSpPr>
      <cdr:spPr>
        <a:xfrm xmlns:a="http://schemas.openxmlformats.org/drawingml/2006/main">
          <a:off x="1818629" y="495074"/>
          <a:ext cx="876968" cy="26814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b="1">
              <a:solidFill>
                <a:srgbClr val="FF0000"/>
              </a:solidFill>
            </a:rPr>
            <a:t>] </a:t>
          </a:r>
          <a:r>
            <a:rPr lang="el-GR" sz="1100" b="1">
              <a:solidFill>
                <a:srgbClr val="FF0000"/>
              </a:solidFill>
            </a:rPr>
            <a:t>α</a:t>
          </a:r>
          <a:r>
            <a:rPr lang="es-ES" sz="1100" b="1">
              <a:solidFill>
                <a:srgbClr val="FF0000"/>
              </a:solidFill>
            </a:rPr>
            <a:t>=4.15%</a:t>
          </a:r>
          <a:endParaRPr lang="es-AR" sz="1100" b="1">
            <a:solidFill>
              <a:srgbClr val="FF0000"/>
            </a:solidFill>
          </a:endParaRPr>
        </a:p>
      </cdr:txBody>
    </cdr:sp>
  </cdr:relSizeAnchor>
  <cdr:relSizeAnchor xmlns:cdr="http://schemas.openxmlformats.org/drawingml/2006/chartDrawing">
    <cdr:from>
      <cdr:x>0.15036</cdr:x>
      <cdr:y>0.72935</cdr:y>
    </cdr:from>
    <cdr:to>
      <cdr:x>0.79052</cdr:x>
      <cdr:y>0.72966</cdr:y>
    </cdr:to>
    <cdr:cxnSp macro="">
      <cdr:nvCxnSpPr>
        <cdr:cNvPr id="9" name="Conector recto 8">
          <a:extLst xmlns:a="http://schemas.openxmlformats.org/drawingml/2006/main">
            <a:ext uri="{FF2B5EF4-FFF2-40B4-BE49-F238E27FC236}">
              <a16:creationId xmlns:a16="http://schemas.microsoft.com/office/drawing/2014/main" id="{00000000-0008-0000-0200-00000D000000}"/>
            </a:ext>
          </a:extLst>
        </cdr:cNvPr>
        <cdr:cNvCxnSpPr/>
      </cdr:nvCxnSpPr>
      <cdr:spPr>
        <a:xfrm xmlns:a="http://schemas.openxmlformats.org/drawingml/2006/main">
          <a:off x="936645" y="2646829"/>
          <a:ext cx="3987780" cy="1121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00B0F0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0.7865</cdr:x>
      <cdr:y>0.74103</cdr:y>
    </cdr:from>
    <cdr:to>
      <cdr:x>0.78746</cdr:x>
      <cdr:y>0.85302</cdr:y>
    </cdr:to>
    <cdr:cxnSp macro="">
      <cdr:nvCxnSpPr>
        <cdr:cNvPr id="10" name="Conector recto de flecha 9">
          <a:extLst xmlns:a="http://schemas.openxmlformats.org/drawingml/2006/main">
            <a:ext uri="{FF2B5EF4-FFF2-40B4-BE49-F238E27FC236}">
              <a16:creationId xmlns:a16="http://schemas.microsoft.com/office/drawing/2014/main" id="{00000000-0008-0000-0200-00000F000000}"/>
            </a:ext>
          </a:extLst>
        </cdr:cNvPr>
        <cdr:cNvCxnSpPr/>
      </cdr:nvCxnSpPr>
      <cdr:spPr>
        <a:xfrm xmlns:a="http://schemas.openxmlformats.org/drawingml/2006/main">
          <a:off x="4899362" y="2689207"/>
          <a:ext cx="6013" cy="406418"/>
        </a:xfrm>
        <a:prstGeom xmlns:a="http://schemas.openxmlformats.org/drawingml/2006/main" prst="straightConnector1">
          <a:avLst/>
        </a:prstGeom>
        <a:ln xmlns:a="http://schemas.openxmlformats.org/drawingml/2006/main">
          <a:prstDash val="dash"/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0.69347</cdr:x>
      <cdr:y>0.85586</cdr:y>
    </cdr:from>
    <cdr:to>
      <cdr:x>0.88644</cdr:x>
      <cdr:y>0.92568</cdr:y>
    </cdr:to>
    <cdr:sp macro="" textlink="">
      <cdr:nvSpPr>
        <cdr:cNvPr id="11" name="CuadroTexto 15">
          <a:extLst xmlns:a="http://schemas.openxmlformats.org/drawingml/2006/main">
            <a:ext uri="{FF2B5EF4-FFF2-40B4-BE49-F238E27FC236}">
              <a16:creationId xmlns:a16="http://schemas.microsoft.com/office/drawing/2014/main" id="{00000000-0008-0000-0200-000010000000}"/>
            </a:ext>
          </a:extLst>
        </cdr:cNvPr>
        <cdr:cNvSpPr txBox="1"/>
      </cdr:nvSpPr>
      <cdr:spPr>
        <a:xfrm xmlns:a="http://schemas.openxmlformats.org/drawingml/2006/main">
          <a:off x="4319884" y="3105923"/>
          <a:ext cx="1202078" cy="25337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AR" sz="800" b="1">
              <a:solidFill>
                <a:srgbClr val="00B0F0"/>
              </a:solidFill>
            </a:rPr>
            <a:t>LTPD:4.78 DEF/100UNI</a:t>
          </a:r>
        </a:p>
      </cdr:txBody>
    </cdr:sp>
  </cdr:relSizeAnchor>
</c:userShapes>
</file>

<file path=xl/persons/person.xml><?xml version="1.0" encoding="utf-8"?>
<personList xmlns="http://schemas.microsoft.com/office/spreadsheetml/2018/threadedcomments" xmlns:x="http://schemas.openxmlformats.org/spreadsheetml/2006/main">
  <person displayName="LEANDRO CASTRO (EXTERNAL)" id="{76A16D4B-A144-4A99-ADC0-E07A2FA97C52}" userId="S::SE41821@stellantis.com::2db9f2e7-a7bd-420a-b2bb-7aa0fb3e19cb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16" dT="2024-07-05T20:54:37.85" personId="{76A16D4B-A144-4A99-ADC0-E07A2FA97C52}" id="{4F4DC9C2-226C-4B53-B808-C6817CF70894}">
    <text xml:space="preserve">0,4/100
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13"/>
  <sheetViews>
    <sheetView workbookViewId="0">
      <selection activeCell="F19" sqref="F19"/>
    </sheetView>
  </sheetViews>
  <sheetFormatPr baseColWidth="10" defaultRowHeight="15" x14ac:dyDescent="0.25"/>
  <cols>
    <col min="2" max="2" width="21.5703125" customWidth="1"/>
    <col min="3" max="3" width="37.42578125" customWidth="1"/>
    <col min="4" max="4" width="28" customWidth="1"/>
    <col min="6" max="6" width="14.85546875" customWidth="1"/>
  </cols>
  <sheetData>
    <row r="2" spans="2:6" ht="15.75" thickBot="1" x14ac:dyDescent="0.3"/>
    <row r="3" spans="2:6" ht="16.5" customHeight="1" thickTop="1" thickBot="1" x14ac:dyDescent="0.3">
      <c r="B3" s="95"/>
      <c r="C3" s="102" t="s">
        <v>8</v>
      </c>
      <c r="D3" s="103"/>
      <c r="E3" s="98" t="s">
        <v>9</v>
      </c>
      <c r="F3" s="99"/>
    </row>
    <row r="4" spans="2:6" ht="15.75" customHeight="1" thickBot="1" x14ac:dyDescent="0.3">
      <c r="B4" s="96"/>
      <c r="C4" s="104"/>
      <c r="D4" s="105"/>
      <c r="E4" s="100">
        <v>45475</v>
      </c>
      <c r="F4" s="101"/>
    </row>
    <row r="5" spans="2:6" ht="15.75" customHeight="1" thickBot="1" x14ac:dyDescent="0.3">
      <c r="B5" s="97"/>
      <c r="C5" s="104" t="s">
        <v>10</v>
      </c>
      <c r="D5" s="106"/>
      <c r="E5" s="14" t="s">
        <v>11</v>
      </c>
      <c r="F5" s="3" t="s">
        <v>12</v>
      </c>
    </row>
    <row r="6" spans="2:6" ht="15.75" customHeight="1" thickBot="1" x14ac:dyDescent="0.3">
      <c r="B6" s="18" t="s">
        <v>13</v>
      </c>
      <c r="C6" s="104"/>
      <c r="D6" s="106"/>
      <c r="E6" s="16">
        <v>4054</v>
      </c>
      <c r="F6" s="17" t="s">
        <v>14</v>
      </c>
    </row>
    <row r="7" spans="2:6" ht="37.5" thickTop="1" thickBot="1" x14ac:dyDescent="0.3">
      <c r="B7" s="10" t="s">
        <v>6</v>
      </c>
      <c r="C7" s="11" t="s">
        <v>7</v>
      </c>
      <c r="D7" s="15" t="s">
        <v>6</v>
      </c>
      <c r="E7" s="115" t="s">
        <v>7</v>
      </c>
      <c r="F7" s="116"/>
    </row>
    <row r="8" spans="2:6" ht="24" thickBot="1" x14ac:dyDescent="0.3">
      <c r="B8" s="4">
        <v>1672850</v>
      </c>
      <c r="C8" s="2" t="s">
        <v>117</v>
      </c>
      <c r="D8" s="162" t="s">
        <v>122</v>
      </c>
      <c r="E8" s="117" t="s">
        <v>122</v>
      </c>
      <c r="F8" s="118"/>
    </row>
    <row r="9" spans="2:6" ht="24" thickBot="1" x14ac:dyDescent="0.3">
      <c r="B9" s="12">
        <v>1779801</v>
      </c>
      <c r="C9" s="13" t="s">
        <v>118</v>
      </c>
      <c r="D9" s="163" t="s">
        <v>122</v>
      </c>
      <c r="E9" s="119" t="s">
        <v>122</v>
      </c>
      <c r="F9" s="120"/>
    </row>
    <row r="10" spans="2:6" ht="18.75" customHeight="1" thickTop="1" thickBot="1" x14ac:dyDescent="0.3">
      <c r="B10" s="107" t="s">
        <v>0</v>
      </c>
      <c r="C10" s="108"/>
      <c r="D10" s="109" t="s">
        <v>1</v>
      </c>
      <c r="E10" s="111" t="s">
        <v>2</v>
      </c>
      <c r="F10" s="113" t="s">
        <v>3</v>
      </c>
    </row>
    <row r="11" spans="2:6" ht="15.75" thickBot="1" x14ac:dyDescent="0.3">
      <c r="B11" s="5" t="s">
        <v>4</v>
      </c>
      <c r="C11" s="1" t="s">
        <v>5</v>
      </c>
      <c r="D11" s="110"/>
      <c r="E11" s="112"/>
      <c r="F11" s="114"/>
    </row>
    <row r="12" spans="2:6" ht="66.75" customHeight="1" thickBot="1" x14ac:dyDescent="0.3">
      <c r="B12" s="6"/>
      <c r="C12" s="7"/>
      <c r="D12" s="8"/>
      <c r="E12" s="7"/>
      <c r="F12" s="9"/>
    </row>
    <row r="13" spans="2:6" ht="15.75" thickTop="1" x14ac:dyDescent="0.25"/>
  </sheetData>
  <mergeCells count="12">
    <mergeCell ref="B10:C10"/>
    <mergeCell ref="D10:D11"/>
    <mergeCell ref="E10:E11"/>
    <mergeCell ref="F10:F11"/>
    <mergeCell ref="E7:F7"/>
    <mergeCell ref="E8:F8"/>
    <mergeCell ref="E9:F9"/>
    <mergeCell ref="B3:B5"/>
    <mergeCell ref="E3:F3"/>
    <mergeCell ref="E4:F4"/>
    <mergeCell ref="C3:D4"/>
    <mergeCell ref="C5:D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T210"/>
  <sheetViews>
    <sheetView tabSelected="1" topLeftCell="A79" zoomScaleNormal="100" workbookViewId="0">
      <selection activeCell="G207" sqref="G207"/>
    </sheetView>
  </sheetViews>
  <sheetFormatPr baseColWidth="10" defaultRowHeight="15" x14ac:dyDescent="0.25"/>
  <cols>
    <col min="5" max="5" width="15.28515625" bestFit="1" customWidth="1"/>
    <col min="15" max="15" width="13.42578125" bestFit="1" customWidth="1"/>
  </cols>
  <sheetData>
    <row r="2" spans="2:11" x14ac:dyDescent="0.25">
      <c r="B2" s="19" t="s">
        <v>16</v>
      </c>
    </row>
    <row r="3" spans="2:11" x14ac:dyDescent="0.25">
      <c r="B3" t="s">
        <v>63</v>
      </c>
    </row>
    <row r="4" spans="2:11" x14ac:dyDescent="0.25">
      <c r="B4" t="s">
        <v>15</v>
      </c>
    </row>
    <row r="5" spans="2:11" x14ac:dyDescent="0.25">
      <c r="B5" t="s">
        <v>64</v>
      </c>
    </row>
    <row r="6" spans="2:11" x14ac:dyDescent="0.25">
      <c r="B6" t="s">
        <v>65</v>
      </c>
    </row>
    <row r="8" spans="2:11" x14ac:dyDescent="0.25">
      <c r="B8" t="s">
        <v>17</v>
      </c>
    </row>
    <row r="9" spans="2:11" x14ac:dyDescent="0.25">
      <c r="B9" t="s">
        <v>18</v>
      </c>
    </row>
    <row r="10" spans="2:11" x14ac:dyDescent="0.25">
      <c r="B10" t="s">
        <v>19</v>
      </c>
    </row>
    <row r="11" spans="2:11" x14ac:dyDescent="0.25">
      <c r="B11" t="s">
        <v>20</v>
      </c>
    </row>
    <row r="12" spans="2:11" ht="15.75" thickBot="1" x14ac:dyDescent="0.3"/>
    <row r="13" spans="2:11" x14ac:dyDescent="0.25">
      <c r="B13" t="s">
        <v>21</v>
      </c>
      <c r="C13" s="20" t="s">
        <v>23</v>
      </c>
      <c r="D13" s="21" t="s">
        <v>62</v>
      </c>
      <c r="G13" s="137" t="s">
        <v>38</v>
      </c>
      <c r="H13" s="131" t="s">
        <v>26</v>
      </c>
      <c r="I13" s="132"/>
      <c r="J13" s="135" t="s">
        <v>29</v>
      </c>
      <c r="K13" s="136"/>
    </row>
    <row r="14" spans="2:11" ht="15.75" thickBot="1" x14ac:dyDescent="0.3">
      <c r="C14" s="22" t="s">
        <v>22</v>
      </c>
      <c r="D14" s="23" t="s">
        <v>55</v>
      </c>
      <c r="G14" s="138"/>
      <c r="H14" s="133"/>
      <c r="I14" s="134"/>
      <c r="J14" s="25" t="s">
        <v>28</v>
      </c>
      <c r="K14" s="26">
        <v>1.5E-3</v>
      </c>
    </row>
    <row r="15" spans="2:11" ht="15.75" customHeight="1" thickBot="1" x14ac:dyDescent="0.3">
      <c r="B15" t="s">
        <v>24</v>
      </c>
      <c r="G15" s="137" t="s">
        <v>37</v>
      </c>
      <c r="H15" s="131" t="s">
        <v>27</v>
      </c>
      <c r="I15" s="132"/>
      <c r="J15" s="135" t="s">
        <v>30</v>
      </c>
      <c r="K15" s="136"/>
    </row>
    <row r="16" spans="2:11" ht="15.75" thickBot="1" x14ac:dyDescent="0.3">
      <c r="C16" s="174" t="s">
        <v>25</v>
      </c>
      <c r="D16" s="175">
        <v>7000</v>
      </c>
      <c r="G16" s="138"/>
      <c r="H16" s="133"/>
      <c r="I16" s="134"/>
      <c r="J16" s="25" t="s">
        <v>28</v>
      </c>
      <c r="K16" s="26">
        <f>0.4/100</f>
        <v>4.0000000000000001E-3</v>
      </c>
    </row>
    <row r="17" spans="2:20" x14ac:dyDescent="0.25">
      <c r="C17" s="178" t="s">
        <v>35</v>
      </c>
      <c r="D17" s="180">
        <v>10</v>
      </c>
    </row>
    <row r="18" spans="2:20" ht="15.75" thickBot="1" x14ac:dyDescent="0.3">
      <c r="C18" s="176" t="s">
        <v>36</v>
      </c>
      <c r="D18" s="181">
        <v>11</v>
      </c>
    </row>
    <row r="19" spans="2:20" x14ac:dyDescent="0.25">
      <c r="C19" s="172"/>
      <c r="D19" s="173"/>
    </row>
    <row r="20" spans="2:20" x14ac:dyDescent="0.25">
      <c r="B20" t="s">
        <v>31</v>
      </c>
    </row>
    <row r="21" spans="2:20" x14ac:dyDescent="0.25">
      <c r="B21" t="s">
        <v>32</v>
      </c>
    </row>
    <row r="22" spans="2:20" x14ac:dyDescent="0.25">
      <c r="B22" t="s">
        <v>66</v>
      </c>
    </row>
    <row r="23" spans="2:20" x14ac:dyDescent="0.25">
      <c r="B23" t="s">
        <v>67</v>
      </c>
    </row>
    <row r="24" spans="2:20" x14ac:dyDescent="0.25">
      <c r="B24" t="s">
        <v>68</v>
      </c>
    </row>
    <row r="25" spans="2:20" x14ac:dyDescent="0.25">
      <c r="B25" t="s">
        <v>69</v>
      </c>
    </row>
    <row r="26" spans="2:20" x14ac:dyDescent="0.25">
      <c r="B26" t="s">
        <v>70</v>
      </c>
    </row>
    <row r="28" spans="2:20" ht="15.75" thickBot="1" x14ac:dyDescent="0.3">
      <c r="B28" t="s">
        <v>33</v>
      </c>
      <c r="C28" t="s">
        <v>34</v>
      </c>
      <c r="L28" t="s">
        <v>72</v>
      </c>
      <c r="P28" s="160"/>
      <c r="Q28" s="160"/>
      <c r="R28" s="160"/>
      <c r="S28" s="160"/>
    </row>
    <row r="29" spans="2:20" ht="15.75" thickBot="1" x14ac:dyDescent="0.3">
      <c r="C29" s="129" t="s">
        <v>38</v>
      </c>
      <c r="D29" s="130"/>
      <c r="G29" s="129" t="s">
        <v>37</v>
      </c>
      <c r="H29" s="130"/>
      <c r="L29" s="40" t="s">
        <v>39</v>
      </c>
      <c r="M29" s="30" t="s">
        <v>40</v>
      </c>
      <c r="N29" s="30" t="s">
        <v>41</v>
      </c>
      <c r="O29" s="30" t="s">
        <v>42</v>
      </c>
      <c r="P29" s="30" t="s">
        <v>43</v>
      </c>
      <c r="Q29" s="30" t="s">
        <v>44</v>
      </c>
      <c r="R29" s="30" t="s">
        <v>45</v>
      </c>
      <c r="S29" s="30" t="s">
        <v>46</v>
      </c>
      <c r="T29" s="31" t="s">
        <v>47</v>
      </c>
    </row>
    <row r="30" spans="2:20" x14ac:dyDescent="0.25">
      <c r="C30" s="28" t="s">
        <v>35</v>
      </c>
      <c r="D30" s="29">
        <f>ROUND($D$16*$K$14,0)</f>
        <v>11</v>
      </c>
      <c r="G30" s="28" t="s">
        <v>35</v>
      </c>
      <c r="H30" s="29">
        <f>ROUND(D16*K16,0)</f>
        <v>28</v>
      </c>
      <c r="L30" s="121" t="s">
        <v>71</v>
      </c>
      <c r="M30" s="41" t="s">
        <v>48</v>
      </c>
      <c r="N30" s="42">
        <f>$K$14</f>
        <v>1.5E-3</v>
      </c>
      <c r="O30" s="43" t="s">
        <v>49</v>
      </c>
      <c r="P30" s="43" t="s">
        <v>50</v>
      </c>
      <c r="Q30" s="43" t="s">
        <v>76</v>
      </c>
      <c r="R30" s="43">
        <v>315</v>
      </c>
      <c r="S30" s="43">
        <v>1</v>
      </c>
      <c r="T30" s="44">
        <v>2</v>
      </c>
    </row>
    <row r="31" spans="2:20" ht="15.75" thickBot="1" x14ac:dyDescent="0.3">
      <c r="C31" s="22" t="s">
        <v>36</v>
      </c>
      <c r="D31" s="27">
        <f>D30+1</f>
        <v>12</v>
      </c>
      <c r="G31" s="22" t="s">
        <v>36</v>
      </c>
      <c r="H31" s="27">
        <f>H30+1</f>
        <v>29</v>
      </c>
      <c r="L31" s="122"/>
      <c r="M31" s="32" t="s">
        <v>48</v>
      </c>
      <c r="N31" s="33">
        <f>$K$14</f>
        <v>1.5E-3</v>
      </c>
      <c r="O31" s="34" t="s">
        <v>51</v>
      </c>
      <c r="P31" s="34" t="s">
        <v>52</v>
      </c>
      <c r="Q31" s="34" t="s">
        <v>45</v>
      </c>
      <c r="R31" s="34">
        <v>500</v>
      </c>
      <c r="S31" s="34">
        <v>1</v>
      </c>
      <c r="T31" s="35">
        <v>2</v>
      </c>
    </row>
    <row r="32" spans="2:20" ht="15.75" thickBot="1" x14ac:dyDescent="0.3">
      <c r="L32" s="123"/>
      <c r="M32" s="36" t="s">
        <v>48</v>
      </c>
      <c r="N32" s="37">
        <f>$K$14</f>
        <v>1.5E-3</v>
      </c>
      <c r="O32" s="38" t="s">
        <v>53</v>
      </c>
      <c r="P32" s="38" t="s">
        <v>54</v>
      </c>
      <c r="Q32" s="38" t="s">
        <v>45</v>
      </c>
      <c r="R32" s="38">
        <v>200</v>
      </c>
      <c r="S32" s="38">
        <v>1</v>
      </c>
      <c r="T32" s="39">
        <v>2</v>
      </c>
    </row>
    <row r="33" spans="1:20" ht="15.75" thickBot="1" x14ac:dyDescent="0.3">
      <c r="B33" t="s">
        <v>56</v>
      </c>
      <c r="C33" s="24" t="s">
        <v>57</v>
      </c>
      <c r="D33" s="46" t="s">
        <v>58</v>
      </c>
      <c r="E33" s="46" t="s">
        <v>59</v>
      </c>
      <c r="F33" s="47" t="s">
        <v>60</v>
      </c>
      <c r="L33" s="121" t="s">
        <v>71</v>
      </c>
      <c r="M33" s="41" t="s">
        <v>48</v>
      </c>
      <c r="N33" s="42">
        <f>$K$16</f>
        <v>4.0000000000000001E-3</v>
      </c>
      <c r="O33" s="43" t="s">
        <v>49</v>
      </c>
      <c r="P33" s="43" t="s">
        <v>50</v>
      </c>
      <c r="Q33" s="43" t="s">
        <v>77</v>
      </c>
      <c r="R33" s="43">
        <v>200</v>
      </c>
      <c r="S33" s="43">
        <v>2</v>
      </c>
      <c r="T33" s="44">
        <v>3</v>
      </c>
    </row>
    <row r="34" spans="1:20" x14ac:dyDescent="0.25">
      <c r="C34" s="28" t="s">
        <v>38</v>
      </c>
      <c r="D34" s="45">
        <f>S30</f>
        <v>1</v>
      </c>
      <c r="E34" s="45">
        <v>1</v>
      </c>
      <c r="F34" s="158" t="s">
        <v>61</v>
      </c>
      <c r="L34" s="122"/>
      <c r="M34" s="32" t="s">
        <v>48</v>
      </c>
      <c r="N34" s="33">
        <f t="shared" ref="N34:N35" si="0">$K$16</f>
        <v>4.0000000000000001E-3</v>
      </c>
      <c r="O34" s="34" t="s">
        <v>51</v>
      </c>
      <c r="P34" s="34" t="s">
        <v>52</v>
      </c>
      <c r="Q34" s="34" t="s">
        <v>77</v>
      </c>
      <c r="R34" s="34">
        <v>200</v>
      </c>
      <c r="S34" s="34">
        <v>1</v>
      </c>
      <c r="T34" s="35">
        <v>2</v>
      </c>
    </row>
    <row r="35" spans="1:20" ht="15.75" thickBot="1" x14ac:dyDescent="0.3">
      <c r="C35" s="22" t="s">
        <v>37</v>
      </c>
      <c r="D35" s="25">
        <f>S33</f>
        <v>2</v>
      </c>
      <c r="E35" s="25">
        <v>1</v>
      </c>
      <c r="F35" s="159" t="s">
        <v>61</v>
      </c>
      <c r="L35" s="123"/>
      <c r="M35" s="36" t="s">
        <v>48</v>
      </c>
      <c r="N35" s="37">
        <f t="shared" si="0"/>
        <v>4.0000000000000001E-3</v>
      </c>
      <c r="O35" s="38" t="s">
        <v>53</v>
      </c>
      <c r="P35" s="38" t="s">
        <v>54</v>
      </c>
      <c r="Q35" s="38" t="s">
        <v>77</v>
      </c>
      <c r="R35" s="38">
        <v>200</v>
      </c>
      <c r="S35" s="38">
        <v>1</v>
      </c>
      <c r="T35" s="39">
        <v>2</v>
      </c>
    </row>
    <row r="37" spans="1:20" x14ac:dyDescent="0.25">
      <c r="A37" s="161"/>
      <c r="B37" s="161"/>
      <c r="C37" s="161"/>
      <c r="D37" s="161"/>
      <c r="E37" s="161"/>
      <c r="F37" s="161"/>
      <c r="G37" s="161"/>
    </row>
    <row r="38" spans="1:20" x14ac:dyDescent="0.25">
      <c r="B38" t="s">
        <v>73</v>
      </c>
      <c r="C38" t="s">
        <v>78</v>
      </c>
    </row>
    <row r="39" spans="1:20" x14ac:dyDescent="0.25">
      <c r="C39" t="s">
        <v>74</v>
      </c>
      <c r="D39" t="s">
        <v>75</v>
      </c>
    </row>
    <row r="40" spans="1:20" x14ac:dyDescent="0.25">
      <c r="C40" s="54">
        <v>0</v>
      </c>
      <c r="D40" s="50">
        <v>1</v>
      </c>
    </row>
    <row r="41" spans="1:20" x14ac:dyDescent="0.25">
      <c r="C41" s="54">
        <v>4.6999999999999999E-4</v>
      </c>
      <c r="D41" s="50">
        <v>0.99</v>
      </c>
    </row>
    <row r="42" spans="1:20" x14ac:dyDescent="0.25">
      <c r="C42" s="54">
        <v>1.1299999999999999E-3</v>
      </c>
      <c r="D42" s="50">
        <v>0.95</v>
      </c>
    </row>
    <row r="43" spans="1:20" x14ac:dyDescent="0.25">
      <c r="C43" s="55">
        <v>1.5E-3</v>
      </c>
      <c r="D43" s="56">
        <v>0.91700000000000004</v>
      </c>
      <c r="E43" t="s">
        <v>79</v>
      </c>
    </row>
    <row r="44" spans="1:20" x14ac:dyDescent="0.25">
      <c r="C44" s="54">
        <v>1.6900000000000001E-3</v>
      </c>
      <c r="D44" s="50">
        <v>0.9</v>
      </c>
    </row>
    <row r="45" spans="1:20" x14ac:dyDescent="0.25">
      <c r="C45" s="54">
        <v>3.0500000000000002E-3</v>
      </c>
      <c r="D45" s="50">
        <v>0.75</v>
      </c>
    </row>
    <row r="46" spans="1:20" x14ac:dyDescent="0.25">
      <c r="C46" s="54">
        <v>5.3200000000000001E-3</v>
      </c>
      <c r="D46" s="50">
        <v>0.5</v>
      </c>
    </row>
    <row r="47" spans="1:20" x14ac:dyDescent="0.25">
      <c r="C47" s="54">
        <v>8.5299999999999994E-3</v>
      </c>
      <c r="D47" s="50">
        <v>0.25</v>
      </c>
    </row>
    <row r="48" spans="1:20" x14ac:dyDescent="0.25">
      <c r="C48" s="54">
        <v>0.01</v>
      </c>
      <c r="D48" s="50">
        <v>0.1915</v>
      </c>
    </row>
    <row r="49" spans="1:5" x14ac:dyDescent="0.25">
      <c r="C49" s="54">
        <v>1.23E-2</v>
      </c>
      <c r="D49" s="50">
        <v>0.1</v>
      </c>
    </row>
    <row r="50" spans="1:5" x14ac:dyDescent="0.25">
      <c r="C50" s="54">
        <v>1.4999999999999999E-2</v>
      </c>
      <c r="D50" s="50">
        <v>0.05</v>
      </c>
    </row>
    <row r="51" spans="1:5" x14ac:dyDescent="0.25">
      <c r="C51" s="54">
        <v>2.0899999999999998E-2</v>
      </c>
      <c r="D51" s="50">
        <v>0.01</v>
      </c>
    </row>
    <row r="52" spans="1:5" ht="15.75" thickBot="1" x14ac:dyDescent="0.3"/>
    <row r="53" spans="1:5" x14ac:dyDescent="0.25">
      <c r="B53" t="s">
        <v>80</v>
      </c>
      <c r="C53" s="124" t="s">
        <v>83</v>
      </c>
      <c r="D53" s="125"/>
      <c r="E53" s="126"/>
    </row>
    <row r="54" spans="1:5" ht="15.75" thickBot="1" x14ac:dyDescent="0.3">
      <c r="C54" s="66">
        <v>8.1900000000000001E-2</v>
      </c>
      <c r="D54" s="127" t="s">
        <v>81</v>
      </c>
      <c r="E54" s="128"/>
    </row>
    <row r="55" spans="1:5" ht="15.75" thickBot="1" x14ac:dyDescent="0.3">
      <c r="C55" s="49"/>
      <c r="D55" s="51"/>
    </row>
    <row r="56" spans="1:5" x14ac:dyDescent="0.25">
      <c r="B56" t="s">
        <v>82</v>
      </c>
      <c r="C56" s="124" t="s">
        <v>84</v>
      </c>
      <c r="D56" s="125"/>
      <c r="E56" s="126"/>
    </row>
    <row r="57" spans="1:5" ht="15.75" thickBot="1" x14ac:dyDescent="0.3">
      <c r="C57" s="66">
        <v>1.4999999999999999E-2</v>
      </c>
      <c r="D57" s="127" t="s">
        <v>81</v>
      </c>
      <c r="E57" s="128"/>
    </row>
    <row r="58" spans="1:5" ht="15.75" thickBot="1" x14ac:dyDescent="0.3">
      <c r="A58" s="161"/>
      <c r="B58" s="161"/>
      <c r="C58" s="49"/>
      <c r="D58" s="52"/>
    </row>
    <row r="59" spans="1:5" x14ac:dyDescent="0.25">
      <c r="B59" t="s">
        <v>85</v>
      </c>
      <c r="C59" s="124" t="s">
        <v>86</v>
      </c>
      <c r="D59" s="125"/>
      <c r="E59" s="126"/>
    </row>
    <row r="60" spans="1:5" ht="15.75" thickBot="1" x14ac:dyDescent="0.3">
      <c r="C60" s="66">
        <v>1.23E-2</v>
      </c>
      <c r="D60" s="127" t="s">
        <v>87</v>
      </c>
      <c r="E60" s="128"/>
    </row>
    <row r="61" spans="1:5" x14ac:dyDescent="0.25">
      <c r="C61" s="50"/>
      <c r="D61" s="53"/>
    </row>
    <row r="62" spans="1:5" x14ac:dyDescent="0.25">
      <c r="C62" s="48"/>
      <c r="D62" s="53"/>
    </row>
    <row r="63" spans="1:5" x14ac:dyDescent="0.25">
      <c r="C63" s="49"/>
      <c r="D63" s="53"/>
    </row>
    <row r="64" spans="1:5" x14ac:dyDescent="0.25">
      <c r="B64" t="s">
        <v>88</v>
      </c>
    </row>
    <row r="65" spans="2:15" x14ac:dyDescent="0.25">
      <c r="B65" t="s">
        <v>89</v>
      </c>
    </row>
    <row r="66" spans="2:15" x14ac:dyDescent="0.25">
      <c r="B66" t="s">
        <v>93</v>
      </c>
    </row>
    <row r="67" spans="2:15" x14ac:dyDescent="0.25">
      <c r="B67" t="s">
        <v>94</v>
      </c>
    </row>
    <row r="68" spans="2:15" x14ac:dyDescent="0.25">
      <c r="B68" t="s">
        <v>95</v>
      </c>
    </row>
    <row r="69" spans="2:15" x14ac:dyDescent="0.25">
      <c r="B69" t="s">
        <v>96</v>
      </c>
    </row>
    <row r="70" spans="2:15" x14ac:dyDescent="0.25">
      <c r="B70" t="s">
        <v>103</v>
      </c>
    </row>
    <row r="71" spans="2:15" x14ac:dyDescent="0.25">
      <c r="B71" t="s">
        <v>104</v>
      </c>
    </row>
    <row r="73" spans="2:15" x14ac:dyDescent="0.25">
      <c r="B73" t="s">
        <v>91</v>
      </c>
      <c r="I73" s="92"/>
      <c r="J73" s="93" t="s">
        <v>44</v>
      </c>
      <c r="K73" s="93" t="s">
        <v>45</v>
      </c>
      <c r="L73" s="93" t="s">
        <v>35</v>
      </c>
      <c r="M73" s="93" t="s">
        <v>36</v>
      </c>
    </row>
    <row r="74" spans="2:15" ht="15.75" thickBot="1" x14ac:dyDescent="0.3">
      <c r="I74" s="94" t="s">
        <v>121</v>
      </c>
      <c r="J74" s="91" t="s">
        <v>55</v>
      </c>
      <c r="K74" s="91">
        <v>500</v>
      </c>
      <c r="L74" s="91">
        <v>1</v>
      </c>
      <c r="M74" s="91">
        <v>2</v>
      </c>
    </row>
    <row r="75" spans="2:15" ht="15.75" thickBot="1" x14ac:dyDescent="0.3">
      <c r="C75" s="174" t="s">
        <v>25</v>
      </c>
      <c r="D75" s="175">
        <v>315</v>
      </c>
      <c r="G75" t="s">
        <v>90</v>
      </c>
    </row>
    <row r="76" spans="2:15" ht="15.75" thickBot="1" x14ac:dyDescent="0.3">
      <c r="C76" s="178" t="s">
        <v>35</v>
      </c>
      <c r="D76" s="180">
        <v>1</v>
      </c>
      <c r="G76" s="40" t="s">
        <v>39</v>
      </c>
      <c r="H76" s="30" t="s">
        <v>40</v>
      </c>
      <c r="I76" s="30" t="s">
        <v>41</v>
      </c>
      <c r="J76" s="30" t="s">
        <v>42</v>
      </c>
      <c r="K76" s="30" t="s">
        <v>43</v>
      </c>
      <c r="L76" s="30" t="s">
        <v>44</v>
      </c>
      <c r="M76" s="30" t="s">
        <v>45</v>
      </c>
      <c r="N76" s="30" t="s">
        <v>46</v>
      </c>
      <c r="O76" s="31" t="s">
        <v>47</v>
      </c>
    </row>
    <row r="77" spans="2:15" ht="15.75" thickBot="1" x14ac:dyDescent="0.3">
      <c r="C77" s="176" t="s">
        <v>36</v>
      </c>
      <c r="D77" s="181">
        <v>2</v>
      </c>
      <c r="G77" s="183" t="s">
        <v>71</v>
      </c>
      <c r="H77" s="61" t="s">
        <v>48</v>
      </c>
      <c r="I77" s="62">
        <f>$K$14</f>
        <v>1.5E-3</v>
      </c>
      <c r="J77" s="63" t="s">
        <v>49</v>
      </c>
      <c r="K77" s="63" t="s">
        <v>50</v>
      </c>
      <c r="L77" s="63" t="s">
        <v>76</v>
      </c>
      <c r="M77" s="63">
        <v>200</v>
      </c>
      <c r="N77" s="63">
        <v>1</v>
      </c>
      <c r="O77" s="64">
        <v>2</v>
      </c>
    </row>
    <row r="78" spans="2:15" x14ac:dyDescent="0.25">
      <c r="G78" s="90"/>
      <c r="H78" s="57" t="s">
        <v>48</v>
      </c>
      <c r="I78" s="58">
        <f>$K$14</f>
        <v>1.5E-3</v>
      </c>
      <c r="J78" s="59" t="s">
        <v>51</v>
      </c>
      <c r="K78" s="59" t="s">
        <v>52</v>
      </c>
      <c r="L78" s="59" t="s">
        <v>45</v>
      </c>
      <c r="M78" s="59">
        <v>315</v>
      </c>
      <c r="N78" s="59">
        <v>1</v>
      </c>
      <c r="O78" s="60">
        <v>2</v>
      </c>
    </row>
    <row r="79" spans="2:15" ht="15.75" thickBot="1" x14ac:dyDescent="0.3">
      <c r="G79" s="184"/>
      <c r="H79" s="36" t="s">
        <v>48</v>
      </c>
      <c r="I79" s="37">
        <f>$K$14</f>
        <v>1.5E-3</v>
      </c>
      <c r="J79" s="38" t="s">
        <v>53</v>
      </c>
      <c r="K79" s="38" t="s">
        <v>54</v>
      </c>
      <c r="L79" s="38" t="s">
        <v>45</v>
      </c>
      <c r="M79" s="38">
        <v>500</v>
      </c>
      <c r="N79" s="38">
        <v>1</v>
      </c>
      <c r="O79" s="39">
        <v>2</v>
      </c>
    </row>
    <row r="80" spans="2:15" x14ac:dyDescent="0.25">
      <c r="G80" s="183" t="s">
        <v>71</v>
      </c>
      <c r="H80" s="61" t="s">
        <v>48</v>
      </c>
      <c r="I80" s="62">
        <f>$K$16</f>
        <v>4.0000000000000001E-3</v>
      </c>
      <c r="J80" s="63" t="s">
        <v>49</v>
      </c>
      <c r="K80" s="63" t="s">
        <v>50</v>
      </c>
      <c r="L80" s="63" t="s">
        <v>77</v>
      </c>
      <c r="M80" s="63">
        <v>200</v>
      </c>
      <c r="N80" s="63">
        <v>2</v>
      </c>
      <c r="O80" s="64">
        <v>3</v>
      </c>
    </row>
    <row r="81" spans="2:15" x14ac:dyDescent="0.25">
      <c r="G81" s="90"/>
      <c r="H81" s="57" t="s">
        <v>48</v>
      </c>
      <c r="I81" s="58">
        <f t="shared" ref="I81:I82" si="1">$K$16</f>
        <v>4.0000000000000001E-3</v>
      </c>
      <c r="J81" s="59" t="s">
        <v>51</v>
      </c>
      <c r="K81" s="59" t="s">
        <v>52</v>
      </c>
      <c r="L81" s="59" t="s">
        <v>77</v>
      </c>
      <c r="M81" s="59">
        <v>200</v>
      </c>
      <c r="N81" s="59">
        <v>1</v>
      </c>
      <c r="O81" s="60">
        <v>2</v>
      </c>
    </row>
    <row r="82" spans="2:15" ht="15.75" thickBot="1" x14ac:dyDescent="0.3">
      <c r="B82" t="s">
        <v>97</v>
      </c>
      <c r="G82" s="184"/>
      <c r="H82" s="36" t="s">
        <v>48</v>
      </c>
      <c r="I82" s="37">
        <f t="shared" si="1"/>
        <v>4.0000000000000001E-3</v>
      </c>
      <c r="J82" s="38" t="s">
        <v>53</v>
      </c>
      <c r="K82" s="38" t="s">
        <v>54</v>
      </c>
      <c r="L82" s="38" t="s">
        <v>77</v>
      </c>
      <c r="M82" s="38">
        <v>200</v>
      </c>
      <c r="N82" s="38">
        <v>1</v>
      </c>
      <c r="O82" s="39">
        <v>2</v>
      </c>
    </row>
    <row r="84" spans="2:15" x14ac:dyDescent="0.25">
      <c r="B84" t="s">
        <v>99</v>
      </c>
      <c r="C84" t="s">
        <v>100</v>
      </c>
    </row>
    <row r="85" spans="2:15" x14ac:dyDescent="0.25">
      <c r="C85" t="s">
        <v>92</v>
      </c>
      <c r="D85" t="s">
        <v>75</v>
      </c>
    </row>
    <row r="86" spans="2:15" x14ac:dyDescent="0.25">
      <c r="C86" s="49">
        <v>0</v>
      </c>
      <c r="D86" s="48">
        <v>1</v>
      </c>
    </row>
    <row r="87" spans="2:15" x14ac:dyDescent="0.25">
      <c r="C87" s="49">
        <v>8.7000000000000001E-4</v>
      </c>
      <c r="D87" s="48">
        <v>0.99</v>
      </c>
    </row>
    <row r="88" spans="2:15" x14ac:dyDescent="0.25">
      <c r="C88" s="55">
        <v>1.5E-3</v>
      </c>
      <c r="D88" s="56">
        <v>0.95569999999999999</v>
      </c>
      <c r="E88" t="s">
        <v>98</v>
      </c>
    </row>
    <row r="89" spans="2:15" x14ac:dyDescent="0.25">
      <c r="C89" s="49">
        <v>1.64E-3</v>
      </c>
      <c r="D89" s="48">
        <v>0.95</v>
      </c>
    </row>
    <row r="90" spans="2:15" x14ac:dyDescent="0.25">
      <c r="C90" s="49">
        <v>2.2100000000000002E-3</v>
      </c>
      <c r="D90" s="48">
        <v>0.9</v>
      </c>
    </row>
    <row r="91" spans="2:15" x14ac:dyDescent="0.25">
      <c r="C91" s="49">
        <v>3.46E-3</v>
      </c>
      <c r="D91" s="48">
        <v>0.75</v>
      </c>
    </row>
    <row r="92" spans="2:15" x14ac:dyDescent="0.25">
      <c r="C92" s="49">
        <v>5.3400000000000001E-3</v>
      </c>
      <c r="D92" s="48">
        <v>0.5</v>
      </c>
    </row>
    <row r="93" spans="2:15" x14ac:dyDescent="0.25">
      <c r="C93" s="49">
        <v>7.8300000000000002E-3</v>
      </c>
      <c r="D93" s="48">
        <v>0.25</v>
      </c>
    </row>
    <row r="94" spans="2:15" x14ac:dyDescent="0.25">
      <c r="C94" s="49">
        <v>1.06E-2</v>
      </c>
      <c r="D94" s="48">
        <v>0.1</v>
      </c>
    </row>
    <row r="95" spans="2:15" x14ac:dyDescent="0.25">
      <c r="C95" s="49">
        <v>1.2500000000000001E-2</v>
      </c>
      <c r="D95" s="48">
        <v>0.05</v>
      </c>
    </row>
    <row r="96" spans="2:15" x14ac:dyDescent="0.25">
      <c r="C96" s="49">
        <v>1.67E-2</v>
      </c>
      <c r="D96" s="48">
        <v>0.01</v>
      </c>
    </row>
    <row r="101" spans="2:9" ht="15.75" thickBot="1" x14ac:dyDescent="0.3">
      <c r="C101" s="49"/>
      <c r="D101" s="65"/>
    </row>
    <row r="102" spans="2:9" x14ac:dyDescent="0.25">
      <c r="B102" t="s">
        <v>101</v>
      </c>
      <c r="C102" s="124" t="s">
        <v>83</v>
      </c>
      <c r="D102" s="125"/>
      <c r="E102" s="126"/>
      <c r="G102" t="s">
        <v>176</v>
      </c>
    </row>
    <row r="103" spans="2:9" ht="15.75" thickBot="1" x14ac:dyDescent="0.3">
      <c r="C103" s="66">
        <v>0.17299999999999999</v>
      </c>
      <c r="D103" s="127" t="s">
        <v>102</v>
      </c>
      <c r="E103" s="128"/>
    </row>
    <row r="104" spans="2:9" x14ac:dyDescent="0.25">
      <c r="C104" s="49"/>
      <c r="D104" s="51"/>
      <c r="G104" s="164"/>
    </row>
    <row r="105" spans="2:9" x14ac:dyDescent="0.25">
      <c r="C105" s="49"/>
      <c r="D105" s="65"/>
    </row>
    <row r="106" spans="2:9" x14ac:dyDescent="0.25">
      <c r="C106" s="49"/>
      <c r="D106" s="65"/>
    </row>
    <row r="107" spans="2:9" x14ac:dyDescent="0.25">
      <c r="B107" t="s">
        <v>105</v>
      </c>
      <c r="C107" s="49" t="s">
        <v>106</v>
      </c>
      <c r="D107" s="65"/>
    </row>
    <row r="108" spans="2:9" x14ac:dyDescent="0.25">
      <c r="C108" s="49"/>
      <c r="D108" s="65"/>
    </row>
    <row r="109" spans="2:9" x14ac:dyDescent="0.25">
      <c r="B109" t="s">
        <v>107</v>
      </c>
      <c r="C109" s="139" t="s">
        <v>108</v>
      </c>
      <c r="D109" s="139"/>
      <c r="E109" s="139"/>
      <c r="F109" s="139"/>
      <c r="G109" s="139"/>
      <c r="H109" s="139"/>
      <c r="I109" s="139"/>
    </row>
    <row r="110" spans="2:9" x14ac:dyDescent="0.25">
      <c r="C110" s="139"/>
      <c r="D110" s="139"/>
      <c r="E110" s="139"/>
      <c r="F110" s="139"/>
      <c r="G110" s="139"/>
      <c r="H110" s="139"/>
      <c r="I110" s="139"/>
    </row>
    <row r="111" spans="2:9" x14ac:dyDescent="0.25">
      <c r="C111" s="139"/>
      <c r="D111" s="139"/>
      <c r="E111" s="139"/>
      <c r="F111" s="139"/>
      <c r="G111" s="139"/>
      <c r="H111" s="139"/>
      <c r="I111" s="139"/>
    </row>
    <row r="112" spans="2:9" x14ac:dyDescent="0.25">
      <c r="C112" s="139"/>
      <c r="D112" s="139"/>
      <c r="E112" s="139"/>
      <c r="F112" s="139"/>
      <c r="G112" s="139"/>
      <c r="H112" s="139"/>
      <c r="I112" s="139"/>
    </row>
    <row r="114" spans="2:9" x14ac:dyDescent="0.25">
      <c r="B114" t="s">
        <v>127</v>
      </c>
    </row>
    <row r="115" spans="2:9" x14ac:dyDescent="0.25">
      <c r="B115" t="s">
        <v>126</v>
      </c>
    </row>
    <row r="116" spans="2:9" x14ac:dyDescent="0.25">
      <c r="B116" t="s">
        <v>128</v>
      </c>
    </row>
    <row r="117" spans="2:9" x14ac:dyDescent="0.25">
      <c r="B117" t="s">
        <v>129</v>
      </c>
    </row>
    <row r="118" spans="2:9" x14ac:dyDescent="0.25">
      <c r="B118" t="s">
        <v>113</v>
      </c>
    </row>
    <row r="119" spans="2:9" x14ac:dyDescent="0.25">
      <c r="B119" t="s">
        <v>114</v>
      </c>
    </row>
    <row r="120" spans="2:9" x14ac:dyDescent="0.25">
      <c r="B120" t="s">
        <v>115</v>
      </c>
    </row>
    <row r="122" spans="2:9" ht="15" customHeight="1" x14ac:dyDescent="0.25">
      <c r="B122" t="s">
        <v>116</v>
      </c>
      <c r="C122" s="215" t="s">
        <v>172</v>
      </c>
      <c r="D122" s="205"/>
      <c r="E122" s="205"/>
      <c r="F122" s="205"/>
      <c r="G122" s="205"/>
      <c r="H122" s="205"/>
      <c r="I122" s="205"/>
    </row>
    <row r="123" spans="2:9" x14ac:dyDescent="0.25">
      <c r="C123" s="215" t="s">
        <v>173</v>
      </c>
      <c r="D123" s="205"/>
      <c r="E123" s="205"/>
      <c r="F123" s="205"/>
      <c r="G123" s="205"/>
      <c r="H123" s="205"/>
      <c r="I123" s="205"/>
    </row>
    <row r="124" spans="2:9" x14ac:dyDescent="0.25">
      <c r="C124" s="215" t="s">
        <v>174</v>
      </c>
      <c r="D124" s="205"/>
      <c r="E124" s="205"/>
      <c r="F124" s="205"/>
      <c r="G124" s="205"/>
      <c r="H124" s="205"/>
      <c r="I124" s="205"/>
    </row>
    <row r="125" spans="2:9" x14ac:dyDescent="0.25">
      <c r="C125" s="215" t="s">
        <v>175</v>
      </c>
      <c r="D125" s="205"/>
      <c r="E125" s="205"/>
      <c r="F125" s="205"/>
      <c r="G125" s="205"/>
      <c r="H125" s="205"/>
      <c r="I125" s="205"/>
    </row>
    <row r="126" spans="2:9" x14ac:dyDescent="0.25">
      <c r="C126" s="205"/>
      <c r="D126" s="205"/>
      <c r="E126" s="205"/>
      <c r="F126" s="205"/>
      <c r="G126" s="205"/>
      <c r="H126" s="205"/>
      <c r="I126" s="205"/>
    </row>
    <row r="128" spans="2:9" x14ac:dyDescent="0.25">
      <c r="D128" s="216"/>
      <c r="E128" s="216"/>
    </row>
    <row r="130" spans="2:4" x14ac:dyDescent="0.25">
      <c r="B130" t="s">
        <v>125</v>
      </c>
    </row>
    <row r="131" spans="2:4" ht="15.75" thickBot="1" x14ac:dyDescent="0.3"/>
    <row r="132" spans="2:4" x14ac:dyDescent="0.25">
      <c r="C132" s="174" t="s">
        <v>25</v>
      </c>
      <c r="D132" s="175">
        <v>500</v>
      </c>
    </row>
    <row r="133" spans="2:4" x14ac:dyDescent="0.25">
      <c r="C133" s="178" t="s">
        <v>35</v>
      </c>
      <c r="D133" s="180">
        <v>1</v>
      </c>
    </row>
    <row r="134" spans="2:4" ht="15.75" thickBot="1" x14ac:dyDescent="0.3">
      <c r="C134" s="176" t="s">
        <v>36</v>
      </c>
      <c r="D134" s="181">
        <v>2</v>
      </c>
    </row>
    <row r="137" spans="2:4" x14ac:dyDescent="0.25">
      <c r="B137" t="s">
        <v>130</v>
      </c>
    </row>
    <row r="139" spans="2:4" x14ac:dyDescent="0.25">
      <c r="B139" t="s">
        <v>100</v>
      </c>
    </row>
    <row r="140" spans="2:4" x14ac:dyDescent="0.25">
      <c r="B140" t="s">
        <v>92</v>
      </c>
      <c r="C140" t="s">
        <v>75</v>
      </c>
    </row>
    <row r="141" spans="2:4" x14ac:dyDescent="0.25">
      <c r="B141" s="185">
        <v>0</v>
      </c>
      <c r="C141" s="48">
        <v>1</v>
      </c>
    </row>
    <row r="142" spans="2:4" x14ac:dyDescent="0.25">
      <c r="B142" s="186">
        <v>1.5E-3</v>
      </c>
      <c r="C142" s="56">
        <v>0.96319999999999995</v>
      </c>
    </row>
    <row r="143" spans="2:4" x14ac:dyDescent="0.25">
      <c r="B143" s="185">
        <v>1.9300000000000001E-2</v>
      </c>
      <c r="C143" s="48">
        <v>0.1</v>
      </c>
    </row>
    <row r="144" spans="2:4" x14ac:dyDescent="0.25">
      <c r="B144" s="185"/>
      <c r="C144" s="48"/>
    </row>
    <row r="145" spans="1:6" x14ac:dyDescent="0.25">
      <c r="B145" s="185"/>
      <c r="C145" s="48"/>
    </row>
    <row r="146" spans="1:6" x14ac:dyDescent="0.25">
      <c r="B146" s="185"/>
      <c r="C146" s="48"/>
    </row>
    <row r="147" spans="1:6" x14ac:dyDescent="0.25">
      <c r="B147" s="185"/>
      <c r="C147" s="48"/>
    </row>
    <row r="148" spans="1:6" x14ac:dyDescent="0.25">
      <c r="A148" s="190" t="s">
        <v>131</v>
      </c>
      <c r="B148" s="187" t="s">
        <v>43</v>
      </c>
      <c r="C148" s="187" t="s">
        <v>132</v>
      </c>
      <c r="D148" s="187" t="s">
        <v>43</v>
      </c>
      <c r="E148" s="187" t="s">
        <v>133</v>
      </c>
      <c r="F148" s="187" t="s">
        <v>134</v>
      </c>
    </row>
    <row r="149" spans="1:6" x14ac:dyDescent="0.25">
      <c r="A149" s="191" t="s">
        <v>137</v>
      </c>
      <c r="B149" s="187" t="s">
        <v>135</v>
      </c>
      <c r="C149" s="188">
        <v>3.6799999999999999E-2</v>
      </c>
      <c r="D149" s="187" t="s">
        <v>136</v>
      </c>
      <c r="E149" s="189">
        <v>0.1</v>
      </c>
      <c r="F149" s="188">
        <v>1.9300000000000001E-2</v>
      </c>
    </row>
    <row r="150" spans="1:6" x14ac:dyDescent="0.25">
      <c r="B150" s="185"/>
      <c r="C150" s="48"/>
    </row>
    <row r="151" spans="1:6" x14ac:dyDescent="0.25">
      <c r="B151" s="185"/>
      <c r="C151" s="48"/>
    </row>
    <row r="153" spans="1:6" x14ac:dyDescent="0.25">
      <c r="A153" t="s">
        <v>139</v>
      </c>
    </row>
    <row r="154" spans="1:6" x14ac:dyDescent="0.25">
      <c r="B154" t="s">
        <v>138</v>
      </c>
    </row>
    <row r="158" spans="1:6" x14ac:dyDescent="0.25">
      <c r="A158" s="193" t="s">
        <v>144</v>
      </c>
    </row>
    <row r="159" spans="1:6" x14ac:dyDescent="0.25">
      <c r="A159" t="s">
        <v>140</v>
      </c>
      <c r="B159" t="s">
        <v>141</v>
      </c>
    </row>
    <row r="160" spans="1:6" x14ac:dyDescent="0.25">
      <c r="A160" t="s">
        <v>142</v>
      </c>
      <c r="B160" t="s">
        <v>143</v>
      </c>
    </row>
    <row r="164" spans="1:15" x14ac:dyDescent="0.25">
      <c r="A164">
        <v>1.5</v>
      </c>
    </row>
    <row r="167" spans="1:15" ht="15.75" thickBot="1" x14ac:dyDescent="0.3"/>
    <row r="168" spans="1:15" ht="15.75" thickBot="1" x14ac:dyDescent="0.3">
      <c r="L168" s="196" t="s">
        <v>154</v>
      </c>
      <c r="M168" s="197" t="s">
        <v>155</v>
      </c>
      <c r="N168" s="197" t="s">
        <v>35</v>
      </c>
      <c r="O168" s="198" t="s">
        <v>36</v>
      </c>
    </row>
    <row r="169" spans="1:15" x14ac:dyDescent="0.25">
      <c r="L169" s="199" t="s">
        <v>124</v>
      </c>
      <c r="M169" s="194" t="s">
        <v>156</v>
      </c>
      <c r="N169" s="194">
        <v>0</v>
      </c>
      <c r="O169" s="195">
        <v>2</v>
      </c>
    </row>
    <row r="170" spans="1:15" ht="15.75" thickBot="1" x14ac:dyDescent="0.3">
      <c r="L170" s="201"/>
      <c r="M170" s="157" t="s">
        <v>157</v>
      </c>
      <c r="N170" s="157">
        <v>1</v>
      </c>
      <c r="O170" s="177">
        <v>2</v>
      </c>
    </row>
    <row r="190" spans="1:2" x14ac:dyDescent="0.25">
      <c r="A190" t="s">
        <v>145</v>
      </c>
      <c r="B190" t="s">
        <v>148</v>
      </c>
    </row>
    <row r="191" spans="1:2" x14ac:dyDescent="0.25">
      <c r="A191" t="s">
        <v>146</v>
      </c>
      <c r="B191" t="s">
        <v>147</v>
      </c>
    </row>
    <row r="196" spans="1:7" x14ac:dyDescent="0.25">
      <c r="A196" s="193" t="s">
        <v>149</v>
      </c>
    </row>
    <row r="197" spans="1:7" x14ac:dyDescent="0.25">
      <c r="A197" t="s">
        <v>150</v>
      </c>
      <c r="B197" t="s">
        <v>151</v>
      </c>
    </row>
    <row r="198" spans="1:7" x14ac:dyDescent="0.25">
      <c r="A198" t="s">
        <v>152</v>
      </c>
      <c r="B198" t="s">
        <v>153</v>
      </c>
    </row>
    <row r="200" spans="1:7" ht="15.75" thickBot="1" x14ac:dyDescent="0.3"/>
    <row r="201" spans="1:7" ht="15.75" thickBot="1" x14ac:dyDescent="0.3">
      <c r="A201">
        <v>1.6</v>
      </c>
      <c r="B201" s="196" t="s">
        <v>154</v>
      </c>
      <c r="C201" s="197" t="s">
        <v>155</v>
      </c>
      <c r="D201" s="197" t="s">
        <v>35</v>
      </c>
      <c r="E201" s="198" t="s">
        <v>36</v>
      </c>
      <c r="F201" s="230" t="s">
        <v>45</v>
      </c>
      <c r="G201" s="230" t="s">
        <v>179</v>
      </c>
    </row>
    <row r="202" spans="1:7" x14ac:dyDescent="0.25">
      <c r="B202" s="199" t="s">
        <v>124</v>
      </c>
      <c r="C202" s="173" t="s">
        <v>156</v>
      </c>
      <c r="D202" s="173" t="s">
        <v>161</v>
      </c>
      <c r="E202" s="179">
        <v>2</v>
      </c>
      <c r="F202">
        <v>80</v>
      </c>
      <c r="G202">
        <v>80</v>
      </c>
    </row>
    <row r="203" spans="1:7" x14ac:dyDescent="0.25">
      <c r="B203" s="200"/>
      <c r="C203" s="173" t="s">
        <v>157</v>
      </c>
      <c r="D203" s="173">
        <v>0</v>
      </c>
      <c r="E203" s="179">
        <v>2</v>
      </c>
      <c r="F203">
        <v>80</v>
      </c>
      <c r="G203">
        <v>160</v>
      </c>
    </row>
    <row r="204" spans="1:7" x14ac:dyDescent="0.25">
      <c r="B204" s="200"/>
      <c r="C204" s="173" t="s">
        <v>158</v>
      </c>
      <c r="D204" s="173">
        <v>0</v>
      </c>
      <c r="E204" s="179">
        <v>2</v>
      </c>
      <c r="F204">
        <v>80</v>
      </c>
      <c r="G204">
        <v>240</v>
      </c>
    </row>
    <row r="205" spans="1:7" x14ac:dyDescent="0.25">
      <c r="B205" s="200"/>
      <c r="C205" s="173" t="s">
        <v>159</v>
      </c>
      <c r="D205" s="173">
        <v>0</v>
      </c>
      <c r="E205" s="179">
        <v>2</v>
      </c>
      <c r="F205">
        <v>80</v>
      </c>
      <c r="G205">
        <v>320</v>
      </c>
    </row>
    <row r="206" spans="1:7" ht="15.75" thickBot="1" x14ac:dyDescent="0.3">
      <c r="B206" s="201"/>
      <c r="C206" s="157" t="s">
        <v>160</v>
      </c>
      <c r="D206" s="157">
        <v>1</v>
      </c>
      <c r="E206" s="177">
        <v>2</v>
      </c>
      <c r="F206">
        <v>80</v>
      </c>
      <c r="G206">
        <v>400</v>
      </c>
    </row>
    <row r="209" spans="1:2" x14ac:dyDescent="0.25">
      <c r="A209" t="s">
        <v>162</v>
      </c>
      <c r="B209" t="s">
        <v>163</v>
      </c>
    </row>
    <row r="210" spans="1:2" x14ac:dyDescent="0.25">
      <c r="A210" t="s">
        <v>164</v>
      </c>
      <c r="B210" t="s">
        <v>165</v>
      </c>
    </row>
  </sheetData>
  <mergeCells count="21">
    <mergeCell ref="B202:B206"/>
    <mergeCell ref="L169:L170"/>
    <mergeCell ref="C109:I112"/>
    <mergeCell ref="C102:E102"/>
    <mergeCell ref="D103:E103"/>
    <mergeCell ref="D54:E54"/>
    <mergeCell ref="H13:I14"/>
    <mergeCell ref="H15:I16"/>
    <mergeCell ref="J13:K13"/>
    <mergeCell ref="J15:K15"/>
    <mergeCell ref="G13:G14"/>
    <mergeCell ref="G15:G16"/>
    <mergeCell ref="C56:E56"/>
    <mergeCell ref="D57:E57"/>
    <mergeCell ref="C59:E59"/>
    <mergeCell ref="D60:E60"/>
    <mergeCell ref="C29:D29"/>
    <mergeCell ref="G29:H29"/>
    <mergeCell ref="L30:L32"/>
    <mergeCell ref="L33:L35"/>
    <mergeCell ref="C53:E53"/>
  </mergeCell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T1001"/>
  <sheetViews>
    <sheetView topLeftCell="A187" zoomScaleNormal="100" workbookViewId="0">
      <selection activeCell="F206" sqref="F206:G206"/>
    </sheetView>
  </sheetViews>
  <sheetFormatPr baseColWidth="10" defaultColWidth="14.42578125" defaultRowHeight="15" customHeight="1" x14ac:dyDescent="0.25"/>
  <cols>
    <col min="1" max="4" width="10.7109375" customWidth="1"/>
    <col min="5" max="5" width="15.28515625" customWidth="1"/>
    <col min="6" max="14" width="10.7109375" customWidth="1"/>
    <col min="15" max="15" width="13.42578125" customWidth="1"/>
    <col min="16" max="26" width="10.7109375" customWidth="1"/>
  </cols>
  <sheetData>
    <row r="2" spans="2:11" x14ac:dyDescent="0.25">
      <c r="B2" s="67" t="s">
        <v>16</v>
      </c>
    </row>
    <row r="3" spans="2:11" x14ac:dyDescent="0.25">
      <c r="B3" s="68" t="s">
        <v>63</v>
      </c>
    </row>
    <row r="4" spans="2:11" x14ac:dyDescent="0.25">
      <c r="B4" s="68" t="s">
        <v>15</v>
      </c>
    </row>
    <row r="5" spans="2:11" x14ac:dyDescent="0.25">
      <c r="B5" s="68" t="s">
        <v>64</v>
      </c>
    </row>
    <row r="6" spans="2:11" x14ac:dyDescent="0.25">
      <c r="B6" s="68" t="s">
        <v>65</v>
      </c>
    </row>
    <row r="8" spans="2:11" x14ac:dyDescent="0.25">
      <c r="B8" s="68" t="s">
        <v>17</v>
      </c>
    </row>
    <row r="9" spans="2:11" x14ac:dyDescent="0.25">
      <c r="B9" s="68" t="s">
        <v>18</v>
      </c>
    </row>
    <row r="10" spans="2:11" x14ac:dyDescent="0.25">
      <c r="B10" s="68" t="s">
        <v>19</v>
      </c>
    </row>
    <row r="11" spans="2:11" x14ac:dyDescent="0.25">
      <c r="B11" s="68" t="s">
        <v>20</v>
      </c>
    </row>
    <row r="13" spans="2:11" x14ac:dyDescent="0.25">
      <c r="B13" s="68" t="s">
        <v>21</v>
      </c>
      <c r="C13" s="69" t="s">
        <v>23</v>
      </c>
      <c r="D13" s="70" t="s">
        <v>62</v>
      </c>
      <c r="G13" s="140" t="s">
        <v>38</v>
      </c>
      <c r="H13" s="142" t="s">
        <v>26</v>
      </c>
      <c r="I13" s="143"/>
      <c r="J13" s="146" t="s">
        <v>29</v>
      </c>
      <c r="K13" s="147"/>
    </row>
    <row r="14" spans="2:11" ht="15.75" thickBot="1" x14ac:dyDescent="0.3">
      <c r="C14" s="71" t="s">
        <v>22</v>
      </c>
      <c r="D14" s="72" t="s">
        <v>55</v>
      </c>
      <c r="G14" s="141"/>
      <c r="H14" s="144"/>
      <c r="I14" s="145"/>
      <c r="J14" s="73" t="s">
        <v>28</v>
      </c>
      <c r="K14" s="74">
        <v>1.5E-3</v>
      </c>
    </row>
    <row r="15" spans="2:11" ht="15.75" customHeight="1" thickBot="1" x14ac:dyDescent="0.3">
      <c r="B15" s="68" t="s">
        <v>24</v>
      </c>
      <c r="G15" s="140" t="s">
        <v>37</v>
      </c>
      <c r="H15" s="142" t="s">
        <v>27</v>
      </c>
      <c r="I15" s="143"/>
      <c r="J15" s="146" t="s">
        <v>30</v>
      </c>
      <c r="K15" s="147"/>
    </row>
    <row r="16" spans="2:11" ht="15.75" thickBot="1" x14ac:dyDescent="0.3">
      <c r="C16" s="174" t="s">
        <v>25</v>
      </c>
      <c r="D16" s="175">
        <v>7000</v>
      </c>
      <c r="G16" s="141"/>
      <c r="H16" s="144"/>
      <c r="I16" s="145"/>
      <c r="J16" s="73" t="s">
        <v>28</v>
      </c>
      <c r="K16" s="74">
        <f>0.4/100</f>
        <v>4.0000000000000001E-3</v>
      </c>
    </row>
    <row r="17" spans="2:20" ht="15" customHeight="1" x14ac:dyDescent="0.25">
      <c r="C17" s="178" t="s">
        <v>35</v>
      </c>
      <c r="D17" s="180">
        <v>28</v>
      </c>
    </row>
    <row r="18" spans="2:20" ht="15" customHeight="1" thickBot="1" x14ac:dyDescent="0.3">
      <c r="C18" s="176" t="s">
        <v>36</v>
      </c>
      <c r="D18" s="181">
        <v>29</v>
      </c>
    </row>
    <row r="19" spans="2:20" ht="15" customHeight="1" x14ac:dyDescent="0.25">
      <c r="C19" s="172"/>
      <c r="D19" s="182"/>
    </row>
    <row r="20" spans="2:20" x14ac:dyDescent="0.25">
      <c r="B20" s="68" t="s">
        <v>31</v>
      </c>
    </row>
    <row r="21" spans="2:20" x14ac:dyDescent="0.25">
      <c r="B21" s="68" t="s">
        <v>32</v>
      </c>
    </row>
    <row r="22" spans="2:20" ht="15.75" customHeight="1" x14ac:dyDescent="0.25">
      <c r="B22" s="68" t="s">
        <v>66</v>
      </c>
    </row>
    <row r="23" spans="2:20" ht="15.75" customHeight="1" x14ac:dyDescent="0.25">
      <c r="B23" s="68" t="s">
        <v>67</v>
      </c>
    </row>
    <row r="24" spans="2:20" ht="15.75" customHeight="1" x14ac:dyDescent="0.25">
      <c r="B24" s="68" t="s">
        <v>68</v>
      </c>
    </row>
    <row r="25" spans="2:20" ht="15.75" customHeight="1" x14ac:dyDescent="0.25">
      <c r="B25" s="68" t="s">
        <v>69</v>
      </c>
    </row>
    <row r="26" spans="2:20" ht="15.75" customHeight="1" x14ac:dyDescent="0.25">
      <c r="B26" s="68" t="s">
        <v>70</v>
      </c>
    </row>
    <row r="27" spans="2:20" ht="15.75" customHeight="1" x14ac:dyDescent="0.25"/>
    <row r="28" spans="2:20" ht="15.75" customHeight="1" thickBot="1" x14ac:dyDescent="0.3">
      <c r="B28" s="68" t="s">
        <v>33</v>
      </c>
      <c r="C28" s="68" t="s">
        <v>34</v>
      </c>
      <c r="L28" s="68" t="s">
        <v>72</v>
      </c>
    </row>
    <row r="29" spans="2:20" ht="15.75" customHeight="1" thickBot="1" x14ac:dyDescent="0.3">
      <c r="C29" s="148" t="s">
        <v>38</v>
      </c>
      <c r="D29" s="204"/>
      <c r="G29" s="148" t="s">
        <v>37</v>
      </c>
      <c r="H29" s="149"/>
      <c r="L29" s="40" t="s">
        <v>39</v>
      </c>
      <c r="M29" s="30" t="s">
        <v>40</v>
      </c>
      <c r="N29" s="30" t="s">
        <v>41</v>
      </c>
      <c r="O29" s="30" t="s">
        <v>42</v>
      </c>
      <c r="P29" s="30" t="s">
        <v>43</v>
      </c>
      <c r="Q29" s="30" t="s">
        <v>44</v>
      </c>
      <c r="R29" s="30" t="s">
        <v>45</v>
      </c>
      <c r="S29" s="30" t="s">
        <v>46</v>
      </c>
      <c r="T29" s="31" t="s">
        <v>47</v>
      </c>
    </row>
    <row r="30" spans="2:20" ht="15.75" customHeight="1" x14ac:dyDescent="0.25">
      <c r="C30" s="76" t="s">
        <v>35</v>
      </c>
      <c r="D30" s="77">
        <f>ROUND($D$16*$K$14,0)</f>
        <v>11</v>
      </c>
      <c r="G30" s="76" t="s">
        <v>35</v>
      </c>
      <c r="H30" s="77">
        <f>ROUND(D16*K16,0)</f>
        <v>28</v>
      </c>
      <c r="L30" s="121" t="s">
        <v>71</v>
      </c>
      <c r="M30" s="41" t="s">
        <v>48</v>
      </c>
      <c r="N30" s="42">
        <f>$K$14</f>
        <v>1.5E-3</v>
      </c>
      <c r="O30" s="43" t="s">
        <v>49</v>
      </c>
      <c r="P30" s="43" t="s">
        <v>50</v>
      </c>
      <c r="Q30" s="43" t="s">
        <v>76</v>
      </c>
      <c r="R30" s="43">
        <v>315</v>
      </c>
      <c r="S30" s="43">
        <v>1</v>
      </c>
      <c r="T30" s="44">
        <v>2</v>
      </c>
    </row>
    <row r="31" spans="2:20" ht="15.75" customHeight="1" thickBot="1" x14ac:dyDescent="0.3">
      <c r="C31" s="71" t="s">
        <v>36</v>
      </c>
      <c r="D31" s="78">
        <f>D30+1</f>
        <v>12</v>
      </c>
      <c r="G31" s="71" t="s">
        <v>36</v>
      </c>
      <c r="H31" s="78">
        <f>H30+1</f>
        <v>29</v>
      </c>
      <c r="L31" s="122"/>
      <c r="M31" s="32" t="s">
        <v>48</v>
      </c>
      <c r="N31" s="33">
        <f>$K$14</f>
        <v>1.5E-3</v>
      </c>
      <c r="O31" s="34" t="s">
        <v>51</v>
      </c>
      <c r="P31" s="34" t="s">
        <v>52</v>
      </c>
      <c r="Q31" s="34" t="s">
        <v>45</v>
      </c>
      <c r="R31" s="34">
        <v>500</v>
      </c>
      <c r="S31" s="34">
        <v>1</v>
      </c>
      <c r="T31" s="35">
        <v>2</v>
      </c>
    </row>
    <row r="32" spans="2:20" ht="15.75" customHeight="1" thickBot="1" x14ac:dyDescent="0.3">
      <c r="L32" s="123"/>
      <c r="M32" s="36" t="s">
        <v>48</v>
      </c>
      <c r="N32" s="37">
        <f>$K$14</f>
        <v>1.5E-3</v>
      </c>
      <c r="O32" s="38" t="s">
        <v>53</v>
      </c>
      <c r="P32" s="38" t="s">
        <v>54</v>
      </c>
      <c r="Q32" s="38" t="s">
        <v>45</v>
      </c>
      <c r="R32" s="38">
        <v>200</v>
      </c>
      <c r="S32" s="38">
        <v>1</v>
      </c>
      <c r="T32" s="39">
        <v>2</v>
      </c>
    </row>
    <row r="33" spans="2:20" ht="15.75" customHeight="1" thickBot="1" x14ac:dyDescent="0.3">
      <c r="B33" s="68" t="s">
        <v>56</v>
      </c>
      <c r="C33" s="75" t="s">
        <v>57</v>
      </c>
      <c r="D33" s="79" t="s">
        <v>58</v>
      </c>
      <c r="E33" s="79" t="s">
        <v>59</v>
      </c>
      <c r="F33" s="80" t="s">
        <v>60</v>
      </c>
      <c r="L33" s="121" t="s">
        <v>71</v>
      </c>
      <c r="M33" s="41" t="s">
        <v>48</v>
      </c>
      <c r="N33" s="42">
        <f>$K$16</f>
        <v>4.0000000000000001E-3</v>
      </c>
      <c r="O33" s="43" t="s">
        <v>49</v>
      </c>
      <c r="P33" s="43" t="s">
        <v>50</v>
      </c>
      <c r="Q33" s="43" t="s">
        <v>77</v>
      </c>
      <c r="R33" s="43">
        <v>200</v>
      </c>
      <c r="S33" s="43">
        <v>2</v>
      </c>
      <c r="T33" s="44">
        <v>3</v>
      </c>
    </row>
    <row r="34" spans="2:20" ht="15.75" customHeight="1" x14ac:dyDescent="0.25">
      <c r="C34" s="76" t="s">
        <v>38</v>
      </c>
      <c r="D34" s="81">
        <f>S30</f>
        <v>1</v>
      </c>
      <c r="E34" s="81">
        <v>1</v>
      </c>
      <c r="F34" s="82" t="s">
        <v>61</v>
      </c>
      <c r="L34" s="122"/>
      <c r="M34" s="32" t="s">
        <v>48</v>
      </c>
      <c r="N34" s="33">
        <f t="shared" ref="N34:N35" si="0">$K$16</f>
        <v>4.0000000000000001E-3</v>
      </c>
      <c r="O34" s="34" t="s">
        <v>51</v>
      </c>
      <c r="P34" s="34" t="s">
        <v>52</v>
      </c>
      <c r="Q34" s="34" t="s">
        <v>77</v>
      </c>
      <c r="R34" s="34">
        <v>200</v>
      </c>
      <c r="S34" s="34">
        <v>1</v>
      </c>
      <c r="T34" s="35">
        <v>2</v>
      </c>
    </row>
    <row r="35" spans="2:20" ht="15.75" customHeight="1" thickBot="1" x14ac:dyDescent="0.3">
      <c r="C35" s="71" t="s">
        <v>37</v>
      </c>
      <c r="D35" s="73">
        <f>S33</f>
        <v>2</v>
      </c>
      <c r="E35" s="73">
        <v>1</v>
      </c>
      <c r="F35" s="83" t="s">
        <v>61</v>
      </c>
      <c r="L35" s="123"/>
      <c r="M35" s="36" t="s">
        <v>48</v>
      </c>
      <c r="N35" s="37">
        <f t="shared" si="0"/>
        <v>4.0000000000000001E-3</v>
      </c>
      <c r="O35" s="38" t="s">
        <v>53</v>
      </c>
      <c r="P35" s="38" t="s">
        <v>54</v>
      </c>
      <c r="Q35" s="38" t="s">
        <v>77</v>
      </c>
      <c r="R35" s="38">
        <v>200</v>
      </c>
      <c r="S35" s="38">
        <v>1</v>
      </c>
      <c r="T35" s="39">
        <v>2</v>
      </c>
    </row>
    <row r="36" spans="2:20" ht="15.75" customHeight="1" x14ac:dyDescent="0.25"/>
    <row r="37" spans="2:20" ht="15.75" customHeight="1" x14ac:dyDescent="0.25"/>
    <row r="38" spans="2:20" ht="15.75" customHeight="1" x14ac:dyDescent="0.25">
      <c r="B38" s="68" t="s">
        <v>73</v>
      </c>
      <c r="C38" s="68" t="s">
        <v>109</v>
      </c>
    </row>
    <row r="39" spans="2:20" ht="15.75" customHeight="1" x14ac:dyDescent="0.25">
      <c r="C39" s="167" t="s">
        <v>119</v>
      </c>
      <c r="D39" s="168" t="s">
        <v>120</v>
      </c>
    </row>
    <row r="40" spans="2:20" ht="15.75" customHeight="1" x14ac:dyDescent="0.25">
      <c r="C40" s="165">
        <v>0</v>
      </c>
      <c r="D40" s="166">
        <v>1</v>
      </c>
    </row>
    <row r="41" spans="2:20" ht="15.75" customHeight="1" x14ac:dyDescent="0.25">
      <c r="C41" s="165">
        <v>0.218</v>
      </c>
      <c r="D41" s="166">
        <v>0.99</v>
      </c>
    </row>
    <row r="42" spans="2:20" ht="15.75" customHeight="1" x14ac:dyDescent="0.25">
      <c r="C42" s="202">
        <v>0.4</v>
      </c>
      <c r="D42" s="203">
        <f>1-4.74%</f>
        <v>0.9526</v>
      </c>
    </row>
    <row r="43" spans="2:20" ht="15.75" customHeight="1" x14ac:dyDescent="0.25">
      <c r="C43" s="165">
        <v>0.40899999999999997</v>
      </c>
      <c r="D43" s="166">
        <v>0.95</v>
      </c>
    </row>
    <row r="44" spans="2:20" ht="15.75" customHeight="1" x14ac:dyDescent="0.25">
      <c r="C44" s="165">
        <v>0.55100000000000005</v>
      </c>
      <c r="D44" s="166">
        <v>0.9</v>
      </c>
    </row>
    <row r="45" spans="2:20" ht="15.75" customHeight="1" x14ac:dyDescent="0.25">
      <c r="C45" s="165">
        <v>0.86399999999999999</v>
      </c>
      <c r="D45" s="166">
        <v>0.75</v>
      </c>
    </row>
    <row r="46" spans="2:20" ht="15.75" customHeight="1" x14ac:dyDescent="0.25">
      <c r="C46" s="165">
        <v>1.34</v>
      </c>
      <c r="D46" s="166">
        <v>0.5</v>
      </c>
    </row>
    <row r="47" spans="2:20" ht="15.75" customHeight="1" x14ac:dyDescent="0.25">
      <c r="C47" s="165">
        <v>1.96</v>
      </c>
      <c r="D47" s="166">
        <v>0.25</v>
      </c>
    </row>
    <row r="48" spans="2:20" ht="15.75" customHeight="1" x14ac:dyDescent="0.25">
      <c r="C48" s="165">
        <v>2.66</v>
      </c>
      <c r="D48" s="166">
        <v>0.1</v>
      </c>
    </row>
    <row r="49" spans="2:5" ht="15.75" customHeight="1" x14ac:dyDescent="0.25">
      <c r="C49" s="165">
        <v>3.15</v>
      </c>
      <c r="D49" s="166">
        <v>0.05</v>
      </c>
    </row>
    <row r="50" spans="2:5" ht="15.75" customHeight="1" x14ac:dyDescent="0.25">
      <c r="C50" s="165">
        <v>4.2</v>
      </c>
      <c r="D50" s="166">
        <v>0.01</v>
      </c>
    </row>
    <row r="51" spans="2:5" ht="15.75" customHeight="1" thickBot="1" x14ac:dyDescent="0.3">
      <c r="C51" s="85"/>
      <c r="D51" s="86"/>
    </row>
    <row r="52" spans="2:5" ht="15.75" customHeight="1" x14ac:dyDescent="0.25">
      <c r="B52" s="68" t="s">
        <v>80</v>
      </c>
      <c r="C52" s="150" t="s">
        <v>111</v>
      </c>
      <c r="D52" s="151"/>
      <c r="E52" s="152"/>
    </row>
    <row r="53" spans="2:5" ht="15.75" customHeight="1" thickBot="1" x14ac:dyDescent="0.3">
      <c r="C53" s="87">
        <v>4.7399999999999998E-2</v>
      </c>
      <c r="D53" s="153" t="s">
        <v>81</v>
      </c>
      <c r="E53" s="154"/>
    </row>
    <row r="54" spans="2:5" ht="15.75" customHeight="1" thickBot="1" x14ac:dyDescent="0.3">
      <c r="C54" s="86"/>
      <c r="D54" s="86"/>
    </row>
    <row r="55" spans="2:5" ht="15.75" customHeight="1" x14ac:dyDescent="0.25">
      <c r="B55" s="68" t="s">
        <v>82</v>
      </c>
      <c r="C55" s="155" t="s">
        <v>84</v>
      </c>
      <c r="D55" s="151"/>
      <c r="E55" s="152"/>
    </row>
    <row r="56" spans="2:5" ht="15.75" customHeight="1" thickBot="1" x14ac:dyDescent="0.3">
      <c r="C56" s="87">
        <v>1.66E-2</v>
      </c>
      <c r="D56" s="153" t="s">
        <v>81</v>
      </c>
      <c r="E56" s="154"/>
    </row>
    <row r="57" spans="2:5" ht="15.75" customHeight="1" thickBot="1" x14ac:dyDescent="0.3">
      <c r="C57" s="86"/>
      <c r="D57" s="84"/>
    </row>
    <row r="58" spans="2:5" ht="15.75" customHeight="1" x14ac:dyDescent="0.25">
      <c r="B58" s="68" t="s">
        <v>85</v>
      </c>
      <c r="C58" s="155" t="s">
        <v>123</v>
      </c>
      <c r="D58" s="151"/>
      <c r="E58" s="152"/>
    </row>
    <row r="59" spans="2:5" ht="15.75" customHeight="1" thickBot="1" x14ac:dyDescent="0.3">
      <c r="C59" s="87">
        <v>2.6599999999999999E-2</v>
      </c>
      <c r="D59" s="156" t="s">
        <v>112</v>
      </c>
      <c r="E59" s="154"/>
    </row>
    <row r="60" spans="2:5" ht="15.75" customHeight="1" x14ac:dyDescent="0.25">
      <c r="C60" s="85"/>
      <c r="D60" s="88"/>
    </row>
    <row r="61" spans="2:5" ht="15.75" customHeight="1" x14ac:dyDescent="0.25">
      <c r="C61" s="89"/>
      <c r="D61" s="88"/>
    </row>
    <row r="62" spans="2:5" ht="15.75" customHeight="1" x14ac:dyDescent="0.25">
      <c r="C62" s="86"/>
      <c r="D62" s="88"/>
    </row>
    <row r="63" spans="2:5" ht="15.75" customHeight="1" x14ac:dyDescent="0.25">
      <c r="B63" s="68" t="s">
        <v>88</v>
      </c>
    </row>
    <row r="64" spans="2:5" ht="15.75" customHeight="1" x14ac:dyDescent="0.25">
      <c r="B64" s="68" t="s">
        <v>89</v>
      </c>
    </row>
    <row r="65" spans="2:4" ht="15.75" customHeight="1" x14ac:dyDescent="0.25">
      <c r="B65" s="68" t="s">
        <v>93</v>
      </c>
    </row>
    <row r="66" spans="2:4" ht="15.75" customHeight="1" x14ac:dyDescent="0.25">
      <c r="B66" s="68" t="s">
        <v>94</v>
      </c>
    </row>
    <row r="67" spans="2:4" ht="15.75" customHeight="1" x14ac:dyDescent="0.25">
      <c r="B67" s="68" t="s">
        <v>95</v>
      </c>
    </row>
    <row r="68" spans="2:4" ht="15.75" customHeight="1" x14ac:dyDescent="0.25">
      <c r="B68" s="68" t="s">
        <v>96</v>
      </c>
    </row>
    <row r="69" spans="2:4" ht="15.75" customHeight="1" x14ac:dyDescent="0.25">
      <c r="B69" s="68" t="s">
        <v>103</v>
      </c>
    </row>
    <row r="70" spans="2:4" ht="15.75" customHeight="1" x14ac:dyDescent="0.25">
      <c r="B70" s="68" t="s">
        <v>104</v>
      </c>
    </row>
    <row r="71" spans="2:4" ht="15.75" customHeight="1" x14ac:dyDescent="0.25"/>
    <row r="72" spans="2:4" ht="15.75" customHeight="1" x14ac:dyDescent="0.25">
      <c r="B72" s="68" t="s">
        <v>91</v>
      </c>
    </row>
    <row r="73" spans="2:4" ht="15.75" customHeight="1" thickBot="1" x14ac:dyDescent="0.3"/>
    <row r="74" spans="2:4" ht="15.75" customHeight="1" x14ac:dyDescent="0.25">
      <c r="C74" s="174" t="s">
        <v>25</v>
      </c>
      <c r="D74" s="175">
        <v>200</v>
      </c>
    </row>
    <row r="75" spans="2:4" ht="15.75" customHeight="1" x14ac:dyDescent="0.25">
      <c r="B75" s="68"/>
      <c r="C75" s="178" t="s">
        <v>35</v>
      </c>
      <c r="D75" s="180">
        <v>1</v>
      </c>
    </row>
    <row r="76" spans="2:4" ht="15.75" customHeight="1" thickBot="1" x14ac:dyDescent="0.3">
      <c r="C76" s="176" t="s">
        <v>36</v>
      </c>
      <c r="D76" s="181">
        <v>2</v>
      </c>
    </row>
    <row r="77" spans="2:4" ht="15.75" customHeight="1" x14ac:dyDescent="0.25"/>
    <row r="78" spans="2:4" ht="15.75" customHeight="1" x14ac:dyDescent="0.25"/>
    <row r="79" spans="2:4" ht="15.75" customHeight="1" x14ac:dyDescent="0.25">
      <c r="B79" t="s">
        <v>166</v>
      </c>
    </row>
    <row r="80" spans="2:4" ht="15.75" customHeight="1" thickBot="1" x14ac:dyDescent="0.3">
      <c r="B80" t="s">
        <v>99</v>
      </c>
      <c r="C80" t="s">
        <v>167</v>
      </c>
    </row>
    <row r="81" spans="3:8" s="192" customFormat="1" ht="22.5" x14ac:dyDescent="0.25">
      <c r="C81" s="207" t="s">
        <v>119</v>
      </c>
      <c r="D81" s="208" t="s">
        <v>120</v>
      </c>
    </row>
    <row r="82" spans="3:8" ht="15.75" customHeight="1" x14ac:dyDescent="0.25">
      <c r="C82" s="211">
        <v>0</v>
      </c>
      <c r="D82" s="209">
        <v>1</v>
      </c>
    </row>
    <row r="83" spans="3:8" ht="15.75" customHeight="1" x14ac:dyDescent="0.25">
      <c r="C83" s="211">
        <v>7.0400000000000004E-2</v>
      </c>
      <c r="D83" s="209">
        <v>0.99</v>
      </c>
    </row>
    <row r="84" spans="3:8" ht="15.75" customHeight="1" x14ac:dyDescent="0.25">
      <c r="C84" s="211">
        <v>0.17799999999999999</v>
      </c>
      <c r="D84" s="209">
        <v>0.95</v>
      </c>
    </row>
    <row r="85" spans="3:8" ht="15.75" customHeight="1" x14ac:dyDescent="0.25">
      <c r="C85" s="211">
        <v>0.26600000000000001</v>
      </c>
      <c r="D85" s="209">
        <v>0.9</v>
      </c>
    </row>
    <row r="86" spans="3:8" ht="15.75" customHeight="1" x14ac:dyDescent="0.25">
      <c r="C86" s="225">
        <v>0.4</v>
      </c>
      <c r="D86" s="226">
        <v>0.80650000000000011</v>
      </c>
      <c r="E86" t="s">
        <v>110</v>
      </c>
    </row>
    <row r="87" spans="3:8" ht="15.75" customHeight="1" x14ac:dyDescent="0.25">
      <c r="C87" s="211">
        <v>0.48099999999999998</v>
      </c>
      <c r="D87" s="209">
        <v>0.75</v>
      </c>
    </row>
    <row r="88" spans="3:8" ht="15.75" customHeight="1" x14ac:dyDescent="0.25">
      <c r="C88" s="211">
        <v>0.83899999999999997</v>
      </c>
      <c r="D88" s="209">
        <v>0.5</v>
      </c>
    </row>
    <row r="89" spans="3:8" ht="15.75" customHeight="1" x14ac:dyDescent="0.25">
      <c r="C89" s="211">
        <v>1.335</v>
      </c>
      <c r="D89" s="209">
        <v>0.25</v>
      </c>
    </row>
    <row r="90" spans="3:8" ht="15.75" customHeight="1" x14ac:dyDescent="0.25">
      <c r="C90" s="211">
        <v>1.94</v>
      </c>
      <c r="D90" s="209">
        <v>0.1</v>
      </c>
    </row>
    <row r="91" spans="3:8" ht="15.75" customHeight="1" x14ac:dyDescent="0.25">
      <c r="C91" s="211">
        <v>2.37</v>
      </c>
      <c r="D91" s="209">
        <v>0.05</v>
      </c>
    </row>
    <row r="92" spans="3:8" ht="15.75" customHeight="1" thickBot="1" x14ac:dyDescent="0.3">
      <c r="C92" s="212">
        <v>3.32</v>
      </c>
      <c r="D92" s="210">
        <v>0.01</v>
      </c>
    </row>
    <row r="93" spans="3:8" ht="15.75" customHeight="1" x14ac:dyDescent="0.25">
      <c r="C93" s="206"/>
      <c r="D93" s="85"/>
    </row>
    <row r="94" spans="3:8" ht="15.75" customHeight="1" x14ac:dyDescent="0.25">
      <c r="C94" s="84"/>
      <c r="D94" s="85"/>
    </row>
    <row r="95" spans="3:8" ht="15.75" customHeight="1" x14ac:dyDescent="0.25"/>
    <row r="96" spans="3:8" ht="15.75" customHeight="1" thickBot="1" x14ac:dyDescent="0.3">
      <c r="H96" t="s">
        <v>177</v>
      </c>
    </row>
    <row r="97" spans="2:12" ht="15.75" customHeight="1" x14ac:dyDescent="0.25">
      <c r="B97" s="68" t="s">
        <v>101</v>
      </c>
      <c r="C97" s="150" t="s">
        <v>111</v>
      </c>
      <c r="D97" s="151"/>
      <c r="E97" s="170"/>
    </row>
    <row r="98" spans="2:12" ht="15.75" customHeight="1" thickBot="1" x14ac:dyDescent="0.3">
      <c r="C98" s="87">
        <v>0.191</v>
      </c>
      <c r="D98" s="156" t="s">
        <v>102</v>
      </c>
      <c r="E98" s="171"/>
      <c r="J98" s="161"/>
      <c r="K98" s="161"/>
      <c r="L98" s="161"/>
    </row>
    <row r="99" spans="2:12" ht="15.75" customHeight="1" thickBot="1" x14ac:dyDescent="0.3">
      <c r="C99" s="86"/>
      <c r="D99" s="86"/>
    </row>
    <row r="100" spans="2:12" ht="15.75" customHeight="1" x14ac:dyDescent="0.25">
      <c r="C100" s="155" t="s">
        <v>84</v>
      </c>
      <c r="D100" s="151"/>
      <c r="E100" s="152"/>
      <c r="F100" s="169"/>
      <c r="G100" s="169"/>
    </row>
    <row r="101" spans="2:12" ht="15.75" customHeight="1" thickBot="1" x14ac:dyDescent="0.3">
      <c r="C101" s="87">
        <v>0.14299999999999999</v>
      </c>
      <c r="D101" s="156" t="s">
        <v>102</v>
      </c>
      <c r="E101" s="171"/>
    </row>
    <row r="102" spans="2:12" ht="15.75" customHeight="1" thickBot="1" x14ac:dyDescent="0.3">
      <c r="C102" s="86"/>
      <c r="D102" s="84"/>
    </row>
    <row r="103" spans="2:12" ht="15.75" customHeight="1" x14ac:dyDescent="0.25">
      <c r="C103" s="155" t="s">
        <v>171</v>
      </c>
      <c r="D103" s="151"/>
      <c r="E103" s="152"/>
    </row>
    <row r="104" spans="2:12" ht="15.75" customHeight="1" thickBot="1" x14ac:dyDescent="0.3">
      <c r="C104" s="87">
        <v>2.6599999999999999E-2</v>
      </c>
      <c r="D104" s="156" t="s">
        <v>112</v>
      </c>
      <c r="E104" s="154"/>
      <c r="F104" s="220"/>
      <c r="G104" s="220"/>
      <c r="H104" s="220"/>
    </row>
    <row r="105" spans="2:12" ht="15.75" customHeight="1" x14ac:dyDescent="0.25">
      <c r="C105" s="84"/>
      <c r="D105" s="85"/>
      <c r="F105" s="220"/>
      <c r="G105" s="220"/>
      <c r="H105" s="220"/>
    </row>
    <row r="106" spans="2:12" ht="15.75" customHeight="1" x14ac:dyDescent="0.25">
      <c r="C106" s="84"/>
      <c r="D106" s="85"/>
      <c r="F106" s="220"/>
      <c r="G106" s="220"/>
      <c r="H106" s="220"/>
    </row>
    <row r="107" spans="2:12" ht="15.75" customHeight="1" x14ac:dyDescent="0.25"/>
    <row r="108" spans="2:12" ht="15.75" customHeight="1" x14ac:dyDescent="0.25"/>
    <row r="109" spans="2:12" ht="15.75" customHeight="1" x14ac:dyDescent="0.25"/>
    <row r="110" spans="2:12" ht="15.75" customHeight="1" x14ac:dyDescent="0.25">
      <c r="B110" t="s">
        <v>105</v>
      </c>
      <c r="C110" t="s">
        <v>170</v>
      </c>
    </row>
    <row r="111" spans="2:12" ht="15.75" customHeight="1" x14ac:dyDescent="0.25">
      <c r="C111" s="213"/>
    </row>
    <row r="112" spans="2:12" ht="15.75" customHeight="1" x14ac:dyDescent="0.25">
      <c r="C112" s="214" t="s">
        <v>168</v>
      </c>
    </row>
    <row r="113" spans="1:9" ht="15.75" customHeight="1" x14ac:dyDescent="0.25">
      <c r="C113" s="214" t="s">
        <v>169</v>
      </c>
    </row>
    <row r="114" spans="1:9" ht="15.75" customHeight="1" x14ac:dyDescent="0.25"/>
    <row r="115" spans="1:9" ht="15.75" customHeight="1" x14ac:dyDescent="0.25"/>
    <row r="116" spans="1:9" ht="15.75" customHeight="1" x14ac:dyDescent="0.25">
      <c r="B116" t="s">
        <v>107</v>
      </c>
      <c r="C116" s="139" t="s">
        <v>108</v>
      </c>
      <c r="D116" s="139"/>
      <c r="E116" s="139"/>
      <c r="F116" s="139"/>
      <c r="G116" s="139"/>
      <c r="H116" s="139"/>
      <c r="I116" s="139"/>
    </row>
    <row r="117" spans="1:9" ht="15.75" customHeight="1" x14ac:dyDescent="0.25">
      <c r="C117" s="139"/>
      <c r="D117" s="139"/>
      <c r="E117" s="139"/>
      <c r="F117" s="139"/>
      <c r="G117" s="139"/>
      <c r="H117" s="139"/>
      <c r="I117" s="139"/>
    </row>
    <row r="118" spans="1:9" ht="15.75" customHeight="1" x14ac:dyDescent="0.25">
      <c r="C118" s="139"/>
      <c r="D118" s="139"/>
      <c r="E118" s="139"/>
      <c r="F118" s="139"/>
      <c r="G118" s="139"/>
      <c r="H118" s="139"/>
      <c r="I118" s="139"/>
    </row>
    <row r="119" spans="1:9" ht="15.75" customHeight="1" x14ac:dyDescent="0.25">
      <c r="C119" s="139"/>
      <c r="D119" s="139"/>
      <c r="E119" s="139"/>
      <c r="F119" s="139"/>
      <c r="G119" s="139"/>
      <c r="H119" s="139"/>
      <c r="I119" s="139"/>
    </row>
    <row r="120" spans="1:9" ht="15.75" customHeight="1" x14ac:dyDescent="0.25"/>
    <row r="121" spans="1:9" ht="15.75" customHeight="1" x14ac:dyDescent="0.25"/>
    <row r="122" spans="1:9" ht="15.75" customHeight="1" x14ac:dyDescent="0.25">
      <c r="A122" t="s">
        <v>127</v>
      </c>
    </row>
    <row r="123" spans="1:9" ht="15.75" customHeight="1" x14ac:dyDescent="0.25">
      <c r="A123" t="s">
        <v>126</v>
      </c>
    </row>
    <row r="124" spans="1:9" ht="15.75" customHeight="1" x14ac:dyDescent="0.25">
      <c r="A124" t="s">
        <v>128</v>
      </c>
    </row>
    <row r="125" spans="1:9" ht="15.75" customHeight="1" x14ac:dyDescent="0.25">
      <c r="A125" t="s">
        <v>129</v>
      </c>
    </row>
    <row r="126" spans="1:9" ht="15.75" customHeight="1" x14ac:dyDescent="0.25">
      <c r="A126" t="s">
        <v>113</v>
      </c>
    </row>
    <row r="127" spans="1:9" ht="15.75" customHeight="1" x14ac:dyDescent="0.25">
      <c r="A127" t="s">
        <v>114</v>
      </c>
      <c r="D127" s="84"/>
      <c r="E127" s="85"/>
    </row>
    <row r="128" spans="1:9" ht="15.75" customHeight="1" x14ac:dyDescent="0.25">
      <c r="A128" t="s">
        <v>115</v>
      </c>
      <c r="D128" s="84"/>
      <c r="E128" s="85"/>
    </row>
    <row r="129" spans="2:5" ht="15.75" customHeight="1" x14ac:dyDescent="0.25">
      <c r="D129" s="84"/>
      <c r="E129" s="85"/>
    </row>
    <row r="130" spans="2:5" ht="15.75" customHeight="1" x14ac:dyDescent="0.25"/>
    <row r="131" spans="2:5" ht="15.75" customHeight="1" x14ac:dyDescent="0.25"/>
    <row r="132" spans="2:5" ht="15.75" customHeight="1" x14ac:dyDescent="0.25">
      <c r="B132" t="s">
        <v>116</v>
      </c>
      <c r="C132" s="215" t="s">
        <v>172</v>
      </c>
    </row>
    <row r="133" spans="2:5" ht="15.75" customHeight="1" x14ac:dyDescent="0.25">
      <c r="C133" s="215" t="s">
        <v>173</v>
      </c>
    </row>
    <row r="134" spans="2:5" ht="15.75" customHeight="1" x14ac:dyDescent="0.25">
      <c r="C134" s="215" t="s">
        <v>174</v>
      </c>
    </row>
    <row r="135" spans="2:5" ht="15.75" customHeight="1" x14ac:dyDescent="0.25">
      <c r="C135" s="215" t="s">
        <v>175</v>
      </c>
    </row>
    <row r="136" spans="2:5" ht="15.75" customHeight="1" x14ac:dyDescent="0.25"/>
    <row r="137" spans="2:5" ht="15.75" customHeight="1" x14ac:dyDescent="0.25"/>
    <row r="138" spans="2:5" ht="15.75" customHeight="1" thickBot="1" x14ac:dyDescent="0.3">
      <c r="B138" t="s">
        <v>125</v>
      </c>
    </row>
    <row r="139" spans="2:5" ht="15.75" customHeight="1" x14ac:dyDescent="0.25">
      <c r="B139" s="174" t="s">
        <v>25</v>
      </c>
      <c r="C139" s="175">
        <v>80</v>
      </c>
    </row>
    <row r="140" spans="2:5" ht="15.75" customHeight="1" x14ac:dyDescent="0.25">
      <c r="B140" s="178" t="s">
        <v>35</v>
      </c>
      <c r="C140" s="180">
        <v>1</v>
      </c>
    </row>
    <row r="141" spans="2:5" ht="15.75" customHeight="1" thickBot="1" x14ac:dyDescent="0.3">
      <c r="B141" s="176" t="s">
        <v>36</v>
      </c>
      <c r="C141" s="181">
        <v>2</v>
      </c>
    </row>
    <row r="142" spans="2:5" ht="15.75" customHeight="1" x14ac:dyDescent="0.25"/>
    <row r="143" spans="2:5" ht="15.75" customHeight="1" x14ac:dyDescent="0.25"/>
    <row r="144" spans="2:5" ht="15.75" customHeight="1" x14ac:dyDescent="0.25">
      <c r="B144" t="s">
        <v>130</v>
      </c>
    </row>
    <row r="145" spans="2:6" ht="15.75" customHeight="1" x14ac:dyDescent="0.25"/>
    <row r="146" spans="2:6" ht="15.75" customHeight="1" thickBot="1" x14ac:dyDescent="0.3">
      <c r="B146" t="s">
        <v>167</v>
      </c>
    </row>
    <row r="147" spans="2:6" ht="15.75" customHeight="1" thickBot="1" x14ac:dyDescent="0.3">
      <c r="B147" s="218" t="s">
        <v>119</v>
      </c>
      <c r="C147" s="219" t="s">
        <v>75</v>
      </c>
    </row>
    <row r="148" spans="2:6" ht="15.75" customHeight="1" x14ac:dyDescent="0.25">
      <c r="B148" s="221">
        <v>0</v>
      </c>
      <c r="C148" s="209">
        <v>1</v>
      </c>
    </row>
    <row r="149" spans="2:6" ht="15.75" customHeight="1" x14ac:dyDescent="0.25">
      <c r="B149" s="222">
        <v>0.4</v>
      </c>
      <c r="C149" s="217">
        <v>0.95899999999999996</v>
      </c>
    </row>
    <row r="150" spans="2:6" ht="15.75" customHeight="1" thickBot="1" x14ac:dyDescent="0.3">
      <c r="B150" s="223">
        <v>4.78</v>
      </c>
      <c r="C150" s="210">
        <v>0.1</v>
      </c>
    </row>
    <row r="151" spans="2:6" ht="15.75" customHeight="1" x14ac:dyDescent="0.25">
      <c r="B151" s="185"/>
      <c r="C151" s="48"/>
    </row>
    <row r="152" spans="2:6" ht="15.75" customHeight="1" x14ac:dyDescent="0.25">
      <c r="B152" s="187" t="s">
        <v>43</v>
      </c>
      <c r="C152" s="187" t="s">
        <v>132</v>
      </c>
      <c r="D152" s="187" t="s">
        <v>43</v>
      </c>
      <c r="E152" s="187" t="s">
        <v>133</v>
      </c>
      <c r="F152" s="187" t="s">
        <v>134</v>
      </c>
    </row>
    <row r="153" spans="2:6" ht="15.75" customHeight="1" x14ac:dyDescent="0.25">
      <c r="B153" s="187" t="s">
        <v>135</v>
      </c>
      <c r="C153" s="224">
        <v>4.1500000000000004</v>
      </c>
      <c r="D153" s="187" t="s">
        <v>136</v>
      </c>
      <c r="E153" s="189">
        <v>0.1</v>
      </c>
      <c r="F153" s="188">
        <v>4.7800000000000002E-2</v>
      </c>
    </row>
    <row r="154" spans="2:6" ht="15.75" customHeight="1" x14ac:dyDescent="0.25"/>
    <row r="155" spans="2:6" ht="15.75" customHeight="1" x14ac:dyDescent="0.25"/>
    <row r="156" spans="2:6" ht="15.75" customHeight="1" x14ac:dyDescent="0.25"/>
    <row r="157" spans="2:6" ht="15.75" customHeight="1" x14ac:dyDescent="0.25">
      <c r="C157" s="193" t="s">
        <v>178</v>
      </c>
    </row>
    <row r="158" spans="2:6" ht="15.75" customHeight="1" x14ac:dyDescent="0.25"/>
    <row r="159" spans="2:6" ht="15.75" customHeight="1" x14ac:dyDescent="0.25"/>
    <row r="160" spans="2:6" ht="15.75" customHeight="1" x14ac:dyDescent="0.25"/>
    <row r="161" spans="1:5" ht="15.75" customHeight="1" x14ac:dyDescent="0.25">
      <c r="A161" s="193" t="s">
        <v>144</v>
      </c>
    </row>
    <row r="162" spans="1:5" ht="15.75" customHeight="1" x14ac:dyDescent="0.25">
      <c r="A162" t="s">
        <v>140</v>
      </c>
      <c r="B162" t="s">
        <v>141</v>
      </c>
    </row>
    <row r="163" spans="1:5" ht="15.75" customHeight="1" x14ac:dyDescent="0.25">
      <c r="A163" t="s">
        <v>142</v>
      </c>
      <c r="B163" t="s">
        <v>143</v>
      </c>
    </row>
    <row r="164" spans="1:5" ht="15.75" customHeight="1" thickBot="1" x14ac:dyDescent="0.3"/>
    <row r="165" spans="1:5" ht="15.75" customHeight="1" thickBot="1" x14ac:dyDescent="0.3">
      <c r="B165" s="196" t="s">
        <v>154</v>
      </c>
      <c r="C165" s="197" t="s">
        <v>155</v>
      </c>
      <c r="D165" s="197" t="s">
        <v>35</v>
      </c>
      <c r="E165" s="198" t="s">
        <v>36</v>
      </c>
    </row>
    <row r="166" spans="1:5" ht="15.75" customHeight="1" x14ac:dyDescent="0.25">
      <c r="B166" s="227" t="s">
        <v>71</v>
      </c>
      <c r="C166" s="173" t="s">
        <v>156</v>
      </c>
      <c r="D166" s="173">
        <v>0</v>
      </c>
      <c r="E166" s="179">
        <v>2</v>
      </c>
    </row>
    <row r="167" spans="1:5" ht="15.75" customHeight="1" x14ac:dyDescent="0.25">
      <c r="B167" s="228"/>
      <c r="C167" s="173" t="s">
        <v>157</v>
      </c>
      <c r="D167" s="173">
        <v>1</v>
      </c>
      <c r="E167" s="179">
        <v>2</v>
      </c>
    </row>
    <row r="168" spans="1:5" ht="15.75" customHeight="1" x14ac:dyDescent="0.25">
      <c r="B168" s="228"/>
      <c r="C168" s="173"/>
      <c r="D168" s="173"/>
      <c r="E168" s="179"/>
    </row>
    <row r="169" spans="1:5" ht="15.75" customHeight="1" x14ac:dyDescent="0.25">
      <c r="B169" s="228"/>
      <c r="C169" s="173"/>
      <c r="D169" s="173"/>
      <c r="E169" s="179"/>
    </row>
    <row r="170" spans="1:5" ht="15.75" customHeight="1" thickBot="1" x14ac:dyDescent="0.3">
      <c r="B170" s="229"/>
      <c r="C170" s="157"/>
      <c r="D170" s="157"/>
      <c r="E170" s="177"/>
    </row>
    <row r="171" spans="1:5" ht="15.75" customHeight="1" x14ac:dyDescent="0.25"/>
    <row r="172" spans="1:5" ht="15.75" customHeight="1" x14ac:dyDescent="0.25"/>
    <row r="173" spans="1:5" ht="15.75" customHeight="1" x14ac:dyDescent="0.25"/>
    <row r="174" spans="1:5" ht="15.75" customHeight="1" x14ac:dyDescent="0.25"/>
    <row r="175" spans="1:5" ht="15.75" customHeight="1" x14ac:dyDescent="0.25"/>
    <row r="176" spans="1:5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spans="1:7" ht="15.75" customHeight="1" x14ac:dyDescent="0.25"/>
    <row r="194" spans="1:7" ht="15.75" customHeight="1" x14ac:dyDescent="0.25"/>
    <row r="195" spans="1:7" ht="15.75" customHeight="1" x14ac:dyDescent="0.25"/>
    <row r="196" spans="1:7" ht="15.75" customHeight="1" x14ac:dyDescent="0.25"/>
    <row r="197" spans="1:7" ht="15.75" customHeight="1" x14ac:dyDescent="0.25">
      <c r="A197" t="s">
        <v>145</v>
      </c>
      <c r="B197" t="s">
        <v>148</v>
      </c>
    </row>
    <row r="198" spans="1:7" ht="15.75" customHeight="1" x14ac:dyDescent="0.25">
      <c r="A198" t="s">
        <v>146</v>
      </c>
      <c r="B198" t="s">
        <v>147</v>
      </c>
    </row>
    <row r="199" spans="1:7" ht="15.75" customHeight="1" x14ac:dyDescent="0.25"/>
    <row r="200" spans="1:7" ht="15.75" customHeight="1" x14ac:dyDescent="0.25"/>
    <row r="201" spans="1:7" ht="15.75" customHeight="1" x14ac:dyDescent="0.25">
      <c r="A201" s="193" t="s">
        <v>149</v>
      </c>
    </row>
    <row r="202" spans="1:7" ht="15.75" customHeight="1" x14ac:dyDescent="0.25">
      <c r="A202" t="s">
        <v>150</v>
      </c>
      <c r="B202" t="s">
        <v>151</v>
      </c>
    </row>
    <row r="203" spans="1:7" ht="15.75" customHeight="1" x14ac:dyDescent="0.25">
      <c r="A203" t="s">
        <v>152</v>
      </c>
      <c r="B203" t="s">
        <v>153</v>
      </c>
    </row>
    <row r="204" spans="1:7" ht="15.75" customHeight="1" x14ac:dyDescent="0.25"/>
    <row r="205" spans="1:7" ht="15.75" customHeight="1" thickBot="1" x14ac:dyDescent="0.3"/>
    <row r="206" spans="1:7" ht="15.75" customHeight="1" thickBot="1" x14ac:dyDescent="0.3">
      <c r="A206">
        <v>1.6</v>
      </c>
      <c r="B206" s="196" t="s">
        <v>154</v>
      </c>
      <c r="C206" s="197" t="s">
        <v>155</v>
      </c>
      <c r="D206" s="197" t="s">
        <v>35</v>
      </c>
      <c r="E206" s="198" t="s">
        <v>36</v>
      </c>
      <c r="F206" s="230" t="s">
        <v>45</v>
      </c>
      <c r="G206" s="230" t="s">
        <v>179</v>
      </c>
    </row>
    <row r="207" spans="1:7" ht="15.75" customHeight="1" x14ac:dyDescent="0.25">
      <c r="B207" s="199" t="s">
        <v>71</v>
      </c>
      <c r="C207" s="173" t="s">
        <v>156</v>
      </c>
      <c r="D207" s="173" t="s">
        <v>161</v>
      </c>
      <c r="E207" s="179">
        <v>2</v>
      </c>
      <c r="F207">
        <v>50</v>
      </c>
      <c r="G207">
        <v>50</v>
      </c>
    </row>
    <row r="208" spans="1:7" ht="15.75" customHeight="1" x14ac:dyDescent="0.25">
      <c r="B208" s="200"/>
      <c r="C208" s="173" t="s">
        <v>157</v>
      </c>
      <c r="D208" s="173">
        <v>0</v>
      </c>
      <c r="E208" s="179">
        <v>3</v>
      </c>
      <c r="F208">
        <v>50</v>
      </c>
      <c r="G208">
        <v>100</v>
      </c>
    </row>
    <row r="209" spans="1:7" ht="15.75" customHeight="1" x14ac:dyDescent="0.25">
      <c r="B209" s="200"/>
      <c r="C209" s="173" t="s">
        <v>158</v>
      </c>
      <c r="D209" s="173">
        <v>0</v>
      </c>
      <c r="E209" s="179">
        <v>3</v>
      </c>
      <c r="F209">
        <v>50</v>
      </c>
      <c r="G209">
        <v>150</v>
      </c>
    </row>
    <row r="210" spans="1:7" ht="15.75" customHeight="1" x14ac:dyDescent="0.25">
      <c r="B210" s="200"/>
      <c r="C210" s="173" t="s">
        <v>159</v>
      </c>
      <c r="D210" s="173">
        <v>1</v>
      </c>
      <c r="E210" s="179">
        <v>3</v>
      </c>
      <c r="F210">
        <v>50</v>
      </c>
      <c r="G210">
        <v>200</v>
      </c>
    </row>
    <row r="211" spans="1:7" ht="15.75" customHeight="1" thickBot="1" x14ac:dyDescent="0.3">
      <c r="B211" s="201"/>
      <c r="C211" s="157" t="s">
        <v>160</v>
      </c>
      <c r="D211" s="157">
        <v>3</v>
      </c>
      <c r="E211" s="177">
        <v>4</v>
      </c>
      <c r="F211">
        <v>50</v>
      </c>
      <c r="G211">
        <v>250</v>
      </c>
    </row>
    <row r="212" spans="1:7" ht="15.75" customHeight="1" x14ac:dyDescent="0.25"/>
    <row r="213" spans="1:7" ht="15.75" customHeight="1" x14ac:dyDescent="0.25"/>
    <row r="214" spans="1:7" ht="15.75" customHeight="1" x14ac:dyDescent="0.25">
      <c r="A214" t="s">
        <v>162</v>
      </c>
      <c r="B214" t="s">
        <v>163</v>
      </c>
    </row>
    <row r="215" spans="1:7" ht="15.75" customHeight="1" x14ac:dyDescent="0.25">
      <c r="A215" t="s">
        <v>164</v>
      </c>
      <c r="B215" t="s">
        <v>165</v>
      </c>
    </row>
    <row r="216" spans="1:7" ht="15.75" customHeight="1" x14ac:dyDescent="0.25"/>
    <row r="217" spans="1:7" ht="15.75" customHeight="1" x14ac:dyDescent="0.25"/>
    <row r="218" spans="1:7" ht="15.75" customHeight="1" x14ac:dyDescent="0.25"/>
    <row r="219" spans="1:7" ht="15.75" customHeight="1" x14ac:dyDescent="0.25"/>
    <row r="220" spans="1:7" ht="15.75" customHeight="1" x14ac:dyDescent="0.25"/>
    <row r="221" spans="1:7" ht="15.75" customHeight="1" x14ac:dyDescent="0.25"/>
    <row r="222" spans="1:7" ht="15.75" customHeight="1" x14ac:dyDescent="0.25"/>
    <row r="223" spans="1:7" ht="15.75" customHeight="1" x14ac:dyDescent="0.25"/>
    <row r="224" spans="1:7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24">
    <mergeCell ref="B207:B211"/>
    <mergeCell ref="D104:E104"/>
    <mergeCell ref="C97:E97"/>
    <mergeCell ref="D98:E98"/>
    <mergeCell ref="C100:E100"/>
    <mergeCell ref="D101:E101"/>
    <mergeCell ref="C103:E103"/>
    <mergeCell ref="C29:D29"/>
    <mergeCell ref="G29:H29"/>
    <mergeCell ref="L30:L32"/>
    <mergeCell ref="L33:L35"/>
    <mergeCell ref="C52:E52"/>
    <mergeCell ref="G13:G14"/>
    <mergeCell ref="H13:I14"/>
    <mergeCell ref="J13:K13"/>
    <mergeCell ref="G15:G16"/>
    <mergeCell ref="H15:I16"/>
    <mergeCell ref="J15:K15"/>
    <mergeCell ref="D53:E53"/>
    <mergeCell ref="C55:E55"/>
    <mergeCell ref="D56:E56"/>
    <mergeCell ref="C58:E58"/>
    <mergeCell ref="D59:E59"/>
    <mergeCell ref="C116:I119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Caratula</vt:lpstr>
      <vt:lpstr>Binomial</vt:lpstr>
      <vt:lpstr>POISSON</vt:lpstr>
    </vt:vector>
  </TitlesOfParts>
  <Company>STELLANTIS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CASTRO (EXTERNAL)</dc:creator>
  <cp:lastModifiedBy>Santiiago Greco</cp:lastModifiedBy>
  <dcterms:created xsi:type="dcterms:W3CDTF">2024-07-05T20:25:51Z</dcterms:created>
  <dcterms:modified xsi:type="dcterms:W3CDTF">2024-12-20T23:45:28Z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25ca717-11da-4935-b601-f527b9741f2e_Enabled">
    <vt:lpwstr>true</vt:lpwstr>
  </property>
  <property fmtid="{D5CDD505-2E9C-101B-9397-08002B2CF9AE}" pid="3" name="MSIP_Label_725ca717-11da-4935-b601-f527b9741f2e_SetDate">
    <vt:lpwstr>2024-07-05T20:44:58Z</vt:lpwstr>
  </property>
  <property fmtid="{D5CDD505-2E9C-101B-9397-08002B2CF9AE}" pid="4" name="MSIP_Label_725ca717-11da-4935-b601-f527b9741f2e_Method">
    <vt:lpwstr>Standard</vt:lpwstr>
  </property>
  <property fmtid="{D5CDD505-2E9C-101B-9397-08002B2CF9AE}" pid="5" name="MSIP_Label_725ca717-11da-4935-b601-f527b9741f2e_Name">
    <vt:lpwstr>C2 - Internal</vt:lpwstr>
  </property>
  <property fmtid="{D5CDD505-2E9C-101B-9397-08002B2CF9AE}" pid="6" name="MSIP_Label_725ca717-11da-4935-b601-f527b9741f2e_SiteId">
    <vt:lpwstr>d852d5cd-724c-4128-8812-ffa5db3f8507</vt:lpwstr>
  </property>
  <property fmtid="{D5CDD505-2E9C-101B-9397-08002B2CF9AE}" pid="7" name="MSIP_Label_725ca717-11da-4935-b601-f527b9741f2e_ActionId">
    <vt:lpwstr>be673662-2b09-4aef-84f2-e5c8f4f750b7</vt:lpwstr>
  </property>
  <property fmtid="{D5CDD505-2E9C-101B-9397-08002B2CF9AE}" pid="8" name="MSIP_Label_725ca717-11da-4935-b601-f527b9741f2e_ContentBits">
    <vt:lpwstr>0</vt:lpwstr>
  </property>
</Properties>
</file>