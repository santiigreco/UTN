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attia\Desktop\"/>
    </mc:Choice>
  </mc:AlternateContent>
  <xr:revisionPtr revIDLastSave="0" documentId="8_{1D528C31-1295-4435-A040-2988C6602CAB}" xr6:coauthVersionLast="47" xr6:coauthVersionMax="47" xr10:uidLastSave="{00000000-0000-0000-0000-000000000000}"/>
  <bookViews>
    <workbookView xWindow="-120" yWindow="-120" windowWidth="20730" windowHeight="11040" xr2:uid="{94552778-0CC4-481E-BBDE-B72BA7BA71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C29" i="1"/>
  <c r="D29" i="1" s="1"/>
  <c r="E29" i="1" s="1"/>
  <c r="E22" i="1"/>
  <c r="B32" i="1"/>
  <c r="C3" i="1"/>
  <c r="D3" i="1"/>
  <c r="E3" i="1"/>
  <c r="E32" i="1" s="1"/>
  <c r="C10" i="1"/>
  <c r="D10" i="1"/>
  <c r="E10" i="1"/>
  <c r="B22" i="1"/>
  <c r="B10" i="1"/>
  <c r="B3" i="1"/>
  <c r="C22" i="1" l="1"/>
  <c r="C32" i="1" s="1"/>
  <c r="D22" i="1"/>
  <c r="D32" i="1" s="1"/>
</calcChain>
</file>

<file path=xl/sharedStrings.xml><?xml version="1.0" encoding="utf-8"?>
<sst xmlns="http://schemas.openxmlformats.org/spreadsheetml/2006/main" count="35" uniqueCount="34">
  <si>
    <t>12) Balance PROFORMA</t>
  </si>
  <si>
    <t>Año 0</t>
  </si>
  <si>
    <t>año 1</t>
  </si>
  <si>
    <t>Año 2</t>
  </si>
  <si>
    <t>Año 3</t>
  </si>
  <si>
    <t>Activo corriente total</t>
  </si>
  <si>
    <t>Caja y bancos</t>
  </si>
  <si>
    <t>- Minimo</t>
  </si>
  <si>
    <t>-Saldo acum de FyU</t>
  </si>
  <si>
    <t>Cred x vtas</t>
  </si>
  <si>
    <t>Bienes de Cambio</t>
  </si>
  <si>
    <t>CF</t>
  </si>
  <si>
    <t>Activo NO CORRIENTE</t>
  </si>
  <si>
    <t>Cargos diferidos</t>
  </si>
  <si>
    <t>- Valor Inicial</t>
  </si>
  <si>
    <t>- mas inv del ejercicio</t>
  </si>
  <si>
    <t>- menos amort del ejcio</t>
  </si>
  <si>
    <t>-VF del ejcio</t>
  </si>
  <si>
    <t>Bienes de usoi</t>
  </si>
  <si>
    <t>-Valor inicial</t>
  </si>
  <si>
    <t>- mas inv del ejcio</t>
  </si>
  <si>
    <t>- menos amrot del ejcio</t>
  </si>
  <si>
    <t>-Valor Final del Ejcio</t>
  </si>
  <si>
    <t>ACTIVO TOTAL</t>
  </si>
  <si>
    <t>Pasivo corriente: total</t>
  </si>
  <si>
    <t>Pasivo no corriente: total</t>
  </si>
  <si>
    <t>PASIVO TOTAL</t>
  </si>
  <si>
    <t>PATRIOMIO NETO</t>
  </si>
  <si>
    <t>-Capital societario</t>
  </si>
  <si>
    <t>-Ut del ejercicio</t>
  </si>
  <si>
    <t>-Ut acumulada</t>
  </si>
  <si>
    <t>PASIVO + PN</t>
  </si>
  <si>
    <t>cuenta pn+pasivo=activo</t>
  </si>
  <si>
    <t>bn del inversor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</si>
</sst>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0" borderId="2" xfId="0" applyFont="1" applyBorder="1" applyAlignment="1">
      <alignment wrapText="1"/>
    </xf>
    <xf numFmtId="6" fontId="0" fillId="0" borderId="0" xfId="0" applyNumberFormat="1"/>
    <xf numFmtId="6" fontId="1" fillId="0" borderId="3" xfId="0" applyNumberFormat="1" applyFont="1" applyBorder="1" applyAlignment="1">
      <alignment horizontal="right" wrapText="1"/>
    </xf>
    <xf numFmtId="6" fontId="1" fillId="0" borderId="4" xfId="0" applyNumberFormat="1" applyFont="1" applyBorder="1" applyAlignment="1">
      <alignment horizontal="right" wrapText="1"/>
    </xf>
    <xf numFmtId="6" fontId="1" fillId="2" borderId="4" xfId="0" applyNumberFormat="1" applyFont="1" applyFill="1" applyBorder="1" applyAlignment="1">
      <alignment horizontal="right" wrapText="1"/>
    </xf>
    <xf numFmtId="6" fontId="2" fillId="0" borderId="3" xfId="0" applyNumberFormat="1" applyFont="1" applyBorder="1" applyAlignment="1">
      <alignment horizontal="right" wrapText="1"/>
    </xf>
    <xf numFmtId="0" fontId="1" fillId="0" borderId="5" xfId="0" applyFont="1" applyBorder="1" applyAlignment="1">
      <alignment wrapText="1"/>
    </xf>
    <xf numFmtId="6" fontId="2" fillId="0" borderId="1" xfId="0" applyNumberFormat="1" applyFont="1" applyBorder="1" applyAlignment="1">
      <alignment horizontal="right" wrapText="1"/>
    </xf>
    <xf numFmtId="0" fontId="1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68C7B-8A6D-4C4E-BA82-56EBECE70ED5}">
  <dimension ref="A1:G32"/>
  <sheetViews>
    <sheetView tabSelected="1" topLeftCell="A24" workbookViewId="0">
      <selection activeCell="G29" sqref="G29"/>
    </sheetView>
  </sheetViews>
  <sheetFormatPr baseColWidth="10" defaultRowHeight="15" x14ac:dyDescent="0.25"/>
  <sheetData>
    <row r="1" spans="1:5" ht="39.75" thickBot="1" x14ac:dyDescent="0.3">
      <c r="A1" s="1" t="s">
        <v>0</v>
      </c>
      <c r="B1" s="1"/>
      <c r="C1" s="1"/>
      <c r="D1" s="1"/>
      <c r="E1" s="1"/>
    </row>
    <row r="2" spans="1:5" ht="15.75" thickBot="1" x14ac:dyDescent="0.3">
      <c r="A2" s="2"/>
      <c r="B2" s="3" t="s">
        <v>1</v>
      </c>
      <c r="C2" s="3" t="s">
        <v>2</v>
      </c>
      <c r="D2" s="3" t="s">
        <v>3</v>
      </c>
      <c r="E2" s="4" t="s">
        <v>4</v>
      </c>
    </row>
    <row r="3" spans="1:5" ht="39.75" thickBot="1" x14ac:dyDescent="0.3">
      <c r="A3" s="5" t="s">
        <v>5</v>
      </c>
      <c r="B3" s="7">
        <f>SUM(B5:B9)</f>
        <v>3120</v>
      </c>
      <c r="C3" s="7">
        <f t="shared" ref="C3:E3" si="0">SUM(C5:C9)</f>
        <v>57994.426999999996</v>
      </c>
      <c r="D3" s="7">
        <f t="shared" si="0"/>
        <v>131540.1</v>
      </c>
      <c r="E3" s="7">
        <f t="shared" si="0"/>
        <v>196990.85</v>
      </c>
    </row>
    <row r="4" spans="1:5" ht="27" thickBot="1" x14ac:dyDescent="0.3">
      <c r="A4" s="2" t="s">
        <v>6</v>
      </c>
      <c r="B4" s="3"/>
      <c r="C4" s="3"/>
      <c r="D4" s="3"/>
      <c r="E4" s="4"/>
    </row>
    <row r="5" spans="1:5" ht="15.75" thickBot="1" x14ac:dyDescent="0.3">
      <c r="A5" s="2" t="s">
        <v>7</v>
      </c>
      <c r="B5" s="7">
        <v>700</v>
      </c>
      <c r="C5" s="7">
        <v>700</v>
      </c>
      <c r="D5" s="7">
        <v>700</v>
      </c>
      <c r="E5" s="8">
        <v>700</v>
      </c>
    </row>
    <row r="6" spans="1:5" ht="27" thickBot="1" x14ac:dyDescent="0.3">
      <c r="A6" s="2" t="s">
        <v>8</v>
      </c>
      <c r="B6" s="7">
        <v>0</v>
      </c>
      <c r="C6" s="7">
        <v>48585.1</v>
      </c>
      <c r="D6" s="7">
        <v>122590.1</v>
      </c>
      <c r="E6" s="8">
        <v>188040.85</v>
      </c>
    </row>
    <row r="7" spans="1:5" ht="15.75" thickBot="1" x14ac:dyDescent="0.3">
      <c r="A7" s="2" t="s">
        <v>9</v>
      </c>
      <c r="B7" s="7">
        <v>0</v>
      </c>
      <c r="C7" s="7">
        <v>2500</v>
      </c>
      <c r="D7" s="7">
        <v>2500</v>
      </c>
      <c r="E7" s="8">
        <v>2500</v>
      </c>
    </row>
    <row r="8" spans="1:5" ht="27" thickBot="1" x14ac:dyDescent="0.3">
      <c r="A8" s="2" t="s">
        <v>10</v>
      </c>
      <c r="B8" s="7">
        <v>2000</v>
      </c>
      <c r="C8" s="7">
        <v>5750</v>
      </c>
      <c r="D8" s="7">
        <v>5750</v>
      </c>
      <c r="E8" s="8">
        <v>5750</v>
      </c>
    </row>
    <row r="9" spans="1:5" ht="15.75" thickBot="1" x14ac:dyDescent="0.3">
      <c r="A9" s="2" t="s">
        <v>11</v>
      </c>
      <c r="B9" s="7">
        <v>420</v>
      </c>
      <c r="C9" s="7">
        <v>459.327</v>
      </c>
      <c r="D9" s="7">
        <v>0</v>
      </c>
      <c r="E9" s="8">
        <v>0</v>
      </c>
    </row>
    <row r="10" spans="1:5" ht="39.75" thickBot="1" x14ac:dyDescent="0.3">
      <c r="A10" s="5" t="s">
        <v>12</v>
      </c>
      <c r="B10" s="7">
        <f>B15+B20+B21</f>
        <v>96509.6</v>
      </c>
      <c r="C10" s="7">
        <f t="shared" ref="C10:E10" si="1">C15+C20+C21</f>
        <v>66350.92</v>
      </c>
      <c r="D10" s="7">
        <f t="shared" si="1"/>
        <v>35920</v>
      </c>
      <c r="E10" s="7">
        <f t="shared" si="1"/>
        <v>13000</v>
      </c>
    </row>
    <row r="11" spans="1:5" ht="27" thickBot="1" x14ac:dyDescent="0.3">
      <c r="A11" s="2" t="s">
        <v>13</v>
      </c>
      <c r="B11" s="3"/>
      <c r="C11" s="3"/>
      <c r="D11" s="3"/>
      <c r="E11" s="4"/>
    </row>
    <row r="12" spans="1:5" ht="27" thickBot="1" x14ac:dyDescent="0.3">
      <c r="A12" s="2" t="s">
        <v>14</v>
      </c>
      <c r="B12" s="7">
        <v>29760</v>
      </c>
      <c r="C12" s="7">
        <v>29760</v>
      </c>
      <c r="D12" s="7">
        <v>21173</v>
      </c>
      <c r="E12" s="8">
        <v>10587</v>
      </c>
    </row>
    <row r="13" spans="1:5" ht="27" thickBot="1" x14ac:dyDescent="0.3">
      <c r="A13" s="2" t="s">
        <v>15</v>
      </c>
      <c r="B13" s="7">
        <v>0</v>
      </c>
      <c r="C13" s="7">
        <v>2000</v>
      </c>
      <c r="D13" s="7">
        <v>0</v>
      </c>
      <c r="E13" s="8">
        <v>0</v>
      </c>
    </row>
    <row r="14" spans="1:5" ht="39.75" thickBot="1" x14ac:dyDescent="0.3">
      <c r="A14" s="2" t="s">
        <v>16</v>
      </c>
      <c r="B14" s="7">
        <v>0</v>
      </c>
      <c r="C14" s="7">
        <v>10587</v>
      </c>
      <c r="D14" s="7">
        <v>10587</v>
      </c>
      <c r="E14" s="8">
        <v>10587</v>
      </c>
    </row>
    <row r="15" spans="1:5" ht="15.75" thickBot="1" x14ac:dyDescent="0.3">
      <c r="A15" s="2" t="s">
        <v>17</v>
      </c>
      <c r="B15" s="7">
        <v>29760</v>
      </c>
      <c r="C15" s="7">
        <v>21173</v>
      </c>
      <c r="D15" s="7">
        <v>10587</v>
      </c>
      <c r="E15" s="9">
        <v>0</v>
      </c>
    </row>
    <row r="16" spans="1:5" ht="27" thickBot="1" x14ac:dyDescent="0.3">
      <c r="A16" s="2" t="s">
        <v>18</v>
      </c>
      <c r="B16" s="3"/>
      <c r="C16" s="3"/>
      <c r="D16" s="3"/>
      <c r="E16" s="4"/>
    </row>
    <row r="17" spans="1:7" ht="15.75" thickBot="1" x14ac:dyDescent="0.3">
      <c r="A17" s="2" t="s">
        <v>19</v>
      </c>
      <c r="B17" s="7">
        <v>50000</v>
      </c>
      <c r="C17" s="7">
        <v>50000</v>
      </c>
      <c r="D17" s="7">
        <v>37667</v>
      </c>
      <c r="E17" s="8">
        <v>25333</v>
      </c>
    </row>
    <row r="18" spans="1:7" ht="27" thickBot="1" x14ac:dyDescent="0.3">
      <c r="A18" s="2" t="s">
        <v>20</v>
      </c>
      <c r="B18" s="7">
        <v>0</v>
      </c>
      <c r="C18" s="7">
        <v>0</v>
      </c>
      <c r="D18" s="3"/>
      <c r="E18" s="4"/>
    </row>
    <row r="19" spans="1:7" ht="39.75" thickBot="1" x14ac:dyDescent="0.3">
      <c r="A19" s="2" t="s">
        <v>21</v>
      </c>
      <c r="B19" s="7">
        <v>0</v>
      </c>
      <c r="C19" s="7">
        <v>12333</v>
      </c>
      <c r="D19" s="7">
        <v>12333</v>
      </c>
      <c r="E19" s="8">
        <v>12333</v>
      </c>
    </row>
    <row r="20" spans="1:7" ht="27" thickBot="1" x14ac:dyDescent="0.3">
      <c r="A20" s="2" t="s">
        <v>22</v>
      </c>
      <c r="B20" s="7">
        <v>50000</v>
      </c>
      <c r="C20" s="7">
        <v>37667</v>
      </c>
      <c r="D20" s="7">
        <v>25333</v>
      </c>
      <c r="E20" s="9">
        <v>13000</v>
      </c>
    </row>
    <row r="21" spans="1:7" ht="15.75" thickBot="1" x14ac:dyDescent="0.3">
      <c r="A21" s="2" t="s">
        <v>11</v>
      </c>
      <c r="B21" s="3">
        <v>16749.599999999999</v>
      </c>
      <c r="C21" s="3">
        <v>7510.92</v>
      </c>
      <c r="D21" s="3"/>
      <c r="E21" s="4"/>
    </row>
    <row r="22" spans="1:7" ht="27" thickBot="1" x14ac:dyDescent="0.3">
      <c r="A22" s="5" t="s">
        <v>23</v>
      </c>
      <c r="B22" s="10">
        <f>B10+B3</f>
        <v>99629.6</v>
      </c>
      <c r="C22" s="10">
        <f t="shared" ref="C22:E22" si="2">C10+C3</f>
        <v>124345.34699999999</v>
      </c>
      <c r="D22" s="10">
        <f t="shared" si="2"/>
        <v>167460.1</v>
      </c>
      <c r="E22" s="10">
        <f>E10+E3</f>
        <v>209990.85</v>
      </c>
    </row>
    <row r="23" spans="1:7" ht="39.75" thickBot="1" x14ac:dyDescent="0.3">
      <c r="A23" s="5" t="s">
        <v>24</v>
      </c>
      <c r="B23" s="3"/>
      <c r="C23" s="7">
        <v>3850</v>
      </c>
      <c r="D23" s="7">
        <v>3850</v>
      </c>
      <c r="E23" s="7">
        <v>3850</v>
      </c>
    </row>
    <row r="24" spans="1:7" ht="39.75" thickBot="1" x14ac:dyDescent="0.3">
      <c r="A24" s="5" t="s">
        <v>25</v>
      </c>
      <c r="B24" s="7">
        <v>21900</v>
      </c>
      <c r="C24" s="7">
        <v>14600</v>
      </c>
      <c r="D24" s="7">
        <v>7300</v>
      </c>
      <c r="E24" s="7">
        <v>0</v>
      </c>
    </row>
    <row r="25" spans="1:7" ht="27" thickBot="1" x14ac:dyDescent="0.3">
      <c r="A25" s="5" t="s">
        <v>26</v>
      </c>
      <c r="B25" s="10">
        <v>21900</v>
      </c>
      <c r="C25" s="10">
        <v>18450</v>
      </c>
      <c r="D25" s="10">
        <v>11150</v>
      </c>
      <c r="E25" s="10">
        <v>3850</v>
      </c>
    </row>
    <row r="26" spans="1:7" ht="27" thickBot="1" x14ac:dyDescent="0.3">
      <c r="A26" s="5" t="s">
        <v>27</v>
      </c>
      <c r="B26" s="10">
        <v>77730</v>
      </c>
      <c r="C26" s="10">
        <v>104435</v>
      </c>
      <c r="D26" s="10">
        <v>153390</v>
      </c>
      <c r="E26" s="10">
        <v>209937</v>
      </c>
    </row>
    <row r="27" spans="1:7" ht="27" thickBot="1" x14ac:dyDescent="0.3">
      <c r="A27" s="2" t="s">
        <v>28</v>
      </c>
      <c r="B27" s="7">
        <v>77730</v>
      </c>
      <c r="C27" s="7">
        <v>82430</v>
      </c>
      <c r="D27" s="7">
        <v>82430</v>
      </c>
      <c r="E27" s="7">
        <v>82430</v>
      </c>
    </row>
    <row r="28" spans="1:7" ht="27" thickBot="1" x14ac:dyDescent="0.3">
      <c r="A28" s="2" t="s">
        <v>29</v>
      </c>
      <c r="B28" s="7">
        <v>0</v>
      </c>
      <c r="C28" s="7">
        <v>22006</v>
      </c>
      <c r="D28" s="7">
        <v>48955</v>
      </c>
      <c r="E28" s="7">
        <v>52751</v>
      </c>
      <c r="G28" t="s">
        <v>33</v>
      </c>
    </row>
    <row r="29" spans="1:7" ht="27" thickBot="1" x14ac:dyDescent="0.3">
      <c r="A29" s="2" t="s">
        <v>30</v>
      </c>
      <c r="B29" s="3">
        <v>0</v>
      </c>
      <c r="C29" s="7">
        <f>B28+B29</f>
        <v>0</v>
      </c>
      <c r="D29" s="7">
        <f>C28+C29</f>
        <v>22006</v>
      </c>
      <c r="E29" s="8">
        <f>D28+D29</f>
        <v>70961</v>
      </c>
      <c r="G29" s="6">
        <f>E28+E29</f>
        <v>123712</v>
      </c>
    </row>
    <row r="30" spans="1:7" ht="27" thickBot="1" x14ac:dyDescent="0.3">
      <c r="A30" s="11" t="s">
        <v>31</v>
      </c>
      <c r="B30" s="12">
        <v>99630</v>
      </c>
      <c r="C30" s="12">
        <v>122885</v>
      </c>
      <c r="D30" s="12">
        <v>164540</v>
      </c>
      <c r="E30" s="12">
        <v>213787</v>
      </c>
    </row>
    <row r="32" spans="1:7" ht="39" x14ac:dyDescent="0.25">
      <c r="A32" s="13" t="s">
        <v>32</v>
      </c>
      <c r="B32" s="6">
        <f>B30-B22</f>
        <v>0.39999999999417923</v>
      </c>
      <c r="C32" s="6">
        <f t="shared" ref="C32:E32" si="3">C30-C22</f>
        <v>-1460.3469999999943</v>
      </c>
      <c r="D32" s="6">
        <f t="shared" si="3"/>
        <v>-2920.1000000000058</v>
      </c>
      <c r="E32" s="6">
        <f t="shared" si="3"/>
        <v>3796.1499999999942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Penelope Mattia</dc:creator>
  <cp:lastModifiedBy>Penelope Mattia</cp:lastModifiedBy>
  <dcterms:created xsi:type="dcterms:W3CDTF">2024-12-09T14:24:08Z</dcterms:created>
  <dcterms:modified xsi:type="dcterms:W3CDTF">2024-12-09T14:40:24Z</dcterms:modified>
</cp:coreProperties>
</file>