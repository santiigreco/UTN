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622266\Documents\Facultad\EvalProyectos\2do Parcial\"/>
    </mc:Choice>
  </mc:AlternateContent>
  <bookViews>
    <workbookView xWindow="0" yWindow="0" windowWidth="23040" windowHeight="9336"/>
  </bookViews>
  <sheets>
    <sheet name="DE" sheetId="1" r:id="rId1"/>
    <sheet name="CREDITOS" sheetId="2" r:id="rId2"/>
    <sheet name="1era estructura Financiera" sheetId="3" r:id="rId3"/>
    <sheet name="CRes" sheetId="4" r:id="rId4"/>
    <sheet name="Calendario Inv" sheetId="5" r:id="rId5"/>
    <sheet name="2da Est. " sheetId="6" r:id="rId6"/>
    <sheet name="RECUPERO IVA" sheetId="7" r:id="rId7"/>
    <sheet name="CFyU" sheetId="8" r:id="rId8"/>
    <sheet name="Balance proforma" sheetId="9" r:id="rId9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3" l="1"/>
  <c r="B11" i="3"/>
  <c r="C35" i="2"/>
  <c r="B35" i="2"/>
  <c r="E30" i="2"/>
  <c r="D30" i="2"/>
  <c r="B31" i="2"/>
  <c r="B30" i="2"/>
  <c r="B29" i="2"/>
  <c r="F7" i="9" l="1"/>
  <c r="H6" i="9"/>
  <c r="G6" i="9"/>
  <c r="F6" i="9"/>
  <c r="F33" i="9"/>
  <c r="E32" i="9"/>
  <c r="E30" i="9"/>
  <c r="F28" i="9"/>
  <c r="G29" i="9"/>
  <c r="F29" i="9"/>
  <c r="E29" i="9"/>
  <c r="E28" i="9" s="1"/>
  <c r="H25" i="9"/>
  <c r="H26" i="9"/>
  <c r="G25" i="9"/>
  <c r="F25" i="9"/>
  <c r="E25" i="9"/>
  <c r="E12" i="9"/>
  <c r="F21" i="9"/>
  <c r="E21" i="9"/>
  <c r="G8" i="9"/>
  <c r="F8" i="9"/>
  <c r="E8" i="9"/>
  <c r="F35" i="9"/>
  <c r="C16" i="2"/>
  <c r="F13" i="9"/>
  <c r="E17" i="9"/>
  <c r="F26" i="9" l="1"/>
  <c r="E15" i="9"/>
  <c r="E20" i="9"/>
  <c r="F37" i="8"/>
  <c r="H34" i="9"/>
  <c r="G34" i="9"/>
  <c r="H35" i="9" s="1"/>
  <c r="F34" i="9"/>
  <c r="G35" i="9" s="1"/>
  <c r="L18" i="9"/>
  <c r="L21" i="9" s="1"/>
  <c r="F17" i="9"/>
  <c r="E7" i="9"/>
  <c r="F33" i="8" l="1"/>
  <c r="E10" i="9"/>
  <c r="G19" i="9"/>
  <c r="F19" i="9"/>
  <c r="F20" i="9" s="1"/>
  <c r="G17" i="9" s="1"/>
  <c r="H19" i="9"/>
  <c r="G7" i="9"/>
  <c r="H7" i="9"/>
  <c r="F30" i="9" l="1"/>
  <c r="G20" i="9"/>
  <c r="C4" i="6"/>
  <c r="C8" i="5"/>
  <c r="H28" i="9" l="1"/>
  <c r="G28" i="9"/>
  <c r="H17" i="9"/>
  <c r="H20" i="9" s="1"/>
  <c r="B4" i="4"/>
  <c r="B3" i="4"/>
  <c r="B4" i="3"/>
  <c r="D3" i="2"/>
  <c r="B6" i="2" s="1"/>
  <c r="B8" i="2" s="1"/>
  <c r="B21" i="1"/>
  <c r="B22" i="1"/>
  <c r="B24" i="1"/>
  <c r="B23" i="1"/>
  <c r="A30" i="8"/>
  <c r="C9" i="2" l="1"/>
  <c r="F18" i="8"/>
  <c r="F6" i="6"/>
  <c r="G5" i="6"/>
  <c r="B8" i="5"/>
  <c r="C7" i="5"/>
  <c r="C13" i="8" s="1"/>
  <c r="B7" i="5"/>
  <c r="B13" i="8" s="1"/>
  <c r="C3" i="5"/>
  <c r="C12" i="8" s="1"/>
  <c r="D7" i="8"/>
  <c r="C7" i="8"/>
  <c r="C10" i="2" l="1"/>
  <c r="C11" i="2"/>
  <c r="C32" i="2" s="1"/>
  <c r="B9" i="2"/>
  <c r="B5" i="4"/>
  <c r="E7" i="8" s="1"/>
  <c r="F7" i="8" s="1"/>
  <c r="F13" i="8"/>
  <c r="D7" i="5"/>
  <c r="D21" i="1"/>
  <c r="B2" i="2"/>
  <c r="B10" i="2" l="1"/>
  <c r="D23" i="1"/>
  <c r="B17" i="1" l="1"/>
  <c r="B6" i="3" s="1"/>
  <c r="C6" i="1"/>
  <c r="C5" i="1"/>
  <c r="D5" i="1" s="1"/>
  <c r="B7" i="1"/>
  <c r="C3" i="1"/>
  <c r="B3" i="3" l="1"/>
  <c r="C12" i="5"/>
  <c r="D8" i="5"/>
  <c r="D6" i="1"/>
  <c r="C4" i="5"/>
  <c r="C24" i="1"/>
  <c r="C9" i="5" s="1"/>
  <c r="D24" i="1"/>
  <c r="C22" i="1"/>
  <c r="D22" i="1" s="1"/>
  <c r="B25" i="1"/>
  <c r="D3" i="1"/>
  <c r="C4" i="1"/>
  <c r="D4" i="1" s="1"/>
  <c r="G26" i="9" l="1"/>
  <c r="G30" i="9" s="1"/>
  <c r="C7" i="1"/>
  <c r="B27" i="2"/>
  <c r="C25" i="1"/>
  <c r="B8" i="3" s="1"/>
  <c r="E8" i="3" s="1"/>
  <c r="B9" i="5"/>
  <c r="B10" i="5" s="1"/>
  <c r="C7" i="6" s="1"/>
  <c r="C10" i="5"/>
  <c r="E4" i="6" s="1"/>
  <c r="D25" i="1"/>
  <c r="B7" i="3"/>
  <c r="C13" i="5"/>
  <c r="C5" i="5"/>
  <c r="D4" i="6" s="1"/>
  <c r="D7" i="6" s="1"/>
  <c r="D3" i="3"/>
  <c r="E3" i="3" s="1"/>
  <c r="B6" i="8"/>
  <c r="F6" i="8" s="1"/>
  <c r="D7" i="1"/>
  <c r="G4" i="6" l="1"/>
  <c r="E11" i="3"/>
  <c r="D27" i="2"/>
  <c r="C31" i="2"/>
  <c r="D9" i="5"/>
  <c r="D10" i="5" s="1"/>
  <c r="B19" i="2"/>
  <c r="C5" i="8"/>
  <c r="F5" i="8" s="1"/>
  <c r="C7" i="3"/>
  <c r="E7" i="3" s="1"/>
  <c r="C19" i="8"/>
  <c r="C14" i="5"/>
  <c r="D10" i="3"/>
  <c r="D12" i="3" s="1"/>
  <c r="B5" i="6"/>
  <c r="F5" i="6" s="1"/>
  <c r="H5" i="6" s="1"/>
  <c r="E4" i="3"/>
  <c r="B12" i="3" l="1"/>
  <c r="C16" i="8"/>
  <c r="C30" i="2"/>
  <c r="B7" i="2"/>
  <c r="B28" i="2" s="1"/>
  <c r="B22" i="2"/>
  <c r="B21" i="2"/>
  <c r="B20" i="2"/>
  <c r="E6" i="6"/>
  <c r="C10" i="3"/>
  <c r="C12" i="3" s="1"/>
  <c r="B34" i="8" l="1"/>
  <c r="C4" i="4"/>
  <c r="D35" i="2"/>
  <c r="C5" i="4" s="1"/>
  <c r="C3" i="4"/>
  <c r="D3" i="4" s="1"/>
  <c r="F3" i="4" s="1"/>
  <c r="B3" i="5"/>
  <c r="B4" i="5"/>
  <c r="E16" i="8"/>
  <c r="D16" i="8"/>
  <c r="E7" i="6"/>
  <c r="G6" i="6"/>
  <c r="H6" i="6" s="1"/>
  <c r="B32" i="2"/>
  <c r="E10" i="3"/>
  <c r="E12" i="3" s="1"/>
  <c r="B38" i="8" l="1"/>
  <c r="E23" i="8" s="1"/>
  <c r="B36" i="8"/>
  <c r="F12" i="9"/>
  <c r="F16" i="8"/>
  <c r="C23" i="8"/>
  <c r="B37" i="8"/>
  <c r="D23" i="8" s="1"/>
  <c r="B5" i="5"/>
  <c r="D4" i="5"/>
  <c r="D13" i="5" s="1"/>
  <c r="B13" i="5"/>
  <c r="B12" i="8"/>
  <c r="B12" i="5"/>
  <c r="D3" i="5"/>
  <c r="D12" i="5" s="1"/>
  <c r="C8" i="7"/>
  <c r="D8" i="7" s="1"/>
  <c r="G7" i="6"/>
  <c r="C4" i="8"/>
  <c r="F14" i="9" l="1"/>
  <c r="C9" i="7"/>
  <c r="E32" i="2"/>
  <c r="C10" i="7"/>
  <c r="F10" i="7" s="1"/>
  <c r="F23" i="8"/>
  <c r="E31" i="2"/>
  <c r="B19" i="8"/>
  <c r="F19" i="8" s="1"/>
  <c r="B7" i="7"/>
  <c r="B14" i="5"/>
  <c r="B4" i="6"/>
  <c r="D5" i="5"/>
  <c r="F12" i="8"/>
  <c r="D14" i="5"/>
  <c r="B8" i="7"/>
  <c r="D14" i="8"/>
  <c r="D4" i="4"/>
  <c r="C14" i="8"/>
  <c r="C8" i="8"/>
  <c r="E14" i="8"/>
  <c r="D5" i="4"/>
  <c r="G14" i="9" l="1"/>
  <c r="H14" i="9"/>
  <c r="F15" i="9"/>
  <c r="B9" i="7"/>
  <c r="D9" i="7" s="1"/>
  <c r="D8" i="8" s="1"/>
  <c r="F8" i="8" s="1"/>
  <c r="F9" i="7"/>
  <c r="B11" i="8"/>
  <c r="F4" i="6"/>
  <c r="H4" i="6" s="1"/>
  <c r="B7" i="6"/>
  <c r="E17" i="8"/>
  <c r="F14" i="8"/>
  <c r="D17" i="8"/>
  <c r="C17" i="8"/>
  <c r="G12" i="9" l="1"/>
  <c r="G15" i="9" s="1"/>
  <c r="F10" i="9"/>
  <c r="F7" i="6"/>
  <c r="H7" i="6" s="1"/>
  <c r="I7" i="6" s="1"/>
  <c r="B4" i="8"/>
  <c r="E33" i="9" s="1"/>
  <c r="I6" i="6"/>
  <c r="I5" i="6"/>
  <c r="F17" i="8"/>
  <c r="F5" i="4"/>
  <c r="E15" i="8" s="1"/>
  <c r="E11" i="8" s="1"/>
  <c r="C15" i="8"/>
  <c r="C11" i="8" s="1"/>
  <c r="F4" i="4"/>
  <c r="D15" i="8" s="1"/>
  <c r="D11" i="8" s="1"/>
  <c r="E37" i="9" l="1"/>
  <c r="G10" i="9"/>
  <c r="H12" i="9"/>
  <c r="H15" i="9" s="1"/>
  <c r="H10" i="9" s="1"/>
  <c r="I4" i="6"/>
  <c r="B2" i="8"/>
  <c r="B22" i="8" s="1"/>
  <c r="B25" i="8" s="1"/>
  <c r="E5" i="9" s="1"/>
  <c r="E3" i="9" s="1"/>
  <c r="F4" i="8"/>
  <c r="G5" i="4"/>
  <c r="G3" i="4"/>
  <c r="F11" i="8"/>
  <c r="G4" i="4"/>
  <c r="F15" i="8"/>
  <c r="E2" i="9" l="1"/>
  <c r="E23" i="9" s="1"/>
  <c r="E38" i="9" s="1"/>
  <c r="F2" i="8"/>
  <c r="H33" i="9"/>
  <c r="H32" i="9" s="1"/>
  <c r="G33" i="9"/>
  <c r="G32" i="9" s="1"/>
  <c r="G37" i="9" s="1"/>
  <c r="F32" i="9"/>
  <c r="F37" i="9" s="1"/>
  <c r="F22" i="8"/>
  <c r="F25" i="8" s="1"/>
  <c r="F26" i="8" s="1"/>
  <c r="C3" i="8"/>
  <c r="C2" i="8" s="1"/>
  <c r="C22" i="8" s="1"/>
  <c r="C25" i="8" s="1"/>
  <c r="F5" i="9" s="1"/>
  <c r="F3" i="9" s="1"/>
  <c r="F2" i="9" s="1"/>
  <c r="B26" i="8"/>
  <c r="B7" i="4"/>
  <c r="F32" i="8" s="1"/>
  <c r="F34" i="8" s="1"/>
  <c r="F23" i="9" l="1"/>
  <c r="F38" i="9" s="1"/>
  <c r="C26" i="8"/>
  <c r="D3" i="8"/>
  <c r="D2" i="8" s="1"/>
  <c r="D22" i="8" s="1"/>
  <c r="D25" i="8" s="1"/>
  <c r="G5" i="9" s="1"/>
  <c r="G3" i="9" s="1"/>
  <c r="G2" i="9" s="1"/>
  <c r="G23" i="9" s="1"/>
  <c r="G38" i="9" s="1"/>
  <c r="D26" i="8" l="1"/>
  <c r="E3" i="8"/>
  <c r="E2" i="8" s="1"/>
  <c r="E22" i="8" s="1"/>
  <c r="E25" i="8" s="1"/>
  <c r="F31" i="8" l="1"/>
  <c r="H5" i="9"/>
  <c r="H3" i="9" s="1"/>
  <c r="H2" i="9" s="1"/>
  <c r="H23" i="9" s="1"/>
  <c r="F35" i="8"/>
  <c r="E26" i="8"/>
  <c r="H30" i="9"/>
  <c r="H37" i="9" s="1"/>
  <c r="H38" i="9" l="1"/>
</calcChain>
</file>

<file path=xl/sharedStrings.xml><?xml version="1.0" encoding="utf-8"?>
<sst xmlns="http://schemas.openxmlformats.org/spreadsheetml/2006/main" count="223" uniqueCount="152">
  <si>
    <t>SIN IVA</t>
  </si>
  <si>
    <t>IVA</t>
  </si>
  <si>
    <t>CON IVA</t>
  </si>
  <si>
    <t xml:space="preserve">Compra Bs de Uso </t>
  </si>
  <si>
    <t>Año</t>
  </si>
  <si>
    <t xml:space="preserve">Gs investig y estudios </t>
  </si>
  <si>
    <t>Gs instalación</t>
  </si>
  <si>
    <t>Gs puesta en marcha</t>
  </si>
  <si>
    <t xml:space="preserve">VR BIENES DE USO </t>
  </si>
  <si>
    <t>VALOR CONTABLE AT</t>
  </si>
  <si>
    <t>Caja y Bancos</t>
  </si>
  <si>
    <t>Compra MP para PM</t>
  </si>
  <si>
    <t>Créditos por Ventas</t>
  </si>
  <si>
    <t>Form. Stock MP, MCySE, PT</t>
  </si>
  <si>
    <t>INVERSIÓN AT</t>
  </si>
  <si>
    <t>ACTIVO FIJO (BS DE USO + CS DIFERIDOS)</t>
  </si>
  <si>
    <t>Año 1</t>
  </si>
  <si>
    <t>Año 2 a n</t>
  </si>
  <si>
    <t>unidades</t>
  </si>
  <si>
    <t xml:space="preserve">Cantidad </t>
  </si>
  <si>
    <t>Pvu</t>
  </si>
  <si>
    <t>IVA DF</t>
  </si>
  <si>
    <t>$/u</t>
  </si>
  <si>
    <t xml:space="preserve">HD </t>
  </si>
  <si>
    <t xml:space="preserve">IIGG </t>
  </si>
  <si>
    <t xml:space="preserve">kc </t>
  </si>
  <si>
    <t>CREDITO NO RENOVABLE</t>
  </si>
  <si>
    <t xml:space="preserve">Totales </t>
  </si>
  <si>
    <t>Fecha</t>
  </si>
  <si>
    <t>Deuda</t>
  </si>
  <si>
    <t>31/12/-1</t>
  </si>
  <si>
    <t>Amort. Anual</t>
  </si>
  <si>
    <t>Int. Anuales</t>
  </si>
  <si>
    <t xml:space="preserve">Gastos preop. </t>
  </si>
  <si>
    <t>i</t>
  </si>
  <si>
    <t>Año 2</t>
  </si>
  <si>
    <t>Año 3</t>
  </si>
  <si>
    <t>CREDITO RENOVABLE</t>
  </si>
  <si>
    <t xml:space="preserve">i </t>
  </si>
  <si>
    <t>50% INVERSION DE CORTO PLAZO</t>
  </si>
  <si>
    <t>Totales</t>
  </si>
  <si>
    <t>kd</t>
  </si>
  <si>
    <t>CREDITOS TOTALES</t>
  </si>
  <si>
    <t>Gasto Financiero</t>
  </si>
  <si>
    <t>PRIMERA ESTRUCTURA FINANCIERA</t>
  </si>
  <si>
    <t>Total</t>
  </si>
  <si>
    <t>Credito Renovable</t>
  </si>
  <si>
    <t>Credito No Renovable</t>
  </si>
  <si>
    <t>IVA Inversion</t>
  </si>
  <si>
    <t>Inversiones s/ IVA</t>
  </si>
  <si>
    <t>Inversion Total</t>
  </si>
  <si>
    <t>Aporte Cap. Propio</t>
  </si>
  <si>
    <t>Activo Fijo, sin IVA</t>
  </si>
  <si>
    <t>Activo de trabajo</t>
  </si>
  <si>
    <t>Inversión Activo Trabajo s/ IVA</t>
  </si>
  <si>
    <t>Ventas</t>
  </si>
  <si>
    <t>CTV</t>
  </si>
  <si>
    <t>U a/ HD e IIGG</t>
  </si>
  <si>
    <t>HD</t>
  </si>
  <si>
    <t>IIGG</t>
  </si>
  <si>
    <t>U d/HD e IIGG</t>
  </si>
  <si>
    <t>CUADRO DE RESULT. PROFORMA</t>
  </si>
  <si>
    <t xml:space="preserve">BN inversor </t>
  </si>
  <si>
    <t>Año 0</t>
  </si>
  <si>
    <t>Total s/ IVA</t>
  </si>
  <si>
    <t>CALENDARIO DE INVERSIONES (incrementos)</t>
  </si>
  <si>
    <t>IVA Inversión</t>
  </si>
  <si>
    <t>a) Activo Fijo (incrementos)</t>
  </si>
  <si>
    <t>Inversion total a)</t>
  </si>
  <si>
    <t>AT (incrementos)</t>
  </si>
  <si>
    <t>Inv. AT (incrementos)</t>
  </si>
  <si>
    <t>Inversión Total AT</t>
  </si>
  <si>
    <t>AF</t>
  </si>
  <si>
    <t>%</t>
  </si>
  <si>
    <t>Aporte de Capital</t>
  </si>
  <si>
    <t>2° ESTRUCTURA FINANCIERA</t>
  </si>
  <si>
    <t>Inv. AT</t>
  </si>
  <si>
    <t>Crédito No Renovable</t>
  </si>
  <si>
    <t>Crédito Renovable</t>
  </si>
  <si>
    <t>Inversion total</t>
  </si>
  <si>
    <t>IVA Plan Explotación</t>
  </si>
  <si>
    <t>IVA diferencia</t>
  </si>
  <si>
    <t>Recupero IVA</t>
  </si>
  <si>
    <t>Cobro del Crédito Fiscal</t>
  </si>
  <si>
    <t>Crédito Fiscal</t>
  </si>
  <si>
    <t>IVA DF al fisco</t>
  </si>
  <si>
    <t>TOTALES</t>
  </si>
  <si>
    <t>Activo Fijo</t>
  </si>
  <si>
    <t>Activo Trabajo</t>
  </si>
  <si>
    <t>Dividendos Efectivo</t>
  </si>
  <si>
    <t>FUENTES - USOS</t>
  </si>
  <si>
    <t>FUENTES: Totales</t>
  </si>
  <si>
    <t>Saldo ej. Anterior (Ac)</t>
  </si>
  <si>
    <t>Aporte de Cap. Propio</t>
  </si>
  <si>
    <t>Créditos Renovables</t>
  </si>
  <si>
    <t>Créditos No Renovables</t>
  </si>
  <si>
    <t>Ventas del ej.</t>
  </si>
  <si>
    <t>Recupero Crédito Fiscal</t>
  </si>
  <si>
    <t>USOS: Totales</t>
  </si>
  <si>
    <t>Otros ingresos</t>
  </si>
  <si>
    <t>Costo de lo vendido</t>
  </si>
  <si>
    <t>Cancelación de deudas</t>
  </si>
  <si>
    <t xml:space="preserve">Otros egresos </t>
  </si>
  <si>
    <t>Amortizaciones del Ejercicio</t>
  </si>
  <si>
    <t>Saldo al ej. Siguiente (Ac)</t>
  </si>
  <si>
    <t>Saldo propio del ejercicio</t>
  </si>
  <si>
    <t>Amortizaciones ejercicio</t>
  </si>
  <si>
    <t>VO</t>
  </si>
  <si>
    <t xml:space="preserve">VR </t>
  </si>
  <si>
    <t>Amort int y gastos preop</t>
  </si>
  <si>
    <t>Amort año 1</t>
  </si>
  <si>
    <t>Amort año 2</t>
  </si>
  <si>
    <t>Amort año 3</t>
  </si>
  <si>
    <t>VERIFICACIONES</t>
  </si>
  <si>
    <t>BN inv</t>
  </si>
  <si>
    <t>Bn inv</t>
  </si>
  <si>
    <t>BN mod</t>
  </si>
  <si>
    <t xml:space="preserve">BN puro </t>
  </si>
  <si>
    <t>no son variables con la utilidad</t>
  </si>
  <si>
    <t>AHORRO IMPOSITIVO</t>
  </si>
  <si>
    <t>-</t>
  </si>
  <si>
    <t>CTV DE</t>
  </si>
  <si>
    <t>se amortizan en 3 años</t>
  </si>
  <si>
    <t>ACTIVO CORRIENTE: Total</t>
  </si>
  <si>
    <t>Mínimo</t>
  </si>
  <si>
    <t>Saldo Ac. FyU</t>
  </si>
  <si>
    <t>Bs. de Cambio</t>
  </si>
  <si>
    <t xml:space="preserve">Crédito fiscal </t>
  </si>
  <si>
    <t>ACTIVO NO CORRIENTE: Total</t>
  </si>
  <si>
    <t>Crédito fiscal</t>
  </si>
  <si>
    <t xml:space="preserve">Cargos diferidos: </t>
  </si>
  <si>
    <t>Valor inicial del ejercicio</t>
  </si>
  <si>
    <t>más inversiones del ejercicio</t>
  </si>
  <si>
    <t>menos amortizaciones del ejercicio</t>
  </si>
  <si>
    <t>valor final del ejercicio</t>
  </si>
  <si>
    <t xml:space="preserve">Bienes de uso: </t>
  </si>
  <si>
    <t>VO bs uso</t>
  </si>
  <si>
    <t xml:space="preserve">Amort </t>
  </si>
  <si>
    <t>ACTIVO TOTAL</t>
  </si>
  <si>
    <t>PASIVO CORRIENTE: total</t>
  </si>
  <si>
    <t>Deudas comerciales</t>
  </si>
  <si>
    <t>Deudas bancarias</t>
  </si>
  <si>
    <t>PASIVO NO CORRIENTE: total</t>
  </si>
  <si>
    <t>40% INVERSIÓN DE LARGO PLAZO</t>
  </si>
  <si>
    <t xml:space="preserve">PASIVO TOTAL </t>
  </si>
  <si>
    <t>PATRIMONIO NETO: total</t>
  </si>
  <si>
    <t>Capital societario</t>
  </si>
  <si>
    <t>Utilidad del ejercicio</t>
  </si>
  <si>
    <t>Utilidad acumulada</t>
  </si>
  <si>
    <t>PASIVO + PN</t>
  </si>
  <si>
    <t>Créditos x Ventas (valor contable)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</si>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</sst>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\ #,##0;[Red]\-&quot;$&quot;\ #,##0"/>
    <numFmt numFmtId="165" formatCode="_-&quot;$&quot;\ * #,##0.00_-;\-&quot;$&quot;\ * #,##0.00_-;_-&quot;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65" fontId="0" fillId="0" borderId="1" xfId="1" applyFont="1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0" fillId="0" borderId="17" xfId="0" applyBorder="1"/>
    <xf numFmtId="0" fontId="0" fillId="0" borderId="20" xfId="0" applyBorder="1"/>
    <xf numFmtId="0" fontId="0" fillId="0" borderId="22" xfId="0" applyBorder="1"/>
    <xf numFmtId="0" fontId="0" fillId="0" borderId="7" xfId="0" applyBorder="1"/>
    <xf numFmtId="0" fontId="2" fillId="6" borderId="3" xfId="0" applyFont="1" applyFill="1" applyBorder="1" applyAlignment="1">
      <alignment horizontal="center"/>
    </xf>
    <xf numFmtId="0" fontId="2" fillId="6" borderId="6" xfId="0" applyFont="1" applyFill="1" applyBorder="1"/>
    <xf numFmtId="0" fontId="2" fillId="6" borderId="8" xfId="0" applyFont="1" applyFill="1" applyBorder="1"/>
    <xf numFmtId="0" fontId="2" fillId="6" borderId="5" xfId="0" applyFont="1" applyFill="1" applyBorder="1" applyAlignment="1">
      <alignment horizontal="center"/>
    </xf>
    <xf numFmtId="165" fontId="0" fillId="0" borderId="0" xfId="1" applyFont="1"/>
    <xf numFmtId="165" fontId="0" fillId="0" borderId="7" xfId="1" applyFont="1" applyBorder="1" applyAlignment="1">
      <alignment horizontal="center"/>
    </xf>
    <xf numFmtId="0" fontId="2" fillId="6" borderId="3" xfId="0" applyFont="1" applyFill="1" applyBorder="1"/>
    <xf numFmtId="0" fontId="2" fillId="6" borderId="4" xfId="0" applyFont="1" applyFill="1" applyBorder="1" applyAlignment="1">
      <alignment horizontal="center"/>
    </xf>
    <xf numFmtId="0" fontId="2" fillId="6" borderId="1" xfId="0" applyFont="1" applyFill="1" applyBorder="1"/>
    <xf numFmtId="9" fontId="0" fillId="0" borderId="1" xfId="0" applyNumberFormat="1" applyBorder="1" applyAlignment="1">
      <alignment horizontal="center"/>
    </xf>
    <xf numFmtId="0" fontId="2" fillId="3" borderId="6" xfId="0" applyFont="1" applyFill="1" applyBorder="1"/>
    <xf numFmtId="165" fontId="0" fillId="0" borderId="0" xfId="0" applyNumberFormat="1"/>
    <xf numFmtId="165" fontId="0" fillId="0" borderId="1" xfId="0" applyNumberFormat="1" applyBorder="1"/>
    <xf numFmtId="165" fontId="0" fillId="0" borderId="1" xfId="1" applyFont="1" applyBorder="1"/>
    <xf numFmtId="0" fontId="2" fillId="0" borderId="0" xfId="0" applyFont="1"/>
    <xf numFmtId="165" fontId="0" fillId="0" borderId="7" xfId="0" applyNumberFormat="1" applyBorder="1"/>
    <xf numFmtId="165" fontId="0" fillId="0" borderId="7" xfId="1" applyFont="1" applyBorder="1"/>
    <xf numFmtId="14" fontId="0" fillId="0" borderId="6" xfId="0" applyNumberFormat="1" applyBorder="1"/>
    <xf numFmtId="14" fontId="0" fillId="0" borderId="8" xfId="0" applyNumberFormat="1" applyBorder="1"/>
    <xf numFmtId="165" fontId="0" fillId="0" borderId="9" xfId="1" applyFont="1" applyBorder="1"/>
    <xf numFmtId="165" fontId="0" fillId="0" borderId="10" xfId="1" applyFont="1" applyBorder="1"/>
    <xf numFmtId="165" fontId="0" fillId="0" borderId="0" xfId="1" applyFont="1" applyBorder="1" applyAlignment="1">
      <alignment horizontal="center"/>
    </xf>
    <xf numFmtId="0" fontId="2" fillId="2" borderId="8" xfId="0" applyFont="1" applyFill="1" applyBorder="1"/>
    <xf numFmtId="165" fontId="2" fillId="2" borderId="9" xfId="1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2" fillId="6" borderId="29" xfId="0" applyFont="1" applyFill="1" applyBorder="1" applyAlignment="1">
      <alignment horizontal="center"/>
    </xf>
    <xf numFmtId="0" fontId="2" fillId="6" borderId="30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2" fillId="6" borderId="14" xfId="0" applyFont="1" applyFill="1" applyBorder="1" applyAlignment="1">
      <alignment horizontal="center"/>
    </xf>
    <xf numFmtId="0" fontId="2" fillId="6" borderId="16" xfId="0" applyFont="1" applyFill="1" applyBorder="1" applyAlignment="1">
      <alignment horizontal="center"/>
    </xf>
    <xf numFmtId="0" fontId="2" fillId="6" borderId="11" xfId="0" applyFont="1" applyFill="1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0" fontId="2" fillId="6" borderId="13" xfId="0" applyFont="1" applyFill="1" applyBorder="1" applyAlignment="1">
      <alignment horizontal="center"/>
    </xf>
    <xf numFmtId="10" fontId="0" fillId="0" borderId="7" xfId="2" applyNumberFormat="1" applyFont="1" applyBorder="1"/>
    <xf numFmtId="10" fontId="0" fillId="0" borderId="10" xfId="2" applyNumberFormat="1" applyFont="1" applyBorder="1"/>
    <xf numFmtId="10" fontId="2" fillId="0" borderId="7" xfId="2" applyNumberFormat="1" applyFont="1" applyBorder="1"/>
    <xf numFmtId="165" fontId="0" fillId="0" borderId="9" xfId="0" applyNumberFormat="1" applyBorder="1"/>
    <xf numFmtId="165" fontId="0" fillId="0" borderId="10" xfId="0" applyNumberFormat="1" applyBorder="1"/>
    <xf numFmtId="0" fontId="2" fillId="6" borderId="4" xfId="0" applyFont="1" applyFill="1" applyBorder="1"/>
    <xf numFmtId="0" fontId="2" fillId="6" borderId="5" xfId="0" applyFont="1" applyFill="1" applyBorder="1"/>
    <xf numFmtId="0" fontId="0" fillId="0" borderId="29" xfId="0" applyBorder="1"/>
    <xf numFmtId="0" fontId="0" fillId="0" borderId="2" xfId="0" applyBorder="1"/>
    <xf numFmtId="165" fontId="0" fillId="0" borderId="34" xfId="1" applyFont="1" applyBorder="1"/>
    <xf numFmtId="165" fontId="0" fillId="0" borderId="18" xfId="1" applyFont="1" applyBorder="1"/>
    <xf numFmtId="165" fontId="0" fillId="0" borderId="19" xfId="1" applyFont="1" applyBorder="1"/>
    <xf numFmtId="165" fontId="0" fillId="0" borderId="35" xfId="1" applyFont="1" applyBorder="1"/>
    <xf numFmtId="165" fontId="0" fillId="0" borderId="23" xfId="1" applyFont="1" applyBorder="1"/>
    <xf numFmtId="165" fontId="0" fillId="0" borderId="24" xfId="1" applyFont="1" applyBorder="1"/>
    <xf numFmtId="165" fontId="0" fillId="0" borderId="36" xfId="1" applyFont="1" applyBorder="1"/>
    <xf numFmtId="165" fontId="0" fillId="0" borderId="0" xfId="1" applyFont="1" applyBorder="1"/>
    <xf numFmtId="165" fontId="0" fillId="0" borderId="21" xfId="1" applyFont="1" applyBorder="1"/>
    <xf numFmtId="0" fontId="0" fillId="0" borderId="2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7" borderId="20" xfId="0" applyFill="1" applyBorder="1"/>
    <xf numFmtId="165" fontId="0" fillId="7" borderId="36" xfId="1" applyFont="1" applyFill="1" applyBorder="1"/>
    <xf numFmtId="165" fontId="0" fillId="7" borderId="0" xfId="1" applyFont="1" applyFill="1" applyBorder="1"/>
    <xf numFmtId="165" fontId="0" fillId="7" borderId="21" xfId="1" applyFont="1" applyFill="1" applyBorder="1"/>
    <xf numFmtId="165" fontId="2" fillId="2" borderId="9" xfId="0" applyNumberFormat="1" applyFont="1" applyFill="1" applyBorder="1"/>
    <xf numFmtId="0" fontId="2" fillId="2" borderId="10" xfId="0" applyFont="1" applyFill="1" applyBorder="1"/>
    <xf numFmtId="0" fontId="2" fillId="6" borderId="22" xfId="0" applyFont="1" applyFill="1" applyBorder="1"/>
    <xf numFmtId="165" fontId="2" fillId="6" borderId="35" xfId="1" applyFont="1" applyFill="1" applyBorder="1"/>
    <xf numFmtId="165" fontId="2" fillId="6" borderId="23" xfId="1" applyFont="1" applyFill="1" applyBorder="1"/>
    <xf numFmtId="165" fontId="2" fillId="6" borderId="24" xfId="1" applyFont="1" applyFill="1" applyBorder="1"/>
    <xf numFmtId="165" fontId="0" fillId="0" borderId="22" xfId="1" applyFont="1" applyBorder="1"/>
    <xf numFmtId="0" fontId="0" fillId="0" borderId="20" xfId="0" applyBorder="1" applyAlignment="1">
      <alignment horizontal="left"/>
    </xf>
    <xf numFmtId="0" fontId="0" fillId="0" borderId="22" xfId="0" applyBorder="1" applyAlignment="1">
      <alignment horizontal="left"/>
    </xf>
    <xf numFmtId="0" fontId="2" fillId="6" borderId="2" xfId="0" applyFont="1" applyFill="1" applyBorder="1" applyAlignment="1">
      <alignment horizontal="center"/>
    </xf>
    <xf numFmtId="165" fontId="2" fillId="6" borderId="1" xfId="0" applyNumberFormat="1" applyFont="1" applyFill="1" applyBorder="1"/>
    <xf numFmtId="0" fontId="0" fillId="0" borderId="34" xfId="0" applyBorder="1"/>
    <xf numFmtId="0" fontId="0" fillId="0" borderId="36" xfId="0" applyBorder="1"/>
    <xf numFmtId="0" fontId="0" fillId="0" borderId="35" xfId="0" applyBorder="1"/>
    <xf numFmtId="0" fontId="0" fillId="0" borderId="23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7" borderId="36" xfId="0" applyFill="1" applyBorder="1"/>
    <xf numFmtId="165" fontId="0" fillId="0" borderId="18" xfId="1" applyFont="1" applyBorder="1" applyAlignment="1">
      <alignment horizontal="center"/>
    </xf>
    <xf numFmtId="165" fontId="0" fillId="0" borderId="34" xfId="1" applyFont="1" applyBorder="1" applyAlignment="1">
      <alignment horizontal="center"/>
    </xf>
    <xf numFmtId="165" fontId="0" fillId="0" borderId="20" xfId="1" applyFont="1" applyBorder="1" applyAlignment="1">
      <alignment horizontal="center"/>
    </xf>
    <xf numFmtId="165" fontId="0" fillId="0" borderId="36" xfId="1" applyFont="1" applyBorder="1" applyAlignment="1">
      <alignment horizontal="center"/>
    </xf>
    <xf numFmtId="165" fontId="0" fillId="0" borderId="23" xfId="1" applyFont="1" applyBorder="1" applyAlignment="1">
      <alignment horizontal="center"/>
    </xf>
    <xf numFmtId="165" fontId="0" fillId="0" borderId="22" xfId="1" applyFont="1" applyBorder="1" applyAlignment="1">
      <alignment horizontal="center"/>
    </xf>
    <xf numFmtId="165" fontId="0" fillId="0" borderId="35" xfId="1" applyFont="1" applyBorder="1" applyAlignment="1">
      <alignment horizontal="center"/>
    </xf>
    <xf numFmtId="165" fontId="0" fillId="7" borderId="0" xfId="1" applyFont="1" applyFill="1" applyBorder="1" applyAlignment="1">
      <alignment horizontal="center"/>
    </xf>
    <xf numFmtId="165" fontId="0" fillId="7" borderId="36" xfId="1" applyFont="1" applyFill="1" applyBorder="1" applyAlignment="1">
      <alignment horizontal="center"/>
    </xf>
    <xf numFmtId="165" fontId="0" fillId="7" borderId="21" xfId="1" applyFont="1" applyFill="1" applyBorder="1" applyAlignment="1">
      <alignment horizontal="center"/>
    </xf>
    <xf numFmtId="165" fontId="0" fillId="0" borderId="19" xfId="1" applyFont="1" applyBorder="1" applyAlignment="1">
      <alignment horizontal="center"/>
    </xf>
    <xf numFmtId="165" fontId="0" fillId="0" borderId="21" xfId="1" applyFont="1" applyBorder="1" applyAlignment="1">
      <alignment horizontal="center"/>
    </xf>
    <xf numFmtId="165" fontId="0" fillId="0" borderId="24" xfId="1" applyFont="1" applyBorder="1" applyAlignment="1">
      <alignment horizontal="center"/>
    </xf>
    <xf numFmtId="165" fontId="0" fillId="0" borderId="20" xfId="0" applyNumberFormat="1" applyBorder="1"/>
    <xf numFmtId="9" fontId="0" fillId="0" borderId="21" xfId="2" applyFont="1" applyBorder="1"/>
    <xf numFmtId="165" fontId="0" fillId="0" borderId="22" xfId="0" applyNumberFormat="1" applyBorder="1"/>
    <xf numFmtId="9" fontId="0" fillId="0" borderId="24" xfId="2" applyFont="1" applyBorder="1"/>
    <xf numFmtId="0" fontId="2" fillId="0" borderId="36" xfId="0" applyFont="1" applyBorder="1"/>
    <xf numFmtId="0" fontId="2" fillId="0" borderId="35" xfId="0" applyFont="1" applyBorder="1"/>
    <xf numFmtId="165" fontId="0" fillId="0" borderId="34" xfId="0" applyNumberFormat="1" applyBorder="1"/>
    <xf numFmtId="165" fontId="0" fillId="0" borderId="36" xfId="0" applyNumberFormat="1" applyBorder="1"/>
    <xf numFmtId="165" fontId="0" fillId="0" borderId="35" xfId="0" applyNumberFormat="1" applyBorder="1"/>
    <xf numFmtId="0" fontId="2" fillId="0" borderId="34" xfId="0" applyFont="1" applyBorder="1"/>
    <xf numFmtId="165" fontId="2" fillId="0" borderId="18" xfId="1" applyFont="1" applyBorder="1" applyAlignment="1">
      <alignment horizontal="center"/>
    </xf>
    <xf numFmtId="165" fontId="2" fillId="0" borderId="17" xfId="1" applyFont="1" applyBorder="1" applyAlignment="1">
      <alignment horizontal="center"/>
    </xf>
    <xf numFmtId="165" fontId="2" fillId="0" borderId="34" xfId="1" applyFont="1" applyBorder="1" applyAlignment="1">
      <alignment horizontal="center"/>
    </xf>
    <xf numFmtId="165" fontId="2" fillId="0" borderId="0" xfId="1" applyFont="1" applyBorder="1" applyAlignment="1">
      <alignment horizontal="center"/>
    </xf>
    <xf numFmtId="165" fontId="2" fillId="0" borderId="36" xfId="1" applyFont="1" applyBorder="1" applyAlignment="1">
      <alignment horizontal="center"/>
    </xf>
    <xf numFmtId="165" fontId="0" fillId="0" borderId="34" xfId="1" applyFont="1" applyFill="1" applyBorder="1"/>
    <xf numFmtId="165" fontId="0" fillId="0" borderId="21" xfId="1" applyFont="1" applyFill="1" applyBorder="1"/>
    <xf numFmtId="165" fontId="0" fillId="0" borderId="0" xfId="1" applyFont="1" applyFill="1" applyBorder="1"/>
    <xf numFmtId="0" fontId="0" fillId="7" borderId="2" xfId="0" applyFill="1" applyBorder="1"/>
    <xf numFmtId="165" fontId="0" fillId="7" borderId="30" xfId="1" applyFont="1" applyFill="1" applyBorder="1" applyAlignment="1">
      <alignment horizontal="center"/>
    </xf>
    <xf numFmtId="165" fontId="0" fillId="7" borderId="2" xfId="1" applyFont="1" applyFill="1" applyBorder="1" applyAlignment="1">
      <alignment horizontal="center"/>
    </xf>
    <xf numFmtId="0" fontId="2" fillId="8" borderId="22" xfId="0" applyFont="1" applyFill="1" applyBorder="1"/>
    <xf numFmtId="165" fontId="2" fillId="8" borderId="2" xfId="1" applyFont="1" applyFill="1" applyBorder="1" applyAlignment="1">
      <alignment horizontal="center"/>
    </xf>
    <xf numFmtId="165" fontId="0" fillId="7" borderId="35" xfId="1" applyFont="1" applyFill="1" applyBorder="1" applyAlignment="1">
      <alignment horizontal="center"/>
    </xf>
    <xf numFmtId="165" fontId="0" fillId="0" borderId="34" xfId="1" applyFont="1" applyFill="1" applyBorder="1" applyAlignment="1">
      <alignment horizontal="center"/>
    </xf>
    <xf numFmtId="165" fontId="0" fillId="0" borderId="18" xfId="1" applyFont="1" applyFill="1" applyBorder="1" applyAlignment="1">
      <alignment horizontal="center"/>
    </xf>
    <xf numFmtId="165" fontId="2" fillId="8" borderId="30" xfId="1" applyFont="1" applyFill="1" applyBorder="1" applyAlignment="1">
      <alignment horizontal="center"/>
    </xf>
    <xf numFmtId="165" fontId="0" fillId="0" borderId="35" xfId="1" applyFont="1" applyFill="1" applyBorder="1" applyAlignment="1">
      <alignment horizontal="center"/>
    </xf>
    <xf numFmtId="165" fontId="0" fillId="0" borderId="36" xfId="1" applyFont="1" applyFill="1" applyBorder="1" applyAlignment="1">
      <alignment horizontal="center"/>
    </xf>
    <xf numFmtId="165" fontId="0" fillId="0" borderId="0" xfId="1" applyFont="1" applyFill="1" applyBorder="1" applyAlignment="1">
      <alignment horizontal="center"/>
    </xf>
    <xf numFmtId="165" fontId="0" fillId="6" borderId="34" xfId="1" applyFont="1" applyFill="1" applyBorder="1" applyAlignment="1">
      <alignment horizontal="center"/>
    </xf>
    <xf numFmtId="165" fontId="0" fillId="6" borderId="21" xfId="1" applyFont="1" applyFill="1" applyBorder="1" applyAlignment="1">
      <alignment horizontal="center"/>
    </xf>
    <xf numFmtId="165" fontId="0" fillId="6" borderId="35" xfId="1" applyFont="1" applyFill="1" applyBorder="1" applyAlignment="1">
      <alignment horizontal="center"/>
    </xf>
    <xf numFmtId="165" fontId="0" fillId="0" borderId="10" xfId="1" applyFont="1" applyBorder="1" applyAlignment="1">
      <alignment horizontal="center"/>
    </xf>
    <xf numFmtId="0" fontId="0" fillId="7" borderId="1" xfId="0" applyFill="1" applyBorder="1"/>
    <xf numFmtId="165" fontId="0" fillId="7" borderId="1" xfId="1" applyFont="1" applyFill="1" applyBorder="1"/>
    <xf numFmtId="165" fontId="0" fillId="0" borderId="1" xfId="1" applyFont="1" applyFill="1" applyBorder="1"/>
    <xf numFmtId="165" fontId="0" fillId="0" borderId="1" xfId="1" applyFont="1" applyFill="1" applyBorder="1" applyAlignment="1">
      <alignment horizontal="center"/>
    </xf>
    <xf numFmtId="165" fontId="0" fillId="0" borderId="36" xfId="1" applyFont="1" applyFill="1" applyBorder="1"/>
    <xf numFmtId="165" fontId="0" fillId="7" borderId="1" xfId="0" applyNumberFormat="1" applyFill="1" applyBorder="1"/>
    <xf numFmtId="165" fontId="2" fillId="9" borderId="1" xfId="0" applyNumberFormat="1" applyFont="1" applyFill="1" applyBorder="1"/>
    <xf numFmtId="0" fontId="0" fillId="0" borderId="37" xfId="0" applyBorder="1" applyAlignment="1">
      <alignment horizontal="center"/>
    </xf>
    <xf numFmtId="0" fontId="0" fillId="0" borderId="0" xfId="0" applyAlignment="1">
      <alignment horizontal="center"/>
    </xf>
    <xf numFmtId="0" fontId="2" fillId="5" borderId="14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2" fillId="4" borderId="15" xfId="0" applyFont="1" applyFill="1" applyBorder="1" applyAlignment="1">
      <alignment horizontal="center"/>
    </xf>
    <xf numFmtId="0" fontId="2" fillId="4" borderId="16" xfId="0" applyFont="1" applyFill="1" applyBorder="1" applyAlignment="1">
      <alignment horizontal="center"/>
    </xf>
    <xf numFmtId="0" fontId="2" fillId="6" borderId="25" xfId="0" applyFont="1" applyFill="1" applyBorder="1" applyAlignment="1">
      <alignment horizontal="center"/>
    </xf>
    <xf numFmtId="0" fontId="2" fillId="6" borderId="26" xfId="0" applyFont="1" applyFill="1" applyBorder="1" applyAlignment="1">
      <alignment horizontal="center"/>
    </xf>
    <xf numFmtId="0" fontId="2" fillId="4" borderId="29" xfId="0" applyFont="1" applyFill="1" applyBorder="1" applyAlignment="1">
      <alignment horizontal="center"/>
    </xf>
    <xf numFmtId="0" fontId="2" fillId="4" borderId="30" xfId="0" applyFont="1" applyFill="1" applyBorder="1" applyAlignment="1">
      <alignment horizontal="center"/>
    </xf>
    <xf numFmtId="0" fontId="2" fillId="4" borderId="31" xfId="0" applyFont="1" applyFill="1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1" xfId="0" applyBorder="1" applyAlignment="1">
      <alignment horizontal="left"/>
    </xf>
    <xf numFmtId="165" fontId="2" fillId="6" borderId="1" xfId="1" applyFont="1" applyFill="1" applyBorder="1" applyAlignment="1">
      <alignment horizontal="center" wrapText="1"/>
    </xf>
    <xf numFmtId="165" fontId="2" fillId="6" borderId="7" xfId="1" applyFont="1" applyFill="1" applyBorder="1" applyAlignment="1">
      <alignment horizontal="center" wrapText="1"/>
    </xf>
    <xf numFmtId="0" fontId="2" fillId="6" borderId="14" xfId="0" applyFont="1" applyFill="1" applyBorder="1" applyAlignment="1">
      <alignment horizontal="center"/>
    </xf>
    <xf numFmtId="0" fontId="2" fillId="6" borderId="15" xfId="0" applyFont="1" applyFill="1" applyBorder="1" applyAlignment="1">
      <alignment horizontal="center"/>
    </xf>
    <xf numFmtId="0" fontId="2" fillId="6" borderId="16" xfId="0" applyFont="1" applyFill="1" applyBorder="1" applyAlignment="1">
      <alignment horizontal="center"/>
    </xf>
    <xf numFmtId="9" fontId="0" fillId="0" borderId="12" xfId="2" applyFont="1" applyBorder="1" applyAlignment="1">
      <alignment horizontal="center"/>
    </xf>
    <xf numFmtId="9" fontId="0" fillId="0" borderId="13" xfId="2" applyFont="1" applyBorder="1" applyAlignment="1">
      <alignment horizontal="center"/>
    </xf>
    <xf numFmtId="0" fontId="2" fillId="6" borderId="29" xfId="0" applyFont="1" applyFill="1" applyBorder="1" applyAlignment="1">
      <alignment horizontal="center"/>
    </xf>
    <xf numFmtId="0" fontId="2" fillId="6" borderId="30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6" borderId="17" xfId="0" applyFont="1" applyFill="1" applyBorder="1" applyAlignment="1">
      <alignment horizontal="center"/>
    </xf>
    <xf numFmtId="0" fontId="2" fillId="6" borderId="18" xfId="0" applyFont="1" applyFill="1" applyBorder="1" applyAlignment="1">
      <alignment horizontal="center"/>
    </xf>
    <xf numFmtId="0" fontId="2" fillId="6" borderId="19" xfId="0" applyFon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7" borderId="33" xfId="0" applyFill="1" applyBorder="1" applyAlignment="1">
      <alignment horizontal="center"/>
    </xf>
    <xf numFmtId="0" fontId="0" fillId="7" borderId="27" xfId="0" applyFill="1" applyBorder="1" applyAlignment="1">
      <alignment horizontal="center"/>
    </xf>
    <xf numFmtId="0" fontId="0" fillId="7" borderId="32" xfId="0" applyFill="1" applyBorder="1" applyAlignment="1">
      <alignment horizontal="center"/>
    </xf>
    <xf numFmtId="0" fontId="2" fillId="8" borderId="29" xfId="0" applyFont="1" applyFill="1" applyBorder="1" applyAlignment="1">
      <alignment horizontal="center"/>
    </xf>
    <xf numFmtId="0" fontId="2" fillId="8" borderId="30" xfId="0" applyFont="1" applyFill="1" applyBorder="1" applyAlignment="1">
      <alignment horizontal="center"/>
    </xf>
    <xf numFmtId="0" fontId="2" fillId="8" borderId="31" xfId="0" applyFont="1" applyFill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7" borderId="39" xfId="0" applyFill="1" applyBorder="1" applyAlignment="1">
      <alignment horizontal="center"/>
    </xf>
    <xf numFmtId="0" fontId="2" fillId="9" borderId="1" xfId="0" applyFont="1" applyFill="1" applyBorder="1" applyAlignment="1">
      <alignment horizontal="left"/>
    </xf>
  </cellXfs>
  <cellStyles count="3">
    <cellStyle name="Moneda" xfId="1" builtinId="4"/>
    <cellStyle name="Normal" xfId="0" builtinId="0"/>
    <cellStyle name="Porcentaje" xfId="2" builtinId="5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137160</xdr:colOff>
      <xdr:row>0</xdr:row>
      <xdr:rowOff>0</xdr:rowOff>
    </xdr:from>
    <xdr:to>
      <xdr:col>17</xdr:col>
      <xdr:colOff>1207</xdr:colOff>
      <xdr:row>30</xdr:row>
      <xdr:rowOff>88420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62700" y="0"/>
          <a:ext cx="8649907" cy="56586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701040</xdr:colOff>
      <xdr:row>0</xdr:row>
      <xdr:rowOff>0</xdr:rowOff>
    </xdr:from>
    <xdr:to>
      <xdr:col>17</xdr:col>
      <xdr:colOff>633667</xdr:colOff>
      <xdr:row>30</xdr:row>
      <xdr:rowOff>126520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12380" y="0"/>
          <a:ext cx="8649907" cy="56586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59282</xdr:rowOff>
    </xdr:from>
    <xdr:to>
      <xdr:col>4</xdr:col>
      <xdr:colOff>746760</xdr:colOff>
      <xdr:row>30</xdr:row>
      <xdr:rowOff>50320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62302"/>
          <a:ext cx="6416040" cy="41972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showGridLines="0" tabSelected="1" topLeftCell="B4" workbookViewId="0">
      <selection activeCell="F14" sqref="F14"/>
    </sheetView>
  </sheetViews>
  <sheetFormatPr baseColWidth="10" defaultRowHeight="14.4" x14ac:dyDescent="0.3"/>
  <cols>
    <col min="1" max="1" width="26" customWidth="1"/>
    <col min="2" max="2" width="12.6640625" bestFit="1" customWidth="1"/>
    <col min="3" max="3" width="12.5546875" bestFit="1" customWidth="1"/>
    <col min="4" max="4" width="15.44140625" customWidth="1"/>
    <col min="6" max="7" width="12.5546875" bestFit="1" customWidth="1"/>
  </cols>
  <sheetData>
    <row r="1" spans="1:7" ht="15" thickBot="1" x14ac:dyDescent="0.35">
      <c r="A1" s="155" t="s">
        <v>15</v>
      </c>
      <c r="B1" s="156"/>
      <c r="C1" s="156"/>
      <c r="D1" s="156"/>
      <c r="E1" s="157"/>
    </row>
    <row r="2" spans="1:7" x14ac:dyDescent="0.3">
      <c r="A2" s="10"/>
      <c r="B2" s="11" t="s">
        <v>0</v>
      </c>
      <c r="C2" s="11" t="s">
        <v>1</v>
      </c>
      <c r="D2" s="11" t="s">
        <v>2</v>
      </c>
      <c r="E2" s="12" t="s">
        <v>4</v>
      </c>
    </row>
    <row r="3" spans="1:7" x14ac:dyDescent="0.3">
      <c r="A3" s="5" t="s">
        <v>3</v>
      </c>
      <c r="B3" s="149">
        <v>150000</v>
      </c>
      <c r="C3" s="149">
        <f>B3*0.21</f>
        <v>31500</v>
      </c>
      <c r="D3" s="149">
        <f>B3+C3</f>
        <v>181500</v>
      </c>
      <c r="E3" s="6">
        <v>0</v>
      </c>
    </row>
    <row r="4" spans="1:7" x14ac:dyDescent="0.3">
      <c r="A4" s="5" t="s">
        <v>5</v>
      </c>
      <c r="B4" s="149">
        <v>18000</v>
      </c>
      <c r="C4" s="149">
        <f>B4*0.21</f>
        <v>3780</v>
      </c>
      <c r="D4" s="149">
        <f>B4+C4</f>
        <v>21780</v>
      </c>
      <c r="E4" s="6">
        <v>0</v>
      </c>
    </row>
    <row r="5" spans="1:7" x14ac:dyDescent="0.3">
      <c r="A5" s="5" t="s">
        <v>6</v>
      </c>
      <c r="B5" s="149">
        <v>45000</v>
      </c>
      <c r="C5" s="149">
        <f>B5*0.21</f>
        <v>9450</v>
      </c>
      <c r="D5" s="149">
        <f>B5+C5</f>
        <v>54450</v>
      </c>
      <c r="E5" s="6">
        <v>0</v>
      </c>
    </row>
    <row r="6" spans="1:7" x14ac:dyDescent="0.3">
      <c r="A6" s="5" t="s">
        <v>7</v>
      </c>
      <c r="B6" s="149">
        <v>6000</v>
      </c>
      <c r="C6" s="149">
        <f>B6*0.21</f>
        <v>1260</v>
      </c>
      <c r="D6" s="149">
        <f>B6+C6</f>
        <v>7260</v>
      </c>
      <c r="E6" s="6">
        <v>1</v>
      </c>
    </row>
    <row r="7" spans="1:7" x14ac:dyDescent="0.3">
      <c r="A7" s="28" t="s">
        <v>27</v>
      </c>
      <c r="B7" s="43">
        <f>SUM(B3:B6)</f>
        <v>219000</v>
      </c>
      <c r="C7" s="43">
        <f>SUM(C3:C6)</f>
        <v>45990</v>
      </c>
      <c r="D7" s="43">
        <f>SUM(D3:D6)</f>
        <v>264990</v>
      </c>
      <c r="E7" s="44"/>
      <c r="G7" s="29"/>
    </row>
    <row r="8" spans="1:7" ht="15" thickBot="1" x14ac:dyDescent="0.35">
      <c r="A8" s="7" t="s">
        <v>8</v>
      </c>
      <c r="B8" s="13">
        <v>50000</v>
      </c>
      <c r="C8" s="8"/>
      <c r="D8" s="8"/>
      <c r="E8" s="9"/>
    </row>
    <row r="9" spans="1:7" x14ac:dyDescent="0.3">
      <c r="B9" s="1"/>
      <c r="C9" s="1"/>
      <c r="D9" s="1"/>
      <c r="E9" s="1"/>
    </row>
    <row r="10" spans="1:7" ht="15" thickBot="1" x14ac:dyDescent="0.35">
      <c r="B10" s="1"/>
      <c r="C10" s="1"/>
      <c r="D10" s="1"/>
      <c r="E10" s="1"/>
    </row>
    <row r="11" spans="1:7" ht="15" thickBot="1" x14ac:dyDescent="0.35">
      <c r="A11" s="163" t="s">
        <v>9</v>
      </c>
      <c r="B11" s="164"/>
      <c r="C11" s="165"/>
      <c r="D11" s="32"/>
      <c r="E11" s="32"/>
    </row>
    <row r="12" spans="1:7" x14ac:dyDescent="0.3">
      <c r="A12" s="10"/>
      <c r="B12" s="11" t="s">
        <v>0</v>
      </c>
      <c r="C12" s="12" t="s">
        <v>4</v>
      </c>
    </row>
    <row r="13" spans="1:7" x14ac:dyDescent="0.3">
      <c r="A13" s="5" t="s">
        <v>10</v>
      </c>
      <c r="B13" s="149">
        <v>2100</v>
      </c>
      <c r="C13" s="6">
        <v>0</v>
      </c>
    </row>
    <row r="14" spans="1:7" x14ac:dyDescent="0.3">
      <c r="A14" s="5" t="s">
        <v>11</v>
      </c>
      <c r="B14" s="149">
        <v>6000</v>
      </c>
      <c r="C14" s="6">
        <v>0</v>
      </c>
    </row>
    <row r="15" spans="1:7" x14ac:dyDescent="0.3">
      <c r="A15" s="5" t="s">
        <v>12</v>
      </c>
      <c r="B15" s="149">
        <v>7500</v>
      </c>
      <c r="C15" s="6">
        <v>1</v>
      </c>
    </row>
    <row r="16" spans="1:7" x14ac:dyDescent="0.3">
      <c r="A16" s="5" t="s">
        <v>13</v>
      </c>
      <c r="B16" s="149">
        <v>12000</v>
      </c>
      <c r="C16" s="6">
        <v>1</v>
      </c>
    </row>
    <row r="17" spans="1:6" ht="15" thickBot="1" x14ac:dyDescent="0.35">
      <c r="A17" s="40" t="s">
        <v>27</v>
      </c>
      <c r="B17" s="82">
        <f>SUM(B13:B16)</f>
        <v>27600</v>
      </c>
      <c r="C17" s="83"/>
    </row>
    <row r="18" spans="1:6" ht="15" thickBot="1" x14ac:dyDescent="0.35"/>
    <row r="19" spans="1:6" ht="15" thickBot="1" x14ac:dyDescent="0.35">
      <c r="A19" s="158" t="s">
        <v>14</v>
      </c>
      <c r="B19" s="159"/>
      <c r="C19" s="159"/>
      <c r="D19" s="159"/>
      <c r="E19" s="160"/>
    </row>
    <row r="20" spans="1:6" x14ac:dyDescent="0.3">
      <c r="A20" s="10"/>
      <c r="B20" s="11" t="s">
        <v>0</v>
      </c>
      <c r="C20" s="11" t="s">
        <v>1</v>
      </c>
      <c r="D20" s="11" t="s">
        <v>2</v>
      </c>
      <c r="E20" s="12" t="s">
        <v>4</v>
      </c>
    </row>
    <row r="21" spans="1:6" x14ac:dyDescent="0.3">
      <c r="A21" s="5" t="s">
        <v>10</v>
      </c>
      <c r="B21" s="149">
        <f>B13</f>
        <v>2100</v>
      </c>
      <c r="C21" s="149"/>
      <c r="D21" s="149">
        <f>B21+C21</f>
        <v>2100</v>
      </c>
      <c r="E21" s="6">
        <v>0</v>
      </c>
    </row>
    <row r="22" spans="1:6" x14ac:dyDescent="0.3">
      <c r="A22" s="5" t="s">
        <v>11</v>
      </c>
      <c r="B22" s="149">
        <f>B14</f>
        <v>6000</v>
      </c>
      <c r="C22" s="149">
        <f>B22*0.21</f>
        <v>1260</v>
      </c>
      <c r="D22" s="149">
        <f>B22+C22</f>
        <v>7260</v>
      </c>
      <c r="E22" s="6">
        <v>0</v>
      </c>
    </row>
    <row r="23" spans="1:6" x14ac:dyDescent="0.3">
      <c r="A23" s="5" t="s">
        <v>12</v>
      </c>
      <c r="B23" s="149">
        <f>B15*0.8</f>
        <v>6000</v>
      </c>
      <c r="C23" s="149"/>
      <c r="D23" s="149">
        <f>B23+C23</f>
        <v>6000</v>
      </c>
      <c r="E23" s="6">
        <v>1</v>
      </c>
    </row>
    <row r="24" spans="1:6" x14ac:dyDescent="0.3">
      <c r="A24" s="5" t="s">
        <v>13</v>
      </c>
      <c r="B24" s="149">
        <f>B16*0.8</f>
        <v>9600</v>
      </c>
      <c r="C24" s="149">
        <f>B24*0.21</f>
        <v>2016</v>
      </c>
      <c r="D24" s="149">
        <f>SUM(B24+C24)</f>
        <v>11616</v>
      </c>
      <c r="E24" s="6">
        <v>1</v>
      </c>
    </row>
    <row r="25" spans="1:6" ht="15" thickBot="1" x14ac:dyDescent="0.35">
      <c r="A25" s="40" t="s">
        <v>40</v>
      </c>
      <c r="B25" s="41">
        <f>SUM(B21:B24)</f>
        <v>23700</v>
      </c>
      <c r="C25" s="41">
        <f>SUM(C21:C24)</f>
        <v>3276</v>
      </c>
      <c r="D25" s="41">
        <f>SUM(D21:D24)</f>
        <v>26976</v>
      </c>
      <c r="E25" s="42"/>
    </row>
    <row r="26" spans="1:6" ht="15" thickBot="1" x14ac:dyDescent="0.35"/>
    <row r="27" spans="1:6" x14ac:dyDescent="0.3">
      <c r="A27" s="18"/>
      <c r="B27" s="161" t="s">
        <v>19</v>
      </c>
      <c r="C27" s="162"/>
      <c r="D27" s="161" t="s">
        <v>20</v>
      </c>
      <c r="E27" s="162"/>
      <c r="F27" s="21" t="s">
        <v>21</v>
      </c>
    </row>
    <row r="28" spans="1:6" x14ac:dyDescent="0.3">
      <c r="A28" s="19" t="s">
        <v>16</v>
      </c>
      <c r="B28" s="3">
        <v>300</v>
      </c>
      <c r="C28" s="3" t="s">
        <v>18</v>
      </c>
      <c r="D28" s="3" t="s">
        <v>120</v>
      </c>
      <c r="E28" s="3" t="s">
        <v>22</v>
      </c>
      <c r="F28" s="23">
        <v>225000</v>
      </c>
    </row>
    <row r="29" spans="1:6" ht="15" thickBot="1" x14ac:dyDescent="0.35">
      <c r="A29" s="20" t="s">
        <v>17</v>
      </c>
      <c r="B29" s="8">
        <v>500</v>
      </c>
      <c r="C29" s="8" t="s">
        <v>18</v>
      </c>
      <c r="D29" s="8" t="s">
        <v>120</v>
      </c>
      <c r="E29" s="8" t="s">
        <v>22</v>
      </c>
      <c r="F29" s="145">
        <v>375000</v>
      </c>
    </row>
    <row r="30" spans="1:6" ht="15" thickBot="1" x14ac:dyDescent="0.35"/>
    <row r="31" spans="1:6" x14ac:dyDescent="0.3">
      <c r="A31" s="24"/>
      <c r="B31" s="25" t="s">
        <v>16</v>
      </c>
      <c r="C31" s="21" t="s">
        <v>17</v>
      </c>
    </row>
    <row r="32" spans="1:6" x14ac:dyDescent="0.3">
      <c r="A32" s="19" t="s">
        <v>121</v>
      </c>
      <c r="B32" s="4">
        <v>90000</v>
      </c>
      <c r="C32" s="23">
        <v>120000</v>
      </c>
    </row>
    <row r="33" spans="1:5" x14ac:dyDescent="0.3">
      <c r="B33" s="1"/>
      <c r="C33" s="1"/>
    </row>
    <row r="34" spans="1:5" x14ac:dyDescent="0.3">
      <c r="A34" s="26" t="s">
        <v>23</v>
      </c>
      <c r="B34" s="27"/>
      <c r="C34" s="153" t="s">
        <v>118</v>
      </c>
      <c r="D34" s="154"/>
      <c r="E34" s="154"/>
    </row>
    <row r="35" spans="1:5" x14ac:dyDescent="0.3">
      <c r="A35" s="26" t="s">
        <v>24</v>
      </c>
      <c r="B35" s="27">
        <v>0.35</v>
      </c>
      <c r="C35" s="1"/>
    </row>
    <row r="36" spans="1:5" x14ac:dyDescent="0.3">
      <c r="A36" s="26" t="s">
        <v>25</v>
      </c>
      <c r="B36" s="27">
        <v>0.6</v>
      </c>
      <c r="C36" s="1"/>
    </row>
  </sheetData>
  <mergeCells count="6">
    <mergeCell ref="C34:E34"/>
    <mergeCell ref="A1:E1"/>
    <mergeCell ref="A19:E19"/>
    <mergeCell ref="B27:C27"/>
    <mergeCell ref="D27:E27"/>
    <mergeCell ref="A11:C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showGridLines="0" zoomScale="85" zoomScaleNormal="85" workbookViewId="0">
      <selection activeCell="G34" sqref="G34"/>
    </sheetView>
  </sheetViews>
  <sheetFormatPr baseColWidth="10" defaultRowHeight="14.4" x14ac:dyDescent="0.3"/>
  <cols>
    <col min="1" max="4" width="15.6640625" customWidth="1"/>
    <col min="5" max="5" width="22.44140625" customWidth="1"/>
    <col min="6" max="6" width="15.6640625" customWidth="1"/>
  </cols>
  <sheetData>
    <row r="1" spans="1:5" ht="15" thickBot="1" x14ac:dyDescent="0.35">
      <c r="A1" s="170" t="s">
        <v>26</v>
      </c>
      <c r="B1" s="171"/>
      <c r="C1" s="171"/>
      <c r="D1" s="172"/>
      <c r="E1" s="32"/>
    </row>
    <row r="2" spans="1:5" x14ac:dyDescent="0.3">
      <c r="A2" s="51" t="s">
        <v>34</v>
      </c>
      <c r="B2" s="173">
        <f>20%</f>
        <v>0.2</v>
      </c>
      <c r="C2" s="173"/>
      <c r="D2" s="174"/>
    </row>
    <row r="3" spans="1:5" x14ac:dyDescent="0.3">
      <c r="A3" s="166" t="s">
        <v>143</v>
      </c>
      <c r="B3" s="167"/>
      <c r="C3" s="167"/>
      <c r="D3" s="33">
        <f>DE!B7*0.4</f>
        <v>87600</v>
      </c>
    </row>
    <row r="4" spans="1:5" x14ac:dyDescent="0.3">
      <c r="A4" s="5"/>
      <c r="B4" s="2"/>
      <c r="C4" s="2"/>
      <c r="D4" s="17"/>
    </row>
    <row r="5" spans="1:5" x14ac:dyDescent="0.3">
      <c r="A5" s="45" t="s">
        <v>28</v>
      </c>
      <c r="B5" s="46" t="s">
        <v>29</v>
      </c>
      <c r="C5" s="46" t="s">
        <v>31</v>
      </c>
      <c r="D5" s="47" t="s">
        <v>32</v>
      </c>
      <c r="E5" s="1"/>
    </row>
    <row r="6" spans="1:5" x14ac:dyDescent="0.3">
      <c r="A6" s="5" t="s">
        <v>30</v>
      </c>
      <c r="B6" s="31">
        <f>D3</f>
        <v>87600</v>
      </c>
      <c r="C6" s="31">
        <v>0</v>
      </c>
      <c r="D6" s="34">
        <v>52560</v>
      </c>
    </row>
    <row r="7" spans="1:5" x14ac:dyDescent="0.3">
      <c r="A7" s="19" t="s">
        <v>33</v>
      </c>
      <c r="B7" s="168">
        <f>SUM(D6:D6)</f>
        <v>52560</v>
      </c>
      <c r="C7" s="168"/>
      <c r="D7" s="169"/>
    </row>
    <row r="8" spans="1:5" x14ac:dyDescent="0.3">
      <c r="A8" s="35">
        <v>36892</v>
      </c>
      <c r="B8" s="31">
        <f>B6</f>
        <v>87600</v>
      </c>
      <c r="C8" s="31">
        <v>0</v>
      </c>
      <c r="D8" s="34"/>
    </row>
    <row r="9" spans="1:5" x14ac:dyDescent="0.3">
      <c r="A9" s="35">
        <v>37255</v>
      </c>
      <c r="B9" s="31">
        <f>B8-C9</f>
        <v>58400</v>
      </c>
      <c r="C9" s="31">
        <f>B8/3</f>
        <v>29200</v>
      </c>
      <c r="D9" s="34"/>
    </row>
    <row r="10" spans="1:5" x14ac:dyDescent="0.3">
      <c r="A10" s="35">
        <v>37620</v>
      </c>
      <c r="B10" s="31">
        <f>B9-C10</f>
        <v>29200</v>
      </c>
      <c r="C10" s="31">
        <f>C9</f>
        <v>29200</v>
      </c>
      <c r="D10" s="34"/>
    </row>
    <row r="11" spans="1:5" ht="15" thickBot="1" x14ac:dyDescent="0.35">
      <c r="A11" s="36">
        <v>37985</v>
      </c>
      <c r="B11" s="37">
        <v>0</v>
      </c>
      <c r="C11" s="37">
        <f>C9</f>
        <v>29200</v>
      </c>
      <c r="D11" s="38"/>
    </row>
    <row r="13" spans="1:5" ht="15" thickBot="1" x14ac:dyDescent="0.35"/>
    <row r="14" spans="1:5" x14ac:dyDescent="0.3">
      <c r="A14" s="180" t="s">
        <v>37</v>
      </c>
      <c r="B14" s="181"/>
      <c r="C14" s="181"/>
      <c r="D14" s="182"/>
    </row>
    <row r="15" spans="1:5" x14ac:dyDescent="0.3">
      <c r="A15" s="2" t="s">
        <v>38</v>
      </c>
      <c r="B15" s="183"/>
      <c r="C15" s="183"/>
      <c r="D15" s="183"/>
    </row>
    <row r="16" spans="1:5" x14ac:dyDescent="0.3">
      <c r="A16" s="2" t="s">
        <v>39</v>
      </c>
      <c r="B16" s="2"/>
      <c r="C16" s="184">
        <f>DE!B25*0.5</f>
        <v>11850</v>
      </c>
      <c r="D16" s="184"/>
    </row>
    <row r="17" spans="1:5" x14ac:dyDescent="0.3">
      <c r="A17" s="2"/>
      <c r="B17" s="2"/>
      <c r="C17" s="2"/>
      <c r="D17" s="2"/>
    </row>
    <row r="18" spans="1:5" x14ac:dyDescent="0.3">
      <c r="A18" s="54" t="s">
        <v>28</v>
      </c>
      <c r="B18" s="55" t="s">
        <v>29</v>
      </c>
      <c r="C18" s="55" t="s">
        <v>31</v>
      </c>
      <c r="D18" s="56" t="s">
        <v>32</v>
      </c>
    </row>
    <row r="19" spans="1:5" x14ac:dyDescent="0.3">
      <c r="A19" s="35">
        <v>36892</v>
      </c>
      <c r="B19" s="31">
        <f>C16</f>
        <v>11850</v>
      </c>
      <c r="C19" s="31">
        <v>0</v>
      </c>
      <c r="D19" s="34"/>
    </row>
    <row r="20" spans="1:5" x14ac:dyDescent="0.3">
      <c r="A20" s="35">
        <v>37255</v>
      </c>
      <c r="B20" s="31">
        <f>B19</f>
        <v>11850</v>
      </c>
      <c r="C20" s="31">
        <v>0</v>
      </c>
      <c r="D20" s="34"/>
    </row>
    <row r="21" spans="1:5" x14ac:dyDescent="0.3">
      <c r="A21" s="35">
        <v>37620</v>
      </c>
      <c r="B21" s="31">
        <f>B19</f>
        <v>11850</v>
      </c>
      <c r="C21" s="31">
        <v>0</v>
      </c>
      <c r="D21" s="34"/>
    </row>
    <row r="22" spans="1:5" ht="15" thickBot="1" x14ac:dyDescent="0.35">
      <c r="A22" s="36">
        <v>37985</v>
      </c>
      <c r="B22" s="37">
        <f>B19</f>
        <v>11850</v>
      </c>
      <c r="C22" s="37">
        <v>0</v>
      </c>
      <c r="D22" s="38"/>
    </row>
    <row r="23" spans="1:5" ht="15" thickBot="1" x14ac:dyDescent="0.35"/>
    <row r="24" spans="1:5" ht="15" thickBot="1" x14ac:dyDescent="0.35">
      <c r="A24" s="175" t="s">
        <v>42</v>
      </c>
      <c r="B24" s="176"/>
      <c r="C24" s="176"/>
      <c r="D24" s="176"/>
      <c r="E24" s="177"/>
    </row>
    <row r="25" spans="1:5" x14ac:dyDescent="0.3">
      <c r="A25" s="185"/>
      <c r="B25" s="186"/>
      <c r="C25" s="186"/>
      <c r="D25" s="186"/>
      <c r="E25" s="187"/>
    </row>
    <row r="26" spans="1:5" x14ac:dyDescent="0.3">
      <c r="A26" s="45" t="s">
        <v>28</v>
      </c>
      <c r="B26" s="46" t="s">
        <v>29</v>
      </c>
      <c r="C26" s="46" t="s">
        <v>31</v>
      </c>
      <c r="D26" s="46" t="s">
        <v>32</v>
      </c>
      <c r="E26" s="47" t="s">
        <v>41</v>
      </c>
    </row>
    <row r="27" spans="1:5" x14ac:dyDescent="0.3">
      <c r="A27" s="5" t="s">
        <v>30</v>
      </c>
      <c r="B27" s="31">
        <f>B6</f>
        <v>87600</v>
      </c>
      <c r="C27" s="31">
        <v>0</v>
      </c>
      <c r="D27" s="31">
        <f>D6</f>
        <v>52560</v>
      </c>
      <c r="E27" s="178"/>
    </row>
    <row r="28" spans="1:5" x14ac:dyDescent="0.3">
      <c r="A28" s="19" t="s">
        <v>33</v>
      </c>
      <c r="B28" s="168">
        <f>B7</f>
        <v>52560</v>
      </c>
      <c r="C28" s="168"/>
      <c r="D28" s="168"/>
      <c r="E28" s="179"/>
    </row>
    <row r="29" spans="1:5" x14ac:dyDescent="0.3">
      <c r="A29" s="35">
        <v>36892</v>
      </c>
      <c r="B29" s="31">
        <f>B8+B19</f>
        <v>99450</v>
      </c>
      <c r="C29" s="31">
        <v>0</v>
      </c>
      <c r="D29" s="31">
        <v>0</v>
      </c>
      <c r="E29" s="17"/>
    </row>
    <row r="30" spans="1:5" x14ac:dyDescent="0.3">
      <c r="A30" s="35">
        <v>37255</v>
      </c>
      <c r="B30" s="31">
        <f>B9+B20</f>
        <v>70250</v>
      </c>
      <c r="C30" s="31">
        <f>C9+C20</f>
        <v>29200</v>
      </c>
      <c r="D30" s="31">
        <f>27500</f>
        <v>27500</v>
      </c>
      <c r="E30" s="59">
        <f>D30/B29</f>
        <v>0.27652086475615889</v>
      </c>
    </row>
    <row r="31" spans="1:5" x14ac:dyDescent="0.3">
      <c r="A31" s="35">
        <v>37620</v>
      </c>
      <c r="B31" s="31">
        <f>B10+B21</f>
        <v>41050</v>
      </c>
      <c r="C31" s="31">
        <f>C10+C21</f>
        <v>29200</v>
      </c>
      <c r="D31" s="31">
        <v>18700</v>
      </c>
      <c r="E31" s="57">
        <f>D31/B30</f>
        <v>0.26619217081850532</v>
      </c>
    </row>
    <row r="32" spans="1:5" ht="15" thickBot="1" x14ac:dyDescent="0.35">
      <c r="A32" s="36">
        <v>37985</v>
      </c>
      <c r="B32" s="37">
        <f>B11+B22</f>
        <v>11850</v>
      </c>
      <c r="C32" s="37">
        <f>C11</f>
        <v>29200</v>
      </c>
      <c r="D32" s="37">
        <v>10000</v>
      </c>
      <c r="E32" s="58">
        <f>D32/B31</f>
        <v>0.243605359317905</v>
      </c>
    </row>
    <row r="33" spans="1:4" ht="15" thickBot="1" x14ac:dyDescent="0.35"/>
    <row r="34" spans="1:4" x14ac:dyDescent="0.3">
      <c r="A34" s="24"/>
      <c r="B34" s="62" t="s">
        <v>16</v>
      </c>
      <c r="C34" s="62" t="s">
        <v>35</v>
      </c>
      <c r="D34" s="63" t="s">
        <v>36</v>
      </c>
    </row>
    <row r="35" spans="1:4" ht="15" thickBot="1" x14ac:dyDescent="0.35">
      <c r="A35" s="20" t="s">
        <v>43</v>
      </c>
      <c r="B35" s="60">
        <f>B28/3+D30</f>
        <v>45020</v>
      </c>
      <c r="C35" s="60">
        <f>B28/3+D31</f>
        <v>36220</v>
      </c>
      <c r="D35" s="61">
        <f>D32+B28/3</f>
        <v>27520</v>
      </c>
    </row>
  </sheetData>
  <mergeCells count="11">
    <mergeCell ref="E27:E28"/>
    <mergeCell ref="A14:D14"/>
    <mergeCell ref="B15:D15"/>
    <mergeCell ref="C16:D16"/>
    <mergeCell ref="B28:D28"/>
    <mergeCell ref="A25:E25"/>
    <mergeCell ref="A3:C3"/>
    <mergeCell ref="B7:D7"/>
    <mergeCell ref="A1:D1"/>
    <mergeCell ref="B2:D2"/>
    <mergeCell ref="A24:E2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showGridLines="0" workbookViewId="0">
      <selection activeCell="C20" sqref="C20"/>
    </sheetView>
  </sheetViews>
  <sheetFormatPr baseColWidth="10" defaultRowHeight="14.4" x14ac:dyDescent="0.3"/>
  <cols>
    <col min="1" max="5" width="20.6640625" customWidth="1"/>
  </cols>
  <sheetData>
    <row r="1" spans="1:5" ht="13.95" customHeight="1" thickBot="1" x14ac:dyDescent="0.35">
      <c r="A1" s="175" t="s">
        <v>44</v>
      </c>
      <c r="B1" s="176"/>
      <c r="C1" s="176"/>
      <c r="D1" s="176"/>
      <c r="E1" s="177"/>
    </row>
    <row r="2" spans="1:5" ht="13.95" customHeight="1" thickBot="1" x14ac:dyDescent="0.35">
      <c r="A2" s="64"/>
      <c r="B2" s="75" t="s">
        <v>45</v>
      </c>
      <c r="C2" s="76" t="s">
        <v>46</v>
      </c>
      <c r="D2" s="75" t="s">
        <v>47</v>
      </c>
      <c r="E2" s="77" t="s">
        <v>51</v>
      </c>
    </row>
    <row r="3" spans="1:5" ht="13.95" customHeight="1" x14ac:dyDescent="0.3">
      <c r="A3" s="14" t="s">
        <v>52</v>
      </c>
      <c r="B3" s="66">
        <f>DE!B7</f>
        <v>219000</v>
      </c>
      <c r="C3" s="67">
        <v>0</v>
      </c>
      <c r="D3" s="66">
        <f>CREDITOS!D3</f>
        <v>87600</v>
      </c>
      <c r="E3" s="68">
        <f>+B3-D3</f>
        <v>131400</v>
      </c>
    </row>
    <row r="4" spans="1:5" ht="13.95" customHeight="1" thickBot="1" x14ac:dyDescent="0.35">
      <c r="A4" s="16" t="s">
        <v>48</v>
      </c>
      <c r="B4" s="69">
        <f>B3*0.21</f>
        <v>45990</v>
      </c>
      <c r="C4" s="70">
        <v>0</v>
      </c>
      <c r="D4" s="69">
        <v>0</v>
      </c>
      <c r="E4" s="71">
        <f>+B4</f>
        <v>45990</v>
      </c>
    </row>
    <row r="5" spans="1:5" ht="13.95" customHeight="1" thickBot="1" x14ac:dyDescent="0.35">
      <c r="A5" s="78"/>
      <c r="B5" s="79"/>
      <c r="C5" s="80"/>
      <c r="D5" s="79"/>
      <c r="E5" s="81"/>
    </row>
    <row r="6" spans="1:5" ht="13.95" customHeight="1" x14ac:dyDescent="0.3">
      <c r="A6" s="14" t="s">
        <v>53</v>
      </c>
      <c r="B6" s="66">
        <f>DE!B17</f>
        <v>27600</v>
      </c>
      <c r="C6" s="67"/>
      <c r="D6" s="66">
        <v>0</v>
      </c>
      <c r="E6" s="68"/>
    </row>
    <row r="7" spans="1:5" ht="13.95" customHeight="1" x14ac:dyDescent="0.3">
      <c r="A7" s="15" t="s">
        <v>54</v>
      </c>
      <c r="B7" s="72">
        <f>DE!B25</f>
        <v>23700</v>
      </c>
      <c r="C7" s="73">
        <f>CREDITOS!C16</f>
        <v>11850</v>
      </c>
      <c r="D7" s="72">
        <v>0</v>
      </c>
      <c r="E7" s="74">
        <f>+B7-C7</f>
        <v>11850</v>
      </c>
    </row>
    <row r="8" spans="1:5" ht="13.95" customHeight="1" thickBot="1" x14ac:dyDescent="0.35">
      <c r="A8" s="16" t="s">
        <v>48</v>
      </c>
      <c r="B8" s="69">
        <f>DE!C25</f>
        <v>3276</v>
      </c>
      <c r="C8" s="70">
        <v>0</v>
      </c>
      <c r="D8" s="69">
        <v>0</v>
      </c>
      <c r="E8" s="71">
        <f>+B8</f>
        <v>3276</v>
      </c>
    </row>
    <row r="9" spans="1:5" ht="13.95" customHeight="1" thickBot="1" x14ac:dyDescent="0.35">
      <c r="A9" s="78"/>
      <c r="B9" s="79"/>
      <c r="C9" s="80"/>
      <c r="D9" s="79"/>
      <c r="E9" s="81"/>
    </row>
    <row r="10" spans="1:5" ht="13.95" customHeight="1" x14ac:dyDescent="0.3">
      <c r="A10" s="14" t="s">
        <v>49</v>
      </c>
      <c r="B10" s="66">
        <f>+B3+B7</f>
        <v>242700</v>
      </c>
      <c r="C10" s="67">
        <f>+SUM(C3:C9)</f>
        <v>11850</v>
      </c>
      <c r="D10" s="66">
        <f>+SUM(D3:D9)</f>
        <v>87600</v>
      </c>
      <c r="E10" s="68">
        <f>+B10-C10-D10</f>
        <v>143250</v>
      </c>
    </row>
    <row r="11" spans="1:5" ht="13.95" customHeight="1" x14ac:dyDescent="0.3">
      <c r="A11" s="15" t="s">
        <v>48</v>
      </c>
      <c r="B11" s="72">
        <f>+B4+B8</f>
        <v>49266</v>
      </c>
      <c r="C11" s="73">
        <v>0</v>
      </c>
      <c r="D11" s="72">
        <v>0</v>
      </c>
      <c r="E11" s="74">
        <f>+B11</f>
        <v>49266</v>
      </c>
    </row>
    <row r="12" spans="1:5" ht="13.95" customHeight="1" thickBot="1" x14ac:dyDescent="0.35">
      <c r="A12" s="84" t="s">
        <v>50</v>
      </c>
      <c r="B12" s="85">
        <f>+B10+B11</f>
        <v>291966</v>
      </c>
      <c r="C12" s="86">
        <f>+C10</f>
        <v>11850</v>
      </c>
      <c r="D12" s="85">
        <f>+D10</f>
        <v>87600</v>
      </c>
      <c r="E12" s="87">
        <f>SUM(E10:E11)</f>
        <v>192516</v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showGridLines="0" workbookViewId="0">
      <selection activeCell="F14" sqref="F14"/>
    </sheetView>
  </sheetViews>
  <sheetFormatPr baseColWidth="10" defaultRowHeight="14.4" x14ac:dyDescent="0.3"/>
  <cols>
    <col min="1" max="7" width="20.6640625" customWidth="1"/>
  </cols>
  <sheetData>
    <row r="1" spans="1:7" ht="15" thickBot="1" x14ac:dyDescent="0.35">
      <c r="A1" s="188" t="s">
        <v>61</v>
      </c>
      <c r="B1" s="189"/>
      <c r="C1" s="189"/>
      <c r="D1" s="189"/>
      <c r="E1" s="189"/>
      <c r="F1" s="189"/>
      <c r="G1" s="190"/>
    </row>
    <row r="2" spans="1:7" ht="15" thickBot="1" x14ac:dyDescent="0.35">
      <c r="A2" s="48" t="s">
        <v>4</v>
      </c>
      <c r="B2" s="91" t="s">
        <v>55</v>
      </c>
      <c r="C2" s="49" t="s">
        <v>56</v>
      </c>
      <c r="D2" s="91" t="s">
        <v>57</v>
      </c>
      <c r="E2" s="49" t="s">
        <v>58</v>
      </c>
      <c r="F2" s="91" t="s">
        <v>59</v>
      </c>
      <c r="G2" s="50" t="s">
        <v>60</v>
      </c>
    </row>
    <row r="3" spans="1:7" x14ac:dyDescent="0.3">
      <c r="A3" s="89">
        <v>1</v>
      </c>
      <c r="B3" s="72">
        <f>DE!F28</f>
        <v>225000</v>
      </c>
      <c r="C3" s="73">
        <f>DE!B32+CREDITOS!B35</f>
        <v>135020</v>
      </c>
      <c r="D3" s="66">
        <f>B3-C3</f>
        <v>89980</v>
      </c>
      <c r="E3" s="67">
        <v>10000</v>
      </c>
      <c r="F3" s="66">
        <f>(D3-E3)*DE!$B$35</f>
        <v>27993</v>
      </c>
      <c r="G3" s="68">
        <f>D3-E3-F3</f>
        <v>51987</v>
      </c>
    </row>
    <row r="4" spans="1:7" x14ac:dyDescent="0.3">
      <c r="A4" s="89">
        <v>2</v>
      </c>
      <c r="B4" s="72">
        <f>DE!F29</f>
        <v>375000</v>
      </c>
      <c r="C4" s="73">
        <f>DE!C32+CREDITOS!C35</f>
        <v>156220</v>
      </c>
      <c r="D4" s="72">
        <f t="shared" ref="D4:D5" si="0">B4-C4</f>
        <v>218780</v>
      </c>
      <c r="E4" s="73">
        <v>10000</v>
      </c>
      <c r="F4" s="72">
        <f>(D4-E4)*DE!$B$35</f>
        <v>73073</v>
      </c>
      <c r="G4" s="74">
        <f t="shared" ref="G4:G5" si="1">D4-E4-F4</f>
        <v>135707</v>
      </c>
    </row>
    <row r="5" spans="1:7" ht="15" thickBot="1" x14ac:dyDescent="0.35">
      <c r="A5" s="90">
        <v>3</v>
      </c>
      <c r="B5" s="69">
        <f>B4</f>
        <v>375000</v>
      </c>
      <c r="C5" s="70">
        <f>DE!C32+CREDITOS!D35</f>
        <v>147520</v>
      </c>
      <c r="D5" s="69">
        <f t="shared" si="0"/>
        <v>227480</v>
      </c>
      <c r="E5" s="70">
        <v>10000</v>
      </c>
      <c r="F5" s="69">
        <f>(D5-E5)*DE!$B$35</f>
        <v>76118</v>
      </c>
      <c r="G5" s="71">
        <f t="shared" si="1"/>
        <v>141362</v>
      </c>
    </row>
    <row r="7" spans="1:7" x14ac:dyDescent="0.3">
      <c r="A7" s="26" t="s">
        <v>62</v>
      </c>
      <c r="B7" s="92">
        <f>SUM(G3:G5)</f>
        <v>329056</v>
      </c>
    </row>
  </sheetData>
  <mergeCells count="1">
    <mergeCell ref="A1:G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showGridLines="0" zoomScale="126" workbookViewId="0">
      <selection activeCell="C16" sqref="C16"/>
    </sheetView>
  </sheetViews>
  <sheetFormatPr baseColWidth="10" defaultRowHeight="14.4" x14ac:dyDescent="0.3"/>
  <cols>
    <col min="1" max="1" width="24.5546875" customWidth="1"/>
    <col min="2" max="4" width="20.6640625" customWidth="1"/>
    <col min="5" max="5" width="11.6640625" bestFit="1" customWidth="1"/>
    <col min="7" max="7" width="12.6640625" bestFit="1" customWidth="1"/>
  </cols>
  <sheetData>
    <row r="1" spans="1:7" ht="13.95" customHeight="1" thickBot="1" x14ac:dyDescent="0.35">
      <c r="A1" s="175" t="s">
        <v>65</v>
      </c>
      <c r="B1" s="176"/>
      <c r="C1" s="176"/>
      <c r="D1" s="177"/>
    </row>
    <row r="2" spans="1:7" ht="13.95" customHeight="1" thickBot="1" x14ac:dyDescent="0.35">
      <c r="A2" s="65"/>
      <c r="B2" s="96" t="s">
        <v>63</v>
      </c>
      <c r="C2" s="75" t="s">
        <v>16</v>
      </c>
      <c r="D2" s="97" t="s">
        <v>40</v>
      </c>
    </row>
    <row r="3" spans="1:7" ht="13.95" customHeight="1" x14ac:dyDescent="0.3">
      <c r="A3" s="121" t="s">
        <v>67</v>
      </c>
      <c r="B3" s="122">
        <f>DE!B3+DE!B4+DE!B5+CREDITOS!B28</f>
        <v>265560</v>
      </c>
      <c r="C3" s="123">
        <f>DE!B6</f>
        <v>6000</v>
      </c>
      <c r="D3" s="100">
        <f>+C3+B3</f>
        <v>271560</v>
      </c>
    </row>
    <row r="4" spans="1:7" ht="13.95" customHeight="1" x14ac:dyDescent="0.3">
      <c r="A4" s="94" t="s">
        <v>66</v>
      </c>
      <c r="B4" s="39">
        <f>DE!C7-DE!C6+0.21*CREDITOS!B28</f>
        <v>55767.6</v>
      </c>
      <c r="C4" s="101">
        <f>DE!C6</f>
        <v>1260</v>
      </c>
      <c r="D4" s="102">
        <f t="shared" ref="D4:D5" si="0">+C4+B4</f>
        <v>57027.6</v>
      </c>
      <c r="E4" s="29"/>
    </row>
    <row r="5" spans="1:7" ht="13.95" customHeight="1" thickBot="1" x14ac:dyDescent="0.35">
      <c r="A5" s="95" t="s">
        <v>68</v>
      </c>
      <c r="B5" s="103">
        <f>+B4+B3</f>
        <v>321327.59999999998</v>
      </c>
      <c r="C5" s="104">
        <f>+C3+C4</f>
        <v>7260</v>
      </c>
      <c r="D5" s="105">
        <f t="shared" si="0"/>
        <v>328587.59999999998</v>
      </c>
    </row>
    <row r="6" spans="1:7" ht="13.95" customHeight="1" thickBot="1" x14ac:dyDescent="0.35">
      <c r="A6" s="98"/>
      <c r="B6" s="106"/>
      <c r="C6" s="107"/>
      <c r="D6" s="108"/>
      <c r="G6" s="29"/>
    </row>
    <row r="7" spans="1:7" ht="13.95" customHeight="1" x14ac:dyDescent="0.3">
      <c r="A7" s="121" t="s">
        <v>69</v>
      </c>
      <c r="B7" s="122">
        <f>DE!B13+DE!B14</f>
        <v>8100</v>
      </c>
      <c r="C7" s="124">
        <f>DE!B15+DE!B16</f>
        <v>19500</v>
      </c>
      <c r="D7" s="109">
        <f>+C7+B7</f>
        <v>27600</v>
      </c>
      <c r="G7" s="29"/>
    </row>
    <row r="8" spans="1:7" ht="13.95" customHeight="1" x14ac:dyDescent="0.3">
      <c r="A8" s="116" t="s">
        <v>70</v>
      </c>
      <c r="B8" s="125">
        <f>DE!B21+DE!B22</f>
        <v>8100</v>
      </c>
      <c r="C8" s="126">
        <f>DE!B23+DE!B24+2400</f>
        <v>18000</v>
      </c>
      <c r="D8" s="110">
        <f>+C8+B8</f>
        <v>26100</v>
      </c>
    </row>
    <row r="9" spans="1:7" ht="13.95" customHeight="1" x14ac:dyDescent="0.3">
      <c r="A9" s="94" t="s">
        <v>48</v>
      </c>
      <c r="B9" s="39">
        <f>DE!C21+DE!C22</f>
        <v>1260</v>
      </c>
      <c r="C9" s="102">
        <f>DE!C23+DE!C24</f>
        <v>2016</v>
      </c>
      <c r="D9" s="110">
        <f>+C9+B9</f>
        <v>3276</v>
      </c>
    </row>
    <row r="10" spans="1:7" ht="13.95" customHeight="1" thickBot="1" x14ac:dyDescent="0.35">
      <c r="A10" s="95" t="s">
        <v>71</v>
      </c>
      <c r="B10" s="103">
        <f>B8+B9</f>
        <v>9360</v>
      </c>
      <c r="C10" s="105">
        <f>+C8+C9</f>
        <v>20016</v>
      </c>
      <c r="D10" s="111">
        <f>+D9+D8</f>
        <v>29376</v>
      </c>
    </row>
    <row r="11" spans="1:7" ht="13.95" customHeight="1" thickBot="1" x14ac:dyDescent="0.35">
      <c r="A11" s="98"/>
      <c r="B11" s="106"/>
      <c r="C11" s="107"/>
      <c r="D11" s="108"/>
    </row>
    <row r="12" spans="1:7" ht="13.95" customHeight="1" x14ac:dyDescent="0.3">
      <c r="A12" s="121" t="s">
        <v>64</v>
      </c>
      <c r="B12" s="99">
        <f>+B8+B3</f>
        <v>273660</v>
      </c>
      <c r="C12" s="100">
        <f>+C8+C3</f>
        <v>24000</v>
      </c>
      <c r="D12" s="100">
        <f>+D8+D3</f>
        <v>297660</v>
      </c>
    </row>
    <row r="13" spans="1:7" ht="13.95" customHeight="1" x14ac:dyDescent="0.3">
      <c r="A13" s="94" t="s">
        <v>48</v>
      </c>
      <c r="B13" s="39">
        <f>+B9+B4</f>
        <v>57027.6</v>
      </c>
      <c r="C13" s="102">
        <f>+C9+C4</f>
        <v>3276</v>
      </c>
      <c r="D13" s="102">
        <f t="shared" ref="D13" si="1">+D9+D4</f>
        <v>60303.6</v>
      </c>
    </row>
    <row r="14" spans="1:7" ht="13.95" customHeight="1" thickBot="1" x14ac:dyDescent="0.35">
      <c r="A14" s="95" t="s">
        <v>50</v>
      </c>
      <c r="B14" s="103">
        <f>+B13+B12</f>
        <v>330687.59999999998</v>
      </c>
      <c r="C14" s="105">
        <f t="shared" ref="C14:D14" si="2">+C13+C12</f>
        <v>27276</v>
      </c>
      <c r="D14" s="105">
        <f t="shared" si="2"/>
        <v>357963.6</v>
      </c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showGridLines="0" workbookViewId="0">
      <selection activeCell="G14" sqref="G14"/>
    </sheetView>
  </sheetViews>
  <sheetFormatPr baseColWidth="10" defaultRowHeight="14.4" x14ac:dyDescent="0.3"/>
  <cols>
    <col min="1" max="1" width="25.77734375" customWidth="1"/>
    <col min="2" max="9" width="15.6640625" customWidth="1"/>
  </cols>
  <sheetData>
    <row r="1" spans="1:9" ht="15" thickBot="1" x14ac:dyDescent="0.35">
      <c r="A1" s="175" t="s">
        <v>75</v>
      </c>
      <c r="B1" s="176"/>
      <c r="C1" s="176"/>
      <c r="D1" s="176"/>
      <c r="E1" s="176"/>
      <c r="F1" s="176"/>
      <c r="G1" s="176"/>
      <c r="H1" s="176"/>
      <c r="I1" s="177"/>
    </row>
    <row r="2" spans="1:9" ht="15" thickBot="1" x14ac:dyDescent="0.35">
      <c r="A2" s="14"/>
      <c r="B2" s="175" t="s">
        <v>63</v>
      </c>
      <c r="C2" s="177"/>
      <c r="D2" s="175" t="s">
        <v>16</v>
      </c>
      <c r="E2" s="177"/>
      <c r="F2" s="175" t="s">
        <v>40</v>
      </c>
      <c r="G2" s="176"/>
      <c r="H2" s="176"/>
      <c r="I2" s="177"/>
    </row>
    <row r="3" spans="1:9" ht="15" thickBot="1" x14ac:dyDescent="0.35">
      <c r="A3" s="16"/>
      <c r="B3" s="52" t="s">
        <v>72</v>
      </c>
      <c r="C3" s="53" t="s">
        <v>76</v>
      </c>
      <c r="D3" s="52" t="s">
        <v>72</v>
      </c>
      <c r="E3" s="53" t="s">
        <v>76</v>
      </c>
      <c r="F3" s="52" t="s">
        <v>72</v>
      </c>
      <c r="G3" s="53" t="s">
        <v>76</v>
      </c>
      <c r="H3" s="52" t="s">
        <v>45</v>
      </c>
      <c r="I3" s="53" t="s">
        <v>73</v>
      </c>
    </row>
    <row r="4" spans="1:9" x14ac:dyDescent="0.3">
      <c r="A4" s="116" t="s">
        <v>79</v>
      </c>
      <c r="B4" s="127">
        <f>'Calendario Inv'!B5</f>
        <v>321327.59999999998</v>
      </c>
      <c r="C4" s="128">
        <f>'Calendario Inv'!B10</f>
        <v>9360</v>
      </c>
      <c r="D4" s="127">
        <f>'Calendario Inv'!C5</f>
        <v>7260</v>
      </c>
      <c r="E4" s="129">
        <f>'Calendario Inv'!C10</f>
        <v>20016</v>
      </c>
      <c r="F4" s="112">
        <f>+B4+D4</f>
        <v>328587.59999999998</v>
      </c>
      <c r="G4" s="118">
        <f>+C4+E4</f>
        <v>29376</v>
      </c>
      <c r="H4" s="118">
        <f>+G4+F4</f>
        <v>357963.6</v>
      </c>
      <c r="I4" s="113">
        <f>+I5+I6+I7</f>
        <v>1</v>
      </c>
    </row>
    <row r="5" spans="1:9" x14ac:dyDescent="0.3">
      <c r="A5" s="116" t="s">
        <v>77</v>
      </c>
      <c r="B5" s="72">
        <f>'1era estructura Financiera'!D3</f>
        <v>87600</v>
      </c>
      <c r="C5" s="74">
        <v>0</v>
      </c>
      <c r="D5" s="72">
        <v>0</v>
      </c>
      <c r="E5" s="73">
        <v>0</v>
      </c>
      <c r="F5" s="112">
        <f t="shared" ref="F5:G7" si="0">+B5+D5</f>
        <v>87600</v>
      </c>
      <c r="G5" s="119">
        <f t="shared" si="0"/>
        <v>0</v>
      </c>
      <c r="H5" s="119">
        <f>+G5+F5</f>
        <v>87600</v>
      </c>
      <c r="I5" s="113">
        <f>+H5/H4</f>
        <v>0.24471761933336239</v>
      </c>
    </row>
    <row r="6" spans="1:9" x14ac:dyDescent="0.3">
      <c r="A6" s="116" t="s">
        <v>78</v>
      </c>
      <c r="B6" s="72">
        <v>0</v>
      </c>
      <c r="C6" s="74">
        <v>0</v>
      </c>
      <c r="D6" s="72"/>
      <c r="E6" s="73">
        <f>'1era estructura Financiera'!C7</f>
        <v>11850</v>
      </c>
      <c r="F6" s="112">
        <f t="shared" si="0"/>
        <v>0</v>
      </c>
      <c r="G6" s="119">
        <f t="shared" si="0"/>
        <v>11850</v>
      </c>
      <c r="H6" s="119">
        <f>+G6+F6</f>
        <v>11850</v>
      </c>
      <c r="I6" s="113">
        <f>+H6/H4</f>
        <v>3.3103924533108953E-2</v>
      </c>
    </row>
    <row r="7" spans="1:9" ht="15" thickBot="1" x14ac:dyDescent="0.35">
      <c r="A7" s="117" t="s">
        <v>74</v>
      </c>
      <c r="B7" s="69">
        <f>+B4-B5</f>
        <v>233727.59999999998</v>
      </c>
      <c r="C7" s="71">
        <f>+C4</f>
        <v>9360</v>
      </c>
      <c r="D7" s="69">
        <f>+D4</f>
        <v>7260</v>
      </c>
      <c r="E7" s="70">
        <f>+E4-E6</f>
        <v>8166</v>
      </c>
      <c r="F7" s="114">
        <f>+B7+D7</f>
        <v>240987.59999999998</v>
      </c>
      <c r="G7" s="120">
        <f t="shared" si="0"/>
        <v>17526</v>
      </c>
      <c r="H7" s="120">
        <f>+G7+F7</f>
        <v>258513.59999999998</v>
      </c>
      <c r="I7" s="115">
        <f>+H7/H4</f>
        <v>0.7221784561335286</v>
      </c>
    </row>
  </sheetData>
  <mergeCells count="4">
    <mergeCell ref="A1:I1"/>
    <mergeCell ref="B2:C2"/>
    <mergeCell ref="D2:E2"/>
    <mergeCell ref="F2:I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showGridLines="0" workbookViewId="0">
      <selection activeCell="E24" sqref="E24"/>
    </sheetView>
  </sheetViews>
  <sheetFormatPr baseColWidth="10" defaultRowHeight="14.4" x14ac:dyDescent="0.3"/>
  <cols>
    <col min="1" max="1" width="34" customWidth="1"/>
    <col min="2" max="4" width="15.6640625" customWidth="1"/>
    <col min="5" max="5" width="21.21875" customWidth="1"/>
    <col min="6" max="6" width="11.5546875" bestFit="1" customWidth="1"/>
  </cols>
  <sheetData>
    <row r="1" spans="1:6" ht="15" thickBot="1" x14ac:dyDescent="0.35">
      <c r="A1" s="175" t="s">
        <v>81</v>
      </c>
      <c r="B1" s="176"/>
      <c r="C1" s="176"/>
      <c r="D1" s="177"/>
    </row>
    <row r="2" spans="1:6" ht="15" thickBot="1" x14ac:dyDescent="0.35">
      <c r="A2" s="64" t="s">
        <v>80</v>
      </c>
      <c r="B2" s="75" t="s">
        <v>16</v>
      </c>
      <c r="C2" s="75" t="s">
        <v>35</v>
      </c>
      <c r="D2" s="77" t="s">
        <v>36</v>
      </c>
    </row>
    <row r="3" spans="1:6" ht="15" thickBot="1" x14ac:dyDescent="0.35">
      <c r="A3" s="16" t="s">
        <v>81</v>
      </c>
      <c r="B3" s="88">
        <v>28000</v>
      </c>
      <c r="C3" s="88">
        <v>57000</v>
      </c>
      <c r="D3" s="69">
        <v>59000</v>
      </c>
    </row>
    <row r="4" spans="1:6" ht="15" thickBot="1" x14ac:dyDescent="0.35"/>
    <row r="5" spans="1:6" ht="15" thickBot="1" x14ac:dyDescent="0.35">
      <c r="A5" s="175" t="s">
        <v>83</v>
      </c>
      <c r="B5" s="176"/>
      <c r="C5" s="176"/>
      <c r="D5" s="177"/>
    </row>
    <row r="6" spans="1:6" ht="15" thickBot="1" x14ac:dyDescent="0.35">
      <c r="A6" s="64"/>
      <c r="B6" s="75" t="s">
        <v>84</v>
      </c>
      <c r="C6" s="75" t="s">
        <v>81</v>
      </c>
      <c r="D6" s="77" t="s">
        <v>82</v>
      </c>
    </row>
    <row r="7" spans="1:6" x14ac:dyDescent="0.3">
      <c r="A7" s="15" t="s">
        <v>63</v>
      </c>
      <c r="B7" s="72">
        <f>'Calendario Inv'!B13</f>
        <v>57027.6</v>
      </c>
      <c r="C7" s="72">
        <v>0</v>
      </c>
      <c r="D7" s="74">
        <v>0</v>
      </c>
    </row>
    <row r="8" spans="1:6" x14ac:dyDescent="0.3">
      <c r="A8" s="15" t="s">
        <v>16</v>
      </c>
      <c r="B8" s="150">
        <f>'Calendario Inv'!D13</f>
        <v>60303.6</v>
      </c>
      <c r="C8" s="72">
        <f>B3</f>
        <v>28000</v>
      </c>
      <c r="D8" s="74">
        <f>C8</f>
        <v>28000</v>
      </c>
    </row>
    <row r="9" spans="1:6" x14ac:dyDescent="0.3">
      <c r="A9" s="15" t="s">
        <v>35</v>
      </c>
      <c r="B9" s="72">
        <f>B8-D8</f>
        <v>32303.599999999999</v>
      </c>
      <c r="C9" s="72">
        <f>+C3</f>
        <v>57000</v>
      </c>
      <c r="D9" s="74">
        <f>B9</f>
        <v>32303.599999999999</v>
      </c>
      <c r="E9" t="s">
        <v>85</v>
      </c>
      <c r="F9" s="29">
        <f>C9-D9</f>
        <v>24696.400000000001</v>
      </c>
    </row>
    <row r="10" spans="1:6" ht="15" thickBot="1" x14ac:dyDescent="0.35">
      <c r="A10" s="16" t="s">
        <v>36</v>
      </c>
      <c r="B10" s="69">
        <v>0</v>
      </c>
      <c r="C10" s="69">
        <f>+D3</f>
        <v>59000</v>
      </c>
      <c r="D10" s="71">
        <v>0</v>
      </c>
      <c r="E10" t="s">
        <v>85</v>
      </c>
      <c r="F10" s="29">
        <f>C10</f>
        <v>59000</v>
      </c>
    </row>
  </sheetData>
  <mergeCells count="2">
    <mergeCell ref="A1:D1"/>
    <mergeCell ref="A5:D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showGridLines="0" workbookViewId="0">
      <selection activeCell="F37" sqref="F37"/>
    </sheetView>
  </sheetViews>
  <sheetFormatPr baseColWidth="10" defaultRowHeight="14.4" x14ac:dyDescent="0.3"/>
  <cols>
    <col min="1" max="1" width="26.6640625" customWidth="1"/>
    <col min="2" max="6" width="20.6640625" customWidth="1"/>
    <col min="7" max="8" width="14.109375" bestFit="1" customWidth="1"/>
  </cols>
  <sheetData>
    <row r="1" spans="1:8" ht="15" thickBot="1" x14ac:dyDescent="0.35">
      <c r="A1" s="133"/>
      <c r="B1" s="134" t="s">
        <v>63</v>
      </c>
      <c r="C1" s="138" t="s">
        <v>16</v>
      </c>
      <c r="D1" s="134" t="s">
        <v>35</v>
      </c>
      <c r="E1" s="134" t="s">
        <v>36</v>
      </c>
      <c r="F1" s="134" t="s">
        <v>86</v>
      </c>
    </row>
    <row r="2" spans="1:8" x14ac:dyDescent="0.3">
      <c r="A2" s="121" t="s">
        <v>91</v>
      </c>
      <c r="B2" s="140">
        <f>SUM(B3:B9)</f>
        <v>330687.59999999998</v>
      </c>
      <c r="C2" s="141">
        <f t="shared" ref="C2:E2" si="0">SUM(C3:C9)</f>
        <v>280276</v>
      </c>
      <c r="D2" s="140">
        <f t="shared" si="0"/>
        <v>534110.6</v>
      </c>
      <c r="E2" s="140">
        <f t="shared" si="0"/>
        <v>718137.6</v>
      </c>
      <c r="F2" s="140">
        <f>SUM(F3:F9)</f>
        <v>1393267.2000000002</v>
      </c>
    </row>
    <row r="3" spans="1:8" x14ac:dyDescent="0.3">
      <c r="A3" s="94" t="s">
        <v>92</v>
      </c>
      <c r="B3" s="140">
        <v>0</v>
      </c>
      <c r="C3" s="141">
        <f>B25</f>
        <v>0</v>
      </c>
      <c r="D3" s="140">
        <f>C25</f>
        <v>126807</v>
      </c>
      <c r="E3" s="140">
        <f>D25</f>
        <v>343137.6</v>
      </c>
      <c r="F3" s="140">
        <v>0</v>
      </c>
    </row>
    <row r="4" spans="1:8" x14ac:dyDescent="0.3">
      <c r="A4" s="94" t="s">
        <v>93</v>
      </c>
      <c r="B4" s="140">
        <f>'2da Est. '!B7+'2da Est. '!C7</f>
        <v>243087.59999999998</v>
      </c>
      <c r="C4" s="141">
        <f>'2da Est. '!D7+'2da Est. '!E7</f>
        <v>15426</v>
      </c>
      <c r="D4" s="140">
        <v>0</v>
      </c>
      <c r="E4" s="140">
        <v>0</v>
      </c>
      <c r="F4" s="140">
        <f t="shared" ref="F4:F23" si="1">SUM(B4:E4)</f>
        <v>258513.59999999998</v>
      </c>
    </row>
    <row r="5" spans="1:8" x14ac:dyDescent="0.3">
      <c r="A5" s="94" t="s">
        <v>94</v>
      </c>
      <c r="B5" s="140">
        <v>0</v>
      </c>
      <c r="C5" s="141">
        <f>CREDITOS!C16</f>
        <v>11850</v>
      </c>
      <c r="D5" s="140">
        <v>0</v>
      </c>
      <c r="E5" s="140">
        <v>0</v>
      </c>
      <c r="F5" s="140">
        <f t="shared" si="1"/>
        <v>11850</v>
      </c>
    </row>
    <row r="6" spans="1:8" x14ac:dyDescent="0.3">
      <c r="A6" s="94" t="s">
        <v>95</v>
      </c>
      <c r="B6" s="140">
        <f>CREDITOS!D3</f>
        <v>87600</v>
      </c>
      <c r="C6" s="141">
        <v>0</v>
      </c>
      <c r="D6" s="140">
        <v>0</v>
      </c>
      <c r="E6" s="140">
        <v>0</v>
      </c>
      <c r="F6" s="140">
        <f t="shared" si="1"/>
        <v>87600</v>
      </c>
    </row>
    <row r="7" spans="1:8" x14ac:dyDescent="0.3">
      <c r="A7" s="94" t="s">
        <v>96</v>
      </c>
      <c r="B7" s="140">
        <v>0</v>
      </c>
      <c r="C7" s="141">
        <f>CRes!B3</f>
        <v>225000</v>
      </c>
      <c r="D7" s="140">
        <f>CRes!B4</f>
        <v>375000</v>
      </c>
      <c r="E7" s="140">
        <f>CRes!B5</f>
        <v>375000</v>
      </c>
      <c r="F7" s="140">
        <f t="shared" si="1"/>
        <v>975000</v>
      </c>
    </row>
    <row r="8" spans="1:8" x14ac:dyDescent="0.3">
      <c r="A8" s="94" t="s">
        <v>97</v>
      </c>
      <c r="B8" s="140">
        <v>0</v>
      </c>
      <c r="C8" s="141">
        <f>'RECUPERO IVA'!D8</f>
        <v>28000</v>
      </c>
      <c r="D8" s="140">
        <f>'RECUPERO IVA'!D9</f>
        <v>32303.599999999999</v>
      </c>
      <c r="E8" s="140">
        <v>0</v>
      </c>
      <c r="F8" s="140">
        <f t="shared" si="1"/>
        <v>60303.6</v>
      </c>
    </row>
    <row r="9" spans="1:8" ht="15" thickBot="1" x14ac:dyDescent="0.35">
      <c r="A9" s="94" t="s">
        <v>99</v>
      </c>
      <c r="B9" s="139">
        <v>0</v>
      </c>
      <c r="C9" s="141">
        <v>0</v>
      </c>
      <c r="D9" s="139">
        <v>0</v>
      </c>
      <c r="E9" s="139">
        <v>0</v>
      </c>
      <c r="F9" s="139">
        <v>0</v>
      </c>
    </row>
    <row r="10" spans="1:8" ht="15" thickBot="1" x14ac:dyDescent="0.35">
      <c r="A10" s="130"/>
      <c r="B10" s="131"/>
      <c r="C10" s="132"/>
      <c r="D10" s="131"/>
      <c r="E10" s="132"/>
      <c r="F10" s="132"/>
    </row>
    <row r="11" spans="1:8" x14ac:dyDescent="0.3">
      <c r="A11" s="93" t="s">
        <v>98</v>
      </c>
      <c r="B11" s="136">
        <f>SUM(B12:B19)</f>
        <v>330687.59999999998</v>
      </c>
      <c r="C11" s="136">
        <f>SUM(C12:C19)</f>
        <v>230989</v>
      </c>
      <c r="D11" s="136">
        <f>SUM(D12:D19)</f>
        <v>268493</v>
      </c>
      <c r="E11" s="136">
        <f>SUM(E12:E19)</f>
        <v>262838</v>
      </c>
      <c r="F11" s="136">
        <f t="shared" si="1"/>
        <v>1093007.6000000001</v>
      </c>
      <c r="G11" s="29"/>
      <c r="H11" s="29"/>
    </row>
    <row r="12" spans="1:8" x14ac:dyDescent="0.3">
      <c r="A12" s="94" t="s">
        <v>87</v>
      </c>
      <c r="B12" s="140">
        <f>'Calendario Inv'!B3</f>
        <v>265560</v>
      </c>
      <c r="C12" s="140">
        <f>'Calendario Inv'!C3</f>
        <v>6000</v>
      </c>
      <c r="D12" s="140">
        <v>0</v>
      </c>
      <c r="E12" s="140">
        <v>0</v>
      </c>
      <c r="F12" s="140">
        <f t="shared" si="1"/>
        <v>271560</v>
      </c>
    </row>
    <row r="13" spans="1:8" x14ac:dyDescent="0.3">
      <c r="A13" s="94" t="s">
        <v>88</v>
      </c>
      <c r="B13" s="140">
        <f>'Calendario Inv'!B7</f>
        <v>8100</v>
      </c>
      <c r="C13" s="140">
        <f>'Calendario Inv'!C7</f>
        <v>19500</v>
      </c>
      <c r="D13" s="140">
        <v>0</v>
      </c>
      <c r="E13" s="140">
        <v>0</v>
      </c>
      <c r="F13" s="140">
        <f t="shared" si="1"/>
        <v>27600</v>
      </c>
    </row>
    <row r="14" spans="1:8" x14ac:dyDescent="0.3">
      <c r="A14" s="94" t="s">
        <v>100</v>
      </c>
      <c r="B14" s="140">
        <v>0</v>
      </c>
      <c r="C14" s="140">
        <f>CRes!C3</f>
        <v>135020</v>
      </c>
      <c r="D14" s="140">
        <f>CRes!C4</f>
        <v>156220</v>
      </c>
      <c r="E14" s="140">
        <f>CRes!C5</f>
        <v>147520</v>
      </c>
      <c r="F14" s="140">
        <f t="shared" si="1"/>
        <v>438760</v>
      </c>
    </row>
    <row r="15" spans="1:8" x14ac:dyDescent="0.3">
      <c r="A15" s="94" t="s">
        <v>59</v>
      </c>
      <c r="B15" s="140">
        <v>0</v>
      </c>
      <c r="C15" s="140">
        <f>CRes!F3</f>
        <v>27993</v>
      </c>
      <c r="D15" s="140">
        <f>CRes!F4</f>
        <v>73073</v>
      </c>
      <c r="E15" s="140">
        <f>CRes!F5</f>
        <v>76118</v>
      </c>
      <c r="F15" s="140">
        <f t="shared" si="1"/>
        <v>177184</v>
      </c>
    </row>
    <row r="16" spans="1:8" x14ac:dyDescent="0.3">
      <c r="A16" s="94" t="s">
        <v>101</v>
      </c>
      <c r="B16" s="140">
        <v>0</v>
      </c>
      <c r="C16" s="140">
        <f>CREDITOS!C9</f>
        <v>29200</v>
      </c>
      <c r="D16" s="140">
        <f>C16</f>
        <v>29200</v>
      </c>
      <c r="E16" s="140">
        <f>C16</f>
        <v>29200</v>
      </c>
      <c r="F16" s="140">
        <f t="shared" si="1"/>
        <v>87600</v>
      </c>
    </row>
    <row r="17" spans="1:7" x14ac:dyDescent="0.3">
      <c r="A17" s="94" t="s">
        <v>58</v>
      </c>
      <c r="B17" s="140">
        <v>0</v>
      </c>
      <c r="C17" s="140">
        <f>CRes!E3</f>
        <v>10000</v>
      </c>
      <c r="D17" s="140">
        <f>CRes!E4</f>
        <v>10000</v>
      </c>
      <c r="E17" s="140">
        <f>CRes!E5</f>
        <v>10000</v>
      </c>
      <c r="F17" s="140">
        <f t="shared" si="1"/>
        <v>30000</v>
      </c>
    </row>
    <row r="18" spans="1:7" x14ac:dyDescent="0.3">
      <c r="A18" s="94" t="s">
        <v>89</v>
      </c>
      <c r="B18" s="140">
        <v>0</v>
      </c>
      <c r="C18" s="140">
        <v>0</v>
      </c>
      <c r="D18" s="140">
        <v>0</v>
      </c>
      <c r="E18" s="140">
        <v>0</v>
      </c>
      <c r="F18" s="140">
        <f t="shared" si="1"/>
        <v>0</v>
      </c>
    </row>
    <row r="19" spans="1:7" x14ac:dyDescent="0.3">
      <c r="A19" s="94" t="s">
        <v>48</v>
      </c>
      <c r="B19" s="140">
        <f>'Calendario Inv'!B13</f>
        <v>57027.6</v>
      </c>
      <c r="C19" s="140">
        <f>'Calendario Inv'!C13</f>
        <v>3276</v>
      </c>
      <c r="D19" s="140">
        <v>0</v>
      </c>
      <c r="E19" s="140">
        <v>0</v>
      </c>
      <c r="F19" s="140">
        <f t="shared" si="1"/>
        <v>60303.6</v>
      </c>
    </row>
    <row r="20" spans="1:7" ht="15" thickBot="1" x14ac:dyDescent="0.35">
      <c r="A20" s="95" t="s">
        <v>102</v>
      </c>
      <c r="B20" s="139"/>
      <c r="C20" s="139"/>
      <c r="D20" s="139"/>
      <c r="E20" s="139"/>
      <c r="F20" s="139"/>
    </row>
    <row r="21" spans="1:7" ht="15" thickBot="1" x14ac:dyDescent="0.35">
      <c r="A21" s="98"/>
      <c r="B21" s="106"/>
      <c r="C21" s="107"/>
      <c r="D21" s="106"/>
      <c r="E21" s="107"/>
      <c r="F21" s="135"/>
    </row>
    <row r="22" spans="1:7" x14ac:dyDescent="0.3">
      <c r="A22" s="93" t="s">
        <v>90</v>
      </c>
      <c r="B22" s="137">
        <f>+B2-B11</f>
        <v>0</v>
      </c>
      <c r="C22" s="136">
        <f>+C2-C11</f>
        <v>49287</v>
      </c>
      <c r="D22" s="100">
        <f>+D2-D11</f>
        <v>265617.59999999998</v>
      </c>
      <c r="E22" s="99">
        <f>+E2-E11</f>
        <v>455299.6</v>
      </c>
      <c r="F22" s="100">
        <f>F2-F11</f>
        <v>300259.60000000009</v>
      </c>
    </row>
    <row r="23" spans="1:7" ht="15" thickBot="1" x14ac:dyDescent="0.35">
      <c r="A23" s="95" t="s">
        <v>103</v>
      </c>
      <c r="B23" s="103">
        <v>0</v>
      </c>
      <c r="C23" s="105">
        <f>B36</f>
        <v>77520</v>
      </c>
      <c r="D23" s="105">
        <f>B37</f>
        <v>77520</v>
      </c>
      <c r="E23" s="105">
        <f>B38</f>
        <v>77520</v>
      </c>
      <c r="F23" s="110">
        <f t="shared" si="1"/>
        <v>232560</v>
      </c>
    </row>
    <row r="24" spans="1:7" ht="15" thickBot="1" x14ac:dyDescent="0.35">
      <c r="A24" s="98"/>
      <c r="B24" s="106"/>
      <c r="C24" s="107"/>
      <c r="D24" s="106"/>
      <c r="E24" s="107"/>
      <c r="F24" s="132"/>
    </row>
    <row r="25" spans="1:7" x14ac:dyDescent="0.3">
      <c r="A25" s="93" t="s">
        <v>104</v>
      </c>
      <c r="B25" s="100">
        <f>+B22+B23</f>
        <v>0</v>
      </c>
      <c r="C25" s="100">
        <f>+C22+C23</f>
        <v>126807</v>
      </c>
      <c r="D25" s="100">
        <f>+D22+D23</f>
        <v>343137.6</v>
      </c>
      <c r="E25" s="142">
        <f>+E22+E23</f>
        <v>532819.6</v>
      </c>
      <c r="F25" s="143">
        <f>F22+F23</f>
        <v>532819.60000000009</v>
      </c>
    </row>
    <row r="26" spans="1:7" ht="15" thickBot="1" x14ac:dyDescent="0.35">
      <c r="A26" s="95" t="s">
        <v>105</v>
      </c>
      <c r="B26" s="103">
        <f>+B25</f>
        <v>0</v>
      </c>
      <c r="C26" s="105">
        <f>C25-B25</f>
        <v>126807</v>
      </c>
      <c r="D26" s="105">
        <f>D25-C25</f>
        <v>216330.59999999998</v>
      </c>
      <c r="E26" s="105">
        <f>E25-D25</f>
        <v>189682</v>
      </c>
      <c r="F26" s="144">
        <f>F25</f>
        <v>532819.60000000009</v>
      </c>
    </row>
    <row r="28" spans="1:7" x14ac:dyDescent="0.3">
      <c r="A28" s="32" t="s">
        <v>106</v>
      </c>
    </row>
    <row r="29" spans="1:7" ht="15" thickBot="1" x14ac:dyDescent="0.35"/>
    <row r="30" spans="1:7" ht="15" thickBot="1" x14ac:dyDescent="0.35">
      <c r="A30" s="29">
        <f>SUM(DE!B3:B6)</f>
        <v>219000</v>
      </c>
      <c r="B30" s="1" t="s">
        <v>107</v>
      </c>
      <c r="E30" s="191" t="s">
        <v>113</v>
      </c>
      <c r="F30" s="192"/>
    </row>
    <row r="31" spans="1:7" x14ac:dyDescent="0.3">
      <c r="A31" s="22">
        <v>39000</v>
      </c>
      <c r="B31" s="1" t="s">
        <v>108</v>
      </c>
      <c r="D31" s="29"/>
      <c r="E31" s="93" t="s">
        <v>114</v>
      </c>
      <c r="F31" s="118">
        <f>E25+A31+F13-F4-F5</f>
        <v>329056</v>
      </c>
      <c r="G31" s="29"/>
    </row>
    <row r="32" spans="1:7" x14ac:dyDescent="0.3">
      <c r="E32" s="94" t="s">
        <v>115</v>
      </c>
      <c r="F32" s="119">
        <f>CRes!B7</f>
        <v>329056</v>
      </c>
    </row>
    <row r="33" spans="1:6" x14ac:dyDescent="0.3">
      <c r="E33" s="94" t="s">
        <v>115</v>
      </c>
      <c r="F33" s="119">
        <f>'Balance proforma'!H34+'Balance proforma'!H35</f>
        <v>329056</v>
      </c>
    </row>
    <row r="34" spans="1:6" x14ac:dyDescent="0.3">
      <c r="A34" t="s">
        <v>109</v>
      </c>
      <c r="B34" s="29">
        <f>CREDITOS!B28/3</f>
        <v>17520</v>
      </c>
      <c r="C34" s="1" t="s">
        <v>122</v>
      </c>
      <c r="E34" s="94" t="s">
        <v>116</v>
      </c>
      <c r="F34" s="119">
        <f>F32+SUM(CREDITOS!B35:D35)</f>
        <v>437816</v>
      </c>
    </row>
    <row r="35" spans="1:6" ht="15" thickBot="1" x14ac:dyDescent="0.35">
      <c r="E35" s="95" t="s">
        <v>117</v>
      </c>
      <c r="F35" s="120">
        <f>F31+SUM(CREDITOS!B35:D35)*(1-DE!B35)</f>
        <v>399750</v>
      </c>
    </row>
    <row r="36" spans="1:6" x14ac:dyDescent="0.3">
      <c r="A36" s="2" t="s">
        <v>110</v>
      </c>
      <c r="B36" s="30">
        <f>(A30-A31)/3+B34</f>
        <v>77520</v>
      </c>
    </row>
    <row r="37" spans="1:6" x14ac:dyDescent="0.3">
      <c r="A37" s="2" t="s">
        <v>111</v>
      </c>
      <c r="B37" s="30">
        <f>B36</f>
        <v>77520</v>
      </c>
      <c r="E37" t="s">
        <v>119</v>
      </c>
      <c r="F37" s="29">
        <f>SUM(CREDITOS!B35:D35)*DE!B35</f>
        <v>38066</v>
      </c>
    </row>
    <row r="38" spans="1:6" x14ac:dyDescent="0.3">
      <c r="A38" s="2" t="s">
        <v>112</v>
      </c>
      <c r="B38" s="30">
        <f>(A30-A31)/3+B34</f>
        <v>77520</v>
      </c>
    </row>
  </sheetData>
  <mergeCells count="1">
    <mergeCell ref="E30:F30"/>
  </mergeCells>
  <conditionalFormatting sqref="C22:E22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Views>
    <sheetView zoomScale="110" workbookViewId="0">
      <selection activeCell="K36" sqref="K36"/>
    </sheetView>
  </sheetViews>
  <sheetFormatPr baseColWidth="10" defaultRowHeight="14.4" x14ac:dyDescent="0.3"/>
  <cols>
    <col min="5" max="7" width="12.5546875" bestFit="1" customWidth="1"/>
    <col min="8" max="8" width="15.77734375" customWidth="1"/>
    <col min="9" max="9" width="11.5546875" bestFit="1" customWidth="1"/>
    <col min="11" max="11" width="11.5546875" bestFit="1" customWidth="1"/>
    <col min="12" max="12" width="12.5546875" bestFit="1" customWidth="1"/>
  </cols>
  <sheetData>
    <row r="1" spans="1:11" x14ac:dyDescent="0.3">
      <c r="A1" s="194"/>
      <c r="B1" s="194"/>
      <c r="C1" s="194"/>
      <c r="D1" s="194"/>
      <c r="E1" s="2" t="s">
        <v>63</v>
      </c>
      <c r="F1" s="3" t="s">
        <v>16</v>
      </c>
      <c r="G1" s="3" t="s">
        <v>35</v>
      </c>
      <c r="H1" s="3" t="s">
        <v>36</v>
      </c>
    </row>
    <row r="2" spans="1:11" x14ac:dyDescent="0.3">
      <c r="A2" s="193" t="s">
        <v>123</v>
      </c>
      <c r="B2" s="193"/>
      <c r="C2" s="193"/>
      <c r="D2" s="193"/>
      <c r="E2" s="148">
        <f>E3+E6+E7+E8</f>
        <v>9360</v>
      </c>
      <c r="F2" s="148">
        <f>F3+F6+F7+F8</f>
        <v>156161.89678228166</v>
      </c>
      <c r="G2" s="148">
        <f t="shared" ref="G2:H2" si="0">G3+G6+G7+G8</f>
        <v>370737.6</v>
      </c>
      <c r="H2" s="148">
        <f t="shared" si="0"/>
        <v>560419.6</v>
      </c>
    </row>
    <row r="3" spans="1:11" x14ac:dyDescent="0.3">
      <c r="A3" s="193" t="s">
        <v>10</v>
      </c>
      <c r="B3" s="193"/>
      <c r="C3" s="193"/>
      <c r="D3" s="193"/>
      <c r="E3" s="148">
        <f>SUM(E4:E5)</f>
        <v>2100</v>
      </c>
      <c r="F3" s="148">
        <f t="shared" ref="F3:H3" si="1">SUM(F4:F5)</f>
        <v>128907</v>
      </c>
      <c r="G3" s="148">
        <f t="shared" si="1"/>
        <v>345237.6</v>
      </c>
      <c r="H3" s="148">
        <f t="shared" si="1"/>
        <v>534919.6</v>
      </c>
    </row>
    <row r="4" spans="1:11" x14ac:dyDescent="0.3">
      <c r="A4" s="194" t="s">
        <v>124</v>
      </c>
      <c r="B4" s="194"/>
      <c r="C4" s="194"/>
      <c r="D4" s="194"/>
      <c r="E4" s="148">
        <v>2100</v>
      </c>
      <c r="F4" s="148">
        <v>2100</v>
      </c>
      <c r="G4" s="148">
        <v>2100</v>
      </c>
      <c r="H4" s="148">
        <v>2100</v>
      </c>
    </row>
    <row r="5" spans="1:11" x14ac:dyDescent="0.3">
      <c r="A5" s="194" t="s">
        <v>125</v>
      </c>
      <c r="B5" s="194"/>
      <c r="C5" s="194"/>
      <c r="D5" s="194"/>
      <c r="E5" s="30">
        <f>CFyU!B25</f>
        <v>0</v>
      </c>
      <c r="F5" s="30">
        <f>CFyU!C25</f>
        <v>126807</v>
      </c>
      <c r="G5" s="30">
        <f>CFyU!D25</f>
        <v>343137.6</v>
      </c>
      <c r="H5" s="30">
        <f>CFyU!E25</f>
        <v>532819.6</v>
      </c>
    </row>
    <row r="6" spans="1:11" x14ac:dyDescent="0.3">
      <c r="A6" s="193" t="s">
        <v>150</v>
      </c>
      <c r="B6" s="193"/>
      <c r="C6" s="193"/>
      <c r="D6" s="193"/>
      <c r="E6" s="148">
        <v>0</v>
      </c>
      <c r="F6" s="30">
        <f>DE!B15</f>
        <v>7500</v>
      </c>
      <c r="G6" s="30">
        <f>F6</f>
        <v>7500</v>
      </c>
      <c r="H6" s="30">
        <f>F6</f>
        <v>7500</v>
      </c>
    </row>
    <row r="7" spans="1:11" x14ac:dyDescent="0.3">
      <c r="A7" s="193" t="s">
        <v>126</v>
      </c>
      <c r="B7" s="193"/>
      <c r="C7" s="193"/>
      <c r="D7" s="193"/>
      <c r="E7" s="30">
        <f>DE!B22</f>
        <v>6000</v>
      </c>
      <c r="F7" s="30">
        <f>E7+DE!B16</f>
        <v>18000</v>
      </c>
      <c r="G7" s="30">
        <f>F7</f>
        <v>18000</v>
      </c>
      <c r="H7" s="30">
        <f>F7</f>
        <v>18000</v>
      </c>
    </row>
    <row r="8" spans="1:11" x14ac:dyDescent="0.3">
      <c r="A8" s="193" t="s">
        <v>127</v>
      </c>
      <c r="B8" s="193"/>
      <c r="C8" s="193"/>
      <c r="D8" s="193"/>
      <c r="E8" s="148">
        <f>'Calendario Inv'!B9</f>
        <v>1260</v>
      </c>
      <c r="F8" s="30">
        <f>'Calendario Inv'!D9/'Calendario Inv'!D13*'RECUPERO IVA'!B9</f>
        <v>1754.8967822816549</v>
      </c>
      <c r="G8" s="30">
        <f>'Calendario Inv'!D9/'Calendario Inv'!D13*'RECUPERO IVA'!B10</f>
        <v>0</v>
      </c>
      <c r="H8" s="148">
        <v>0</v>
      </c>
      <c r="I8" s="29"/>
    </row>
    <row r="9" spans="1:11" x14ac:dyDescent="0.3">
      <c r="A9" s="195"/>
      <c r="B9" s="195"/>
      <c r="C9" s="195"/>
      <c r="D9" s="195"/>
      <c r="E9" s="195"/>
      <c r="F9" s="195"/>
      <c r="G9" s="195"/>
      <c r="H9" s="195"/>
    </row>
    <row r="10" spans="1:11" x14ac:dyDescent="0.3">
      <c r="A10" s="193" t="s">
        <v>128</v>
      </c>
      <c r="B10" s="193"/>
      <c r="C10" s="193"/>
      <c r="D10" s="193"/>
      <c r="E10" s="30">
        <f>E15+E20+E21</f>
        <v>321327.59999999998</v>
      </c>
      <c r="F10" s="30">
        <f>F15+F20+F21</f>
        <v>224588.70321771834</v>
      </c>
      <c r="G10" s="30">
        <f>G15+G20+G21</f>
        <v>116520</v>
      </c>
      <c r="H10" s="30">
        <f>H15+H20+H21</f>
        <v>39000</v>
      </c>
    </row>
    <row r="11" spans="1:11" x14ac:dyDescent="0.3">
      <c r="A11" s="193" t="s">
        <v>130</v>
      </c>
      <c r="B11" s="193"/>
      <c r="C11" s="193"/>
      <c r="D11" s="193"/>
      <c r="E11" s="146"/>
      <c r="F11" s="146"/>
      <c r="G11" s="146"/>
      <c r="H11" s="146"/>
    </row>
    <row r="12" spans="1:11" x14ac:dyDescent="0.3">
      <c r="A12" s="194" t="s">
        <v>131</v>
      </c>
      <c r="B12" s="196"/>
      <c r="C12" s="196"/>
      <c r="D12" s="196"/>
      <c r="E12" s="30">
        <f>DE!B4+DE!B5+CREDITOS!B28</f>
        <v>115560</v>
      </c>
      <c r="F12" s="30">
        <f>E15</f>
        <v>115560</v>
      </c>
      <c r="G12" s="30">
        <f>F15</f>
        <v>81040</v>
      </c>
      <c r="H12" s="30">
        <f>G15</f>
        <v>40520</v>
      </c>
    </row>
    <row r="13" spans="1:11" x14ac:dyDescent="0.3">
      <c r="A13" s="194" t="s">
        <v>132</v>
      </c>
      <c r="B13" s="196"/>
      <c r="C13" s="196"/>
      <c r="D13" s="196"/>
      <c r="E13" s="148">
        <v>0</v>
      </c>
      <c r="F13" s="148">
        <f>DE!B6</f>
        <v>6000</v>
      </c>
      <c r="G13" s="148">
        <v>0</v>
      </c>
      <c r="H13" s="148">
        <v>0</v>
      </c>
    </row>
    <row r="14" spans="1:11" x14ac:dyDescent="0.3">
      <c r="A14" s="194" t="s">
        <v>133</v>
      </c>
      <c r="B14" s="194"/>
      <c r="C14" s="194"/>
      <c r="D14" s="194"/>
      <c r="E14" s="148">
        <v>0</v>
      </c>
      <c r="F14" s="30">
        <f>(F12+F13)/3</f>
        <v>40520</v>
      </c>
      <c r="G14" s="30">
        <f>F14</f>
        <v>40520</v>
      </c>
      <c r="H14" s="30">
        <f>F14</f>
        <v>40520</v>
      </c>
    </row>
    <row r="15" spans="1:11" x14ac:dyDescent="0.3">
      <c r="A15" s="194" t="s">
        <v>134</v>
      </c>
      <c r="B15" s="194"/>
      <c r="C15" s="194"/>
      <c r="D15" s="194"/>
      <c r="E15" s="148">
        <f>E12+E13-E14</f>
        <v>115560</v>
      </c>
      <c r="F15" s="148">
        <f>F12+F13-F14</f>
        <v>81040</v>
      </c>
      <c r="G15" s="148">
        <f t="shared" ref="G15:H15" si="2">G12+G13-G14</f>
        <v>40520</v>
      </c>
      <c r="H15" s="148">
        <f t="shared" si="2"/>
        <v>0</v>
      </c>
      <c r="K15" s="29"/>
    </row>
    <row r="16" spans="1:11" x14ac:dyDescent="0.3">
      <c r="A16" s="193" t="s">
        <v>135</v>
      </c>
      <c r="B16" s="167"/>
      <c r="C16" s="167"/>
      <c r="D16" s="167"/>
      <c r="E16" s="147"/>
      <c r="F16" s="147"/>
      <c r="G16" s="147"/>
      <c r="H16" s="147"/>
    </row>
    <row r="17" spans="1:12" x14ac:dyDescent="0.3">
      <c r="A17" s="194" t="s">
        <v>131</v>
      </c>
      <c r="B17" s="196"/>
      <c r="C17" s="196"/>
      <c r="D17" s="196"/>
      <c r="E17" s="148">
        <f>DE!B3</f>
        <v>150000</v>
      </c>
      <c r="F17" s="148">
        <f>E20</f>
        <v>150000</v>
      </c>
      <c r="G17" s="148">
        <f>F20</f>
        <v>113000</v>
      </c>
      <c r="H17" s="148">
        <f>G20</f>
        <v>76000</v>
      </c>
    </row>
    <row r="18" spans="1:12" x14ac:dyDescent="0.3">
      <c r="A18" s="194" t="s">
        <v>132</v>
      </c>
      <c r="B18" s="194"/>
      <c r="C18" s="194"/>
      <c r="D18" s="194"/>
      <c r="E18" s="148">
        <v>0</v>
      </c>
      <c r="F18" s="148">
        <v>0</v>
      </c>
      <c r="G18" s="148">
        <v>0</v>
      </c>
      <c r="H18" s="148">
        <v>0</v>
      </c>
      <c r="K18" t="s">
        <v>136</v>
      </c>
      <c r="L18" s="29">
        <f>E17</f>
        <v>150000</v>
      </c>
    </row>
    <row r="19" spans="1:12" x14ac:dyDescent="0.3">
      <c r="A19" s="194" t="s">
        <v>133</v>
      </c>
      <c r="B19" s="194"/>
      <c r="C19" s="194"/>
      <c r="D19" s="194"/>
      <c r="E19" s="148">
        <v>0</v>
      </c>
      <c r="F19" s="148">
        <f>L21</f>
        <v>37000</v>
      </c>
      <c r="G19" s="148">
        <f>L21</f>
        <v>37000</v>
      </c>
      <c r="H19" s="148">
        <f>L21</f>
        <v>37000</v>
      </c>
      <c r="K19" t="s">
        <v>108</v>
      </c>
      <c r="L19" s="22">
        <v>39000</v>
      </c>
    </row>
    <row r="20" spans="1:12" x14ac:dyDescent="0.3">
      <c r="A20" s="194" t="s">
        <v>134</v>
      </c>
      <c r="B20" s="194"/>
      <c r="C20" s="194"/>
      <c r="D20" s="194"/>
      <c r="E20" s="148">
        <f>E17+E18-E19</f>
        <v>150000</v>
      </c>
      <c r="F20" s="148">
        <f>F17+F18-F19</f>
        <v>113000</v>
      </c>
      <c r="G20" s="148">
        <f t="shared" ref="G20:H20" si="3">G17+G18-G19</f>
        <v>76000</v>
      </c>
      <c r="H20" s="148">
        <f t="shared" si="3"/>
        <v>39000</v>
      </c>
    </row>
    <row r="21" spans="1:12" x14ac:dyDescent="0.3">
      <c r="A21" s="193" t="s">
        <v>129</v>
      </c>
      <c r="B21" s="193"/>
      <c r="C21" s="193"/>
      <c r="D21" s="193"/>
      <c r="E21" s="30">
        <f>'Calendario Inv'!B4</f>
        <v>55767.6</v>
      </c>
      <c r="F21" s="30">
        <f>'Calendario Inv'!D4/'Calendario Inv'!D13*'RECUPERO IVA'!B9</f>
        <v>30548.703217718343</v>
      </c>
      <c r="G21" s="30">
        <v>0</v>
      </c>
      <c r="H21" s="148">
        <v>0</v>
      </c>
      <c r="K21" t="s">
        <v>137</v>
      </c>
      <c r="L21" s="29">
        <f>(L18-L19)/3</f>
        <v>37000</v>
      </c>
    </row>
    <row r="22" spans="1:12" x14ac:dyDescent="0.3">
      <c r="A22" s="195"/>
      <c r="B22" s="195"/>
      <c r="C22" s="195"/>
      <c r="D22" s="195"/>
      <c r="E22" s="195"/>
      <c r="F22" s="195"/>
      <c r="G22" s="195"/>
      <c r="H22" s="195"/>
    </row>
    <row r="23" spans="1:12" x14ac:dyDescent="0.3">
      <c r="A23" s="193" t="s">
        <v>138</v>
      </c>
      <c r="B23" s="193"/>
      <c r="C23" s="193"/>
      <c r="D23" s="193"/>
      <c r="E23" s="30">
        <f>E2+E10</f>
        <v>330687.59999999998</v>
      </c>
      <c r="F23" s="30">
        <f>F2+F10</f>
        <v>380750.6</v>
      </c>
      <c r="G23" s="30">
        <f t="shared" ref="G23:H23" si="4">G2+G10</f>
        <v>487257.59999999998</v>
      </c>
      <c r="H23" s="30">
        <f t="shared" si="4"/>
        <v>599419.6</v>
      </c>
    </row>
    <row r="24" spans="1:12" x14ac:dyDescent="0.3">
      <c r="A24" s="195"/>
      <c r="B24" s="195"/>
      <c r="C24" s="195"/>
      <c r="D24" s="195"/>
      <c r="E24" s="195"/>
      <c r="F24" s="195"/>
      <c r="G24" s="195"/>
      <c r="H24" s="195"/>
    </row>
    <row r="25" spans="1:12" x14ac:dyDescent="0.3">
      <c r="A25" s="193" t="s">
        <v>139</v>
      </c>
      <c r="B25" s="193"/>
      <c r="C25" s="193"/>
      <c r="D25" s="193"/>
      <c r="E25" s="30">
        <f>SUM(E26:E27)</f>
        <v>0</v>
      </c>
      <c r="F25" s="30">
        <f>F26</f>
        <v>11850</v>
      </c>
      <c r="G25" s="30">
        <f>G26</f>
        <v>11850</v>
      </c>
      <c r="H25" s="30">
        <f>H26</f>
        <v>11850</v>
      </c>
    </row>
    <row r="26" spans="1:12" x14ac:dyDescent="0.3">
      <c r="A26" s="194" t="s">
        <v>140</v>
      </c>
      <c r="B26" s="194"/>
      <c r="C26" s="194"/>
      <c r="D26" s="194"/>
      <c r="E26" s="148">
        <v>0</v>
      </c>
      <c r="F26" s="30">
        <f>CREDITOS!C16</f>
        <v>11850</v>
      </c>
      <c r="G26" s="30">
        <f>F26</f>
        <v>11850</v>
      </c>
      <c r="H26" s="30">
        <f>F26</f>
        <v>11850</v>
      </c>
    </row>
    <row r="27" spans="1:12" x14ac:dyDescent="0.3">
      <c r="A27" s="197"/>
      <c r="B27" s="186"/>
      <c r="C27" s="186"/>
      <c r="D27" s="198"/>
      <c r="E27" s="147"/>
      <c r="F27" s="151"/>
      <c r="G27" s="151"/>
      <c r="H27" s="151"/>
      <c r="I27" s="29"/>
    </row>
    <row r="28" spans="1:12" x14ac:dyDescent="0.3">
      <c r="A28" s="193" t="s">
        <v>142</v>
      </c>
      <c r="B28" s="193"/>
      <c r="C28" s="193"/>
      <c r="D28" s="193"/>
      <c r="E28" s="30">
        <f>E29</f>
        <v>87600</v>
      </c>
      <c r="F28" s="30">
        <f>F29</f>
        <v>58400</v>
      </c>
      <c r="G28" s="30">
        <f>G29</f>
        <v>29200</v>
      </c>
      <c r="H28" s="30">
        <f>H29</f>
        <v>0</v>
      </c>
    </row>
    <row r="29" spans="1:12" x14ac:dyDescent="0.3">
      <c r="A29" s="194" t="s">
        <v>141</v>
      </c>
      <c r="B29" s="194"/>
      <c r="C29" s="194"/>
      <c r="D29" s="194"/>
      <c r="E29" s="30">
        <f>CREDITOS!B8</f>
        <v>87600</v>
      </c>
      <c r="F29" s="30">
        <f>CREDITOS!B9</f>
        <v>58400</v>
      </c>
      <c r="G29" s="30">
        <f>CREDITOS!B10</f>
        <v>29200</v>
      </c>
      <c r="H29" s="30">
        <v>0</v>
      </c>
    </row>
    <row r="30" spans="1:12" x14ac:dyDescent="0.3">
      <c r="A30" s="193" t="s">
        <v>144</v>
      </c>
      <c r="B30" s="193"/>
      <c r="C30" s="193"/>
      <c r="D30" s="193"/>
      <c r="E30" s="30">
        <f>E25+E28</f>
        <v>87600</v>
      </c>
      <c r="F30" s="30">
        <f>F25+F28</f>
        <v>70250</v>
      </c>
      <c r="G30" s="30">
        <f>G25+G28</f>
        <v>41050</v>
      </c>
      <c r="H30" s="30">
        <f>H25+H28</f>
        <v>11850</v>
      </c>
    </row>
    <row r="31" spans="1:12" x14ac:dyDescent="0.3">
      <c r="A31" s="195"/>
      <c r="B31" s="195"/>
      <c r="C31" s="195"/>
      <c r="D31" s="195"/>
      <c r="E31" s="195"/>
      <c r="F31" s="195"/>
      <c r="G31" s="195"/>
      <c r="H31" s="195"/>
    </row>
    <row r="32" spans="1:12" x14ac:dyDescent="0.3">
      <c r="A32" s="193" t="s">
        <v>145</v>
      </c>
      <c r="B32" s="193"/>
      <c r="C32" s="193"/>
      <c r="D32" s="193"/>
      <c r="E32" s="30">
        <f>SUM(E33:E35)</f>
        <v>243087.59999999998</v>
      </c>
      <c r="F32" s="30">
        <f>SUM(F33:F35)</f>
        <v>310500.59999999998</v>
      </c>
      <c r="G32" s="30">
        <f t="shared" ref="G32:H32" si="5">SUM(G33:G35)</f>
        <v>446207.6</v>
      </c>
      <c r="H32" s="30">
        <f t="shared" si="5"/>
        <v>587569.6</v>
      </c>
    </row>
    <row r="33" spans="1:8" x14ac:dyDescent="0.3">
      <c r="A33" s="193" t="s">
        <v>146</v>
      </c>
      <c r="B33" s="193"/>
      <c r="C33" s="193"/>
      <c r="D33" s="193"/>
      <c r="E33" s="30">
        <f>CFyU!B4</f>
        <v>243087.59999999998</v>
      </c>
      <c r="F33" s="30">
        <f>CFyU!F4</f>
        <v>258513.59999999998</v>
      </c>
      <c r="G33" s="30">
        <f>CFyU!F4</f>
        <v>258513.59999999998</v>
      </c>
      <c r="H33" s="30">
        <f>CFyU!F4</f>
        <v>258513.59999999998</v>
      </c>
    </row>
    <row r="34" spans="1:8" x14ac:dyDescent="0.3">
      <c r="A34" s="193" t="s">
        <v>147</v>
      </c>
      <c r="B34" s="167"/>
      <c r="C34" s="167"/>
      <c r="D34" s="167"/>
      <c r="E34" s="30">
        <v>0</v>
      </c>
      <c r="F34" s="30">
        <f>CRes!G3</f>
        <v>51987</v>
      </c>
      <c r="G34" s="30">
        <f>CRes!G4</f>
        <v>135707</v>
      </c>
      <c r="H34" s="30">
        <f>CRes!G5</f>
        <v>141362</v>
      </c>
    </row>
    <row r="35" spans="1:8" x14ac:dyDescent="0.3">
      <c r="A35" s="193" t="s">
        <v>148</v>
      </c>
      <c r="B35" s="193"/>
      <c r="C35" s="193"/>
      <c r="D35" s="193"/>
      <c r="E35" s="31">
        <v>0</v>
      </c>
      <c r="F35" s="30">
        <f>SUM(E34:E35)</f>
        <v>0</v>
      </c>
      <c r="G35" s="30">
        <f>SUM(F34:F35)</f>
        <v>51987</v>
      </c>
      <c r="H35" s="30">
        <f>SUM(G34:G35)</f>
        <v>187694</v>
      </c>
    </row>
    <row r="36" spans="1:8" x14ac:dyDescent="0.3">
      <c r="A36" s="195"/>
      <c r="B36" s="195"/>
      <c r="C36" s="195"/>
      <c r="D36" s="195"/>
      <c r="E36" s="195"/>
      <c r="F36" s="195"/>
      <c r="G36" s="195"/>
      <c r="H36" s="195"/>
    </row>
    <row r="37" spans="1:8" x14ac:dyDescent="0.3">
      <c r="A37" s="193" t="s">
        <v>149</v>
      </c>
      <c r="B37" s="167"/>
      <c r="C37" s="167"/>
      <c r="D37" s="167"/>
      <c r="E37" s="30">
        <f>E30+E32</f>
        <v>330687.59999999998</v>
      </c>
      <c r="F37" s="30">
        <f>F30+F32</f>
        <v>380750.6</v>
      </c>
      <c r="G37" s="30">
        <f t="shared" ref="G37:H37" si="6">G30+G32</f>
        <v>487257.59999999998</v>
      </c>
      <c r="H37" s="30">
        <f t="shared" si="6"/>
        <v>599419.6</v>
      </c>
    </row>
    <row r="38" spans="1:8" x14ac:dyDescent="0.3">
      <c r="A38" s="199" t="s">
        <v>151</v>
      </c>
      <c r="B38" s="199"/>
      <c r="C38" s="199"/>
      <c r="D38" s="199"/>
      <c r="E38" s="152">
        <f>E23-E37</f>
        <v>0</v>
      </c>
      <c r="F38" s="152">
        <f>F23-F37</f>
        <v>0</v>
      </c>
      <c r="G38" s="152">
        <f>G23-G37</f>
        <v>0</v>
      </c>
      <c r="H38" s="152">
        <f>H23-H37</f>
        <v>0</v>
      </c>
    </row>
    <row r="39" spans="1:8" x14ac:dyDescent="0.3">
      <c r="F39" s="29"/>
    </row>
  </sheetData>
  <mergeCells count="38">
    <mergeCell ref="A38:D38"/>
    <mergeCell ref="A36:H36"/>
    <mergeCell ref="A37:D37"/>
    <mergeCell ref="A30:D30"/>
    <mergeCell ref="A31:H31"/>
    <mergeCell ref="A32:D32"/>
    <mergeCell ref="A33:D33"/>
    <mergeCell ref="A34:D34"/>
    <mergeCell ref="A35:D35"/>
    <mergeCell ref="A29:D29"/>
    <mergeCell ref="A17:D17"/>
    <mergeCell ref="A18:D18"/>
    <mergeCell ref="A19:D19"/>
    <mergeCell ref="A20:D20"/>
    <mergeCell ref="A22:H22"/>
    <mergeCell ref="A23:D23"/>
    <mergeCell ref="A24:H24"/>
    <mergeCell ref="A25:D25"/>
    <mergeCell ref="A26:D26"/>
    <mergeCell ref="A27:D27"/>
    <mergeCell ref="A28:D28"/>
    <mergeCell ref="A9:H9"/>
    <mergeCell ref="A10:D10"/>
    <mergeCell ref="A21:D21"/>
    <mergeCell ref="A11:D11"/>
    <mergeCell ref="A12:D12"/>
    <mergeCell ref="A13:D13"/>
    <mergeCell ref="A14:D14"/>
    <mergeCell ref="A15:D15"/>
    <mergeCell ref="A16:D16"/>
    <mergeCell ref="A7:D7"/>
    <mergeCell ref="A8:D8"/>
    <mergeCell ref="A1:D1"/>
    <mergeCell ref="A2:D2"/>
    <mergeCell ref="A3:D3"/>
    <mergeCell ref="A4:D4"/>
    <mergeCell ref="A5:D5"/>
    <mergeCell ref="A6:D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b32e02e-f9d1-4c5e-925e-749de7b20467" xsi:nil="true"/>
    <lcf76f155ced4ddcb4097134ff3c332f xmlns="92cdef28-4cda-4e75-81be-5f16597231da">
      <Terms xmlns="http://schemas.microsoft.com/office/infopath/2007/PartnerControls"/>
    </lcf76f155ced4ddcb4097134ff3c332f>
    <SharedWithUsers xmlns="bb32e02e-f9d1-4c5e-925e-749de7b20467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1F4EAB1AA4FF4686C85BA3AF0A9781" ma:contentTypeVersion="13" ma:contentTypeDescription="Create a new document." ma:contentTypeScope="" ma:versionID="7f8820c0958d72da6338d142651d4baf">
  <xsd:schema xmlns:xsd="http://www.w3.org/2001/XMLSchema" xmlns:xs="http://www.w3.org/2001/XMLSchema" xmlns:p="http://schemas.microsoft.com/office/2006/metadata/properties" xmlns:ns2="92cdef28-4cda-4e75-81be-5f16597231da" xmlns:ns3="bb32e02e-f9d1-4c5e-925e-749de7b20467" targetNamespace="http://schemas.microsoft.com/office/2006/metadata/properties" ma:root="true" ma:fieldsID="a070b85143bc46ecb4781694066b4f7e" ns2:_="" ns3:_="">
    <xsd:import namespace="92cdef28-4cda-4e75-81be-5f16597231da"/>
    <xsd:import namespace="bb32e02e-f9d1-4c5e-925e-749de7b204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cdef28-4cda-4e75-81be-5f16597231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4d35a88-ad69-48bb-bb3c-144b183390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32e02e-f9d1-4c5e-925e-749de7b2046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46813d0-2b24-4b63-8e4b-c35a96fe6ad7}" ma:internalName="TaxCatchAll" ma:showField="CatchAllData" ma:web="bb32e02e-f9d1-4c5e-925e-749de7b204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A89C68-C829-48EA-962B-6DB50EB7C76B}">
  <ds:schemaRefs>
    <ds:schemaRef ds:uri="9f70457b-9887-4715-8131-6f7c68e17bdc"/>
    <ds:schemaRef ds:uri="f5e66213-a5f4-4ea2-a037-ea1e2d95c859"/>
    <ds:schemaRef ds:uri="http://schemas.microsoft.com/office/2006/documentManagement/types"/>
    <ds:schemaRef ds:uri="http://purl.org/dc/terms/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bb32e02e-f9d1-4c5e-925e-749de7b20467"/>
    <ds:schemaRef ds:uri="92cdef28-4cda-4e75-81be-5f16597231da"/>
  </ds:schemaRefs>
</ds:datastoreItem>
</file>

<file path=customXml/itemProps2.xml><?xml version="1.0" encoding="utf-8"?>
<ds:datastoreItem xmlns:ds="http://schemas.openxmlformats.org/officeDocument/2006/customXml" ds:itemID="{404C4EBB-B811-4888-8CB0-AC10444E20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cdef28-4cda-4e75-81be-5f16597231da"/>
    <ds:schemaRef ds:uri="bb32e02e-f9d1-4c5e-925e-749de7b204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53B3411-45DA-4327-AE2D-1E560DFFA0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DE</vt:lpstr>
      <vt:lpstr>CREDITOS</vt:lpstr>
      <vt:lpstr>1era estructura Financiera</vt:lpstr>
      <vt:lpstr>CRes</vt:lpstr>
      <vt:lpstr>Calendario Inv</vt:lpstr>
      <vt:lpstr>2da Est. </vt:lpstr>
      <vt:lpstr>RECUPERO IVA</vt:lpstr>
      <vt:lpstr>CFyU</vt:lpstr>
      <vt:lpstr>Balance proforma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Abril Marian Nacif</dc:creator>
  <cp:lastModifiedBy>Lucio Cahe</cp:lastModifiedBy>
  <dcterms:created xsi:type="dcterms:W3CDTF">2023-11-20T20:29:22Z</dcterms:created>
  <dcterms:modified xsi:type="dcterms:W3CDTF">2024-12-08T21:38:36Z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0x0101003C1F4EAB1AA4FF4686C85BA3AF0A9781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xd_Signature">
    <vt:bool>false</vt:bool>
  </property>
</Properties>
</file>