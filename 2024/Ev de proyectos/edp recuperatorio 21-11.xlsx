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cargas\Descargas\"/>
    </mc:Choice>
  </mc:AlternateContent>
  <xr:revisionPtr revIDLastSave="0" documentId="13_ncr:1_{57DC0343-C6B9-4E45-A50D-92AB3DF14837}" xr6:coauthVersionLast="47" xr6:coauthVersionMax="47" xr10:uidLastSave="{00000000-0000-0000-0000-000000000000}"/>
  <bookViews>
    <workbookView xWindow="-11640" yWindow="-1605" windowWidth="11760" windowHeight="20130" firstSheet="5" activeTab="7" xr2:uid="{00000000-000D-0000-FFFF-FFFF00000000}"/>
  </bookViews>
  <sheets>
    <sheet name="DE" sheetId="1" r:id="rId1"/>
    <sheet name="CREDITOS" sheetId="2" r:id="rId2"/>
    <sheet name="1era estructura Financiera" sheetId="3" r:id="rId3"/>
    <sheet name="CRes" sheetId="4" r:id="rId4"/>
    <sheet name="Calendario Inv" sheetId="5" r:id="rId5"/>
    <sheet name="2da Est. " sheetId="6" r:id="rId6"/>
    <sheet name="RECUPERO IVA" sheetId="7" r:id="rId7"/>
    <sheet name="CFyU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3" i="8" l="1"/>
  <c r="F32" i="8"/>
  <c r="F31" i="8"/>
  <c r="C9" i="5" l="1"/>
  <c r="B3" i="4" l="1"/>
  <c r="F28" i="1"/>
  <c r="B24" i="1"/>
  <c r="B23" i="1"/>
  <c r="C8" i="5" s="1"/>
  <c r="A30" i="8"/>
  <c r="F18" i="8" l="1"/>
  <c r="F6" i="6"/>
  <c r="G5" i="6"/>
  <c r="B8" i="5"/>
  <c r="C7" i="5"/>
  <c r="C13" i="8" s="1"/>
  <c r="B7" i="5"/>
  <c r="B13" i="8" s="1"/>
  <c r="C3" i="5"/>
  <c r="C12" i="8" s="1"/>
  <c r="B4" i="4"/>
  <c r="D7" i="8" s="1"/>
  <c r="C7" i="8"/>
  <c r="B5" i="4" l="1"/>
  <c r="E7" i="8" s="1"/>
  <c r="F7" i="8" s="1"/>
  <c r="F13" i="8"/>
  <c r="B37" i="8"/>
  <c r="E23" i="8" s="1"/>
  <c r="D7" i="5"/>
  <c r="B26" i="2"/>
  <c r="D21" i="1"/>
  <c r="B2" i="2"/>
  <c r="D23" i="1" l="1"/>
  <c r="C34" i="1" l="1"/>
  <c r="B34" i="1"/>
  <c r="F29" i="1"/>
  <c r="B3" i="7"/>
  <c r="B17" i="1"/>
  <c r="B6" i="3" s="1"/>
  <c r="C6" i="1"/>
  <c r="C5" i="1"/>
  <c r="D5" i="1" s="1"/>
  <c r="B7" i="1"/>
  <c r="C3" i="1"/>
  <c r="D3" i="2" l="1"/>
  <c r="B6" i="2" s="1"/>
  <c r="B3" i="3"/>
  <c r="D4" i="7"/>
  <c r="C4" i="7"/>
  <c r="D27" i="2"/>
  <c r="B4" i="7"/>
  <c r="D3" i="7"/>
  <c r="C3" i="7"/>
  <c r="C12" i="5"/>
  <c r="D8" i="5"/>
  <c r="D6" i="1"/>
  <c r="C4" i="5"/>
  <c r="C24" i="1"/>
  <c r="C10" i="5" s="1"/>
  <c r="D24" i="1"/>
  <c r="C22" i="1"/>
  <c r="B9" i="5" s="1"/>
  <c r="B25" i="1"/>
  <c r="C17" i="2" s="1"/>
  <c r="D3" i="1"/>
  <c r="D22" i="1"/>
  <c r="C4" i="1"/>
  <c r="D4" i="1" s="1"/>
  <c r="D6" i="2" l="1"/>
  <c r="B7" i="2"/>
  <c r="B30" i="2"/>
  <c r="C7" i="1"/>
  <c r="C25" i="1"/>
  <c r="B8" i="3" s="1"/>
  <c r="E8" i="3" s="1"/>
  <c r="B10" i="5"/>
  <c r="C4" i="6" s="1"/>
  <c r="C7" i="6" s="1"/>
  <c r="E4" i="6"/>
  <c r="G4" i="6" s="1"/>
  <c r="D25" i="1"/>
  <c r="B7" i="3"/>
  <c r="B10" i="3" s="1"/>
  <c r="C13" i="5"/>
  <c r="C5" i="5"/>
  <c r="D4" i="6" s="1"/>
  <c r="D7" i="6" s="1"/>
  <c r="D3" i="3"/>
  <c r="E3" i="3" s="1"/>
  <c r="B6" i="8"/>
  <c r="F6" i="8" s="1"/>
  <c r="B4" i="3"/>
  <c r="D7" i="1"/>
  <c r="B11" i="3" l="1"/>
  <c r="C10" i="2"/>
  <c r="B9" i="2"/>
  <c r="D7" i="2"/>
  <c r="D31" i="2" s="1"/>
  <c r="B31" i="2"/>
  <c r="C36" i="2"/>
  <c r="C11" i="2"/>
  <c r="C35" i="2" s="1"/>
  <c r="C12" i="2"/>
  <c r="B8" i="2"/>
  <c r="B32" i="2" s="1"/>
  <c r="D30" i="2"/>
  <c r="D9" i="5"/>
  <c r="B12" i="3"/>
  <c r="B20" i="2"/>
  <c r="C5" i="8"/>
  <c r="F5" i="8" s="1"/>
  <c r="C7" i="3"/>
  <c r="E7" i="3" s="1"/>
  <c r="C19" i="8"/>
  <c r="C14" i="5"/>
  <c r="D10" i="3"/>
  <c r="D12" i="3" s="1"/>
  <c r="B5" i="6"/>
  <c r="F5" i="6" s="1"/>
  <c r="H5" i="6" s="1"/>
  <c r="E4" i="3"/>
  <c r="E11" i="3"/>
  <c r="D10" i="5" l="1"/>
  <c r="D13" i="5"/>
  <c r="B3" i="5"/>
  <c r="B33" i="8"/>
  <c r="B35" i="8" s="1"/>
  <c r="B4" i="5"/>
  <c r="B10" i="2"/>
  <c r="D10" i="2"/>
  <c r="C16" i="8"/>
  <c r="C34" i="2"/>
  <c r="B33" i="2"/>
  <c r="B23" i="2"/>
  <c r="B22" i="2"/>
  <c r="B21" i="2"/>
  <c r="E6" i="6"/>
  <c r="C10" i="3"/>
  <c r="C12" i="3" s="1"/>
  <c r="B36" i="8" l="1"/>
  <c r="D23" i="8" s="1"/>
  <c r="C23" i="8"/>
  <c r="F23" i="8" s="1"/>
  <c r="E16" i="8"/>
  <c r="D16" i="8"/>
  <c r="F16" i="8"/>
  <c r="B11" i="2"/>
  <c r="D12" i="2" s="1"/>
  <c r="D11" i="2"/>
  <c r="B13" i="5"/>
  <c r="D4" i="5"/>
  <c r="B5" i="5"/>
  <c r="B12" i="8"/>
  <c r="F12" i="8" s="1"/>
  <c r="D3" i="5"/>
  <c r="D12" i="5" s="1"/>
  <c r="B12" i="5"/>
  <c r="E7" i="6"/>
  <c r="G6" i="6"/>
  <c r="H6" i="6" s="1"/>
  <c r="D22" i="2"/>
  <c r="B35" i="2"/>
  <c r="B34" i="2"/>
  <c r="D21" i="2"/>
  <c r="D34" i="2" s="1"/>
  <c r="D23" i="2"/>
  <c r="D36" i="2" s="1"/>
  <c r="D39" i="2" s="1"/>
  <c r="B36" i="2"/>
  <c r="E10" i="3"/>
  <c r="E12" i="3" s="1"/>
  <c r="B5" i="7" l="1"/>
  <c r="B39" i="2"/>
  <c r="B4" i="6"/>
  <c r="D5" i="5"/>
  <c r="B14" i="5"/>
  <c r="B10" i="7"/>
  <c r="B19" i="8"/>
  <c r="F19" i="8" s="1"/>
  <c r="D14" i="5"/>
  <c r="D35" i="2"/>
  <c r="C39" i="2" s="1"/>
  <c r="C4" i="4" s="1"/>
  <c r="B11" i="7"/>
  <c r="B11" i="8"/>
  <c r="D5" i="7"/>
  <c r="D6" i="7" s="1"/>
  <c r="C13" i="7" s="1"/>
  <c r="F13" i="7" s="1"/>
  <c r="E36" i="2"/>
  <c r="C5" i="4"/>
  <c r="B6" i="7"/>
  <c r="C11" i="7" s="1"/>
  <c r="D11" i="7" s="1"/>
  <c r="E34" i="2"/>
  <c r="G7" i="6"/>
  <c r="H7" i="6" s="1"/>
  <c r="C4" i="8"/>
  <c r="E35" i="2" l="1"/>
  <c r="C5" i="7"/>
  <c r="C6" i="7" s="1"/>
  <c r="C12" i="7" s="1"/>
  <c r="B7" i="6"/>
  <c r="F4" i="6"/>
  <c r="H4" i="6" s="1"/>
  <c r="F36" i="8"/>
  <c r="C3" i="4"/>
  <c r="D14" i="8"/>
  <c r="D4" i="4"/>
  <c r="C14" i="8"/>
  <c r="D3" i="4"/>
  <c r="C8" i="8"/>
  <c r="B12" i="7"/>
  <c r="D12" i="7" s="1"/>
  <c r="E14" i="8"/>
  <c r="D5" i="4"/>
  <c r="I6" i="6" l="1"/>
  <c r="I5" i="6"/>
  <c r="B4" i="8"/>
  <c r="F7" i="6"/>
  <c r="I7" i="6" s="1"/>
  <c r="I4" i="6" s="1"/>
  <c r="D8" i="8"/>
  <c r="F8" i="8" s="1"/>
  <c r="F12" i="7"/>
  <c r="E17" i="8"/>
  <c r="F14" i="8"/>
  <c r="D17" i="8"/>
  <c r="C17" i="8"/>
  <c r="B2" i="8" l="1"/>
  <c r="B22" i="8" s="1"/>
  <c r="B25" i="8" s="1"/>
  <c r="F4" i="8"/>
  <c r="F2" i="8" s="1"/>
  <c r="F17" i="8"/>
  <c r="F5" i="4"/>
  <c r="E15" i="8" s="1"/>
  <c r="E11" i="8" s="1"/>
  <c r="F3" i="4"/>
  <c r="C15" i="8" s="1"/>
  <c r="C11" i="8" s="1"/>
  <c r="F4" i="4"/>
  <c r="D15" i="8" s="1"/>
  <c r="D11" i="8" s="1"/>
  <c r="C3" i="8" l="1"/>
  <c r="C2" i="8" s="1"/>
  <c r="C22" i="8" s="1"/>
  <c r="C25" i="8" s="1"/>
  <c r="B26" i="8"/>
  <c r="G5" i="4"/>
  <c r="G3" i="4"/>
  <c r="F11" i="8"/>
  <c r="F22" i="8" s="1"/>
  <c r="F25" i="8" s="1"/>
  <c r="F26" i="8" s="1"/>
  <c r="G4" i="4"/>
  <c r="F15" i="8"/>
  <c r="C26" i="8" l="1"/>
  <c r="D3" i="8"/>
  <c r="D2" i="8" s="1"/>
  <c r="D22" i="8" s="1"/>
  <c r="D25" i="8" s="1"/>
  <c r="D26" i="8" s="1"/>
  <c r="B7" i="4"/>
  <c r="E3" i="8"/>
  <c r="E2" i="8" s="1"/>
  <c r="E22" i="8" s="1"/>
  <c r="E25" i="8" s="1"/>
  <c r="F34" i="8" l="1"/>
  <c r="E26" i="8"/>
</calcChain>
</file>

<file path=xl/sharedStrings.xml><?xml version="1.0" encoding="utf-8"?>
<sst xmlns="http://schemas.openxmlformats.org/spreadsheetml/2006/main" count="191" uniqueCount="129">
  <si>
    <t>SIN IVA</t>
  </si>
  <si>
    <t>IVA</t>
  </si>
  <si>
    <t>CON IVA</t>
  </si>
  <si>
    <t xml:space="preserve">Compra Bs de Uso </t>
  </si>
  <si>
    <t>Año</t>
  </si>
  <si>
    <t xml:space="preserve">Gs investig y estudios </t>
  </si>
  <si>
    <t>Gs instalación</t>
  </si>
  <si>
    <t>Gs puesta en marcha</t>
  </si>
  <si>
    <t xml:space="preserve">VR BIENES DE USO </t>
  </si>
  <si>
    <t>VALOR CONTABLE AT</t>
  </si>
  <si>
    <t>Caja y Bancos</t>
  </si>
  <si>
    <t>Compra MP para PM</t>
  </si>
  <si>
    <t>Créditos por Ventas</t>
  </si>
  <si>
    <t>Form. Stock MP, MCySE, PT</t>
  </si>
  <si>
    <t>INVERSIÓN AT</t>
  </si>
  <si>
    <t>ACTIVO FIJO (BS DE USO + CS DIFERIDOS)</t>
  </si>
  <si>
    <t>Año 1</t>
  </si>
  <si>
    <t>Año 2 a n</t>
  </si>
  <si>
    <t>unidades</t>
  </si>
  <si>
    <t xml:space="preserve">Cantidad </t>
  </si>
  <si>
    <t>Pvu</t>
  </si>
  <si>
    <t>IVA DF</t>
  </si>
  <si>
    <t>$/u</t>
  </si>
  <si>
    <t>Gastos prod, admin y comerc</t>
  </si>
  <si>
    <t>Gastos variables de lo vendido</t>
  </si>
  <si>
    <t xml:space="preserve">IVA costos </t>
  </si>
  <si>
    <t xml:space="preserve">HD </t>
  </si>
  <si>
    <t xml:space="preserve">IIGG </t>
  </si>
  <si>
    <t xml:space="preserve">kc </t>
  </si>
  <si>
    <t>CREDITO NO RENOVABLE</t>
  </si>
  <si>
    <t>30% INVERSIÓN DE LARGO PLAZO</t>
  </si>
  <si>
    <t xml:space="preserve">Totales </t>
  </si>
  <si>
    <t>Fecha</t>
  </si>
  <si>
    <t>Deuda</t>
  </si>
  <si>
    <t>31/12/-1</t>
  </si>
  <si>
    <t>Amort. Anual</t>
  </si>
  <si>
    <t>Int. Anuales</t>
  </si>
  <si>
    <t xml:space="preserve">Gastos preop. </t>
  </si>
  <si>
    <t>i</t>
  </si>
  <si>
    <t>Año 2</t>
  </si>
  <si>
    <t>Año 3</t>
  </si>
  <si>
    <t>CREDITO RENOVABLE</t>
  </si>
  <si>
    <t xml:space="preserve">i </t>
  </si>
  <si>
    <t>50% INVERSION DE CORTO PLAZO</t>
  </si>
  <si>
    <t>Totales</t>
  </si>
  <si>
    <t>kd</t>
  </si>
  <si>
    <t>CREDITOS TOTALES</t>
  </si>
  <si>
    <t>Gasto Financiero</t>
  </si>
  <si>
    <t>PRIMERA ESTRUCTURA FINANCIERA</t>
  </si>
  <si>
    <t>Total</t>
  </si>
  <si>
    <t>Credito Renovable</t>
  </si>
  <si>
    <t>Credito No Renovable</t>
  </si>
  <si>
    <t>IVA Inversion</t>
  </si>
  <si>
    <t>Inversiones s/ IVA</t>
  </si>
  <si>
    <t>Inversion Total</t>
  </si>
  <si>
    <t>Aporte Cap. Propio</t>
  </si>
  <si>
    <t>Activo Fijo, sin IVA</t>
  </si>
  <si>
    <t>Activo de trabajo</t>
  </si>
  <si>
    <t>Inversión Activo Trabajo s/ IVA</t>
  </si>
  <si>
    <t>Ventas</t>
  </si>
  <si>
    <t>CTV</t>
  </si>
  <si>
    <t>U a/ HD e IIGG</t>
  </si>
  <si>
    <t>HD</t>
  </si>
  <si>
    <t>IIGG</t>
  </si>
  <si>
    <t>U d/HD e IIGG</t>
  </si>
  <si>
    <t>CUADRO DE RESULT. PROFORMA</t>
  </si>
  <si>
    <t xml:space="preserve">BN inversor </t>
  </si>
  <si>
    <t>Año 0</t>
  </si>
  <si>
    <t>Total s/ IVA</t>
  </si>
  <si>
    <t>CALENDARIO DE INVERSIONES (incrementos)</t>
  </si>
  <si>
    <t>IVA Inversión</t>
  </si>
  <si>
    <t>a) Activo Fijo (incrementos)</t>
  </si>
  <si>
    <t>Inversion total a)</t>
  </si>
  <si>
    <t>AT (incrementos)</t>
  </si>
  <si>
    <t>Inv. AT (incrementos)</t>
  </si>
  <si>
    <t>Inversión Total AT</t>
  </si>
  <si>
    <t>AF</t>
  </si>
  <si>
    <t>%</t>
  </si>
  <si>
    <t>Aporte de Capital</t>
  </si>
  <si>
    <t>2° ESTRUCTURA FINANCIERA</t>
  </si>
  <si>
    <t>Inv. AT</t>
  </si>
  <si>
    <t>Crédito No Renovable</t>
  </si>
  <si>
    <t>Crédito Renovable</t>
  </si>
  <si>
    <t>Inversion total</t>
  </si>
  <si>
    <t>IVA Plan Explotación</t>
  </si>
  <si>
    <t>IVA Percibido (ventas)</t>
  </si>
  <si>
    <t>IVA pagado (s/costos, sin intereses)</t>
  </si>
  <si>
    <t>IVA pagado (sobre intereses)</t>
  </si>
  <si>
    <t>IVA diferencia</t>
  </si>
  <si>
    <t>Recupero IVA</t>
  </si>
  <si>
    <t>Cobro del Crédito Fiscal</t>
  </si>
  <si>
    <t>Crédito Fiscal</t>
  </si>
  <si>
    <t>IVA DF al fisco</t>
  </si>
  <si>
    <t>TOTALES</t>
  </si>
  <si>
    <t>Activo Fijo</t>
  </si>
  <si>
    <t>Activo Trabajo</t>
  </si>
  <si>
    <t>Dividendos Efectivo</t>
  </si>
  <si>
    <t>FUENTES - USOS</t>
  </si>
  <si>
    <t>FUENTES: Totales</t>
  </si>
  <si>
    <t>Saldo ej. Anterior (Ac)</t>
  </si>
  <si>
    <t>Aporte de Cap. Propio</t>
  </si>
  <si>
    <t>Créditos Renovables</t>
  </si>
  <si>
    <t>Créditos No Renovables</t>
  </si>
  <si>
    <t>Ventas del ej.</t>
  </si>
  <si>
    <t>Recupero Crédito Fiscal</t>
  </si>
  <si>
    <t>USOS: Totales</t>
  </si>
  <si>
    <t>Otros ingresos</t>
  </si>
  <si>
    <t>Costo de lo vendido</t>
  </si>
  <si>
    <t>Cancelación de deudas</t>
  </si>
  <si>
    <t xml:space="preserve">Otros egresos </t>
  </si>
  <si>
    <t>Amortizaciones del Ejercicio</t>
  </si>
  <si>
    <t>Saldo al ej. Siguiente (Ac)</t>
  </si>
  <si>
    <t>Saldo propio del ejercicio</t>
  </si>
  <si>
    <t>Amortizaciones ejercicio</t>
  </si>
  <si>
    <t>VO</t>
  </si>
  <si>
    <t xml:space="preserve">VR </t>
  </si>
  <si>
    <t>Amort int y gastos preop</t>
  </si>
  <si>
    <t>Amort año 1</t>
  </si>
  <si>
    <t>Amort año 2</t>
  </si>
  <si>
    <t>Amort año 3</t>
  </si>
  <si>
    <t>se amortizan en 2 años</t>
  </si>
  <si>
    <t>VERIFICACIONES</t>
  </si>
  <si>
    <t>BN inv</t>
  </si>
  <si>
    <t>Bn inv</t>
  </si>
  <si>
    <t>BN mod</t>
  </si>
  <si>
    <t xml:space="preserve">BN puro </t>
  </si>
  <si>
    <t>no son variables con la utilidad</t>
  </si>
  <si>
    <t>31/12/-2</t>
  </si>
  <si>
    <t>AHORRO IMPOSITIVO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</si>
</sst>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\ #,##0;[Red]\-&quot;$&quot;\ #,##0"/>
    <numFmt numFmtId="165" formatCode="_-&quot;$&quot;\ * #,##0.00_-;\-&quot;$&quot;\ * #,##0.0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165" fontId="0" fillId="0" borderId="1" xfId="1" applyFont="1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0" fontId="0" fillId="0" borderId="17" xfId="0" applyBorder="1"/>
    <xf numFmtId="0" fontId="0" fillId="0" borderId="20" xfId="0" applyBorder="1"/>
    <xf numFmtId="0" fontId="0" fillId="0" borderId="22" xfId="0" applyBorder="1"/>
    <xf numFmtId="0" fontId="0" fillId="0" borderId="7" xfId="0" applyBorder="1"/>
    <xf numFmtId="0" fontId="2" fillId="6" borderId="3" xfId="0" applyFont="1" applyFill="1" applyBorder="1" applyAlignment="1">
      <alignment horizontal="center"/>
    </xf>
    <xf numFmtId="0" fontId="2" fillId="6" borderId="6" xfId="0" applyFont="1" applyFill="1" applyBorder="1"/>
    <xf numFmtId="0" fontId="2" fillId="6" borderId="8" xfId="0" applyFont="1" applyFill="1" applyBorder="1"/>
    <xf numFmtId="0" fontId="2" fillId="6" borderId="5" xfId="0" applyFont="1" applyFill="1" applyBorder="1" applyAlignment="1">
      <alignment horizontal="center"/>
    </xf>
    <xf numFmtId="165" fontId="0" fillId="0" borderId="0" xfId="1" applyFont="1"/>
    <xf numFmtId="165" fontId="0" fillId="0" borderId="7" xfId="1" applyFont="1" applyBorder="1" applyAlignment="1">
      <alignment horizontal="center"/>
    </xf>
    <xf numFmtId="165" fontId="0" fillId="0" borderId="9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0" fontId="2" fillId="6" borderId="3" xfId="0" applyFont="1" applyFill="1" applyBorder="1"/>
    <xf numFmtId="0" fontId="2" fillId="6" borderId="4" xfId="0" applyFont="1" applyFill="1" applyBorder="1" applyAlignment="1">
      <alignment horizontal="center"/>
    </xf>
    <xf numFmtId="0" fontId="2" fillId="6" borderId="1" xfId="0" applyFont="1" applyFill="1" applyBorder="1"/>
    <xf numFmtId="9" fontId="0" fillId="0" borderId="1" xfId="0" applyNumberFormat="1" applyBorder="1" applyAlignment="1">
      <alignment horizontal="center"/>
    </xf>
    <xf numFmtId="0" fontId="2" fillId="3" borderId="6" xfId="0" applyFont="1" applyFill="1" applyBorder="1"/>
    <xf numFmtId="165" fontId="0" fillId="0" borderId="0" xfId="0" applyNumberFormat="1"/>
    <xf numFmtId="165" fontId="0" fillId="0" borderId="1" xfId="0" applyNumberFormat="1" applyBorder="1"/>
    <xf numFmtId="165" fontId="0" fillId="0" borderId="1" xfId="1" applyFont="1" applyBorder="1"/>
    <xf numFmtId="0" fontId="2" fillId="0" borderId="0" xfId="0" applyFont="1"/>
    <xf numFmtId="165" fontId="0" fillId="0" borderId="7" xfId="0" applyNumberFormat="1" applyBorder="1"/>
    <xf numFmtId="165" fontId="0" fillId="0" borderId="7" xfId="1" applyFont="1" applyBorder="1"/>
    <xf numFmtId="14" fontId="0" fillId="0" borderId="6" xfId="0" applyNumberFormat="1" applyBorder="1"/>
    <xf numFmtId="14" fontId="0" fillId="0" borderId="8" xfId="0" applyNumberFormat="1" applyBorder="1"/>
    <xf numFmtId="165" fontId="0" fillId="0" borderId="9" xfId="1" applyFont="1" applyBorder="1"/>
    <xf numFmtId="165" fontId="0" fillId="0" borderId="10" xfId="1" applyFont="1" applyBorder="1"/>
    <xf numFmtId="165" fontId="0" fillId="0" borderId="0" xfId="1" applyFont="1" applyBorder="1" applyAlignment="1">
      <alignment horizontal="center"/>
    </xf>
    <xf numFmtId="0" fontId="2" fillId="2" borderId="8" xfId="0" applyFont="1" applyFill="1" applyBorder="1"/>
    <xf numFmtId="165" fontId="2" fillId="2" borderId="9" xfId="1" applyFont="1" applyFill="1" applyBorder="1" applyAlignment="1">
      <alignment horizontal="center"/>
    </xf>
    <xf numFmtId="0" fontId="2" fillId="2" borderId="10" xfId="0" applyFont="1" applyFill="1" applyBorder="1" applyAlignment="1">
      <alignment horizontal="center"/>
    </xf>
    <xf numFmtId="165" fontId="2" fillId="3" borderId="1" xfId="0" applyNumberFormat="1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0" fontId="2" fillId="6" borderId="13" xfId="0" applyFont="1" applyFill="1" applyBorder="1" applyAlignment="1">
      <alignment horizontal="center"/>
    </xf>
    <xf numFmtId="10" fontId="0" fillId="0" borderId="7" xfId="2" applyNumberFormat="1" applyFont="1" applyBorder="1"/>
    <xf numFmtId="10" fontId="0" fillId="0" borderId="10" xfId="2" applyNumberFormat="1" applyFont="1" applyBorder="1"/>
    <xf numFmtId="10" fontId="2" fillId="0" borderId="7" xfId="2" applyNumberFormat="1" applyFont="1" applyBorder="1"/>
    <xf numFmtId="165" fontId="0" fillId="0" borderId="9" xfId="0" applyNumberFormat="1" applyBorder="1"/>
    <xf numFmtId="165" fontId="0" fillId="0" borderId="10" xfId="0" applyNumberFormat="1" applyBorder="1"/>
    <xf numFmtId="0" fontId="2" fillId="6" borderId="4" xfId="0" applyFont="1" applyFill="1" applyBorder="1"/>
    <xf numFmtId="0" fontId="2" fillId="6" borderId="5" xfId="0" applyFont="1" applyFill="1" applyBorder="1"/>
    <xf numFmtId="0" fontId="0" fillId="0" borderId="32" xfId="0" applyBorder="1"/>
    <xf numFmtId="0" fontId="0" fillId="0" borderId="2" xfId="0" applyBorder="1"/>
    <xf numFmtId="165" fontId="0" fillId="0" borderId="39" xfId="1" applyFont="1" applyBorder="1"/>
    <xf numFmtId="165" fontId="0" fillId="0" borderId="18" xfId="1" applyFont="1" applyBorder="1"/>
    <xf numFmtId="165" fontId="0" fillId="0" borderId="19" xfId="1" applyFont="1" applyBorder="1"/>
    <xf numFmtId="165" fontId="0" fillId="0" borderId="40" xfId="1" applyFont="1" applyBorder="1"/>
    <xf numFmtId="165" fontId="0" fillId="0" borderId="23" xfId="1" applyFont="1" applyBorder="1"/>
    <xf numFmtId="165" fontId="0" fillId="0" borderId="24" xfId="1" applyFont="1" applyBorder="1"/>
    <xf numFmtId="165" fontId="0" fillId="0" borderId="41" xfId="1" applyFont="1" applyBorder="1"/>
    <xf numFmtId="165" fontId="0" fillId="0" borderId="0" xfId="1" applyFont="1" applyBorder="1"/>
    <xf numFmtId="165" fontId="0" fillId="0" borderId="21" xfId="1" applyFont="1" applyBorder="1"/>
    <xf numFmtId="0" fontId="0" fillId="0" borderId="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7" borderId="20" xfId="0" applyFill="1" applyBorder="1"/>
    <xf numFmtId="165" fontId="0" fillId="7" borderId="41" xfId="1" applyFont="1" applyFill="1" applyBorder="1"/>
    <xf numFmtId="165" fontId="0" fillId="7" borderId="0" xfId="1" applyFont="1" applyFill="1" applyBorder="1"/>
    <xf numFmtId="165" fontId="0" fillId="7" borderId="21" xfId="1" applyFont="1" applyFill="1" applyBorder="1"/>
    <xf numFmtId="165" fontId="2" fillId="2" borderId="9" xfId="0" applyNumberFormat="1" applyFont="1" applyFill="1" applyBorder="1"/>
    <xf numFmtId="0" fontId="2" fillId="2" borderId="10" xfId="0" applyFont="1" applyFill="1" applyBorder="1"/>
    <xf numFmtId="0" fontId="2" fillId="6" borderId="22" xfId="0" applyFont="1" applyFill="1" applyBorder="1"/>
    <xf numFmtId="165" fontId="2" fillId="6" borderId="40" xfId="1" applyFont="1" applyFill="1" applyBorder="1"/>
    <xf numFmtId="165" fontId="2" fillId="6" borderId="23" xfId="1" applyFont="1" applyFill="1" applyBorder="1"/>
    <xf numFmtId="165" fontId="2" fillId="6" borderId="24" xfId="1" applyFont="1" applyFill="1" applyBorder="1"/>
    <xf numFmtId="165" fontId="0" fillId="0" borderId="22" xfId="1" applyFont="1" applyBorder="1"/>
    <xf numFmtId="0" fontId="0" fillId="0" borderId="20" xfId="0" applyBorder="1" applyAlignment="1">
      <alignment horizontal="left"/>
    </xf>
    <xf numFmtId="0" fontId="0" fillId="0" borderId="22" xfId="0" applyBorder="1" applyAlignment="1">
      <alignment horizontal="left"/>
    </xf>
    <xf numFmtId="0" fontId="2" fillId="6" borderId="2" xfId="0" applyFont="1" applyFill="1" applyBorder="1" applyAlignment="1">
      <alignment horizontal="center"/>
    </xf>
    <xf numFmtId="165" fontId="2" fillId="6" borderId="1" xfId="0" applyNumberFormat="1" applyFont="1" applyFill="1" applyBorder="1"/>
    <xf numFmtId="0" fontId="0" fillId="0" borderId="39" xfId="0" applyBorder="1"/>
    <xf numFmtId="0" fontId="0" fillId="0" borderId="41" xfId="0" applyBorder="1"/>
    <xf numFmtId="165" fontId="0" fillId="0" borderId="20" xfId="1" applyFont="1" applyBorder="1"/>
    <xf numFmtId="0" fontId="0" fillId="0" borderId="40" xfId="0" applyBorder="1"/>
    <xf numFmtId="0" fontId="0" fillId="0" borderId="23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7" borderId="41" xfId="0" applyFill="1" applyBorder="1"/>
    <xf numFmtId="165" fontId="0" fillId="0" borderId="18" xfId="1" applyFont="1" applyBorder="1" applyAlignment="1">
      <alignment horizontal="center"/>
    </xf>
    <xf numFmtId="165" fontId="0" fillId="0" borderId="39" xfId="1" applyFont="1" applyBorder="1" applyAlignment="1">
      <alignment horizontal="center"/>
    </xf>
    <xf numFmtId="165" fontId="0" fillId="0" borderId="20" xfId="1" applyFont="1" applyBorder="1" applyAlignment="1">
      <alignment horizontal="center"/>
    </xf>
    <xf numFmtId="165" fontId="0" fillId="0" borderId="41" xfId="1" applyFont="1" applyBorder="1" applyAlignment="1">
      <alignment horizontal="center"/>
    </xf>
    <xf numFmtId="165" fontId="0" fillId="0" borderId="23" xfId="1" applyFont="1" applyBorder="1" applyAlignment="1">
      <alignment horizontal="center"/>
    </xf>
    <xf numFmtId="165" fontId="0" fillId="0" borderId="22" xfId="1" applyFont="1" applyBorder="1" applyAlignment="1">
      <alignment horizontal="center"/>
    </xf>
    <xf numFmtId="165" fontId="0" fillId="0" borderId="40" xfId="1" applyFont="1" applyBorder="1" applyAlignment="1">
      <alignment horizontal="center"/>
    </xf>
    <xf numFmtId="165" fontId="0" fillId="7" borderId="0" xfId="1" applyFont="1" applyFill="1" applyBorder="1" applyAlignment="1">
      <alignment horizontal="center"/>
    </xf>
    <xf numFmtId="165" fontId="0" fillId="7" borderId="41" xfId="1" applyFont="1" applyFill="1" applyBorder="1" applyAlignment="1">
      <alignment horizontal="center"/>
    </xf>
    <xf numFmtId="165" fontId="0" fillId="7" borderId="21" xfId="1" applyFont="1" applyFill="1" applyBorder="1" applyAlignment="1">
      <alignment horizontal="center"/>
    </xf>
    <xf numFmtId="165" fontId="0" fillId="0" borderId="19" xfId="1" applyFont="1" applyBorder="1" applyAlignment="1">
      <alignment horizontal="center"/>
    </xf>
    <xf numFmtId="165" fontId="0" fillId="0" borderId="21" xfId="1" applyFont="1" applyBorder="1" applyAlignment="1">
      <alignment horizontal="center"/>
    </xf>
    <xf numFmtId="165" fontId="0" fillId="0" borderId="24" xfId="1" applyFont="1" applyBorder="1" applyAlignment="1">
      <alignment horizontal="center"/>
    </xf>
    <xf numFmtId="165" fontId="0" fillId="0" borderId="20" xfId="0" applyNumberFormat="1" applyBorder="1"/>
    <xf numFmtId="9" fontId="0" fillId="0" borderId="21" xfId="2" applyFont="1" applyBorder="1"/>
    <xf numFmtId="165" fontId="0" fillId="0" borderId="22" xfId="0" applyNumberFormat="1" applyBorder="1"/>
    <xf numFmtId="9" fontId="0" fillId="0" borderId="24" xfId="2" applyFont="1" applyBorder="1"/>
    <xf numFmtId="0" fontId="2" fillId="0" borderId="41" xfId="0" applyFont="1" applyBorder="1"/>
    <xf numFmtId="0" fontId="2" fillId="0" borderId="40" xfId="0" applyFont="1" applyBorder="1"/>
    <xf numFmtId="165" fontId="0" fillId="0" borderId="39" xfId="0" applyNumberFormat="1" applyBorder="1"/>
    <xf numFmtId="165" fontId="0" fillId="0" borderId="41" xfId="0" applyNumberFormat="1" applyBorder="1"/>
    <xf numFmtId="165" fontId="0" fillId="0" borderId="40" xfId="0" applyNumberFormat="1" applyBorder="1"/>
    <xf numFmtId="0" fontId="2" fillId="0" borderId="39" xfId="0" applyFont="1" applyBorder="1"/>
    <xf numFmtId="165" fontId="2" fillId="0" borderId="18" xfId="1" applyFont="1" applyBorder="1" applyAlignment="1">
      <alignment horizontal="center"/>
    </xf>
    <xf numFmtId="165" fontId="2" fillId="0" borderId="17" xfId="1" applyFont="1" applyBorder="1" applyAlignment="1">
      <alignment horizontal="center"/>
    </xf>
    <xf numFmtId="165" fontId="2" fillId="0" borderId="39" xfId="1" applyFont="1" applyBorder="1" applyAlignment="1">
      <alignment horizontal="center"/>
    </xf>
    <xf numFmtId="165" fontId="2" fillId="0" borderId="0" xfId="1" applyFont="1" applyBorder="1" applyAlignment="1">
      <alignment horizontal="center"/>
    </xf>
    <xf numFmtId="165" fontId="2" fillId="0" borderId="41" xfId="1" applyFont="1" applyBorder="1" applyAlignment="1">
      <alignment horizontal="center"/>
    </xf>
    <xf numFmtId="165" fontId="0" fillId="0" borderId="39" xfId="1" applyFont="1" applyFill="1" applyBorder="1"/>
    <xf numFmtId="165" fontId="0" fillId="0" borderId="21" xfId="1" applyFont="1" applyFill="1" applyBorder="1"/>
    <xf numFmtId="165" fontId="0" fillId="0" borderId="0" xfId="1" applyFont="1" applyFill="1" applyBorder="1"/>
    <xf numFmtId="0" fontId="0" fillId="7" borderId="2" xfId="0" applyFill="1" applyBorder="1"/>
    <xf numFmtId="165" fontId="0" fillId="7" borderId="33" xfId="1" applyFont="1" applyFill="1" applyBorder="1" applyAlignment="1">
      <alignment horizontal="center"/>
    </xf>
    <xf numFmtId="165" fontId="0" fillId="7" borderId="2" xfId="1" applyFont="1" applyFill="1" applyBorder="1" applyAlignment="1">
      <alignment horizontal="center"/>
    </xf>
    <xf numFmtId="0" fontId="2" fillId="8" borderId="22" xfId="0" applyFont="1" applyFill="1" applyBorder="1"/>
    <xf numFmtId="165" fontId="2" fillId="8" borderId="2" xfId="1" applyFont="1" applyFill="1" applyBorder="1" applyAlignment="1">
      <alignment horizontal="center"/>
    </xf>
    <xf numFmtId="165" fontId="0" fillId="7" borderId="40" xfId="1" applyFont="1" applyFill="1" applyBorder="1" applyAlignment="1">
      <alignment horizontal="center"/>
    </xf>
    <xf numFmtId="165" fontId="0" fillId="0" borderId="39" xfId="1" applyFont="1" applyFill="1" applyBorder="1" applyAlignment="1">
      <alignment horizontal="center"/>
    </xf>
    <xf numFmtId="165" fontId="0" fillId="0" borderId="18" xfId="1" applyFont="1" applyFill="1" applyBorder="1" applyAlignment="1">
      <alignment horizontal="center"/>
    </xf>
    <xf numFmtId="165" fontId="2" fillId="8" borderId="33" xfId="1" applyFont="1" applyFill="1" applyBorder="1" applyAlignment="1">
      <alignment horizontal="center"/>
    </xf>
    <xf numFmtId="165" fontId="0" fillId="0" borderId="40" xfId="1" applyFont="1" applyFill="1" applyBorder="1" applyAlignment="1">
      <alignment horizontal="center"/>
    </xf>
    <xf numFmtId="165" fontId="0" fillId="0" borderId="41" xfId="1" applyFont="1" applyFill="1" applyBorder="1" applyAlignment="1">
      <alignment horizontal="center"/>
    </xf>
    <xf numFmtId="165" fontId="0" fillId="0" borderId="0" xfId="1" applyFont="1" applyFill="1" applyBorder="1" applyAlignment="1">
      <alignment horizontal="center"/>
    </xf>
    <xf numFmtId="165" fontId="0" fillId="6" borderId="39" xfId="1" applyFont="1" applyFill="1" applyBorder="1" applyAlignment="1">
      <alignment horizontal="center"/>
    </xf>
    <xf numFmtId="165" fontId="0" fillId="6" borderId="21" xfId="1" applyFont="1" applyFill="1" applyBorder="1" applyAlignment="1">
      <alignment horizontal="center"/>
    </xf>
    <xf numFmtId="165" fontId="0" fillId="6" borderId="40" xfId="1" applyFont="1" applyFill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0" xfId="0" applyAlignment="1">
      <alignment horizontal="center"/>
    </xf>
    <xf numFmtId="0" fontId="2" fillId="5" borderId="14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2" fillId="5" borderId="16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2" fillId="6" borderId="25" xfId="0" applyFont="1" applyFill="1" applyBorder="1" applyAlignment="1">
      <alignment horizontal="center"/>
    </xf>
    <xf numFmtId="0" fontId="2" fillId="6" borderId="26" xfId="0" applyFont="1" applyFill="1" applyBorder="1" applyAlignment="1">
      <alignment horizontal="center"/>
    </xf>
    <xf numFmtId="0" fontId="2" fillId="4" borderId="32" xfId="0" applyFont="1" applyFill="1" applyBorder="1" applyAlignment="1">
      <alignment horizontal="center"/>
    </xf>
    <xf numFmtId="0" fontId="2" fillId="4" borderId="33" xfId="0" applyFont="1" applyFill="1" applyBorder="1" applyAlignment="1">
      <alignment horizontal="center"/>
    </xf>
    <xf numFmtId="0" fontId="2" fillId="4" borderId="34" xfId="0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13" xfId="0" applyBorder="1" applyAlignment="1">
      <alignment horizontal="center"/>
    </xf>
    <xf numFmtId="0" fontId="2" fillId="6" borderId="17" xfId="0" applyFont="1" applyFill="1" applyBorder="1" applyAlignment="1">
      <alignment horizontal="center"/>
    </xf>
    <xf numFmtId="0" fontId="2" fillId="6" borderId="18" xfId="0" applyFont="1" applyFill="1" applyBorder="1" applyAlignment="1">
      <alignment horizontal="center"/>
    </xf>
    <xf numFmtId="0" fontId="2" fillId="6" borderId="19" xfId="0" applyFon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6" xfId="0" applyBorder="1" applyAlignment="1">
      <alignment horizontal="left"/>
    </xf>
    <xf numFmtId="0" fontId="0" fillId="0" borderId="1" xfId="0" applyBorder="1" applyAlignment="1">
      <alignment horizontal="left"/>
    </xf>
    <xf numFmtId="165" fontId="2" fillId="6" borderId="1" xfId="1" applyFont="1" applyFill="1" applyBorder="1" applyAlignment="1">
      <alignment horizontal="center" wrapText="1"/>
    </xf>
    <xf numFmtId="165" fontId="0" fillId="0" borderId="27" xfId="0" applyNumberFormat="1" applyBorder="1" applyAlignment="1">
      <alignment horizontal="center"/>
    </xf>
    <xf numFmtId="165" fontId="0" fillId="0" borderId="35" xfId="0" applyNumberFormat="1" applyBorder="1" applyAlignment="1">
      <alignment horizontal="center"/>
    </xf>
    <xf numFmtId="9" fontId="0" fillId="0" borderId="29" xfId="2" applyFont="1" applyBorder="1" applyAlignment="1">
      <alignment horizontal="center"/>
    </xf>
    <xf numFmtId="9" fontId="0" fillId="0" borderId="30" xfId="2" applyFont="1" applyBorder="1" applyAlignment="1">
      <alignment horizontal="center"/>
    </xf>
    <xf numFmtId="9" fontId="0" fillId="0" borderId="37" xfId="2" applyFont="1" applyBorder="1" applyAlignment="1">
      <alignment horizontal="center"/>
    </xf>
    <xf numFmtId="0" fontId="0" fillId="7" borderId="36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0" fontId="0" fillId="7" borderId="35" xfId="0" applyFill="1" applyBorder="1" applyAlignment="1">
      <alignment horizontal="center"/>
    </xf>
    <xf numFmtId="165" fontId="2" fillId="6" borderId="7" xfId="1" applyFont="1" applyFill="1" applyBorder="1" applyAlignment="1">
      <alignment horizontal="center" wrapText="1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6" xfId="0" applyFont="1" applyFill="1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0" borderId="13" xfId="2" applyFont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2" fillId="6" borderId="33" xfId="0" applyFont="1" applyFill="1" applyBorder="1" applyAlignment="1">
      <alignment horizontal="center"/>
    </xf>
    <xf numFmtId="0" fontId="2" fillId="6" borderId="34" xfId="0" applyFont="1" applyFill="1" applyBorder="1" applyAlignment="1">
      <alignment horizontal="center"/>
    </xf>
    <xf numFmtId="0" fontId="2" fillId="8" borderId="32" xfId="0" applyFont="1" applyFill="1" applyBorder="1" applyAlignment="1">
      <alignment horizontal="center"/>
    </xf>
    <xf numFmtId="0" fontId="2" fillId="8" borderId="33" xfId="0" applyFont="1" applyFill="1" applyBorder="1" applyAlignment="1">
      <alignment horizontal="center"/>
    </xf>
    <xf numFmtId="0" fontId="2" fillId="8" borderId="34" xfId="0" applyFont="1" applyFill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2" fillId="0" borderId="19" xfId="0" applyFont="1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678180</xdr:colOff>
      <xdr:row>0</xdr:row>
      <xdr:rowOff>0</xdr:rowOff>
    </xdr:from>
    <xdr:to>
      <xdr:col>15</xdr:col>
      <xdr:colOff>79771</xdr:colOff>
      <xdr:row>18</xdr:row>
      <xdr:rowOff>115000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44540" y="0"/>
          <a:ext cx="7394971" cy="34525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922020</xdr:colOff>
      <xdr:row>0</xdr:row>
      <xdr:rowOff>0</xdr:rowOff>
    </xdr:from>
    <xdr:to>
      <xdr:col>15</xdr:col>
      <xdr:colOff>38416</xdr:colOff>
      <xdr:row>22</xdr:row>
      <xdr:rowOff>91440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9700" y="0"/>
          <a:ext cx="8862376" cy="41376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144780</xdr:colOff>
      <xdr:row>0</xdr:row>
      <xdr:rowOff>0</xdr:rowOff>
    </xdr:from>
    <xdr:to>
      <xdr:col>13</xdr:col>
      <xdr:colOff>369331</xdr:colOff>
      <xdr:row>17</xdr:row>
      <xdr:rowOff>47259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1380" y="0"/>
          <a:ext cx="6564391" cy="30647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8"/>
  <sheetViews>
    <sheetView showGridLines="0" workbookViewId="0">
      <selection activeCell="B23" sqref="B23"/>
    </sheetView>
  </sheetViews>
  <sheetFormatPr baseColWidth="10" defaultRowHeight="15" x14ac:dyDescent="0.25"/>
  <cols>
    <col min="1" max="1" width="26" customWidth="1"/>
    <col min="2" max="2" width="12.7109375" bestFit="1" customWidth="1"/>
    <col min="3" max="4" width="12.5703125" bestFit="1" customWidth="1"/>
    <col min="7" max="7" width="12.5703125" bestFit="1" customWidth="1"/>
  </cols>
  <sheetData>
    <row r="1" spans="1:7" ht="15.75" thickBot="1" x14ac:dyDescent="0.3">
      <c r="A1" s="150" t="s">
        <v>15</v>
      </c>
      <c r="B1" s="151"/>
      <c r="C1" s="151"/>
      <c r="D1" s="151"/>
      <c r="E1" s="152"/>
    </row>
    <row r="2" spans="1:7" x14ac:dyDescent="0.25">
      <c r="A2" s="10"/>
      <c r="B2" s="11" t="s">
        <v>0</v>
      </c>
      <c r="C2" s="11" t="s">
        <v>1</v>
      </c>
      <c r="D2" s="11" t="s">
        <v>2</v>
      </c>
      <c r="E2" s="12" t="s">
        <v>4</v>
      </c>
    </row>
    <row r="3" spans="1:7" x14ac:dyDescent="0.25">
      <c r="A3" s="5" t="s">
        <v>3</v>
      </c>
      <c r="B3" s="4">
        <v>50000</v>
      </c>
      <c r="C3" s="4">
        <f>B3*0.21</f>
        <v>10500</v>
      </c>
      <c r="D3" s="4">
        <f>B3+C3</f>
        <v>60500</v>
      </c>
      <c r="E3" s="6">
        <v>0</v>
      </c>
    </row>
    <row r="4" spans="1:7" x14ac:dyDescent="0.25">
      <c r="A4" s="5" t="s">
        <v>5</v>
      </c>
      <c r="B4" s="4">
        <v>6000</v>
      </c>
      <c r="C4" s="4">
        <f>B4*0.21</f>
        <v>1260</v>
      </c>
      <c r="D4" s="4">
        <f>B4+C4</f>
        <v>7260</v>
      </c>
      <c r="E4" s="6">
        <v>0</v>
      </c>
    </row>
    <row r="5" spans="1:7" x14ac:dyDescent="0.25">
      <c r="A5" s="5" t="s">
        <v>6</v>
      </c>
      <c r="B5" s="4">
        <v>15000</v>
      </c>
      <c r="C5" s="4">
        <f>B5*0.21</f>
        <v>3150</v>
      </c>
      <c r="D5" s="4">
        <f>B5+C5</f>
        <v>18150</v>
      </c>
      <c r="E5" s="6">
        <v>0</v>
      </c>
    </row>
    <row r="6" spans="1:7" x14ac:dyDescent="0.25">
      <c r="A6" s="5" t="s">
        <v>7</v>
      </c>
      <c r="B6" s="4">
        <v>2000</v>
      </c>
      <c r="C6" s="4">
        <f>B6*0.21</f>
        <v>420</v>
      </c>
      <c r="D6" s="4">
        <f>B6+C6</f>
        <v>2420</v>
      </c>
      <c r="E6" s="6">
        <v>1</v>
      </c>
    </row>
    <row r="7" spans="1:7" x14ac:dyDescent="0.25">
      <c r="A7" s="30" t="s">
        <v>31</v>
      </c>
      <c r="B7" s="45">
        <f>SUM(B3:B6)</f>
        <v>73000</v>
      </c>
      <c r="C7" s="45">
        <f>SUM(C3:C6)</f>
        <v>15330</v>
      </c>
      <c r="D7" s="45">
        <f>SUM(D3:D6)</f>
        <v>88330</v>
      </c>
      <c r="E7" s="46"/>
      <c r="G7" s="31"/>
    </row>
    <row r="8" spans="1:7" ht="15.75" thickBot="1" x14ac:dyDescent="0.3">
      <c r="A8" s="7" t="s">
        <v>8</v>
      </c>
      <c r="B8" s="13">
        <v>50000</v>
      </c>
      <c r="C8" s="8"/>
      <c r="D8" s="8"/>
      <c r="E8" s="9"/>
    </row>
    <row r="9" spans="1:7" x14ac:dyDescent="0.25">
      <c r="B9" s="1"/>
      <c r="C9" s="1"/>
      <c r="D9" s="1"/>
      <c r="E9" s="1"/>
    </row>
    <row r="10" spans="1:7" ht="15.75" thickBot="1" x14ac:dyDescent="0.3">
      <c r="B10" s="1"/>
      <c r="C10" s="1"/>
      <c r="D10" s="1"/>
      <c r="E10" s="1"/>
    </row>
    <row r="11" spans="1:7" ht="15.75" thickBot="1" x14ac:dyDescent="0.3">
      <c r="A11" s="158" t="s">
        <v>9</v>
      </c>
      <c r="B11" s="159"/>
      <c r="C11" s="160"/>
      <c r="D11" s="34"/>
      <c r="E11" s="34"/>
    </row>
    <row r="12" spans="1:7" x14ac:dyDescent="0.25">
      <c r="A12" s="10"/>
      <c r="B12" s="11" t="s">
        <v>0</v>
      </c>
      <c r="C12" s="12" t="s">
        <v>4</v>
      </c>
    </row>
    <row r="13" spans="1:7" x14ac:dyDescent="0.25">
      <c r="A13" s="5" t="s">
        <v>10</v>
      </c>
      <c r="B13" s="4">
        <v>700</v>
      </c>
      <c r="C13" s="6">
        <v>0</v>
      </c>
    </row>
    <row r="14" spans="1:7" x14ac:dyDescent="0.25">
      <c r="A14" s="5" t="s">
        <v>11</v>
      </c>
      <c r="B14" s="4">
        <v>2000</v>
      </c>
      <c r="C14" s="6">
        <v>0</v>
      </c>
    </row>
    <row r="15" spans="1:7" x14ac:dyDescent="0.25">
      <c r="A15" s="5" t="s">
        <v>12</v>
      </c>
      <c r="B15" s="4">
        <v>2500</v>
      </c>
      <c r="C15" s="6">
        <v>1</v>
      </c>
    </row>
    <row r="16" spans="1:7" x14ac:dyDescent="0.25">
      <c r="A16" s="5" t="s">
        <v>13</v>
      </c>
      <c r="B16" s="4">
        <v>3750</v>
      </c>
      <c r="C16" s="6">
        <v>1</v>
      </c>
    </row>
    <row r="17" spans="1:6" ht="15.75" thickBot="1" x14ac:dyDescent="0.3">
      <c r="A17" s="42" t="s">
        <v>31</v>
      </c>
      <c r="B17" s="84">
        <f>SUM(B13:B16)</f>
        <v>8950</v>
      </c>
      <c r="C17" s="85"/>
    </row>
    <row r="18" spans="1:6" ht="15.75" thickBot="1" x14ac:dyDescent="0.3"/>
    <row r="19" spans="1:6" ht="15.75" thickBot="1" x14ac:dyDescent="0.3">
      <c r="A19" s="153" t="s">
        <v>14</v>
      </c>
      <c r="B19" s="154"/>
      <c r="C19" s="154"/>
      <c r="D19" s="154"/>
      <c r="E19" s="155"/>
    </row>
    <row r="20" spans="1:6" x14ac:dyDescent="0.25">
      <c r="A20" s="10"/>
      <c r="B20" s="11" t="s">
        <v>0</v>
      </c>
      <c r="C20" s="11" t="s">
        <v>1</v>
      </c>
      <c r="D20" s="11" t="s">
        <v>2</v>
      </c>
      <c r="E20" s="12" t="s">
        <v>4</v>
      </c>
    </row>
    <row r="21" spans="1:6" x14ac:dyDescent="0.25">
      <c r="A21" s="5" t="s">
        <v>10</v>
      </c>
      <c r="B21" s="4">
        <v>700</v>
      </c>
      <c r="C21" s="4"/>
      <c r="D21" s="4">
        <f>B21+C21</f>
        <v>700</v>
      </c>
      <c r="E21" s="6">
        <v>0</v>
      </c>
    </row>
    <row r="22" spans="1:6" x14ac:dyDescent="0.25">
      <c r="A22" s="5" t="s">
        <v>11</v>
      </c>
      <c r="B22" s="4">
        <v>2000</v>
      </c>
      <c r="C22" s="4">
        <f>B22*0.21</f>
        <v>420</v>
      </c>
      <c r="D22" s="4">
        <f>B22+C22</f>
        <v>2420</v>
      </c>
      <c r="E22" s="6">
        <v>0</v>
      </c>
    </row>
    <row r="23" spans="1:6" x14ac:dyDescent="0.25">
      <c r="A23" s="5" t="s">
        <v>12</v>
      </c>
      <c r="B23" s="4">
        <f>B15*0.8</f>
        <v>2000</v>
      </c>
      <c r="C23" s="4"/>
      <c r="D23" s="4">
        <f>B23+C23</f>
        <v>2000</v>
      </c>
      <c r="E23" s="6">
        <v>1</v>
      </c>
    </row>
    <row r="24" spans="1:6" x14ac:dyDescent="0.25">
      <c r="A24" s="5" t="s">
        <v>13</v>
      </c>
      <c r="B24" s="4">
        <f>B16*0.8</f>
        <v>3000</v>
      </c>
      <c r="C24" s="4">
        <f>B24*0.21</f>
        <v>630</v>
      </c>
      <c r="D24" s="4">
        <f>SUM(B24+C24)</f>
        <v>3630</v>
      </c>
      <c r="E24" s="6">
        <v>1</v>
      </c>
    </row>
    <row r="25" spans="1:6" ht="15.75" thickBot="1" x14ac:dyDescent="0.3">
      <c r="A25" s="42" t="s">
        <v>44</v>
      </c>
      <c r="B25" s="43">
        <f>SUM(B21:B24)</f>
        <v>7700</v>
      </c>
      <c r="C25" s="43">
        <f>SUM(C21:C24)</f>
        <v>1050</v>
      </c>
      <c r="D25" s="43">
        <f>SUM(D21:D24)</f>
        <v>8750</v>
      </c>
      <c r="E25" s="44"/>
    </row>
    <row r="26" spans="1:6" ht="15.75" thickBot="1" x14ac:dyDescent="0.3"/>
    <row r="27" spans="1:6" x14ac:dyDescent="0.25">
      <c r="A27" s="18"/>
      <c r="B27" s="156" t="s">
        <v>19</v>
      </c>
      <c r="C27" s="157"/>
      <c r="D27" s="156" t="s">
        <v>20</v>
      </c>
      <c r="E27" s="157"/>
      <c r="F27" s="21" t="s">
        <v>21</v>
      </c>
    </row>
    <row r="28" spans="1:6" x14ac:dyDescent="0.25">
      <c r="A28" s="19" t="s">
        <v>16</v>
      </c>
      <c r="B28" s="3">
        <v>300</v>
      </c>
      <c r="C28" s="3" t="s">
        <v>18</v>
      </c>
      <c r="D28" s="3">
        <v>250</v>
      </c>
      <c r="E28" s="3" t="s">
        <v>22</v>
      </c>
      <c r="F28" s="6">
        <f>B28*D28*0.21</f>
        <v>15750</v>
      </c>
    </row>
    <row r="29" spans="1:6" ht="15.75" thickBot="1" x14ac:dyDescent="0.3">
      <c r="A29" s="20" t="s">
        <v>17</v>
      </c>
      <c r="B29" s="8">
        <v>500</v>
      </c>
      <c r="C29" s="8" t="s">
        <v>18</v>
      </c>
      <c r="D29" s="8">
        <v>250</v>
      </c>
      <c r="E29" s="8" t="s">
        <v>22</v>
      </c>
      <c r="F29" s="9">
        <f>B29*D29*0.21</f>
        <v>26250</v>
      </c>
    </row>
    <row r="30" spans="1:6" ht="15.75" thickBot="1" x14ac:dyDescent="0.3"/>
    <row r="31" spans="1:6" x14ac:dyDescent="0.25">
      <c r="A31" s="26"/>
      <c r="B31" s="27" t="s">
        <v>16</v>
      </c>
      <c r="C31" s="21" t="s">
        <v>17</v>
      </c>
    </row>
    <row r="32" spans="1:6" x14ac:dyDescent="0.25">
      <c r="A32" s="19" t="s">
        <v>23</v>
      </c>
      <c r="B32" s="4">
        <v>20000</v>
      </c>
      <c r="C32" s="23">
        <v>25000</v>
      </c>
    </row>
    <row r="33" spans="1:5" x14ac:dyDescent="0.25">
      <c r="A33" s="19" t="s">
        <v>24</v>
      </c>
      <c r="B33" s="4">
        <v>10000</v>
      </c>
      <c r="C33" s="23">
        <v>15000</v>
      </c>
    </row>
    <row r="34" spans="1:5" ht="15.75" thickBot="1" x14ac:dyDescent="0.3">
      <c r="A34" s="20" t="s">
        <v>25</v>
      </c>
      <c r="B34" s="24">
        <f>(B32+B33)*0.15</f>
        <v>4500</v>
      </c>
      <c r="C34" s="25">
        <f>(C32+C33)*0.15</f>
        <v>6000</v>
      </c>
    </row>
    <row r="35" spans="1:5" x14ac:dyDescent="0.25">
      <c r="B35" s="1"/>
      <c r="C35" s="1"/>
    </row>
    <row r="36" spans="1:5" x14ac:dyDescent="0.25">
      <c r="A36" s="28" t="s">
        <v>26</v>
      </c>
      <c r="B36" s="29"/>
      <c r="C36" s="148" t="s">
        <v>126</v>
      </c>
      <c r="D36" s="149"/>
      <c r="E36" s="149"/>
    </row>
    <row r="37" spans="1:5" x14ac:dyDescent="0.25">
      <c r="A37" s="28" t="s">
        <v>27</v>
      </c>
      <c r="B37" s="29">
        <v>0.35</v>
      </c>
      <c r="C37" s="1"/>
    </row>
    <row r="38" spans="1:5" x14ac:dyDescent="0.25">
      <c r="A38" s="28" t="s">
        <v>28</v>
      </c>
      <c r="B38" s="29">
        <v>0.3</v>
      </c>
      <c r="C38" s="1"/>
    </row>
  </sheetData>
  <mergeCells count="6">
    <mergeCell ref="C36:E36"/>
    <mergeCell ref="A1:E1"/>
    <mergeCell ref="A19:E19"/>
    <mergeCell ref="B27:C27"/>
    <mergeCell ref="D27:E27"/>
    <mergeCell ref="A11:C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9"/>
  <sheetViews>
    <sheetView showGridLines="0" topLeftCell="A16" workbookViewId="0">
      <selection activeCell="G27" sqref="G27"/>
    </sheetView>
  </sheetViews>
  <sheetFormatPr baseColWidth="10" defaultRowHeight="15" x14ac:dyDescent="0.25"/>
  <cols>
    <col min="1" max="4" width="15.7109375" customWidth="1"/>
    <col min="5" max="5" width="22.42578125" customWidth="1"/>
    <col min="6" max="6" width="15.7109375" customWidth="1"/>
  </cols>
  <sheetData>
    <row r="1" spans="1:5" ht="15.75" thickBot="1" x14ac:dyDescent="0.3">
      <c r="A1" s="181" t="s">
        <v>29</v>
      </c>
      <c r="B1" s="182"/>
      <c r="C1" s="182"/>
      <c r="D1" s="183"/>
      <c r="E1" s="34"/>
    </row>
    <row r="2" spans="1:5" x14ac:dyDescent="0.25">
      <c r="A2" s="53" t="s">
        <v>38</v>
      </c>
      <c r="B2" s="184">
        <f>20%</f>
        <v>0.2</v>
      </c>
      <c r="C2" s="184"/>
      <c r="D2" s="185"/>
    </row>
    <row r="3" spans="1:5" x14ac:dyDescent="0.25">
      <c r="A3" s="169" t="s">
        <v>30</v>
      </c>
      <c r="B3" s="170"/>
      <c r="C3" s="170"/>
      <c r="D3" s="35">
        <f>DE!B7*0.3</f>
        <v>21900</v>
      </c>
    </row>
    <row r="4" spans="1:5" x14ac:dyDescent="0.25">
      <c r="A4" s="5"/>
      <c r="B4" s="2"/>
      <c r="C4" s="2"/>
      <c r="D4" s="17"/>
    </row>
    <row r="5" spans="1:5" x14ac:dyDescent="0.25">
      <c r="A5" s="47" t="s">
        <v>32</v>
      </c>
      <c r="B5" s="48" t="s">
        <v>33</v>
      </c>
      <c r="C5" s="48" t="s">
        <v>35</v>
      </c>
      <c r="D5" s="49" t="s">
        <v>36</v>
      </c>
      <c r="E5" s="1"/>
    </row>
    <row r="6" spans="1:5" x14ac:dyDescent="0.25">
      <c r="A6" s="5" t="s">
        <v>127</v>
      </c>
      <c r="B6" s="33">
        <f>D3</f>
        <v>21900</v>
      </c>
      <c r="C6" s="33">
        <v>0</v>
      </c>
      <c r="D6" s="36">
        <f>B6*B2</f>
        <v>4380</v>
      </c>
    </row>
    <row r="7" spans="1:5" x14ac:dyDescent="0.25">
      <c r="A7" s="5" t="s">
        <v>34</v>
      </c>
      <c r="B7" s="33">
        <f>B6</f>
        <v>21900</v>
      </c>
      <c r="C7" s="33">
        <v>0</v>
      </c>
      <c r="D7" s="36">
        <f>B7*B2</f>
        <v>4380</v>
      </c>
    </row>
    <row r="8" spans="1:5" x14ac:dyDescent="0.25">
      <c r="A8" s="19" t="s">
        <v>37</v>
      </c>
      <c r="B8" s="171">
        <f>SUM(D6:D7)</f>
        <v>8760</v>
      </c>
      <c r="C8" s="171"/>
      <c r="D8" s="180"/>
    </row>
    <row r="9" spans="1:5" x14ac:dyDescent="0.25">
      <c r="A9" s="37">
        <v>36892</v>
      </c>
      <c r="B9" s="33">
        <f>B7</f>
        <v>21900</v>
      </c>
      <c r="C9" s="33">
        <v>0</v>
      </c>
      <c r="D9" s="36">
        <v>0</v>
      </c>
    </row>
    <row r="10" spans="1:5" x14ac:dyDescent="0.25">
      <c r="A10" s="37">
        <v>37255</v>
      </c>
      <c r="B10" s="33">
        <f>B9-C10</f>
        <v>14600</v>
      </c>
      <c r="C10" s="33">
        <f>$B$7/3</f>
        <v>7300</v>
      </c>
      <c r="D10" s="36">
        <f>B9*$B$2</f>
        <v>4380</v>
      </c>
    </row>
    <row r="11" spans="1:5" x14ac:dyDescent="0.25">
      <c r="A11" s="37">
        <v>37620</v>
      </c>
      <c r="B11" s="33">
        <f>B10-C11</f>
        <v>7300</v>
      </c>
      <c r="C11" s="33">
        <f t="shared" ref="C11:C12" si="0">$B$7/3</f>
        <v>7300</v>
      </c>
      <c r="D11" s="36">
        <f>B10*$B$2</f>
        <v>2920</v>
      </c>
    </row>
    <row r="12" spans="1:5" ht="15.75" thickBot="1" x14ac:dyDescent="0.3">
      <c r="A12" s="38">
        <v>37985</v>
      </c>
      <c r="B12" s="39">
        <v>0</v>
      </c>
      <c r="C12" s="39">
        <f t="shared" si="0"/>
        <v>7300</v>
      </c>
      <c r="D12" s="40">
        <f t="shared" ref="D12" si="1">B11*$B$2</f>
        <v>1460</v>
      </c>
    </row>
    <row r="14" spans="1:5" ht="15.75" thickBot="1" x14ac:dyDescent="0.3"/>
    <row r="15" spans="1:5" x14ac:dyDescent="0.25">
      <c r="A15" s="164" t="s">
        <v>41</v>
      </c>
      <c r="B15" s="165"/>
      <c r="C15" s="165"/>
      <c r="D15" s="166"/>
    </row>
    <row r="16" spans="1:5" x14ac:dyDescent="0.25">
      <c r="A16" s="2" t="s">
        <v>42</v>
      </c>
      <c r="B16" s="167">
        <v>0.1</v>
      </c>
      <c r="C16" s="167"/>
      <c r="D16" s="167"/>
    </row>
    <row r="17" spans="1:5" x14ac:dyDescent="0.25">
      <c r="A17" s="2" t="s">
        <v>43</v>
      </c>
      <c r="B17" s="2"/>
      <c r="C17" s="168">
        <f>DE!B25*0.5</f>
        <v>3850</v>
      </c>
      <c r="D17" s="168"/>
    </row>
    <row r="18" spans="1:5" x14ac:dyDescent="0.25">
      <c r="A18" s="2"/>
      <c r="B18" s="2"/>
      <c r="C18" s="2"/>
      <c r="D18" s="2"/>
    </row>
    <row r="19" spans="1:5" x14ac:dyDescent="0.25">
      <c r="A19" s="56" t="s">
        <v>32</v>
      </c>
      <c r="B19" s="57" t="s">
        <v>33</v>
      </c>
      <c r="C19" s="57" t="s">
        <v>35</v>
      </c>
      <c r="D19" s="58" t="s">
        <v>36</v>
      </c>
    </row>
    <row r="20" spans="1:5" x14ac:dyDescent="0.25">
      <c r="A20" s="37">
        <v>36892</v>
      </c>
      <c r="B20" s="33">
        <f>C17</f>
        <v>3850</v>
      </c>
      <c r="C20" s="33">
        <v>0</v>
      </c>
      <c r="D20" s="36">
        <v>0</v>
      </c>
    </row>
    <row r="21" spans="1:5" x14ac:dyDescent="0.25">
      <c r="A21" s="37">
        <v>37255</v>
      </c>
      <c r="B21" s="33">
        <f>B20</f>
        <v>3850</v>
      </c>
      <c r="C21" s="33">
        <v>0</v>
      </c>
      <c r="D21" s="36">
        <f>B21*$B$16</f>
        <v>385</v>
      </c>
    </row>
    <row r="22" spans="1:5" x14ac:dyDescent="0.25">
      <c r="A22" s="37">
        <v>37620</v>
      </c>
      <c r="B22" s="33">
        <f>B20</f>
        <v>3850</v>
      </c>
      <c r="C22" s="33">
        <v>0</v>
      </c>
      <c r="D22" s="36">
        <f t="shared" ref="D22:D23" si="2">B22*$B$16</f>
        <v>385</v>
      </c>
    </row>
    <row r="23" spans="1:5" ht="15.75" thickBot="1" x14ac:dyDescent="0.3">
      <c r="A23" s="38">
        <v>37985</v>
      </c>
      <c r="B23" s="39">
        <f>B20</f>
        <v>3850</v>
      </c>
      <c r="C23" s="39">
        <v>0</v>
      </c>
      <c r="D23" s="40">
        <f t="shared" si="2"/>
        <v>385</v>
      </c>
    </row>
    <row r="24" spans="1:5" ht="15.75" thickBot="1" x14ac:dyDescent="0.3"/>
    <row r="25" spans="1:5" ht="15.75" thickBot="1" x14ac:dyDescent="0.3">
      <c r="A25" s="186" t="s">
        <v>46</v>
      </c>
      <c r="B25" s="187"/>
      <c r="C25" s="187"/>
      <c r="D25" s="187"/>
      <c r="E25" s="188"/>
    </row>
    <row r="26" spans="1:5" x14ac:dyDescent="0.25">
      <c r="A26" s="53" t="s">
        <v>38</v>
      </c>
      <c r="B26" s="174">
        <f>20%</f>
        <v>0.2</v>
      </c>
      <c r="C26" s="175"/>
      <c r="D26" s="175"/>
      <c r="E26" s="176"/>
    </row>
    <row r="27" spans="1:5" x14ac:dyDescent="0.25">
      <c r="A27" s="169" t="s">
        <v>30</v>
      </c>
      <c r="B27" s="170"/>
      <c r="C27" s="170"/>
      <c r="D27" s="172">
        <f>DE!B34*0.3</f>
        <v>1350</v>
      </c>
      <c r="E27" s="173"/>
    </row>
    <row r="28" spans="1:5" x14ac:dyDescent="0.25">
      <c r="A28" s="177"/>
      <c r="B28" s="178"/>
      <c r="C28" s="178"/>
      <c r="D28" s="178"/>
      <c r="E28" s="179"/>
    </row>
    <row r="29" spans="1:5" x14ac:dyDescent="0.25">
      <c r="A29" s="47" t="s">
        <v>32</v>
      </c>
      <c r="B29" s="48" t="s">
        <v>33</v>
      </c>
      <c r="C29" s="48" t="s">
        <v>35</v>
      </c>
      <c r="D29" s="48" t="s">
        <v>36</v>
      </c>
      <c r="E29" s="49" t="s">
        <v>45</v>
      </c>
    </row>
    <row r="30" spans="1:5" x14ac:dyDescent="0.25">
      <c r="A30" s="5" t="s">
        <v>127</v>
      </c>
      <c r="B30" s="33">
        <f>B6</f>
        <v>21900</v>
      </c>
      <c r="C30" s="33">
        <v>0</v>
      </c>
      <c r="D30" s="33">
        <f>D6</f>
        <v>4380</v>
      </c>
      <c r="E30" s="161"/>
    </row>
    <row r="31" spans="1:5" x14ac:dyDescent="0.25">
      <c r="A31" s="5" t="s">
        <v>34</v>
      </c>
      <c r="B31" s="33">
        <f>B7</f>
        <v>21900</v>
      </c>
      <c r="C31" s="33">
        <v>0</v>
      </c>
      <c r="D31" s="33">
        <f>D7</f>
        <v>4380</v>
      </c>
      <c r="E31" s="162"/>
    </row>
    <row r="32" spans="1:5" x14ac:dyDescent="0.25">
      <c r="A32" s="19" t="s">
        <v>37</v>
      </c>
      <c r="B32" s="171">
        <f>B8</f>
        <v>8760</v>
      </c>
      <c r="C32" s="171"/>
      <c r="D32" s="171"/>
      <c r="E32" s="163"/>
    </row>
    <row r="33" spans="1:5" x14ac:dyDescent="0.25">
      <c r="A33" s="37">
        <v>36892</v>
      </c>
      <c r="B33" s="33">
        <f>B9+B20</f>
        <v>25750</v>
      </c>
      <c r="C33" s="33">
        <v>0</v>
      </c>
      <c r="D33" s="33">
        <v>0</v>
      </c>
      <c r="E33" s="17"/>
    </row>
    <row r="34" spans="1:5" x14ac:dyDescent="0.25">
      <c r="A34" s="37">
        <v>37255</v>
      </c>
      <c r="B34" s="33">
        <f>B10+B21</f>
        <v>18450</v>
      </c>
      <c r="C34" s="33">
        <f>C10+C21</f>
        <v>7300</v>
      </c>
      <c r="D34" s="33">
        <f>D10+D21</f>
        <v>4765</v>
      </c>
      <c r="E34" s="61">
        <f>D34/B33</f>
        <v>0.18504854368932039</v>
      </c>
    </row>
    <row r="35" spans="1:5" x14ac:dyDescent="0.25">
      <c r="A35" s="37">
        <v>37620</v>
      </c>
      <c r="B35" s="33">
        <f>B11+B22</f>
        <v>11150</v>
      </c>
      <c r="C35" s="33">
        <f>C11+C22</f>
        <v>7300</v>
      </c>
      <c r="D35" s="33">
        <f>D11+D22</f>
        <v>3305</v>
      </c>
      <c r="E35" s="59">
        <f>D35/B34</f>
        <v>0.17913279132791327</v>
      </c>
    </row>
    <row r="36" spans="1:5" ht="15.75" thickBot="1" x14ac:dyDescent="0.3">
      <c r="A36" s="38">
        <v>37985</v>
      </c>
      <c r="B36" s="39">
        <f>B12+B23</f>
        <v>3850</v>
      </c>
      <c r="C36" s="39">
        <f t="shared" ref="C36" si="3">$B$7/3</f>
        <v>7300</v>
      </c>
      <c r="D36" s="39">
        <f>D12+D23</f>
        <v>1845</v>
      </c>
      <c r="E36" s="60">
        <f>D36/B35</f>
        <v>0.16547085201793721</v>
      </c>
    </row>
    <row r="37" spans="1:5" ht="15.75" thickBot="1" x14ac:dyDescent="0.3"/>
    <row r="38" spans="1:5" x14ac:dyDescent="0.25">
      <c r="A38" s="26"/>
      <c r="B38" s="64" t="s">
        <v>16</v>
      </c>
      <c r="C38" s="64" t="s">
        <v>39</v>
      </c>
      <c r="D38" s="65" t="s">
        <v>40</v>
      </c>
    </row>
    <row r="39" spans="1:5" ht="15.75" thickBot="1" x14ac:dyDescent="0.3">
      <c r="A39" s="20" t="s">
        <v>47</v>
      </c>
      <c r="B39" s="62">
        <f>B32/2+D34</f>
        <v>9145</v>
      </c>
      <c r="C39" s="62">
        <f>B32/2+D35</f>
        <v>7685</v>
      </c>
      <c r="D39" s="63">
        <f>D36</f>
        <v>1845</v>
      </c>
    </row>
  </sheetData>
  <mergeCells count="14">
    <mergeCell ref="A3:C3"/>
    <mergeCell ref="B8:D8"/>
    <mergeCell ref="A1:D1"/>
    <mergeCell ref="B2:D2"/>
    <mergeCell ref="A25:E25"/>
    <mergeCell ref="E30:E32"/>
    <mergeCell ref="A15:D15"/>
    <mergeCell ref="B16:D16"/>
    <mergeCell ref="C17:D17"/>
    <mergeCell ref="A27:C27"/>
    <mergeCell ref="B32:D32"/>
    <mergeCell ref="D27:E27"/>
    <mergeCell ref="B26:E26"/>
    <mergeCell ref="A28:E2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2"/>
  <sheetViews>
    <sheetView showGridLines="0" workbookViewId="0">
      <selection activeCell="D23" sqref="D23"/>
    </sheetView>
  </sheetViews>
  <sheetFormatPr baseColWidth="10" defaultRowHeight="15" x14ac:dyDescent="0.25"/>
  <cols>
    <col min="1" max="5" width="20.7109375" customWidth="1"/>
  </cols>
  <sheetData>
    <row r="1" spans="1:5" ht="13.9" customHeight="1" thickBot="1" x14ac:dyDescent="0.3">
      <c r="A1" s="186" t="s">
        <v>48</v>
      </c>
      <c r="B1" s="187"/>
      <c r="C1" s="187"/>
      <c r="D1" s="187"/>
      <c r="E1" s="188"/>
    </row>
    <row r="2" spans="1:5" ht="13.9" customHeight="1" thickBot="1" x14ac:dyDescent="0.3">
      <c r="A2" s="66"/>
      <c r="B2" s="77" t="s">
        <v>49</v>
      </c>
      <c r="C2" s="78" t="s">
        <v>50</v>
      </c>
      <c r="D2" s="77" t="s">
        <v>51</v>
      </c>
      <c r="E2" s="79" t="s">
        <v>55</v>
      </c>
    </row>
    <row r="3" spans="1:5" ht="13.9" customHeight="1" x14ac:dyDescent="0.25">
      <c r="A3" s="14" t="s">
        <v>56</v>
      </c>
      <c r="B3" s="68">
        <f>DE!B7</f>
        <v>73000</v>
      </c>
      <c r="C3" s="69">
        <v>0</v>
      </c>
      <c r="D3" s="68">
        <f>CREDITOS!D3</f>
        <v>21900</v>
      </c>
      <c r="E3" s="70">
        <f>+B3-D3</f>
        <v>51100</v>
      </c>
    </row>
    <row r="4" spans="1:5" ht="13.9" customHeight="1" thickBot="1" x14ac:dyDescent="0.3">
      <c r="A4" s="16" t="s">
        <v>52</v>
      </c>
      <c r="B4" s="71">
        <f>B3*0.21</f>
        <v>15330</v>
      </c>
      <c r="C4" s="72">
        <v>0</v>
      </c>
      <c r="D4" s="71">
        <v>0</v>
      </c>
      <c r="E4" s="73">
        <f>+B4</f>
        <v>15330</v>
      </c>
    </row>
    <row r="5" spans="1:5" ht="13.9" customHeight="1" thickBot="1" x14ac:dyDescent="0.3">
      <c r="A5" s="80"/>
      <c r="B5" s="81"/>
      <c r="C5" s="82"/>
      <c r="D5" s="81"/>
      <c r="E5" s="83"/>
    </row>
    <row r="6" spans="1:5" ht="13.9" customHeight="1" x14ac:dyDescent="0.25">
      <c r="A6" s="14" t="s">
        <v>57</v>
      </c>
      <c r="B6" s="68">
        <f>DE!B17</f>
        <v>8950</v>
      </c>
      <c r="C6" s="69"/>
      <c r="D6" s="68">
        <v>0</v>
      </c>
      <c r="E6" s="70"/>
    </row>
    <row r="7" spans="1:5" ht="13.9" customHeight="1" x14ac:dyDescent="0.25">
      <c r="A7" s="15" t="s">
        <v>58</v>
      </c>
      <c r="B7" s="74">
        <f>DE!B25</f>
        <v>7700</v>
      </c>
      <c r="C7" s="75">
        <f>CREDITOS!C17</f>
        <v>3850</v>
      </c>
      <c r="D7" s="74">
        <v>0</v>
      </c>
      <c r="E7" s="76">
        <f>+B7-C7</f>
        <v>3850</v>
      </c>
    </row>
    <row r="8" spans="1:5" ht="13.9" customHeight="1" thickBot="1" x14ac:dyDescent="0.3">
      <c r="A8" s="16" t="s">
        <v>52</v>
      </c>
      <c r="B8" s="71">
        <f>DE!C25</f>
        <v>1050</v>
      </c>
      <c r="C8" s="72">
        <v>0</v>
      </c>
      <c r="D8" s="71">
        <v>0</v>
      </c>
      <c r="E8" s="73">
        <f>+B8</f>
        <v>1050</v>
      </c>
    </row>
    <row r="9" spans="1:5" ht="13.9" customHeight="1" thickBot="1" x14ac:dyDescent="0.3">
      <c r="A9" s="80"/>
      <c r="B9" s="81"/>
      <c r="C9" s="82"/>
      <c r="D9" s="81"/>
      <c r="E9" s="83"/>
    </row>
    <row r="10" spans="1:5" ht="13.9" customHeight="1" x14ac:dyDescent="0.25">
      <c r="A10" s="14" t="s">
        <v>53</v>
      </c>
      <c r="B10" s="68">
        <f>+B3+B7</f>
        <v>80700</v>
      </c>
      <c r="C10" s="69">
        <f>+SUM(C3:C9)</f>
        <v>3850</v>
      </c>
      <c r="D10" s="68">
        <f>+SUM(D3:D9)</f>
        <v>21900</v>
      </c>
      <c r="E10" s="70">
        <f>+B10-C10-D10</f>
        <v>54950</v>
      </c>
    </row>
    <row r="11" spans="1:5" ht="13.9" customHeight="1" x14ac:dyDescent="0.25">
      <c r="A11" s="15" t="s">
        <v>52</v>
      </c>
      <c r="B11" s="74">
        <f>+B4+B8</f>
        <v>16380</v>
      </c>
      <c r="C11" s="75">
        <v>0</v>
      </c>
      <c r="D11" s="74">
        <v>0</v>
      </c>
      <c r="E11" s="76">
        <f>+B11</f>
        <v>16380</v>
      </c>
    </row>
    <row r="12" spans="1:5" ht="13.9" customHeight="1" thickBot="1" x14ac:dyDescent="0.3">
      <c r="A12" s="86" t="s">
        <v>54</v>
      </c>
      <c r="B12" s="87">
        <f>+B10+B11</f>
        <v>97080</v>
      </c>
      <c r="C12" s="88">
        <f>+C10</f>
        <v>3850</v>
      </c>
      <c r="D12" s="87">
        <f>+D10</f>
        <v>21900</v>
      </c>
      <c r="E12" s="89">
        <f>SUM(E10:E11)</f>
        <v>71330</v>
      </c>
    </row>
  </sheetData>
  <mergeCells count="1">
    <mergeCell ref="A1:E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"/>
  <sheetViews>
    <sheetView showGridLines="0" workbookViewId="0">
      <selection activeCell="C20" sqref="C20"/>
    </sheetView>
  </sheetViews>
  <sheetFormatPr baseColWidth="10" defaultRowHeight="15" x14ac:dyDescent="0.25"/>
  <cols>
    <col min="1" max="7" width="20.7109375" customWidth="1"/>
  </cols>
  <sheetData>
    <row r="1" spans="1:7" ht="15.75" thickBot="1" x14ac:dyDescent="0.3">
      <c r="A1" s="189" t="s">
        <v>65</v>
      </c>
      <c r="B1" s="190"/>
      <c r="C1" s="190"/>
      <c r="D1" s="190"/>
      <c r="E1" s="190"/>
      <c r="F1" s="190"/>
      <c r="G1" s="191"/>
    </row>
    <row r="2" spans="1:7" ht="15.75" thickBot="1" x14ac:dyDescent="0.3">
      <c r="A2" s="50" t="s">
        <v>4</v>
      </c>
      <c r="B2" s="93" t="s">
        <v>59</v>
      </c>
      <c r="C2" s="51" t="s">
        <v>60</v>
      </c>
      <c r="D2" s="93" t="s">
        <v>61</v>
      </c>
      <c r="E2" s="51" t="s">
        <v>62</v>
      </c>
      <c r="F2" s="93" t="s">
        <v>63</v>
      </c>
      <c r="G2" s="52" t="s">
        <v>64</v>
      </c>
    </row>
    <row r="3" spans="1:7" x14ac:dyDescent="0.25">
      <c r="A3" s="91">
        <v>1</v>
      </c>
      <c r="B3" s="74">
        <f>DE!B28*DE!D28</f>
        <v>75000</v>
      </c>
      <c r="C3" s="75">
        <f>DE!B32+DE!B33+CREDITOS!B39</f>
        <v>39145</v>
      </c>
      <c r="D3" s="68">
        <f>B3-C3</f>
        <v>35855</v>
      </c>
      <c r="E3" s="69">
        <v>2000</v>
      </c>
      <c r="F3" s="68">
        <f>(D3-E3)*DE!$B$37</f>
        <v>11849.25</v>
      </c>
      <c r="G3" s="70">
        <f>D3-E3-F3</f>
        <v>22005.75</v>
      </c>
    </row>
    <row r="4" spans="1:7" x14ac:dyDescent="0.25">
      <c r="A4" s="91">
        <v>2</v>
      </c>
      <c r="B4" s="74">
        <f>DE!B29*DE!D29</f>
        <v>125000</v>
      </c>
      <c r="C4" s="75">
        <f>DE!C32+DE!C33+CREDITOS!C39</f>
        <v>47685</v>
      </c>
      <c r="D4" s="74">
        <f t="shared" ref="D4:D5" si="0">B4-C4</f>
        <v>77315</v>
      </c>
      <c r="E4" s="75">
        <v>2000</v>
      </c>
      <c r="F4" s="74">
        <f>(D4-E4)*DE!$B$37</f>
        <v>26360.25</v>
      </c>
      <c r="G4" s="76">
        <f t="shared" ref="G4:G5" si="1">D4-E4-F4</f>
        <v>48954.75</v>
      </c>
    </row>
    <row r="5" spans="1:7" ht="15.75" thickBot="1" x14ac:dyDescent="0.3">
      <c r="A5" s="92">
        <v>3</v>
      </c>
      <c r="B5" s="71">
        <f>B4</f>
        <v>125000</v>
      </c>
      <c r="C5" s="72">
        <f>DE!C32+DE!C33+CREDITOS!D39</f>
        <v>41845</v>
      </c>
      <c r="D5" s="71">
        <f t="shared" si="0"/>
        <v>83155</v>
      </c>
      <c r="E5" s="72">
        <v>2000</v>
      </c>
      <c r="F5" s="71">
        <f>(D5-E5)*DE!$B$37</f>
        <v>28404.25</v>
      </c>
      <c r="G5" s="73">
        <f t="shared" si="1"/>
        <v>52750.75</v>
      </c>
    </row>
    <row r="7" spans="1:7" x14ac:dyDescent="0.25">
      <c r="A7" s="28" t="s">
        <v>66</v>
      </c>
      <c r="B7" s="94">
        <f>SUM(G3:G5)</f>
        <v>123711.25</v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4"/>
  <sheetViews>
    <sheetView showGridLines="0" zoomScaleNormal="100" workbookViewId="0">
      <selection activeCell="C9" sqref="C9"/>
    </sheetView>
  </sheetViews>
  <sheetFormatPr baseColWidth="10" defaultRowHeight="15" x14ac:dyDescent="0.25"/>
  <cols>
    <col min="1" max="1" width="24.5703125" customWidth="1"/>
    <col min="2" max="4" width="20.7109375" customWidth="1"/>
    <col min="5" max="5" width="11.7109375" bestFit="1" customWidth="1"/>
    <col min="7" max="7" width="12.7109375" bestFit="1" customWidth="1"/>
  </cols>
  <sheetData>
    <row r="1" spans="1:7" ht="13.9" customHeight="1" thickBot="1" x14ac:dyDescent="0.3">
      <c r="A1" s="186" t="s">
        <v>69</v>
      </c>
      <c r="B1" s="187"/>
      <c r="C1" s="187"/>
      <c r="D1" s="188"/>
    </row>
    <row r="2" spans="1:7" ht="13.9" customHeight="1" thickBot="1" x14ac:dyDescent="0.3">
      <c r="A2" s="67"/>
      <c r="B2" s="99" t="s">
        <v>67</v>
      </c>
      <c r="C2" s="77" t="s">
        <v>16</v>
      </c>
      <c r="D2" s="100" t="s">
        <v>44</v>
      </c>
    </row>
    <row r="3" spans="1:7" ht="13.9" customHeight="1" x14ac:dyDescent="0.25">
      <c r="A3" s="124" t="s">
        <v>71</v>
      </c>
      <c r="B3" s="125">
        <f>DE!B3+DE!B4+DE!B5+CREDITOS!B32</f>
        <v>79760</v>
      </c>
      <c r="C3" s="126">
        <f>DE!B6</f>
        <v>2000</v>
      </c>
      <c r="D3" s="103">
        <f>+C3+B3</f>
        <v>81760</v>
      </c>
    </row>
    <row r="4" spans="1:7" ht="13.9" customHeight="1" x14ac:dyDescent="0.25">
      <c r="A4" s="96" t="s">
        <v>70</v>
      </c>
      <c r="B4" s="41">
        <f>DE!C7-DE!C6+0.21*CREDITOS!B32</f>
        <v>16749.599999999999</v>
      </c>
      <c r="C4" s="104">
        <f>DE!C6</f>
        <v>420</v>
      </c>
      <c r="D4" s="105">
        <f t="shared" ref="D4:D5" si="0">+C4+B4</f>
        <v>17169.599999999999</v>
      </c>
      <c r="E4" s="31"/>
    </row>
    <row r="5" spans="1:7" ht="13.9" customHeight="1" thickBot="1" x14ac:dyDescent="0.3">
      <c r="A5" s="98" t="s">
        <v>72</v>
      </c>
      <c r="B5" s="106">
        <f>+B4+B3</f>
        <v>96509.6</v>
      </c>
      <c r="C5" s="107">
        <f>+C3+C4</f>
        <v>2420</v>
      </c>
      <c r="D5" s="108">
        <f t="shared" si="0"/>
        <v>98929.600000000006</v>
      </c>
    </row>
    <row r="6" spans="1:7" ht="13.9" customHeight="1" thickBot="1" x14ac:dyDescent="0.3">
      <c r="A6" s="101"/>
      <c r="B6" s="109"/>
      <c r="C6" s="110"/>
      <c r="D6" s="111"/>
      <c r="G6" s="31"/>
    </row>
    <row r="7" spans="1:7" ht="13.9" customHeight="1" x14ac:dyDescent="0.25">
      <c r="A7" s="124" t="s">
        <v>73</v>
      </c>
      <c r="B7" s="125">
        <f>DE!B13+DE!B14</f>
        <v>2700</v>
      </c>
      <c r="C7" s="127">
        <f>DE!B15+DE!B16</f>
        <v>6250</v>
      </c>
      <c r="D7" s="112">
        <f>+C7+B7</f>
        <v>8950</v>
      </c>
      <c r="G7" s="31"/>
    </row>
    <row r="8" spans="1:7" ht="13.9" customHeight="1" x14ac:dyDescent="0.25">
      <c r="A8" s="119" t="s">
        <v>74</v>
      </c>
      <c r="B8" s="128">
        <f>DE!B21+DE!B22</f>
        <v>2700</v>
      </c>
      <c r="C8" s="129">
        <f>DE!B23+DE!B24+500</f>
        <v>5500</v>
      </c>
      <c r="D8" s="113">
        <f>+C8+B8</f>
        <v>8200</v>
      </c>
    </row>
    <row r="9" spans="1:7" ht="13.9" customHeight="1" x14ac:dyDescent="0.25">
      <c r="A9" s="96" t="s">
        <v>52</v>
      </c>
      <c r="B9" s="41">
        <f>DE!C21+DE!C22</f>
        <v>420</v>
      </c>
      <c r="C9" s="105">
        <f>DE!C23+DE!C24</f>
        <v>630</v>
      </c>
      <c r="D9" s="113">
        <f>+C9+B9</f>
        <v>1050</v>
      </c>
    </row>
    <row r="10" spans="1:7" ht="13.9" customHeight="1" thickBot="1" x14ac:dyDescent="0.3">
      <c r="A10" s="98" t="s">
        <v>75</v>
      </c>
      <c r="B10" s="106">
        <f>B8+B9</f>
        <v>3120</v>
      </c>
      <c r="C10" s="108">
        <f>+C8+C9</f>
        <v>6130</v>
      </c>
      <c r="D10" s="114">
        <f>+D9+D8</f>
        <v>9250</v>
      </c>
    </row>
    <row r="11" spans="1:7" ht="13.9" customHeight="1" thickBot="1" x14ac:dyDescent="0.3">
      <c r="A11" s="101"/>
      <c r="B11" s="109"/>
      <c r="C11" s="110"/>
      <c r="D11" s="111"/>
    </row>
    <row r="12" spans="1:7" ht="13.9" customHeight="1" x14ac:dyDescent="0.25">
      <c r="A12" s="124" t="s">
        <v>68</v>
      </c>
      <c r="B12" s="102">
        <f>+B8+B3</f>
        <v>82460</v>
      </c>
      <c r="C12" s="103">
        <f>+C8+C3</f>
        <v>7500</v>
      </c>
      <c r="D12" s="103">
        <f>+D8+D3</f>
        <v>89960</v>
      </c>
    </row>
    <row r="13" spans="1:7" ht="13.9" customHeight="1" x14ac:dyDescent="0.25">
      <c r="A13" s="96" t="s">
        <v>52</v>
      </c>
      <c r="B13" s="41">
        <f>+B9+B4</f>
        <v>17169.599999999999</v>
      </c>
      <c r="C13" s="105">
        <f>+C9+C4</f>
        <v>1050</v>
      </c>
      <c r="D13" s="105">
        <f>+D9+D4</f>
        <v>18219.599999999999</v>
      </c>
    </row>
    <row r="14" spans="1:7" ht="13.9" customHeight="1" thickBot="1" x14ac:dyDescent="0.3">
      <c r="A14" s="98" t="s">
        <v>54</v>
      </c>
      <c r="B14" s="106">
        <f>+B13+B12</f>
        <v>99629.6</v>
      </c>
      <c r="C14" s="108">
        <f t="shared" ref="C14:D14" si="1">+C13+C12</f>
        <v>8550</v>
      </c>
      <c r="D14" s="108">
        <f t="shared" si="1"/>
        <v>108179.6</v>
      </c>
    </row>
  </sheetData>
  <mergeCells count="1">
    <mergeCell ref="A1:D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7"/>
  <sheetViews>
    <sheetView showGridLines="0" topLeftCell="G4" workbookViewId="0">
      <selection activeCell="G19" sqref="G19"/>
    </sheetView>
  </sheetViews>
  <sheetFormatPr baseColWidth="10" defaultRowHeight="15" x14ac:dyDescent="0.25"/>
  <cols>
    <col min="1" max="1" width="25.7109375" customWidth="1"/>
    <col min="2" max="9" width="15.7109375" customWidth="1"/>
  </cols>
  <sheetData>
    <row r="1" spans="1:9" ht="15.75" thickBot="1" x14ac:dyDescent="0.3">
      <c r="A1" s="186" t="s">
        <v>79</v>
      </c>
      <c r="B1" s="187"/>
      <c r="C1" s="187"/>
      <c r="D1" s="187"/>
      <c r="E1" s="187"/>
      <c r="F1" s="187"/>
      <c r="G1" s="187"/>
      <c r="H1" s="187"/>
      <c r="I1" s="188"/>
    </row>
    <row r="2" spans="1:9" ht="15.75" thickBot="1" x14ac:dyDescent="0.3">
      <c r="A2" s="14"/>
      <c r="B2" s="186" t="s">
        <v>67</v>
      </c>
      <c r="C2" s="188"/>
      <c r="D2" s="186" t="s">
        <v>16</v>
      </c>
      <c r="E2" s="188"/>
      <c r="F2" s="186" t="s">
        <v>44</v>
      </c>
      <c r="G2" s="187"/>
      <c r="H2" s="187"/>
      <c r="I2" s="188"/>
    </row>
    <row r="3" spans="1:9" ht="15.75" thickBot="1" x14ac:dyDescent="0.3">
      <c r="A3" s="16"/>
      <c r="B3" s="54" t="s">
        <v>76</v>
      </c>
      <c r="C3" s="55" t="s">
        <v>80</v>
      </c>
      <c r="D3" s="54" t="s">
        <v>76</v>
      </c>
      <c r="E3" s="55" t="s">
        <v>80</v>
      </c>
      <c r="F3" s="54" t="s">
        <v>76</v>
      </c>
      <c r="G3" s="55" t="s">
        <v>80</v>
      </c>
      <c r="H3" s="54" t="s">
        <v>49</v>
      </c>
      <c r="I3" s="55" t="s">
        <v>77</v>
      </c>
    </row>
    <row r="4" spans="1:9" x14ac:dyDescent="0.25">
      <c r="A4" s="119" t="s">
        <v>83</v>
      </c>
      <c r="B4" s="130">
        <f>'Calendario Inv'!B5</f>
        <v>96509.6</v>
      </c>
      <c r="C4" s="131">
        <f>'Calendario Inv'!B10</f>
        <v>3120</v>
      </c>
      <c r="D4" s="130">
        <f>'Calendario Inv'!C5</f>
        <v>2420</v>
      </c>
      <c r="E4" s="132">
        <f>'Calendario Inv'!C10</f>
        <v>6130</v>
      </c>
      <c r="F4" s="115">
        <f>+B4+D4</f>
        <v>98929.600000000006</v>
      </c>
      <c r="G4" s="121">
        <f>+C4+E4</f>
        <v>9250</v>
      </c>
      <c r="H4" s="121">
        <f>+G4+F4</f>
        <v>108179.6</v>
      </c>
      <c r="I4" s="116">
        <f>+I5+I6+I7</f>
        <v>1</v>
      </c>
    </row>
    <row r="5" spans="1:9" x14ac:dyDescent="0.25">
      <c r="A5" s="119" t="s">
        <v>81</v>
      </c>
      <c r="B5" s="74">
        <f>'1era estructura Financiera'!D3</f>
        <v>21900</v>
      </c>
      <c r="C5" s="76">
        <v>0</v>
      </c>
      <c r="D5" s="74">
        <v>0</v>
      </c>
      <c r="E5" s="75">
        <v>0</v>
      </c>
      <c r="F5" s="115">
        <f t="shared" ref="F5:G7" si="0">+B5+D5</f>
        <v>21900</v>
      </c>
      <c r="G5" s="122">
        <f t="shared" si="0"/>
        <v>0</v>
      </c>
      <c r="H5" s="122">
        <f>+G5+F5</f>
        <v>21900</v>
      </c>
      <c r="I5" s="116">
        <f>+H5/H4</f>
        <v>0.20244112568358544</v>
      </c>
    </row>
    <row r="6" spans="1:9" x14ac:dyDescent="0.25">
      <c r="A6" s="119" t="s">
        <v>82</v>
      </c>
      <c r="B6" s="74">
        <v>0</v>
      </c>
      <c r="C6" s="76">
        <v>0</v>
      </c>
      <c r="D6" s="74"/>
      <c r="E6" s="75">
        <f>'1era estructura Financiera'!C7</f>
        <v>3850</v>
      </c>
      <c r="F6" s="115">
        <f t="shared" si="0"/>
        <v>0</v>
      </c>
      <c r="G6" s="122">
        <f t="shared" si="0"/>
        <v>3850</v>
      </c>
      <c r="H6" s="122">
        <f>+G6+F6</f>
        <v>3850</v>
      </c>
      <c r="I6" s="116">
        <f>+H6/H4</f>
        <v>3.5588965017433971E-2</v>
      </c>
    </row>
    <row r="7" spans="1:9" ht="15.75" thickBot="1" x14ac:dyDescent="0.3">
      <c r="A7" s="120" t="s">
        <v>78</v>
      </c>
      <c r="B7" s="71">
        <f>+B4-B5</f>
        <v>74609.600000000006</v>
      </c>
      <c r="C7" s="73">
        <f>+C4</f>
        <v>3120</v>
      </c>
      <c r="D7" s="71">
        <f>+D4</f>
        <v>2420</v>
      </c>
      <c r="E7" s="72">
        <f>+E4-E6</f>
        <v>2280</v>
      </c>
      <c r="F7" s="117">
        <f>+B7+D7</f>
        <v>77029.600000000006</v>
      </c>
      <c r="G7" s="123">
        <f t="shared" si="0"/>
        <v>5400</v>
      </c>
      <c r="H7" s="123">
        <f>+G7+F7</f>
        <v>82429.600000000006</v>
      </c>
      <c r="I7" s="118">
        <f>+H7/H4</f>
        <v>0.76196990929898056</v>
      </c>
    </row>
  </sheetData>
  <mergeCells count="4">
    <mergeCell ref="A1:I1"/>
    <mergeCell ref="B2:C2"/>
    <mergeCell ref="D2:E2"/>
    <mergeCell ref="F2:I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3"/>
  <sheetViews>
    <sheetView showGridLines="0" workbookViewId="0">
      <selection activeCell="C22" sqref="C22"/>
    </sheetView>
  </sheetViews>
  <sheetFormatPr baseColWidth="10" defaultRowHeight="15" x14ac:dyDescent="0.25"/>
  <cols>
    <col min="1" max="1" width="34" customWidth="1"/>
    <col min="2" max="4" width="15.7109375" customWidth="1"/>
    <col min="5" max="5" width="21.28515625" customWidth="1"/>
    <col min="6" max="6" width="11.5703125" bestFit="1" customWidth="1"/>
  </cols>
  <sheetData>
    <row r="1" spans="1:6" ht="15.75" thickBot="1" x14ac:dyDescent="0.3">
      <c r="A1" s="186" t="s">
        <v>88</v>
      </c>
      <c r="B1" s="187"/>
      <c r="C1" s="187"/>
      <c r="D1" s="188"/>
    </row>
    <row r="2" spans="1:6" ht="15.75" thickBot="1" x14ac:dyDescent="0.3">
      <c r="A2" s="66" t="s">
        <v>84</v>
      </c>
      <c r="B2" s="77" t="s">
        <v>16</v>
      </c>
      <c r="C2" s="77" t="s">
        <v>39</v>
      </c>
      <c r="D2" s="79" t="s">
        <v>40</v>
      </c>
    </row>
    <row r="3" spans="1:6" x14ac:dyDescent="0.25">
      <c r="A3" s="15" t="s">
        <v>85</v>
      </c>
      <c r="B3" s="97">
        <f>DE!F28</f>
        <v>15750</v>
      </c>
      <c r="C3" s="74">
        <f>DE!F29</f>
        <v>26250</v>
      </c>
      <c r="D3" s="68">
        <f>DE!F29</f>
        <v>26250</v>
      </c>
    </row>
    <row r="4" spans="1:6" x14ac:dyDescent="0.25">
      <c r="A4" s="15" t="s">
        <v>86</v>
      </c>
      <c r="B4" s="97">
        <f>DE!B34</f>
        <v>4500</v>
      </c>
      <c r="C4" s="74">
        <f>DE!C34</f>
        <v>6000</v>
      </c>
      <c r="D4" s="74">
        <f>DE!C34</f>
        <v>6000</v>
      </c>
    </row>
    <row r="5" spans="1:6" x14ac:dyDescent="0.25">
      <c r="A5" s="15" t="s">
        <v>87</v>
      </c>
      <c r="B5" s="97">
        <f>CREDITOS!D34*0.21</f>
        <v>1000.65</v>
      </c>
      <c r="C5" s="97">
        <f>CREDITOS!D35*0.21</f>
        <v>694.05</v>
      </c>
      <c r="D5" s="74">
        <f>CREDITOS!D36*0.21</f>
        <v>387.45</v>
      </c>
    </row>
    <row r="6" spans="1:6" ht="15.75" thickBot="1" x14ac:dyDescent="0.3">
      <c r="A6" s="16" t="s">
        <v>88</v>
      </c>
      <c r="B6" s="90">
        <f>+B3-B4-B5</f>
        <v>10249.35</v>
      </c>
      <c r="C6" s="90">
        <f t="shared" ref="C6:D6" si="0">+C3-C4-C5</f>
        <v>19555.95</v>
      </c>
      <c r="D6" s="71">
        <f t="shared" si="0"/>
        <v>19862.55</v>
      </c>
    </row>
    <row r="7" spans="1:6" ht="15.75" thickBot="1" x14ac:dyDescent="0.3"/>
    <row r="8" spans="1:6" ht="15.75" thickBot="1" x14ac:dyDescent="0.3">
      <c r="A8" s="186" t="s">
        <v>90</v>
      </c>
      <c r="B8" s="187"/>
      <c r="C8" s="187"/>
      <c r="D8" s="188"/>
    </row>
    <row r="9" spans="1:6" ht="15.75" thickBot="1" x14ac:dyDescent="0.3">
      <c r="A9" s="66"/>
      <c r="B9" s="77" t="s">
        <v>91</v>
      </c>
      <c r="C9" s="77" t="s">
        <v>88</v>
      </c>
      <c r="D9" s="79" t="s">
        <v>89</v>
      </c>
    </row>
    <row r="10" spans="1:6" x14ac:dyDescent="0.25">
      <c r="A10" s="15" t="s">
        <v>67</v>
      </c>
      <c r="B10" s="74">
        <f>'Calendario Inv'!B13</f>
        <v>17169.599999999999</v>
      </c>
      <c r="C10" s="74">
        <v>0</v>
      </c>
      <c r="D10" s="76">
        <v>0</v>
      </c>
    </row>
    <row r="11" spans="1:6" x14ac:dyDescent="0.25">
      <c r="A11" s="15" t="s">
        <v>16</v>
      </c>
      <c r="B11" s="74">
        <f>'Calendario Inv'!D13</f>
        <v>18219.599999999999</v>
      </c>
      <c r="C11" s="74">
        <f>B6</f>
        <v>10249.35</v>
      </c>
      <c r="D11" s="76">
        <f>C11</f>
        <v>10249.35</v>
      </c>
    </row>
    <row r="12" spans="1:6" x14ac:dyDescent="0.25">
      <c r="A12" s="15" t="s">
        <v>39</v>
      </c>
      <c r="B12" s="74">
        <f>B11-D11</f>
        <v>7970.2499999999982</v>
      </c>
      <c r="C12" s="74">
        <f>+C6</f>
        <v>19555.95</v>
      </c>
      <c r="D12" s="76">
        <f>B12</f>
        <v>7970.2499999999982</v>
      </c>
      <c r="E12" t="s">
        <v>92</v>
      </c>
      <c r="F12" s="31">
        <f>C12-D12</f>
        <v>11585.700000000003</v>
      </c>
    </row>
    <row r="13" spans="1:6" ht="15.75" thickBot="1" x14ac:dyDescent="0.3">
      <c r="A13" s="16" t="s">
        <v>40</v>
      </c>
      <c r="B13" s="71">
        <v>0</v>
      </c>
      <c r="C13" s="71">
        <f>+D6</f>
        <v>19862.55</v>
      </c>
      <c r="D13" s="73">
        <v>0</v>
      </c>
      <c r="E13" t="s">
        <v>92</v>
      </c>
      <c r="F13" s="31">
        <f>C13</f>
        <v>19862.55</v>
      </c>
    </row>
  </sheetData>
  <mergeCells count="2">
    <mergeCell ref="A1:D1"/>
    <mergeCell ref="A8:D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7"/>
  <sheetViews>
    <sheetView showGridLines="0" tabSelected="1" workbookViewId="0">
      <selection activeCell="F33" sqref="F33"/>
    </sheetView>
  </sheetViews>
  <sheetFormatPr baseColWidth="10" defaultRowHeight="15" x14ac:dyDescent="0.25"/>
  <cols>
    <col min="1" max="1" width="26.7109375" customWidth="1"/>
    <col min="2" max="6" width="20.7109375" customWidth="1"/>
    <col min="7" max="8" width="14.140625" bestFit="1" customWidth="1"/>
  </cols>
  <sheetData>
    <row r="1" spans="1:8" ht="15.75" thickBot="1" x14ac:dyDescent="0.3">
      <c r="A1" s="136"/>
      <c r="B1" s="137" t="s">
        <v>67</v>
      </c>
      <c r="C1" s="141" t="s">
        <v>16</v>
      </c>
      <c r="D1" s="137" t="s">
        <v>39</v>
      </c>
      <c r="E1" s="137" t="s">
        <v>40</v>
      </c>
      <c r="F1" s="137" t="s">
        <v>93</v>
      </c>
    </row>
    <row r="2" spans="1:8" x14ac:dyDescent="0.25">
      <c r="A2" s="124" t="s">
        <v>98</v>
      </c>
      <c r="B2" s="143">
        <f>SUM(B3:B9)</f>
        <v>99629.6</v>
      </c>
      <c r="C2" s="144">
        <f t="shared" ref="C2:E2" si="0">SUM(C3:C9)</f>
        <v>93799.35</v>
      </c>
      <c r="D2" s="143">
        <f t="shared" si="0"/>
        <v>181555.35</v>
      </c>
      <c r="E2" s="143">
        <f t="shared" si="0"/>
        <v>247590.1</v>
      </c>
      <c r="F2" s="143">
        <f>SUM(F3:F9)</f>
        <v>451399.19999999995</v>
      </c>
    </row>
    <row r="3" spans="1:8" x14ac:dyDescent="0.25">
      <c r="A3" s="96" t="s">
        <v>99</v>
      </c>
      <c r="B3" s="143">
        <v>0</v>
      </c>
      <c r="C3" s="144">
        <f>B25</f>
        <v>0</v>
      </c>
      <c r="D3" s="143">
        <f>C25</f>
        <v>48585.100000000006</v>
      </c>
      <c r="E3" s="143">
        <f>D25</f>
        <v>122590.1</v>
      </c>
      <c r="F3" s="143">
        <v>0</v>
      </c>
    </row>
    <row r="4" spans="1:8" x14ac:dyDescent="0.25">
      <c r="A4" s="96" t="s">
        <v>100</v>
      </c>
      <c r="B4" s="143">
        <f>'2da Est. '!B7+'2da Est. '!C7</f>
        <v>77729.600000000006</v>
      </c>
      <c r="C4" s="144">
        <f>'2da Est. '!D7+'2da Est. '!E7</f>
        <v>4700</v>
      </c>
      <c r="D4" s="143">
        <v>0</v>
      </c>
      <c r="E4" s="143">
        <v>0</v>
      </c>
      <c r="F4" s="143">
        <f t="shared" ref="F4:F23" si="1">SUM(B4:E4)</f>
        <v>82429.600000000006</v>
      </c>
    </row>
    <row r="5" spans="1:8" x14ac:dyDescent="0.25">
      <c r="A5" s="96" t="s">
        <v>101</v>
      </c>
      <c r="B5" s="143">
        <v>0</v>
      </c>
      <c r="C5" s="144">
        <f>CREDITOS!C17</f>
        <v>3850</v>
      </c>
      <c r="D5" s="143">
        <v>0</v>
      </c>
      <c r="E5" s="143">
        <v>0</v>
      </c>
      <c r="F5" s="143">
        <f t="shared" si="1"/>
        <v>3850</v>
      </c>
    </row>
    <row r="6" spans="1:8" x14ac:dyDescent="0.25">
      <c r="A6" s="96" t="s">
        <v>102</v>
      </c>
      <c r="B6" s="143">
        <f>CREDITOS!D3</f>
        <v>21900</v>
      </c>
      <c r="C6" s="144">
        <v>0</v>
      </c>
      <c r="D6" s="143">
        <v>0</v>
      </c>
      <c r="E6" s="143">
        <v>0</v>
      </c>
      <c r="F6" s="143">
        <f t="shared" si="1"/>
        <v>21900</v>
      </c>
    </row>
    <row r="7" spans="1:8" x14ac:dyDescent="0.25">
      <c r="A7" s="96" t="s">
        <v>103</v>
      </c>
      <c r="B7" s="143">
        <v>0</v>
      </c>
      <c r="C7" s="144">
        <f>CRes!B3</f>
        <v>75000</v>
      </c>
      <c r="D7" s="143">
        <f>CRes!B4</f>
        <v>125000</v>
      </c>
      <c r="E7" s="143">
        <f>CRes!B5</f>
        <v>125000</v>
      </c>
      <c r="F7" s="143">
        <f t="shared" si="1"/>
        <v>325000</v>
      </c>
    </row>
    <row r="8" spans="1:8" x14ac:dyDescent="0.25">
      <c r="A8" s="96" t="s">
        <v>104</v>
      </c>
      <c r="B8" s="143">
        <v>0</v>
      </c>
      <c r="C8" s="144">
        <f>'RECUPERO IVA'!D11</f>
        <v>10249.35</v>
      </c>
      <c r="D8" s="143">
        <f>'RECUPERO IVA'!D12</f>
        <v>7970.2499999999982</v>
      </c>
      <c r="E8" s="143">
        <v>0</v>
      </c>
      <c r="F8" s="143">
        <f t="shared" si="1"/>
        <v>18219.599999999999</v>
      </c>
    </row>
    <row r="9" spans="1:8" ht="15.75" thickBot="1" x14ac:dyDescent="0.3">
      <c r="A9" s="96" t="s">
        <v>106</v>
      </c>
      <c r="B9" s="142">
        <v>0</v>
      </c>
      <c r="C9" s="144">
        <v>0</v>
      </c>
      <c r="D9" s="142">
        <v>0</v>
      </c>
      <c r="E9" s="142">
        <v>0</v>
      </c>
      <c r="F9" s="142">
        <v>0</v>
      </c>
    </row>
    <row r="10" spans="1:8" ht="15.75" thickBot="1" x14ac:dyDescent="0.3">
      <c r="A10" s="133"/>
      <c r="B10" s="134"/>
      <c r="C10" s="135"/>
      <c r="D10" s="134"/>
      <c r="E10" s="135"/>
      <c r="F10" s="135"/>
    </row>
    <row r="11" spans="1:8" x14ac:dyDescent="0.25">
      <c r="A11" s="95" t="s">
        <v>105</v>
      </c>
      <c r="B11" s="139">
        <f>SUM(B12:B19)</f>
        <v>99629.6</v>
      </c>
      <c r="C11" s="139">
        <f>SUM(C12:C19)</f>
        <v>69594.25</v>
      </c>
      <c r="D11" s="139">
        <f>SUM(D12:D19)</f>
        <v>83345.25</v>
      </c>
      <c r="E11" s="139">
        <f>SUM(E12:E19)</f>
        <v>79549.25</v>
      </c>
      <c r="F11" s="139">
        <f t="shared" si="1"/>
        <v>332118.34999999998</v>
      </c>
      <c r="G11" s="31"/>
      <c r="H11" s="31"/>
    </row>
    <row r="12" spans="1:8" x14ac:dyDescent="0.25">
      <c r="A12" s="96" t="s">
        <v>94</v>
      </c>
      <c r="B12" s="143">
        <f>'Calendario Inv'!B3</f>
        <v>79760</v>
      </c>
      <c r="C12" s="143">
        <f>'Calendario Inv'!C3</f>
        <v>2000</v>
      </c>
      <c r="D12" s="143">
        <v>0</v>
      </c>
      <c r="E12" s="143">
        <v>0</v>
      </c>
      <c r="F12" s="143">
        <f t="shared" si="1"/>
        <v>81760</v>
      </c>
    </row>
    <row r="13" spans="1:8" x14ac:dyDescent="0.25">
      <c r="A13" s="96" t="s">
        <v>95</v>
      </c>
      <c r="B13" s="143">
        <f>'Calendario Inv'!B7</f>
        <v>2700</v>
      </c>
      <c r="C13" s="143">
        <f>'Calendario Inv'!C7</f>
        <v>6250</v>
      </c>
      <c r="D13" s="143">
        <v>0</v>
      </c>
      <c r="E13" s="143">
        <v>0</v>
      </c>
      <c r="F13" s="143">
        <f t="shared" si="1"/>
        <v>8950</v>
      </c>
    </row>
    <row r="14" spans="1:8" x14ac:dyDescent="0.25">
      <c r="A14" s="96" t="s">
        <v>107</v>
      </c>
      <c r="B14" s="143">
        <v>0</v>
      </c>
      <c r="C14" s="143">
        <f>CRes!C3</f>
        <v>39145</v>
      </c>
      <c r="D14" s="143">
        <f>CRes!C4</f>
        <v>47685</v>
      </c>
      <c r="E14" s="143">
        <f>CRes!C5</f>
        <v>41845</v>
      </c>
      <c r="F14" s="143">
        <f t="shared" si="1"/>
        <v>128675</v>
      </c>
    </row>
    <row r="15" spans="1:8" x14ac:dyDescent="0.25">
      <c r="A15" s="96" t="s">
        <v>63</v>
      </c>
      <c r="B15" s="143">
        <v>0</v>
      </c>
      <c r="C15" s="143">
        <f>CRes!F3</f>
        <v>11849.25</v>
      </c>
      <c r="D15" s="143">
        <f>CRes!F4</f>
        <v>26360.25</v>
      </c>
      <c r="E15" s="143">
        <f>CRes!F5</f>
        <v>28404.25</v>
      </c>
      <c r="F15" s="143">
        <f t="shared" si="1"/>
        <v>66613.75</v>
      </c>
    </row>
    <row r="16" spans="1:8" x14ac:dyDescent="0.25">
      <c r="A16" s="96" t="s">
        <v>108</v>
      </c>
      <c r="B16" s="143">
        <v>0</v>
      </c>
      <c r="C16" s="143">
        <f>CREDITOS!C10</f>
        <v>7300</v>
      </c>
      <c r="D16" s="143">
        <f>C16</f>
        <v>7300</v>
      </c>
      <c r="E16" s="143">
        <f>C16</f>
        <v>7300</v>
      </c>
      <c r="F16" s="143">
        <f t="shared" si="1"/>
        <v>21900</v>
      </c>
    </row>
    <row r="17" spans="1:7" x14ac:dyDescent="0.25">
      <c r="A17" s="96" t="s">
        <v>62</v>
      </c>
      <c r="B17" s="143">
        <v>0</v>
      </c>
      <c r="C17" s="143">
        <f>CRes!E3</f>
        <v>2000</v>
      </c>
      <c r="D17" s="143">
        <f>CRes!E4</f>
        <v>2000</v>
      </c>
      <c r="E17" s="143">
        <f>CRes!E5</f>
        <v>2000</v>
      </c>
      <c r="F17" s="143">
        <f t="shared" si="1"/>
        <v>6000</v>
      </c>
    </row>
    <row r="18" spans="1:7" x14ac:dyDescent="0.25">
      <c r="A18" s="96" t="s">
        <v>96</v>
      </c>
      <c r="B18" s="143">
        <v>0</v>
      </c>
      <c r="C18" s="143">
        <v>0</v>
      </c>
      <c r="D18" s="143">
        <v>0</v>
      </c>
      <c r="E18" s="143">
        <v>0</v>
      </c>
      <c r="F18" s="143">
        <f t="shared" si="1"/>
        <v>0</v>
      </c>
    </row>
    <row r="19" spans="1:7" x14ac:dyDescent="0.25">
      <c r="A19" s="96" t="s">
        <v>52</v>
      </c>
      <c r="B19" s="143">
        <f>'Calendario Inv'!B13</f>
        <v>17169.599999999999</v>
      </c>
      <c r="C19" s="143">
        <f>'Calendario Inv'!C13</f>
        <v>1050</v>
      </c>
      <c r="D19" s="143">
        <v>0</v>
      </c>
      <c r="E19" s="143">
        <v>0</v>
      </c>
      <c r="F19" s="143">
        <f t="shared" si="1"/>
        <v>18219.599999999999</v>
      </c>
    </row>
    <row r="20" spans="1:7" ht="15.75" thickBot="1" x14ac:dyDescent="0.3">
      <c r="A20" s="98" t="s">
        <v>109</v>
      </c>
      <c r="B20" s="142"/>
      <c r="C20" s="142"/>
      <c r="D20" s="142"/>
      <c r="E20" s="142"/>
      <c r="F20" s="142"/>
    </row>
    <row r="21" spans="1:7" ht="15.75" thickBot="1" x14ac:dyDescent="0.3">
      <c r="A21" s="101"/>
      <c r="B21" s="109"/>
      <c r="C21" s="110"/>
      <c r="D21" s="109"/>
      <c r="E21" s="110"/>
      <c r="F21" s="138"/>
    </row>
    <row r="22" spans="1:7" x14ac:dyDescent="0.25">
      <c r="A22" s="95" t="s">
        <v>97</v>
      </c>
      <c r="B22" s="140">
        <f>+B2-B11</f>
        <v>0</v>
      </c>
      <c r="C22" s="139">
        <f>+C2-C11</f>
        <v>24205.100000000006</v>
      </c>
      <c r="D22" s="103">
        <f>+D2-D11</f>
        <v>98210.1</v>
      </c>
      <c r="E22" s="102">
        <f>+E2-E11</f>
        <v>168040.85</v>
      </c>
      <c r="F22" s="103">
        <f>F2-F11</f>
        <v>119280.84999999998</v>
      </c>
    </row>
    <row r="23" spans="1:7" ht="15.75" thickBot="1" x14ac:dyDescent="0.3">
      <c r="A23" s="98" t="s">
        <v>110</v>
      </c>
      <c r="B23" s="106">
        <v>0</v>
      </c>
      <c r="C23" s="108">
        <f>B35</f>
        <v>24380</v>
      </c>
      <c r="D23" s="108">
        <f>B36</f>
        <v>24380</v>
      </c>
      <c r="E23" s="108">
        <f>B37</f>
        <v>20000</v>
      </c>
      <c r="F23" s="113">
        <f t="shared" si="1"/>
        <v>68760</v>
      </c>
    </row>
    <row r="24" spans="1:7" ht="15.75" thickBot="1" x14ac:dyDescent="0.3">
      <c r="A24" s="101"/>
      <c r="B24" s="109"/>
      <c r="C24" s="110"/>
      <c r="D24" s="109"/>
      <c r="E24" s="110"/>
      <c r="F24" s="135"/>
    </row>
    <row r="25" spans="1:7" x14ac:dyDescent="0.25">
      <c r="A25" s="95" t="s">
        <v>111</v>
      </c>
      <c r="B25" s="103">
        <f>+B22+B23</f>
        <v>0</v>
      </c>
      <c r="C25" s="103">
        <f>+C22+C23</f>
        <v>48585.100000000006</v>
      </c>
      <c r="D25" s="103">
        <f>+D22+D23</f>
        <v>122590.1</v>
      </c>
      <c r="E25" s="145">
        <f>+E22+E23</f>
        <v>188040.85</v>
      </c>
      <c r="F25" s="146">
        <f>F22+F23</f>
        <v>188040.84999999998</v>
      </c>
    </row>
    <row r="26" spans="1:7" ht="15.75" thickBot="1" x14ac:dyDescent="0.3">
      <c r="A26" s="98" t="s">
        <v>112</v>
      </c>
      <c r="B26" s="106">
        <f>+B25</f>
        <v>0</v>
      </c>
      <c r="C26" s="108">
        <f>C25-B25</f>
        <v>48585.100000000006</v>
      </c>
      <c r="D26" s="108">
        <f>D25-C25</f>
        <v>74005</v>
      </c>
      <c r="E26" s="108">
        <f>E25-D25</f>
        <v>65450.75</v>
      </c>
      <c r="F26" s="147">
        <f>F25</f>
        <v>188040.84999999998</v>
      </c>
    </row>
    <row r="28" spans="1:7" x14ac:dyDescent="0.25">
      <c r="A28" s="34" t="s">
        <v>113</v>
      </c>
    </row>
    <row r="29" spans="1:7" ht="15.75" thickBot="1" x14ac:dyDescent="0.3"/>
    <row r="30" spans="1:7" ht="15.75" thickBot="1" x14ac:dyDescent="0.3">
      <c r="A30" s="31">
        <f>SUM(DE!B3:B6)</f>
        <v>73000</v>
      </c>
      <c r="B30" s="1" t="s">
        <v>114</v>
      </c>
      <c r="E30" s="192" t="s">
        <v>121</v>
      </c>
      <c r="F30" s="193"/>
    </row>
    <row r="31" spans="1:7" x14ac:dyDescent="0.25">
      <c r="A31" s="22">
        <v>13000</v>
      </c>
      <c r="B31" s="1" t="s">
        <v>115</v>
      </c>
      <c r="D31" s="31"/>
      <c r="E31" s="95" t="s">
        <v>122</v>
      </c>
      <c r="F31" s="121">
        <f>E25+A31+F13-F4-F5</f>
        <v>123711.25</v>
      </c>
      <c r="G31" s="31"/>
    </row>
    <row r="32" spans="1:7" x14ac:dyDescent="0.25">
      <c r="E32" s="96" t="s">
        <v>123</v>
      </c>
      <c r="F32" s="122">
        <f>CRes!B7</f>
        <v>123711.25</v>
      </c>
    </row>
    <row r="33" spans="1:6" x14ac:dyDescent="0.25">
      <c r="A33" t="s">
        <v>116</v>
      </c>
      <c r="B33" s="31">
        <f>CREDITOS!B32/2</f>
        <v>4380</v>
      </c>
      <c r="C33" s="1" t="s">
        <v>120</v>
      </c>
      <c r="E33" s="96" t="s">
        <v>124</v>
      </c>
      <c r="F33" s="122">
        <f>F32+SUM(CREDITOS!B39:D39)</f>
        <v>142386.25</v>
      </c>
    </row>
    <row r="34" spans="1:6" ht="15.75" thickBot="1" x14ac:dyDescent="0.3">
      <c r="E34" s="98" t="s">
        <v>125</v>
      </c>
      <c r="F34" s="123">
        <f>F31+SUM(CREDITOS!B39:D39)*(1-DE!B37)</f>
        <v>135850</v>
      </c>
    </row>
    <row r="35" spans="1:6" x14ac:dyDescent="0.25">
      <c r="A35" s="2" t="s">
        <v>117</v>
      </c>
      <c r="B35" s="32">
        <f>(A30-A31)/3+B33</f>
        <v>24380</v>
      </c>
    </row>
    <row r="36" spans="1:6" x14ac:dyDescent="0.25">
      <c r="A36" s="2" t="s">
        <v>118</v>
      </c>
      <c r="B36" s="32">
        <f>B35</f>
        <v>24380</v>
      </c>
      <c r="E36" t="s">
        <v>128</v>
      </c>
      <c r="F36" s="31">
        <f>SUM(CREDITOS!B39:D39)*DE!B37</f>
        <v>6536.25</v>
      </c>
    </row>
    <row r="37" spans="1:6" x14ac:dyDescent="0.25">
      <c r="A37" s="2" t="s">
        <v>119</v>
      </c>
      <c r="B37" s="32">
        <f>(A30-A31)/3</f>
        <v>20000</v>
      </c>
    </row>
  </sheetData>
  <mergeCells count="1">
    <mergeCell ref="E30:F30"/>
  </mergeCells>
  <conditionalFormatting sqref="C22:E22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1F4EAB1AA4FF4686C85BA3AF0A9781" ma:contentTypeVersion="13" ma:contentTypeDescription="Create a new document." ma:contentTypeScope="" ma:versionID="7f8820c0958d72da6338d142651d4baf">
  <xsd:schema xmlns:xsd="http://www.w3.org/2001/XMLSchema" xmlns:xs="http://www.w3.org/2001/XMLSchema" xmlns:p="http://schemas.microsoft.com/office/2006/metadata/properties" xmlns:ns2="92cdef28-4cda-4e75-81be-5f16597231da" xmlns:ns3="bb32e02e-f9d1-4c5e-925e-749de7b20467" targetNamespace="http://schemas.microsoft.com/office/2006/metadata/properties" ma:root="true" ma:fieldsID="a070b85143bc46ecb4781694066b4f7e" ns2:_="" ns3:_="">
    <xsd:import namespace="92cdef28-4cda-4e75-81be-5f16597231da"/>
    <xsd:import namespace="bb32e02e-f9d1-4c5e-925e-749de7b204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cdef28-4cda-4e75-81be-5f16597231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4d35a88-ad69-48bb-bb3c-144b183390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32e02e-f9d1-4c5e-925e-749de7b2046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6813d0-2b24-4b63-8e4b-c35a96fe6ad7}" ma:internalName="TaxCatchAll" ma:showField="CatchAllData" ma:web="bb32e02e-f9d1-4c5e-925e-749de7b204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b32e02e-f9d1-4c5e-925e-749de7b20467" xsi:nil="true"/>
    <lcf76f155ced4ddcb4097134ff3c332f xmlns="92cdef28-4cda-4e75-81be-5f16597231d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F86FB0-5037-4914-9B52-2D7D13D747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2cdef28-4cda-4e75-81be-5f16597231da"/>
    <ds:schemaRef ds:uri="bb32e02e-f9d1-4c5e-925e-749de7b204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DD6D423-8A29-4D28-BBE2-E93E2357C3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3E8B99-9DE6-44B0-8C21-21004ECC58B9}">
  <ds:schemaRefs>
    <ds:schemaRef ds:uri="http://schemas.microsoft.com/office/2006/metadata/properties"/>
    <ds:schemaRef ds:uri="http://schemas.microsoft.com/office/infopath/2007/PartnerControls"/>
    <ds:schemaRef ds:uri="bb32e02e-f9d1-4c5e-925e-749de7b20467"/>
    <ds:schemaRef ds:uri="92cdef28-4cda-4e75-81be-5f16597231d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DE</vt:lpstr>
      <vt:lpstr>CREDITOS</vt:lpstr>
      <vt:lpstr>1era estructura Financiera</vt:lpstr>
      <vt:lpstr>CRes</vt:lpstr>
      <vt:lpstr>Calendario Inv</vt:lpstr>
      <vt:lpstr>2da Est. </vt:lpstr>
      <vt:lpstr>RECUPERO IVA</vt:lpstr>
      <vt:lpstr>CFyU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Abril Marian Nacif</dc:creator>
  <cp:lastModifiedBy>Santiiago Greco</cp:lastModifiedBy>
  <dcterms:created xsi:type="dcterms:W3CDTF">2023-11-20T20:29:22Z</dcterms:created>
  <dcterms:modified xsi:type="dcterms:W3CDTF">2024-12-08T21:49:39Z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0x0101003C1F4EAB1AA4FF4686C85BA3AF0A9781</vt:lpwstr>
  </property>
  <property fmtid="{D5CDD505-2E9C-101B-9397-08002B2CF9AE}" pid="3" name="Order">
    <vt:r8>211300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