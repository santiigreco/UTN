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D:\Descargas\Descargas\"/>
    </mc:Choice>
  </mc:AlternateContent>
  <xr:revisionPtr revIDLastSave="0" documentId="13_ncr:1_{8C429902-CDDB-4AC7-B95B-BA4E704D70C9}" xr6:coauthVersionLast="47" xr6:coauthVersionMax="47" xr10:uidLastSave="{00000000-0000-0000-0000-000000000000}"/>
  <bookViews>
    <workbookView xWindow="-120" yWindow="-120" windowWidth="29040" windowHeight="15840" activeTab="7" xr2:uid="{0F729232-FB45-4C3D-86A1-71B568B85F7F}"/>
  </bookViews>
  <sheets>
    <sheet name="Ej. 0" sheetId="1" r:id="rId1"/>
    <sheet name="Ej. 0 (2)" sheetId="6" r:id="rId2"/>
    <sheet name="Ej. 0 (3)" sheetId="8" r:id="rId3"/>
    <sheet name="Ej. 1" sheetId="2" r:id="rId4"/>
    <sheet name="Ej. 1 (2)" sheetId="7" r:id="rId5"/>
    <sheet name="Ej. 2" sheetId="3" r:id="rId6"/>
    <sheet name="Ej. 3" sheetId="4" r:id="rId7"/>
    <sheet name="Ej. 4" sheetId="5"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36" i="5" l="1"/>
  <c r="C130" i="5"/>
  <c r="D118" i="5"/>
  <c r="J112" i="5"/>
  <c r="D114" i="5"/>
  <c r="J104" i="5"/>
  <c r="J103" i="5"/>
  <c r="I103" i="5"/>
  <c r="G104" i="5"/>
  <c r="F84" i="5"/>
  <c r="F83" i="5"/>
  <c r="E83" i="5"/>
  <c r="D83" i="5"/>
  <c r="D82" i="5"/>
  <c r="F70" i="5"/>
  <c r="C57" i="5"/>
  <c r="C56" i="5"/>
  <c r="C55" i="5"/>
  <c r="C54" i="5"/>
  <c r="J44" i="5"/>
  <c r="J43" i="5"/>
  <c r="J42" i="5"/>
  <c r="I42" i="5"/>
  <c r="J36" i="5"/>
  <c r="I36" i="5"/>
  <c r="I38" i="8"/>
  <c r="H38" i="8"/>
  <c r="C53" i="8"/>
  <c r="C52" i="8"/>
  <c r="I33" i="8"/>
  <c r="H33" i="8"/>
  <c r="H34" i="8" s="1"/>
  <c r="E142" i="8"/>
  <c r="G141" i="8"/>
  <c r="G140" i="8"/>
  <c r="F142" i="8"/>
  <c r="D132" i="8"/>
  <c r="I131" i="8"/>
  <c r="I130" i="8"/>
  <c r="E132" i="8"/>
  <c r="D100" i="7"/>
  <c r="D111" i="7"/>
  <c r="E96" i="7"/>
  <c r="F89" i="7"/>
  <c r="F88" i="7"/>
  <c r="E89" i="7"/>
  <c r="E88" i="7"/>
  <c r="E87" i="7"/>
  <c r="E86" i="7"/>
  <c r="D89" i="7"/>
  <c r="D88" i="7"/>
  <c r="D87" i="7"/>
  <c r="D86" i="7"/>
  <c r="F86" i="7"/>
  <c r="F87" i="7"/>
  <c r="F85" i="7"/>
  <c r="E85" i="7"/>
  <c r="D85" i="7"/>
  <c r="H76" i="7"/>
  <c r="H77" i="7" s="1"/>
  <c r="H78" i="7" s="1"/>
  <c r="G78" i="7"/>
  <c r="D78" i="7"/>
  <c r="I53" i="7"/>
  <c r="H75" i="7"/>
  <c r="G75" i="7"/>
  <c r="H74" i="7"/>
  <c r="G74" i="7"/>
  <c r="F74" i="7"/>
  <c r="E74" i="7"/>
  <c r="D74" i="7"/>
  <c r="F73" i="7"/>
  <c r="E73" i="7"/>
  <c r="D73" i="7"/>
  <c r="G65" i="2"/>
  <c r="G65" i="7"/>
  <c r="G64" i="7"/>
  <c r="F64" i="7"/>
  <c r="D63" i="7"/>
  <c r="D61" i="7"/>
  <c r="D64" i="2"/>
  <c r="D64" i="7"/>
  <c r="D62" i="7"/>
  <c r="I54" i="7"/>
  <c r="H54" i="7"/>
  <c r="H52" i="7"/>
  <c r="F54" i="7"/>
  <c r="H53" i="7"/>
  <c r="I52" i="7"/>
  <c r="I51" i="7"/>
  <c r="H51" i="7"/>
  <c r="F53" i="7"/>
  <c r="F52" i="7"/>
  <c r="F51" i="7"/>
  <c r="C42" i="7"/>
  <c r="C41" i="7"/>
  <c r="C40" i="7"/>
  <c r="C39" i="7"/>
  <c r="J22" i="7"/>
  <c r="J23" i="7"/>
  <c r="J24" i="7"/>
  <c r="J25" i="7"/>
  <c r="J26" i="7"/>
  <c r="J27" i="7"/>
  <c r="J28" i="7"/>
  <c r="J29" i="7"/>
  <c r="J30" i="7"/>
  <c r="J31" i="7"/>
  <c r="J32" i="7"/>
  <c r="J33" i="7"/>
  <c r="J34" i="7"/>
  <c r="H28" i="7"/>
  <c r="H27" i="7"/>
  <c r="I27" i="7"/>
  <c r="I32" i="7"/>
  <c r="I28" i="7"/>
  <c r="I28" i="2"/>
  <c r="I27" i="2"/>
  <c r="I22" i="7"/>
  <c r="I23" i="7" s="1"/>
  <c r="I21" i="7"/>
  <c r="J21" i="7" s="1"/>
  <c r="H21" i="7"/>
  <c r="H32" i="7" s="1"/>
  <c r="G84" i="7"/>
  <c r="E149" i="6"/>
  <c r="D149" i="1"/>
  <c r="D151" i="1" s="1"/>
  <c r="J145" i="6"/>
  <c r="J143" i="6"/>
  <c r="J139" i="6"/>
  <c r="J140" i="6"/>
  <c r="J141" i="6" s="1"/>
  <c r="J138" i="6"/>
  <c r="J137" i="6"/>
  <c r="I138" i="6"/>
  <c r="I139" i="6"/>
  <c r="I140" i="6"/>
  <c r="I141" i="6"/>
  <c r="I137" i="6"/>
  <c r="G141" i="6"/>
  <c r="G140" i="6"/>
  <c r="G139" i="6"/>
  <c r="G138" i="6"/>
  <c r="F140" i="6"/>
  <c r="F139" i="6"/>
  <c r="F138" i="6"/>
  <c r="D139" i="6"/>
  <c r="D138" i="6"/>
  <c r="E132" i="6"/>
  <c r="F132" i="6"/>
  <c r="G132" i="6"/>
  <c r="H132" i="6"/>
  <c r="I132" i="6"/>
  <c r="D132" i="6"/>
  <c r="E131" i="6"/>
  <c r="E131" i="1"/>
  <c r="I129" i="6"/>
  <c r="I130" i="6"/>
  <c r="I131" i="6"/>
  <c r="D131" i="6"/>
  <c r="H129" i="6"/>
  <c r="G129" i="6"/>
  <c r="I128" i="6"/>
  <c r="H128" i="6"/>
  <c r="G128" i="6"/>
  <c r="F128" i="6"/>
  <c r="E128" i="6"/>
  <c r="D128" i="6"/>
  <c r="I127" i="6"/>
  <c r="F127" i="6"/>
  <c r="E127" i="6"/>
  <c r="D127" i="6"/>
  <c r="G120" i="6"/>
  <c r="D120" i="6"/>
  <c r="E119" i="6"/>
  <c r="D119" i="6"/>
  <c r="E118" i="6"/>
  <c r="E118" i="1"/>
  <c r="D118" i="6"/>
  <c r="D118" i="1"/>
  <c r="G114" i="6"/>
  <c r="F114" i="6"/>
  <c r="G113" i="6"/>
  <c r="F113" i="6"/>
  <c r="G112" i="6"/>
  <c r="F112" i="6"/>
  <c r="D104" i="6"/>
  <c r="I102" i="6"/>
  <c r="I101" i="6"/>
  <c r="I100" i="6"/>
  <c r="I97" i="6"/>
  <c r="H95" i="6"/>
  <c r="H94" i="6"/>
  <c r="F98" i="1"/>
  <c r="H105" i="1"/>
  <c r="F96" i="1"/>
  <c r="G79" i="6"/>
  <c r="F70" i="1"/>
  <c r="F68" i="1"/>
  <c r="G65" i="6"/>
  <c r="F65" i="6"/>
  <c r="I59" i="6"/>
  <c r="G64" i="6" s="1"/>
  <c r="G94" i="6" s="1"/>
  <c r="G97" i="6" s="1"/>
  <c r="G99" i="6" s="1"/>
  <c r="C59" i="1"/>
  <c r="I58" i="6"/>
  <c r="E79" i="6" s="1"/>
  <c r="C51" i="6"/>
  <c r="C52" i="6" s="1"/>
  <c r="C53" i="6" s="1"/>
  <c r="I43" i="6"/>
  <c r="H43" i="6"/>
  <c r="I40" i="6"/>
  <c r="J39" i="6"/>
  <c r="J40" i="6" s="1"/>
  <c r="I39" i="6"/>
  <c r="H39" i="6"/>
  <c r="H40" i="6" s="1"/>
  <c r="J38" i="6"/>
  <c r="I33" i="6"/>
  <c r="I44" i="6" s="1"/>
  <c r="H33" i="6"/>
  <c r="H44" i="6" s="1"/>
  <c r="J32" i="6"/>
  <c r="D122" i="5"/>
  <c r="E109" i="5"/>
  <c r="F109" i="5"/>
  <c r="D109" i="5"/>
  <c r="G103" i="5"/>
  <c r="F105" i="5"/>
  <c r="F104" i="5"/>
  <c r="E105" i="5"/>
  <c r="E106" i="5"/>
  <c r="E107" i="5"/>
  <c r="E108" i="5"/>
  <c r="E104" i="5"/>
  <c r="D105" i="5"/>
  <c r="G105" i="5" s="1"/>
  <c r="D106" i="5"/>
  <c r="G106" i="5" s="1"/>
  <c r="D107" i="5"/>
  <c r="G107" i="5" s="1"/>
  <c r="D108" i="5"/>
  <c r="G108" i="5" s="1"/>
  <c r="D104" i="5"/>
  <c r="E99" i="5"/>
  <c r="F99" i="5"/>
  <c r="D99" i="5"/>
  <c r="I93" i="5"/>
  <c r="E98" i="5"/>
  <c r="D98" i="5"/>
  <c r="F94" i="5"/>
  <c r="F93" i="5"/>
  <c r="E94" i="5"/>
  <c r="E93" i="5"/>
  <c r="D94" i="5"/>
  <c r="D93" i="5"/>
  <c r="E84" i="5"/>
  <c r="D84" i="5"/>
  <c r="F69" i="5"/>
  <c r="F68" i="5"/>
  <c r="F66" i="5"/>
  <c r="F65" i="5"/>
  <c r="F63" i="5"/>
  <c r="K29" i="5"/>
  <c r="K27" i="5" s="1"/>
  <c r="K24" i="5"/>
  <c r="K21" i="5"/>
  <c r="K22" i="5" s="1"/>
  <c r="K18" i="5"/>
  <c r="K19" i="5" s="1"/>
  <c r="K15" i="5"/>
  <c r="F26" i="5"/>
  <c r="F24" i="5"/>
  <c r="F67" i="5" s="1"/>
  <c r="F18" i="5"/>
  <c r="F15" i="5"/>
  <c r="F16" i="5" s="1"/>
  <c r="E18" i="4"/>
  <c r="E17" i="4"/>
  <c r="E16" i="4"/>
  <c r="E15" i="4"/>
  <c r="E14" i="4"/>
  <c r="E13" i="4"/>
  <c r="K48" i="3"/>
  <c r="K47" i="3"/>
  <c r="K42" i="3"/>
  <c r="K43" i="3" s="1"/>
  <c r="J47" i="3"/>
  <c r="J42" i="3"/>
  <c r="I42" i="3"/>
  <c r="I47" i="3" s="1"/>
  <c r="E11" i="4"/>
  <c r="E10" i="4"/>
  <c r="D109" i="3"/>
  <c r="D105" i="3"/>
  <c r="J103" i="3"/>
  <c r="I96" i="3"/>
  <c r="I98" i="3"/>
  <c r="I99" i="3"/>
  <c r="E100" i="3"/>
  <c r="D100" i="3"/>
  <c r="G95" i="3"/>
  <c r="G96" i="3"/>
  <c r="G98" i="3"/>
  <c r="G99" i="3"/>
  <c r="G94" i="3"/>
  <c r="F96" i="3"/>
  <c r="F95" i="3"/>
  <c r="E96" i="3"/>
  <c r="E97" i="3"/>
  <c r="E98" i="3"/>
  <c r="E99" i="3"/>
  <c r="E95" i="3"/>
  <c r="D99" i="3"/>
  <c r="D98" i="3"/>
  <c r="D97" i="3"/>
  <c r="D96" i="3"/>
  <c r="D95" i="3"/>
  <c r="E90" i="3"/>
  <c r="G90" i="3"/>
  <c r="H90" i="3"/>
  <c r="D90" i="3"/>
  <c r="E89" i="3"/>
  <c r="D89" i="3"/>
  <c r="I86" i="3"/>
  <c r="I87" i="3"/>
  <c r="I88" i="3"/>
  <c r="H88" i="3"/>
  <c r="H89" i="3"/>
  <c r="H87" i="3"/>
  <c r="H86" i="3"/>
  <c r="H85" i="3"/>
  <c r="G88" i="3"/>
  <c r="G89" i="3"/>
  <c r="G87" i="3"/>
  <c r="J64" i="3"/>
  <c r="I64" i="3"/>
  <c r="G86" i="3" s="1"/>
  <c r="G85" i="3"/>
  <c r="F85" i="3"/>
  <c r="I85" i="3" s="1"/>
  <c r="I95" i="3" s="1"/>
  <c r="E85" i="3"/>
  <c r="E84" i="3"/>
  <c r="D85" i="3"/>
  <c r="D84" i="3"/>
  <c r="F78" i="3"/>
  <c r="F77" i="3"/>
  <c r="D78" i="3"/>
  <c r="D77" i="3"/>
  <c r="E75" i="3"/>
  <c r="E74" i="3"/>
  <c r="D76" i="3"/>
  <c r="D75" i="3"/>
  <c r="D74" i="3"/>
  <c r="G67" i="3"/>
  <c r="J66" i="3"/>
  <c r="G66" i="3"/>
  <c r="J65" i="3"/>
  <c r="J67" i="3" s="1"/>
  <c r="G65" i="3"/>
  <c r="G64" i="3"/>
  <c r="J63" i="3"/>
  <c r="I63" i="3"/>
  <c r="G63" i="3"/>
  <c r="C55" i="3"/>
  <c r="C54" i="3"/>
  <c r="C53" i="3"/>
  <c r="C52" i="3"/>
  <c r="J48" i="3"/>
  <c r="J46" i="3"/>
  <c r="K46" i="3"/>
  <c r="I46" i="3"/>
  <c r="J43" i="3"/>
  <c r="I43" i="3"/>
  <c r="K41" i="3"/>
  <c r="J41" i="3"/>
  <c r="I41" i="3"/>
  <c r="J37" i="3"/>
  <c r="K37" i="3"/>
  <c r="I37" i="3"/>
  <c r="J36" i="3"/>
  <c r="K36" i="3"/>
  <c r="I36" i="3"/>
  <c r="K35" i="3"/>
  <c r="J35" i="3"/>
  <c r="I35" i="3"/>
  <c r="D118" i="2"/>
  <c r="F114" i="2"/>
  <c r="D111" i="2"/>
  <c r="E96" i="2"/>
  <c r="D102" i="2"/>
  <c r="E108" i="2" s="1"/>
  <c r="E100" i="2"/>
  <c r="D100" i="2"/>
  <c r="J93" i="2"/>
  <c r="J91" i="2"/>
  <c r="J86" i="2"/>
  <c r="J87" i="2"/>
  <c r="J88" i="2" s="1"/>
  <c r="J89" i="2" s="1"/>
  <c r="J85" i="2"/>
  <c r="J84" i="2"/>
  <c r="I86" i="2"/>
  <c r="I87" i="2"/>
  <c r="I88" i="2"/>
  <c r="I89" i="2"/>
  <c r="I85" i="2"/>
  <c r="I84" i="2"/>
  <c r="E90" i="2"/>
  <c r="F90" i="2"/>
  <c r="G90" i="2"/>
  <c r="D90" i="2"/>
  <c r="G85" i="2"/>
  <c r="G86" i="2"/>
  <c r="G87" i="2"/>
  <c r="G88" i="2"/>
  <c r="G89" i="2"/>
  <c r="G84" i="2"/>
  <c r="F89" i="2"/>
  <c r="F86" i="2"/>
  <c r="F87" i="2"/>
  <c r="F88" i="2"/>
  <c r="F85" i="2"/>
  <c r="E86" i="2"/>
  <c r="E87" i="2"/>
  <c r="E88" i="2"/>
  <c r="E89" i="2"/>
  <c r="E85" i="2"/>
  <c r="D88" i="2"/>
  <c r="D89" i="2"/>
  <c r="D87" i="2"/>
  <c r="D86" i="2"/>
  <c r="D85" i="2"/>
  <c r="G76" i="2"/>
  <c r="F63" i="2"/>
  <c r="F62" i="2"/>
  <c r="I51" i="2"/>
  <c r="I52" i="2" s="1"/>
  <c r="H51" i="2"/>
  <c r="H52" i="2" s="1"/>
  <c r="F51" i="2"/>
  <c r="F52" i="2" s="1"/>
  <c r="C40" i="2"/>
  <c r="D78" i="2" s="1"/>
  <c r="H28" i="2"/>
  <c r="J28" i="2" s="1"/>
  <c r="E74" i="2"/>
  <c r="H27" i="2"/>
  <c r="H29" i="2" s="1"/>
  <c r="J25" i="2"/>
  <c r="I21" i="2"/>
  <c r="D74" i="2" s="1"/>
  <c r="H21" i="2"/>
  <c r="D73" i="2" s="1"/>
  <c r="D79" i="2" s="1"/>
  <c r="D153" i="1"/>
  <c r="E149" i="1"/>
  <c r="F145" i="1"/>
  <c r="J145" i="1"/>
  <c r="J143" i="1"/>
  <c r="J139" i="1"/>
  <c r="J140" i="1"/>
  <c r="J141" i="1"/>
  <c r="J138" i="1"/>
  <c r="J137" i="1"/>
  <c r="I139" i="1"/>
  <c r="I140" i="1"/>
  <c r="I141" i="1"/>
  <c r="I138" i="1"/>
  <c r="I137" i="1"/>
  <c r="E142" i="1"/>
  <c r="F142" i="1"/>
  <c r="G142" i="1"/>
  <c r="D142" i="1"/>
  <c r="G138" i="1"/>
  <c r="G139" i="1"/>
  <c r="G140" i="1"/>
  <c r="G141" i="1"/>
  <c r="G137" i="1"/>
  <c r="F139" i="1"/>
  <c r="F140" i="1"/>
  <c r="F141" i="1"/>
  <c r="F138" i="1"/>
  <c r="E139" i="1"/>
  <c r="E140" i="1"/>
  <c r="E141" i="1"/>
  <c r="E138" i="1"/>
  <c r="D140" i="1"/>
  <c r="D141" i="1"/>
  <c r="D139" i="1"/>
  <c r="D138" i="1"/>
  <c r="E132" i="1"/>
  <c r="F132" i="1"/>
  <c r="G132" i="1"/>
  <c r="H132" i="1"/>
  <c r="I132" i="1"/>
  <c r="D132" i="1"/>
  <c r="H130" i="1"/>
  <c r="H131" i="1"/>
  <c r="H129" i="1"/>
  <c r="I129" i="1" s="1"/>
  <c r="G130" i="1"/>
  <c r="G131" i="1"/>
  <c r="G129" i="1"/>
  <c r="I128" i="1"/>
  <c r="I127" i="1"/>
  <c r="D131" i="1"/>
  <c r="H128" i="1"/>
  <c r="G128" i="1"/>
  <c r="F128" i="1"/>
  <c r="F127" i="1"/>
  <c r="E128" i="1"/>
  <c r="E127" i="1"/>
  <c r="D128" i="1"/>
  <c r="D127" i="1"/>
  <c r="G121" i="1"/>
  <c r="G120" i="1"/>
  <c r="F120" i="1"/>
  <c r="E121" i="1"/>
  <c r="E120" i="1"/>
  <c r="D120" i="1"/>
  <c r="F119" i="1"/>
  <c r="E119" i="1"/>
  <c r="D119" i="1"/>
  <c r="F118" i="1"/>
  <c r="F67" i="1"/>
  <c r="D60" i="1"/>
  <c r="G65" i="1" s="1"/>
  <c r="I94" i="1" s="1"/>
  <c r="I97" i="1" s="1"/>
  <c r="I99" i="1" s="1"/>
  <c r="D59" i="1"/>
  <c r="F65" i="1" s="1"/>
  <c r="I59" i="1"/>
  <c r="C60" i="1" s="1"/>
  <c r="G64" i="1" s="1"/>
  <c r="I58" i="1"/>
  <c r="F112" i="1" s="1"/>
  <c r="I36" i="1"/>
  <c r="H36" i="1"/>
  <c r="J36" i="1" s="1"/>
  <c r="J38" i="1" s="1"/>
  <c r="J32" i="1"/>
  <c r="H32" i="1" s="1"/>
  <c r="I32" i="1"/>
  <c r="H95" i="1" s="1"/>
  <c r="G109" i="5" l="1"/>
  <c r="I140" i="8"/>
  <c r="I141" i="8"/>
  <c r="I127" i="8"/>
  <c r="I29" i="7"/>
  <c r="H22" i="7"/>
  <c r="H23" i="7" s="1"/>
  <c r="I33" i="7"/>
  <c r="D90" i="7"/>
  <c r="H33" i="7"/>
  <c r="H34" i="7" s="1"/>
  <c r="H29" i="7"/>
  <c r="E79" i="7"/>
  <c r="G79" i="7"/>
  <c r="I75" i="7"/>
  <c r="D79" i="7"/>
  <c r="G66" i="6"/>
  <c r="H45" i="6"/>
  <c r="I45" i="6"/>
  <c r="J34" i="6"/>
  <c r="H34" i="6"/>
  <c r="J43" i="6"/>
  <c r="I34" i="6"/>
  <c r="F64" i="6"/>
  <c r="J33" i="6"/>
  <c r="J44" i="6" s="1"/>
  <c r="F71" i="5"/>
  <c r="K28" i="5"/>
  <c r="K42" i="5"/>
  <c r="K16" i="5"/>
  <c r="J37" i="5" s="1"/>
  <c r="J38" i="5" s="1"/>
  <c r="K25" i="5"/>
  <c r="I43" i="5" s="1"/>
  <c r="I44" i="5" s="1"/>
  <c r="K36" i="5"/>
  <c r="I47" i="5"/>
  <c r="F19" i="5"/>
  <c r="I37" i="5" s="1"/>
  <c r="C73" i="3"/>
  <c r="I48" i="3"/>
  <c r="F84" i="3"/>
  <c r="C74" i="3"/>
  <c r="C75" i="3" s="1"/>
  <c r="C76" i="3" s="1"/>
  <c r="E76" i="3" s="1"/>
  <c r="I89" i="3"/>
  <c r="I65" i="3"/>
  <c r="G78" i="2"/>
  <c r="G77" i="2"/>
  <c r="G75" i="2"/>
  <c r="I75" i="2" s="1"/>
  <c r="E73" i="2"/>
  <c r="H32" i="2"/>
  <c r="G74" i="2"/>
  <c r="F53" i="2"/>
  <c r="H54" i="2"/>
  <c r="H53" i="2"/>
  <c r="H75" i="2" s="1"/>
  <c r="I53" i="2"/>
  <c r="H22" i="2"/>
  <c r="J21" i="2"/>
  <c r="I32" i="2"/>
  <c r="I22" i="2"/>
  <c r="I23" i="2" s="1"/>
  <c r="J27" i="2"/>
  <c r="I29" i="2"/>
  <c r="I131" i="1"/>
  <c r="I130" i="1"/>
  <c r="H94" i="1"/>
  <c r="G66" i="1"/>
  <c r="G94" i="1"/>
  <c r="G97" i="1" s="1"/>
  <c r="G99" i="1" s="1"/>
  <c r="H38" i="1"/>
  <c r="H43" i="1" s="1"/>
  <c r="C50" i="1"/>
  <c r="E79" i="1"/>
  <c r="I34" i="1"/>
  <c r="G79" i="1"/>
  <c r="J33" i="1"/>
  <c r="F64" i="1"/>
  <c r="G112" i="1"/>
  <c r="I33" i="1"/>
  <c r="H33" i="1"/>
  <c r="H34" i="1"/>
  <c r="J44" i="1"/>
  <c r="J39" i="1"/>
  <c r="J40" i="1" s="1"/>
  <c r="I38" i="1"/>
  <c r="J43" i="1"/>
  <c r="C52" i="1"/>
  <c r="C53" i="1" s="1"/>
  <c r="J34" i="1"/>
  <c r="I43" i="1"/>
  <c r="C51" i="1"/>
  <c r="F72" i="5" l="1"/>
  <c r="G96" i="5"/>
  <c r="G97" i="5"/>
  <c r="G98" i="5"/>
  <c r="G94" i="5"/>
  <c r="G95" i="5"/>
  <c r="I137" i="8"/>
  <c r="C59" i="8"/>
  <c r="I34" i="7"/>
  <c r="I74" i="7"/>
  <c r="I76" i="7"/>
  <c r="I77" i="7"/>
  <c r="I78" i="7"/>
  <c r="H79" i="7"/>
  <c r="I56" i="7"/>
  <c r="J93" i="7" s="1"/>
  <c r="G89" i="7"/>
  <c r="G88" i="7"/>
  <c r="G86" i="7"/>
  <c r="I86" i="7" s="1"/>
  <c r="J45" i="6"/>
  <c r="F66" i="6"/>
  <c r="H105" i="6"/>
  <c r="F94" i="6"/>
  <c r="G69" i="6"/>
  <c r="F70" i="6"/>
  <c r="F68" i="6"/>
  <c r="J48" i="5"/>
  <c r="F73" i="5"/>
  <c r="J47" i="5"/>
  <c r="K43" i="5"/>
  <c r="K44" i="5" s="1"/>
  <c r="I48" i="5"/>
  <c r="I49" i="5" s="1"/>
  <c r="K37" i="5"/>
  <c r="I38" i="5"/>
  <c r="K38" i="5"/>
  <c r="K47" i="5"/>
  <c r="I84" i="3"/>
  <c r="F90" i="3"/>
  <c r="F97" i="3"/>
  <c r="F76" i="3"/>
  <c r="I66" i="3"/>
  <c r="I67" i="3" s="1"/>
  <c r="J69" i="3" s="1"/>
  <c r="J29" i="2"/>
  <c r="E78" i="2"/>
  <c r="F54" i="2"/>
  <c r="H74" i="2"/>
  <c r="G79" i="2"/>
  <c r="I54" i="2"/>
  <c r="I56" i="2" s="1"/>
  <c r="H77" i="2"/>
  <c r="I77" i="2" s="1"/>
  <c r="H78" i="2"/>
  <c r="H76" i="2"/>
  <c r="I76" i="2" s="1"/>
  <c r="E79" i="2"/>
  <c r="H33" i="2"/>
  <c r="H23" i="2"/>
  <c r="I33" i="2"/>
  <c r="C39" i="2"/>
  <c r="C41" i="2" s="1"/>
  <c r="C42" i="2" s="1"/>
  <c r="J22" i="2"/>
  <c r="J33" i="2" s="1"/>
  <c r="J32" i="2"/>
  <c r="H44" i="1"/>
  <c r="F66" i="1"/>
  <c r="F94" i="1"/>
  <c r="H39" i="1"/>
  <c r="H40" i="1" s="1"/>
  <c r="G69" i="1"/>
  <c r="G71" i="1" s="1"/>
  <c r="I39" i="1"/>
  <c r="I44" i="1" s="1"/>
  <c r="J45" i="1"/>
  <c r="I45" i="1"/>
  <c r="G99" i="5" l="1"/>
  <c r="G76" i="5"/>
  <c r="H96" i="5"/>
  <c r="H97" i="5"/>
  <c r="H98" i="5"/>
  <c r="I98" i="5" s="1"/>
  <c r="I108" i="5" s="1"/>
  <c r="H95" i="5"/>
  <c r="I95" i="5" s="1"/>
  <c r="I105" i="5" s="1"/>
  <c r="H94" i="5"/>
  <c r="H99" i="5" s="1"/>
  <c r="I96" i="5"/>
  <c r="I106" i="5" s="1"/>
  <c r="I97" i="5"/>
  <c r="I107" i="5" s="1"/>
  <c r="F74" i="5"/>
  <c r="E149" i="8"/>
  <c r="J137" i="8"/>
  <c r="F132" i="8"/>
  <c r="I88" i="7"/>
  <c r="F79" i="7"/>
  <c r="I73" i="7"/>
  <c r="I89" i="7"/>
  <c r="E90" i="7"/>
  <c r="G85" i="7"/>
  <c r="F90" i="7"/>
  <c r="G87" i="7"/>
  <c r="I87" i="7" s="1"/>
  <c r="F98" i="6"/>
  <c r="G71" i="6"/>
  <c r="F72" i="6"/>
  <c r="H106" i="6"/>
  <c r="H98" i="6" s="1"/>
  <c r="F69" i="6"/>
  <c r="F71" i="6" s="1"/>
  <c r="H96" i="6"/>
  <c r="H97" i="6" s="1"/>
  <c r="F96" i="6"/>
  <c r="F97" i="6" s="1"/>
  <c r="F99" i="6" s="1"/>
  <c r="E142" i="6"/>
  <c r="K48" i="5"/>
  <c r="J49" i="5"/>
  <c r="K49" i="5"/>
  <c r="I90" i="3"/>
  <c r="I94" i="3"/>
  <c r="G97" i="3"/>
  <c r="F100" i="3"/>
  <c r="H79" i="2"/>
  <c r="I78" i="2"/>
  <c r="I34" i="2"/>
  <c r="F74" i="2"/>
  <c r="I74" i="2" s="1"/>
  <c r="H34" i="2"/>
  <c r="F73" i="2"/>
  <c r="D61" i="2"/>
  <c r="D62" i="2"/>
  <c r="D63" i="2" s="1"/>
  <c r="F64" i="2" s="1"/>
  <c r="G64" i="2" s="1"/>
  <c r="J34" i="2"/>
  <c r="J23" i="2"/>
  <c r="F97" i="1"/>
  <c r="F99" i="1" s="1"/>
  <c r="F72" i="1"/>
  <c r="G72" i="1"/>
  <c r="F69" i="1"/>
  <c r="F71" i="1" s="1"/>
  <c r="H106" i="1"/>
  <c r="D117" i="1"/>
  <c r="H45" i="1"/>
  <c r="I40" i="1"/>
  <c r="C138" i="5" l="1"/>
  <c r="I94" i="5"/>
  <c r="I84" i="7"/>
  <c r="I79" i="7"/>
  <c r="I85" i="7"/>
  <c r="G90" i="7"/>
  <c r="F73" i="6"/>
  <c r="E80" i="6" s="1"/>
  <c r="E81" i="6" s="1"/>
  <c r="C59" i="6"/>
  <c r="G72" i="6"/>
  <c r="G73" i="6" s="1"/>
  <c r="G80" i="6" s="1"/>
  <c r="G81" i="6" s="1"/>
  <c r="H99" i="6"/>
  <c r="H101" i="6" s="1"/>
  <c r="H102" i="6" s="1"/>
  <c r="H100" i="6"/>
  <c r="F100" i="6"/>
  <c r="F101" i="6" s="1"/>
  <c r="F102" i="6" s="1"/>
  <c r="G100" i="6"/>
  <c r="G101" i="6" s="1"/>
  <c r="G102" i="6" s="1"/>
  <c r="I97" i="3"/>
  <c r="C113" i="3" s="1"/>
  <c r="C115" i="3" s="1"/>
  <c r="G100" i="3"/>
  <c r="C119" i="3"/>
  <c r="J94" i="3"/>
  <c r="J95" i="3" s="1"/>
  <c r="J96" i="3" s="1"/>
  <c r="D113" i="3"/>
  <c r="F79" i="2"/>
  <c r="I73" i="2"/>
  <c r="I79" i="2" s="1"/>
  <c r="F101" i="1"/>
  <c r="F100" i="1"/>
  <c r="H100" i="1"/>
  <c r="H96" i="1"/>
  <c r="H97" i="1" s="1"/>
  <c r="H98" i="1"/>
  <c r="F73" i="1"/>
  <c r="G73" i="1"/>
  <c r="G100" i="1"/>
  <c r="G101" i="1" s="1"/>
  <c r="G102" i="1" s="1"/>
  <c r="I104" i="5" l="1"/>
  <c r="I99" i="5"/>
  <c r="D104" i="8"/>
  <c r="G138" i="8"/>
  <c r="G139" i="8"/>
  <c r="E100" i="7"/>
  <c r="D102" i="7" s="1"/>
  <c r="E108" i="7" s="1"/>
  <c r="J84" i="7"/>
  <c r="J85" i="7" s="1"/>
  <c r="J86" i="7" s="1"/>
  <c r="G82" i="6"/>
  <c r="G83" i="6" s="1"/>
  <c r="E82" i="6"/>
  <c r="E83" i="6" s="1"/>
  <c r="J97" i="3"/>
  <c r="J98" i="3" s="1"/>
  <c r="I100" i="1"/>
  <c r="I101" i="1" s="1"/>
  <c r="I102" i="1" s="1"/>
  <c r="F102" i="1"/>
  <c r="G80" i="1"/>
  <c r="G81" i="1" s="1"/>
  <c r="G82" i="1" s="1"/>
  <c r="G83" i="1" s="1"/>
  <c r="G84" i="1" s="1"/>
  <c r="G85" i="1" s="1"/>
  <c r="G113" i="1"/>
  <c r="G114" i="1" s="1"/>
  <c r="E80" i="1"/>
  <c r="E81" i="1" s="1"/>
  <c r="F113" i="1"/>
  <c r="F114" i="1" s="1"/>
  <c r="H99" i="1"/>
  <c r="H101" i="1" s="1"/>
  <c r="H102" i="1" s="1"/>
  <c r="C128" i="5" l="1"/>
  <c r="C122" i="5"/>
  <c r="C124" i="5" s="1"/>
  <c r="J105" i="5"/>
  <c r="D142" i="8"/>
  <c r="G142" i="8"/>
  <c r="G132" i="8"/>
  <c r="F114" i="7"/>
  <c r="J87" i="7"/>
  <c r="J88" i="7" s="1"/>
  <c r="J89" i="7" s="1"/>
  <c r="J91" i="7" s="1"/>
  <c r="E84" i="6"/>
  <c r="E85" i="6" s="1"/>
  <c r="G84" i="6"/>
  <c r="G85" i="6" s="1"/>
  <c r="H87" i="6" s="1"/>
  <c r="J99" i="3"/>
  <c r="J101" i="3" s="1"/>
  <c r="C127" i="3" s="1"/>
  <c r="E123" i="3"/>
  <c r="E82" i="1"/>
  <c r="E83" i="1"/>
  <c r="D104" i="1"/>
  <c r="J106" i="5" l="1"/>
  <c r="J107" i="5" s="1"/>
  <c r="J108" i="5" s="1"/>
  <c r="J110" i="5" s="1"/>
  <c r="I128" i="8"/>
  <c r="I129" i="8"/>
  <c r="I139" i="8" s="1"/>
  <c r="D118" i="7"/>
  <c r="D142" i="6"/>
  <c r="E84" i="1"/>
  <c r="E85" i="1"/>
  <c r="H87" i="1" s="1"/>
  <c r="H87" i="8" l="1"/>
  <c r="J145" i="8" s="1"/>
  <c r="I132" i="8"/>
  <c r="J143" i="8" s="1"/>
  <c r="I138" i="8"/>
  <c r="J138" i="8" s="1"/>
  <c r="J139" i="8" s="1"/>
  <c r="J140" i="8" s="1"/>
  <c r="J141" i="8" s="1"/>
  <c r="H132" i="8"/>
  <c r="F142" i="6"/>
  <c r="G142" i="6" l="1"/>
</calcChain>
</file>

<file path=xl/sharedStrings.xml><?xml version="1.0" encoding="utf-8"?>
<sst xmlns="http://schemas.openxmlformats.org/spreadsheetml/2006/main" count="1089" uniqueCount="270">
  <si>
    <t>Una empresa nueva le encraga la evaluación económica de una proyecto de inversión:</t>
  </si>
  <si>
    <t>Vida útil</t>
  </si>
  <si>
    <t>Inversión en Activo Fijo</t>
  </si>
  <si>
    <t>Alícuotas de amortización</t>
  </si>
  <si>
    <t>Valor residual al cabo de 4 años</t>
  </si>
  <si>
    <t>Gastos de puesta en marcha incluidos en Inversión en Activo Fijo</t>
  </si>
  <si>
    <t>IVA sobre el total de las inversiones de activo fijo</t>
  </si>
  <si>
    <t>Activo de Trabajo (valor contable)</t>
  </si>
  <si>
    <t>IVA sobre las inversiones de Activo de Trabajo</t>
  </si>
  <si>
    <t>Mercadería en proceso (incluidos en inversión en Activo de Trabajo)</t>
  </si>
  <si>
    <t>Stock de Elaborados (incluidos en inversión en Activo de Trabajo)</t>
  </si>
  <si>
    <t>Estos porcentajes son respecto a los gastos de producción del Año 2. Se distribuyen en constante y variable en cada año siguiendo la distribución de los gastos de producción de los años respectivos.</t>
  </si>
  <si>
    <t>4 años</t>
  </si>
  <si>
    <t>Dentro del sistema lineal</t>
  </si>
  <si>
    <t>el 70% es inversión</t>
  </si>
  <si>
    <t>es un promedio del 12%.</t>
  </si>
  <si>
    <t>Año 0</t>
  </si>
  <si>
    <t>Año 1</t>
  </si>
  <si>
    <t>Plan anual de Producción</t>
  </si>
  <si>
    <t>Precio de Venta Unitario</t>
  </si>
  <si>
    <t>Cantidad Vendida</t>
  </si>
  <si>
    <t>Gastos de Producción Constantes</t>
  </si>
  <si>
    <t>Gastos de Producción Variables</t>
  </si>
  <si>
    <t>Gastos Administrativos y Comerciales</t>
  </si>
  <si>
    <t>IVA del plan de explotación</t>
  </si>
  <si>
    <t>Honorarios al Directorio (HD)</t>
  </si>
  <si>
    <t>Impuesto a la Ganancia</t>
  </si>
  <si>
    <t>2.000 unidades</t>
  </si>
  <si>
    <t>Año 1: 1.500 unidades</t>
  </si>
  <si>
    <t>Año 2: 2.000 unidades</t>
  </si>
  <si>
    <t>25% de ventas del año 2</t>
  </si>
  <si>
    <t>$1.000 cada unidad</t>
  </si>
  <si>
    <t>10% del Costo de Producción de lo Vendido del Año 2</t>
  </si>
  <si>
    <t>En ese monto el 70 % es constante</t>
  </si>
  <si>
    <t>10% de las Ut. Económicas</t>
  </si>
  <si>
    <t>35% neto de (HD)</t>
  </si>
  <si>
    <t>Año 2</t>
  </si>
  <si>
    <t>IVA ventas 21%, IVA insumo promedio 16%</t>
  </si>
  <si>
    <t xml:space="preserve">1) </t>
  </si>
  <si>
    <t>Calendario de todas las inversiones</t>
  </si>
  <si>
    <t>ACTIVO FIJO SIN IVA</t>
  </si>
  <si>
    <t>IVA INVERSIÓN (21%)</t>
  </si>
  <si>
    <t>TOTAL (INCLUYENDO IVA)</t>
  </si>
  <si>
    <t>ACTIVO DE TRABAJO SIN IVA (VALOR CONTABLE)</t>
  </si>
  <si>
    <t>INVERSIÓN EN ACTIVO DE TRABAJO SIN IVA</t>
  </si>
  <si>
    <t>INVERSIÓN TOTAL:</t>
  </si>
  <si>
    <t>INVERSIONES SIN IVA</t>
  </si>
  <si>
    <t>IVA INVERSIÓN</t>
  </si>
  <si>
    <t>TOTALES CON IVA</t>
  </si>
  <si>
    <t>5 años</t>
  </si>
  <si>
    <t>AÑO 0</t>
  </si>
  <si>
    <t>AÑO 1</t>
  </si>
  <si>
    <t>TOTALES</t>
  </si>
  <si>
    <t>IVA INVERSIÓN (12%)</t>
  </si>
  <si>
    <t>2)</t>
  </si>
  <si>
    <t>Amortizaciones del Activo Fijo</t>
  </si>
  <si>
    <t>VO =</t>
  </si>
  <si>
    <t>VR =</t>
  </si>
  <si>
    <t>VA =</t>
  </si>
  <si>
    <t>ALIC =</t>
  </si>
  <si>
    <t>3)</t>
  </si>
  <si>
    <t>VENTAS ANO 1</t>
  </si>
  <si>
    <t>VENTAS AÑO 2</t>
  </si>
  <si>
    <t>CONSTANTES</t>
  </si>
  <si>
    <t>VARIABLES</t>
  </si>
  <si>
    <t>AÑOS 2 AL 4</t>
  </si>
  <si>
    <t>AÑO 2</t>
  </si>
  <si>
    <t xml:space="preserve">VARIABLES </t>
  </si>
  <si>
    <t>Total Gastos de Producción</t>
  </si>
  <si>
    <t>Costo de Producción</t>
  </si>
  <si>
    <t>Costo de Producción de lo vendido</t>
  </si>
  <si>
    <t>Costo Total de lo vendido</t>
  </si>
  <si>
    <t xml:space="preserve"> - Gastos de puesta en marcha</t>
  </si>
  <si>
    <t xml:space="preserve"> - Inc. Mercadería en proceso</t>
  </si>
  <si>
    <t xml:space="preserve"> - Inc. Stock de elaborados</t>
  </si>
  <si>
    <t xml:space="preserve"> + Gastos de Adm. y Comercialización</t>
  </si>
  <si>
    <t>Ventas y Costos Anuales</t>
  </si>
  <si>
    <t>Resultados Anuales: Utilidad Económica</t>
  </si>
  <si>
    <t>4)</t>
  </si>
  <si>
    <t>Años 2 al 4</t>
  </si>
  <si>
    <t>Ventas</t>
  </si>
  <si>
    <t>(-) Costo Total de lo Vendido</t>
  </si>
  <si>
    <t>Utilidad Económica a/ IIGG. HD.</t>
  </si>
  <si>
    <t>(-) HD</t>
  </si>
  <si>
    <t>Utilidad Económica a/ IIGG.</t>
  </si>
  <si>
    <t>(-) IIGG</t>
  </si>
  <si>
    <t>Utilidad Económica Final</t>
  </si>
  <si>
    <t>Año 3</t>
  </si>
  <si>
    <t>Año 4</t>
  </si>
  <si>
    <t>Año 5</t>
  </si>
  <si>
    <t>BENEFICIO NETO =</t>
  </si>
  <si>
    <t>Punto de Equilibrio Económico</t>
  </si>
  <si>
    <t>5)</t>
  </si>
  <si>
    <t>Constantes</t>
  </si>
  <si>
    <t>Variables</t>
  </si>
  <si>
    <t>Año 2 al 4</t>
  </si>
  <si>
    <t>Gastos de Producción</t>
  </si>
  <si>
    <t>(-) Gastos de Puesta en Marcha</t>
  </si>
  <si>
    <t>(-) Incremento Mercadería en proceso</t>
  </si>
  <si>
    <t>COSTO DE PRODUCCIÓN</t>
  </si>
  <si>
    <t>(-) Incremento Stock de elaborados</t>
  </si>
  <si>
    <t>COSTO DE PROD. VENDIDO</t>
  </si>
  <si>
    <t>Gastos de Adm. y Comercialización</t>
  </si>
  <si>
    <t>Costo Total de lo Vendido</t>
  </si>
  <si>
    <t>Costo Total de lo Ven. Uni.</t>
  </si>
  <si>
    <t>DISTRIBUCIÓN MP EN PROCESO Y STOCK</t>
  </si>
  <si>
    <t>FIJOS =</t>
  </si>
  <si>
    <t>VARIABLES =</t>
  </si>
  <si>
    <t>P.E AÑO 1 =</t>
  </si>
  <si>
    <t>Recupero de IVA inversión</t>
  </si>
  <si>
    <t>6)</t>
  </si>
  <si>
    <t>IVA diferencia</t>
  </si>
  <si>
    <t>Cobro del Crédito Fiscal</t>
  </si>
  <si>
    <t>Crédito Fiscal</t>
  </si>
  <si>
    <t>Recupero de IVA</t>
  </si>
  <si>
    <t>Dédito Fiscal</t>
  </si>
  <si>
    <t>IVA Explotación</t>
  </si>
  <si>
    <t>IVA percibido (sobre ventas) 21%</t>
  </si>
  <si>
    <t>IVA pagado (sobre costos) 16%</t>
  </si>
  <si>
    <t>Formulación del Proyecto de inversión a nivel económico</t>
  </si>
  <si>
    <t>7)</t>
  </si>
  <si>
    <t>Egresos</t>
  </si>
  <si>
    <t>Invers. Activo de Trabajo</t>
  </si>
  <si>
    <t>IVA inversión</t>
  </si>
  <si>
    <t>Honorarios al Directorio</t>
  </si>
  <si>
    <t>Impuesto a las Gcias.</t>
  </si>
  <si>
    <t>Total Egresos</t>
  </si>
  <si>
    <t>Totales</t>
  </si>
  <si>
    <t>EGRESOS: Inversiones, aplicación utilidades (honorarios e IIGG) y crédito fiscal</t>
  </si>
  <si>
    <t xml:space="preserve"> </t>
  </si>
  <si>
    <t>FLUJO DE FONDOS - SALDO ANUAL</t>
  </si>
  <si>
    <t>Ingresos</t>
  </si>
  <si>
    <t>Utilidades econômicas  a/HD e IG</t>
  </si>
  <si>
    <t>Amortizaciones</t>
  </si>
  <si>
    <t>Total Ingresos</t>
  </si>
  <si>
    <t>SALDO ANUAL</t>
  </si>
  <si>
    <t>SALDO ACUM.</t>
  </si>
  <si>
    <t>BENEFICIO NETO</t>
  </si>
  <si>
    <t>PAYBACK =</t>
  </si>
  <si>
    <t>3 AÑOS Y 48 DÍAS</t>
  </si>
  <si>
    <t>i =</t>
  </si>
  <si>
    <t>VAN i 15% =</t>
  </si>
  <si>
    <t>TIR =</t>
  </si>
  <si>
    <t>Los siguientes datos se han determinado en cuadros anteriores del dimensionamiento económico de un proyecto, cuya vida útil es de 5 años. En resumen:</t>
  </si>
  <si>
    <t>Inversión en Bienes de Uso</t>
  </si>
  <si>
    <t>Gastos asimilables al Activo Fijo</t>
  </si>
  <si>
    <t>Gastos estimados de puesta en marcha</t>
  </si>
  <si>
    <t>Disponibilid. mínimas en caja y bancos</t>
  </si>
  <si>
    <t>Desembolso de créditos por ventas</t>
  </si>
  <si>
    <t>Desembolso stock de semielaborados</t>
  </si>
  <si>
    <t>Valor residual estimado del Activo Fijo</t>
  </si>
  <si>
    <t>Determinación IVA diferencia (plan de explotación)</t>
  </si>
  <si>
    <t>Utilidades antes de HD e impuestos se estiman en</t>
  </si>
  <si>
    <t>IVA inversión en Activo Fijo</t>
  </si>
  <si>
    <t>IVA inversión en Activo de Trabajo</t>
  </si>
  <si>
    <t>Stock de materias primas y materiales</t>
  </si>
  <si>
    <t>Desembolso stock de mercadería en curso</t>
  </si>
  <si>
    <t>Desembolso stock de productos terminados</t>
  </si>
  <si>
    <t>Impuesto a las Ganancias</t>
  </si>
  <si>
    <t>30% de la inversión en bienes de uso al cabo de 5 años de la vida útil (sistema de amortiz. cuota constante)</t>
  </si>
  <si>
    <t>$ 35.500 en el año 1, $ 42.500 en el año 2, $ 51.000 en el año 3, $ 51.000 en el año 4.</t>
  </si>
  <si>
    <t>$ 300.000 en el año 1, $ 400.000 en el año 2, $ 500.000 del año 3 hasta el año 5.</t>
  </si>
  <si>
    <t>AF AÑO 0</t>
  </si>
  <si>
    <t>AF AÑO 1</t>
  </si>
  <si>
    <t>AT AÑO 0</t>
  </si>
  <si>
    <t>AT AÑO 1</t>
  </si>
  <si>
    <t>IVA INVERSIÓN (10.5%)</t>
  </si>
  <si>
    <t>CRÉDITOS POR VENTAS NO LLEVA IVA</t>
  </si>
  <si>
    <t>CAJA Y BANCOS NO LLEVA IVA</t>
  </si>
  <si>
    <t xml:space="preserve">VA = </t>
  </si>
  <si>
    <t>ALICUO =</t>
  </si>
  <si>
    <t>Año 3 al 5</t>
  </si>
  <si>
    <t>FONDOS AUTOGENERADOS = UTILIDADES a/ HD. &amp; IIGG. + AMORTIZACIONES</t>
  </si>
  <si>
    <t>FONDOS AUTOGENERADOS =</t>
  </si>
  <si>
    <t>VAN (i =10%) =</t>
  </si>
  <si>
    <t>Intereses sobre los saldos remanentes de la inversión inicial a la misma tasa del 10%</t>
  </si>
  <si>
    <t>BENEFICIO NORMAL = BENEFECIO NETO - VAN</t>
  </si>
  <si>
    <t>BENEFICIO NORMAL (i=10%) =</t>
  </si>
  <si>
    <t>Beneficio Neto - VAN (0%) - FONDOS AUTOGENERADOS</t>
  </si>
  <si>
    <t>VAN (10%)</t>
  </si>
  <si>
    <t>8)</t>
  </si>
  <si>
    <t>9)</t>
  </si>
  <si>
    <t>TIR</t>
  </si>
  <si>
    <t>10)</t>
  </si>
  <si>
    <t>PAYBACK</t>
  </si>
  <si>
    <t>2 AÑOS Y 228 DÍAS</t>
  </si>
  <si>
    <t>11)</t>
  </si>
  <si>
    <t>RENTABILIDAD SOBRE LA INVERSIÓN - ROI</t>
  </si>
  <si>
    <t>ROI =</t>
  </si>
  <si>
    <t>Una empresa analiza introducir al mercado una nueva línea de productos, debiendo realizar una inversión de $ 10.000.000 en bienes de capital con sus correspondientes instalaciones, y de $ 800.000 de gastos asimilables al activo fijo. Se determinó para el mismo un período de explotación económica de 5 años, el sistema de amortización adoptado es de año fraccionario creciente, y el valor estimado de los bienes involucrados al cabo de la vida útil económica es de $ 2.500.000. Se estiman gastos de puesta en marcha por un monto total de $ 20.000. El IVA de la inversión en activo fijo es del 10,5%. La operación requiere un aumento de las existencias de materia prima por $ 100.000, un desembolso de créditos a los clientes por $ 30.000, un desembolso de las existencias de producción en proceso por $ 300.000, un desembolso de las existencias de producción terminada por $ 200.000, y disponibilidades en caja y bancos por $ 500.000. El IVA de la inversión en activo de trabajo es del 21%. Según informa el departamento comercial, se espera obtener utilidades netas antes de honorarios al directorio e impuesto a las ganancias de $ 900.000 en el primer año, de $ 1.200.000 en el segundo año, y de $ 2.000.000 del tercer año en adelante. El departamento contable estima un IVA diferencia, en el plan de explotación, de $ 480.000 en el primer año, de $ 550.000 en el segundo año, y de $ 700.000 del tercer año en adelante. La empresa ha decidido destinar el 10% de las utilidades económicas obtenidas en concepto de honorarios al directorio, para luego tener que abonar el 35% al fisco en concepto de impuesto a las ganancias. La empresa ha decidido contratarlo a Ud. para que realice la formulación, evaluación y factibilidad económica de dicho proyecto</t>
  </si>
  <si>
    <t>Bienes de Capital</t>
  </si>
  <si>
    <t>Gastos asimilables en AF</t>
  </si>
  <si>
    <t>Vida útil del proyecto</t>
  </si>
  <si>
    <t>Valor Residual</t>
  </si>
  <si>
    <t>Gastos del PPM</t>
  </si>
  <si>
    <t>IVA Inversión en AF</t>
  </si>
  <si>
    <t>Incremento de MP</t>
  </si>
  <si>
    <t>Crédito por ventas</t>
  </si>
  <si>
    <t>Existencias de producción en proceso</t>
  </si>
  <si>
    <t>Existencias de producto terminado</t>
  </si>
  <si>
    <t>Caja y Bancos</t>
  </si>
  <si>
    <t>IVA Inversión en AT</t>
  </si>
  <si>
    <t>Utilidades antes de HD &amp; IIGG</t>
  </si>
  <si>
    <t>AÑO 3 A 5</t>
  </si>
  <si>
    <t>HD</t>
  </si>
  <si>
    <t>IIGG</t>
  </si>
  <si>
    <t>b) El Valor Actual Neto si la empresa pretende una tasa de oportunidad del inversor del 10%</t>
  </si>
  <si>
    <t>c) La Tasa de Rentabilidad de los activos del proyecto.</t>
  </si>
  <si>
    <t>d) El Período de Repago simple (sin actualización de los saldos).</t>
  </si>
  <si>
    <t xml:space="preserve">e) La Rentabilidad sobre la inversión. </t>
  </si>
  <si>
    <t xml:space="preserve">a) El beneficio neto del proyecto.   </t>
  </si>
  <si>
    <t xml:space="preserve"> f) Elabore un informe sobre la decisión adoptada</t>
  </si>
  <si>
    <t>BENEFICIO NETO = VAN 0% =</t>
  </si>
  <si>
    <t>FONDOS AUTOGENERADOS = AMORTIZACIONES + UTILIDADES ANTES DE HG &amp; IIGG</t>
  </si>
  <si>
    <t>VAN (i=10%) =</t>
  </si>
  <si>
    <t>Rentabilidad de la inversión</t>
  </si>
  <si>
    <t>Tasa de Retabilidad de los Activos - TIR</t>
  </si>
  <si>
    <t>4 AÑOS Y 98 DÍAS</t>
  </si>
  <si>
    <t>Conclusiones:</t>
  </si>
  <si>
    <t>No se recomienda el proyecto ya que al ser VAN &lt; 0, el poryecto no paga la inversíon incial + los beneficios mínimo pretendidos por el inversor.</t>
  </si>
  <si>
    <t>Los accionistas de una empresa desean introducir al mercado un nuevo producto, debiendo realizar una inversión en una nueva línea de producción importada cuyo valor C.I.F. es de $ 2.762.500 (IVA 10,5% incluido). Dicho equipamiento trae aparejado los siguientes gastos: aranceles de importación 30% del valor C.I.F., sin IVA, de acuerdo a su posición arancelaria del NCM, costo de flete interno hasta la planta de $ 18.150 (IVA 21% incluido), costo de montaje y de toda la instalación requerida para su funcionamiento de $ 24.200 (IVA 21% incluido), gastos de capacitación para los operadores a cargo por $ 36.300 (IVA 21% incluido) y un gasto estimado de puesta en marcha por $ 72.600 (IVA 21% incluido). Se requiere un aumento de las existencias de materia prima por $ 30.250 (IVA 21% incluido), y de un desembolso de existencias de producción en proceso y de producción elaborada por $ 48.400 (IVA 21% incluido). El departamento comercial estima percibir utilidades netas adicionales (antes de HD e IIGG) de $ 1.200.000 en el primer año, de $ 1.500.000 en el segundo año, y de $ 1.800.000 del tercer año en adelante. El departamento contable estima un IVA correspondiente al plan de explotación (IVA ventas – IVA insumos), de $ 120.000 en el primer año, de $ 150.000 en el segundo año, y de $ 180.000 del tercer año en adelante. Al tratarse de una empresa en marcha se aconseja adoptar un sistema de amortización desacelerado debido al tipo de depreciación del bien de uso incorporado. El valor estimado de la inversión, al cabo de 5 años, equivale al 40% de su valor C.I.F (sin IVA). Los accionistas destinan el 5% de las utilidades económicas en honorarios al directorio. El impuesto a las ganancias representa el 35% de las utilidades (después de honorarios al directorio).</t>
  </si>
  <si>
    <t>Realice el cuadro de formulación económica del proyecto y su correspondiente evaluación de viabilidad, para un período de análisis de 5 años, si el inversor pretende una tasa de oportunidad del 25%.</t>
  </si>
  <si>
    <t>Bienes de uso</t>
  </si>
  <si>
    <t>IVA BU</t>
  </si>
  <si>
    <t>TOTAL BU</t>
  </si>
  <si>
    <t>Importación</t>
  </si>
  <si>
    <t>Flete</t>
  </si>
  <si>
    <t>IVA Flete</t>
  </si>
  <si>
    <t>Montaje</t>
  </si>
  <si>
    <t>IVA Montanje</t>
  </si>
  <si>
    <t>Capacitación</t>
  </si>
  <si>
    <t xml:space="preserve">iva </t>
  </si>
  <si>
    <t>Una empresa de manufactura solicitó el servicio de una consultora para el asesoramiento sobre costos cuyo desembolso fue de $968.000 (IVA 21% incluido). Los consultores proponen una inversión en tecnología que permitiría una mejora de productividad y reducción de costos reemplazando sus máquinas obsoletas por una moderna línea de producción por un monto de $13.260.000 (IVA 10,5% incluido). Dicha incorporación tecnológica permitirá una reducción de los gastos de explotación por $10.000.000 al año. Se estiman gastos de mantenimiento por $90.000 al año, también se requerirá de un operador con un salario de $50.000 al año (SAC incluido), más 60% en concepto de cargas sociales, y un seguro para la línea de producción por un monto de $15.000 por año (más IVA 21%).</t>
  </si>
  <si>
    <t>Se estiman gastos de puesta en marcha por $544.500 (IVA 21% incluido), capacitación al operador por $100.000 (IVA 21% incluido), flete, montaje y puesta a punto de la línea de producción por $142.000 (IVA 21% incluido), compras de materias primas por $423.500 (IVA 21% incluido) para dar comienzo al período de puesta en marcha de la línea de producción y un incremento de stock de mercadería en curso y semielaborada por $786.500 (IVA 21% incluido). El valor residual de la línea de producción al término de 5 años de su vida útil se estima en $3.500.000 (sistema de amortización lineal). Se estima recuperar el crédito fiscal en un 40% durante el primer año, y el 60% restante durante el segundo año del período de explotación. La empresa destina el 10% de las utilidades económicas en concepto de honorarios al directorio, y el 35% al fisco en concepto de impuesto a las ganancias.</t>
  </si>
  <si>
    <t>Confeccione el cuadro de formulación del proyecto a nivel económico para un período de análisis de 5 años y analice la factibilidad económica si los accionistas pretenden una tasa de oportunidad del 50%.</t>
  </si>
  <si>
    <t>Servicio Consultora</t>
  </si>
  <si>
    <t>Total Servicio Consultora</t>
  </si>
  <si>
    <t>IVA Consultora</t>
  </si>
  <si>
    <t>Bienes de Uso</t>
  </si>
  <si>
    <t>Total Bienes de Uso</t>
  </si>
  <si>
    <t>Reducción Costos</t>
  </si>
  <si>
    <t>Gastos Mantenimiento</t>
  </si>
  <si>
    <t>Gastos Operador</t>
  </si>
  <si>
    <t>CS Operador</t>
  </si>
  <si>
    <t xml:space="preserve">Seguro </t>
  </si>
  <si>
    <t>IVA Seguro</t>
  </si>
  <si>
    <t>Gastos de PPM</t>
  </si>
  <si>
    <t>Total Gastos de PPM</t>
  </si>
  <si>
    <t>IVA PPM</t>
  </si>
  <si>
    <t>Capacitación Operador</t>
  </si>
  <si>
    <t>Total Capacitación Operador</t>
  </si>
  <si>
    <t>IVA Capacitación</t>
  </si>
  <si>
    <t>Total Flete</t>
  </si>
  <si>
    <t>Compras MP</t>
  </si>
  <si>
    <t>IVA MP</t>
  </si>
  <si>
    <t>Total MP</t>
  </si>
  <si>
    <t>Incremento Stock en curso</t>
  </si>
  <si>
    <t>IVA Stock en curso</t>
  </si>
  <si>
    <t>Total Incremento Stock</t>
  </si>
  <si>
    <t xml:space="preserve">Recupero IVA </t>
  </si>
  <si>
    <t>VIDA ÚTIL = 5 AÑOS</t>
  </si>
  <si>
    <t>GANANCIA</t>
  </si>
  <si>
    <t>Seguro</t>
  </si>
  <si>
    <t>VAN (50%)</t>
  </si>
  <si>
    <t>VAN (i=50%) =</t>
  </si>
  <si>
    <t>2 AÑOS Y 74 DÍAS</t>
  </si>
  <si>
    <t>ANUAL</t>
  </si>
  <si>
    <t>PROMEDIO</t>
  </si>
  <si>
    <t>x</t>
  </si>
  <si>
    <t>*0.21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</si>
</sst>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0.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0"/>
      <color theme="1"/>
      <name val="Arial"/>
      <family val="2"/>
    </font>
    <font>
      <b/>
      <sz val="10"/>
      <color theme="1"/>
      <name val="Arial"/>
      <family val="2"/>
    </font>
  </fonts>
  <fills count="11">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3">
    <xf numFmtId="0" fontId="0" fillId="0" borderId="0" xfId="0"/>
    <xf numFmtId="0" fontId="0" fillId="0" borderId="0" xfId="0" applyAlignment="1">
      <alignment horizontal="center"/>
    </xf>
    <xf numFmtId="9" fontId="0" fillId="0" borderId="0" xfId="0" applyNumberFormat="1"/>
    <xf numFmtId="8" fontId="0" fillId="0" borderId="0" xfId="0" applyNumberFormat="1"/>
    <xf numFmtId="9" fontId="0" fillId="0" borderId="6" xfId="0" applyNumberFormat="1" applyBorder="1" applyAlignment="1">
      <alignment horizontal="center"/>
    </xf>
    <xf numFmtId="9" fontId="0" fillId="0" borderId="9" xfId="0" applyNumberFormat="1" applyBorder="1" applyAlignment="1">
      <alignment horizontal="center"/>
    </xf>
    <xf numFmtId="44" fontId="0" fillId="0" borderId="0" xfId="1" applyFont="1"/>
    <xf numFmtId="0" fontId="0" fillId="0" borderId="2" xfId="0" applyBorder="1"/>
    <xf numFmtId="0" fontId="0" fillId="0" borderId="3" xfId="0" applyBorder="1"/>
    <xf numFmtId="0" fontId="0" fillId="0" borderId="4" xfId="0" applyBorder="1"/>
    <xf numFmtId="0" fontId="0" fillId="0" borderId="5" xfId="0" applyBorder="1"/>
    <xf numFmtId="44" fontId="0" fillId="0" borderId="0" xfId="1" applyFont="1" applyBorder="1"/>
    <xf numFmtId="0" fontId="0" fillId="0" borderId="7" xfId="0" applyBorder="1"/>
    <xf numFmtId="0" fontId="0" fillId="0" borderId="8" xfId="0" applyBorder="1"/>
    <xf numFmtId="9" fontId="0" fillId="0" borderId="8" xfId="0" applyNumberFormat="1" applyBorder="1"/>
    <xf numFmtId="0" fontId="0" fillId="0" borderId="10" xfId="0" applyBorder="1" applyAlignment="1">
      <alignment horizontal="center"/>
    </xf>
    <xf numFmtId="44" fontId="0" fillId="0" borderId="6" xfId="1" applyFont="1" applyBorder="1" applyAlignment="1">
      <alignment horizontal="center" vertical="center"/>
    </xf>
    <xf numFmtId="44" fontId="0" fillId="0" borderId="14" xfId="1" applyFont="1" applyBorder="1" applyAlignment="1">
      <alignment horizontal="center" vertical="center"/>
    </xf>
    <xf numFmtId="44" fontId="0" fillId="0" borderId="15" xfId="1" applyFont="1" applyBorder="1" applyAlignment="1">
      <alignment horizontal="center" vertical="center"/>
    </xf>
    <xf numFmtId="44" fontId="0" fillId="0" borderId="1" xfId="1" applyFont="1" applyBorder="1" applyAlignment="1">
      <alignment horizontal="center" vertical="center"/>
    </xf>
    <xf numFmtId="44" fontId="0" fillId="0" borderId="12" xfId="1" applyFont="1" applyBorder="1" applyAlignment="1">
      <alignment horizontal="center" vertical="center"/>
    </xf>
    <xf numFmtId="44" fontId="0" fillId="0" borderId="5" xfId="1" applyFont="1" applyBorder="1" applyAlignment="1">
      <alignment horizontal="center"/>
    </xf>
    <xf numFmtId="44" fontId="0" fillId="0" borderId="6" xfId="1" applyFont="1" applyBorder="1" applyAlignment="1">
      <alignment horizontal="center"/>
    </xf>
    <xf numFmtId="0" fontId="2" fillId="0" borderId="0" xfId="0" applyFont="1"/>
    <xf numFmtId="44" fontId="0" fillId="0" borderId="0" xfId="0" applyNumberFormat="1"/>
    <xf numFmtId="0" fontId="0" fillId="0" borderId="14" xfId="0" applyBorder="1"/>
    <xf numFmtId="0" fontId="0" fillId="0" borderId="1" xfId="0" applyBorder="1" applyAlignment="1">
      <alignment horizontal="center" vertical="center"/>
    </xf>
    <xf numFmtId="44" fontId="0" fillId="0" borderId="14" xfId="0" applyNumberFormat="1" applyBorder="1"/>
    <xf numFmtId="44" fontId="0" fillId="0" borderId="15" xfId="0" applyNumberFormat="1" applyBorder="1"/>
    <xf numFmtId="44" fontId="0" fillId="0" borderId="6" xfId="1" applyFont="1" applyBorder="1"/>
    <xf numFmtId="44" fontId="0" fillId="0" borderId="14" xfId="1" applyFont="1" applyBorder="1"/>
    <xf numFmtId="44" fontId="0" fillId="0" borderId="15" xfId="1" applyFont="1" applyBorder="1"/>
    <xf numFmtId="44" fontId="0" fillId="0" borderId="4" xfId="0" applyNumberFormat="1" applyBorder="1"/>
    <xf numFmtId="44" fontId="0" fillId="0" borderId="9" xfId="0" applyNumberFormat="1" applyBorder="1"/>
    <xf numFmtId="44" fontId="0" fillId="0" borderId="5" xfId="0" applyNumberFormat="1" applyBorder="1"/>
    <xf numFmtId="0" fontId="0" fillId="0" borderId="6" xfId="0" applyBorder="1"/>
    <xf numFmtId="44" fontId="2" fillId="0" borderId="5" xfId="0" applyNumberFormat="1" applyFont="1" applyBorder="1"/>
    <xf numFmtId="0" fontId="0" fillId="0" borderId="1" xfId="0" applyBorder="1" applyAlignment="1">
      <alignment horizontal="center"/>
    </xf>
    <xf numFmtId="44" fontId="2" fillId="0" borderId="14" xfId="1" applyFont="1" applyBorder="1" applyAlignment="1"/>
    <xf numFmtId="44" fontId="2" fillId="0" borderId="14" xfId="0" applyNumberFormat="1" applyFont="1" applyBorder="1"/>
    <xf numFmtId="0" fontId="0" fillId="0" borderId="1" xfId="0" applyBorder="1"/>
    <xf numFmtId="44" fontId="0" fillId="0" borderId="1" xfId="0" applyNumberFormat="1" applyBorder="1"/>
    <xf numFmtId="0" fontId="0" fillId="3" borderId="0" xfId="0" applyFill="1"/>
    <xf numFmtId="44" fontId="0" fillId="3" borderId="0" xfId="0" applyNumberFormat="1" applyFill="1"/>
    <xf numFmtId="44" fontId="2" fillId="3" borderId="15" xfId="0" applyNumberFormat="1" applyFont="1" applyFill="1" applyBorder="1"/>
    <xf numFmtId="0" fontId="2" fillId="3" borderId="10" xfId="0" applyFont="1" applyFill="1" applyBorder="1"/>
    <xf numFmtId="0" fontId="2" fillId="3" borderId="11" xfId="0" applyFont="1" applyFill="1" applyBorder="1"/>
    <xf numFmtId="44" fontId="2" fillId="3" borderId="12" xfId="0" applyNumberFormat="1" applyFont="1" applyFill="1" applyBorder="1"/>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5" xfId="0" applyFont="1" applyBorder="1" applyAlignment="1">
      <alignment vertical="center" wrapText="1"/>
    </xf>
    <xf numFmtId="44" fontId="5" fillId="0" borderId="9" xfId="0" applyNumberFormat="1" applyFont="1" applyBorder="1" applyAlignment="1">
      <alignment horizontal="right" vertical="center" wrapText="1"/>
    </xf>
    <xf numFmtId="44" fontId="5" fillId="0" borderId="1" xfId="0" applyNumberFormat="1" applyFont="1" applyBorder="1" applyAlignment="1">
      <alignment horizontal="right" vertical="center" wrapText="1"/>
    </xf>
    <xf numFmtId="0" fontId="4" fillId="0" borderId="9" xfId="0" applyFont="1" applyBorder="1" applyAlignment="1">
      <alignment horizontal="center" vertical="center"/>
    </xf>
    <xf numFmtId="44" fontId="5" fillId="0" borderId="12" xfId="0" applyNumberFormat="1" applyFont="1" applyBorder="1" applyAlignment="1">
      <alignment horizontal="right" vertical="center" wrapText="1"/>
    </xf>
    <xf numFmtId="44" fontId="4" fillId="0" borderId="9" xfId="0" applyNumberFormat="1" applyFont="1" applyBorder="1" applyAlignment="1">
      <alignment horizontal="right" vertical="center" wrapText="1"/>
    </xf>
    <xf numFmtId="0" fontId="4" fillId="0" borderId="9" xfId="0" applyFont="1" applyBorder="1" applyAlignment="1">
      <alignment horizontal="right" vertical="center" wrapText="1"/>
    </xf>
    <xf numFmtId="44" fontId="2" fillId="3" borderId="7" xfId="0" applyNumberFormat="1" applyFont="1" applyFill="1" applyBorder="1"/>
    <xf numFmtId="0" fontId="0" fillId="0" borderId="10" xfId="0" applyBorder="1"/>
    <xf numFmtId="164" fontId="0" fillId="0" borderId="6" xfId="2" applyNumberFormat="1" applyFont="1" applyBorder="1"/>
    <xf numFmtId="164" fontId="0" fillId="0" borderId="9" xfId="2" applyNumberFormat="1" applyFont="1" applyBorder="1"/>
    <xf numFmtId="10" fontId="2" fillId="3" borderId="12" xfId="2" applyNumberFormat="1" applyFont="1" applyFill="1" applyBorder="1"/>
    <xf numFmtId="0" fontId="2" fillId="2" borderId="0" xfId="0" applyFont="1" applyFill="1" applyAlignment="1">
      <alignment horizontal="right"/>
    </xf>
    <xf numFmtId="0" fontId="5"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13" xfId="0" applyFont="1" applyBorder="1" applyAlignment="1">
      <alignment horizontal="center" vertical="center"/>
    </xf>
    <xf numFmtId="44" fontId="4" fillId="0" borderId="13" xfId="0" applyNumberFormat="1" applyFont="1" applyBorder="1" applyAlignment="1">
      <alignment horizontal="right" vertical="center"/>
    </xf>
    <xf numFmtId="44" fontId="4" fillId="0" borderId="4" xfId="0" applyNumberFormat="1" applyFont="1" applyBorder="1" applyAlignment="1">
      <alignment horizontal="right" vertical="center"/>
    </xf>
    <xf numFmtId="44" fontId="4" fillId="0" borderId="14" xfId="0" applyNumberFormat="1" applyFont="1" applyBorder="1" applyAlignment="1">
      <alignment horizontal="right" vertical="center"/>
    </xf>
    <xf numFmtId="44" fontId="4" fillId="0" borderId="6" xfId="0" applyNumberFormat="1" applyFont="1" applyBorder="1" applyAlignment="1">
      <alignment horizontal="right" vertical="center"/>
    </xf>
    <xf numFmtId="44" fontId="4" fillId="0" borderId="15" xfId="0" applyNumberFormat="1" applyFont="1" applyBorder="1" applyAlignment="1">
      <alignment horizontal="right" vertical="center"/>
    </xf>
    <xf numFmtId="0" fontId="4" fillId="0" borderId="0" xfId="0" applyFont="1" applyAlignment="1">
      <alignment vertical="center" wrapText="1"/>
    </xf>
    <xf numFmtId="44" fontId="5" fillId="3" borderId="9" xfId="0" applyNumberFormat="1" applyFont="1" applyFill="1" applyBorder="1" applyAlignment="1">
      <alignment horizontal="right" vertical="center" wrapText="1"/>
    </xf>
    <xf numFmtId="44" fontId="4" fillId="4" borderId="0" xfId="0" applyNumberFormat="1" applyFont="1" applyFill="1" applyAlignment="1">
      <alignment horizontal="right" vertical="center" wrapText="1"/>
    </xf>
    <xf numFmtId="44" fontId="4" fillId="0" borderId="0" xfId="0" applyNumberFormat="1" applyFont="1" applyAlignment="1">
      <alignment horizontal="right" vertical="center" wrapText="1"/>
    </xf>
    <xf numFmtId="44" fontId="4" fillId="5" borderId="0" xfId="0" applyNumberFormat="1" applyFont="1" applyFill="1" applyAlignment="1">
      <alignment horizontal="right" vertical="center" wrapText="1"/>
    </xf>
    <xf numFmtId="44" fontId="4" fillId="6" borderId="0" xfId="0" applyNumberFormat="1" applyFont="1" applyFill="1" applyAlignment="1">
      <alignment horizontal="right" vertical="center" wrapText="1"/>
    </xf>
    <xf numFmtId="44" fontId="4" fillId="0" borderId="9" xfId="1" applyFont="1" applyBorder="1" applyAlignment="1">
      <alignment horizontal="right" vertical="center" wrapText="1"/>
    </xf>
    <xf numFmtId="0" fontId="5" fillId="3" borderId="10" xfId="0" applyFont="1" applyFill="1" applyBorder="1" applyAlignment="1">
      <alignment vertical="center" wrapText="1"/>
    </xf>
    <xf numFmtId="0" fontId="2" fillId="3" borderId="12" xfId="0" applyFont="1" applyFill="1" applyBorder="1"/>
    <xf numFmtId="8" fontId="2" fillId="3" borderId="12" xfId="0" applyNumberFormat="1" applyFont="1" applyFill="1" applyBorder="1"/>
    <xf numFmtId="10" fontId="2" fillId="3" borderId="12" xfId="0" applyNumberFormat="1" applyFont="1" applyFill="1" applyBorder="1"/>
    <xf numFmtId="44" fontId="0" fillId="0" borderId="4" xfId="1" applyFont="1" applyBorder="1"/>
    <xf numFmtId="44" fontId="0" fillId="0" borderId="9" xfId="1" applyFont="1" applyBorder="1"/>
    <xf numFmtId="10" fontId="0" fillId="0" borderId="4" xfId="0" applyNumberFormat="1" applyBorder="1" applyAlignment="1">
      <alignment horizontal="center"/>
    </xf>
    <xf numFmtId="44" fontId="0" fillId="4" borderId="4" xfId="1" applyFont="1" applyFill="1" applyBorder="1"/>
    <xf numFmtId="44" fontId="0" fillId="4" borderId="6" xfId="1" applyFont="1" applyFill="1" applyBorder="1"/>
    <xf numFmtId="44" fontId="0" fillId="7" borderId="6" xfId="1" applyFont="1" applyFill="1" applyBorder="1"/>
    <xf numFmtId="44" fontId="0" fillId="5" borderId="6" xfId="1" applyFont="1" applyFill="1" applyBorder="1"/>
    <xf numFmtId="44" fontId="0" fillId="5" borderId="6" xfId="1" applyFont="1" applyFill="1" applyBorder="1" applyAlignment="1">
      <alignment horizontal="center"/>
    </xf>
    <xf numFmtId="44" fontId="0" fillId="8" borderId="6" xfId="1" applyFont="1" applyFill="1" applyBorder="1"/>
    <xf numFmtId="44" fontId="0" fillId="8" borderId="6" xfId="1" applyFont="1" applyFill="1" applyBorder="1" applyAlignment="1">
      <alignment horizontal="center"/>
    </xf>
    <xf numFmtId="44" fontId="0" fillId="6" borderId="14" xfId="1" applyFont="1" applyFill="1" applyBorder="1" applyAlignment="1">
      <alignment horizontal="center" vertical="center"/>
    </xf>
    <xf numFmtId="44" fontId="0" fillId="9" borderId="14" xfId="1" applyFont="1" applyFill="1" applyBorder="1" applyAlignment="1">
      <alignment horizontal="center" vertical="center"/>
    </xf>
    <xf numFmtId="0" fontId="0" fillId="9" borderId="0" xfId="0" applyFill="1"/>
    <xf numFmtId="0" fontId="0" fillId="6" borderId="0" xfId="0" applyFill="1"/>
    <xf numFmtId="44" fontId="0" fillId="10" borderId="14" xfId="0" applyNumberFormat="1" applyFill="1" applyBorder="1" applyAlignment="1">
      <alignment horizontal="center"/>
    </xf>
    <xf numFmtId="44" fontId="0" fillId="0" borderId="14" xfId="1" applyFont="1" applyBorder="1" applyAlignment="1">
      <alignment horizontal="center"/>
    </xf>
    <xf numFmtId="44" fontId="0" fillId="3" borderId="7" xfId="1" applyFont="1" applyFill="1" applyBorder="1" applyAlignment="1">
      <alignment horizontal="center"/>
    </xf>
    <xf numFmtId="44" fontId="0" fillId="3" borderId="15" xfId="1" applyFont="1" applyFill="1" applyBorder="1" applyAlignment="1">
      <alignment horizontal="center"/>
    </xf>
    <xf numFmtId="44" fontId="0" fillId="0" borderId="5" xfId="1" applyFont="1" applyBorder="1" applyAlignment="1"/>
    <xf numFmtId="44" fontId="0" fillId="10" borderId="13" xfId="0" applyNumberFormat="1" applyFill="1" applyBorder="1" applyAlignment="1">
      <alignment horizontal="center"/>
    </xf>
    <xf numFmtId="44" fontId="0" fillId="0" borderId="14" xfId="1" applyFont="1" applyBorder="1" applyAlignment="1"/>
    <xf numFmtId="44" fontId="0" fillId="10" borderId="5" xfId="0" applyNumberFormat="1" applyFill="1" applyBorder="1" applyAlignment="1">
      <alignment horizontal="center"/>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vertical="center" wrapText="1"/>
    </xf>
    <xf numFmtId="44" fontId="0" fillId="0" borderId="9" xfId="0" applyNumberFormat="1" applyBorder="1" applyAlignment="1">
      <alignment horizontal="right" vertical="center" wrapText="1"/>
    </xf>
    <xf numFmtId="0" fontId="0" fillId="0" borderId="9" xfId="0" applyBorder="1" applyAlignment="1">
      <alignment horizontal="right" vertical="center" wrapText="1"/>
    </xf>
    <xf numFmtId="0" fontId="0" fillId="0" borderId="0" xfId="0" applyAlignment="1">
      <alignment wrapText="1"/>
    </xf>
    <xf numFmtId="0" fontId="0" fillId="0" borderId="9" xfId="0" applyBorder="1"/>
    <xf numFmtId="0" fontId="2" fillId="0" borderId="1" xfId="0" applyFont="1" applyBorder="1" applyAlignment="1">
      <alignment vertical="center" wrapText="1"/>
    </xf>
    <xf numFmtId="0" fontId="0" fillId="0" borderId="0" xfId="0" applyAlignment="1">
      <alignment vertical="center" wrapText="1"/>
    </xf>
    <xf numFmtId="44" fontId="0" fillId="4" borderId="0" xfId="0" applyNumberFormat="1" applyFill="1" applyAlignment="1">
      <alignment horizontal="right" vertical="center" wrapText="1"/>
    </xf>
    <xf numFmtId="44" fontId="0" fillId="0" borderId="0" xfId="0" applyNumberFormat="1" applyAlignment="1">
      <alignment horizontal="right" vertical="center" wrapText="1"/>
    </xf>
    <xf numFmtId="44" fontId="0" fillId="5" borderId="0" xfId="0" applyNumberFormat="1" applyFill="1" applyAlignment="1">
      <alignment horizontal="right" vertical="center" wrapText="1"/>
    </xf>
    <xf numFmtId="44" fontId="0" fillId="6" borderId="0" xfId="0" applyNumberFormat="1" applyFill="1" applyAlignment="1">
      <alignment horizontal="right" vertical="center" wrapText="1"/>
    </xf>
    <xf numFmtId="44" fontId="0" fillId="0" borderId="9" xfId="1" applyFont="1" applyBorder="1" applyAlignment="1">
      <alignment horizontal="right" vertical="center" wrapText="1"/>
    </xf>
    <xf numFmtId="0" fontId="0" fillId="0" borderId="0" xfId="0" applyAlignment="1">
      <alignment vertical="center"/>
    </xf>
    <xf numFmtId="0" fontId="2" fillId="3" borderId="10" xfId="0" applyFont="1" applyFill="1" applyBorder="1" applyAlignment="1">
      <alignment horizontal="center"/>
    </xf>
    <xf numFmtId="10" fontId="2" fillId="3" borderId="12" xfId="0" applyNumberFormat="1" applyFont="1" applyFill="1" applyBorder="1" applyAlignment="1">
      <alignment horizontal="center"/>
    </xf>
    <xf numFmtId="9" fontId="2" fillId="3" borderId="12" xfId="2" applyFont="1" applyFill="1" applyBorder="1" applyAlignment="1">
      <alignment horizontal="center"/>
    </xf>
    <xf numFmtId="10" fontId="0" fillId="0" borderId="6" xfId="1" applyNumberFormat="1" applyFont="1" applyBorder="1" applyAlignment="1">
      <alignment horizontal="center"/>
    </xf>
    <xf numFmtId="44" fontId="0" fillId="0" borderId="3" xfId="1" applyFont="1" applyBorder="1"/>
    <xf numFmtId="44" fontId="0" fillId="0" borderId="14" xfId="1" applyFont="1" applyFill="1" applyBorder="1" applyAlignment="1">
      <alignment horizontal="center" vertical="center"/>
    </xf>
    <xf numFmtId="10" fontId="2" fillId="3" borderId="12" xfId="2" applyNumberFormat="1" applyFont="1" applyFill="1" applyBorder="1" applyAlignment="1">
      <alignment horizontal="center"/>
    </xf>
    <xf numFmtId="9" fontId="0" fillId="0" borderId="6" xfId="1" applyNumberFormat="1" applyFont="1" applyBorder="1"/>
    <xf numFmtId="9" fontId="0" fillId="0" borderId="9" xfId="1" applyNumberFormat="1" applyFont="1" applyBorder="1"/>
    <xf numFmtId="9" fontId="0" fillId="0" borderId="11" xfId="0" applyNumberFormat="1" applyBorder="1"/>
    <xf numFmtId="9" fontId="0" fillId="0" borderId="12" xfId="1" applyNumberFormat="1" applyFont="1" applyBorder="1"/>
    <xf numFmtId="0" fontId="5" fillId="3" borderId="5" xfId="0" applyFont="1" applyFill="1" applyBorder="1" applyAlignment="1">
      <alignment horizontal="left" vertical="center"/>
    </xf>
    <xf numFmtId="0" fontId="5" fillId="3" borderId="0" xfId="0" applyFont="1" applyFill="1" applyAlignment="1">
      <alignment horizontal="left" vertical="center"/>
    </xf>
    <xf numFmtId="0" fontId="5" fillId="3" borderId="6" xfId="0" applyFont="1" applyFill="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4" fillId="0" borderId="5" xfId="0" applyFont="1" applyBorder="1" applyAlignment="1">
      <alignment horizontal="left" vertical="center"/>
    </xf>
    <xf numFmtId="0" fontId="4" fillId="0" borderId="0" xfId="0" applyFont="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6"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5" fillId="0" borderId="6" xfId="0" applyFont="1" applyBorder="1" applyAlignment="1">
      <alignment horizontal="left" vertical="center"/>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44" fontId="0" fillId="0" borderId="5" xfId="0" applyNumberFormat="1" applyBorder="1" applyAlignment="1">
      <alignment horizontal="center"/>
    </xf>
    <xf numFmtId="0" fontId="0" fillId="0" borderId="6" xfId="0" applyBorder="1" applyAlignment="1">
      <alignment horizontal="center"/>
    </xf>
    <xf numFmtId="44" fontId="2" fillId="3" borderId="7" xfId="0" applyNumberFormat="1" applyFont="1" applyFill="1" applyBorder="1" applyAlignment="1">
      <alignment horizontal="center"/>
    </xf>
    <xf numFmtId="0" fontId="2" fillId="3" borderId="9" xfId="0" applyFont="1" applyFill="1"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44" fontId="2" fillId="0" borderId="5" xfId="0" applyNumberFormat="1" applyFont="1" applyBorder="1" applyAlignment="1">
      <alignment horizontal="center"/>
    </xf>
    <xf numFmtId="0" fontId="2" fillId="0" borderId="6" xfId="0" applyFont="1" applyBorder="1" applyAlignment="1">
      <alignment horizontal="center"/>
    </xf>
    <xf numFmtId="0" fontId="0" fillId="0" borderId="5" xfId="0" applyBorder="1" applyAlignment="1">
      <alignment horizontal="center"/>
    </xf>
    <xf numFmtId="0" fontId="2" fillId="0" borderId="5" xfId="0" applyFont="1" applyBorder="1" applyAlignment="1">
      <alignment horizontal="center"/>
    </xf>
    <xf numFmtId="0" fontId="2" fillId="3" borderId="7" xfId="0" applyFont="1" applyFill="1" applyBorder="1" applyAlignment="1">
      <alignment horizontal="center"/>
    </xf>
    <xf numFmtId="0" fontId="0" fillId="0" borderId="11" xfId="0" applyBorder="1" applyAlignment="1">
      <alignment horizontal="center"/>
    </xf>
    <xf numFmtId="0" fontId="0" fillId="0" borderId="5" xfId="0" applyBorder="1" applyAlignment="1">
      <alignment horizontal="left"/>
    </xf>
    <xf numFmtId="0" fontId="0" fillId="0" borderId="0" xfId="0" applyAlignment="1">
      <alignment horizontal="left"/>
    </xf>
    <xf numFmtId="0" fontId="0" fillId="0" borderId="6" xfId="0" applyBorder="1" applyAlignment="1">
      <alignment horizontal="left"/>
    </xf>
    <xf numFmtId="0" fontId="2" fillId="0" borderId="5" xfId="0" applyFont="1" applyBorder="1" applyAlignment="1">
      <alignment horizontal="left"/>
    </xf>
    <xf numFmtId="0" fontId="2" fillId="0" borderId="0" xfId="0" applyFont="1" applyAlignment="1">
      <alignment horizontal="left"/>
    </xf>
    <xf numFmtId="0" fontId="2" fillId="0" borderId="6" xfId="0" applyFont="1" applyBorder="1" applyAlignment="1">
      <alignment horizontal="left"/>
    </xf>
    <xf numFmtId="0" fontId="2" fillId="3" borderId="7" xfId="0" applyFont="1" applyFill="1" applyBorder="1" applyAlignment="1">
      <alignment horizontal="left"/>
    </xf>
    <xf numFmtId="0" fontId="2" fillId="3" borderId="8" xfId="0" applyFont="1" applyFill="1" applyBorder="1" applyAlignment="1">
      <alignment horizontal="left"/>
    </xf>
    <xf numFmtId="0" fontId="2" fillId="3" borderId="9" xfId="0" applyFont="1" applyFill="1" applyBorder="1" applyAlignment="1">
      <alignment horizontal="left"/>
    </xf>
    <xf numFmtId="0" fontId="0" fillId="0" borderId="7" xfId="0" applyBorder="1" applyAlignment="1">
      <alignment horizontal="center"/>
    </xf>
    <xf numFmtId="0" fontId="0" fillId="0" borderId="9" xfId="0" applyBorder="1" applyAlignment="1">
      <alignment horizontal="center"/>
    </xf>
    <xf numFmtId="44" fontId="0" fillId="0" borderId="5" xfId="1" applyFont="1" applyBorder="1" applyAlignment="1">
      <alignment horizontal="center"/>
    </xf>
    <xf numFmtId="44" fontId="0" fillId="0" borderId="6" xfId="1" applyFont="1" applyBorder="1" applyAlignment="1">
      <alignment horizontal="center"/>
    </xf>
    <xf numFmtId="9" fontId="0" fillId="0" borderId="5" xfId="2" applyFont="1" applyBorder="1" applyAlignment="1">
      <alignment horizontal="center"/>
    </xf>
    <xf numFmtId="9" fontId="0" fillId="0" borderId="6" xfId="2" applyFont="1" applyBorder="1" applyAlignment="1">
      <alignment horizontal="center"/>
    </xf>
    <xf numFmtId="9" fontId="0" fillId="0" borderId="7" xfId="2" applyFont="1" applyBorder="1" applyAlignment="1">
      <alignment horizontal="center"/>
    </xf>
    <xf numFmtId="9" fontId="0" fillId="0" borderId="9" xfId="2" applyFont="1" applyBorder="1" applyAlignment="1">
      <alignment horizontal="center"/>
    </xf>
    <xf numFmtId="0" fontId="0" fillId="0" borderId="0" xfId="0" applyAlignment="1">
      <alignment horizontal="center"/>
    </xf>
    <xf numFmtId="0" fontId="0" fillId="0" borderId="8"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8" xfId="0" applyBorder="1" applyAlignment="1">
      <alignment horizontal="left"/>
    </xf>
    <xf numFmtId="0" fontId="0" fillId="0" borderId="9" xfId="0" applyBorder="1" applyAlignment="1">
      <alignment horizontal="left"/>
    </xf>
    <xf numFmtId="0" fontId="0" fillId="0" borderId="3" xfId="0" applyBorder="1" applyAlignment="1">
      <alignment horizontal="center"/>
    </xf>
    <xf numFmtId="44" fontId="0" fillId="0" borderId="0" xfId="1" applyFont="1"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7" xfId="0" applyBorder="1" applyAlignment="1">
      <alignment horizontal="left"/>
    </xf>
    <xf numFmtId="0" fontId="0" fillId="0" borderId="4" xfId="0" applyBorder="1" applyAlignment="1">
      <alignment horizontal="left"/>
    </xf>
    <xf numFmtId="0" fontId="2" fillId="3" borderId="10" xfId="0" applyFont="1" applyFill="1" applyBorder="1" applyAlignment="1">
      <alignment horizontal="center"/>
    </xf>
    <xf numFmtId="0" fontId="2" fillId="3" borderId="12" xfId="0" applyFont="1" applyFill="1" applyBorder="1" applyAlignment="1">
      <alignment horizontal="center"/>
    </xf>
    <xf numFmtId="44" fontId="0" fillId="3" borderId="7" xfId="1" applyFont="1" applyFill="1" applyBorder="1" applyAlignment="1">
      <alignment horizontal="center"/>
    </xf>
    <xf numFmtId="44" fontId="0" fillId="3" borderId="8" xfId="1" applyFont="1" applyFill="1" applyBorder="1" applyAlignment="1">
      <alignment horizontal="center"/>
    </xf>
    <xf numFmtId="0" fontId="0" fillId="10" borderId="5" xfId="0" applyFill="1" applyBorder="1" applyAlignment="1">
      <alignment horizontal="center"/>
    </xf>
    <xf numFmtId="0" fontId="0" fillId="10" borderId="0" xfId="0" applyFill="1" applyAlignment="1">
      <alignment horizontal="center"/>
    </xf>
    <xf numFmtId="0" fontId="2" fillId="0" borderId="0" xfId="0" applyFont="1" applyAlignment="1">
      <alignment horizontal="center"/>
    </xf>
    <xf numFmtId="0" fontId="2" fillId="3" borderId="8" xfId="0" applyFont="1" applyFill="1" applyBorder="1" applyAlignment="1">
      <alignment horizontal="center"/>
    </xf>
    <xf numFmtId="44" fontId="0" fillId="10" borderId="5" xfId="0" applyNumberFormat="1" applyFill="1" applyBorder="1" applyAlignment="1">
      <alignment horizontal="center"/>
    </xf>
    <xf numFmtId="0" fontId="0" fillId="0" borderId="0" xfId="0" applyAlignment="1">
      <alignment horizontal="center" vertical="center" wrapText="1"/>
    </xf>
    <xf numFmtId="0" fontId="0" fillId="0" borderId="5" xfId="0" applyBorder="1"/>
    <xf numFmtId="0" fontId="0" fillId="0" borderId="0" xfId="0"/>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xf numFmtId="0" fontId="0" fillId="0" borderId="3" xfId="0" applyBorder="1"/>
    <xf numFmtId="0" fontId="0" fillId="0" borderId="4" xfId="0" applyBorder="1"/>
    <xf numFmtId="0" fontId="0" fillId="0" borderId="0" xfId="0" applyAlignment="1">
      <alignment horizontal="center" wrapText="1"/>
    </xf>
    <xf numFmtId="44" fontId="0" fillId="3" borderId="9" xfId="1" applyFont="1" applyFill="1" applyBorder="1" applyAlignment="1">
      <alignment horizontal="center"/>
    </xf>
    <xf numFmtId="44" fontId="0" fillId="0" borderId="0" xfId="0" applyNumberFormat="1" applyAlignment="1">
      <alignment horizontal="center"/>
    </xf>
    <xf numFmtId="0" fontId="0" fillId="10" borderId="6" xfId="0" applyFill="1" applyBorder="1" applyAlignment="1">
      <alignment horizontal="center"/>
    </xf>
    <xf numFmtId="0" fontId="0" fillId="0" borderId="10" xfId="0" applyBorder="1" applyAlignment="1">
      <alignment horizontal="left"/>
    </xf>
    <xf numFmtId="0" fontId="0" fillId="0" borderId="11" xfId="0" applyBorder="1" applyAlignment="1">
      <alignment horizontal="left"/>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285749</xdr:colOff>
      <xdr:row>1</xdr:row>
      <xdr:rowOff>56445</xdr:rowOff>
    </xdr:from>
    <xdr:to>
      <xdr:col>18</xdr:col>
      <xdr:colOff>583415</xdr:colOff>
      <xdr:row>12</xdr:row>
      <xdr:rowOff>56365</xdr:rowOff>
    </xdr:to>
    <xdr:pic>
      <xdr:nvPicPr>
        <xdr:cNvPr id="2" name="Picture 1">
          <a:extLst>
            <a:ext uri="{FF2B5EF4-FFF2-40B4-BE49-F238E27FC236}">
              <a16:creationId xmlns:a16="http://schemas.microsoft.com/office/drawing/2014/main" id="{FE73951F-3192-E8E0-ECC4-01BC7FF86FB2}"/>
            </a:ext>
          </a:extLst>
        </xdr:cNvPr>
        <xdr:cNvPicPr>
          <a:picLocks noChangeAspect="1"/>
        </xdr:cNvPicPr>
      </xdr:nvPicPr>
      <xdr:blipFill>
        <a:blip xmlns:r="http://schemas.openxmlformats.org/officeDocument/2006/relationships" r:embed="rId1"/>
        <a:stretch>
          <a:fillRect/>
        </a:stretch>
      </xdr:blipFill>
      <xdr:spPr>
        <a:xfrm>
          <a:off x="7306027" y="239889"/>
          <a:ext cx="4545111" cy="2024865"/>
        </a:xfrm>
        <a:prstGeom prst="rect">
          <a:avLst/>
        </a:prstGeom>
      </xdr:spPr>
    </xdr:pic>
    <xdr:clientData/>
  </xdr:twoCellAnchor>
  <xdr:twoCellAnchor editAs="oneCell">
    <xdr:from>
      <xdr:col>12</xdr:col>
      <xdr:colOff>84261</xdr:colOff>
      <xdr:row>16</xdr:row>
      <xdr:rowOff>70556</xdr:rowOff>
    </xdr:from>
    <xdr:to>
      <xdr:col>19</xdr:col>
      <xdr:colOff>332680</xdr:colOff>
      <xdr:row>24</xdr:row>
      <xdr:rowOff>73498</xdr:rowOff>
    </xdr:to>
    <xdr:pic>
      <xdr:nvPicPr>
        <xdr:cNvPr id="3" name="Picture 2">
          <a:extLst>
            <a:ext uri="{FF2B5EF4-FFF2-40B4-BE49-F238E27FC236}">
              <a16:creationId xmlns:a16="http://schemas.microsoft.com/office/drawing/2014/main" id="{FD2D5F33-7B13-85FD-9512-7C052CDF3DBD}"/>
            </a:ext>
          </a:extLst>
        </xdr:cNvPr>
        <xdr:cNvPicPr>
          <a:picLocks noChangeAspect="1"/>
        </xdr:cNvPicPr>
      </xdr:nvPicPr>
      <xdr:blipFill>
        <a:blip xmlns:r="http://schemas.openxmlformats.org/officeDocument/2006/relationships" r:embed="rId2"/>
        <a:stretch>
          <a:fillRect/>
        </a:stretch>
      </xdr:blipFill>
      <xdr:spPr>
        <a:xfrm>
          <a:off x="8346317" y="3019778"/>
          <a:ext cx="4495864" cy="14704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137583</xdr:colOff>
      <xdr:row>56</xdr:row>
      <xdr:rowOff>180975</xdr:rowOff>
    </xdr:from>
    <xdr:to>
      <xdr:col>20</xdr:col>
      <xdr:colOff>490497</xdr:colOff>
      <xdr:row>72</xdr:row>
      <xdr:rowOff>52132</xdr:rowOff>
    </xdr:to>
    <xdr:pic>
      <xdr:nvPicPr>
        <xdr:cNvPr id="2" name="Picture 1">
          <a:extLst>
            <a:ext uri="{FF2B5EF4-FFF2-40B4-BE49-F238E27FC236}">
              <a16:creationId xmlns:a16="http://schemas.microsoft.com/office/drawing/2014/main" id="{E63673EF-C61D-4B0D-94DC-AC804A545DB7}"/>
            </a:ext>
          </a:extLst>
        </xdr:cNvPr>
        <xdr:cNvPicPr>
          <a:picLocks noChangeAspect="1"/>
        </xdr:cNvPicPr>
      </xdr:nvPicPr>
      <xdr:blipFill>
        <a:blip xmlns:r="http://schemas.openxmlformats.org/officeDocument/2006/relationships" r:embed="rId1"/>
        <a:stretch>
          <a:fillRect/>
        </a:stretch>
      </xdr:blipFill>
      <xdr:spPr>
        <a:xfrm>
          <a:off x="9453033" y="10915650"/>
          <a:ext cx="6448914" cy="2976307"/>
        </a:xfrm>
        <a:prstGeom prst="rect">
          <a:avLst/>
        </a:prstGeom>
      </xdr:spPr>
    </xdr:pic>
    <xdr:clientData/>
  </xdr:twoCellAnchor>
  <xdr:twoCellAnchor editAs="oneCell">
    <xdr:from>
      <xdr:col>9</xdr:col>
      <xdr:colOff>867427</xdr:colOff>
      <xdr:row>77</xdr:row>
      <xdr:rowOff>175331</xdr:rowOff>
    </xdr:from>
    <xdr:to>
      <xdr:col>20</xdr:col>
      <xdr:colOff>426418</xdr:colOff>
      <xdr:row>89</xdr:row>
      <xdr:rowOff>102659</xdr:rowOff>
    </xdr:to>
    <xdr:pic>
      <xdr:nvPicPr>
        <xdr:cNvPr id="3" name="Picture 2">
          <a:extLst>
            <a:ext uri="{FF2B5EF4-FFF2-40B4-BE49-F238E27FC236}">
              <a16:creationId xmlns:a16="http://schemas.microsoft.com/office/drawing/2014/main" id="{EAE38CCE-AD5D-43A0-A61B-CAC546295A82}"/>
            </a:ext>
          </a:extLst>
        </xdr:cNvPr>
        <xdr:cNvPicPr>
          <a:picLocks noChangeAspect="1"/>
        </xdr:cNvPicPr>
      </xdr:nvPicPr>
      <xdr:blipFill>
        <a:blip xmlns:r="http://schemas.openxmlformats.org/officeDocument/2006/relationships" r:embed="rId2"/>
        <a:stretch>
          <a:fillRect/>
        </a:stretch>
      </xdr:blipFill>
      <xdr:spPr>
        <a:xfrm>
          <a:off x="9163702" y="14986706"/>
          <a:ext cx="6674166" cy="22514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137583</xdr:colOff>
      <xdr:row>56</xdr:row>
      <xdr:rowOff>180975</xdr:rowOff>
    </xdr:from>
    <xdr:to>
      <xdr:col>20</xdr:col>
      <xdr:colOff>490497</xdr:colOff>
      <xdr:row>72</xdr:row>
      <xdr:rowOff>52132</xdr:rowOff>
    </xdr:to>
    <xdr:pic>
      <xdr:nvPicPr>
        <xdr:cNvPr id="2" name="Picture 1">
          <a:extLst>
            <a:ext uri="{FF2B5EF4-FFF2-40B4-BE49-F238E27FC236}">
              <a16:creationId xmlns:a16="http://schemas.microsoft.com/office/drawing/2014/main" id="{3A7A3592-F12C-4D2A-BB0F-98E5142D9ED5}"/>
            </a:ext>
          </a:extLst>
        </xdr:cNvPr>
        <xdr:cNvPicPr>
          <a:picLocks noChangeAspect="1"/>
        </xdr:cNvPicPr>
      </xdr:nvPicPr>
      <xdr:blipFill>
        <a:blip xmlns:r="http://schemas.openxmlformats.org/officeDocument/2006/relationships" r:embed="rId1"/>
        <a:stretch>
          <a:fillRect/>
        </a:stretch>
      </xdr:blipFill>
      <xdr:spPr>
        <a:xfrm>
          <a:off x="9881658" y="10915650"/>
          <a:ext cx="6448914" cy="2976307"/>
        </a:xfrm>
        <a:prstGeom prst="rect">
          <a:avLst/>
        </a:prstGeom>
      </xdr:spPr>
    </xdr:pic>
    <xdr:clientData/>
  </xdr:twoCellAnchor>
  <xdr:twoCellAnchor editAs="oneCell">
    <xdr:from>
      <xdr:col>9</xdr:col>
      <xdr:colOff>867427</xdr:colOff>
      <xdr:row>77</xdr:row>
      <xdr:rowOff>175331</xdr:rowOff>
    </xdr:from>
    <xdr:to>
      <xdr:col>20</xdr:col>
      <xdr:colOff>426418</xdr:colOff>
      <xdr:row>89</xdr:row>
      <xdr:rowOff>102659</xdr:rowOff>
    </xdr:to>
    <xdr:pic>
      <xdr:nvPicPr>
        <xdr:cNvPr id="3" name="Picture 2">
          <a:extLst>
            <a:ext uri="{FF2B5EF4-FFF2-40B4-BE49-F238E27FC236}">
              <a16:creationId xmlns:a16="http://schemas.microsoft.com/office/drawing/2014/main" id="{7FA53FAB-149F-4BF2-8DEC-438423188887}"/>
            </a:ext>
          </a:extLst>
        </xdr:cNvPr>
        <xdr:cNvPicPr>
          <a:picLocks noChangeAspect="1"/>
        </xdr:cNvPicPr>
      </xdr:nvPicPr>
      <xdr:blipFill>
        <a:blip xmlns:r="http://schemas.openxmlformats.org/officeDocument/2006/relationships" r:embed="rId2"/>
        <a:stretch>
          <a:fillRect/>
        </a:stretch>
      </xdr:blipFill>
      <xdr:spPr>
        <a:xfrm>
          <a:off x="9592327" y="14986706"/>
          <a:ext cx="6674166" cy="22514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197556</xdr:colOff>
      <xdr:row>0</xdr:row>
      <xdr:rowOff>108752</xdr:rowOff>
    </xdr:from>
    <xdr:to>
      <xdr:col>28</xdr:col>
      <xdr:colOff>188369</xdr:colOff>
      <xdr:row>17</xdr:row>
      <xdr:rowOff>28221</xdr:rowOff>
    </xdr:to>
    <xdr:pic>
      <xdr:nvPicPr>
        <xdr:cNvPr id="2" name="Picture 1">
          <a:extLst>
            <a:ext uri="{FF2B5EF4-FFF2-40B4-BE49-F238E27FC236}">
              <a16:creationId xmlns:a16="http://schemas.microsoft.com/office/drawing/2014/main" id="{DEC26468-5E12-9BEC-373C-527FE3401C4E}"/>
            </a:ext>
          </a:extLst>
        </xdr:cNvPr>
        <xdr:cNvPicPr>
          <a:picLocks noChangeAspect="1"/>
        </xdr:cNvPicPr>
      </xdr:nvPicPr>
      <xdr:blipFill>
        <a:blip xmlns:r="http://schemas.openxmlformats.org/officeDocument/2006/relationships" r:embed="rId1"/>
        <a:stretch>
          <a:fillRect/>
        </a:stretch>
      </xdr:blipFill>
      <xdr:spPr>
        <a:xfrm>
          <a:off x="12149667" y="108752"/>
          <a:ext cx="8485701" cy="30662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807156</xdr:colOff>
      <xdr:row>54</xdr:row>
      <xdr:rowOff>70652</xdr:rowOff>
    </xdr:from>
    <xdr:to>
      <xdr:col>22</xdr:col>
      <xdr:colOff>483644</xdr:colOff>
      <xdr:row>69</xdr:row>
      <xdr:rowOff>132996</xdr:rowOff>
    </xdr:to>
    <xdr:pic>
      <xdr:nvPicPr>
        <xdr:cNvPr id="2" name="Picture 1">
          <a:extLst>
            <a:ext uri="{FF2B5EF4-FFF2-40B4-BE49-F238E27FC236}">
              <a16:creationId xmlns:a16="http://schemas.microsoft.com/office/drawing/2014/main" id="{427CC1FD-134F-4828-82FB-2516AC637C50}"/>
            </a:ext>
          </a:extLst>
        </xdr:cNvPr>
        <xdr:cNvPicPr>
          <a:picLocks noChangeAspect="1"/>
        </xdr:cNvPicPr>
      </xdr:nvPicPr>
      <xdr:blipFill>
        <a:blip xmlns:r="http://schemas.openxmlformats.org/officeDocument/2006/relationships" r:embed="rId1"/>
        <a:stretch>
          <a:fillRect/>
        </a:stretch>
      </xdr:blipFill>
      <xdr:spPr>
        <a:xfrm>
          <a:off x="8646231" y="10452902"/>
          <a:ext cx="8525213" cy="31960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127000</xdr:colOff>
      <xdr:row>19</xdr:row>
      <xdr:rowOff>158750</xdr:rowOff>
    </xdr:from>
    <xdr:to>
      <xdr:col>14</xdr:col>
      <xdr:colOff>127474</xdr:colOff>
      <xdr:row>35</xdr:row>
      <xdr:rowOff>165252</xdr:rowOff>
    </xdr:to>
    <xdr:pic>
      <xdr:nvPicPr>
        <xdr:cNvPr id="2" name="Picture 1">
          <a:extLst>
            <a:ext uri="{FF2B5EF4-FFF2-40B4-BE49-F238E27FC236}">
              <a16:creationId xmlns:a16="http://schemas.microsoft.com/office/drawing/2014/main" id="{5964BE30-9EA8-AC14-E6E0-242EB7A4D14C}"/>
            </a:ext>
          </a:extLst>
        </xdr:cNvPr>
        <xdr:cNvPicPr>
          <a:picLocks noChangeAspect="1"/>
        </xdr:cNvPicPr>
      </xdr:nvPicPr>
      <xdr:blipFill>
        <a:blip xmlns:r="http://schemas.openxmlformats.org/officeDocument/2006/relationships" r:embed="rId1"/>
        <a:stretch>
          <a:fillRect/>
        </a:stretch>
      </xdr:blipFill>
      <xdr:spPr>
        <a:xfrm>
          <a:off x="127000" y="3657600"/>
          <a:ext cx="9220674" cy="295290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B3BE6-8FC6-466F-941C-A6870255D585}">
  <dimension ref="A1:K153"/>
  <sheetViews>
    <sheetView topLeftCell="A31" zoomScale="90" zoomScaleNormal="90" workbookViewId="0">
      <selection activeCell="D153" sqref="D153"/>
    </sheetView>
  </sheetViews>
  <sheetFormatPr baseColWidth="10" defaultColWidth="9.140625" defaultRowHeight="15" x14ac:dyDescent="0.25"/>
  <cols>
    <col min="3" max="3" width="15.7109375" customWidth="1"/>
    <col min="4" max="4" width="18.5703125" customWidth="1"/>
    <col min="5" max="5" width="17.7109375" customWidth="1"/>
    <col min="6" max="6" width="16.7109375" customWidth="1"/>
    <col min="7" max="7" width="15.7109375" customWidth="1"/>
    <col min="8" max="8" width="14.5703125" customWidth="1"/>
    <col min="9" max="9" width="15.42578125" customWidth="1"/>
    <col min="10" max="10" width="15.28515625" customWidth="1"/>
  </cols>
  <sheetData>
    <row r="1" spans="1:11" x14ac:dyDescent="0.25">
      <c r="A1" t="s">
        <v>0</v>
      </c>
    </row>
    <row r="2" spans="1:11" ht="15.75" thickBot="1" x14ac:dyDescent="0.3"/>
    <row r="3" spans="1:11" x14ac:dyDescent="0.25">
      <c r="B3" s="194" t="s">
        <v>1</v>
      </c>
      <c r="C3" s="195"/>
      <c r="D3" s="195"/>
      <c r="E3" s="195"/>
      <c r="F3" s="195"/>
      <c r="G3" s="195"/>
      <c r="H3" s="195"/>
      <c r="I3" s="188" t="s">
        <v>12</v>
      </c>
      <c r="J3" s="189"/>
    </row>
    <row r="4" spans="1:11" x14ac:dyDescent="0.25">
      <c r="B4" s="169" t="s">
        <v>2</v>
      </c>
      <c r="C4" s="170"/>
      <c r="D4" s="170"/>
      <c r="E4" s="170"/>
      <c r="F4" s="170"/>
      <c r="G4" s="170"/>
      <c r="H4" s="170"/>
      <c r="I4" s="180">
        <v>4000000</v>
      </c>
      <c r="J4" s="181"/>
    </row>
    <row r="5" spans="1:11" x14ac:dyDescent="0.25">
      <c r="B5" s="169" t="s">
        <v>3</v>
      </c>
      <c r="C5" s="170"/>
      <c r="D5" s="170"/>
      <c r="E5" s="170"/>
      <c r="F5" s="170"/>
      <c r="G5" s="170"/>
      <c r="H5" s="170"/>
      <c r="I5" s="165" t="s">
        <v>13</v>
      </c>
      <c r="J5" s="158"/>
    </row>
    <row r="6" spans="1:11" x14ac:dyDescent="0.25">
      <c r="B6" s="169" t="s">
        <v>4</v>
      </c>
      <c r="C6" s="170"/>
      <c r="D6" s="170"/>
      <c r="E6" s="170"/>
      <c r="F6" s="170"/>
      <c r="G6" s="170"/>
      <c r="H6" s="170"/>
      <c r="I6" s="182">
        <v>0.25</v>
      </c>
      <c r="J6" s="183"/>
    </row>
    <row r="7" spans="1:11" x14ac:dyDescent="0.25">
      <c r="B7" s="169" t="s">
        <v>5</v>
      </c>
      <c r="C7" s="170"/>
      <c r="D7" s="170"/>
      <c r="E7" s="170"/>
      <c r="F7" s="170"/>
      <c r="G7" s="170"/>
      <c r="H7" s="170"/>
      <c r="I7" s="180">
        <v>200000</v>
      </c>
      <c r="J7" s="181"/>
    </row>
    <row r="8" spans="1:11" x14ac:dyDescent="0.25">
      <c r="B8" s="169" t="s">
        <v>6</v>
      </c>
      <c r="C8" s="170"/>
      <c r="D8" s="170"/>
      <c r="E8" s="170"/>
      <c r="F8" s="170"/>
      <c r="G8" s="170"/>
      <c r="H8" s="170"/>
      <c r="I8" s="182">
        <v>0.21</v>
      </c>
      <c r="J8" s="183"/>
    </row>
    <row r="9" spans="1:11" x14ac:dyDescent="0.25">
      <c r="B9" s="169" t="s">
        <v>7</v>
      </c>
      <c r="C9" s="170"/>
      <c r="D9" s="170"/>
      <c r="E9" s="170"/>
      <c r="F9" s="170"/>
      <c r="G9" s="170"/>
      <c r="H9" s="170"/>
      <c r="I9" s="180">
        <v>100000</v>
      </c>
      <c r="J9" s="181"/>
      <c r="K9" s="1" t="s">
        <v>16</v>
      </c>
    </row>
    <row r="10" spans="1:11" x14ac:dyDescent="0.25">
      <c r="B10" s="169" t="s">
        <v>7</v>
      </c>
      <c r="C10" s="170"/>
      <c r="D10" s="170"/>
      <c r="E10" s="170"/>
      <c r="F10" s="170"/>
      <c r="G10" s="170"/>
      <c r="H10" s="170"/>
      <c r="I10" s="180">
        <v>900000</v>
      </c>
      <c r="J10" s="181"/>
      <c r="K10" s="1" t="s">
        <v>17</v>
      </c>
    </row>
    <row r="11" spans="1:11" x14ac:dyDescent="0.25">
      <c r="B11" s="169" t="s">
        <v>7</v>
      </c>
      <c r="C11" s="170"/>
      <c r="D11" s="170"/>
      <c r="E11" s="170"/>
      <c r="F11" s="170"/>
      <c r="G11" s="170"/>
      <c r="H11" s="170"/>
      <c r="I11" s="165" t="s">
        <v>14</v>
      </c>
      <c r="J11" s="158"/>
    </row>
    <row r="12" spans="1:11" x14ac:dyDescent="0.25">
      <c r="B12" s="169" t="s">
        <v>8</v>
      </c>
      <c r="C12" s="170"/>
      <c r="D12" s="170"/>
      <c r="E12" s="170"/>
      <c r="F12" s="170"/>
      <c r="G12" s="170"/>
      <c r="H12" s="170"/>
      <c r="I12" s="165" t="s">
        <v>15</v>
      </c>
      <c r="J12" s="158"/>
    </row>
    <row r="13" spans="1:11" x14ac:dyDescent="0.25">
      <c r="B13" s="169" t="s">
        <v>9</v>
      </c>
      <c r="C13" s="170"/>
      <c r="D13" s="170"/>
      <c r="E13" s="170"/>
      <c r="F13" s="170"/>
      <c r="G13" s="170"/>
      <c r="H13" s="170"/>
      <c r="I13" s="182">
        <v>0.03</v>
      </c>
      <c r="J13" s="183"/>
    </row>
    <row r="14" spans="1:11" ht="15.75" thickBot="1" x14ac:dyDescent="0.3">
      <c r="B14" s="196" t="s">
        <v>10</v>
      </c>
      <c r="C14" s="190"/>
      <c r="D14" s="190"/>
      <c r="E14" s="190"/>
      <c r="F14" s="190"/>
      <c r="G14" s="190"/>
      <c r="H14" s="190"/>
      <c r="I14" s="184">
        <v>0.04</v>
      </c>
      <c r="J14" s="185"/>
    </row>
    <row r="15" spans="1:11" x14ac:dyDescent="0.25">
      <c r="B15" t="s">
        <v>11</v>
      </c>
    </row>
    <row r="16" spans="1:11" ht="15.75" thickBot="1" x14ac:dyDescent="0.3"/>
    <row r="17" spans="1:11" x14ac:dyDescent="0.25">
      <c r="B17" s="194" t="s">
        <v>18</v>
      </c>
      <c r="C17" s="195"/>
      <c r="D17" s="195"/>
      <c r="E17" s="195"/>
      <c r="F17" s="195"/>
      <c r="G17" s="197"/>
      <c r="H17" s="192" t="s">
        <v>27</v>
      </c>
      <c r="I17" s="192"/>
      <c r="J17" s="192"/>
      <c r="K17" s="189"/>
    </row>
    <row r="18" spans="1:11" x14ac:dyDescent="0.25">
      <c r="B18" s="169" t="s">
        <v>19</v>
      </c>
      <c r="C18" s="170"/>
      <c r="D18" s="170"/>
      <c r="E18" s="170"/>
      <c r="F18" s="170"/>
      <c r="G18" s="171"/>
      <c r="H18" s="193">
        <v>2500</v>
      </c>
      <c r="I18" s="193"/>
      <c r="J18" s="193"/>
      <c r="K18" s="181"/>
    </row>
    <row r="19" spans="1:11" x14ac:dyDescent="0.25">
      <c r="B19" s="169" t="s">
        <v>20</v>
      </c>
      <c r="C19" s="170"/>
      <c r="D19" s="170"/>
      <c r="E19" s="170"/>
      <c r="F19" s="170"/>
      <c r="G19" s="171"/>
      <c r="H19" s="186" t="s">
        <v>28</v>
      </c>
      <c r="I19" s="186"/>
      <c r="J19" s="186"/>
      <c r="K19" s="158"/>
    </row>
    <row r="20" spans="1:11" x14ac:dyDescent="0.25">
      <c r="B20" s="169" t="s">
        <v>20</v>
      </c>
      <c r="C20" s="170"/>
      <c r="D20" s="170"/>
      <c r="E20" s="170"/>
      <c r="F20" s="170"/>
      <c r="G20" s="171"/>
      <c r="H20" s="186" t="s">
        <v>29</v>
      </c>
      <c r="I20" s="186"/>
      <c r="J20" s="186"/>
      <c r="K20" s="158"/>
    </row>
    <row r="21" spans="1:11" x14ac:dyDescent="0.25">
      <c r="B21" s="169" t="s">
        <v>21</v>
      </c>
      <c r="C21" s="170"/>
      <c r="D21" s="170"/>
      <c r="E21" s="170"/>
      <c r="F21" s="170"/>
      <c r="G21" s="171"/>
      <c r="H21" s="186" t="s">
        <v>30</v>
      </c>
      <c r="I21" s="186"/>
      <c r="J21" s="186"/>
      <c r="K21" s="158"/>
    </row>
    <row r="22" spans="1:11" x14ac:dyDescent="0.25">
      <c r="B22" s="169" t="s">
        <v>22</v>
      </c>
      <c r="C22" s="170"/>
      <c r="D22" s="170"/>
      <c r="E22" s="170"/>
      <c r="F22" s="170"/>
      <c r="G22" s="171"/>
      <c r="H22" s="186" t="s">
        <v>31</v>
      </c>
      <c r="I22" s="186"/>
      <c r="J22" s="186"/>
      <c r="K22" s="158"/>
    </row>
    <row r="23" spans="1:11" x14ac:dyDescent="0.25">
      <c r="B23" s="169" t="s">
        <v>23</v>
      </c>
      <c r="C23" s="170"/>
      <c r="D23" s="170"/>
      <c r="E23" s="170"/>
      <c r="F23" s="170"/>
      <c r="G23" s="171"/>
      <c r="H23" s="186" t="s">
        <v>32</v>
      </c>
      <c r="I23" s="186"/>
      <c r="J23" s="186"/>
      <c r="K23" s="158"/>
    </row>
    <row r="24" spans="1:11" x14ac:dyDescent="0.25">
      <c r="B24" s="169"/>
      <c r="C24" s="170"/>
      <c r="D24" s="170"/>
      <c r="E24" s="170"/>
      <c r="F24" s="170"/>
      <c r="G24" s="171"/>
      <c r="H24" s="186" t="s">
        <v>33</v>
      </c>
      <c r="I24" s="186"/>
      <c r="J24" s="186"/>
      <c r="K24" s="158"/>
    </row>
    <row r="25" spans="1:11" x14ac:dyDescent="0.25">
      <c r="B25" s="169" t="s">
        <v>24</v>
      </c>
      <c r="C25" s="170"/>
      <c r="D25" s="170"/>
      <c r="E25" s="170"/>
      <c r="F25" s="170"/>
      <c r="G25" s="171"/>
      <c r="H25" s="186" t="s">
        <v>37</v>
      </c>
      <c r="I25" s="186"/>
      <c r="J25" s="186"/>
      <c r="K25" s="158"/>
    </row>
    <row r="26" spans="1:11" x14ac:dyDescent="0.25">
      <c r="B26" s="169" t="s">
        <v>25</v>
      </c>
      <c r="C26" s="170"/>
      <c r="D26" s="170"/>
      <c r="E26" s="170"/>
      <c r="F26" s="170"/>
      <c r="G26" s="171"/>
      <c r="H26" s="186" t="s">
        <v>34</v>
      </c>
      <c r="I26" s="186"/>
      <c r="J26" s="186"/>
      <c r="K26" s="158"/>
    </row>
    <row r="27" spans="1:11" ht="15.75" thickBot="1" x14ac:dyDescent="0.3">
      <c r="B27" s="196" t="s">
        <v>26</v>
      </c>
      <c r="C27" s="190"/>
      <c r="D27" s="190"/>
      <c r="E27" s="190"/>
      <c r="F27" s="190"/>
      <c r="G27" s="191"/>
      <c r="H27" s="187" t="s">
        <v>35</v>
      </c>
      <c r="I27" s="187"/>
      <c r="J27" s="187"/>
      <c r="K27" s="179"/>
    </row>
    <row r="29" spans="1:11" x14ac:dyDescent="0.25">
      <c r="A29" s="62" t="s">
        <v>38</v>
      </c>
      <c r="B29" s="23" t="s">
        <v>39</v>
      </c>
    </row>
    <row r="30" spans="1:11" ht="15.75" thickBot="1" x14ac:dyDescent="0.3"/>
    <row r="31" spans="1:11" ht="15.75" thickBot="1" x14ac:dyDescent="0.3">
      <c r="C31" s="161"/>
      <c r="D31" s="168"/>
      <c r="E31" s="168"/>
      <c r="F31" s="168"/>
      <c r="G31" s="162"/>
      <c r="H31" s="19" t="s">
        <v>50</v>
      </c>
      <c r="I31" s="19" t="s">
        <v>51</v>
      </c>
      <c r="J31" s="20" t="s">
        <v>52</v>
      </c>
    </row>
    <row r="32" spans="1:11" x14ac:dyDescent="0.25">
      <c r="C32" s="169" t="s">
        <v>40</v>
      </c>
      <c r="D32" s="170"/>
      <c r="E32" s="170"/>
      <c r="F32" s="170"/>
      <c r="G32" s="171"/>
      <c r="H32" s="17">
        <f>J32-I32</f>
        <v>3800000</v>
      </c>
      <c r="I32" s="17">
        <f>I7</f>
        <v>200000</v>
      </c>
      <c r="J32" s="16">
        <f>I4</f>
        <v>4000000</v>
      </c>
    </row>
    <row r="33" spans="1:10" x14ac:dyDescent="0.25">
      <c r="C33" s="169" t="s">
        <v>41</v>
      </c>
      <c r="D33" s="170"/>
      <c r="E33" s="170"/>
      <c r="F33" s="170"/>
      <c r="G33" s="171"/>
      <c r="H33" s="17">
        <f>0.21*H32</f>
        <v>798000</v>
      </c>
      <c r="I33" s="17">
        <f t="shared" ref="I33:J33" si="0">0.21*I32</f>
        <v>42000</v>
      </c>
      <c r="J33" s="17">
        <f t="shared" si="0"/>
        <v>840000</v>
      </c>
    </row>
    <row r="34" spans="1:10" x14ac:dyDescent="0.25">
      <c r="C34" s="169" t="s">
        <v>42</v>
      </c>
      <c r="D34" s="170"/>
      <c r="E34" s="170"/>
      <c r="F34" s="170"/>
      <c r="G34" s="171"/>
      <c r="H34" s="17">
        <f>H32+H33</f>
        <v>4598000</v>
      </c>
      <c r="I34" s="17">
        <f t="shared" ref="I34:J34" si="1">I32+I33</f>
        <v>242000</v>
      </c>
      <c r="J34" s="17">
        <f t="shared" si="1"/>
        <v>4840000</v>
      </c>
    </row>
    <row r="35" spans="1:10" x14ac:dyDescent="0.25">
      <c r="C35" s="169"/>
      <c r="D35" s="170"/>
      <c r="E35" s="170"/>
      <c r="F35" s="170"/>
      <c r="G35" s="171"/>
      <c r="H35" s="17"/>
      <c r="I35" s="17"/>
      <c r="J35" s="16"/>
    </row>
    <row r="36" spans="1:10" x14ac:dyDescent="0.25">
      <c r="C36" s="169" t="s">
        <v>43</v>
      </c>
      <c r="D36" s="170"/>
      <c r="E36" s="170"/>
      <c r="F36" s="170"/>
      <c r="G36" s="171"/>
      <c r="H36" s="17">
        <f>I9</f>
        <v>100000</v>
      </c>
      <c r="I36" s="17">
        <f>I10</f>
        <v>900000</v>
      </c>
      <c r="J36" s="16">
        <f>H36+I36</f>
        <v>1000000</v>
      </c>
    </row>
    <row r="37" spans="1:10" x14ac:dyDescent="0.25">
      <c r="C37" s="169"/>
      <c r="D37" s="170"/>
      <c r="E37" s="170"/>
      <c r="F37" s="170"/>
      <c r="G37" s="171"/>
      <c r="H37" s="17"/>
      <c r="I37" s="17"/>
      <c r="J37" s="16"/>
    </row>
    <row r="38" spans="1:10" x14ac:dyDescent="0.25">
      <c r="C38" s="169" t="s">
        <v>44</v>
      </c>
      <c r="D38" s="170"/>
      <c r="E38" s="170"/>
      <c r="F38" s="170"/>
      <c r="G38" s="171"/>
      <c r="H38" s="17">
        <f>H36</f>
        <v>100000</v>
      </c>
      <c r="I38" s="17">
        <f>J38-H38</f>
        <v>600000</v>
      </c>
      <c r="J38" s="16">
        <f>0.7*J36</f>
        <v>700000</v>
      </c>
    </row>
    <row r="39" spans="1:10" x14ac:dyDescent="0.25">
      <c r="C39" s="169" t="s">
        <v>53</v>
      </c>
      <c r="D39" s="170"/>
      <c r="E39" s="170"/>
      <c r="F39" s="170"/>
      <c r="G39" s="171"/>
      <c r="H39" s="17">
        <f>0.12*H38</f>
        <v>12000</v>
      </c>
      <c r="I39" s="17">
        <f t="shared" ref="I39:J39" si="2">0.12*I38</f>
        <v>72000</v>
      </c>
      <c r="J39" s="17">
        <f t="shared" si="2"/>
        <v>84000</v>
      </c>
    </row>
    <row r="40" spans="1:10" x14ac:dyDescent="0.25">
      <c r="C40" s="169" t="s">
        <v>42</v>
      </c>
      <c r="D40" s="170"/>
      <c r="E40" s="170"/>
      <c r="F40" s="170"/>
      <c r="G40" s="171"/>
      <c r="H40" s="17">
        <f>H38+H39</f>
        <v>112000</v>
      </c>
      <c r="I40" s="17">
        <f t="shared" ref="I40:J40" si="3">I38+I39</f>
        <v>672000</v>
      </c>
      <c r="J40" s="17">
        <f t="shared" si="3"/>
        <v>784000</v>
      </c>
    </row>
    <row r="41" spans="1:10" x14ac:dyDescent="0.25">
      <c r="C41" s="169"/>
      <c r="D41" s="170"/>
      <c r="E41" s="170"/>
      <c r="F41" s="170"/>
      <c r="G41" s="171"/>
      <c r="H41" s="17"/>
      <c r="I41" s="17"/>
      <c r="J41" s="16"/>
    </row>
    <row r="42" spans="1:10" x14ac:dyDescent="0.25">
      <c r="C42" s="169" t="s">
        <v>45</v>
      </c>
      <c r="D42" s="170"/>
      <c r="E42" s="170"/>
      <c r="F42" s="170"/>
      <c r="G42" s="171"/>
      <c r="H42" s="17"/>
      <c r="I42" s="17"/>
      <c r="J42" s="16"/>
    </row>
    <row r="43" spans="1:10" x14ac:dyDescent="0.25">
      <c r="C43" s="10"/>
      <c r="D43" s="170" t="s">
        <v>46</v>
      </c>
      <c r="E43" s="170"/>
      <c r="F43" s="170"/>
      <c r="G43" s="171"/>
      <c r="H43" s="17">
        <f>H32+H38</f>
        <v>3900000</v>
      </c>
      <c r="I43" s="17">
        <f t="shared" ref="I43:J43" si="4">I32+I38</f>
        <v>800000</v>
      </c>
      <c r="J43" s="17">
        <f t="shared" si="4"/>
        <v>4700000</v>
      </c>
    </row>
    <row r="44" spans="1:10" x14ac:dyDescent="0.25">
      <c r="C44" s="10"/>
      <c r="D44" s="170" t="s">
        <v>47</v>
      </c>
      <c r="E44" s="170"/>
      <c r="F44" s="170"/>
      <c r="G44" s="171"/>
      <c r="H44" s="17">
        <f>H33+H39</f>
        <v>810000</v>
      </c>
      <c r="I44" s="17">
        <f t="shared" ref="I44:J44" si="5">I33+I39</f>
        <v>114000</v>
      </c>
      <c r="J44" s="17">
        <f t="shared" si="5"/>
        <v>924000</v>
      </c>
    </row>
    <row r="45" spans="1:10" ht="15.75" thickBot="1" x14ac:dyDescent="0.3">
      <c r="C45" s="12"/>
      <c r="D45" s="190" t="s">
        <v>48</v>
      </c>
      <c r="E45" s="190"/>
      <c r="F45" s="190"/>
      <c r="G45" s="191"/>
      <c r="H45" s="18">
        <f>H43+H44</f>
        <v>4710000</v>
      </c>
      <c r="I45" s="18">
        <f t="shared" ref="I45:J45" si="6">I43+I44</f>
        <v>914000</v>
      </c>
      <c r="J45" s="18">
        <f t="shared" si="6"/>
        <v>5624000</v>
      </c>
    </row>
    <row r="48" spans="1:10" x14ac:dyDescent="0.25">
      <c r="A48" s="62" t="s">
        <v>54</v>
      </c>
      <c r="B48" s="23" t="s">
        <v>55</v>
      </c>
    </row>
    <row r="50" spans="1:9" x14ac:dyDescent="0.25">
      <c r="B50" t="s">
        <v>56</v>
      </c>
      <c r="C50" s="24">
        <f>J32</f>
        <v>4000000</v>
      </c>
    </row>
    <row r="51" spans="1:9" x14ac:dyDescent="0.25">
      <c r="B51" s="42" t="s">
        <v>57</v>
      </c>
      <c r="C51" s="43">
        <f>0.25*C50</f>
        <v>1000000</v>
      </c>
    </row>
    <row r="52" spans="1:9" x14ac:dyDescent="0.25">
      <c r="B52" t="s">
        <v>58</v>
      </c>
      <c r="C52" s="24">
        <f>C50-C51</f>
        <v>3000000</v>
      </c>
    </row>
    <row r="53" spans="1:9" x14ac:dyDescent="0.25">
      <c r="B53" t="s">
        <v>59</v>
      </c>
      <c r="C53" s="24">
        <f>C52/4</f>
        <v>750000</v>
      </c>
    </row>
    <row r="56" spans="1:9" x14ac:dyDescent="0.25">
      <c r="A56" s="62" t="s">
        <v>60</v>
      </c>
      <c r="B56" s="23" t="s">
        <v>76</v>
      </c>
    </row>
    <row r="57" spans="1:9" ht="15.75" thickBot="1" x14ac:dyDescent="0.3"/>
    <row r="58" spans="1:9" ht="15.75" thickBot="1" x14ac:dyDescent="0.3">
      <c r="A58" s="161"/>
      <c r="B58" s="162"/>
      <c r="C58" s="26" t="s">
        <v>63</v>
      </c>
      <c r="D58" s="26" t="s">
        <v>64</v>
      </c>
      <c r="H58" s="7" t="s">
        <v>61</v>
      </c>
      <c r="I58" s="32">
        <f>1500*H18</f>
        <v>3750000</v>
      </c>
    </row>
    <row r="59" spans="1:9" ht="15.75" thickBot="1" x14ac:dyDescent="0.3">
      <c r="A59" s="165" t="s">
        <v>51</v>
      </c>
      <c r="B59" s="158"/>
      <c r="C59" s="27">
        <f>0.25*I59</f>
        <v>1250000</v>
      </c>
      <c r="D59" s="30">
        <f>1000*2000</f>
        <v>2000000</v>
      </c>
      <c r="H59" s="12" t="s">
        <v>62</v>
      </c>
      <c r="I59" s="33">
        <f>2000*H18</f>
        <v>5000000</v>
      </c>
    </row>
    <row r="60" spans="1:9" ht="15.75" thickBot="1" x14ac:dyDescent="0.3">
      <c r="A60" s="178" t="s">
        <v>65</v>
      </c>
      <c r="B60" s="179"/>
      <c r="C60" s="28">
        <f>0.25*I59</f>
        <v>1250000</v>
      </c>
      <c r="D60" s="31">
        <f>1000*2000</f>
        <v>2000000</v>
      </c>
    </row>
    <row r="62" spans="1:9" ht="15.75" thickBot="1" x14ac:dyDescent="0.3"/>
    <row r="63" spans="1:9" ht="15.75" thickBot="1" x14ac:dyDescent="0.3">
      <c r="C63" s="161"/>
      <c r="D63" s="168"/>
      <c r="E63" s="162"/>
      <c r="F63" s="58" t="s">
        <v>51</v>
      </c>
      <c r="G63" s="37" t="s">
        <v>65</v>
      </c>
    </row>
    <row r="64" spans="1:9" x14ac:dyDescent="0.25">
      <c r="C64" s="169" t="s">
        <v>63</v>
      </c>
      <c r="D64" s="170"/>
      <c r="E64" s="171"/>
      <c r="F64" s="34">
        <f>C59</f>
        <v>1250000</v>
      </c>
      <c r="G64" s="27">
        <f>C60</f>
        <v>1250000</v>
      </c>
    </row>
    <row r="65" spans="1:8" x14ac:dyDescent="0.25">
      <c r="C65" s="169" t="s">
        <v>67</v>
      </c>
      <c r="D65" s="170"/>
      <c r="E65" s="171"/>
      <c r="F65" s="34">
        <f>D59</f>
        <v>2000000</v>
      </c>
      <c r="G65" s="27">
        <f>D60</f>
        <v>2000000</v>
      </c>
    </row>
    <row r="66" spans="1:8" x14ac:dyDescent="0.25">
      <c r="C66" s="172" t="s">
        <v>68</v>
      </c>
      <c r="D66" s="173"/>
      <c r="E66" s="174"/>
      <c r="F66" s="36">
        <f>F64+F65</f>
        <v>3250000</v>
      </c>
      <c r="G66" s="38">
        <f>G64+G65</f>
        <v>3250000</v>
      </c>
    </row>
    <row r="67" spans="1:8" x14ac:dyDescent="0.25">
      <c r="C67" s="169" t="s">
        <v>72</v>
      </c>
      <c r="D67" s="170"/>
      <c r="E67" s="171"/>
      <c r="F67" s="34">
        <f>-I32</f>
        <v>-200000</v>
      </c>
      <c r="G67" s="25"/>
    </row>
    <row r="68" spans="1:8" x14ac:dyDescent="0.25">
      <c r="C68" s="169" t="s">
        <v>73</v>
      </c>
      <c r="D68" s="170"/>
      <c r="E68" s="171"/>
      <c r="F68" s="34">
        <f>-0.03*G66</f>
        <v>-97500</v>
      </c>
      <c r="G68" s="25"/>
    </row>
    <row r="69" spans="1:8" x14ac:dyDescent="0.25">
      <c r="C69" s="172" t="s">
        <v>69</v>
      </c>
      <c r="D69" s="173"/>
      <c r="E69" s="174"/>
      <c r="F69" s="36">
        <f>SUM(F66:F68)</f>
        <v>2952500</v>
      </c>
      <c r="G69" s="39">
        <f>SUM(G66:I68)</f>
        <v>3250000</v>
      </c>
    </row>
    <row r="70" spans="1:8" x14ac:dyDescent="0.25">
      <c r="C70" s="169" t="s">
        <v>74</v>
      </c>
      <c r="D70" s="170"/>
      <c r="E70" s="171"/>
      <c r="F70" s="34">
        <f>-0.04*G66</f>
        <v>-130000</v>
      </c>
      <c r="G70" s="25"/>
    </row>
    <row r="71" spans="1:8" x14ac:dyDescent="0.25">
      <c r="C71" s="172" t="s">
        <v>70</v>
      </c>
      <c r="D71" s="173"/>
      <c r="E71" s="174"/>
      <c r="F71" s="36">
        <f>SUM(F69:F70)</f>
        <v>2822500</v>
      </c>
      <c r="G71" s="39">
        <f>G69</f>
        <v>3250000</v>
      </c>
    </row>
    <row r="72" spans="1:8" x14ac:dyDescent="0.25">
      <c r="C72" s="169" t="s">
        <v>75</v>
      </c>
      <c r="D72" s="170"/>
      <c r="E72" s="171"/>
      <c r="F72" s="34">
        <f>0.1*G71</f>
        <v>325000</v>
      </c>
      <c r="G72" s="27">
        <f>0.1*G71</f>
        <v>325000</v>
      </c>
    </row>
    <row r="73" spans="1:8" ht="15.75" thickBot="1" x14ac:dyDescent="0.3">
      <c r="C73" s="175" t="s">
        <v>71</v>
      </c>
      <c r="D73" s="176"/>
      <c r="E73" s="177"/>
      <c r="F73" s="57">
        <f>SUM(F71:F72)</f>
        <v>3147500</v>
      </c>
      <c r="G73" s="44">
        <f>SUM(G71:G72)</f>
        <v>3575000</v>
      </c>
    </row>
    <row r="76" spans="1:8" x14ac:dyDescent="0.25">
      <c r="A76" s="62" t="s">
        <v>78</v>
      </c>
      <c r="B76" s="23" t="s">
        <v>77</v>
      </c>
    </row>
    <row r="77" spans="1:8" ht="15.75" thickBot="1" x14ac:dyDescent="0.3"/>
    <row r="78" spans="1:8" ht="15.75" thickBot="1" x14ac:dyDescent="0.3">
      <c r="C78" s="161"/>
      <c r="D78" s="162"/>
      <c r="E78" s="161" t="s">
        <v>17</v>
      </c>
      <c r="F78" s="162"/>
      <c r="G78" s="161" t="s">
        <v>79</v>
      </c>
      <c r="H78" s="162"/>
    </row>
    <row r="79" spans="1:8" x14ac:dyDescent="0.25">
      <c r="C79" s="165" t="s">
        <v>80</v>
      </c>
      <c r="D79" s="158"/>
      <c r="E79" s="157">
        <f>I58</f>
        <v>3750000</v>
      </c>
      <c r="F79" s="158"/>
      <c r="G79" s="157">
        <f>I59</f>
        <v>5000000</v>
      </c>
      <c r="H79" s="158"/>
    </row>
    <row r="80" spans="1:8" x14ac:dyDescent="0.25">
      <c r="C80" s="165" t="s">
        <v>81</v>
      </c>
      <c r="D80" s="158"/>
      <c r="E80" s="157">
        <f>-F73</f>
        <v>-3147500</v>
      </c>
      <c r="F80" s="158"/>
      <c r="G80" s="157">
        <f>-G73</f>
        <v>-3575000</v>
      </c>
      <c r="H80" s="158"/>
    </row>
    <row r="81" spans="1:9" x14ac:dyDescent="0.25">
      <c r="C81" s="166" t="s">
        <v>82</v>
      </c>
      <c r="D81" s="164"/>
      <c r="E81" s="163">
        <f>E79+E80</f>
        <v>602500</v>
      </c>
      <c r="F81" s="164"/>
      <c r="G81" s="163">
        <f>G79+G80</f>
        <v>1425000</v>
      </c>
      <c r="H81" s="164"/>
    </row>
    <row r="82" spans="1:9" x14ac:dyDescent="0.25">
      <c r="C82" s="165" t="s">
        <v>83</v>
      </c>
      <c r="D82" s="158"/>
      <c r="E82" s="157">
        <f>-0.1*E81</f>
        <v>-60250</v>
      </c>
      <c r="F82" s="158"/>
      <c r="G82" s="157">
        <f>-0.1*G81</f>
        <v>-142500</v>
      </c>
      <c r="H82" s="158"/>
    </row>
    <row r="83" spans="1:9" x14ac:dyDescent="0.25">
      <c r="C83" s="166" t="s">
        <v>84</v>
      </c>
      <c r="D83" s="164"/>
      <c r="E83" s="163">
        <f>E81+E82</f>
        <v>542250</v>
      </c>
      <c r="F83" s="164"/>
      <c r="G83" s="163">
        <f>G81+G82</f>
        <v>1282500</v>
      </c>
      <c r="H83" s="164"/>
    </row>
    <row r="84" spans="1:9" x14ac:dyDescent="0.25">
      <c r="C84" s="165" t="s">
        <v>85</v>
      </c>
      <c r="D84" s="158"/>
      <c r="E84" s="157">
        <f>-0.35*E83</f>
        <v>-189787.5</v>
      </c>
      <c r="F84" s="158"/>
      <c r="G84" s="157">
        <f>-0.35*G83</f>
        <v>-448875</v>
      </c>
      <c r="H84" s="158"/>
    </row>
    <row r="85" spans="1:9" ht="15.75" thickBot="1" x14ac:dyDescent="0.3">
      <c r="C85" s="167" t="s">
        <v>86</v>
      </c>
      <c r="D85" s="160"/>
      <c r="E85" s="159">
        <f>SUM(E83:F84)</f>
        <v>352462.5</v>
      </c>
      <c r="F85" s="160"/>
      <c r="G85" s="159">
        <f>SUM(G83:H84)</f>
        <v>833625</v>
      </c>
      <c r="H85" s="160"/>
    </row>
    <row r="86" spans="1:9" ht="15.75" thickBot="1" x14ac:dyDescent="0.3"/>
    <row r="87" spans="1:9" ht="15.75" thickBot="1" x14ac:dyDescent="0.3">
      <c r="G87" s="45" t="s">
        <v>90</v>
      </c>
      <c r="H87" s="47">
        <f>E85+3*G85</f>
        <v>2853337.5</v>
      </c>
    </row>
    <row r="90" spans="1:9" x14ac:dyDescent="0.25">
      <c r="A90" s="62" t="s">
        <v>92</v>
      </c>
      <c r="B90" s="23" t="s">
        <v>91</v>
      </c>
    </row>
    <row r="91" spans="1:9" ht="15.75" thickBot="1" x14ac:dyDescent="0.3"/>
    <row r="92" spans="1:9" ht="15.75" thickBot="1" x14ac:dyDescent="0.3">
      <c r="C92" s="151"/>
      <c r="D92" s="152"/>
      <c r="E92" s="153"/>
      <c r="F92" s="148" t="s">
        <v>93</v>
      </c>
      <c r="G92" s="149"/>
      <c r="H92" s="150" t="s">
        <v>94</v>
      </c>
      <c r="I92" s="149"/>
    </row>
    <row r="93" spans="1:9" ht="18.600000000000001" customHeight="1" thickBot="1" x14ac:dyDescent="0.3">
      <c r="C93" s="154"/>
      <c r="D93" s="155"/>
      <c r="E93" s="156"/>
      <c r="F93" s="49" t="s">
        <v>17</v>
      </c>
      <c r="G93" s="53" t="s">
        <v>95</v>
      </c>
      <c r="H93" s="49" t="s">
        <v>17</v>
      </c>
      <c r="I93" s="49" t="s">
        <v>95</v>
      </c>
    </row>
    <row r="94" spans="1:9" ht="15.75" thickBot="1" x14ac:dyDescent="0.3">
      <c r="C94" s="140" t="s">
        <v>96</v>
      </c>
      <c r="D94" s="141"/>
      <c r="E94" s="144"/>
      <c r="F94" s="55">
        <f>F64</f>
        <v>1250000</v>
      </c>
      <c r="G94" s="55">
        <f>G64</f>
        <v>1250000</v>
      </c>
      <c r="H94" s="55">
        <f>F65</f>
        <v>2000000</v>
      </c>
      <c r="I94" s="55">
        <f>G65</f>
        <v>2000000</v>
      </c>
    </row>
    <row r="95" spans="1:9" ht="15.75" thickBot="1" x14ac:dyDescent="0.3">
      <c r="C95" s="140" t="s">
        <v>97</v>
      </c>
      <c r="D95" s="141"/>
      <c r="E95" s="144"/>
      <c r="F95" s="56"/>
      <c r="G95" s="56"/>
      <c r="H95" s="55">
        <f>-I32</f>
        <v>-200000</v>
      </c>
      <c r="I95" s="56"/>
    </row>
    <row r="96" spans="1:9" ht="15.75" thickBot="1" x14ac:dyDescent="0.3">
      <c r="C96" s="140" t="s">
        <v>98</v>
      </c>
      <c r="D96" s="141"/>
      <c r="E96" s="144"/>
      <c r="F96" s="55">
        <f>H105*F68</f>
        <v>-37500</v>
      </c>
      <c r="G96" s="55"/>
      <c r="H96" s="55">
        <f>H106*F68</f>
        <v>-60000</v>
      </c>
      <c r="I96" s="56"/>
    </row>
    <row r="97" spans="1:9" ht="15.75" thickBot="1" x14ac:dyDescent="0.3">
      <c r="C97" s="145" t="s">
        <v>99</v>
      </c>
      <c r="D97" s="146"/>
      <c r="E97" s="147"/>
      <c r="F97" s="51">
        <f>SUM(F94:F96)</f>
        <v>1212500</v>
      </c>
      <c r="G97" s="51">
        <f t="shared" ref="G97:I97" si="7">SUM(G94:G96)</f>
        <v>1250000</v>
      </c>
      <c r="H97" s="51">
        <f t="shared" si="7"/>
        <v>1740000</v>
      </c>
      <c r="I97" s="51">
        <f t="shared" si="7"/>
        <v>2000000</v>
      </c>
    </row>
    <row r="98" spans="1:9" ht="15.75" thickBot="1" x14ac:dyDescent="0.3">
      <c r="C98" s="140" t="s">
        <v>100</v>
      </c>
      <c r="D98" s="141"/>
      <c r="E98" s="144"/>
      <c r="F98" s="55">
        <f>H105*F70</f>
        <v>-50000</v>
      </c>
      <c r="G98" s="56"/>
      <c r="H98" s="55">
        <f>H106*F70</f>
        <v>-80000</v>
      </c>
      <c r="I98" s="56"/>
    </row>
    <row r="99" spans="1:9" ht="15.75" thickBot="1" x14ac:dyDescent="0.3">
      <c r="C99" s="145" t="s">
        <v>101</v>
      </c>
      <c r="D99" s="146"/>
      <c r="E99" s="147"/>
      <c r="F99" s="51">
        <f>SUM(F97:F98)</f>
        <v>1162500</v>
      </c>
      <c r="G99" s="51">
        <f t="shared" ref="G99:I99" si="8">SUM(G97:G98)</f>
        <v>1250000</v>
      </c>
      <c r="H99" s="51">
        <f t="shared" si="8"/>
        <v>1660000</v>
      </c>
      <c r="I99" s="51">
        <f t="shared" si="8"/>
        <v>2000000</v>
      </c>
    </row>
    <row r="100" spans="1:9" ht="15.75" thickBot="1" x14ac:dyDescent="0.3">
      <c r="C100" s="140" t="s">
        <v>102</v>
      </c>
      <c r="D100" s="141"/>
      <c r="E100" s="144"/>
      <c r="F100" s="55">
        <f>0.7*F72</f>
        <v>227500</v>
      </c>
      <c r="G100" s="55">
        <f>0.7*G72</f>
        <v>227500</v>
      </c>
      <c r="H100" s="55">
        <f>F72-F100</f>
        <v>97500</v>
      </c>
      <c r="I100" s="55">
        <f>G72-G100</f>
        <v>97500</v>
      </c>
    </row>
    <row r="101" spans="1:9" ht="15.75" thickBot="1" x14ac:dyDescent="0.3">
      <c r="C101" s="131" t="s">
        <v>103</v>
      </c>
      <c r="D101" s="132"/>
      <c r="E101" s="133"/>
      <c r="F101" s="73">
        <f>SUM(F99:F100)</f>
        <v>1390000</v>
      </c>
      <c r="G101" s="73">
        <f t="shared" ref="G101:I101" si="9">SUM(G99:G100)</f>
        <v>1477500</v>
      </c>
      <c r="H101" s="73">
        <f t="shared" si="9"/>
        <v>1757500</v>
      </c>
      <c r="I101" s="73">
        <f t="shared" si="9"/>
        <v>2097500</v>
      </c>
    </row>
    <row r="102" spans="1:9" ht="15.75" thickBot="1" x14ac:dyDescent="0.3">
      <c r="C102" s="134" t="s">
        <v>104</v>
      </c>
      <c r="D102" s="135"/>
      <c r="E102" s="136"/>
      <c r="F102" s="54">
        <f>F101/1500</f>
        <v>926.66666666666663</v>
      </c>
      <c r="G102" s="52">
        <f>G101/2000</f>
        <v>738.75</v>
      </c>
      <c r="H102" s="52">
        <f>H101/1500</f>
        <v>1171.6666666666667</v>
      </c>
      <c r="I102" s="52">
        <f>I101/2000</f>
        <v>1048.75</v>
      </c>
    </row>
    <row r="103" spans="1:9" ht="15.75" thickBot="1" x14ac:dyDescent="0.3"/>
    <row r="104" spans="1:9" ht="15.75" thickBot="1" x14ac:dyDescent="0.3">
      <c r="C104" s="45" t="s">
        <v>108</v>
      </c>
      <c r="D104" s="61">
        <f>F101/(I58-H101)</f>
        <v>0.69761606022584688</v>
      </c>
      <c r="F104" s="7" t="s">
        <v>105</v>
      </c>
      <c r="G104" s="8"/>
      <c r="H104" s="9"/>
    </row>
    <row r="105" spans="1:9" x14ac:dyDescent="0.25">
      <c r="F105" s="10"/>
      <c r="G105" t="s">
        <v>106</v>
      </c>
      <c r="H105" s="59">
        <f>F64/F66</f>
        <v>0.38461538461538464</v>
      </c>
    </row>
    <row r="106" spans="1:9" ht="15.75" thickBot="1" x14ac:dyDescent="0.3">
      <c r="F106" s="12"/>
      <c r="G106" s="13" t="s">
        <v>107</v>
      </c>
      <c r="H106" s="60">
        <f>F65/F66</f>
        <v>0.61538461538461542</v>
      </c>
    </row>
    <row r="109" spans="1:9" x14ac:dyDescent="0.25">
      <c r="A109" s="62" t="s">
        <v>110</v>
      </c>
      <c r="B109" s="23" t="s">
        <v>109</v>
      </c>
    </row>
    <row r="110" spans="1:9" ht="15.75" thickBot="1" x14ac:dyDescent="0.3"/>
    <row r="111" spans="1:9" ht="15.75" thickBot="1" x14ac:dyDescent="0.3">
      <c r="C111" s="137" t="s">
        <v>24</v>
      </c>
      <c r="D111" s="138"/>
      <c r="E111" s="139"/>
      <c r="F111" s="66" t="s">
        <v>17</v>
      </c>
      <c r="G111" s="65" t="s">
        <v>95</v>
      </c>
    </row>
    <row r="112" spans="1:9" x14ac:dyDescent="0.25">
      <c r="C112" s="140" t="s">
        <v>117</v>
      </c>
      <c r="D112" s="141"/>
      <c r="E112" s="141"/>
      <c r="F112" s="67">
        <f>0.21*I58</f>
        <v>787500</v>
      </c>
      <c r="G112" s="68">
        <f>0.21*I59</f>
        <v>1050000</v>
      </c>
    </row>
    <row r="113" spans="1:9" x14ac:dyDescent="0.25">
      <c r="C113" s="140" t="s">
        <v>118</v>
      </c>
      <c r="D113" s="141"/>
      <c r="E113" s="141"/>
      <c r="F113" s="69">
        <f>0.16*F73</f>
        <v>503600</v>
      </c>
      <c r="G113" s="70">
        <f>0.16*G73</f>
        <v>572000</v>
      </c>
    </row>
    <row r="114" spans="1:9" ht="15.75" thickBot="1" x14ac:dyDescent="0.3">
      <c r="C114" s="142" t="s">
        <v>111</v>
      </c>
      <c r="D114" s="143"/>
      <c r="E114" s="143"/>
      <c r="F114" s="71">
        <f>F112-F113</f>
        <v>283900</v>
      </c>
      <c r="G114" s="71">
        <f>G112-G113</f>
        <v>478000</v>
      </c>
    </row>
    <row r="115" spans="1:9" ht="15.75" thickBot="1" x14ac:dyDescent="0.3"/>
    <row r="116" spans="1:9" ht="26.25" thickBot="1" x14ac:dyDescent="0.3">
      <c r="C116" s="63" t="s">
        <v>112</v>
      </c>
      <c r="D116" s="48" t="s">
        <v>113</v>
      </c>
      <c r="E116" s="48" t="s">
        <v>116</v>
      </c>
      <c r="F116" s="48" t="s">
        <v>114</v>
      </c>
      <c r="G116" s="64" t="s">
        <v>115</v>
      </c>
    </row>
    <row r="117" spans="1:9" ht="15.75" thickBot="1" x14ac:dyDescent="0.3">
      <c r="C117" s="50" t="s">
        <v>16</v>
      </c>
      <c r="D117" s="55">
        <f>H44</f>
        <v>810000</v>
      </c>
      <c r="E117" s="56"/>
      <c r="F117" s="56"/>
      <c r="G117" s="40"/>
    </row>
    <row r="118" spans="1:9" ht="15.75" thickBot="1" x14ac:dyDescent="0.3">
      <c r="C118" s="50" t="s">
        <v>17</v>
      </c>
      <c r="D118" s="55">
        <f>H44+I44</f>
        <v>924000</v>
      </c>
      <c r="E118" s="55">
        <f>F114</f>
        <v>283900</v>
      </c>
      <c r="F118" s="55">
        <f>E118</f>
        <v>283900</v>
      </c>
      <c r="G118" s="40"/>
    </row>
    <row r="119" spans="1:9" ht="15.75" thickBot="1" x14ac:dyDescent="0.3">
      <c r="C119" s="50" t="s">
        <v>36</v>
      </c>
      <c r="D119" s="55">
        <f>D118-F118</f>
        <v>640100</v>
      </c>
      <c r="E119" s="55">
        <f>G114</f>
        <v>478000</v>
      </c>
      <c r="F119" s="55">
        <f>E119</f>
        <v>478000</v>
      </c>
      <c r="G119" s="40"/>
    </row>
    <row r="120" spans="1:9" ht="15.75" thickBot="1" x14ac:dyDescent="0.3">
      <c r="C120" s="50" t="s">
        <v>87</v>
      </c>
      <c r="D120" s="55">
        <f>D119-F119</f>
        <v>162100</v>
      </c>
      <c r="E120" s="55">
        <f>G114</f>
        <v>478000</v>
      </c>
      <c r="F120" s="55">
        <f>D120</f>
        <v>162100</v>
      </c>
      <c r="G120" s="41">
        <f>E120-F120</f>
        <v>315900</v>
      </c>
    </row>
    <row r="121" spans="1:9" ht="15.75" thickBot="1" x14ac:dyDescent="0.3">
      <c r="C121" s="50" t="s">
        <v>88</v>
      </c>
      <c r="D121" s="56"/>
      <c r="E121" s="55">
        <f>G114</f>
        <v>478000</v>
      </c>
      <c r="F121" s="56"/>
      <c r="G121" s="41">
        <f>E121</f>
        <v>478000</v>
      </c>
    </row>
    <row r="124" spans="1:9" x14ac:dyDescent="0.25">
      <c r="A124" s="62" t="s">
        <v>120</v>
      </c>
      <c r="B124" s="23" t="s">
        <v>119</v>
      </c>
      <c r="G124" t="s">
        <v>128</v>
      </c>
    </row>
    <row r="125" spans="1:9" ht="15.75" thickBot="1" x14ac:dyDescent="0.3"/>
    <row r="126" spans="1:9" ht="26.25" thickBot="1" x14ac:dyDescent="0.3">
      <c r="C126" s="63" t="s">
        <v>121</v>
      </c>
      <c r="D126" s="48" t="s">
        <v>2</v>
      </c>
      <c r="E126" s="48" t="s">
        <v>122</v>
      </c>
      <c r="F126" s="48" t="s">
        <v>123</v>
      </c>
      <c r="G126" s="48" t="s">
        <v>124</v>
      </c>
      <c r="H126" s="48" t="s">
        <v>125</v>
      </c>
      <c r="I126" s="48" t="s">
        <v>126</v>
      </c>
    </row>
    <row r="127" spans="1:9" ht="15.75" thickBot="1" x14ac:dyDescent="0.3">
      <c r="C127" s="50" t="s">
        <v>16</v>
      </c>
      <c r="D127" s="55">
        <f>H32</f>
        <v>3800000</v>
      </c>
      <c r="E127" s="55">
        <f>H38</f>
        <v>100000</v>
      </c>
      <c r="F127" s="55">
        <f>H44</f>
        <v>810000</v>
      </c>
      <c r="G127" s="56"/>
      <c r="H127" s="56"/>
      <c r="I127" s="55">
        <f>SUM(D127:H127)</f>
        <v>4710000</v>
      </c>
    </row>
    <row r="128" spans="1:9" ht="15.75" thickBot="1" x14ac:dyDescent="0.3">
      <c r="C128" s="50" t="s">
        <v>17</v>
      </c>
      <c r="D128" s="55">
        <f>I32</f>
        <v>200000</v>
      </c>
      <c r="E128" s="55">
        <f>I38</f>
        <v>600000</v>
      </c>
      <c r="F128" s="55">
        <f>I44</f>
        <v>114000</v>
      </c>
      <c r="G128" s="55">
        <f>-$E$82</f>
        <v>60250</v>
      </c>
      <c r="H128" s="55">
        <f>-$E$84</f>
        <v>189787.5</v>
      </c>
      <c r="I128" s="55">
        <f t="shared" ref="I128:I131" si="10">SUM(D128:H128)</f>
        <v>1164037.5</v>
      </c>
    </row>
    <row r="129" spans="3:10" ht="15.75" thickBot="1" x14ac:dyDescent="0.3">
      <c r="C129" s="50" t="s">
        <v>36</v>
      </c>
      <c r="D129" s="56"/>
      <c r="E129" s="56"/>
      <c r="F129" s="56"/>
      <c r="G129" s="55">
        <f>-$G$82</f>
        <v>142500</v>
      </c>
      <c r="H129" s="55">
        <f>-$G$84</f>
        <v>448875</v>
      </c>
      <c r="I129" s="55">
        <f t="shared" si="10"/>
        <v>591375</v>
      </c>
    </row>
    <row r="130" spans="3:10" ht="15.75" thickBot="1" x14ac:dyDescent="0.3">
      <c r="C130" s="50" t="s">
        <v>87</v>
      </c>
      <c r="D130" s="56"/>
      <c r="E130" s="56"/>
      <c r="F130" s="56"/>
      <c r="G130" s="55">
        <f t="shared" ref="G130:G131" si="11">-$G$82</f>
        <v>142500</v>
      </c>
      <c r="H130" s="55">
        <f t="shared" ref="H130:H131" si="12">-$G$84</f>
        <v>448875</v>
      </c>
      <c r="I130" s="55">
        <f t="shared" si="10"/>
        <v>591375</v>
      </c>
    </row>
    <row r="131" spans="3:10" ht="15.75" thickBot="1" x14ac:dyDescent="0.3">
      <c r="C131" s="50" t="s">
        <v>88</v>
      </c>
      <c r="D131" s="55">
        <f>-C51</f>
        <v>-1000000</v>
      </c>
      <c r="E131" s="55">
        <f>-J38</f>
        <v>-700000</v>
      </c>
      <c r="F131" s="56"/>
      <c r="G131" s="55">
        <f t="shared" si="11"/>
        <v>142500</v>
      </c>
      <c r="H131" s="55">
        <f t="shared" si="12"/>
        <v>448875</v>
      </c>
      <c r="I131" s="55">
        <f t="shared" si="10"/>
        <v>-1108625</v>
      </c>
    </row>
    <row r="132" spans="3:10" x14ac:dyDescent="0.25">
      <c r="C132" s="72" t="s">
        <v>127</v>
      </c>
      <c r="D132" s="74">
        <f>SUM(D127:D131)</f>
        <v>3000000</v>
      </c>
      <c r="E132" s="75">
        <f t="shared" ref="E132:I132" si="13">SUM(E127:E131)</f>
        <v>0</v>
      </c>
      <c r="F132" s="76">
        <f t="shared" si="13"/>
        <v>924000</v>
      </c>
      <c r="G132" s="77">
        <f t="shared" si="13"/>
        <v>487750</v>
      </c>
      <c r="H132" s="77">
        <f t="shared" si="13"/>
        <v>1536412.5</v>
      </c>
      <c r="I132" s="75">
        <f t="shared" si="13"/>
        <v>5948162.5</v>
      </c>
    </row>
    <row r="133" spans="3:10" x14ac:dyDescent="0.25">
      <c r="G133" s="24"/>
    </row>
    <row r="134" spans="3:10" ht="15.75" thickBot="1" x14ac:dyDescent="0.3">
      <c r="E134" t="s">
        <v>129</v>
      </c>
    </row>
    <row r="135" spans="3:10" ht="15.75" thickBot="1" x14ac:dyDescent="0.3">
      <c r="I135" s="40" t="s">
        <v>130</v>
      </c>
      <c r="J135" s="40"/>
    </row>
    <row r="136" spans="3:10" ht="39" thickBot="1" x14ac:dyDescent="0.3">
      <c r="C136" s="63" t="s">
        <v>131</v>
      </c>
      <c r="D136" s="48" t="s">
        <v>132</v>
      </c>
      <c r="E136" s="48" t="s">
        <v>133</v>
      </c>
      <c r="F136" s="48" t="s">
        <v>114</v>
      </c>
      <c r="G136" s="48" t="s">
        <v>134</v>
      </c>
      <c r="I136" s="64" t="s">
        <v>135</v>
      </c>
      <c r="J136" s="64" t="s">
        <v>136</v>
      </c>
    </row>
    <row r="137" spans="3:10" ht="15.75" thickBot="1" x14ac:dyDescent="0.3">
      <c r="C137" s="50" t="s">
        <v>16</v>
      </c>
      <c r="D137" s="56"/>
      <c r="E137" s="56"/>
      <c r="F137" s="56"/>
      <c r="G137" s="78">
        <f>SUM(D137:F137)</f>
        <v>0</v>
      </c>
      <c r="I137" s="41">
        <f>G137-I127</f>
        <v>-4710000</v>
      </c>
      <c r="J137" s="41">
        <f>I137</f>
        <v>-4710000</v>
      </c>
    </row>
    <row r="138" spans="3:10" ht="15.75" thickBot="1" x14ac:dyDescent="0.3">
      <c r="C138" s="50" t="s">
        <v>17</v>
      </c>
      <c r="D138" s="55">
        <f>E81</f>
        <v>602500</v>
      </c>
      <c r="E138" s="55">
        <f>$C$53</f>
        <v>750000</v>
      </c>
      <c r="F138" s="55">
        <f>F118</f>
        <v>283900</v>
      </c>
      <c r="G138" s="78">
        <f t="shared" ref="G138:G141" si="14">SUM(D138:F138)</f>
        <v>1636400</v>
      </c>
      <c r="I138" s="41">
        <f>G138-I128</f>
        <v>472362.5</v>
      </c>
      <c r="J138" s="41">
        <f>J137+I138</f>
        <v>-4237637.5</v>
      </c>
    </row>
    <row r="139" spans="3:10" ht="15.75" thickBot="1" x14ac:dyDescent="0.3">
      <c r="C139" s="50" t="s">
        <v>36</v>
      </c>
      <c r="D139" s="55">
        <f>$G$81</f>
        <v>1425000</v>
      </c>
      <c r="E139" s="55">
        <f t="shared" ref="E139:E141" si="15">$C$53</f>
        <v>750000</v>
      </c>
      <c r="F139" s="55">
        <f t="shared" ref="F139:F141" si="16">F119</f>
        <v>478000</v>
      </c>
      <c r="G139" s="78">
        <f t="shared" si="14"/>
        <v>2653000</v>
      </c>
      <c r="I139" s="41">
        <f t="shared" ref="I139:I141" si="17">G139-I129</f>
        <v>2061625</v>
      </c>
      <c r="J139" s="41">
        <f t="shared" ref="J139:J141" si="18">J138+I139</f>
        <v>-2176012.5</v>
      </c>
    </row>
    <row r="140" spans="3:10" ht="15.75" thickBot="1" x14ac:dyDescent="0.3">
      <c r="C140" s="50" t="s">
        <v>87</v>
      </c>
      <c r="D140" s="55">
        <f t="shared" ref="D140:D141" si="19">$G$81</f>
        <v>1425000</v>
      </c>
      <c r="E140" s="55">
        <f t="shared" si="15"/>
        <v>750000</v>
      </c>
      <c r="F140" s="55">
        <f t="shared" si="16"/>
        <v>162100</v>
      </c>
      <c r="G140" s="78">
        <f t="shared" si="14"/>
        <v>2337100</v>
      </c>
      <c r="I140" s="41">
        <f t="shared" si="17"/>
        <v>1745725</v>
      </c>
      <c r="J140" s="41">
        <f t="shared" si="18"/>
        <v>-430287.5</v>
      </c>
    </row>
    <row r="141" spans="3:10" ht="15.75" thickBot="1" x14ac:dyDescent="0.3">
      <c r="C141" s="50" t="s">
        <v>88</v>
      </c>
      <c r="D141" s="55">
        <f t="shared" si="19"/>
        <v>1425000</v>
      </c>
      <c r="E141" s="55">
        <f t="shared" si="15"/>
        <v>750000</v>
      </c>
      <c r="F141" s="55">
        <f t="shared" si="16"/>
        <v>0</v>
      </c>
      <c r="G141" s="78">
        <f t="shared" si="14"/>
        <v>2175000</v>
      </c>
      <c r="I141" s="41">
        <f t="shared" si="17"/>
        <v>3283625</v>
      </c>
      <c r="J141" s="41">
        <f t="shared" si="18"/>
        <v>2853337.5</v>
      </c>
    </row>
    <row r="142" spans="3:10" ht="15.75" thickBot="1" x14ac:dyDescent="0.3">
      <c r="C142" s="72" t="s">
        <v>127</v>
      </c>
      <c r="D142" s="77">
        <f>SUM(D137:D141)</f>
        <v>4877500</v>
      </c>
      <c r="E142" s="74">
        <f t="shared" ref="E142:G142" si="20">SUM(E137:E141)</f>
        <v>3000000</v>
      </c>
      <c r="F142" s="76">
        <f t="shared" si="20"/>
        <v>924000</v>
      </c>
      <c r="G142" s="75">
        <f t="shared" si="20"/>
        <v>8801500</v>
      </c>
    </row>
    <row r="143" spans="3:10" ht="15.75" thickBot="1" x14ac:dyDescent="0.3">
      <c r="I143" s="45" t="s">
        <v>137</v>
      </c>
      <c r="J143" s="47">
        <f>J141</f>
        <v>2853337.5</v>
      </c>
    </row>
    <row r="144" spans="3:10" ht="15.75" thickBot="1" x14ac:dyDescent="0.3"/>
    <row r="145" spans="3:10" ht="15.75" thickBot="1" x14ac:dyDescent="0.3">
      <c r="C145" s="79" t="s">
        <v>138</v>
      </c>
      <c r="D145" s="46" t="s">
        <v>139</v>
      </c>
      <c r="E145" s="80"/>
      <c r="F145">
        <f>-J140*365/I141</f>
        <v>47.829742281777001</v>
      </c>
      <c r="I145" s="45" t="s">
        <v>90</v>
      </c>
      <c r="J145" s="47">
        <f>H87</f>
        <v>2853337.5</v>
      </c>
    </row>
    <row r="147" spans="3:10" x14ac:dyDescent="0.25">
      <c r="C147" t="s">
        <v>140</v>
      </c>
      <c r="D147" s="2">
        <v>0.15</v>
      </c>
    </row>
    <row r="149" spans="3:10" x14ac:dyDescent="0.25">
      <c r="C149" t="s">
        <v>141</v>
      </c>
      <c r="D149" s="3">
        <f>NPV(D147,I138:I141)</f>
        <v>4994900.4640134946</v>
      </c>
      <c r="E149" s="24">
        <f>I137</f>
        <v>-4710000</v>
      </c>
    </row>
    <row r="150" spans="3:10" ht="15.75" thickBot="1" x14ac:dyDescent="0.3"/>
    <row r="151" spans="3:10" ht="15.75" thickBot="1" x14ac:dyDescent="0.3">
      <c r="C151" s="45" t="s">
        <v>141</v>
      </c>
      <c r="D151" s="81">
        <f>D149+E149</f>
        <v>284900.46401349455</v>
      </c>
    </row>
    <row r="152" spans="3:10" ht="15.75" thickBot="1" x14ac:dyDescent="0.3"/>
    <row r="153" spans="3:10" ht="15.75" thickBot="1" x14ac:dyDescent="0.3">
      <c r="C153" s="45" t="s">
        <v>142</v>
      </c>
      <c r="D153" s="82">
        <f>IRR(I137:I141)</f>
        <v>0.17361679534396424</v>
      </c>
    </row>
  </sheetData>
  <mergeCells count="115">
    <mergeCell ref="B3:H3"/>
    <mergeCell ref="B4:H4"/>
    <mergeCell ref="B5:H5"/>
    <mergeCell ref="B6:H6"/>
    <mergeCell ref="B7:H7"/>
    <mergeCell ref="B8:H8"/>
    <mergeCell ref="B27:G27"/>
    <mergeCell ref="C31:G31"/>
    <mergeCell ref="B17:G17"/>
    <mergeCell ref="B18:G18"/>
    <mergeCell ref="B19:G19"/>
    <mergeCell ref="B20:G20"/>
    <mergeCell ref="B21:G21"/>
    <mergeCell ref="B22:G22"/>
    <mergeCell ref="B9:H9"/>
    <mergeCell ref="B10:H10"/>
    <mergeCell ref="B11:H11"/>
    <mergeCell ref="B12:H12"/>
    <mergeCell ref="B13:H13"/>
    <mergeCell ref="B14:H14"/>
    <mergeCell ref="I3:J3"/>
    <mergeCell ref="I4:J4"/>
    <mergeCell ref="I5:J5"/>
    <mergeCell ref="I6:J6"/>
    <mergeCell ref="I7:J7"/>
    <mergeCell ref="I8:J8"/>
    <mergeCell ref="I9:J9"/>
    <mergeCell ref="D44:G44"/>
    <mergeCell ref="D45:G45"/>
    <mergeCell ref="H17:K17"/>
    <mergeCell ref="H18:K18"/>
    <mergeCell ref="H19:K19"/>
    <mergeCell ref="H20:K20"/>
    <mergeCell ref="H21:K21"/>
    <mergeCell ref="H22:K22"/>
    <mergeCell ref="H23:K23"/>
    <mergeCell ref="H24:K24"/>
    <mergeCell ref="C38:G38"/>
    <mergeCell ref="C39:G39"/>
    <mergeCell ref="C40:G40"/>
    <mergeCell ref="C41:G41"/>
    <mergeCell ref="C42:G42"/>
    <mergeCell ref="D43:G43"/>
    <mergeCell ref="C32:G32"/>
    <mergeCell ref="A60:B60"/>
    <mergeCell ref="A58:B58"/>
    <mergeCell ref="C64:E64"/>
    <mergeCell ref="C65:E65"/>
    <mergeCell ref="C66:E66"/>
    <mergeCell ref="C67:E67"/>
    <mergeCell ref="I10:J10"/>
    <mergeCell ref="I11:J11"/>
    <mergeCell ref="I12:J12"/>
    <mergeCell ref="I13:J13"/>
    <mergeCell ref="I14:J14"/>
    <mergeCell ref="A59:B59"/>
    <mergeCell ref="H25:K25"/>
    <mergeCell ref="H26:K26"/>
    <mergeCell ref="H27:K27"/>
    <mergeCell ref="C33:G33"/>
    <mergeCell ref="C34:G34"/>
    <mergeCell ref="C35:G35"/>
    <mergeCell ref="C36:G36"/>
    <mergeCell ref="C37:G37"/>
    <mergeCell ref="B23:G23"/>
    <mergeCell ref="B24:G24"/>
    <mergeCell ref="B25:G25"/>
    <mergeCell ref="B26:G26"/>
    <mergeCell ref="C78:D78"/>
    <mergeCell ref="C79:D79"/>
    <mergeCell ref="C80:D80"/>
    <mergeCell ref="C81:D81"/>
    <mergeCell ref="C63:E63"/>
    <mergeCell ref="C68:E68"/>
    <mergeCell ref="C69:E69"/>
    <mergeCell ref="C70:E70"/>
    <mergeCell ref="C71:E71"/>
    <mergeCell ref="C72:E72"/>
    <mergeCell ref="C73:E73"/>
    <mergeCell ref="F92:G92"/>
    <mergeCell ref="H92:I92"/>
    <mergeCell ref="C92:E93"/>
    <mergeCell ref="C94:E94"/>
    <mergeCell ref="E84:F84"/>
    <mergeCell ref="E85:F85"/>
    <mergeCell ref="G78:H78"/>
    <mergeCell ref="G79:H79"/>
    <mergeCell ref="G80:H80"/>
    <mergeCell ref="G81:H81"/>
    <mergeCell ref="G82:H82"/>
    <mergeCell ref="G83:H83"/>
    <mergeCell ref="G84:H84"/>
    <mergeCell ref="G85:H85"/>
    <mergeCell ref="C82:D82"/>
    <mergeCell ref="C83:D83"/>
    <mergeCell ref="C84:D84"/>
    <mergeCell ref="C85:D85"/>
    <mergeCell ref="E78:F78"/>
    <mergeCell ref="E79:F79"/>
    <mergeCell ref="E80:F80"/>
    <mergeCell ref="E81:F81"/>
    <mergeCell ref="E82:F82"/>
    <mergeCell ref="E83:F83"/>
    <mergeCell ref="C101:E101"/>
    <mergeCell ref="C102:E102"/>
    <mergeCell ref="C111:E111"/>
    <mergeCell ref="C112:E112"/>
    <mergeCell ref="C113:E113"/>
    <mergeCell ref="C114:E114"/>
    <mergeCell ref="C95:E95"/>
    <mergeCell ref="C96:E96"/>
    <mergeCell ref="C97:E97"/>
    <mergeCell ref="C98:E98"/>
    <mergeCell ref="C99:E99"/>
    <mergeCell ref="C100:E100"/>
  </mergeCells>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ED550-F0BD-44AD-995B-D1D955E179BB}">
  <dimension ref="A1:K153"/>
  <sheetViews>
    <sheetView topLeftCell="A136" zoomScaleNormal="100" workbookViewId="0">
      <selection activeCell="E149" sqref="E149"/>
    </sheetView>
  </sheetViews>
  <sheetFormatPr baseColWidth="10" defaultColWidth="9.140625" defaultRowHeight="15" x14ac:dyDescent="0.25"/>
  <cols>
    <col min="3" max="3" width="14.85546875" bestFit="1" customWidth="1"/>
    <col min="4" max="4" width="14.42578125" bestFit="1" customWidth="1"/>
    <col min="5" max="5" width="20.85546875" customWidth="1"/>
    <col min="6" max="6" width="16.7109375" customWidth="1"/>
    <col min="7" max="7" width="15.7109375" customWidth="1"/>
    <col min="8" max="8" width="14.5703125" customWidth="1"/>
    <col min="9" max="9" width="15.42578125" customWidth="1"/>
    <col min="10" max="10" width="15.28515625" customWidth="1"/>
  </cols>
  <sheetData>
    <row r="1" spans="1:11" x14ac:dyDescent="0.25">
      <c r="A1" t="s">
        <v>0</v>
      </c>
    </row>
    <row r="2" spans="1:11" ht="15.75" thickBot="1" x14ac:dyDescent="0.3"/>
    <row r="3" spans="1:11" x14ac:dyDescent="0.25">
      <c r="B3" s="194" t="s">
        <v>1</v>
      </c>
      <c r="C3" s="195"/>
      <c r="D3" s="195"/>
      <c r="E3" s="195"/>
      <c r="F3" s="195"/>
      <c r="G3" s="195"/>
      <c r="H3" s="195"/>
      <c r="I3" s="188" t="s">
        <v>12</v>
      </c>
      <c r="J3" s="189"/>
    </row>
    <row r="4" spans="1:11" x14ac:dyDescent="0.25">
      <c r="B4" s="169" t="s">
        <v>2</v>
      </c>
      <c r="C4" s="170"/>
      <c r="D4" s="170"/>
      <c r="E4" s="170"/>
      <c r="F4" s="170"/>
      <c r="G4" s="170"/>
      <c r="H4" s="170"/>
      <c r="I4" s="180">
        <v>4000000</v>
      </c>
      <c r="J4" s="181"/>
    </row>
    <row r="5" spans="1:11" x14ac:dyDescent="0.25">
      <c r="B5" s="169" t="s">
        <v>3</v>
      </c>
      <c r="C5" s="170"/>
      <c r="D5" s="170"/>
      <c r="E5" s="170"/>
      <c r="F5" s="170"/>
      <c r="G5" s="170"/>
      <c r="H5" s="170"/>
      <c r="I5" s="165" t="s">
        <v>13</v>
      </c>
      <c r="J5" s="158"/>
    </row>
    <row r="6" spans="1:11" x14ac:dyDescent="0.25">
      <c r="B6" s="169" t="s">
        <v>4</v>
      </c>
      <c r="C6" s="170"/>
      <c r="D6" s="170"/>
      <c r="E6" s="170"/>
      <c r="F6" s="170"/>
      <c r="G6" s="170"/>
      <c r="H6" s="170"/>
      <c r="I6" s="182">
        <v>0.25</v>
      </c>
      <c r="J6" s="183"/>
    </row>
    <row r="7" spans="1:11" x14ac:dyDescent="0.25">
      <c r="B7" s="169" t="s">
        <v>5</v>
      </c>
      <c r="C7" s="170"/>
      <c r="D7" s="170"/>
      <c r="E7" s="170"/>
      <c r="F7" s="170"/>
      <c r="G7" s="170"/>
      <c r="H7" s="170"/>
      <c r="I7" s="180">
        <v>200000</v>
      </c>
      <c r="J7" s="181"/>
    </row>
    <row r="8" spans="1:11" x14ac:dyDescent="0.25">
      <c r="B8" s="169" t="s">
        <v>6</v>
      </c>
      <c r="C8" s="170"/>
      <c r="D8" s="170"/>
      <c r="E8" s="170"/>
      <c r="F8" s="170"/>
      <c r="G8" s="170"/>
      <c r="H8" s="170"/>
      <c r="I8" s="182">
        <v>0.21</v>
      </c>
      <c r="J8" s="183"/>
    </row>
    <row r="9" spans="1:11" x14ac:dyDescent="0.25">
      <c r="B9" s="169" t="s">
        <v>7</v>
      </c>
      <c r="C9" s="170"/>
      <c r="D9" s="170"/>
      <c r="E9" s="170"/>
      <c r="F9" s="170"/>
      <c r="G9" s="170"/>
      <c r="H9" s="170"/>
      <c r="I9" s="180">
        <v>100000</v>
      </c>
      <c r="J9" s="181"/>
      <c r="K9" s="1" t="s">
        <v>16</v>
      </c>
    </row>
    <row r="10" spans="1:11" x14ac:dyDescent="0.25">
      <c r="B10" s="169" t="s">
        <v>7</v>
      </c>
      <c r="C10" s="170"/>
      <c r="D10" s="170"/>
      <c r="E10" s="170"/>
      <c r="F10" s="170"/>
      <c r="G10" s="170"/>
      <c r="H10" s="170"/>
      <c r="I10" s="180">
        <v>900000</v>
      </c>
      <c r="J10" s="181"/>
      <c r="K10" s="1" t="s">
        <v>17</v>
      </c>
    </row>
    <row r="11" spans="1:11" x14ac:dyDescent="0.25">
      <c r="B11" s="169" t="s">
        <v>7</v>
      </c>
      <c r="C11" s="170"/>
      <c r="D11" s="170"/>
      <c r="E11" s="170"/>
      <c r="F11" s="170"/>
      <c r="G11" s="170"/>
      <c r="H11" s="170"/>
      <c r="I11" s="165" t="s">
        <v>14</v>
      </c>
      <c r="J11" s="158"/>
    </row>
    <row r="12" spans="1:11" x14ac:dyDescent="0.25">
      <c r="B12" s="169" t="s">
        <v>8</v>
      </c>
      <c r="C12" s="170"/>
      <c r="D12" s="170"/>
      <c r="E12" s="170"/>
      <c r="F12" s="170"/>
      <c r="G12" s="170"/>
      <c r="H12" s="170"/>
      <c r="I12" s="165" t="s">
        <v>15</v>
      </c>
      <c r="J12" s="158"/>
    </row>
    <row r="13" spans="1:11" x14ac:dyDescent="0.25">
      <c r="B13" s="169" t="s">
        <v>9</v>
      </c>
      <c r="C13" s="170"/>
      <c r="D13" s="170"/>
      <c r="E13" s="170"/>
      <c r="F13" s="170"/>
      <c r="G13" s="170"/>
      <c r="H13" s="170"/>
      <c r="I13" s="182">
        <v>0.03</v>
      </c>
      <c r="J13" s="183"/>
    </row>
    <row r="14" spans="1:11" ht="15.75" thickBot="1" x14ac:dyDescent="0.3">
      <c r="B14" s="196" t="s">
        <v>10</v>
      </c>
      <c r="C14" s="190"/>
      <c r="D14" s="190"/>
      <c r="E14" s="190"/>
      <c r="F14" s="190"/>
      <c r="G14" s="190"/>
      <c r="H14" s="190"/>
      <c r="I14" s="184">
        <v>0.04</v>
      </c>
      <c r="J14" s="185"/>
    </row>
    <row r="15" spans="1:11" x14ac:dyDescent="0.25">
      <c r="B15" t="s">
        <v>11</v>
      </c>
    </row>
    <row r="16" spans="1:11" ht="15.75" thickBot="1" x14ac:dyDescent="0.3"/>
    <row r="17" spans="1:11" x14ac:dyDescent="0.25">
      <c r="B17" s="194" t="s">
        <v>18</v>
      </c>
      <c r="C17" s="195"/>
      <c r="D17" s="195"/>
      <c r="E17" s="195"/>
      <c r="F17" s="195"/>
      <c r="G17" s="197"/>
      <c r="H17" s="192" t="s">
        <v>27</v>
      </c>
      <c r="I17" s="192"/>
      <c r="J17" s="192"/>
      <c r="K17" s="189"/>
    </row>
    <row r="18" spans="1:11" x14ac:dyDescent="0.25">
      <c r="B18" s="169" t="s">
        <v>19</v>
      </c>
      <c r="C18" s="170"/>
      <c r="D18" s="170"/>
      <c r="E18" s="170"/>
      <c r="F18" s="170"/>
      <c r="G18" s="171"/>
      <c r="H18" s="193">
        <v>2500</v>
      </c>
      <c r="I18" s="193"/>
      <c r="J18" s="193"/>
      <c r="K18" s="181"/>
    </row>
    <row r="19" spans="1:11" x14ac:dyDescent="0.25">
      <c r="B19" s="169" t="s">
        <v>20</v>
      </c>
      <c r="C19" s="170"/>
      <c r="D19" s="170"/>
      <c r="E19" s="170"/>
      <c r="F19" s="170"/>
      <c r="G19" s="171"/>
      <c r="H19" s="186" t="s">
        <v>28</v>
      </c>
      <c r="I19" s="186"/>
      <c r="J19" s="186"/>
      <c r="K19" s="158"/>
    </row>
    <row r="20" spans="1:11" x14ac:dyDescent="0.25">
      <c r="B20" s="169" t="s">
        <v>20</v>
      </c>
      <c r="C20" s="170"/>
      <c r="D20" s="170"/>
      <c r="E20" s="170"/>
      <c r="F20" s="170"/>
      <c r="G20" s="171"/>
      <c r="H20" s="186" t="s">
        <v>29</v>
      </c>
      <c r="I20" s="186"/>
      <c r="J20" s="186"/>
      <c r="K20" s="158"/>
    </row>
    <row r="21" spans="1:11" x14ac:dyDescent="0.25">
      <c r="B21" s="169" t="s">
        <v>21</v>
      </c>
      <c r="C21" s="170"/>
      <c r="D21" s="170"/>
      <c r="E21" s="170"/>
      <c r="F21" s="170"/>
      <c r="G21" s="171"/>
      <c r="H21" s="186" t="s">
        <v>30</v>
      </c>
      <c r="I21" s="186"/>
      <c r="J21" s="186"/>
      <c r="K21" s="158"/>
    </row>
    <row r="22" spans="1:11" x14ac:dyDescent="0.25">
      <c r="B22" s="169" t="s">
        <v>22</v>
      </c>
      <c r="C22" s="170"/>
      <c r="D22" s="170"/>
      <c r="E22" s="170"/>
      <c r="F22" s="170"/>
      <c r="G22" s="171"/>
      <c r="H22" s="186" t="s">
        <v>31</v>
      </c>
      <c r="I22" s="186"/>
      <c r="J22" s="186"/>
      <c r="K22" s="158"/>
    </row>
    <row r="23" spans="1:11" x14ac:dyDescent="0.25">
      <c r="B23" s="169" t="s">
        <v>23</v>
      </c>
      <c r="C23" s="170"/>
      <c r="D23" s="170"/>
      <c r="E23" s="170"/>
      <c r="F23" s="170"/>
      <c r="G23" s="171"/>
      <c r="H23" s="186" t="s">
        <v>32</v>
      </c>
      <c r="I23" s="186"/>
      <c r="J23" s="186"/>
      <c r="K23" s="158"/>
    </row>
    <row r="24" spans="1:11" x14ac:dyDescent="0.25">
      <c r="B24" s="169"/>
      <c r="C24" s="170"/>
      <c r="D24" s="170"/>
      <c r="E24" s="170"/>
      <c r="F24" s="170"/>
      <c r="G24" s="171"/>
      <c r="H24" s="186" t="s">
        <v>33</v>
      </c>
      <c r="I24" s="186"/>
      <c r="J24" s="186"/>
      <c r="K24" s="158"/>
    </row>
    <row r="25" spans="1:11" x14ac:dyDescent="0.25">
      <c r="B25" s="169" t="s">
        <v>24</v>
      </c>
      <c r="C25" s="170"/>
      <c r="D25" s="170"/>
      <c r="E25" s="170"/>
      <c r="F25" s="170"/>
      <c r="G25" s="171"/>
      <c r="H25" s="186" t="s">
        <v>37</v>
      </c>
      <c r="I25" s="186"/>
      <c r="J25" s="186"/>
      <c r="K25" s="158"/>
    </row>
    <row r="26" spans="1:11" x14ac:dyDescent="0.25">
      <c r="B26" s="169" t="s">
        <v>25</v>
      </c>
      <c r="C26" s="170"/>
      <c r="D26" s="170"/>
      <c r="E26" s="170"/>
      <c r="F26" s="170"/>
      <c r="G26" s="171"/>
      <c r="H26" s="186" t="s">
        <v>34</v>
      </c>
      <c r="I26" s="186"/>
      <c r="J26" s="186"/>
      <c r="K26" s="158"/>
    </row>
    <row r="27" spans="1:11" ht="15.75" thickBot="1" x14ac:dyDescent="0.3">
      <c r="B27" s="196" t="s">
        <v>26</v>
      </c>
      <c r="C27" s="190"/>
      <c r="D27" s="190"/>
      <c r="E27" s="190"/>
      <c r="F27" s="190"/>
      <c r="G27" s="191"/>
      <c r="H27" s="187" t="s">
        <v>35</v>
      </c>
      <c r="I27" s="187"/>
      <c r="J27" s="187"/>
      <c r="K27" s="179"/>
    </row>
    <row r="29" spans="1:11" x14ac:dyDescent="0.25">
      <c r="A29" s="62" t="s">
        <v>38</v>
      </c>
      <c r="B29" s="23" t="s">
        <v>39</v>
      </c>
    </row>
    <row r="30" spans="1:11" ht="15.75" thickBot="1" x14ac:dyDescent="0.3"/>
    <row r="31" spans="1:11" ht="15.75" thickBot="1" x14ac:dyDescent="0.3">
      <c r="C31" s="161"/>
      <c r="D31" s="168"/>
      <c r="E31" s="168"/>
      <c r="F31" s="168"/>
      <c r="G31" s="162"/>
      <c r="H31" s="19" t="s">
        <v>50</v>
      </c>
      <c r="I31" s="19" t="s">
        <v>51</v>
      </c>
      <c r="J31" s="20" t="s">
        <v>52</v>
      </c>
    </row>
    <row r="32" spans="1:11" x14ac:dyDescent="0.25">
      <c r="C32" s="169" t="s">
        <v>40</v>
      </c>
      <c r="D32" s="170"/>
      <c r="E32" s="170"/>
      <c r="F32" s="170"/>
      <c r="G32" s="171"/>
      <c r="H32" s="17">
        <v>3800000</v>
      </c>
      <c r="I32" s="17">
        <v>200000</v>
      </c>
      <c r="J32" s="16">
        <f>+H32+I32</f>
        <v>4000000</v>
      </c>
    </row>
    <row r="33" spans="1:10" x14ac:dyDescent="0.25">
      <c r="C33" s="169" t="s">
        <v>41</v>
      </c>
      <c r="D33" s="170"/>
      <c r="E33" s="170"/>
      <c r="F33" s="170"/>
      <c r="G33" s="171"/>
      <c r="H33" s="17">
        <f>+H32*0.21</f>
        <v>798000</v>
      </c>
      <c r="I33" s="17">
        <f>+I32*0.21</f>
        <v>42000</v>
      </c>
      <c r="J33" s="16">
        <f>+H33+I33</f>
        <v>840000</v>
      </c>
    </row>
    <row r="34" spans="1:10" x14ac:dyDescent="0.25">
      <c r="C34" s="169" t="s">
        <v>42</v>
      </c>
      <c r="D34" s="170"/>
      <c r="E34" s="170"/>
      <c r="F34" s="170"/>
      <c r="G34" s="171"/>
      <c r="H34" s="17">
        <f>+H32+H33</f>
        <v>4598000</v>
      </c>
      <c r="I34" s="17">
        <f t="shared" ref="I34:J34" si="0">+I32+I33</f>
        <v>242000</v>
      </c>
      <c r="J34" s="17">
        <f t="shared" si="0"/>
        <v>4840000</v>
      </c>
    </row>
    <row r="35" spans="1:10" x14ac:dyDescent="0.25">
      <c r="C35" s="169"/>
      <c r="D35" s="170"/>
      <c r="E35" s="170"/>
      <c r="F35" s="170"/>
      <c r="G35" s="171"/>
      <c r="H35" s="17"/>
      <c r="I35" s="17"/>
      <c r="J35" s="16"/>
    </row>
    <row r="36" spans="1:10" x14ac:dyDescent="0.25">
      <c r="C36" s="169" t="s">
        <v>43</v>
      </c>
      <c r="D36" s="170"/>
      <c r="E36" s="170"/>
      <c r="F36" s="170"/>
      <c r="G36" s="171"/>
      <c r="H36" s="17">
        <v>100000</v>
      </c>
      <c r="I36" s="17">
        <v>900000</v>
      </c>
      <c r="J36" s="16">
        <v>1000000</v>
      </c>
    </row>
    <row r="37" spans="1:10" x14ac:dyDescent="0.25">
      <c r="C37" s="169"/>
      <c r="D37" s="170"/>
      <c r="E37" s="170"/>
      <c r="F37" s="170"/>
      <c r="G37" s="171"/>
      <c r="H37" s="17"/>
      <c r="I37" s="17"/>
      <c r="J37" s="16"/>
    </row>
    <row r="38" spans="1:10" x14ac:dyDescent="0.25">
      <c r="C38" s="169" t="s">
        <v>44</v>
      </c>
      <c r="D38" s="170"/>
      <c r="E38" s="170"/>
      <c r="F38" s="170"/>
      <c r="G38" s="171"/>
      <c r="H38" s="17">
        <v>100000</v>
      </c>
      <c r="I38" s="17">
        <v>600000</v>
      </c>
      <c r="J38" s="16">
        <f>+J36*0.7</f>
        <v>700000</v>
      </c>
    </row>
    <row r="39" spans="1:10" x14ac:dyDescent="0.25">
      <c r="C39" s="169" t="s">
        <v>53</v>
      </c>
      <c r="D39" s="170"/>
      <c r="E39" s="170"/>
      <c r="F39" s="170"/>
      <c r="G39" s="171"/>
      <c r="H39" s="17">
        <f>+H38*0.12</f>
        <v>12000</v>
      </c>
      <c r="I39" s="17">
        <f>+I38*0.12</f>
        <v>72000</v>
      </c>
      <c r="J39" s="17">
        <f>+I39+H39</f>
        <v>84000</v>
      </c>
    </row>
    <row r="40" spans="1:10" x14ac:dyDescent="0.25">
      <c r="C40" s="169" t="s">
        <v>42</v>
      </c>
      <c r="D40" s="170"/>
      <c r="E40" s="170"/>
      <c r="F40" s="170"/>
      <c r="G40" s="171"/>
      <c r="H40" s="17">
        <f>+H39+H38</f>
        <v>112000</v>
      </c>
      <c r="I40" s="17">
        <f t="shared" ref="I40:J40" si="1">+I39+I38</f>
        <v>672000</v>
      </c>
      <c r="J40" s="17">
        <f t="shared" si="1"/>
        <v>784000</v>
      </c>
    </row>
    <row r="41" spans="1:10" x14ac:dyDescent="0.25">
      <c r="C41" s="169"/>
      <c r="D41" s="170"/>
      <c r="E41" s="170"/>
      <c r="F41" s="170"/>
      <c r="G41" s="171"/>
      <c r="H41" s="17"/>
      <c r="I41" s="17"/>
      <c r="J41" s="16"/>
    </row>
    <row r="42" spans="1:10" x14ac:dyDescent="0.25">
      <c r="C42" s="169" t="s">
        <v>45</v>
      </c>
      <c r="D42" s="170"/>
      <c r="E42" s="170"/>
      <c r="F42" s="170"/>
      <c r="G42" s="171"/>
      <c r="H42" s="17"/>
      <c r="I42" s="17"/>
      <c r="J42" s="16"/>
    </row>
    <row r="43" spans="1:10" x14ac:dyDescent="0.25">
      <c r="C43" s="10"/>
      <c r="D43" s="170" t="s">
        <v>46</v>
      </c>
      <c r="E43" s="170"/>
      <c r="F43" s="170"/>
      <c r="G43" s="171"/>
      <c r="H43" s="17">
        <f>+H38+H32</f>
        <v>3900000</v>
      </c>
      <c r="I43" s="17">
        <f>+I38+I32</f>
        <v>800000</v>
      </c>
      <c r="J43" s="17">
        <f>+H43+I43</f>
        <v>4700000</v>
      </c>
    </row>
    <row r="44" spans="1:10" x14ac:dyDescent="0.25">
      <c r="C44" s="10"/>
      <c r="D44" s="170" t="s">
        <v>47</v>
      </c>
      <c r="E44" s="170"/>
      <c r="F44" s="170"/>
      <c r="G44" s="171"/>
      <c r="H44" s="17">
        <f>+H39+H33</f>
        <v>810000</v>
      </c>
      <c r="I44" s="17">
        <f t="shared" ref="I44:J44" si="2">+I39+I33</f>
        <v>114000</v>
      </c>
      <c r="J44" s="17">
        <f t="shared" si="2"/>
        <v>924000</v>
      </c>
    </row>
    <row r="45" spans="1:10" ht="15.75" thickBot="1" x14ac:dyDescent="0.3">
      <c r="C45" s="12"/>
      <c r="D45" s="190" t="s">
        <v>48</v>
      </c>
      <c r="E45" s="190"/>
      <c r="F45" s="190"/>
      <c r="G45" s="191"/>
      <c r="H45" s="18">
        <f>+H43+H44</f>
        <v>4710000</v>
      </c>
      <c r="I45" s="18">
        <f t="shared" ref="I45:J45" si="3">+I43+I44</f>
        <v>914000</v>
      </c>
      <c r="J45" s="18">
        <f t="shared" si="3"/>
        <v>5624000</v>
      </c>
    </row>
    <row r="48" spans="1:10" x14ac:dyDescent="0.25">
      <c r="A48" s="62" t="s">
        <v>54</v>
      </c>
      <c r="B48" s="23" t="s">
        <v>55</v>
      </c>
    </row>
    <row r="50" spans="1:9" x14ac:dyDescent="0.25">
      <c r="B50" t="s">
        <v>56</v>
      </c>
      <c r="C50" s="24">
        <v>4000000</v>
      </c>
    </row>
    <row r="51" spans="1:9" x14ac:dyDescent="0.25">
      <c r="B51" s="42" t="s">
        <v>57</v>
      </c>
      <c r="C51" s="43">
        <f>+C50*0.25</f>
        <v>1000000</v>
      </c>
    </row>
    <row r="52" spans="1:9" x14ac:dyDescent="0.25">
      <c r="B52" t="s">
        <v>58</v>
      </c>
      <c r="C52" s="24">
        <f>+C50-C51</f>
        <v>3000000</v>
      </c>
    </row>
    <row r="53" spans="1:9" x14ac:dyDescent="0.25">
      <c r="B53" t="s">
        <v>59</v>
      </c>
      <c r="C53" s="24">
        <f>+C52/4</f>
        <v>750000</v>
      </c>
    </row>
    <row r="56" spans="1:9" x14ac:dyDescent="0.25">
      <c r="A56" s="62" t="s">
        <v>60</v>
      </c>
      <c r="B56" s="23" t="s">
        <v>76</v>
      </c>
    </row>
    <row r="57" spans="1:9" ht="15.75" thickBot="1" x14ac:dyDescent="0.3"/>
    <row r="58" spans="1:9" ht="15.75" thickBot="1" x14ac:dyDescent="0.3">
      <c r="A58" s="161"/>
      <c r="B58" s="162"/>
      <c r="C58" s="26" t="s">
        <v>63</v>
      </c>
      <c r="D58" s="26" t="s">
        <v>64</v>
      </c>
      <c r="H58" s="7" t="s">
        <v>61</v>
      </c>
      <c r="I58" s="32">
        <f>1500*2500</f>
        <v>3750000</v>
      </c>
    </row>
    <row r="59" spans="1:9" ht="15.75" thickBot="1" x14ac:dyDescent="0.3">
      <c r="A59" s="165" t="s">
        <v>51</v>
      </c>
      <c r="B59" s="158"/>
      <c r="C59" s="27">
        <f>+I59*0.7+F71*0.1</f>
        <v>3782250</v>
      </c>
      <c r="D59" s="30"/>
      <c r="H59" s="12" t="s">
        <v>62</v>
      </c>
      <c r="I59" s="33">
        <f>2000*2500</f>
        <v>5000000</v>
      </c>
    </row>
    <row r="60" spans="1:9" ht="15.75" thickBot="1" x14ac:dyDescent="0.3">
      <c r="A60" s="178" t="s">
        <v>65</v>
      </c>
      <c r="B60" s="179"/>
      <c r="C60" s="28"/>
      <c r="D60" s="31"/>
    </row>
    <row r="62" spans="1:9" ht="15.75" thickBot="1" x14ac:dyDescent="0.3"/>
    <row r="63" spans="1:9" ht="15.75" thickBot="1" x14ac:dyDescent="0.3">
      <c r="C63" s="161"/>
      <c r="D63" s="168"/>
      <c r="E63" s="162"/>
      <c r="F63" s="58" t="s">
        <v>51</v>
      </c>
      <c r="G63" s="37" t="s">
        <v>65</v>
      </c>
    </row>
    <row r="64" spans="1:9" x14ac:dyDescent="0.25">
      <c r="C64" s="169" t="s">
        <v>63</v>
      </c>
      <c r="D64" s="170"/>
      <c r="E64" s="171"/>
      <c r="F64" s="34">
        <f>+I59*0.25</f>
        <v>1250000</v>
      </c>
      <c r="G64" s="27">
        <f>+I59*0.25</f>
        <v>1250000</v>
      </c>
    </row>
    <row r="65" spans="1:8" x14ac:dyDescent="0.25">
      <c r="C65" s="169" t="s">
        <v>67</v>
      </c>
      <c r="D65" s="170"/>
      <c r="E65" s="171"/>
      <c r="F65" s="34">
        <f>1000*2000</f>
        <v>2000000</v>
      </c>
      <c r="G65" s="34">
        <f>1000*2000</f>
        <v>2000000</v>
      </c>
    </row>
    <row r="66" spans="1:8" x14ac:dyDescent="0.25">
      <c r="C66" s="172" t="s">
        <v>68</v>
      </c>
      <c r="D66" s="173"/>
      <c r="E66" s="174"/>
      <c r="F66" s="36">
        <f>+F65+F64</f>
        <v>3250000</v>
      </c>
      <c r="G66" s="38">
        <f>+G65+G64</f>
        <v>3250000</v>
      </c>
    </row>
    <row r="67" spans="1:8" x14ac:dyDescent="0.25">
      <c r="C67" s="169" t="s">
        <v>72</v>
      </c>
      <c r="D67" s="170"/>
      <c r="E67" s="171"/>
      <c r="F67" s="34">
        <v>-200000</v>
      </c>
      <c r="G67" s="25">
        <v>0</v>
      </c>
    </row>
    <row r="68" spans="1:8" x14ac:dyDescent="0.25">
      <c r="C68" s="169" t="s">
        <v>73</v>
      </c>
      <c r="D68" s="170"/>
      <c r="E68" s="171"/>
      <c r="F68" s="34">
        <f>+-G66*0.03</f>
        <v>-97500</v>
      </c>
      <c r="G68" s="25">
        <v>0</v>
      </c>
    </row>
    <row r="69" spans="1:8" x14ac:dyDescent="0.25">
      <c r="C69" s="172" t="s">
        <v>69</v>
      </c>
      <c r="D69" s="173"/>
      <c r="E69" s="174"/>
      <c r="F69" s="36">
        <f>+F66+F67+F68</f>
        <v>2952500</v>
      </c>
      <c r="G69" s="39">
        <f>+G66</f>
        <v>3250000</v>
      </c>
    </row>
    <row r="70" spans="1:8" x14ac:dyDescent="0.25">
      <c r="C70" s="169" t="s">
        <v>74</v>
      </c>
      <c r="D70" s="170"/>
      <c r="E70" s="171"/>
      <c r="F70" s="34">
        <f>+-G66*0.04</f>
        <v>-130000</v>
      </c>
      <c r="G70" s="25">
        <v>0</v>
      </c>
    </row>
    <row r="71" spans="1:8" x14ac:dyDescent="0.25">
      <c r="C71" s="172" t="s">
        <v>70</v>
      </c>
      <c r="D71" s="173"/>
      <c r="E71" s="174"/>
      <c r="F71" s="36">
        <f>+F69+F70</f>
        <v>2822500</v>
      </c>
      <c r="G71" s="39">
        <f>+G69</f>
        <v>3250000</v>
      </c>
    </row>
    <row r="72" spans="1:8" x14ac:dyDescent="0.25">
      <c r="C72" s="169" t="s">
        <v>75</v>
      </c>
      <c r="D72" s="170"/>
      <c r="E72" s="171"/>
      <c r="F72" s="34">
        <f>+G69*0.1</f>
        <v>325000</v>
      </c>
      <c r="G72" s="27">
        <f>+G71*0.1</f>
        <v>325000</v>
      </c>
    </row>
    <row r="73" spans="1:8" ht="15.75" thickBot="1" x14ac:dyDescent="0.3">
      <c r="C73" s="175" t="s">
        <v>71</v>
      </c>
      <c r="D73" s="176"/>
      <c r="E73" s="177"/>
      <c r="F73" s="57">
        <f>+F71+F72</f>
        <v>3147500</v>
      </c>
      <c r="G73" s="44">
        <f>+G71+G72</f>
        <v>3575000</v>
      </c>
    </row>
    <row r="76" spans="1:8" x14ac:dyDescent="0.25">
      <c r="A76" s="62" t="s">
        <v>78</v>
      </c>
      <c r="B76" s="23" t="s">
        <v>77</v>
      </c>
    </row>
    <row r="77" spans="1:8" ht="15.75" thickBot="1" x14ac:dyDescent="0.3"/>
    <row r="78" spans="1:8" ht="15.75" thickBot="1" x14ac:dyDescent="0.3">
      <c r="C78" s="161"/>
      <c r="D78" s="162"/>
      <c r="E78" s="161" t="s">
        <v>17</v>
      </c>
      <c r="F78" s="162"/>
      <c r="G78" s="161" t="s">
        <v>79</v>
      </c>
      <c r="H78" s="162"/>
    </row>
    <row r="79" spans="1:8" x14ac:dyDescent="0.25">
      <c r="C79" s="165" t="s">
        <v>80</v>
      </c>
      <c r="D79" s="158"/>
      <c r="E79" s="157">
        <f>+I58</f>
        <v>3750000</v>
      </c>
      <c r="F79" s="158"/>
      <c r="G79" s="157">
        <f>+I59</f>
        <v>5000000</v>
      </c>
      <c r="H79" s="158"/>
    </row>
    <row r="80" spans="1:8" x14ac:dyDescent="0.25">
      <c r="C80" s="165" t="s">
        <v>81</v>
      </c>
      <c r="D80" s="158"/>
      <c r="E80" s="157">
        <f>+F73</f>
        <v>3147500</v>
      </c>
      <c r="F80" s="158"/>
      <c r="G80" s="157">
        <f>+G73</f>
        <v>3575000</v>
      </c>
      <c r="H80" s="158"/>
    </row>
    <row r="81" spans="1:9" x14ac:dyDescent="0.25">
      <c r="C81" s="166" t="s">
        <v>82</v>
      </c>
      <c r="D81" s="164"/>
      <c r="E81" s="163">
        <f>+E79-E80</f>
        <v>602500</v>
      </c>
      <c r="F81" s="164"/>
      <c r="G81" s="163">
        <f>+G79-G80</f>
        <v>1425000</v>
      </c>
      <c r="H81" s="164"/>
    </row>
    <row r="82" spans="1:9" x14ac:dyDescent="0.25">
      <c r="C82" s="165" t="s">
        <v>83</v>
      </c>
      <c r="D82" s="158"/>
      <c r="E82" s="157">
        <f>+E81*0.1</f>
        <v>60250</v>
      </c>
      <c r="F82" s="158"/>
      <c r="G82" s="157">
        <f>+G81*0.1</f>
        <v>142500</v>
      </c>
      <c r="H82" s="158"/>
    </row>
    <row r="83" spans="1:9" x14ac:dyDescent="0.25">
      <c r="C83" s="166" t="s">
        <v>84</v>
      </c>
      <c r="D83" s="164"/>
      <c r="E83" s="163">
        <f>+E81-E82</f>
        <v>542250</v>
      </c>
      <c r="F83" s="164"/>
      <c r="G83" s="163">
        <f>+G81-G82</f>
        <v>1282500</v>
      </c>
      <c r="H83" s="164"/>
    </row>
    <row r="84" spans="1:9" x14ac:dyDescent="0.25">
      <c r="C84" s="165" t="s">
        <v>85</v>
      </c>
      <c r="D84" s="158"/>
      <c r="E84" s="157">
        <f>+E83*0.35</f>
        <v>189787.5</v>
      </c>
      <c r="F84" s="158"/>
      <c r="G84" s="157">
        <f>+G83*0.35</f>
        <v>448875</v>
      </c>
      <c r="H84" s="158"/>
    </row>
    <row r="85" spans="1:9" ht="15.75" thickBot="1" x14ac:dyDescent="0.3">
      <c r="C85" s="167" t="s">
        <v>86</v>
      </c>
      <c r="D85" s="160"/>
      <c r="E85" s="159">
        <f>+E83-E84</f>
        <v>352462.5</v>
      </c>
      <c r="F85" s="160"/>
      <c r="G85" s="159">
        <f>+G83-G84</f>
        <v>833625</v>
      </c>
      <c r="H85" s="160"/>
    </row>
    <row r="86" spans="1:9" ht="15.75" thickBot="1" x14ac:dyDescent="0.3"/>
    <row r="87" spans="1:9" ht="15.75" thickBot="1" x14ac:dyDescent="0.3">
      <c r="G87" s="45" t="s">
        <v>90</v>
      </c>
      <c r="H87" s="47">
        <f>+G85*3+E85</f>
        <v>2853337.5</v>
      </c>
    </row>
    <row r="90" spans="1:9" x14ac:dyDescent="0.25">
      <c r="A90" s="62" t="s">
        <v>92</v>
      </c>
      <c r="B90" s="23" t="s">
        <v>91</v>
      </c>
    </row>
    <row r="91" spans="1:9" ht="15.75" thickBot="1" x14ac:dyDescent="0.3"/>
    <row r="92" spans="1:9" ht="15.75" thickBot="1" x14ac:dyDescent="0.3">
      <c r="C92" s="151"/>
      <c r="D92" s="152"/>
      <c r="E92" s="153"/>
      <c r="F92" s="148" t="s">
        <v>93</v>
      </c>
      <c r="G92" s="149"/>
      <c r="H92" s="150" t="s">
        <v>94</v>
      </c>
      <c r="I92" s="149"/>
    </row>
    <row r="93" spans="1:9" ht="18.600000000000001" customHeight="1" thickBot="1" x14ac:dyDescent="0.3">
      <c r="C93" s="154"/>
      <c r="D93" s="155"/>
      <c r="E93" s="156"/>
      <c r="F93" s="49" t="s">
        <v>17</v>
      </c>
      <c r="G93" s="53" t="s">
        <v>95</v>
      </c>
      <c r="H93" s="49" t="s">
        <v>17</v>
      </c>
      <c r="I93" s="49" t="s">
        <v>95</v>
      </c>
    </row>
    <row r="94" spans="1:9" ht="15.75" thickBot="1" x14ac:dyDescent="0.3">
      <c r="C94" s="140" t="s">
        <v>96</v>
      </c>
      <c r="D94" s="141"/>
      <c r="E94" s="144"/>
      <c r="F94" s="55">
        <f>+F64</f>
        <v>1250000</v>
      </c>
      <c r="G94" s="55">
        <f>+G64</f>
        <v>1250000</v>
      </c>
      <c r="H94" s="55">
        <f>+F65</f>
        <v>2000000</v>
      </c>
      <c r="I94" s="55">
        <v>2000000</v>
      </c>
    </row>
    <row r="95" spans="1:9" ht="15.75" thickBot="1" x14ac:dyDescent="0.3">
      <c r="C95" s="140" t="s">
        <v>97</v>
      </c>
      <c r="D95" s="141"/>
      <c r="E95" s="144"/>
      <c r="F95" s="56">
        <v>0</v>
      </c>
      <c r="G95" s="56">
        <v>0</v>
      </c>
      <c r="H95" s="55">
        <f>+F67</f>
        <v>-200000</v>
      </c>
      <c r="I95" s="56">
        <v>0</v>
      </c>
    </row>
    <row r="96" spans="1:9" ht="15.75" thickBot="1" x14ac:dyDescent="0.3">
      <c r="C96" s="140" t="s">
        <v>98</v>
      </c>
      <c r="D96" s="141"/>
      <c r="E96" s="144"/>
      <c r="F96" s="55">
        <f>+F68*H105</f>
        <v>-37500</v>
      </c>
      <c r="G96" s="55"/>
      <c r="H96" s="55">
        <f>+F68*H106</f>
        <v>-60000</v>
      </c>
      <c r="I96" s="56">
        <v>0</v>
      </c>
    </row>
    <row r="97" spans="1:9" ht="15.75" thickBot="1" x14ac:dyDescent="0.3">
      <c r="C97" s="145" t="s">
        <v>99</v>
      </c>
      <c r="D97" s="146"/>
      <c r="E97" s="147"/>
      <c r="F97" s="51">
        <f>+F94+F96</f>
        <v>1212500</v>
      </c>
      <c r="G97" s="51">
        <f>+G94+G96</f>
        <v>1250000</v>
      </c>
      <c r="H97" s="51">
        <f>+H94+H95+H96</f>
        <v>1740000</v>
      </c>
      <c r="I97" s="51">
        <f>+I94+I95+I96</f>
        <v>2000000</v>
      </c>
    </row>
    <row r="98" spans="1:9" ht="15.75" thickBot="1" x14ac:dyDescent="0.3">
      <c r="C98" s="140" t="s">
        <v>100</v>
      </c>
      <c r="D98" s="141"/>
      <c r="E98" s="144"/>
      <c r="F98" s="55">
        <f>+F70*H105</f>
        <v>-50000</v>
      </c>
      <c r="G98" s="56"/>
      <c r="H98" s="55">
        <f>+F70*H106</f>
        <v>-80000</v>
      </c>
      <c r="I98" s="56">
        <v>0</v>
      </c>
    </row>
    <row r="99" spans="1:9" ht="15.75" thickBot="1" x14ac:dyDescent="0.3">
      <c r="C99" s="145" t="s">
        <v>101</v>
      </c>
      <c r="D99" s="146"/>
      <c r="E99" s="147"/>
      <c r="F99" s="51">
        <f>+F97+F98</f>
        <v>1162500</v>
      </c>
      <c r="G99" s="51">
        <f>+G97+G98</f>
        <v>1250000</v>
      </c>
      <c r="H99" s="51">
        <f>+H97+H98</f>
        <v>1660000</v>
      </c>
      <c r="I99" s="51">
        <v>2000000</v>
      </c>
    </row>
    <row r="100" spans="1:9" ht="15.75" thickBot="1" x14ac:dyDescent="0.3">
      <c r="C100" s="140" t="s">
        <v>102</v>
      </c>
      <c r="D100" s="141"/>
      <c r="E100" s="144"/>
      <c r="F100" s="55">
        <f>+F72*0.7</f>
        <v>227500</v>
      </c>
      <c r="G100" s="55">
        <f>+F72*0.7</f>
        <v>227500</v>
      </c>
      <c r="H100" s="55">
        <f>+F72*0.3</f>
        <v>97500</v>
      </c>
      <c r="I100" s="55">
        <f>+G72*0.3</f>
        <v>97500</v>
      </c>
    </row>
    <row r="101" spans="1:9" ht="15.75" thickBot="1" x14ac:dyDescent="0.3">
      <c r="C101" s="131" t="s">
        <v>103</v>
      </c>
      <c r="D101" s="132"/>
      <c r="E101" s="133"/>
      <c r="F101" s="73">
        <f>+F99+F100</f>
        <v>1390000</v>
      </c>
      <c r="G101" s="73">
        <f>+G99+G100</f>
        <v>1477500</v>
      </c>
      <c r="H101" s="73">
        <f>+H99+H100</f>
        <v>1757500</v>
      </c>
      <c r="I101" s="73">
        <f>+I99+I100</f>
        <v>2097500</v>
      </c>
    </row>
    <row r="102" spans="1:9" ht="15.75" thickBot="1" x14ac:dyDescent="0.3">
      <c r="C102" s="134" t="s">
        <v>104</v>
      </c>
      <c r="D102" s="135"/>
      <c r="E102" s="136"/>
      <c r="F102" s="54">
        <f>+F101/1500</f>
        <v>926.66666666666663</v>
      </c>
      <c r="G102" s="52">
        <f>+G101/2000</f>
        <v>738.75</v>
      </c>
      <c r="H102" s="52">
        <f>+H101/1500</f>
        <v>1171.6666666666667</v>
      </c>
      <c r="I102" s="52">
        <f>+I101/2000</f>
        <v>1048.75</v>
      </c>
    </row>
    <row r="103" spans="1:9" ht="15.75" thickBot="1" x14ac:dyDescent="0.3"/>
    <row r="104" spans="1:9" ht="15.75" thickBot="1" x14ac:dyDescent="0.3">
      <c r="C104" s="45" t="s">
        <v>108</v>
      </c>
      <c r="D104" s="61">
        <f>+F101/(I58-H101)</f>
        <v>0.69761606022584688</v>
      </c>
      <c r="F104" s="7" t="s">
        <v>105</v>
      </c>
      <c r="G104" s="8"/>
      <c r="H104" s="9"/>
    </row>
    <row r="105" spans="1:9" x14ac:dyDescent="0.25">
      <c r="F105" s="10"/>
      <c r="G105" t="s">
        <v>106</v>
      </c>
      <c r="H105" s="59">
        <f>+F64/F66</f>
        <v>0.38461538461538464</v>
      </c>
    </row>
    <row r="106" spans="1:9" ht="15.75" thickBot="1" x14ac:dyDescent="0.3">
      <c r="F106" s="12"/>
      <c r="G106" s="13" t="s">
        <v>107</v>
      </c>
      <c r="H106" s="60">
        <f>+F65/F66</f>
        <v>0.61538461538461542</v>
      </c>
    </row>
    <row r="109" spans="1:9" x14ac:dyDescent="0.25">
      <c r="A109" s="62" t="s">
        <v>110</v>
      </c>
      <c r="B109" s="23" t="s">
        <v>109</v>
      </c>
    </row>
    <row r="110" spans="1:9" ht="15.75" thickBot="1" x14ac:dyDescent="0.3"/>
    <row r="111" spans="1:9" ht="15.75" thickBot="1" x14ac:dyDescent="0.3">
      <c r="C111" s="137" t="s">
        <v>24</v>
      </c>
      <c r="D111" s="138"/>
      <c r="E111" s="139"/>
      <c r="F111" s="66" t="s">
        <v>17</v>
      </c>
      <c r="G111" s="65" t="s">
        <v>95</v>
      </c>
    </row>
    <row r="112" spans="1:9" x14ac:dyDescent="0.25">
      <c r="C112" s="140" t="s">
        <v>117</v>
      </c>
      <c r="D112" s="141"/>
      <c r="E112" s="141"/>
      <c r="F112" s="67">
        <f>+I58*0.21</f>
        <v>787500</v>
      </c>
      <c r="G112" s="68">
        <f>+I59*0.21</f>
        <v>1050000</v>
      </c>
    </row>
    <row r="113" spans="1:9" x14ac:dyDescent="0.25">
      <c r="C113" s="140" t="s">
        <v>118</v>
      </c>
      <c r="D113" s="141"/>
      <c r="E113" s="141"/>
      <c r="F113" s="69">
        <f>+F73*0.16</f>
        <v>503600</v>
      </c>
      <c r="G113" s="70">
        <f>+G73*0.16</f>
        <v>572000</v>
      </c>
    </row>
    <row r="114" spans="1:9" ht="15.75" thickBot="1" x14ac:dyDescent="0.3">
      <c r="C114" s="142" t="s">
        <v>111</v>
      </c>
      <c r="D114" s="143"/>
      <c r="E114" s="143"/>
      <c r="F114" s="71">
        <f>+F112-F113</f>
        <v>283900</v>
      </c>
      <c r="G114" s="71">
        <f>+G112-G113</f>
        <v>478000</v>
      </c>
    </row>
    <row r="115" spans="1:9" ht="15.75" thickBot="1" x14ac:dyDescent="0.3"/>
    <row r="116" spans="1:9" ht="26.25" thickBot="1" x14ac:dyDescent="0.3">
      <c r="C116" s="63" t="s">
        <v>112</v>
      </c>
      <c r="D116" s="48" t="s">
        <v>113</v>
      </c>
      <c r="E116" s="48" t="s">
        <v>116</v>
      </c>
      <c r="F116" s="48" t="s">
        <v>114</v>
      </c>
      <c r="G116" s="64" t="s">
        <v>115</v>
      </c>
    </row>
    <row r="117" spans="1:9" ht="15.75" thickBot="1" x14ac:dyDescent="0.3">
      <c r="C117" s="50" t="s">
        <v>16</v>
      </c>
      <c r="D117" s="55">
        <v>810000</v>
      </c>
      <c r="E117" s="56">
        <v>0</v>
      </c>
      <c r="F117" s="56">
        <v>0</v>
      </c>
      <c r="G117" s="40">
        <v>0</v>
      </c>
    </row>
    <row r="118" spans="1:9" ht="15.75" thickBot="1" x14ac:dyDescent="0.3">
      <c r="C118" s="50" t="s">
        <v>17</v>
      </c>
      <c r="D118" s="55">
        <f>+D117+I44</f>
        <v>924000</v>
      </c>
      <c r="E118" s="55">
        <f>+F114</f>
        <v>283900</v>
      </c>
      <c r="F118" s="55">
        <v>283900</v>
      </c>
      <c r="G118" s="41">
        <v>0</v>
      </c>
    </row>
    <row r="119" spans="1:9" ht="15.75" thickBot="1" x14ac:dyDescent="0.3">
      <c r="C119" s="50" t="s">
        <v>36</v>
      </c>
      <c r="D119" s="55">
        <f>+D118-F118</f>
        <v>640100</v>
      </c>
      <c r="E119" s="55">
        <f>+G114</f>
        <v>478000</v>
      </c>
      <c r="F119" s="55">
        <v>478000</v>
      </c>
      <c r="G119" s="40">
        <v>0</v>
      </c>
    </row>
    <row r="120" spans="1:9" ht="15.75" thickBot="1" x14ac:dyDescent="0.3">
      <c r="C120" s="50" t="s">
        <v>87</v>
      </c>
      <c r="D120" s="55">
        <f>+D119-F119</f>
        <v>162100</v>
      </c>
      <c r="E120" s="55">
        <v>478000</v>
      </c>
      <c r="F120" s="55">
        <v>162100</v>
      </c>
      <c r="G120" s="41">
        <f>+D120-E120</f>
        <v>-315900</v>
      </c>
    </row>
    <row r="121" spans="1:9" ht="15.75" thickBot="1" x14ac:dyDescent="0.3">
      <c r="C121" s="50" t="s">
        <v>88</v>
      </c>
      <c r="D121" s="56">
        <v>0</v>
      </c>
      <c r="E121" s="55">
        <v>478000</v>
      </c>
      <c r="F121" s="56">
        <v>0</v>
      </c>
      <c r="G121" s="41">
        <v>-478000</v>
      </c>
    </row>
    <row r="124" spans="1:9" x14ac:dyDescent="0.25">
      <c r="A124" s="62" t="s">
        <v>120</v>
      </c>
      <c r="B124" s="23" t="s">
        <v>119</v>
      </c>
      <c r="G124" t="s">
        <v>128</v>
      </c>
    </row>
    <row r="125" spans="1:9" ht="15.75" thickBot="1" x14ac:dyDescent="0.3"/>
    <row r="126" spans="1:9" ht="26.25" thickBot="1" x14ac:dyDescent="0.3">
      <c r="C126" s="63" t="s">
        <v>121</v>
      </c>
      <c r="D126" s="48" t="s">
        <v>2</v>
      </c>
      <c r="E126" s="48" t="s">
        <v>122</v>
      </c>
      <c r="F126" s="48" t="s">
        <v>123</v>
      </c>
      <c r="G126" s="48" t="s">
        <v>124</v>
      </c>
      <c r="H126" s="48" t="s">
        <v>125</v>
      </c>
      <c r="I126" s="48" t="s">
        <v>126</v>
      </c>
    </row>
    <row r="127" spans="1:9" ht="15.75" thickBot="1" x14ac:dyDescent="0.3">
      <c r="C127" s="50" t="s">
        <v>16</v>
      </c>
      <c r="D127" s="55">
        <f>+H32</f>
        <v>3800000</v>
      </c>
      <c r="E127" s="55">
        <f>+H38</f>
        <v>100000</v>
      </c>
      <c r="F127" s="55">
        <f>+H44</f>
        <v>810000</v>
      </c>
      <c r="G127" s="56">
        <v>0</v>
      </c>
      <c r="H127" s="56">
        <v>0</v>
      </c>
      <c r="I127" s="55">
        <f>+SUM(D127:H127)</f>
        <v>4710000</v>
      </c>
    </row>
    <row r="128" spans="1:9" ht="15.75" thickBot="1" x14ac:dyDescent="0.3">
      <c r="C128" s="50" t="s">
        <v>17</v>
      </c>
      <c r="D128" s="55">
        <f>+I32</f>
        <v>200000</v>
      </c>
      <c r="E128" s="55">
        <f>+I38</f>
        <v>600000</v>
      </c>
      <c r="F128" s="55">
        <f>+I44</f>
        <v>114000</v>
      </c>
      <c r="G128" s="55">
        <f>+E82</f>
        <v>60250</v>
      </c>
      <c r="H128" s="55">
        <f>+E84</f>
        <v>189787.5</v>
      </c>
      <c r="I128" s="55">
        <f t="shared" ref="I128:I131" si="4">+SUM(D128:H128)</f>
        <v>1164037.5</v>
      </c>
    </row>
    <row r="129" spans="3:10" ht="15.75" thickBot="1" x14ac:dyDescent="0.3">
      <c r="C129" s="50" t="s">
        <v>36</v>
      </c>
      <c r="D129" s="56"/>
      <c r="E129" s="56"/>
      <c r="F129" s="56"/>
      <c r="G129" s="55">
        <f>+G82</f>
        <v>142500</v>
      </c>
      <c r="H129" s="55">
        <f>+G84</f>
        <v>448875</v>
      </c>
      <c r="I129" s="55">
        <f t="shared" si="4"/>
        <v>591375</v>
      </c>
    </row>
    <row r="130" spans="3:10" ht="15.75" thickBot="1" x14ac:dyDescent="0.3">
      <c r="C130" s="50" t="s">
        <v>87</v>
      </c>
      <c r="D130" s="56"/>
      <c r="E130" s="56"/>
      <c r="F130" s="56"/>
      <c r="G130" s="55">
        <v>142500</v>
      </c>
      <c r="H130" s="55">
        <v>448875</v>
      </c>
      <c r="I130" s="55">
        <f t="shared" si="4"/>
        <v>591375</v>
      </c>
    </row>
    <row r="131" spans="3:10" ht="15.75" thickBot="1" x14ac:dyDescent="0.3">
      <c r="C131" s="50" t="s">
        <v>88</v>
      </c>
      <c r="D131" s="55">
        <f>+-1000000</f>
        <v>-1000000</v>
      </c>
      <c r="E131" s="55">
        <f>+-700000</f>
        <v>-700000</v>
      </c>
      <c r="F131" s="56"/>
      <c r="G131" s="55">
        <v>142500</v>
      </c>
      <c r="H131" s="55">
        <v>448875</v>
      </c>
      <c r="I131" s="55">
        <f t="shared" si="4"/>
        <v>-1108625</v>
      </c>
    </row>
    <row r="132" spans="3:10" x14ac:dyDescent="0.25">
      <c r="C132" s="72" t="s">
        <v>127</v>
      </c>
      <c r="D132" s="74">
        <f>+SUM(D127:D131)</f>
        <v>3000000</v>
      </c>
      <c r="E132" s="74">
        <f t="shared" ref="E132:I132" si="5">+SUM(E127:E131)</f>
        <v>0</v>
      </c>
      <c r="F132" s="74">
        <f t="shared" si="5"/>
        <v>924000</v>
      </c>
      <c r="G132" s="74">
        <f t="shared" si="5"/>
        <v>487750</v>
      </c>
      <c r="H132" s="74">
        <f t="shared" si="5"/>
        <v>1536412.5</v>
      </c>
      <c r="I132" s="74">
        <f t="shared" si="5"/>
        <v>5948162.5</v>
      </c>
    </row>
    <row r="133" spans="3:10" x14ac:dyDescent="0.25">
      <c r="G133" s="24"/>
    </row>
    <row r="134" spans="3:10" ht="15.75" thickBot="1" x14ac:dyDescent="0.3">
      <c r="E134" t="s">
        <v>129</v>
      </c>
    </row>
    <row r="135" spans="3:10" ht="15.75" thickBot="1" x14ac:dyDescent="0.3">
      <c r="I135" s="40" t="s">
        <v>130</v>
      </c>
      <c r="J135" s="40"/>
    </row>
    <row r="136" spans="3:10" ht="39" thickBot="1" x14ac:dyDescent="0.3">
      <c r="C136" s="63" t="s">
        <v>131</v>
      </c>
      <c r="D136" s="48" t="s">
        <v>132</v>
      </c>
      <c r="E136" s="48" t="s">
        <v>133</v>
      </c>
      <c r="F136" s="48" t="s">
        <v>114</v>
      </c>
      <c r="G136" s="48" t="s">
        <v>134</v>
      </c>
      <c r="I136" s="64" t="s">
        <v>135</v>
      </c>
      <c r="J136" s="64" t="s">
        <v>136</v>
      </c>
    </row>
    <row r="137" spans="3:10" ht="15.75" thickBot="1" x14ac:dyDescent="0.3">
      <c r="C137" s="50" t="s">
        <v>16</v>
      </c>
      <c r="D137" s="56">
        <v>0</v>
      </c>
      <c r="E137" s="56">
        <v>0</v>
      </c>
      <c r="F137" s="56">
        <v>0</v>
      </c>
      <c r="G137" s="78">
        <v>0</v>
      </c>
      <c r="I137" s="41">
        <f>+G137-I127</f>
        <v>-4710000</v>
      </c>
      <c r="J137" s="41">
        <f>+I137</f>
        <v>-4710000</v>
      </c>
    </row>
    <row r="138" spans="3:10" ht="15.75" thickBot="1" x14ac:dyDescent="0.3">
      <c r="C138" s="50" t="s">
        <v>17</v>
      </c>
      <c r="D138" s="55">
        <f>+E81</f>
        <v>602500</v>
      </c>
      <c r="E138" s="55">
        <v>750000</v>
      </c>
      <c r="F138" s="55">
        <f>+F118</f>
        <v>283900</v>
      </c>
      <c r="G138" s="78">
        <f>+SUM(D138:F138)</f>
        <v>1636400</v>
      </c>
      <c r="I138" s="41">
        <f>+G138-I128</f>
        <v>472362.5</v>
      </c>
      <c r="J138" s="41">
        <f>+J137+I138</f>
        <v>-4237637.5</v>
      </c>
    </row>
    <row r="139" spans="3:10" ht="15.75" thickBot="1" x14ac:dyDescent="0.3">
      <c r="C139" s="50" t="s">
        <v>36</v>
      </c>
      <c r="D139" s="55">
        <f>+G81</f>
        <v>1425000</v>
      </c>
      <c r="E139" s="55">
        <v>750000</v>
      </c>
      <c r="F139" s="55">
        <f>+F119</f>
        <v>478000</v>
      </c>
      <c r="G139" s="78">
        <f t="shared" ref="G139:G141" si="6">+SUM(D139:F139)</f>
        <v>2653000</v>
      </c>
      <c r="I139" s="41">
        <f t="shared" ref="I139:I141" si="7">+G139-I129</f>
        <v>2061625</v>
      </c>
      <c r="J139" s="41">
        <f t="shared" ref="J139:J141" si="8">+J138+I139</f>
        <v>-2176012.5</v>
      </c>
    </row>
    <row r="140" spans="3:10" ht="15.75" thickBot="1" x14ac:dyDescent="0.3">
      <c r="C140" s="50" t="s">
        <v>87</v>
      </c>
      <c r="D140" s="55">
        <v>1425000</v>
      </c>
      <c r="E140" s="55">
        <v>750000</v>
      </c>
      <c r="F140" s="55">
        <f>+F120</f>
        <v>162100</v>
      </c>
      <c r="G140" s="78">
        <f t="shared" si="6"/>
        <v>2337100</v>
      </c>
      <c r="I140" s="41">
        <f t="shared" si="7"/>
        <v>1745725</v>
      </c>
      <c r="J140" s="41">
        <f t="shared" si="8"/>
        <v>-430287.5</v>
      </c>
    </row>
    <row r="141" spans="3:10" ht="15.75" thickBot="1" x14ac:dyDescent="0.3">
      <c r="C141" s="50" t="s">
        <v>88</v>
      </c>
      <c r="D141" s="55">
        <v>1425000</v>
      </c>
      <c r="E141" s="55">
        <v>750000</v>
      </c>
      <c r="F141" s="55"/>
      <c r="G141" s="78">
        <f t="shared" si="6"/>
        <v>2175000</v>
      </c>
      <c r="I141" s="41">
        <f t="shared" si="7"/>
        <v>3283625</v>
      </c>
      <c r="J141" s="41">
        <f t="shared" si="8"/>
        <v>2853337.5</v>
      </c>
    </row>
    <row r="142" spans="3:10" ht="15.75" thickBot="1" x14ac:dyDescent="0.3">
      <c r="C142" s="72" t="s">
        <v>127</v>
      </c>
      <c r="D142" s="77">
        <f>SUM(D137:D141)</f>
        <v>4877500</v>
      </c>
      <c r="E142" s="74">
        <f t="shared" ref="E142:G142" si="9">SUM(E137:E141)</f>
        <v>3000000</v>
      </c>
      <c r="F142" s="76">
        <f t="shared" si="9"/>
        <v>924000</v>
      </c>
      <c r="G142" s="75">
        <f t="shared" si="9"/>
        <v>8801500</v>
      </c>
    </row>
    <row r="143" spans="3:10" ht="15.75" thickBot="1" x14ac:dyDescent="0.3">
      <c r="I143" s="45" t="s">
        <v>137</v>
      </c>
      <c r="J143" s="47">
        <f>+G142-I132</f>
        <v>2853337.5</v>
      </c>
    </row>
    <row r="144" spans="3:10" ht="15.75" thickBot="1" x14ac:dyDescent="0.3"/>
    <row r="145" spans="3:10" ht="15.75" thickBot="1" x14ac:dyDescent="0.3">
      <c r="C145" s="79" t="s">
        <v>138</v>
      </c>
      <c r="D145" s="46" t="s">
        <v>139</v>
      </c>
      <c r="E145" s="80"/>
      <c r="I145" s="45" t="s">
        <v>90</v>
      </c>
      <c r="J145" s="47">
        <f>+H87</f>
        <v>2853337.5</v>
      </c>
    </row>
    <row r="147" spans="3:10" x14ac:dyDescent="0.25">
      <c r="C147" t="s">
        <v>140</v>
      </c>
      <c r="D147" s="2">
        <v>0.15</v>
      </c>
    </row>
    <row r="149" spans="3:10" x14ac:dyDescent="0.25">
      <c r="C149" t="s">
        <v>141</v>
      </c>
      <c r="D149" s="3"/>
      <c r="E149" s="24">
        <f>I137</f>
        <v>-4710000</v>
      </c>
    </row>
    <row r="150" spans="3:10" ht="15.75" thickBot="1" x14ac:dyDescent="0.3"/>
    <row r="151" spans="3:10" ht="15.75" thickBot="1" x14ac:dyDescent="0.3">
      <c r="C151" s="45" t="s">
        <v>141</v>
      </c>
      <c r="D151" s="81"/>
    </row>
    <row r="152" spans="3:10" ht="15.75" thickBot="1" x14ac:dyDescent="0.3"/>
    <row r="153" spans="3:10" ht="15.75" thickBot="1" x14ac:dyDescent="0.3">
      <c r="C153" s="45" t="s">
        <v>142</v>
      </c>
      <c r="D153" s="82"/>
    </row>
  </sheetData>
  <mergeCells count="115">
    <mergeCell ref="C114:E114"/>
    <mergeCell ref="C100:E100"/>
    <mergeCell ref="C101:E101"/>
    <mergeCell ref="C102:E102"/>
    <mergeCell ref="C111:E111"/>
    <mergeCell ref="C112:E112"/>
    <mergeCell ref="C113:E113"/>
    <mergeCell ref="C94:E94"/>
    <mergeCell ref="C95:E95"/>
    <mergeCell ref="C96:E96"/>
    <mergeCell ref="C97:E97"/>
    <mergeCell ref="C98:E98"/>
    <mergeCell ref="C99:E99"/>
    <mergeCell ref="C85:D85"/>
    <mergeCell ref="E85:F85"/>
    <mergeCell ref="G85:H85"/>
    <mergeCell ref="C92:E93"/>
    <mergeCell ref="F92:G92"/>
    <mergeCell ref="H92:I92"/>
    <mergeCell ref="C83:D83"/>
    <mergeCell ref="E83:F83"/>
    <mergeCell ref="G83:H83"/>
    <mergeCell ref="C84:D84"/>
    <mergeCell ref="E84:F84"/>
    <mergeCell ref="G84:H84"/>
    <mergeCell ref="C81:D81"/>
    <mergeCell ref="E81:F81"/>
    <mergeCell ref="G81:H81"/>
    <mergeCell ref="C82:D82"/>
    <mergeCell ref="E82:F82"/>
    <mergeCell ref="G82:H82"/>
    <mergeCell ref="C79:D79"/>
    <mergeCell ref="E79:F79"/>
    <mergeCell ref="G79:H79"/>
    <mergeCell ref="C80:D80"/>
    <mergeCell ref="E80:F80"/>
    <mergeCell ref="G80:H80"/>
    <mergeCell ref="C71:E71"/>
    <mergeCell ref="C72:E72"/>
    <mergeCell ref="C73:E73"/>
    <mergeCell ref="C78:D78"/>
    <mergeCell ref="E78:F78"/>
    <mergeCell ref="G78:H78"/>
    <mergeCell ref="C65:E65"/>
    <mergeCell ref="C66:E66"/>
    <mergeCell ref="C67:E67"/>
    <mergeCell ref="C68:E68"/>
    <mergeCell ref="C69:E69"/>
    <mergeCell ref="C70:E70"/>
    <mergeCell ref="D45:G45"/>
    <mergeCell ref="A58:B58"/>
    <mergeCell ref="A59:B59"/>
    <mergeCell ref="A60:B60"/>
    <mergeCell ref="C63:E63"/>
    <mergeCell ref="C64:E64"/>
    <mergeCell ref="C39:G39"/>
    <mergeCell ref="C40:G40"/>
    <mergeCell ref="C41:G41"/>
    <mergeCell ref="C42:G42"/>
    <mergeCell ref="D43:G43"/>
    <mergeCell ref="D44:G44"/>
    <mergeCell ref="C33:G33"/>
    <mergeCell ref="C34:G34"/>
    <mergeCell ref="C35:G35"/>
    <mergeCell ref="C36:G36"/>
    <mergeCell ref="C37:G37"/>
    <mergeCell ref="C38:G38"/>
    <mergeCell ref="B26:G26"/>
    <mergeCell ref="H26:K26"/>
    <mergeCell ref="B27:G27"/>
    <mergeCell ref="H27:K27"/>
    <mergeCell ref="C31:G31"/>
    <mergeCell ref="C32:G32"/>
    <mergeCell ref="B23:G23"/>
    <mergeCell ref="H23:K23"/>
    <mergeCell ref="B24:G24"/>
    <mergeCell ref="H24:K24"/>
    <mergeCell ref="B25:G25"/>
    <mergeCell ref="H25:K25"/>
    <mergeCell ref="B20:G20"/>
    <mergeCell ref="H20:K20"/>
    <mergeCell ref="B21:G21"/>
    <mergeCell ref="H21:K21"/>
    <mergeCell ref="B22:G22"/>
    <mergeCell ref="H22:K22"/>
    <mergeCell ref="B18:G18"/>
    <mergeCell ref="H18:K18"/>
    <mergeCell ref="B19:G19"/>
    <mergeCell ref="H19:K19"/>
    <mergeCell ref="B12:H12"/>
    <mergeCell ref="I12:J12"/>
    <mergeCell ref="B13:H13"/>
    <mergeCell ref="I13:J13"/>
    <mergeCell ref="B14:H14"/>
    <mergeCell ref="I14:J14"/>
    <mergeCell ref="B11:H11"/>
    <mergeCell ref="I11:J11"/>
    <mergeCell ref="B6:H6"/>
    <mergeCell ref="I6:J6"/>
    <mergeCell ref="B7:H7"/>
    <mergeCell ref="I7:J7"/>
    <mergeCell ref="B8:H8"/>
    <mergeCell ref="I8:J8"/>
    <mergeCell ref="B17:G17"/>
    <mergeCell ref="H17:K17"/>
    <mergeCell ref="B3:H3"/>
    <mergeCell ref="I3:J3"/>
    <mergeCell ref="B4:H4"/>
    <mergeCell ref="I4:J4"/>
    <mergeCell ref="B5:H5"/>
    <mergeCell ref="I5:J5"/>
    <mergeCell ref="B9:H9"/>
    <mergeCell ref="I9:J9"/>
    <mergeCell ref="B10:H10"/>
    <mergeCell ref="I10:J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51C2-402D-42B7-8A47-508E4764C039}">
  <dimension ref="A1:K153"/>
  <sheetViews>
    <sheetView topLeftCell="A37" zoomScaleNormal="100" workbookViewId="0">
      <selection activeCell="H36" sqref="H36"/>
    </sheetView>
  </sheetViews>
  <sheetFormatPr baseColWidth="10" defaultColWidth="9.140625" defaultRowHeight="15" x14ac:dyDescent="0.25"/>
  <cols>
    <col min="3" max="3" width="14.85546875" bestFit="1" customWidth="1"/>
    <col min="4" max="4" width="14.42578125" bestFit="1" customWidth="1"/>
    <col min="5" max="5" width="20.85546875" customWidth="1"/>
    <col min="6" max="6" width="16.7109375" customWidth="1"/>
    <col min="7" max="7" width="15.7109375" customWidth="1"/>
    <col min="8" max="8" width="14.5703125" customWidth="1"/>
    <col min="9" max="9" width="15.42578125" customWidth="1"/>
    <col min="10" max="10" width="15.28515625" customWidth="1"/>
  </cols>
  <sheetData>
    <row r="1" spans="1:11" x14ac:dyDescent="0.25">
      <c r="A1" t="s">
        <v>0</v>
      </c>
    </row>
    <row r="2" spans="1:11" ht="15.75" thickBot="1" x14ac:dyDescent="0.3"/>
    <row r="3" spans="1:11" x14ac:dyDescent="0.25">
      <c r="B3" s="194" t="s">
        <v>1</v>
      </c>
      <c r="C3" s="195"/>
      <c r="D3" s="195"/>
      <c r="E3" s="195"/>
      <c r="F3" s="195"/>
      <c r="G3" s="195"/>
      <c r="H3" s="195"/>
      <c r="I3" s="188" t="s">
        <v>12</v>
      </c>
      <c r="J3" s="189"/>
    </row>
    <row r="4" spans="1:11" x14ac:dyDescent="0.25">
      <c r="B4" s="169" t="s">
        <v>2</v>
      </c>
      <c r="C4" s="170"/>
      <c r="D4" s="170"/>
      <c r="E4" s="170"/>
      <c r="F4" s="170"/>
      <c r="G4" s="170"/>
      <c r="H4" s="170"/>
      <c r="I4" s="180">
        <v>4000000</v>
      </c>
      <c r="J4" s="181"/>
    </row>
    <row r="5" spans="1:11" x14ac:dyDescent="0.25">
      <c r="B5" s="169" t="s">
        <v>3</v>
      </c>
      <c r="C5" s="170"/>
      <c r="D5" s="170"/>
      <c r="E5" s="170"/>
      <c r="F5" s="170"/>
      <c r="G5" s="170"/>
      <c r="H5" s="170"/>
      <c r="I5" s="165" t="s">
        <v>13</v>
      </c>
      <c r="J5" s="158"/>
    </row>
    <row r="6" spans="1:11" x14ac:dyDescent="0.25">
      <c r="B6" s="169" t="s">
        <v>4</v>
      </c>
      <c r="C6" s="170"/>
      <c r="D6" s="170"/>
      <c r="E6" s="170"/>
      <c r="F6" s="170"/>
      <c r="G6" s="170"/>
      <c r="H6" s="170"/>
      <c r="I6" s="182">
        <v>0.25</v>
      </c>
      <c r="J6" s="183"/>
    </row>
    <row r="7" spans="1:11" x14ac:dyDescent="0.25">
      <c r="B7" s="169" t="s">
        <v>5</v>
      </c>
      <c r="C7" s="170"/>
      <c r="D7" s="170"/>
      <c r="E7" s="170"/>
      <c r="F7" s="170"/>
      <c r="G7" s="170"/>
      <c r="H7" s="170"/>
      <c r="I7" s="180">
        <v>200000</v>
      </c>
      <c r="J7" s="181"/>
    </row>
    <row r="8" spans="1:11" x14ac:dyDescent="0.25">
      <c r="B8" s="169" t="s">
        <v>6</v>
      </c>
      <c r="C8" s="170"/>
      <c r="D8" s="170"/>
      <c r="E8" s="170"/>
      <c r="F8" s="170"/>
      <c r="G8" s="170"/>
      <c r="H8" s="170"/>
      <c r="I8" s="182">
        <v>0.21</v>
      </c>
      <c r="J8" s="183"/>
    </row>
    <row r="9" spans="1:11" x14ac:dyDescent="0.25">
      <c r="B9" s="169" t="s">
        <v>7</v>
      </c>
      <c r="C9" s="170"/>
      <c r="D9" s="170"/>
      <c r="E9" s="170"/>
      <c r="F9" s="170"/>
      <c r="G9" s="170"/>
      <c r="H9" s="170"/>
      <c r="I9" s="180">
        <v>100000</v>
      </c>
      <c r="J9" s="181"/>
      <c r="K9" s="1" t="s">
        <v>16</v>
      </c>
    </row>
    <row r="10" spans="1:11" x14ac:dyDescent="0.25">
      <c r="B10" s="169" t="s">
        <v>7</v>
      </c>
      <c r="C10" s="170"/>
      <c r="D10" s="170"/>
      <c r="E10" s="170"/>
      <c r="F10" s="170"/>
      <c r="G10" s="170"/>
      <c r="H10" s="170"/>
      <c r="I10" s="180">
        <v>900000</v>
      </c>
      <c r="J10" s="181"/>
      <c r="K10" s="1" t="s">
        <v>17</v>
      </c>
    </row>
    <row r="11" spans="1:11" x14ac:dyDescent="0.25">
      <c r="B11" s="169" t="s">
        <v>7</v>
      </c>
      <c r="C11" s="170"/>
      <c r="D11" s="170"/>
      <c r="E11" s="170"/>
      <c r="F11" s="170"/>
      <c r="G11" s="170"/>
      <c r="H11" s="170"/>
      <c r="I11" s="165" t="s">
        <v>14</v>
      </c>
      <c r="J11" s="158"/>
    </row>
    <row r="12" spans="1:11" x14ac:dyDescent="0.25">
      <c r="B12" s="169" t="s">
        <v>8</v>
      </c>
      <c r="C12" s="170"/>
      <c r="D12" s="170"/>
      <c r="E12" s="170"/>
      <c r="F12" s="170"/>
      <c r="G12" s="170"/>
      <c r="H12" s="170"/>
      <c r="I12" s="165" t="s">
        <v>15</v>
      </c>
      <c r="J12" s="158"/>
    </row>
    <row r="13" spans="1:11" x14ac:dyDescent="0.25">
      <c r="B13" s="169" t="s">
        <v>9</v>
      </c>
      <c r="C13" s="170"/>
      <c r="D13" s="170"/>
      <c r="E13" s="170"/>
      <c r="F13" s="170"/>
      <c r="G13" s="170"/>
      <c r="H13" s="170"/>
      <c r="I13" s="182">
        <v>0.03</v>
      </c>
      <c r="J13" s="183"/>
    </row>
    <row r="14" spans="1:11" ht="15.75" thickBot="1" x14ac:dyDescent="0.3">
      <c r="B14" s="196" t="s">
        <v>10</v>
      </c>
      <c r="C14" s="190"/>
      <c r="D14" s="190"/>
      <c r="E14" s="190"/>
      <c r="F14" s="190"/>
      <c r="G14" s="190"/>
      <c r="H14" s="190"/>
      <c r="I14" s="184">
        <v>0.04</v>
      </c>
      <c r="J14" s="185"/>
    </row>
    <row r="15" spans="1:11" x14ac:dyDescent="0.25">
      <c r="B15" t="s">
        <v>11</v>
      </c>
    </row>
    <row r="16" spans="1:11" ht="15.75" thickBot="1" x14ac:dyDescent="0.3"/>
    <row r="17" spans="1:11" x14ac:dyDescent="0.25">
      <c r="B17" s="194" t="s">
        <v>18</v>
      </c>
      <c r="C17" s="195"/>
      <c r="D17" s="195"/>
      <c r="E17" s="195"/>
      <c r="F17" s="195"/>
      <c r="G17" s="197"/>
      <c r="H17" s="192" t="s">
        <v>27</v>
      </c>
      <c r="I17" s="192"/>
      <c r="J17" s="192"/>
      <c r="K17" s="189"/>
    </row>
    <row r="18" spans="1:11" x14ac:dyDescent="0.25">
      <c r="B18" s="169" t="s">
        <v>19</v>
      </c>
      <c r="C18" s="170"/>
      <c r="D18" s="170"/>
      <c r="E18" s="170"/>
      <c r="F18" s="170"/>
      <c r="G18" s="171"/>
      <c r="H18" s="193">
        <v>2500</v>
      </c>
      <c r="I18" s="193"/>
      <c r="J18" s="193"/>
      <c r="K18" s="181"/>
    </row>
    <row r="19" spans="1:11" x14ac:dyDescent="0.25">
      <c r="B19" s="169" t="s">
        <v>20</v>
      </c>
      <c r="C19" s="170"/>
      <c r="D19" s="170"/>
      <c r="E19" s="170"/>
      <c r="F19" s="170"/>
      <c r="G19" s="171"/>
      <c r="H19" s="186" t="s">
        <v>28</v>
      </c>
      <c r="I19" s="186"/>
      <c r="J19" s="186"/>
      <c r="K19" s="158"/>
    </row>
    <row r="20" spans="1:11" x14ac:dyDescent="0.25">
      <c r="B20" s="169" t="s">
        <v>20</v>
      </c>
      <c r="C20" s="170"/>
      <c r="D20" s="170"/>
      <c r="E20" s="170"/>
      <c r="F20" s="170"/>
      <c r="G20" s="171"/>
      <c r="H20" s="186" t="s">
        <v>29</v>
      </c>
      <c r="I20" s="186"/>
      <c r="J20" s="186"/>
      <c r="K20" s="158"/>
    </row>
    <row r="21" spans="1:11" x14ac:dyDescent="0.25">
      <c r="B21" s="169" t="s">
        <v>21</v>
      </c>
      <c r="C21" s="170"/>
      <c r="D21" s="170"/>
      <c r="E21" s="170"/>
      <c r="F21" s="170"/>
      <c r="G21" s="171"/>
      <c r="H21" s="186" t="s">
        <v>30</v>
      </c>
      <c r="I21" s="186"/>
      <c r="J21" s="186"/>
      <c r="K21" s="158"/>
    </row>
    <row r="22" spans="1:11" x14ac:dyDescent="0.25">
      <c r="B22" s="169" t="s">
        <v>22</v>
      </c>
      <c r="C22" s="170"/>
      <c r="D22" s="170"/>
      <c r="E22" s="170"/>
      <c r="F22" s="170"/>
      <c r="G22" s="171"/>
      <c r="H22" s="186" t="s">
        <v>31</v>
      </c>
      <c r="I22" s="186"/>
      <c r="J22" s="186"/>
      <c r="K22" s="158"/>
    </row>
    <row r="23" spans="1:11" x14ac:dyDescent="0.25">
      <c r="B23" s="169" t="s">
        <v>23</v>
      </c>
      <c r="C23" s="170"/>
      <c r="D23" s="170"/>
      <c r="E23" s="170"/>
      <c r="F23" s="170"/>
      <c r="G23" s="171"/>
      <c r="H23" s="186" t="s">
        <v>32</v>
      </c>
      <c r="I23" s="186"/>
      <c r="J23" s="186"/>
      <c r="K23" s="158"/>
    </row>
    <row r="24" spans="1:11" x14ac:dyDescent="0.25">
      <c r="B24" s="169"/>
      <c r="C24" s="170"/>
      <c r="D24" s="170"/>
      <c r="E24" s="170"/>
      <c r="F24" s="170"/>
      <c r="G24" s="171"/>
      <c r="H24" s="186" t="s">
        <v>33</v>
      </c>
      <c r="I24" s="186"/>
      <c r="J24" s="186"/>
      <c r="K24" s="158"/>
    </row>
    <row r="25" spans="1:11" x14ac:dyDescent="0.25">
      <c r="B25" s="169" t="s">
        <v>24</v>
      </c>
      <c r="C25" s="170"/>
      <c r="D25" s="170"/>
      <c r="E25" s="170"/>
      <c r="F25" s="170"/>
      <c r="G25" s="171"/>
      <c r="H25" s="186" t="s">
        <v>37</v>
      </c>
      <c r="I25" s="186"/>
      <c r="J25" s="186"/>
      <c r="K25" s="158"/>
    </row>
    <row r="26" spans="1:11" x14ac:dyDescent="0.25">
      <c r="B26" s="169" t="s">
        <v>25</v>
      </c>
      <c r="C26" s="170"/>
      <c r="D26" s="170"/>
      <c r="E26" s="170"/>
      <c r="F26" s="170"/>
      <c r="G26" s="171"/>
      <c r="H26" s="186" t="s">
        <v>34</v>
      </c>
      <c r="I26" s="186"/>
      <c r="J26" s="186"/>
      <c r="K26" s="158"/>
    </row>
    <row r="27" spans="1:11" ht="15.75" thickBot="1" x14ac:dyDescent="0.3">
      <c r="B27" s="196" t="s">
        <v>26</v>
      </c>
      <c r="C27" s="190"/>
      <c r="D27" s="190"/>
      <c r="E27" s="190"/>
      <c r="F27" s="190"/>
      <c r="G27" s="191"/>
      <c r="H27" s="187" t="s">
        <v>35</v>
      </c>
      <c r="I27" s="187"/>
      <c r="J27" s="187"/>
      <c r="K27" s="179"/>
    </row>
    <row r="29" spans="1:11" x14ac:dyDescent="0.25">
      <c r="A29" s="62" t="s">
        <v>38</v>
      </c>
      <c r="B29" s="23" t="s">
        <v>39</v>
      </c>
    </row>
    <row r="30" spans="1:11" ht="15.75" thickBot="1" x14ac:dyDescent="0.3"/>
    <row r="31" spans="1:11" ht="15.75" thickBot="1" x14ac:dyDescent="0.3">
      <c r="C31" s="161"/>
      <c r="D31" s="168"/>
      <c r="E31" s="168"/>
      <c r="F31" s="168"/>
      <c r="G31" s="162"/>
      <c r="H31" s="19" t="s">
        <v>50</v>
      </c>
      <c r="I31" s="19" t="s">
        <v>51</v>
      </c>
      <c r="J31" s="20" t="s">
        <v>52</v>
      </c>
    </row>
    <row r="32" spans="1:11" x14ac:dyDescent="0.25">
      <c r="C32" s="169" t="s">
        <v>40</v>
      </c>
      <c r="D32" s="170"/>
      <c r="E32" s="170"/>
      <c r="F32" s="170"/>
      <c r="G32" s="171"/>
      <c r="H32" s="17">
        <v>250000</v>
      </c>
      <c r="I32" s="17">
        <v>10000</v>
      </c>
      <c r="J32" s="16"/>
    </row>
    <row r="33" spans="1:10" x14ac:dyDescent="0.25">
      <c r="C33" s="169" t="s">
        <v>41</v>
      </c>
      <c r="D33" s="170"/>
      <c r="E33" s="170"/>
      <c r="F33" s="170"/>
      <c r="G33" s="171"/>
      <c r="H33" s="17">
        <f>+H32*0.21</f>
        <v>52500</v>
      </c>
      <c r="I33" s="17">
        <f>+I32*0.21</f>
        <v>2100</v>
      </c>
      <c r="J33" s="16"/>
    </row>
    <row r="34" spans="1:10" x14ac:dyDescent="0.25">
      <c r="C34" s="169" t="s">
        <v>42</v>
      </c>
      <c r="D34" s="170"/>
      <c r="E34" s="170"/>
      <c r="F34" s="170"/>
      <c r="G34" s="171"/>
      <c r="H34" s="17">
        <f>+H33+H32</f>
        <v>302500</v>
      </c>
      <c r="I34" s="17"/>
      <c r="J34" s="17"/>
    </row>
    <row r="35" spans="1:10" x14ac:dyDescent="0.25">
      <c r="C35" s="169"/>
      <c r="D35" s="170"/>
      <c r="E35" s="170"/>
      <c r="F35" s="170"/>
      <c r="G35" s="171"/>
      <c r="H35" s="17"/>
      <c r="I35" s="17"/>
      <c r="J35" s="16"/>
    </row>
    <row r="36" spans="1:10" x14ac:dyDescent="0.25">
      <c r="C36" s="169" t="s">
        <v>43</v>
      </c>
      <c r="D36" s="170"/>
      <c r="E36" s="170"/>
      <c r="F36" s="170"/>
      <c r="G36" s="171"/>
      <c r="H36" s="17"/>
      <c r="I36" s="17"/>
      <c r="J36" s="16"/>
    </row>
    <row r="37" spans="1:10" x14ac:dyDescent="0.25">
      <c r="C37" s="169"/>
      <c r="D37" s="170"/>
      <c r="E37" s="170"/>
      <c r="F37" s="170"/>
      <c r="G37" s="171"/>
      <c r="H37" s="17"/>
      <c r="I37" s="17"/>
      <c r="J37" s="16"/>
    </row>
    <row r="38" spans="1:10" x14ac:dyDescent="0.25">
      <c r="C38" s="169" t="s">
        <v>44</v>
      </c>
      <c r="D38" s="170"/>
      <c r="E38" s="170"/>
      <c r="F38" s="170"/>
      <c r="G38" s="171"/>
      <c r="H38" s="17">
        <f>15000+250000</f>
        <v>265000</v>
      </c>
      <c r="I38" s="17">
        <f>50000+100000+150000</f>
        <v>300000</v>
      </c>
      <c r="J38" s="16"/>
    </row>
    <row r="39" spans="1:10" x14ac:dyDescent="0.25">
      <c r="C39" s="169" t="s">
        <v>41</v>
      </c>
      <c r="D39" s="170"/>
      <c r="E39" s="170"/>
      <c r="F39" s="170"/>
      <c r="G39" s="171"/>
      <c r="H39" s="17"/>
      <c r="I39" s="17"/>
      <c r="J39" s="17"/>
    </row>
    <row r="40" spans="1:10" x14ac:dyDescent="0.25">
      <c r="C40" s="169" t="s">
        <v>42</v>
      </c>
      <c r="D40" s="170"/>
      <c r="E40" s="170"/>
      <c r="F40" s="170"/>
      <c r="G40" s="171"/>
      <c r="H40" s="17"/>
      <c r="I40" s="17"/>
      <c r="J40" s="17"/>
    </row>
    <row r="41" spans="1:10" x14ac:dyDescent="0.25">
      <c r="C41" s="169"/>
      <c r="D41" s="170"/>
      <c r="E41" s="170"/>
      <c r="F41" s="170"/>
      <c r="G41" s="171"/>
      <c r="H41" s="17"/>
      <c r="I41" s="17"/>
      <c r="J41" s="16"/>
    </row>
    <row r="42" spans="1:10" x14ac:dyDescent="0.25">
      <c r="C42" s="169" t="s">
        <v>45</v>
      </c>
      <c r="D42" s="170"/>
      <c r="E42" s="170"/>
      <c r="F42" s="170"/>
      <c r="G42" s="171"/>
      <c r="H42" s="17"/>
      <c r="I42" s="17"/>
      <c r="J42" s="16"/>
    </row>
    <row r="43" spans="1:10" x14ac:dyDescent="0.25">
      <c r="C43" s="10"/>
      <c r="D43" s="170" t="s">
        <v>46</v>
      </c>
      <c r="E43" s="170"/>
      <c r="F43" s="170"/>
      <c r="G43" s="171"/>
      <c r="H43" s="17"/>
      <c r="I43" s="17"/>
      <c r="J43" s="17"/>
    </row>
    <row r="44" spans="1:10" x14ac:dyDescent="0.25">
      <c r="C44" s="10"/>
      <c r="D44" s="170" t="s">
        <v>47</v>
      </c>
      <c r="E44" s="170"/>
      <c r="F44" s="170"/>
      <c r="G44" s="171"/>
      <c r="H44" s="17"/>
      <c r="I44" s="17"/>
      <c r="J44" s="17"/>
    </row>
    <row r="45" spans="1:10" ht="15.75" thickBot="1" x14ac:dyDescent="0.3">
      <c r="C45" s="12"/>
      <c r="D45" s="190" t="s">
        <v>48</v>
      </c>
      <c r="E45" s="190"/>
      <c r="F45" s="190"/>
      <c r="G45" s="191"/>
      <c r="H45" s="18"/>
      <c r="I45" s="18"/>
      <c r="J45" s="18"/>
    </row>
    <row r="48" spans="1:10" x14ac:dyDescent="0.25">
      <c r="A48" s="62" t="s">
        <v>54</v>
      </c>
      <c r="B48" s="23" t="s">
        <v>55</v>
      </c>
    </row>
    <row r="50" spans="1:9" x14ac:dyDescent="0.25">
      <c r="B50" t="s">
        <v>56</v>
      </c>
      <c r="C50" s="24">
        <v>3100000</v>
      </c>
    </row>
    <row r="51" spans="1:9" x14ac:dyDescent="0.25">
      <c r="B51" s="42" t="s">
        <v>57</v>
      </c>
      <c r="C51" s="43">
        <v>1000000</v>
      </c>
    </row>
    <row r="52" spans="1:9" x14ac:dyDescent="0.25">
      <c r="B52" t="s">
        <v>58</v>
      </c>
      <c r="C52" s="24">
        <f>+C50-C51</f>
        <v>2100000</v>
      </c>
    </row>
    <row r="53" spans="1:9" x14ac:dyDescent="0.25">
      <c r="B53" t="s">
        <v>59</v>
      </c>
      <c r="C53" s="24">
        <f>+C52/5</f>
        <v>420000</v>
      </c>
    </row>
    <row r="56" spans="1:9" x14ac:dyDescent="0.25">
      <c r="A56" s="62" t="s">
        <v>60</v>
      </c>
      <c r="B56" s="23" t="s">
        <v>76</v>
      </c>
    </row>
    <row r="57" spans="1:9" ht="15.75" thickBot="1" x14ac:dyDescent="0.3"/>
    <row r="58" spans="1:9" ht="15.75" thickBot="1" x14ac:dyDescent="0.3">
      <c r="A58" s="161"/>
      <c r="B58" s="162"/>
      <c r="C58" s="26" t="s">
        <v>63</v>
      </c>
      <c r="D58" s="26" t="s">
        <v>64</v>
      </c>
      <c r="H58" s="7" t="s">
        <v>61</v>
      </c>
      <c r="I58" s="32"/>
    </row>
    <row r="59" spans="1:9" ht="15.75" thickBot="1" x14ac:dyDescent="0.3">
      <c r="A59" s="165" t="s">
        <v>51</v>
      </c>
      <c r="B59" s="158"/>
      <c r="C59" s="27">
        <f>+I59*0.7+F71*0.1</f>
        <v>0</v>
      </c>
      <c r="D59" s="30"/>
      <c r="H59" s="12" t="s">
        <v>62</v>
      </c>
      <c r="I59" s="33"/>
    </row>
    <row r="60" spans="1:9" ht="15.75" thickBot="1" x14ac:dyDescent="0.3">
      <c r="A60" s="178" t="s">
        <v>65</v>
      </c>
      <c r="B60" s="179"/>
      <c r="C60" s="28"/>
      <c r="D60" s="31"/>
    </row>
    <row r="62" spans="1:9" ht="15.75" thickBot="1" x14ac:dyDescent="0.3"/>
    <row r="63" spans="1:9" ht="15.75" thickBot="1" x14ac:dyDescent="0.3">
      <c r="C63" s="161"/>
      <c r="D63" s="168"/>
      <c r="E63" s="162"/>
      <c r="F63" s="58" t="s">
        <v>51</v>
      </c>
      <c r="G63" s="37" t="s">
        <v>65</v>
      </c>
    </row>
    <row r="64" spans="1:9" x14ac:dyDescent="0.25">
      <c r="C64" s="169" t="s">
        <v>63</v>
      </c>
      <c r="D64" s="170"/>
      <c r="E64" s="171"/>
      <c r="F64" s="34"/>
      <c r="G64" s="27"/>
    </row>
    <row r="65" spans="1:8" x14ac:dyDescent="0.25">
      <c r="C65" s="169" t="s">
        <v>67</v>
      </c>
      <c r="D65" s="170"/>
      <c r="E65" s="171"/>
      <c r="F65" s="34"/>
      <c r="G65" s="34"/>
    </row>
    <row r="66" spans="1:8" x14ac:dyDescent="0.25">
      <c r="C66" s="172" t="s">
        <v>68</v>
      </c>
      <c r="D66" s="173"/>
      <c r="E66" s="174"/>
      <c r="F66" s="36"/>
      <c r="G66" s="38"/>
    </row>
    <row r="67" spans="1:8" x14ac:dyDescent="0.25">
      <c r="C67" s="169" t="s">
        <v>72</v>
      </c>
      <c r="D67" s="170"/>
      <c r="E67" s="171"/>
      <c r="F67" s="34"/>
      <c r="G67" s="25"/>
    </row>
    <row r="68" spans="1:8" x14ac:dyDescent="0.25">
      <c r="C68" s="169" t="s">
        <v>73</v>
      </c>
      <c r="D68" s="170"/>
      <c r="E68" s="171"/>
      <c r="F68" s="34"/>
      <c r="G68" s="25"/>
    </row>
    <row r="69" spans="1:8" x14ac:dyDescent="0.25">
      <c r="C69" s="172" t="s">
        <v>69</v>
      </c>
      <c r="D69" s="173"/>
      <c r="E69" s="174"/>
      <c r="F69" s="36"/>
      <c r="G69" s="39"/>
    </row>
    <row r="70" spans="1:8" x14ac:dyDescent="0.25">
      <c r="C70" s="169" t="s">
        <v>74</v>
      </c>
      <c r="D70" s="170"/>
      <c r="E70" s="171"/>
      <c r="F70" s="34"/>
      <c r="G70" s="25"/>
    </row>
    <row r="71" spans="1:8" x14ac:dyDescent="0.25">
      <c r="C71" s="172" t="s">
        <v>70</v>
      </c>
      <c r="D71" s="173"/>
      <c r="E71" s="174"/>
      <c r="F71" s="36"/>
      <c r="G71" s="39"/>
    </row>
    <row r="72" spans="1:8" x14ac:dyDescent="0.25">
      <c r="C72" s="169" t="s">
        <v>75</v>
      </c>
      <c r="D72" s="170"/>
      <c r="E72" s="171"/>
      <c r="F72" s="34"/>
      <c r="G72" s="27"/>
    </row>
    <row r="73" spans="1:8" ht="15.75" thickBot="1" x14ac:dyDescent="0.3">
      <c r="C73" s="175" t="s">
        <v>71</v>
      </c>
      <c r="D73" s="176"/>
      <c r="E73" s="177"/>
      <c r="F73" s="57"/>
      <c r="G73" s="44"/>
    </row>
    <row r="76" spans="1:8" x14ac:dyDescent="0.25">
      <c r="A76" s="62" t="s">
        <v>78</v>
      </c>
      <c r="B76" s="23" t="s">
        <v>77</v>
      </c>
    </row>
    <row r="77" spans="1:8" ht="15.75" thickBot="1" x14ac:dyDescent="0.3"/>
    <row r="78" spans="1:8" ht="15.75" thickBot="1" x14ac:dyDescent="0.3">
      <c r="C78" s="161"/>
      <c r="D78" s="162"/>
      <c r="E78" s="161" t="s">
        <v>17</v>
      </c>
      <c r="F78" s="162"/>
      <c r="G78" s="161" t="s">
        <v>79</v>
      </c>
      <c r="H78" s="162"/>
    </row>
    <row r="79" spans="1:8" x14ac:dyDescent="0.25">
      <c r="C79" s="165" t="s">
        <v>80</v>
      </c>
      <c r="D79" s="158"/>
      <c r="E79" s="157"/>
      <c r="F79" s="158"/>
      <c r="G79" s="157"/>
      <c r="H79" s="158"/>
    </row>
    <row r="80" spans="1:8" x14ac:dyDescent="0.25">
      <c r="C80" s="165" t="s">
        <v>81</v>
      </c>
      <c r="D80" s="158"/>
      <c r="E80" s="157"/>
      <c r="F80" s="158"/>
      <c r="G80" s="157"/>
      <c r="H80" s="158"/>
    </row>
    <row r="81" spans="1:9" x14ac:dyDescent="0.25">
      <c r="C81" s="166" t="s">
        <v>82</v>
      </c>
      <c r="D81" s="164"/>
      <c r="E81" s="163"/>
      <c r="F81" s="164"/>
      <c r="G81" s="163"/>
      <c r="H81" s="164"/>
    </row>
    <row r="82" spans="1:9" x14ac:dyDescent="0.25">
      <c r="C82" s="165" t="s">
        <v>83</v>
      </c>
      <c r="D82" s="158"/>
      <c r="E82" s="157"/>
      <c r="F82" s="158"/>
      <c r="G82" s="157"/>
      <c r="H82" s="158"/>
    </row>
    <row r="83" spans="1:9" x14ac:dyDescent="0.25">
      <c r="C83" s="166" t="s">
        <v>84</v>
      </c>
      <c r="D83" s="164"/>
      <c r="E83" s="163"/>
      <c r="F83" s="164"/>
      <c r="G83" s="163"/>
      <c r="H83" s="164"/>
    </row>
    <row r="84" spans="1:9" x14ac:dyDescent="0.25">
      <c r="C84" s="165" t="s">
        <v>85</v>
      </c>
      <c r="D84" s="158"/>
      <c r="E84" s="157"/>
      <c r="F84" s="158"/>
      <c r="G84" s="157"/>
      <c r="H84" s="158"/>
    </row>
    <row r="85" spans="1:9" ht="15.75" thickBot="1" x14ac:dyDescent="0.3">
      <c r="C85" s="167" t="s">
        <v>86</v>
      </c>
      <c r="D85" s="160"/>
      <c r="E85" s="159"/>
      <c r="F85" s="160"/>
      <c r="G85" s="159"/>
      <c r="H85" s="160"/>
    </row>
    <row r="86" spans="1:9" ht="15.75" thickBot="1" x14ac:dyDescent="0.3"/>
    <row r="87" spans="1:9" ht="15.75" thickBot="1" x14ac:dyDescent="0.3">
      <c r="G87" s="45" t="s">
        <v>90</v>
      </c>
      <c r="H87" s="47">
        <f>+G85*3+E85</f>
        <v>0</v>
      </c>
    </row>
    <row r="90" spans="1:9" x14ac:dyDescent="0.25">
      <c r="A90" s="62" t="s">
        <v>92</v>
      </c>
      <c r="B90" s="23" t="s">
        <v>91</v>
      </c>
    </row>
    <row r="91" spans="1:9" ht="15.75" thickBot="1" x14ac:dyDescent="0.3"/>
    <row r="92" spans="1:9" ht="15.75" thickBot="1" x14ac:dyDescent="0.3">
      <c r="C92" s="151"/>
      <c r="D92" s="152"/>
      <c r="E92" s="153"/>
      <c r="F92" s="148" t="s">
        <v>93</v>
      </c>
      <c r="G92" s="149"/>
      <c r="H92" s="150" t="s">
        <v>94</v>
      </c>
      <c r="I92" s="149"/>
    </row>
    <row r="93" spans="1:9" ht="18.600000000000001" customHeight="1" thickBot="1" x14ac:dyDescent="0.3">
      <c r="C93" s="154"/>
      <c r="D93" s="155"/>
      <c r="E93" s="156"/>
      <c r="F93" s="49" t="s">
        <v>17</v>
      </c>
      <c r="G93" s="53" t="s">
        <v>95</v>
      </c>
      <c r="H93" s="49" t="s">
        <v>17</v>
      </c>
      <c r="I93" s="49" t="s">
        <v>95</v>
      </c>
    </row>
    <row r="94" spans="1:9" ht="15.75" thickBot="1" x14ac:dyDescent="0.3">
      <c r="C94" s="140" t="s">
        <v>96</v>
      </c>
      <c r="D94" s="141"/>
      <c r="E94" s="144"/>
      <c r="F94" s="55"/>
      <c r="G94" s="55"/>
      <c r="H94" s="55"/>
      <c r="I94" s="55"/>
    </row>
    <row r="95" spans="1:9" ht="15.75" thickBot="1" x14ac:dyDescent="0.3">
      <c r="C95" s="140" t="s">
        <v>97</v>
      </c>
      <c r="D95" s="141"/>
      <c r="E95" s="144"/>
      <c r="F95" s="56"/>
      <c r="G95" s="56"/>
      <c r="H95" s="55"/>
      <c r="I95" s="56"/>
    </row>
    <row r="96" spans="1:9" ht="15.75" thickBot="1" x14ac:dyDescent="0.3">
      <c r="C96" s="140" t="s">
        <v>98</v>
      </c>
      <c r="D96" s="141"/>
      <c r="E96" s="144"/>
      <c r="F96" s="55"/>
      <c r="G96" s="55"/>
      <c r="H96" s="55"/>
      <c r="I96" s="56"/>
    </row>
    <row r="97" spans="1:9" ht="15.75" thickBot="1" x14ac:dyDescent="0.3">
      <c r="C97" s="145" t="s">
        <v>99</v>
      </c>
      <c r="D97" s="146"/>
      <c r="E97" s="147"/>
      <c r="F97" s="51"/>
      <c r="G97" s="51"/>
      <c r="H97" s="51"/>
      <c r="I97" s="51"/>
    </row>
    <row r="98" spans="1:9" ht="15.75" thickBot="1" x14ac:dyDescent="0.3">
      <c r="C98" s="140" t="s">
        <v>100</v>
      </c>
      <c r="D98" s="141"/>
      <c r="E98" s="144"/>
      <c r="F98" s="55"/>
      <c r="G98" s="56"/>
      <c r="H98" s="55"/>
      <c r="I98" s="56"/>
    </row>
    <row r="99" spans="1:9" ht="15.75" thickBot="1" x14ac:dyDescent="0.3">
      <c r="C99" s="145" t="s">
        <v>101</v>
      </c>
      <c r="D99" s="146"/>
      <c r="E99" s="147"/>
      <c r="F99" s="51"/>
      <c r="G99" s="51"/>
      <c r="H99" s="51"/>
      <c r="I99" s="51"/>
    </row>
    <row r="100" spans="1:9" ht="15.75" thickBot="1" x14ac:dyDescent="0.3">
      <c r="C100" s="140" t="s">
        <v>102</v>
      </c>
      <c r="D100" s="141"/>
      <c r="E100" s="144"/>
      <c r="F100" s="55"/>
      <c r="G100" s="55"/>
      <c r="H100" s="55"/>
      <c r="I100" s="55"/>
    </row>
    <row r="101" spans="1:9" ht="15.75" thickBot="1" x14ac:dyDescent="0.3">
      <c r="C101" s="131" t="s">
        <v>103</v>
      </c>
      <c r="D101" s="132"/>
      <c r="E101" s="133"/>
      <c r="F101" s="73"/>
      <c r="G101" s="73"/>
      <c r="H101" s="73"/>
      <c r="I101" s="73"/>
    </row>
    <row r="102" spans="1:9" ht="15.75" thickBot="1" x14ac:dyDescent="0.3">
      <c r="C102" s="134" t="s">
        <v>104</v>
      </c>
      <c r="D102" s="135"/>
      <c r="E102" s="136"/>
      <c r="F102" s="54"/>
      <c r="G102" s="52"/>
      <c r="H102" s="52"/>
      <c r="I102" s="52"/>
    </row>
    <row r="103" spans="1:9" ht="15.75" thickBot="1" x14ac:dyDescent="0.3"/>
    <row r="104" spans="1:9" ht="15.75" thickBot="1" x14ac:dyDescent="0.3">
      <c r="C104" s="45" t="s">
        <v>108</v>
      </c>
      <c r="D104" s="61" t="e">
        <f>+F101/(I58-H101)</f>
        <v>#DIV/0!</v>
      </c>
      <c r="F104" s="7" t="s">
        <v>105</v>
      </c>
      <c r="G104" s="8"/>
      <c r="H104" s="9"/>
    </row>
    <row r="105" spans="1:9" x14ac:dyDescent="0.25">
      <c r="F105" s="10"/>
      <c r="G105" t="s">
        <v>106</v>
      </c>
      <c r="H105" s="59"/>
    </row>
    <row r="106" spans="1:9" ht="15.75" thickBot="1" x14ac:dyDescent="0.3">
      <c r="F106" s="12"/>
      <c r="G106" s="13" t="s">
        <v>107</v>
      </c>
      <c r="H106" s="60"/>
    </row>
    <row r="109" spans="1:9" x14ac:dyDescent="0.25">
      <c r="A109" s="62" t="s">
        <v>110</v>
      </c>
      <c r="B109" s="23" t="s">
        <v>109</v>
      </c>
    </row>
    <row r="110" spans="1:9" ht="15.75" thickBot="1" x14ac:dyDescent="0.3"/>
    <row r="111" spans="1:9" ht="15.75" thickBot="1" x14ac:dyDescent="0.3">
      <c r="C111" s="137" t="s">
        <v>24</v>
      </c>
      <c r="D111" s="138"/>
      <c r="E111" s="139"/>
      <c r="F111" s="66" t="s">
        <v>17</v>
      </c>
      <c r="G111" s="65" t="s">
        <v>95</v>
      </c>
    </row>
    <row r="112" spans="1:9" x14ac:dyDescent="0.25">
      <c r="C112" s="140" t="s">
        <v>117</v>
      </c>
      <c r="D112" s="141"/>
      <c r="E112" s="141"/>
      <c r="F112" s="67"/>
      <c r="G112" s="68"/>
    </row>
    <row r="113" spans="1:9" x14ac:dyDescent="0.25">
      <c r="C113" s="140" t="s">
        <v>118</v>
      </c>
      <c r="D113" s="141"/>
      <c r="E113" s="141"/>
      <c r="F113" s="69"/>
      <c r="G113" s="70"/>
    </row>
    <row r="114" spans="1:9" ht="15.75" thickBot="1" x14ac:dyDescent="0.3">
      <c r="C114" s="142" t="s">
        <v>111</v>
      </c>
      <c r="D114" s="143"/>
      <c r="E114" s="143"/>
      <c r="F114" s="71"/>
      <c r="G114" s="71"/>
    </row>
    <row r="115" spans="1:9" ht="15.75" thickBot="1" x14ac:dyDescent="0.3"/>
    <row r="116" spans="1:9" ht="26.25" thickBot="1" x14ac:dyDescent="0.3">
      <c r="C116" s="63" t="s">
        <v>112</v>
      </c>
      <c r="D116" s="48" t="s">
        <v>113</v>
      </c>
      <c r="E116" s="48" t="s">
        <v>116</v>
      </c>
      <c r="F116" s="48" t="s">
        <v>114</v>
      </c>
      <c r="G116" s="64" t="s">
        <v>115</v>
      </c>
    </row>
    <row r="117" spans="1:9" ht="15.75" thickBot="1" x14ac:dyDescent="0.3">
      <c r="C117" s="50" t="s">
        <v>16</v>
      </c>
      <c r="D117" s="55"/>
      <c r="E117" s="56"/>
      <c r="F117" s="56"/>
      <c r="G117" s="40"/>
    </row>
    <row r="118" spans="1:9" ht="15.75" thickBot="1" x14ac:dyDescent="0.3">
      <c r="C118" s="50" t="s">
        <v>17</v>
      </c>
      <c r="D118" s="55"/>
      <c r="E118" s="55"/>
      <c r="F118" s="55"/>
      <c r="G118" s="41"/>
    </row>
    <row r="119" spans="1:9" ht="15.75" thickBot="1" x14ac:dyDescent="0.3">
      <c r="C119" s="50" t="s">
        <v>36</v>
      </c>
      <c r="D119" s="55"/>
      <c r="E119" s="55"/>
      <c r="F119" s="55"/>
      <c r="G119" s="40"/>
    </row>
    <row r="120" spans="1:9" ht="15.75" thickBot="1" x14ac:dyDescent="0.3">
      <c r="C120" s="50" t="s">
        <v>87</v>
      </c>
      <c r="D120" s="55"/>
      <c r="E120" s="55"/>
      <c r="F120" s="55"/>
      <c r="G120" s="41"/>
    </row>
    <row r="121" spans="1:9" ht="15.75" thickBot="1" x14ac:dyDescent="0.3">
      <c r="C121" s="50" t="s">
        <v>88</v>
      </c>
      <c r="D121" s="56"/>
      <c r="E121" s="55"/>
      <c r="F121" s="56"/>
      <c r="G121" s="41"/>
    </row>
    <row r="124" spans="1:9" x14ac:dyDescent="0.25">
      <c r="A124" s="62" t="s">
        <v>120</v>
      </c>
      <c r="B124" s="23" t="s">
        <v>119</v>
      </c>
      <c r="G124" t="s">
        <v>128</v>
      </c>
    </row>
    <row r="125" spans="1:9" ht="15.75" thickBot="1" x14ac:dyDescent="0.3"/>
    <row r="126" spans="1:9" ht="26.25" thickBot="1" x14ac:dyDescent="0.3">
      <c r="C126" s="63" t="s">
        <v>121</v>
      </c>
      <c r="D126" s="48" t="s">
        <v>2</v>
      </c>
      <c r="E126" s="48" t="s">
        <v>122</v>
      </c>
      <c r="F126" s="48" t="s">
        <v>123</v>
      </c>
      <c r="G126" s="48" t="s">
        <v>124</v>
      </c>
      <c r="H126" s="48" t="s">
        <v>125</v>
      </c>
      <c r="I126" s="48" t="s">
        <v>126</v>
      </c>
    </row>
    <row r="127" spans="1:9" ht="15.75" thickBot="1" x14ac:dyDescent="0.3">
      <c r="C127" s="50" t="s">
        <v>16</v>
      </c>
      <c r="D127" s="55"/>
      <c r="E127" s="55"/>
      <c r="F127" s="55"/>
      <c r="G127" s="56"/>
      <c r="H127" s="56"/>
      <c r="I127" s="55">
        <f>+SUM(D127:H127)</f>
        <v>0</v>
      </c>
    </row>
    <row r="128" spans="1:9" ht="15.75" thickBot="1" x14ac:dyDescent="0.3">
      <c r="C128" s="50" t="s">
        <v>17</v>
      </c>
      <c r="D128" s="55"/>
      <c r="E128" s="55"/>
      <c r="F128" s="55"/>
      <c r="G128" s="55"/>
      <c r="H128" s="55"/>
      <c r="I128" s="55">
        <f t="shared" ref="I128:I131" si="0">+SUM(D128:H128)</f>
        <v>0</v>
      </c>
    </row>
    <row r="129" spans="3:10" ht="15.75" thickBot="1" x14ac:dyDescent="0.3">
      <c r="C129" s="50" t="s">
        <v>36</v>
      </c>
      <c r="D129" s="56"/>
      <c r="E129" s="56"/>
      <c r="F129" s="56"/>
      <c r="G129" s="55"/>
      <c r="H129" s="55"/>
      <c r="I129" s="55">
        <f t="shared" si="0"/>
        <v>0</v>
      </c>
    </row>
    <row r="130" spans="3:10" ht="15.75" thickBot="1" x14ac:dyDescent="0.3">
      <c r="C130" s="50" t="s">
        <v>87</v>
      </c>
      <c r="D130" s="56"/>
      <c r="E130" s="56"/>
      <c r="F130" s="56"/>
      <c r="G130" s="55"/>
      <c r="H130" s="55"/>
      <c r="I130" s="55">
        <f t="shared" si="0"/>
        <v>0</v>
      </c>
    </row>
    <row r="131" spans="3:10" ht="15.75" thickBot="1" x14ac:dyDescent="0.3">
      <c r="C131" s="50" t="s">
        <v>88</v>
      </c>
      <c r="D131" s="55"/>
      <c r="E131" s="55"/>
      <c r="F131" s="56"/>
      <c r="G131" s="55"/>
      <c r="H131" s="55"/>
      <c r="I131" s="55">
        <f t="shared" si="0"/>
        <v>0</v>
      </c>
    </row>
    <row r="132" spans="3:10" x14ac:dyDescent="0.25">
      <c r="C132" s="72" t="s">
        <v>127</v>
      </c>
      <c r="D132" s="74">
        <f>+SUM(D127:D131)</f>
        <v>0</v>
      </c>
      <c r="E132" s="74">
        <f t="shared" ref="E132:I132" si="1">+SUM(E127:E131)</f>
        <v>0</v>
      </c>
      <c r="F132" s="74">
        <f t="shared" si="1"/>
        <v>0</v>
      </c>
      <c r="G132" s="74">
        <f t="shared" si="1"/>
        <v>0</v>
      </c>
      <c r="H132" s="74">
        <f t="shared" si="1"/>
        <v>0</v>
      </c>
      <c r="I132" s="74">
        <f t="shared" si="1"/>
        <v>0</v>
      </c>
    </row>
    <row r="133" spans="3:10" x14ac:dyDescent="0.25">
      <c r="G133" s="24"/>
    </row>
    <row r="134" spans="3:10" ht="15.75" thickBot="1" x14ac:dyDescent="0.3">
      <c r="E134" t="s">
        <v>129</v>
      </c>
    </row>
    <row r="135" spans="3:10" ht="15.75" thickBot="1" x14ac:dyDescent="0.3">
      <c r="I135" s="40" t="s">
        <v>130</v>
      </c>
      <c r="J135" s="40"/>
    </row>
    <row r="136" spans="3:10" ht="39" thickBot="1" x14ac:dyDescent="0.3">
      <c r="C136" s="63" t="s">
        <v>131</v>
      </c>
      <c r="D136" s="48" t="s">
        <v>132</v>
      </c>
      <c r="E136" s="48" t="s">
        <v>133</v>
      </c>
      <c r="F136" s="48" t="s">
        <v>114</v>
      </c>
      <c r="G136" s="48" t="s">
        <v>134</v>
      </c>
      <c r="I136" s="64" t="s">
        <v>135</v>
      </c>
      <c r="J136" s="64" t="s">
        <v>136</v>
      </c>
    </row>
    <row r="137" spans="3:10" ht="15.75" thickBot="1" x14ac:dyDescent="0.3">
      <c r="C137" s="50" t="s">
        <v>16</v>
      </c>
      <c r="D137" s="56"/>
      <c r="E137" s="56"/>
      <c r="F137" s="56"/>
      <c r="G137" s="78">
        <v>0</v>
      </c>
      <c r="I137" s="41">
        <f>+G137-I127</f>
        <v>0</v>
      </c>
      <c r="J137" s="41">
        <f>+I137</f>
        <v>0</v>
      </c>
    </row>
    <row r="138" spans="3:10" ht="15.75" thickBot="1" x14ac:dyDescent="0.3">
      <c r="C138" s="50" t="s">
        <v>17</v>
      </c>
      <c r="D138" s="55"/>
      <c r="E138" s="55"/>
      <c r="F138" s="55"/>
      <c r="G138" s="78">
        <f>+SUM(D138:F138)</f>
        <v>0</v>
      </c>
      <c r="I138" s="41">
        <f>+G138-I128</f>
        <v>0</v>
      </c>
      <c r="J138" s="41">
        <f>+J137+I138</f>
        <v>0</v>
      </c>
    </row>
    <row r="139" spans="3:10" ht="15.75" thickBot="1" x14ac:dyDescent="0.3">
      <c r="C139" s="50" t="s">
        <v>36</v>
      </c>
      <c r="D139" s="55"/>
      <c r="E139" s="55"/>
      <c r="F139" s="55"/>
      <c r="G139" s="78">
        <f t="shared" ref="G139:G141" si="2">+SUM(D139:F139)</f>
        <v>0</v>
      </c>
      <c r="I139" s="41">
        <f t="shared" ref="I139:I141" si="3">+G139-I129</f>
        <v>0</v>
      </c>
      <c r="J139" s="41">
        <f t="shared" ref="J139:J141" si="4">+J138+I139</f>
        <v>0</v>
      </c>
    </row>
    <row r="140" spans="3:10" ht="15.75" thickBot="1" x14ac:dyDescent="0.3">
      <c r="C140" s="50" t="s">
        <v>87</v>
      </c>
      <c r="D140" s="55"/>
      <c r="E140" s="55"/>
      <c r="F140" s="55"/>
      <c r="G140" s="78">
        <f t="shared" si="2"/>
        <v>0</v>
      </c>
      <c r="I140" s="41">
        <f t="shared" si="3"/>
        <v>0</v>
      </c>
      <c r="J140" s="41">
        <f t="shared" si="4"/>
        <v>0</v>
      </c>
    </row>
    <row r="141" spans="3:10" ht="15.75" thickBot="1" x14ac:dyDescent="0.3">
      <c r="C141" s="50" t="s">
        <v>88</v>
      </c>
      <c r="D141" s="55"/>
      <c r="E141" s="55"/>
      <c r="F141" s="55"/>
      <c r="G141" s="78">
        <f t="shared" si="2"/>
        <v>0</v>
      </c>
      <c r="I141" s="41">
        <f t="shared" si="3"/>
        <v>0</v>
      </c>
      <c r="J141" s="41">
        <f t="shared" si="4"/>
        <v>0</v>
      </c>
    </row>
    <row r="142" spans="3:10" ht="15.75" thickBot="1" x14ac:dyDescent="0.3">
      <c r="C142" s="72" t="s">
        <v>127</v>
      </c>
      <c r="D142" s="77">
        <f>SUM(D137:D141)</f>
        <v>0</v>
      </c>
      <c r="E142" s="74">
        <f t="shared" ref="E142:G142" si="5">SUM(E137:E141)</f>
        <v>0</v>
      </c>
      <c r="F142" s="76">
        <f t="shared" si="5"/>
        <v>0</v>
      </c>
      <c r="G142" s="75">
        <f t="shared" si="5"/>
        <v>0</v>
      </c>
    </row>
    <row r="143" spans="3:10" ht="15.75" thickBot="1" x14ac:dyDescent="0.3">
      <c r="I143" s="45" t="s">
        <v>137</v>
      </c>
      <c r="J143" s="47">
        <f>+G142-I132</f>
        <v>0</v>
      </c>
    </row>
    <row r="144" spans="3:10" ht="15.75" thickBot="1" x14ac:dyDescent="0.3"/>
    <row r="145" spans="3:10" ht="15.75" thickBot="1" x14ac:dyDescent="0.3">
      <c r="C145" s="79" t="s">
        <v>138</v>
      </c>
      <c r="D145" s="46" t="s">
        <v>139</v>
      </c>
      <c r="E145" s="80"/>
      <c r="I145" s="45" t="s">
        <v>90</v>
      </c>
      <c r="J145" s="47">
        <f>+H87</f>
        <v>0</v>
      </c>
    </row>
    <row r="147" spans="3:10" x14ac:dyDescent="0.25">
      <c r="C147" t="s">
        <v>140</v>
      </c>
      <c r="D147" s="2">
        <v>0.15</v>
      </c>
    </row>
    <row r="149" spans="3:10" x14ac:dyDescent="0.25">
      <c r="C149" t="s">
        <v>141</v>
      </c>
      <c r="D149" s="3"/>
      <c r="E149" s="24">
        <f>I137</f>
        <v>0</v>
      </c>
    </row>
    <row r="150" spans="3:10" ht="15.75" thickBot="1" x14ac:dyDescent="0.3"/>
    <row r="151" spans="3:10" ht="15.75" thickBot="1" x14ac:dyDescent="0.3">
      <c r="C151" s="45" t="s">
        <v>141</v>
      </c>
      <c r="D151" s="81"/>
    </row>
    <row r="152" spans="3:10" ht="15.75" thickBot="1" x14ac:dyDescent="0.3"/>
    <row r="153" spans="3:10" ht="15.75" thickBot="1" x14ac:dyDescent="0.3">
      <c r="C153" s="45" t="s">
        <v>142</v>
      </c>
      <c r="D153" s="82"/>
    </row>
  </sheetData>
  <mergeCells count="115">
    <mergeCell ref="B3:H3"/>
    <mergeCell ref="I3:J3"/>
    <mergeCell ref="B4:H4"/>
    <mergeCell ref="I4:J4"/>
    <mergeCell ref="B5:H5"/>
    <mergeCell ref="I5:J5"/>
    <mergeCell ref="B9:H9"/>
    <mergeCell ref="I9:J9"/>
    <mergeCell ref="B10:H10"/>
    <mergeCell ref="I10:J10"/>
    <mergeCell ref="B11:H11"/>
    <mergeCell ref="I11:J11"/>
    <mergeCell ref="B6:H6"/>
    <mergeCell ref="I6:J6"/>
    <mergeCell ref="B7:H7"/>
    <mergeCell ref="I7:J7"/>
    <mergeCell ref="B8:H8"/>
    <mergeCell ref="I8:J8"/>
    <mergeCell ref="B17:G17"/>
    <mergeCell ref="H17:K17"/>
    <mergeCell ref="B18:G18"/>
    <mergeCell ref="H18:K18"/>
    <mergeCell ref="B19:G19"/>
    <mergeCell ref="H19:K19"/>
    <mergeCell ref="B12:H12"/>
    <mergeCell ref="I12:J12"/>
    <mergeCell ref="B13:H13"/>
    <mergeCell ref="I13:J13"/>
    <mergeCell ref="B14:H14"/>
    <mergeCell ref="I14:J14"/>
    <mergeCell ref="B23:G23"/>
    <mergeCell ref="H23:K23"/>
    <mergeCell ref="B24:G24"/>
    <mergeCell ref="H24:K24"/>
    <mergeCell ref="B25:G25"/>
    <mergeCell ref="H25:K25"/>
    <mergeCell ref="B20:G20"/>
    <mergeCell ref="H20:K20"/>
    <mergeCell ref="B21:G21"/>
    <mergeCell ref="H21:K21"/>
    <mergeCell ref="B22:G22"/>
    <mergeCell ref="H22:K22"/>
    <mergeCell ref="C33:G33"/>
    <mergeCell ref="C34:G34"/>
    <mergeCell ref="C35:G35"/>
    <mergeCell ref="C36:G36"/>
    <mergeCell ref="C37:G37"/>
    <mergeCell ref="C38:G38"/>
    <mergeCell ref="B26:G26"/>
    <mergeCell ref="H26:K26"/>
    <mergeCell ref="B27:G27"/>
    <mergeCell ref="H27:K27"/>
    <mergeCell ref="C31:G31"/>
    <mergeCell ref="C32:G32"/>
    <mergeCell ref="D45:G45"/>
    <mergeCell ref="A58:B58"/>
    <mergeCell ref="A59:B59"/>
    <mergeCell ref="A60:B60"/>
    <mergeCell ref="C63:E63"/>
    <mergeCell ref="C64:E64"/>
    <mergeCell ref="C39:G39"/>
    <mergeCell ref="C40:G40"/>
    <mergeCell ref="C41:G41"/>
    <mergeCell ref="C42:G42"/>
    <mergeCell ref="D43:G43"/>
    <mergeCell ref="D44:G44"/>
    <mergeCell ref="C71:E71"/>
    <mergeCell ref="C72:E72"/>
    <mergeCell ref="C73:E73"/>
    <mergeCell ref="C78:D78"/>
    <mergeCell ref="E78:F78"/>
    <mergeCell ref="G78:H78"/>
    <mergeCell ref="C65:E65"/>
    <mergeCell ref="C66:E66"/>
    <mergeCell ref="C67:E67"/>
    <mergeCell ref="C68:E68"/>
    <mergeCell ref="C69:E69"/>
    <mergeCell ref="C70:E70"/>
    <mergeCell ref="C81:D81"/>
    <mergeCell ref="E81:F81"/>
    <mergeCell ref="G81:H81"/>
    <mergeCell ref="C82:D82"/>
    <mergeCell ref="E82:F82"/>
    <mergeCell ref="G82:H82"/>
    <mergeCell ref="C79:D79"/>
    <mergeCell ref="E79:F79"/>
    <mergeCell ref="G79:H79"/>
    <mergeCell ref="C80:D80"/>
    <mergeCell ref="E80:F80"/>
    <mergeCell ref="G80:H80"/>
    <mergeCell ref="C85:D85"/>
    <mergeCell ref="E85:F85"/>
    <mergeCell ref="G85:H85"/>
    <mergeCell ref="C92:E93"/>
    <mergeCell ref="F92:G92"/>
    <mergeCell ref="H92:I92"/>
    <mergeCell ref="C83:D83"/>
    <mergeCell ref="E83:F83"/>
    <mergeCell ref="G83:H83"/>
    <mergeCell ref="C84:D84"/>
    <mergeCell ref="E84:F84"/>
    <mergeCell ref="G84:H84"/>
    <mergeCell ref="C114:E114"/>
    <mergeCell ref="C100:E100"/>
    <mergeCell ref="C101:E101"/>
    <mergeCell ref="C102:E102"/>
    <mergeCell ref="C111:E111"/>
    <mergeCell ref="C112:E112"/>
    <mergeCell ref="C113:E113"/>
    <mergeCell ref="C94:E94"/>
    <mergeCell ref="C95:E95"/>
    <mergeCell ref="C96:E96"/>
    <mergeCell ref="C97:E97"/>
    <mergeCell ref="C98:E98"/>
    <mergeCell ref="C99:E9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0ADB1-D9A5-4FBD-BBEC-9598E65A22E9}">
  <dimension ref="A1:N118"/>
  <sheetViews>
    <sheetView topLeftCell="A82" zoomScale="90" zoomScaleNormal="90" workbookViewId="0">
      <selection activeCell="L61" sqref="L61"/>
    </sheetView>
  </sheetViews>
  <sheetFormatPr baseColWidth="10" defaultColWidth="9.140625" defaultRowHeight="15" x14ac:dyDescent="0.25"/>
  <cols>
    <col min="3" max="3" width="14.140625" customWidth="1"/>
    <col min="4" max="4" width="15" customWidth="1"/>
    <col min="5" max="5" width="16.28515625" customWidth="1"/>
    <col min="6" max="6" width="12.140625" customWidth="1"/>
    <col min="7" max="7" width="14.140625" customWidth="1"/>
    <col min="8" max="9" width="15" customWidth="1"/>
    <col min="10" max="10" width="15.140625" customWidth="1"/>
    <col min="11" max="11" width="12.42578125" customWidth="1"/>
    <col min="13" max="13" width="11.140625" bestFit="1" customWidth="1"/>
  </cols>
  <sheetData>
    <row r="1" spans="1:14" x14ac:dyDescent="0.25">
      <c r="A1" t="s">
        <v>143</v>
      </c>
    </row>
    <row r="2" spans="1:14" ht="15.75" thickBot="1" x14ac:dyDescent="0.3"/>
    <row r="3" spans="1:14" x14ac:dyDescent="0.25">
      <c r="B3" s="194" t="s">
        <v>144</v>
      </c>
      <c r="C3" s="195"/>
      <c r="D3" s="195"/>
      <c r="E3" s="195"/>
      <c r="F3" s="197"/>
      <c r="G3" s="86">
        <v>500000</v>
      </c>
      <c r="H3" t="s">
        <v>162</v>
      </c>
      <c r="I3" s="194" t="s">
        <v>153</v>
      </c>
      <c r="J3" s="195"/>
      <c r="K3" s="195"/>
      <c r="L3" s="197"/>
      <c r="M3" s="85">
        <v>0.105</v>
      </c>
    </row>
    <row r="4" spans="1:14" x14ac:dyDescent="0.25">
      <c r="B4" s="169" t="s">
        <v>145</v>
      </c>
      <c r="C4" s="170"/>
      <c r="D4" s="170"/>
      <c r="E4" s="170"/>
      <c r="F4" s="171"/>
      <c r="G4" s="87">
        <v>300000</v>
      </c>
      <c r="H4" t="s">
        <v>162</v>
      </c>
      <c r="I4" s="169" t="s">
        <v>154</v>
      </c>
      <c r="J4" s="170"/>
      <c r="K4" s="170"/>
      <c r="L4" s="171"/>
      <c r="M4" s="4">
        <v>0.21</v>
      </c>
    </row>
    <row r="5" spans="1:14" x14ac:dyDescent="0.25">
      <c r="B5" s="169" t="s">
        <v>146</v>
      </c>
      <c r="C5" s="170"/>
      <c r="D5" s="170"/>
      <c r="E5" s="170"/>
      <c r="F5" s="171"/>
      <c r="G5" s="88">
        <v>10000</v>
      </c>
      <c r="H5" t="s">
        <v>163</v>
      </c>
      <c r="I5" s="169" t="s">
        <v>155</v>
      </c>
      <c r="J5" s="170"/>
      <c r="K5" s="170"/>
      <c r="L5" s="171"/>
      <c r="M5" s="90">
        <v>10000</v>
      </c>
      <c r="N5" t="s">
        <v>164</v>
      </c>
    </row>
    <row r="6" spans="1:14" x14ac:dyDescent="0.25">
      <c r="B6" s="169" t="s">
        <v>147</v>
      </c>
      <c r="C6" s="170"/>
      <c r="D6" s="170"/>
      <c r="E6" s="170"/>
      <c r="F6" s="171"/>
      <c r="G6" s="89">
        <v>10000</v>
      </c>
      <c r="H6" t="s">
        <v>164</v>
      </c>
      <c r="I6" s="169" t="s">
        <v>156</v>
      </c>
      <c r="J6" s="170"/>
      <c r="K6" s="170"/>
      <c r="L6" s="171"/>
      <c r="M6" s="92">
        <v>15000</v>
      </c>
      <c r="N6" t="s">
        <v>165</v>
      </c>
    </row>
    <row r="7" spans="1:14" x14ac:dyDescent="0.25">
      <c r="B7" s="169" t="s">
        <v>148</v>
      </c>
      <c r="C7" s="170"/>
      <c r="D7" s="170"/>
      <c r="E7" s="170"/>
      <c r="F7" s="171"/>
      <c r="G7" s="91">
        <v>40000</v>
      </c>
      <c r="H7" t="s">
        <v>165</v>
      </c>
      <c r="I7" s="169" t="s">
        <v>157</v>
      </c>
      <c r="J7" s="170"/>
      <c r="K7" s="170"/>
      <c r="L7" s="171"/>
      <c r="M7" s="92">
        <v>30000</v>
      </c>
      <c r="N7" t="s">
        <v>165</v>
      </c>
    </row>
    <row r="8" spans="1:14" x14ac:dyDescent="0.25">
      <c r="B8" s="169" t="s">
        <v>149</v>
      </c>
      <c r="C8" s="170"/>
      <c r="D8" s="170"/>
      <c r="E8" s="170"/>
      <c r="F8" s="171"/>
      <c r="G8" s="91">
        <v>15000</v>
      </c>
      <c r="H8" t="s">
        <v>165</v>
      </c>
      <c r="I8" s="169" t="s">
        <v>124</v>
      </c>
      <c r="J8" s="170"/>
      <c r="K8" s="170"/>
      <c r="L8" s="171"/>
      <c r="M8" s="4">
        <v>0.1</v>
      </c>
    </row>
    <row r="9" spans="1:14" ht="15.75" thickBot="1" x14ac:dyDescent="0.3">
      <c r="B9" s="196" t="s">
        <v>7</v>
      </c>
      <c r="C9" s="190"/>
      <c r="D9" s="190"/>
      <c r="E9" s="190"/>
      <c r="F9" s="191"/>
      <c r="G9" s="84">
        <v>200000</v>
      </c>
      <c r="I9" s="196" t="s">
        <v>158</v>
      </c>
      <c r="J9" s="190"/>
      <c r="K9" s="190"/>
      <c r="L9" s="191"/>
      <c r="M9" s="5">
        <v>0.35</v>
      </c>
    </row>
    <row r="10" spans="1:14" ht="15.75" thickBot="1" x14ac:dyDescent="0.3"/>
    <row r="11" spans="1:14" x14ac:dyDescent="0.25">
      <c r="B11" s="7" t="s">
        <v>150</v>
      </c>
      <c r="C11" s="8"/>
      <c r="D11" s="8"/>
      <c r="E11" s="8"/>
      <c r="F11" s="7" t="s">
        <v>159</v>
      </c>
      <c r="G11" s="9"/>
      <c r="H11" s="8"/>
      <c r="I11" s="8"/>
      <c r="J11" s="8"/>
      <c r="K11" s="8"/>
      <c r="L11" s="9"/>
    </row>
    <row r="12" spans="1:14" x14ac:dyDescent="0.25">
      <c r="B12" s="10" t="s">
        <v>151</v>
      </c>
      <c r="F12" s="10" t="s">
        <v>160</v>
      </c>
      <c r="G12" s="35"/>
      <c r="L12" s="35"/>
    </row>
    <row r="13" spans="1:14" ht="15.75" thickBot="1" x14ac:dyDescent="0.3">
      <c r="B13" s="12" t="s">
        <v>152</v>
      </c>
      <c r="C13" s="13"/>
      <c r="D13" s="13"/>
      <c r="E13" s="13"/>
      <c r="F13" s="12" t="s">
        <v>161</v>
      </c>
      <c r="G13" s="111"/>
      <c r="H13" s="13"/>
      <c r="I13" s="13"/>
      <c r="J13" s="13"/>
      <c r="K13" s="13"/>
      <c r="L13" s="111"/>
    </row>
    <row r="18" spans="1:13" x14ac:dyDescent="0.25">
      <c r="A18" s="62" t="s">
        <v>38</v>
      </c>
      <c r="B18" s="23" t="s">
        <v>39</v>
      </c>
    </row>
    <row r="19" spans="1:13" ht="15.75" thickBot="1" x14ac:dyDescent="0.3"/>
    <row r="20" spans="1:13" ht="15.75" thickBot="1" x14ac:dyDescent="0.3">
      <c r="C20" s="161"/>
      <c r="D20" s="168"/>
      <c r="E20" s="168"/>
      <c r="F20" s="168"/>
      <c r="G20" s="162"/>
      <c r="H20" s="19" t="s">
        <v>50</v>
      </c>
      <c r="I20" s="19" t="s">
        <v>51</v>
      </c>
      <c r="J20" s="20" t="s">
        <v>52</v>
      </c>
    </row>
    <row r="21" spans="1:13" x14ac:dyDescent="0.25">
      <c r="C21" s="169" t="s">
        <v>40</v>
      </c>
      <c r="D21" s="170"/>
      <c r="E21" s="170"/>
      <c r="F21" s="170"/>
      <c r="G21" s="171"/>
      <c r="H21" s="17">
        <f>G3+G4</f>
        <v>800000</v>
      </c>
      <c r="I21" s="17">
        <f>G5</f>
        <v>10000</v>
      </c>
      <c r="J21" s="16">
        <f>H21+I21</f>
        <v>810000</v>
      </c>
    </row>
    <row r="22" spans="1:13" x14ac:dyDescent="0.25">
      <c r="C22" s="169" t="s">
        <v>166</v>
      </c>
      <c r="D22" s="170"/>
      <c r="E22" s="170"/>
      <c r="F22" s="170"/>
      <c r="G22" s="171"/>
      <c r="H22" s="17">
        <f>0.105*H21</f>
        <v>84000</v>
      </c>
      <c r="I22" s="17">
        <f t="shared" ref="I22:J22" si="0">0.105*I21</f>
        <v>1050</v>
      </c>
      <c r="J22" s="17">
        <f t="shared" si="0"/>
        <v>85050</v>
      </c>
    </row>
    <row r="23" spans="1:13" x14ac:dyDescent="0.25">
      <c r="C23" s="169" t="s">
        <v>42</v>
      </c>
      <c r="D23" s="170"/>
      <c r="E23" s="170"/>
      <c r="F23" s="170"/>
      <c r="G23" s="171"/>
      <c r="H23" s="17">
        <f>H21+H22</f>
        <v>884000</v>
      </c>
      <c r="I23" s="17">
        <f t="shared" ref="I23:J23" si="1">I21+I22</f>
        <v>11050</v>
      </c>
      <c r="J23" s="17">
        <f t="shared" si="1"/>
        <v>895050</v>
      </c>
    </row>
    <row r="24" spans="1:13" x14ac:dyDescent="0.25">
      <c r="C24" s="169"/>
      <c r="D24" s="170"/>
      <c r="E24" s="170"/>
      <c r="F24" s="170"/>
      <c r="G24" s="171"/>
      <c r="H24" s="17"/>
      <c r="I24" s="17"/>
      <c r="J24" s="16"/>
    </row>
    <row r="25" spans="1:13" x14ac:dyDescent="0.25">
      <c r="C25" s="169" t="s">
        <v>43</v>
      </c>
      <c r="D25" s="170"/>
      <c r="E25" s="170"/>
      <c r="F25" s="170"/>
      <c r="G25" s="171"/>
      <c r="H25" s="17"/>
      <c r="I25" s="17"/>
      <c r="J25" s="16">
        <f>G9</f>
        <v>200000</v>
      </c>
    </row>
    <row r="26" spans="1:13" x14ac:dyDescent="0.25">
      <c r="C26" s="169"/>
      <c r="D26" s="170"/>
      <c r="E26" s="170"/>
      <c r="F26" s="170"/>
      <c r="G26" s="171"/>
      <c r="H26" s="17"/>
      <c r="I26" s="17"/>
      <c r="J26" s="16"/>
    </row>
    <row r="27" spans="1:13" x14ac:dyDescent="0.25">
      <c r="C27" s="169" t="s">
        <v>44</v>
      </c>
      <c r="D27" s="170"/>
      <c r="E27" s="170"/>
      <c r="F27" s="170"/>
      <c r="G27" s="171"/>
      <c r="H27" s="17">
        <f>G6+M5</f>
        <v>20000</v>
      </c>
      <c r="I27" s="17">
        <f>G7+G8+M6+M7</f>
        <v>100000</v>
      </c>
      <c r="J27" s="16">
        <f>H27+I27</f>
        <v>120000</v>
      </c>
    </row>
    <row r="28" spans="1:13" x14ac:dyDescent="0.25">
      <c r="C28" s="169" t="s">
        <v>41</v>
      </c>
      <c r="D28" s="170"/>
      <c r="E28" s="170"/>
      <c r="F28" s="170"/>
      <c r="G28" s="171"/>
      <c r="H28" s="93">
        <f>0.21*M5</f>
        <v>2100</v>
      </c>
      <c r="I28" s="94">
        <f>0.21*(G8+M6+M7)</f>
        <v>12600</v>
      </c>
      <c r="J28" s="17">
        <f>H28+I28</f>
        <v>14700</v>
      </c>
      <c r="L28" s="95"/>
      <c r="M28" t="s">
        <v>167</v>
      </c>
    </row>
    <row r="29" spans="1:13" x14ac:dyDescent="0.25">
      <c r="C29" s="169" t="s">
        <v>42</v>
      </c>
      <c r="D29" s="170"/>
      <c r="E29" s="170"/>
      <c r="F29" s="170"/>
      <c r="G29" s="171"/>
      <c r="H29" s="17">
        <f>H27+H28</f>
        <v>22100</v>
      </c>
      <c r="I29" s="17">
        <f t="shared" ref="I29:J29" si="2">I27+I28</f>
        <v>112600</v>
      </c>
      <c r="J29" s="17">
        <f t="shared" si="2"/>
        <v>134700</v>
      </c>
      <c r="L29" s="96"/>
      <c r="M29" t="s">
        <v>168</v>
      </c>
    </row>
    <row r="30" spans="1:13" x14ac:dyDescent="0.25">
      <c r="C30" s="169"/>
      <c r="D30" s="170"/>
      <c r="E30" s="170"/>
      <c r="F30" s="170"/>
      <c r="G30" s="171"/>
      <c r="H30" s="17"/>
      <c r="I30" s="17"/>
      <c r="J30" s="16"/>
    </row>
    <row r="31" spans="1:13" x14ac:dyDescent="0.25">
      <c r="C31" s="169" t="s">
        <v>45</v>
      </c>
      <c r="D31" s="170"/>
      <c r="E31" s="170"/>
      <c r="F31" s="170"/>
      <c r="G31" s="171"/>
      <c r="H31" s="17"/>
      <c r="I31" s="17"/>
      <c r="J31" s="16"/>
    </row>
    <row r="32" spans="1:13" x14ac:dyDescent="0.25">
      <c r="C32" s="10"/>
      <c r="D32" s="170" t="s">
        <v>46</v>
      </c>
      <c r="E32" s="170"/>
      <c r="F32" s="170"/>
      <c r="G32" s="171"/>
      <c r="H32" s="17">
        <f>H21+H27</f>
        <v>820000</v>
      </c>
      <c r="I32" s="17">
        <f t="shared" ref="I32:J32" si="3">I21+I27</f>
        <v>110000</v>
      </c>
      <c r="J32" s="17">
        <f t="shared" si="3"/>
        <v>930000</v>
      </c>
    </row>
    <row r="33" spans="1:10" x14ac:dyDescent="0.25">
      <c r="C33" s="10"/>
      <c r="D33" s="170" t="s">
        <v>47</v>
      </c>
      <c r="E33" s="170"/>
      <c r="F33" s="170"/>
      <c r="G33" s="171"/>
      <c r="H33" s="17">
        <f>H22+H28</f>
        <v>86100</v>
      </c>
      <c r="I33" s="17">
        <f t="shared" ref="I33:J33" si="4">I22+I28</f>
        <v>13650</v>
      </c>
      <c r="J33" s="17">
        <f t="shared" si="4"/>
        <v>99750</v>
      </c>
    </row>
    <row r="34" spans="1:10" ht="15.75" thickBot="1" x14ac:dyDescent="0.3">
      <c r="C34" s="12"/>
      <c r="D34" s="190" t="s">
        <v>48</v>
      </c>
      <c r="E34" s="190"/>
      <c r="F34" s="190"/>
      <c r="G34" s="191"/>
      <c r="H34" s="18">
        <f>H32+H33</f>
        <v>906100</v>
      </c>
      <c r="I34" s="18">
        <f t="shared" ref="I34:J34" si="5">I32+I33</f>
        <v>123650</v>
      </c>
      <c r="J34" s="18">
        <f t="shared" si="5"/>
        <v>1029750</v>
      </c>
    </row>
    <row r="37" spans="1:10" x14ac:dyDescent="0.25">
      <c r="A37" s="62" t="s">
        <v>54</v>
      </c>
      <c r="B37" s="23" t="s">
        <v>55</v>
      </c>
    </row>
    <row r="39" spans="1:10" x14ac:dyDescent="0.25">
      <c r="B39" t="s">
        <v>56</v>
      </c>
      <c r="C39" s="24">
        <f>J21</f>
        <v>810000</v>
      </c>
    </row>
    <row r="40" spans="1:10" x14ac:dyDescent="0.25">
      <c r="B40" t="s">
        <v>57</v>
      </c>
      <c r="C40" s="24">
        <f>0.3*G3</f>
        <v>150000</v>
      </c>
    </row>
    <row r="41" spans="1:10" x14ac:dyDescent="0.25">
      <c r="B41" t="s">
        <v>169</v>
      </c>
      <c r="C41" s="24">
        <f>C39-C40</f>
        <v>660000</v>
      </c>
    </row>
    <row r="42" spans="1:10" x14ac:dyDescent="0.25">
      <c r="B42" t="s">
        <v>170</v>
      </c>
      <c r="C42" s="24">
        <f>C41/5</f>
        <v>132000</v>
      </c>
    </row>
    <row r="45" spans="1:10" x14ac:dyDescent="0.25">
      <c r="A45" s="62" t="s">
        <v>60</v>
      </c>
      <c r="B45" s="23" t="s">
        <v>77</v>
      </c>
    </row>
    <row r="46" spans="1:10" ht="15.75" thickBot="1" x14ac:dyDescent="0.3"/>
    <row r="47" spans="1:10" ht="15.75" thickBot="1" x14ac:dyDescent="0.3">
      <c r="C47" s="161"/>
      <c r="D47" s="168"/>
      <c r="E47" s="168"/>
      <c r="F47" s="161" t="s">
        <v>17</v>
      </c>
      <c r="G47" s="168"/>
      <c r="H47" s="15" t="s">
        <v>36</v>
      </c>
      <c r="I47" s="37" t="s">
        <v>171</v>
      </c>
    </row>
    <row r="48" spans="1:10" x14ac:dyDescent="0.25">
      <c r="C48" s="165" t="s">
        <v>80</v>
      </c>
      <c r="D48" s="186"/>
      <c r="E48" s="186"/>
      <c r="F48" s="202"/>
      <c r="G48" s="203"/>
      <c r="H48" s="104"/>
      <c r="I48" s="97"/>
    </row>
    <row r="49" spans="1:9" x14ac:dyDescent="0.25">
      <c r="C49" s="165" t="s">
        <v>81</v>
      </c>
      <c r="D49" s="186"/>
      <c r="E49" s="186"/>
      <c r="F49" s="202"/>
      <c r="G49" s="203"/>
      <c r="H49" s="104"/>
      <c r="I49" s="97"/>
    </row>
    <row r="50" spans="1:9" x14ac:dyDescent="0.25">
      <c r="C50" s="166" t="s">
        <v>82</v>
      </c>
      <c r="D50" s="204"/>
      <c r="E50" s="204"/>
      <c r="F50" s="180">
        <v>300000</v>
      </c>
      <c r="G50" s="193"/>
      <c r="H50" s="21">
        <v>400000</v>
      </c>
      <c r="I50" s="98">
        <v>500000</v>
      </c>
    </row>
    <row r="51" spans="1:9" x14ac:dyDescent="0.25">
      <c r="C51" s="165" t="s">
        <v>83</v>
      </c>
      <c r="D51" s="186"/>
      <c r="E51" s="186"/>
      <c r="F51" s="180">
        <f>-0.1*F50</f>
        <v>-30000</v>
      </c>
      <c r="G51" s="193"/>
      <c r="H51" s="101">
        <f>-0.1*H50</f>
        <v>-40000</v>
      </c>
      <c r="I51" s="103">
        <f>-0.1*I50</f>
        <v>-50000</v>
      </c>
    </row>
    <row r="52" spans="1:9" x14ac:dyDescent="0.25">
      <c r="C52" s="166" t="s">
        <v>84</v>
      </c>
      <c r="D52" s="204"/>
      <c r="E52" s="204"/>
      <c r="F52" s="180">
        <f>F50+F51</f>
        <v>270000</v>
      </c>
      <c r="G52" s="193"/>
      <c r="H52" s="101">
        <f>H50+H51</f>
        <v>360000</v>
      </c>
      <c r="I52" s="103">
        <f>I50+I51</f>
        <v>450000</v>
      </c>
    </row>
    <row r="53" spans="1:9" x14ac:dyDescent="0.25">
      <c r="C53" s="165" t="s">
        <v>85</v>
      </c>
      <c r="D53" s="186"/>
      <c r="E53" s="186"/>
      <c r="F53" s="180">
        <f>-0.35*F52</f>
        <v>-94500</v>
      </c>
      <c r="G53" s="193"/>
      <c r="H53" s="21">
        <f>-0.35*H52</f>
        <v>-125999.99999999999</v>
      </c>
      <c r="I53" s="98">
        <f>-0.35*I52</f>
        <v>-157500</v>
      </c>
    </row>
    <row r="54" spans="1:9" ht="15.75" thickBot="1" x14ac:dyDescent="0.3">
      <c r="C54" s="167" t="s">
        <v>86</v>
      </c>
      <c r="D54" s="205"/>
      <c r="E54" s="205"/>
      <c r="F54" s="200">
        <f>F52+F53</f>
        <v>175500</v>
      </c>
      <c r="G54" s="201"/>
      <c r="H54" s="99">
        <f>H52+H53</f>
        <v>234000</v>
      </c>
      <c r="I54" s="100">
        <f>I52+I53</f>
        <v>292500</v>
      </c>
    </row>
    <row r="55" spans="1:9" ht="15.75" thickBot="1" x14ac:dyDescent="0.3"/>
    <row r="56" spans="1:9" ht="15.75" thickBot="1" x14ac:dyDescent="0.3">
      <c r="H56" s="45" t="s">
        <v>90</v>
      </c>
      <c r="I56" s="47">
        <f>F54+H54+3*I54</f>
        <v>1287000</v>
      </c>
    </row>
    <row r="58" spans="1:9" x14ac:dyDescent="0.25">
      <c r="A58" s="62" t="s">
        <v>78</v>
      </c>
      <c r="B58" s="23" t="s">
        <v>109</v>
      </c>
    </row>
    <row r="59" spans="1:9" ht="15.75" thickBot="1" x14ac:dyDescent="0.3"/>
    <row r="60" spans="1:9" ht="30.75" thickBot="1" x14ac:dyDescent="0.3">
      <c r="C60" s="105" t="s">
        <v>112</v>
      </c>
      <c r="D60" s="106" t="s">
        <v>113</v>
      </c>
      <c r="E60" s="106" t="s">
        <v>116</v>
      </c>
      <c r="F60" s="106" t="s">
        <v>114</v>
      </c>
      <c r="G60" s="105" t="s">
        <v>115</v>
      </c>
    </row>
    <row r="61" spans="1:9" ht="15" customHeight="1" thickBot="1" x14ac:dyDescent="0.3">
      <c r="C61" s="107" t="s">
        <v>16</v>
      </c>
      <c r="D61" s="108">
        <f>H33</f>
        <v>86100</v>
      </c>
      <c r="E61" s="109"/>
      <c r="F61" s="109"/>
      <c r="G61" s="40"/>
    </row>
    <row r="62" spans="1:9" ht="15.75" thickBot="1" x14ac:dyDescent="0.3">
      <c r="C62" s="107" t="s">
        <v>17</v>
      </c>
      <c r="D62" s="108">
        <f>H33+I33</f>
        <v>99750</v>
      </c>
      <c r="E62" s="108">
        <v>35500</v>
      </c>
      <c r="F62" s="108">
        <f>E62</f>
        <v>35500</v>
      </c>
      <c r="G62" s="40"/>
    </row>
    <row r="63" spans="1:9" ht="15.75" thickBot="1" x14ac:dyDescent="0.3">
      <c r="C63" s="107" t="s">
        <v>36</v>
      </c>
      <c r="D63" s="108">
        <f>D62-F62</f>
        <v>64250</v>
      </c>
      <c r="E63" s="108">
        <v>42500</v>
      </c>
      <c r="F63" s="108">
        <f>E63</f>
        <v>42500</v>
      </c>
      <c r="G63" s="40"/>
    </row>
    <row r="64" spans="1:9" ht="15.75" thickBot="1" x14ac:dyDescent="0.3">
      <c r="C64" s="107" t="s">
        <v>87</v>
      </c>
      <c r="D64" s="108">
        <f>D63-F63</f>
        <v>21750</v>
      </c>
      <c r="E64" s="108">
        <v>51000</v>
      </c>
      <c r="F64" s="108">
        <f>D64</f>
        <v>21750</v>
      </c>
      <c r="G64" s="41">
        <f>E64-F64</f>
        <v>29250</v>
      </c>
    </row>
    <row r="65" spans="1:9" ht="15.75" thickBot="1" x14ac:dyDescent="0.3">
      <c r="C65" s="107" t="s">
        <v>88</v>
      </c>
      <c r="D65" s="109"/>
      <c r="E65" s="108">
        <v>51000</v>
      </c>
      <c r="F65" s="109"/>
      <c r="G65" s="41">
        <f>E65</f>
        <v>51000</v>
      </c>
    </row>
    <row r="66" spans="1:9" ht="15.75" thickBot="1" x14ac:dyDescent="0.3">
      <c r="C66" s="107" t="s">
        <v>89</v>
      </c>
      <c r="D66" s="109"/>
      <c r="E66" s="108"/>
      <c r="F66" s="109"/>
      <c r="G66" s="41"/>
    </row>
    <row r="69" spans="1:9" x14ac:dyDescent="0.25">
      <c r="A69" s="62" t="s">
        <v>92</v>
      </c>
      <c r="B69" s="23" t="s">
        <v>119</v>
      </c>
    </row>
    <row r="71" spans="1:9" ht="15.75" thickBot="1" x14ac:dyDescent="0.3"/>
    <row r="72" spans="1:9" ht="30.75" thickBot="1" x14ac:dyDescent="0.3">
      <c r="C72" s="112" t="s">
        <v>121</v>
      </c>
      <c r="D72" s="106" t="s">
        <v>2</v>
      </c>
      <c r="E72" s="106" t="s">
        <v>122</v>
      </c>
      <c r="F72" s="106" t="s">
        <v>123</v>
      </c>
      <c r="G72" s="106" t="s">
        <v>124</v>
      </c>
      <c r="H72" s="106" t="s">
        <v>125</v>
      </c>
      <c r="I72" s="106" t="s">
        <v>126</v>
      </c>
    </row>
    <row r="73" spans="1:9" ht="15.75" thickBot="1" x14ac:dyDescent="0.3">
      <c r="C73" s="107" t="s">
        <v>16</v>
      </c>
      <c r="D73" s="108">
        <f>H21</f>
        <v>800000</v>
      </c>
      <c r="E73" s="108">
        <f>H27</f>
        <v>20000</v>
      </c>
      <c r="F73" s="108">
        <f>H33</f>
        <v>86100</v>
      </c>
      <c r="G73" s="109"/>
      <c r="H73" s="109"/>
      <c r="I73" s="108">
        <f>SUM(D73:H73)</f>
        <v>906100</v>
      </c>
    </row>
    <row r="74" spans="1:9" ht="15.75" thickBot="1" x14ac:dyDescent="0.3">
      <c r="C74" s="107" t="s">
        <v>17</v>
      </c>
      <c r="D74" s="108">
        <f>I21</f>
        <v>10000</v>
      </c>
      <c r="E74" s="108">
        <f>I27</f>
        <v>100000</v>
      </c>
      <c r="F74" s="108">
        <f>I33</f>
        <v>13650</v>
      </c>
      <c r="G74" s="108">
        <f>-F51</f>
        <v>30000</v>
      </c>
      <c r="H74" s="108">
        <f>-F53</f>
        <v>94500</v>
      </c>
      <c r="I74" s="108">
        <f t="shared" ref="I74:I78" si="6">SUM(D74:H74)</f>
        <v>248150</v>
      </c>
    </row>
    <row r="75" spans="1:9" ht="15.75" thickBot="1" x14ac:dyDescent="0.3">
      <c r="C75" s="107" t="s">
        <v>36</v>
      </c>
      <c r="D75" s="109"/>
      <c r="E75" s="109"/>
      <c r="F75" s="109"/>
      <c r="G75" s="108">
        <f>-H51</f>
        <v>40000</v>
      </c>
      <c r="H75" s="108">
        <f>-H53</f>
        <v>125999.99999999999</v>
      </c>
      <c r="I75" s="108">
        <f t="shared" si="6"/>
        <v>166000</v>
      </c>
    </row>
    <row r="76" spans="1:9" ht="15.75" thickBot="1" x14ac:dyDescent="0.3">
      <c r="C76" s="107" t="s">
        <v>87</v>
      </c>
      <c r="D76" s="109"/>
      <c r="E76" s="109"/>
      <c r="F76" s="109"/>
      <c r="G76" s="108">
        <f>-$I$51</f>
        <v>50000</v>
      </c>
      <c r="H76" s="108">
        <f>-$I$53</f>
        <v>157500</v>
      </c>
      <c r="I76" s="108">
        <f t="shared" si="6"/>
        <v>207500</v>
      </c>
    </row>
    <row r="77" spans="1:9" ht="15.75" thickBot="1" x14ac:dyDescent="0.3">
      <c r="C77" s="107" t="s">
        <v>88</v>
      </c>
      <c r="D77" s="109"/>
      <c r="E77" s="109"/>
      <c r="F77" s="109"/>
      <c r="G77" s="108">
        <f t="shared" ref="G77:G78" si="7">-$I$51</f>
        <v>50000</v>
      </c>
      <c r="H77" s="108">
        <f t="shared" ref="H77:H78" si="8">-$I$53</f>
        <v>157500</v>
      </c>
      <c r="I77" s="108">
        <f t="shared" si="6"/>
        <v>207500</v>
      </c>
    </row>
    <row r="78" spans="1:9" ht="15.75" thickBot="1" x14ac:dyDescent="0.3">
      <c r="C78" s="107" t="s">
        <v>89</v>
      </c>
      <c r="D78" s="108">
        <f>-C40</f>
        <v>-150000</v>
      </c>
      <c r="E78" s="108">
        <f>-J27</f>
        <v>-120000</v>
      </c>
      <c r="F78" s="109"/>
      <c r="G78" s="108">
        <f t="shared" si="7"/>
        <v>50000</v>
      </c>
      <c r="H78" s="108">
        <f t="shared" si="8"/>
        <v>157500</v>
      </c>
      <c r="I78" s="108">
        <f t="shared" si="6"/>
        <v>-62500</v>
      </c>
    </row>
    <row r="79" spans="1:9" x14ac:dyDescent="0.25">
      <c r="C79" s="113" t="s">
        <v>127</v>
      </c>
      <c r="D79" s="114">
        <f>SUM(D73:D78)</f>
        <v>660000</v>
      </c>
      <c r="E79" s="115">
        <f t="shared" ref="E79:I79" si="9">SUM(E73:E78)</f>
        <v>0</v>
      </c>
      <c r="F79" s="116">
        <f t="shared" si="9"/>
        <v>99750</v>
      </c>
      <c r="G79" s="117">
        <f t="shared" si="9"/>
        <v>220000</v>
      </c>
      <c r="H79" s="117">
        <f t="shared" si="9"/>
        <v>693000</v>
      </c>
      <c r="I79" s="115">
        <f t="shared" si="9"/>
        <v>1672750</v>
      </c>
    </row>
    <row r="81" spans="1:10" ht="15.75" thickBot="1" x14ac:dyDescent="0.3"/>
    <row r="82" spans="1:10" ht="15.75" thickBot="1" x14ac:dyDescent="0.3">
      <c r="I82" s="40" t="s">
        <v>130</v>
      </c>
      <c r="J82" s="40"/>
    </row>
    <row r="83" spans="1:10" ht="45.75" thickBot="1" x14ac:dyDescent="0.3">
      <c r="C83" s="112" t="s">
        <v>131</v>
      </c>
      <c r="D83" s="106" t="s">
        <v>132</v>
      </c>
      <c r="E83" s="106" t="s">
        <v>133</v>
      </c>
      <c r="F83" s="106" t="s">
        <v>114</v>
      </c>
      <c r="G83" s="106" t="s">
        <v>134</v>
      </c>
      <c r="I83" s="105" t="s">
        <v>135</v>
      </c>
      <c r="J83" s="105" t="s">
        <v>136</v>
      </c>
    </row>
    <row r="84" spans="1:10" ht="15.75" thickBot="1" x14ac:dyDescent="0.3">
      <c r="C84" s="107" t="s">
        <v>16</v>
      </c>
      <c r="D84" s="109"/>
      <c r="E84" s="109"/>
      <c r="F84" s="109"/>
      <c r="G84" s="118">
        <f>SUM(D84:F84)</f>
        <v>0</v>
      </c>
      <c r="I84" s="41">
        <f>G84-I73</f>
        <v>-906100</v>
      </c>
      <c r="J84" s="41">
        <f>I84</f>
        <v>-906100</v>
      </c>
    </row>
    <row r="85" spans="1:10" ht="15.75" thickBot="1" x14ac:dyDescent="0.3">
      <c r="C85" s="107" t="s">
        <v>17</v>
      </c>
      <c r="D85" s="108">
        <f>F50</f>
        <v>300000</v>
      </c>
      <c r="E85" s="108">
        <f>$C$42</f>
        <v>132000</v>
      </c>
      <c r="F85" s="108">
        <f>F62</f>
        <v>35500</v>
      </c>
      <c r="G85" s="118">
        <f t="shared" ref="G85:G89" si="10">SUM(D85:F85)</f>
        <v>467500</v>
      </c>
      <c r="I85" s="41">
        <f>G85-I74</f>
        <v>219350</v>
      </c>
      <c r="J85" s="41">
        <f>J84+I85</f>
        <v>-686750</v>
      </c>
    </row>
    <row r="86" spans="1:10" ht="15.75" thickBot="1" x14ac:dyDescent="0.3">
      <c r="C86" s="107" t="s">
        <v>36</v>
      </c>
      <c r="D86" s="108">
        <f>H50</f>
        <v>400000</v>
      </c>
      <c r="E86" s="108">
        <f t="shared" ref="E86:E89" si="11">$C$42</f>
        <v>132000</v>
      </c>
      <c r="F86" s="108">
        <f t="shared" ref="F86:F88" si="12">F63</f>
        <v>42500</v>
      </c>
      <c r="G86" s="118">
        <f t="shared" si="10"/>
        <v>574500</v>
      </c>
      <c r="I86" s="41">
        <f t="shared" ref="I86:I89" si="13">G86-I75</f>
        <v>408500</v>
      </c>
      <c r="J86" s="41">
        <f t="shared" ref="J86:J89" si="14">J85+I86</f>
        <v>-278250</v>
      </c>
    </row>
    <row r="87" spans="1:10" ht="15.75" thickBot="1" x14ac:dyDescent="0.3">
      <c r="C87" s="107" t="s">
        <v>87</v>
      </c>
      <c r="D87" s="108">
        <f>$I$50</f>
        <v>500000</v>
      </c>
      <c r="E87" s="108">
        <f t="shared" si="11"/>
        <v>132000</v>
      </c>
      <c r="F87" s="108">
        <f t="shared" si="12"/>
        <v>21750</v>
      </c>
      <c r="G87" s="118">
        <f t="shared" si="10"/>
        <v>653750</v>
      </c>
      <c r="I87" s="41">
        <f t="shared" si="13"/>
        <v>446250</v>
      </c>
      <c r="J87" s="41">
        <f t="shared" si="14"/>
        <v>168000</v>
      </c>
    </row>
    <row r="88" spans="1:10" ht="15.75" thickBot="1" x14ac:dyDescent="0.3">
      <c r="C88" s="107" t="s">
        <v>88</v>
      </c>
      <c r="D88" s="108">
        <f t="shared" ref="D88:D89" si="15">$I$50</f>
        <v>500000</v>
      </c>
      <c r="E88" s="108">
        <f t="shared" si="11"/>
        <v>132000</v>
      </c>
      <c r="F88" s="108">
        <f t="shared" si="12"/>
        <v>0</v>
      </c>
      <c r="G88" s="118">
        <f t="shared" si="10"/>
        <v>632000</v>
      </c>
      <c r="I88" s="41">
        <f t="shared" si="13"/>
        <v>424500</v>
      </c>
      <c r="J88" s="41">
        <f t="shared" si="14"/>
        <v>592500</v>
      </c>
    </row>
    <row r="89" spans="1:10" ht="15.75" thickBot="1" x14ac:dyDescent="0.3">
      <c r="C89" s="107" t="s">
        <v>89</v>
      </c>
      <c r="D89" s="108">
        <f t="shared" si="15"/>
        <v>500000</v>
      </c>
      <c r="E89" s="108">
        <f t="shared" si="11"/>
        <v>132000</v>
      </c>
      <c r="F89" s="108">
        <f>F66</f>
        <v>0</v>
      </c>
      <c r="G89" s="118">
        <f t="shared" si="10"/>
        <v>632000</v>
      </c>
      <c r="I89" s="41">
        <f t="shared" si="13"/>
        <v>694500</v>
      </c>
      <c r="J89" s="41">
        <f t="shared" si="14"/>
        <v>1287000</v>
      </c>
    </row>
    <row r="90" spans="1:10" ht="15.75" thickBot="1" x14ac:dyDescent="0.3">
      <c r="C90" s="113" t="s">
        <v>127</v>
      </c>
      <c r="D90" s="117">
        <f>SUM(D84:D89)</f>
        <v>2200000</v>
      </c>
      <c r="E90" s="114">
        <f t="shared" ref="E90:G90" si="16">SUM(E84:E89)</f>
        <v>660000</v>
      </c>
      <c r="F90" s="116">
        <f t="shared" si="16"/>
        <v>99750</v>
      </c>
      <c r="G90" s="115">
        <f t="shared" si="16"/>
        <v>2959750</v>
      </c>
    </row>
    <row r="91" spans="1:10" ht="15.75" thickBot="1" x14ac:dyDescent="0.3">
      <c r="I91" s="45" t="s">
        <v>137</v>
      </c>
      <c r="J91" s="47">
        <f>J89</f>
        <v>1287000</v>
      </c>
    </row>
    <row r="92" spans="1:10" ht="15.75" thickBot="1" x14ac:dyDescent="0.3">
      <c r="A92" s="62" t="s">
        <v>110</v>
      </c>
      <c r="B92" s="23" t="s">
        <v>178</v>
      </c>
    </row>
    <row r="93" spans="1:10" ht="15.75" thickBot="1" x14ac:dyDescent="0.3">
      <c r="I93" s="45" t="s">
        <v>90</v>
      </c>
      <c r="J93" s="47">
        <f>I56</f>
        <v>1287000</v>
      </c>
    </row>
    <row r="94" spans="1:10" x14ac:dyDescent="0.25">
      <c r="B94" s="119" t="s">
        <v>172</v>
      </c>
    </row>
    <row r="95" spans="1:10" ht="15.75" thickBot="1" x14ac:dyDescent="0.3"/>
    <row r="96" spans="1:10" ht="15.75" thickBot="1" x14ac:dyDescent="0.3">
      <c r="C96" s="45" t="s">
        <v>173</v>
      </c>
      <c r="D96" s="46"/>
      <c r="E96" s="47">
        <f>F50+H50+3*I50+5*C42</f>
        <v>2860000</v>
      </c>
    </row>
    <row r="98" spans="1:5" x14ac:dyDescent="0.25">
      <c r="A98" s="62" t="s">
        <v>120</v>
      </c>
      <c r="B98" s="23" t="s">
        <v>179</v>
      </c>
    </row>
    <row r="100" spans="1:5" x14ac:dyDescent="0.25">
      <c r="C100" t="s">
        <v>174</v>
      </c>
      <c r="D100" s="3">
        <f>NPV(0.1,I85:I89)</f>
        <v>1593455.6972635994</v>
      </c>
      <c r="E100" s="24">
        <f>I84</f>
        <v>-906100</v>
      </c>
    </row>
    <row r="101" spans="1:5" ht="15.75" thickBot="1" x14ac:dyDescent="0.3"/>
    <row r="102" spans="1:5" ht="15.75" thickBot="1" x14ac:dyDescent="0.3">
      <c r="C102" s="45" t="s">
        <v>174</v>
      </c>
      <c r="D102" s="81">
        <f>D100+E100</f>
        <v>687355.69726359937</v>
      </c>
    </row>
    <row r="104" spans="1:5" x14ac:dyDescent="0.25">
      <c r="A104" s="62" t="s">
        <v>180</v>
      </c>
      <c r="B104" s="23" t="s">
        <v>175</v>
      </c>
    </row>
    <row r="106" spans="1:5" x14ac:dyDescent="0.25">
      <c r="C106" t="s">
        <v>176</v>
      </c>
    </row>
    <row r="107" spans="1:5" ht="15.75" thickBot="1" x14ac:dyDescent="0.3"/>
    <row r="108" spans="1:5" ht="15.75" thickBot="1" x14ac:dyDescent="0.3">
      <c r="C108" s="45" t="s">
        <v>177</v>
      </c>
      <c r="D108" s="46"/>
      <c r="E108" s="47">
        <f>J91-D102</f>
        <v>599644.30273640063</v>
      </c>
    </row>
    <row r="110" spans="1:5" ht="15.75" thickBot="1" x14ac:dyDescent="0.3">
      <c r="A110" s="62" t="s">
        <v>181</v>
      </c>
      <c r="B110" s="23" t="s">
        <v>182</v>
      </c>
    </row>
    <row r="111" spans="1:5" ht="15.75" thickBot="1" x14ac:dyDescent="0.3">
      <c r="C111" s="120" t="s">
        <v>142</v>
      </c>
      <c r="D111" s="121">
        <f>IRR(I84:I89)</f>
        <v>0.3208358299041103</v>
      </c>
    </row>
    <row r="113" spans="1:6" ht="15.75" thickBot="1" x14ac:dyDescent="0.3">
      <c r="A113" s="62" t="s">
        <v>183</v>
      </c>
      <c r="B113" s="23" t="s">
        <v>184</v>
      </c>
    </row>
    <row r="114" spans="1:6" ht="15.75" thickBot="1" x14ac:dyDescent="0.3">
      <c r="C114" s="198" t="s">
        <v>185</v>
      </c>
      <c r="D114" s="199"/>
      <c r="F114">
        <f>-J86*365/I87</f>
        <v>227.58823529411765</v>
      </c>
    </row>
    <row r="116" spans="1:6" x14ac:dyDescent="0.25">
      <c r="A116" s="62" t="s">
        <v>186</v>
      </c>
      <c r="B116" s="23" t="s">
        <v>187</v>
      </c>
    </row>
    <row r="117" spans="1:6" ht="15.75" thickBot="1" x14ac:dyDescent="0.3"/>
    <row r="118" spans="1:6" ht="15.75" thickBot="1" x14ac:dyDescent="0.3">
      <c r="C118" s="120" t="s">
        <v>188</v>
      </c>
      <c r="D118" s="122">
        <f>J91/I73</f>
        <v>1.4203730272596844</v>
      </c>
    </row>
  </sheetData>
  <mergeCells count="46">
    <mergeCell ref="C28:G28"/>
    <mergeCell ref="C29:G29"/>
    <mergeCell ref="C30:G30"/>
    <mergeCell ref="C31:G31"/>
    <mergeCell ref="C20:G20"/>
    <mergeCell ref="C21:G21"/>
    <mergeCell ref="C22:G22"/>
    <mergeCell ref="C23:G23"/>
    <mergeCell ref="C24:G24"/>
    <mergeCell ref="C25:G25"/>
    <mergeCell ref="B7:F7"/>
    <mergeCell ref="B8:F8"/>
    <mergeCell ref="B9:F9"/>
    <mergeCell ref="C26:G26"/>
    <mergeCell ref="C27:G27"/>
    <mergeCell ref="C47:E47"/>
    <mergeCell ref="F47:G47"/>
    <mergeCell ref="I9:L9"/>
    <mergeCell ref="I3:L3"/>
    <mergeCell ref="I4:L4"/>
    <mergeCell ref="I5:L5"/>
    <mergeCell ref="I6:L6"/>
    <mergeCell ref="I7:L7"/>
    <mergeCell ref="I8:L8"/>
    <mergeCell ref="D32:G32"/>
    <mergeCell ref="D33:G33"/>
    <mergeCell ref="D34:G34"/>
    <mergeCell ref="B3:F3"/>
    <mergeCell ref="B4:F4"/>
    <mergeCell ref="B5:F5"/>
    <mergeCell ref="B6:F6"/>
    <mergeCell ref="C114:D114"/>
    <mergeCell ref="F54:G54"/>
    <mergeCell ref="F48:G48"/>
    <mergeCell ref="F49:G49"/>
    <mergeCell ref="F50:G50"/>
    <mergeCell ref="F51:G51"/>
    <mergeCell ref="F52:G52"/>
    <mergeCell ref="F53:G53"/>
    <mergeCell ref="C49:E49"/>
    <mergeCell ref="C50:E50"/>
    <mergeCell ref="C51:E51"/>
    <mergeCell ref="C52:E52"/>
    <mergeCell ref="C53:E53"/>
    <mergeCell ref="C54:E54"/>
    <mergeCell ref="C48:E48"/>
  </mergeCells>
  <phoneticPr fontId="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392D2-2D86-4875-8475-0ACBFA95680F}">
  <dimension ref="A1:O118"/>
  <sheetViews>
    <sheetView topLeftCell="A82" zoomScaleNormal="100" workbookViewId="0">
      <selection activeCell="D100" sqref="D100"/>
    </sheetView>
  </sheetViews>
  <sheetFormatPr baseColWidth="10" defaultColWidth="9.140625" defaultRowHeight="15" x14ac:dyDescent="0.25"/>
  <cols>
    <col min="3" max="3" width="14.140625" customWidth="1"/>
    <col min="4" max="4" width="15" customWidth="1"/>
    <col min="5" max="5" width="13.85546875" customWidth="1"/>
    <col min="6" max="6" width="12.140625" customWidth="1"/>
    <col min="7" max="7" width="14.140625" customWidth="1"/>
    <col min="8" max="9" width="15" customWidth="1"/>
    <col min="10" max="10" width="15.140625" customWidth="1"/>
    <col min="11" max="11" width="12.42578125" customWidth="1"/>
    <col min="13" max="13" width="13.7109375" customWidth="1"/>
  </cols>
  <sheetData>
    <row r="1" spans="1:14" x14ac:dyDescent="0.25">
      <c r="A1" t="s">
        <v>143</v>
      </c>
    </row>
    <row r="2" spans="1:14" ht="15.75" thickBot="1" x14ac:dyDescent="0.3"/>
    <row r="3" spans="1:14" x14ac:dyDescent="0.25">
      <c r="B3" s="194" t="s">
        <v>144</v>
      </c>
      <c r="C3" s="195"/>
      <c r="D3" s="195"/>
      <c r="E3" s="195"/>
      <c r="F3" s="197"/>
      <c r="G3" s="86">
        <v>500000</v>
      </c>
      <c r="H3" t="s">
        <v>162</v>
      </c>
      <c r="I3" s="194" t="s">
        <v>153</v>
      </c>
      <c r="J3" s="195"/>
      <c r="K3" s="195"/>
      <c r="L3" s="197"/>
      <c r="M3" s="85">
        <v>0.105</v>
      </c>
    </row>
    <row r="4" spans="1:14" x14ac:dyDescent="0.25">
      <c r="B4" s="169" t="s">
        <v>145</v>
      </c>
      <c r="C4" s="170"/>
      <c r="D4" s="170"/>
      <c r="E4" s="170"/>
      <c r="F4" s="171"/>
      <c r="G4" s="87">
        <v>300000</v>
      </c>
      <c r="H4" t="s">
        <v>162</v>
      </c>
      <c r="I4" s="169" t="s">
        <v>154</v>
      </c>
      <c r="J4" s="170"/>
      <c r="K4" s="170"/>
      <c r="L4" s="171"/>
      <c r="M4" s="4">
        <v>0.21</v>
      </c>
    </row>
    <row r="5" spans="1:14" x14ac:dyDescent="0.25">
      <c r="B5" s="169" t="s">
        <v>146</v>
      </c>
      <c r="C5" s="170"/>
      <c r="D5" s="170"/>
      <c r="E5" s="170"/>
      <c r="F5" s="171"/>
      <c r="G5" s="88">
        <v>10000</v>
      </c>
      <c r="H5" t="s">
        <v>163</v>
      </c>
      <c r="I5" s="169" t="s">
        <v>155</v>
      </c>
      <c r="J5" s="170"/>
      <c r="K5" s="170"/>
      <c r="L5" s="171"/>
      <c r="M5" s="90">
        <v>10000</v>
      </c>
      <c r="N5" t="s">
        <v>164</v>
      </c>
    </row>
    <row r="6" spans="1:14" x14ac:dyDescent="0.25">
      <c r="B6" s="169" t="s">
        <v>147</v>
      </c>
      <c r="C6" s="170"/>
      <c r="D6" s="170"/>
      <c r="E6" s="170"/>
      <c r="F6" s="171"/>
      <c r="G6" s="89">
        <v>10000</v>
      </c>
      <c r="H6" t="s">
        <v>164</v>
      </c>
      <c r="I6" s="169" t="s">
        <v>156</v>
      </c>
      <c r="J6" s="170"/>
      <c r="K6" s="170"/>
      <c r="L6" s="171"/>
      <c r="M6" s="92">
        <v>15000</v>
      </c>
      <c r="N6" t="s">
        <v>165</v>
      </c>
    </row>
    <row r="7" spans="1:14" x14ac:dyDescent="0.25">
      <c r="B7" s="169" t="s">
        <v>148</v>
      </c>
      <c r="C7" s="170"/>
      <c r="D7" s="170"/>
      <c r="E7" s="170"/>
      <c r="F7" s="171"/>
      <c r="G7" s="91">
        <v>40000</v>
      </c>
      <c r="H7" t="s">
        <v>165</v>
      </c>
      <c r="I7" s="169" t="s">
        <v>157</v>
      </c>
      <c r="J7" s="170"/>
      <c r="K7" s="170"/>
      <c r="L7" s="171"/>
      <c r="M7" s="92">
        <v>30000</v>
      </c>
      <c r="N7" t="s">
        <v>165</v>
      </c>
    </row>
    <row r="8" spans="1:14" x14ac:dyDescent="0.25">
      <c r="B8" s="169" t="s">
        <v>149</v>
      </c>
      <c r="C8" s="170"/>
      <c r="D8" s="170"/>
      <c r="E8" s="170"/>
      <c r="F8" s="171"/>
      <c r="G8" s="91">
        <v>15000</v>
      </c>
      <c r="H8" t="s">
        <v>165</v>
      </c>
      <c r="I8" s="169" t="s">
        <v>124</v>
      </c>
      <c r="J8" s="170"/>
      <c r="K8" s="170"/>
      <c r="L8" s="171"/>
      <c r="M8" s="4">
        <v>0.1</v>
      </c>
    </row>
    <row r="9" spans="1:14" ht="15.75" thickBot="1" x14ac:dyDescent="0.3">
      <c r="B9" s="196" t="s">
        <v>7</v>
      </c>
      <c r="C9" s="190"/>
      <c r="D9" s="190"/>
      <c r="E9" s="190"/>
      <c r="F9" s="191"/>
      <c r="G9" s="84">
        <v>200000</v>
      </c>
      <c r="I9" s="196" t="s">
        <v>158</v>
      </c>
      <c r="J9" s="190"/>
      <c r="K9" s="190"/>
      <c r="L9" s="191"/>
      <c r="M9" s="5">
        <v>0.35</v>
      </c>
    </row>
    <row r="10" spans="1:14" ht="15.75" thickBot="1" x14ac:dyDescent="0.3"/>
    <row r="11" spans="1:14" x14ac:dyDescent="0.25">
      <c r="B11" s="7" t="s">
        <v>150</v>
      </c>
      <c r="C11" s="8"/>
      <c r="D11" s="8"/>
      <c r="E11" s="8"/>
      <c r="F11" s="7" t="s">
        <v>159</v>
      </c>
      <c r="G11" s="9"/>
      <c r="H11" s="8"/>
      <c r="I11" s="8"/>
      <c r="J11" s="8"/>
      <c r="K11" s="8"/>
      <c r="L11" s="9"/>
    </row>
    <row r="12" spans="1:14" x14ac:dyDescent="0.25">
      <c r="B12" s="10" t="s">
        <v>151</v>
      </c>
      <c r="F12" s="10" t="s">
        <v>160</v>
      </c>
      <c r="G12" s="35"/>
      <c r="L12" s="35"/>
    </row>
    <row r="13" spans="1:14" ht="15.75" thickBot="1" x14ac:dyDescent="0.3">
      <c r="B13" s="12" t="s">
        <v>152</v>
      </c>
      <c r="C13" s="13"/>
      <c r="D13" s="13"/>
      <c r="E13" s="13"/>
      <c r="F13" s="12" t="s">
        <v>161</v>
      </c>
      <c r="G13" s="111"/>
      <c r="H13" s="13"/>
      <c r="I13" s="13"/>
      <c r="J13" s="13"/>
      <c r="K13" s="13"/>
      <c r="L13" s="111"/>
    </row>
    <row r="18" spans="1:12" x14ac:dyDescent="0.25">
      <c r="A18" s="62" t="s">
        <v>38</v>
      </c>
      <c r="B18" s="23" t="s">
        <v>39</v>
      </c>
    </row>
    <row r="19" spans="1:12" ht="15.75" thickBot="1" x14ac:dyDescent="0.3"/>
    <row r="20" spans="1:12" ht="15.75" thickBot="1" x14ac:dyDescent="0.3">
      <c r="C20" s="161"/>
      <c r="D20" s="168"/>
      <c r="E20" s="168"/>
      <c r="F20" s="168"/>
      <c r="G20" s="162"/>
      <c r="H20" s="19" t="s">
        <v>50</v>
      </c>
      <c r="I20" s="19" t="s">
        <v>51</v>
      </c>
      <c r="J20" s="20" t="s">
        <v>52</v>
      </c>
    </row>
    <row r="21" spans="1:12" x14ac:dyDescent="0.25">
      <c r="C21" s="169" t="s">
        <v>40</v>
      </c>
      <c r="D21" s="170"/>
      <c r="E21" s="170"/>
      <c r="F21" s="170"/>
      <c r="G21" s="171"/>
      <c r="H21" s="17">
        <f>+G3+G4</f>
        <v>800000</v>
      </c>
      <c r="I21" s="17">
        <f>+G5</f>
        <v>10000</v>
      </c>
      <c r="J21" s="16">
        <f>+I21+H21</f>
        <v>810000</v>
      </c>
    </row>
    <row r="22" spans="1:12" x14ac:dyDescent="0.25">
      <c r="C22" s="169" t="s">
        <v>166</v>
      </c>
      <c r="D22" s="170"/>
      <c r="E22" s="170"/>
      <c r="F22" s="170"/>
      <c r="G22" s="171"/>
      <c r="H22" s="17">
        <f>+H21*0.105</f>
        <v>84000</v>
      </c>
      <c r="I22" s="17">
        <f>+I21*0.105</f>
        <v>1050</v>
      </c>
      <c r="J22" s="16">
        <f t="shared" ref="J22:J34" si="0">+I22+H22</f>
        <v>85050</v>
      </c>
    </row>
    <row r="23" spans="1:12" x14ac:dyDescent="0.25">
      <c r="C23" s="169" t="s">
        <v>42</v>
      </c>
      <c r="D23" s="170"/>
      <c r="E23" s="170"/>
      <c r="F23" s="170"/>
      <c r="G23" s="171"/>
      <c r="H23" s="17">
        <f>+H22+H21</f>
        <v>884000</v>
      </c>
      <c r="I23" s="17">
        <f>+I22++I21</f>
        <v>11050</v>
      </c>
      <c r="J23" s="16">
        <f t="shared" si="0"/>
        <v>895050</v>
      </c>
    </row>
    <row r="24" spans="1:12" x14ac:dyDescent="0.25">
      <c r="C24" s="169"/>
      <c r="D24" s="170"/>
      <c r="E24" s="170"/>
      <c r="F24" s="170"/>
      <c r="G24" s="171"/>
      <c r="H24" s="17"/>
      <c r="I24" s="17"/>
      <c r="J24" s="16">
        <f t="shared" si="0"/>
        <v>0</v>
      </c>
    </row>
    <row r="25" spans="1:12" x14ac:dyDescent="0.25">
      <c r="C25" s="169" t="s">
        <v>43</v>
      </c>
      <c r="D25" s="170"/>
      <c r="E25" s="170"/>
      <c r="F25" s="170"/>
      <c r="G25" s="171"/>
      <c r="H25" s="17">
        <v>200000</v>
      </c>
      <c r="I25" s="17">
        <v>0</v>
      </c>
      <c r="J25" s="16">
        <f t="shared" si="0"/>
        <v>200000</v>
      </c>
    </row>
    <row r="26" spans="1:12" x14ac:dyDescent="0.25">
      <c r="C26" s="169"/>
      <c r="D26" s="170"/>
      <c r="E26" s="170"/>
      <c r="F26" s="170"/>
      <c r="G26" s="171"/>
      <c r="H26" s="17"/>
      <c r="I26" s="17"/>
      <c r="J26" s="16">
        <f t="shared" si="0"/>
        <v>0</v>
      </c>
    </row>
    <row r="27" spans="1:12" x14ac:dyDescent="0.25">
      <c r="C27" s="169" t="s">
        <v>44</v>
      </c>
      <c r="D27" s="170"/>
      <c r="E27" s="170"/>
      <c r="F27" s="170"/>
      <c r="G27" s="171"/>
      <c r="H27" s="17">
        <f>+G6+M5</f>
        <v>20000</v>
      </c>
      <c r="I27" s="17">
        <f>+G8+G7+M6+M7</f>
        <v>100000</v>
      </c>
      <c r="J27" s="16">
        <f t="shared" si="0"/>
        <v>120000</v>
      </c>
    </row>
    <row r="28" spans="1:12" x14ac:dyDescent="0.25">
      <c r="C28" s="169" t="s">
        <v>41</v>
      </c>
      <c r="D28" s="170"/>
      <c r="E28" s="170"/>
      <c r="F28" s="170"/>
      <c r="G28" s="171"/>
      <c r="H28" s="125">
        <f>M5*0.21</f>
        <v>2100</v>
      </c>
      <c r="I28" s="125">
        <f>+M6*0.21+M7*0.21+G8*0.21</f>
        <v>12600</v>
      </c>
      <c r="J28" s="16">
        <f t="shared" si="0"/>
        <v>14700</v>
      </c>
      <c r="L28" s="95"/>
    </row>
    <row r="29" spans="1:12" x14ac:dyDescent="0.25">
      <c r="C29" s="169" t="s">
        <v>42</v>
      </c>
      <c r="D29" s="170"/>
      <c r="E29" s="170"/>
      <c r="F29" s="170"/>
      <c r="G29" s="171"/>
      <c r="H29" s="17">
        <f>+H28+H27</f>
        <v>22100</v>
      </c>
      <c r="I29" s="17">
        <f>+I28+I27</f>
        <v>112600</v>
      </c>
      <c r="J29" s="16">
        <f t="shared" si="0"/>
        <v>134700</v>
      </c>
      <c r="L29" s="96"/>
    </row>
    <row r="30" spans="1:12" x14ac:dyDescent="0.25">
      <c r="C30" s="169"/>
      <c r="D30" s="170"/>
      <c r="E30" s="170"/>
      <c r="F30" s="170"/>
      <c r="G30" s="171"/>
      <c r="H30" s="17"/>
      <c r="I30" s="17"/>
      <c r="J30" s="16">
        <f t="shared" si="0"/>
        <v>0</v>
      </c>
    </row>
    <row r="31" spans="1:12" x14ac:dyDescent="0.25">
      <c r="C31" s="169" t="s">
        <v>45</v>
      </c>
      <c r="D31" s="170"/>
      <c r="E31" s="170"/>
      <c r="F31" s="170"/>
      <c r="G31" s="171"/>
      <c r="H31" s="17"/>
      <c r="I31" s="17"/>
      <c r="J31" s="16">
        <f t="shared" si="0"/>
        <v>0</v>
      </c>
    </row>
    <row r="32" spans="1:12" x14ac:dyDescent="0.25">
      <c r="C32" s="10"/>
      <c r="D32" s="170" t="s">
        <v>46</v>
      </c>
      <c r="E32" s="170"/>
      <c r="F32" s="170"/>
      <c r="G32" s="171"/>
      <c r="H32" s="17">
        <f>+H21+H27</f>
        <v>820000</v>
      </c>
      <c r="I32" s="17">
        <f>+I27+I21</f>
        <v>110000</v>
      </c>
      <c r="J32" s="16">
        <f t="shared" si="0"/>
        <v>930000</v>
      </c>
    </row>
    <row r="33" spans="1:15" x14ac:dyDescent="0.25">
      <c r="C33" s="10"/>
      <c r="D33" s="170" t="s">
        <v>47</v>
      </c>
      <c r="E33" s="170"/>
      <c r="F33" s="170"/>
      <c r="G33" s="171"/>
      <c r="H33" s="17">
        <f>+H28+H22</f>
        <v>86100</v>
      </c>
      <c r="I33" s="17">
        <f>+I22+I28</f>
        <v>13650</v>
      </c>
      <c r="J33" s="16">
        <f t="shared" si="0"/>
        <v>99750</v>
      </c>
    </row>
    <row r="34" spans="1:15" ht="15.75" thickBot="1" x14ac:dyDescent="0.3">
      <c r="C34" s="12"/>
      <c r="D34" s="190" t="s">
        <v>48</v>
      </c>
      <c r="E34" s="190"/>
      <c r="F34" s="190"/>
      <c r="G34" s="191"/>
      <c r="H34" s="18">
        <f>+H33+H32</f>
        <v>906100</v>
      </c>
      <c r="I34" s="18">
        <f>+I33+I32</f>
        <v>123650</v>
      </c>
      <c r="J34" s="16">
        <f t="shared" si="0"/>
        <v>1029750</v>
      </c>
    </row>
    <row r="37" spans="1:15" x14ac:dyDescent="0.25">
      <c r="A37" s="62" t="s">
        <v>54</v>
      </c>
      <c r="B37" s="23" t="s">
        <v>55</v>
      </c>
    </row>
    <row r="39" spans="1:15" x14ac:dyDescent="0.25">
      <c r="B39" t="s">
        <v>56</v>
      </c>
      <c r="C39" s="24">
        <f>+H21+I21</f>
        <v>810000</v>
      </c>
    </row>
    <row r="40" spans="1:15" x14ac:dyDescent="0.25">
      <c r="B40" t="s">
        <v>57</v>
      </c>
      <c r="C40" s="24">
        <f>+G3*0.3</f>
        <v>150000</v>
      </c>
    </row>
    <row r="41" spans="1:15" x14ac:dyDescent="0.25">
      <c r="B41" t="s">
        <v>169</v>
      </c>
      <c r="C41" s="24">
        <f>+C39-C40</f>
        <v>660000</v>
      </c>
    </row>
    <row r="42" spans="1:15" x14ac:dyDescent="0.25">
      <c r="B42" t="s">
        <v>170</v>
      </c>
      <c r="C42" s="24">
        <f>+C41/5</f>
        <v>132000</v>
      </c>
    </row>
    <row r="45" spans="1:15" x14ac:dyDescent="0.25">
      <c r="A45" s="62" t="s">
        <v>60</v>
      </c>
      <c r="B45" s="23" t="s">
        <v>77</v>
      </c>
    </row>
    <row r="46" spans="1:15" ht="15.75" thickBot="1" x14ac:dyDescent="0.3"/>
    <row r="47" spans="1:15" ht="15.75" thickBot="1" x14ac:dyDescent="0.3">
      <c r="C47" s="161"/>
      <c r="D47" s="168"/>
      <c r="E47" s="168"/>
      <c r="F47" s="161" t="s">
        <v>17</v>
      </c>
      <c r="G47" s="168"/>
      <c r="H47" s="15" t="s">
        <v>36</v>
      </c>
      <c r="I47" s="37" t="s">
        <v>171</v>
      </c>
      <c r="M47" t="s">
        <v>268</v>
      </c>
      <c r="N47" t="s">
        <v>269</v>
      </c>
      <c r="O47">
        <v>35000</v>
      </c>
    </row>
    <row r="48" spans="1:15" x14ac:dyDescent="0.25">
      <c r="C48" s="165" t="s">
        <v>80</v>
      </c>
      <c r="D48" s="186"/>
      <c r="E48" s="186"/>
      <c r="F48" s="206"/>
      <c r="G48" s="203"/>
      <c r="H48" s="104"/>
      <c r="I48" s="97"/>
    </row>
    <row r="49" spans="1:9" x14ac:dyDescent="0.25">
      <c r="C49" s="165" t="s">
        <v>81</v>
      </c>
      <c r="D49" s="186"/>
      <c r="E49" s="186"/>
      <c r="F49" s="202"/>
      <c r="G49" s="203"/>
      <c r="H49" s="104"/>
      <c r="I49" s="97"/>
    </row>
    <row r="50" spans="1:9" x14ac:dyDescent="0.25">
      <c r="C50" s="166" t="s">
        <v>82</v>
      </c>
      <c r="D50" s="204"/>
      <c r="E50" s="204"/>
      <c r="F50" s="180">
        <v>300000</v>
      </c>
      <c r="G50" s="193"/>
      <c r="H50" s="21">
        <v>400000</v>
      </c>
      <c r="I50" s="98">
        <v>500000</v>
      </c>
    </row>
    <row r="51" spans="1:9" x14ac:dyDescent="0.25">
      <c r="C51" s="165" t="s">
        <v>83</v>
      </c>
      <c r="D51" s="186"/>
      <c r="E51" s="186"/>
      <c r="F51" s="180">
        <f>+F50*0.1</f>
        <v>30000</v>
      </c>
      <c r="G51" s="193"/>
      <c r="H51" s="101">
        <f>+H50*0.1</f>
        <v>40000</v>
      </c>
      <c r="I51" s="103">
        <f>+I50*0.1</f>
        <v>50000</v>
      </c>
    </row>
    <row r="52" spans="1:9" x14ac:dyDescent="0.25">
      <c r="C52" s="166" t="s">
        <v>84</v>
      </c>
      <c r="D52" s="204"/>
      <c r="E52" s="204"/>
      <c r="F52" s="180">
        <f>+F50-F51</f>
        <v>270000</v>
      </c>
      <c r="G52" s="193"/>
      <c r="H52" s="101">
        <f>+H50-H51</f>
        <v>360000</v>
      </c>
      <c r="I52" s="103">
        <f>+I50-I51</f>
        <v>450000</v>
      </c>
    </row>
    <row r="53" spans="1:9" x14ac:dyDescent="0.25">
      <c r="C53" s="165" t="s">
        <v>85</v>
      </c>
      <c r="D53" s="186"/>
      <c r="E53" s="186"/>
      <c r="F53" s="180">
        <f>+F52*0.35</f>
        <v>94500</v>
      </c>
      <c r="G53" s="193"/>
      <c r="H53" s="21">
        <f>+H52*0.35</f>
        <v>125999.99999999999</v>
      </c>
      <c r="I53" s="98">
        <f>+I52*0.35</f>
        <v>157500</v>
      </c>
    </row>
    <row r="54" spans="1:9" ht="15.75" thickBot="1" x14ac:dyDescent="0.3">
      <c r="C54" s="167" t="s">
        <v>86</v>
      </c>
      <c r="D54" s="205"/>
      <c r="E54" s="205"/>
      <c r="F54" s="200">
        <f>+F52-F53</f>
        <v>175500</v>
      </c>
      <c r="G54" s="201"/>
      <c r="H54" s="99">
        <f>+H52-H53</f>
        <v>234000</v>
      </c>
      <c r="I54" s="100">
        <f>+I52-I53</f>
        <v>292500</v>
      </c>
    </row>
    <row r="55" spans="1:9" ht="15.75" thickBot="1" x14ac:dyDescent="0.3"/>
    <row r="56" spans="1:9" ht="15.75" thickBot="1" x14ac:dyDescent="0.3">
      <c r="H56" s="45" t="s">
        <v>90</v>
      </c>
      <c r="I56" s="47">
        <f>F54+H54+3*I54</f>
        <v>1287000</v>
      </c>
    </row>
    <row r="58" spans="1:9" x14ac:dyDescent="0.25">
      <c r="A58" s="62" t="s">
        <v>78</v>
      </c>
      <c r="B58" s="23" t="s">
        <v>109</v>
      </c>
    </row>
    <row r="59" spans="1:9" ht="15.75" thickBot="1" x14ac:dyDescent="0.3"/>
    <row r="60" spans="1:9" ht="30.75" thickBot="1" x14ac:dyDescent="0.3">
      <c r="C60" s="105" t="s">
        <v>112</v>
      </c>
      <c r="D60" s="106" t="s">
        <v>113</v>
      </c>
      <c r="E60" s="106" t="s">
        <v>116</v>
      </c>
      <c r="F60" s="106" t="s">
        <v>114</v>
      </c>
      <c r="G60" s="105" t="s">
        <v>115</v>
      </c>
    </row>
    <row r="61" spans="1:9" ht="15" customHeight="1" thickBot="1" x14ac:dyDescent="0.3">
      <c r="C61" s="107" t="s">
        <v>16</v>
      </c>
      <c r="D61" s="108">
        <f>+H33</f>
        <v>86100</v>
      </c>
      <c r="E61" s="109">
        <v>0</v>
      </c>
      <c r="F61" s="109">
        <v>0</v>
      </c>
      <c r="G61" s="40">
        <v>0</v>
      </c>
    </row>
    <row r="62" spans="1:9" ht="15.75" thickBot="1" x14ac:dyDescent="0.3">
      <c r="C62" s="107" t="s">
        <v>17</v>
      </c>
      <c r="D62" s="108">
        <f>+D61+I33</f>
        <v>99750</v>
      </c>
      <c r="E62" s="108">
        <v>35500</v>
      </c>
      <c r="F62" s="108">
        <v>35500</v>
      </c>
      <c r="G62" s="40"/>
    </row>
    <row r="63" spans="1:9" ht="15.75" thickBot="1" x14ac:dyDescent="0.3">
      <c r="C63" s="107" t="s">
        <v>36</v>
      </c>
      <c r="D63" s="108">
        <f>+D62-F62</f>
        <v>64250</v>
      </c>
      <c r="E63" s="108">
        <v>42500</v>
      </c>
      <c r="F63" s="108">
        <v>42500</v>
      </c>
      <c r="G63" s="40"/>
    </row>
    <row r="64" spans="1:9" ht="15.75" thickBot="1" x14ac:dyDescent="0.3">
      <c r="C64" s="107" t="s">
        <v>87</v>
      </c>
      <c r="D64" s="108">
        <f>+D63-F63</f>
        <v>21750</v>
      </c>
      <c r="E64" s="108">
        <v>51000</v>
      </c>
      <c r="F64" s="108">
        <f>D64</f>
        <v>21750</v>
      </c>
      <c r="G64" s="41">
        <f>+E64-F64</f>
        <v>29250</v>
      </c>
    </row>
    <row r="65" spans="1:9" ht="15.75" thickBot="1" x14ac:dyDescent="0.3">
      <c r="C65" s="107" t="s">
        <v>88</v>
      </c>
      <c r="D65" s="109">
        <v>0</v>
      </c>
      <c r="E65" s="108">
        <v>51000</v>
      </c>
      <c r="F65" s="109">
        <v>0</v>
      </c>
      <c r="G65" s="41">
        <f>+G64+E65</f>
        <v>80250</v>
      </c>
    </row>
    <row r="66" spans="1:9" ht="15.75" thickBot="1" x14ac:dyDescent="0.3">
      <c r="C66" s="107" t="s">
        <v>89</v>
      </c>
      <c r="D66" s="109">
        <v>0</v>
      </c>
      <c r="E66" s="108">
        <v>0</v>
      </c>
      <c r="F66" s="109">
        <v>0</v>
      </c>
      <c r="G66" s="41"/>
    </row>
    <row r="69" spans="1:9" x14ac:dyDescent="0.25">
      <c r="A69" s="62" t="s">
        <v>92</v>
      </c>
      <c r="B69" s="23" t="s">
        <v>119</v>
      </c>
    </row>
    <row r="71" spans="1:9" ht="15.75" thickBot="1" x14ac:dyDescent="0.3"/>
    <row r="72" spans="1:9" ht="30.75" thickBot="1" x14ac:dyDescent="0.3">
      <c r="C72" s="112" t="s">
        <v>121</v>
      </c>
      <c r="D72" s="106" t="s">
        <v>2</v>
      </c>
      <c r="E72" s="106" t="s">
        <v>122</v>
      </c>
      <c r="F72" s="106" t="s">
        <v>123</v>
      </c>
      <c r="G72" s="106" t="s">
        <v>124</v>
      </c>
      <c r="H72" s="106" t="s">
        <v>125</v>
      </c>
      <c r="I72" s="106" t="s">
        <v>126</v>
      </c>
    </row>
    <row r="73" spans="1:9" ht="15.75" thickBot="1" x14ac:dyDescent="0.3">
      <c r="C73" s="107" t="s">
        <v>16</v>
      </c>
      <c r="D73" s="108">
        <f>+H21</f>
        <v>800000</v>
      </c>
      <c r="E73" s="108">
        <f>+H27</f>
        <v>20000</v>
      </c>
      <c r="F73" s="108">
        <f>+H33</f>
        <v>86100</v>
      </c>
      <c r="G73" s="109">
        <v>0</v>
      </c>
      <c r="H73" s="109">
        <v>0</v>
      </c>
      <c r="I73" s="108">
        <f>SUM(D73:H73)</f>
        <v>906100</v>
      </c>
    </row>
    <row r="74" spans="1:9" ht="15.75" thickBot="1" x14ac:dyDescent="0.3">
      <c r="C74" s="107" t="s">
        <v>17</v>
      </c>
      <c r="D74" s="108">
        <f>+I21</f>
        <v>10000</v>
      </c>
      <c r="E74" s="108">
        <f>+I27</f>
        <v>100000</v>
      </c>
      <c r="F74" s="108">
        <f>+I33</f>
        <v>13650</v>
      </c>
      <c r="G74" s="108">
        <f>+F51</f>
        <v>30000</v>
      </c>
      <c r="H74" s="108">
        <f>+F53</f>
        <v>94500</v>
      </c>
      <c r="I74" s="108">
        <f t="shared" ref="I74:I78" si="1">SUM(D74:H74)</f>
        <v>248150</v>
      </c>
    </row>
    <row r="75" spans="1:9" ht="15.75" thickBot="1" x14ac:dyDescent="0.3">
      <c r="C75" s="107" t="s">
        <v>36</v>
      </c>
      <c r="D75" s="109">
        <v>0</v>
      </c>
      <c r="E75" s="109">
        <v>0</v>
      </c>
      <c r="F75" s="109">
        <v>0</v>
      </c>
      <c r="G75" s="108">
        <f>+H51</f>
        <v>40000</v>
      </c>
      <c r="H75" s="108">
        <f>+H53</f>
        <v>125999.99999999999</v>
      </c>
      <c r="I75" s="108">
        <f t="shared" si="1"/>
        <v>166000</v>
      </c>
    </row>
    <row r="76" spans="1:9" ht="15.75" thickBot="1" x14ac:dyDescent="0.3">
      <c r="C76" s="107" t="s">
        <v>87</v>
      </c>
      <c r="D76" s="109"/>
      <c r="E76" s="109"/>
      <c r="F76" s="109"/>
      <c r="G76" s="108">
        <v>50000</v>
      </c>
      <c r="H76" s="108">
        <f>+I53</f>
        <v>157500</v>
      </c>
      <c r="I76" s="108">
        <f t="shared" si="1"/>
        <v>207500</v>
      </c>
    </row>
    <row r="77" spans="1:9" ht="15.75" thickBot="1" x14ac:dyDescent="0.3">
      <c r="C77" s="107" t="s">
        <v>88</v>
      </c>
      <c r="D77" s="109"/>
      <c r="E77" s="109"/>
      <c r="F77" s="109"/>
      <c r="G77" s="108">
        <v>50000</v>
      </c>
      <c r="H77" s="108">
        <f>+H76</f>
        <v>157500</v>
      </c>
      <c r="I77" s="108">
        <f t="shared" si="1"/>
        <v>207500</v>
      </c>
    </row>
    <row r="78" spans="1:9" ht="15.75" thickBot="1" x14ac:dyDescent="0.3">
      <c r="C78" s="107" t="s">
        <v>89</v>
      </c>
      <c r="D78" s="108">
        <f>-C40</f>
        <v>-150000</v>
      </c>
      <c r="E78" s="108">
        <v>-120000</v>
      </c>
      <c r="F78" s="109"/>
      <c r="G78" s="108">
        <f>+G77</f>
        <v>50000</v>
      </c>
      <c r="H78" s="108">
        <f>+H77</f>
        <v>157500</v>
      </c>
      <c r="I78" s="108">
        <f t="shared" si="1"/>
        <v>-62500</v>
      </c>
    </row>
    <row r="79" spans="1:9" x14ac:dyDescent="0.25">
      <c r="C79" s="113" t="s">
        <v>127</v>
      </c>
      <c r="D79" s="114">
        <f>SUM(D73:D78)</f>
        <v>660000</v>
      </c>
      <c r="E79" s="115">
        <f t="shared" ref="E79:I79" si="2">SUM(E73:E78)</f>
        <v>0</v>
      </c>
      <c r="F79" s="116">
        <f t="shared" si="2"/>
        <v>99750</v>
      </c>
      <c r="G79" s="117">
        <f t="shared" si="2"/>
        <v>220000</v>
      </c>
      <c r="H79" s="117">
        <f t="shared" si="2"/>
        <v>693000</v>
      </c>
      <c r="I79" s="115">
        <f t="shared" si="2"/>
        <v>1672750</v>
      </c>
    </row>
    <row r="81" spans="1:10" ht="15.75" thickBot="1" x14ac:dyDescent="0.3"/>
    <row r="82" spans="1:10" ht="15.75" thickBot="1" x14ac:dyDescent="0.3">
      <c r="I82" s="40" t="s">
        <v>130</v>
      </c>
      <c r="J82" s="40"/>
    </row>
    <row r="83" spans="1:10" ht="45.75" thickBot="1" x14ac:dyDescent="0.3">
      <c r="C83" s="112" t="s">
        <v>131</v>
      </c>
      <c r="D83" s="106" t="s">
        <v>132</v>
      </c>
      <c r="E83" s="106" t="s">
        <v>133</v>
      </c>
      <c r="F83" s="106" t="s">
        <v>114</v>
      </c>
      <c r="G83" s="106" t="s">
        <v>134</v>
      </c>
      <c r="I83" s="105" t="s">
        <v>135</v>
      </c>
      <c r="J83" s="105" t="s">
        <v>136</v>
      </c>
    </row>
    <row r="84" spans="1:10" ht="15.75" thickBot="1" x14ac:dyDescent="0.3">
      <c r="C84" s="107" t="s">
        <v>16</v>
      </c>
      <c r="D84" s="108">
        <v>0</v>
      </c>
      <c r="E84" s="109">
        <v>0</v>
      </c>
      <c r="F84" s="109">
        <v>0</v>
      </c>
      <c r="G84" s="118">
        <f>SUM(D84:F84)</f>
        <v>0</v>
      </c>
      <c r="I84" s="41">
        <f>G84-I73</f>
        <v>-906100</v>
      </c>
      <c r="J84" s="41">
        <f>I84</f>
        <v>-906100</v>
      </c>
    </row>
    <row r="85" spans="1:10" ht="15.75" thickBot="1" x14ac:dyDescent="0.3">
      <c r="C85" s="107" t="s">
        <v>17</v>
      </c>
      <c r="D85" s="108">
        <f>+F50</f>
        <v>300000</v>
      </c>
      <c r="E85" s="108">
        <f>+C42</f>
        <v>132000</v>
      </c>
      <c r="F85" s="108">
        <f>+F62</f>
        <v>35500</v>
      </c>
      <c r="G85" s="118">
        <f t="shared" ref="G85:G89" si="3">SUM(D85:F85)</f>
        <v>467500</v>
      </c>
      <c r="I85" s="41">
        <f>G85-I74</f>
        <v>219350</v>
      </c>
      <c r="J85" s="41">
        <f>J84+I85</f>
        <v>-686750</v>
      </c>
    </row>
    <row r="86" spans="1:10" ht="15.75" thickBot="1" x14ac:dyDescent="0.3">
      <c r="C86" s="107" t="s">
        <v>36</v>
      </c>
      <c r="D86" s="108">
        <f>+H50</f>
        <v>400000</v>
      </c>
      <c r="E86" s="108">
        <f>+E85</f>
        <v>132000</v>
      </c>
      <c r="F86" s="108">
        <f t="shared" ref="F86:F89" si="4">+F63</f>
        <v>42500</v>
      </c>
      <c r="G86" s="118">
        <f t="shared" si="3"/>
        <v>574500</v>
      </c>
      <c r="I86" s="41">
        <f t="shared" ref="I86:I89" si="5">G86-I75</f>
        <v>408500</v>
      </c>
      <c r="J86" s="41">
        <f t="shared" ref="J86:J89" si="6">J85+I86</f>
        <v>-278250</v>
      </c>
    </row>
    <row r="87" spans="1:10" ht="15.75" thickBot="1" x14ac:dyDescent="0.3">
      <c r="C87" s="107" t="s">
        <v>87</v>
      </c>
      <c r="D87" s="108">
        <f>+I50</f>
        <v>500000</v>
      </c>
      <c r="E87" s="108">
        <f>+E86</f>
        <v>132000</v>
      </c>
      <c r="F87" s="108">
        <f t="shared" si="4"/>
        <v>21750</v>
      </c>
      <c r="G87" s="118">
        <f t="shared" si="3"/>
        <v>653750</v>
      </c>
      <c r="I87" s="41">
        <f t="shared" si="5"/>
        <v>446250</v>
      </c>
      <c r="J87" s="41">
        <f t="shared" si="6"/>
        <v>168000</v>
      </c>
    </row>
    <row r="88" spans="1:10" ht="15.75" thickBot="1" x14ac:dyDescent="0.3">
      <c r="C88" s="107" t="s">
        <v>88</v>
      </c>
      <c r="D88" s="108">
        <f>+D87</f>
        <v>500000</v>
      </c>
      <c r="E88" s="108">
        <f>+E87</f>
        <v>132000</v>
      </c>
      <c r="F88" s="108">
        <f t="shared" si="4"/>
        <v>0</v>
      </c>
      <c r="G88" s="118">
        <f t="shared" si="3"/>
        <v>632000</v>
      </c>
      <c r="I88" s="41">
        <f t="shared" si="5"/>
        <v>424500</v>
      </c>
      <c r="J88" s="41">
        <f t="shared" si="6"/>
        <v>592500</v>
      </c>
    </row>
    <row r="89" spans="1:10" ht="15.75" thickBot="1" x14ac:dyDescent="0.3">
      <c r="C89" s="107" t="s">
        <v>89</v>
      </c>
      <c r="D89" s="108">
        <f>+D88</f>
        <v>500000</v>
      </c>
      <c r="E89" s="108">
        <f>+E88</f>
        <v>132000</v>
      </c>
      <c r="F89" s="108">
        <f t="shared" si="4"/>
        <v>0</v>
      </c>
      <c r="G89" s="118">
        <f t="shared" si="3"/>
        <v>632000</v>
      </c>
      <c r="I89" s="41">
        <f t="shared" si="5"/>
        <v>694500</v>
      </c>
      <c r="J89" s="41">
        <f t="shared" si="6"/>
        <v>1287000</v>
      </c>
    </row>
    <row r="90" spans="1:10" ht="15.75" thickBot="1" x14ac:dyDescent="0.3">
      <c r="C90" s="113" t="s">
        <v>127</v>
      </c>
      <c r="D90" s="117">
        <f>SUM(D84:D89)</f>
        <v>2200000</v>
      </c>
      <c r="E90" s="114">
        <f t="shared" ref="E90:G90" si="7">SUM(E84:E89)</f>
        <v>660000</v>
      </c>
      <c r="F90" s="116">
        <f t="shared" si="7"/>
        <v>99750</v>
      </c>
      <c r="G90" s="115">
        <f t="shared" si="7"/>
        <v>2959750</v>
      </c>
    </row>
    <row r="91" spans="1:10" ht="15.75" thickBot="1" x14ac:dyDescent="0.3">
      <c r="I91" s="45" t="s">
        <v>137</v>
      </c>
      <c r="J91" s="47">
        <f>J89</f>
        <v>1287000</v>
      </c>
    </row>
    <row r="92" spans="1:10" ht="15.75" thickBot="1" x14ac:dyDescent="0.3">
      <c r="A92" s="62" t="s">
        <v>110</v>
      </c>
      <c r="B92" s="23" t="s">
        <v>178</v>
      </c>
    </row>
    <row r="93" spans="1:10" ht="15.75" thickBot="1" x14ac:dyDescent="0.3">
      <c r="I93" s="45" t="s">
        <v>90</v>
      </c>
      <c r="J93" s="47">
        <f>I56</f>
        <v>1287000</v>
      </c>
    </row>
    <row r="94" spans="1:10" x14ac:dyDescent="0.25">
      <c r="B94" s="119" t="s">
        <v>172</v>
      </c>
    </row>
    <row r="95" spans="1:10" ht="15.75" thickBot="1" x14ac:dyDescent="0.3"/>
    <row r="96" spans="1:10" ht="15.75" thickBot="1" x14ac:dyDescent="0.3">
      <c r="C96" s="45" t="s">
        <v>173</v>
      </c>
      <c r="D96" s="46"/>
      <c r="E96" s="47">
        <f>F50+H50+3*I50+5*C42</f>
        <v>2860000</v>
      </c>
    </row>
    <row r="98" spans="1:5" x14ac:dyDescent="0.25">
      <c r="A98" s="62" t="s">
        <v>120</v>
      </c>
      <c r="B98" s="23" t="s">
        <v>179</v>
      </c>
    </row>
    <row r="100" spans="1:5" x14ac:dyDescent="0.25">
      <c r="C100" t="s">
        <v>174</v>
      </c>
      <c r="D100" s="3">
        <f>NPV(0.1,I85:I89)</f>
        <v>1593455.6972635994</v>
      </c>
      <c r="E100" s="24">
        <f>I84</f>
        <v>-906100</v>
      </c>
    </row>
    <row r="101" spans="1:5" ht="15.75" thickBot="1" x14ac:dyDescent="0.3"/>
    <row r="102" spans="1:5" ht="15.75" thickBot="1" x14ac:dyDescent="0.3">
      <c r="C102" s="45" t="s">
        <v>174</v>
      </c>
      <c r="D102" s="81">
        <f>D100+E100</f>
        <v>687355.69726359937</v>
      </c>
    </row>
    <row r="104" spans="1:5" x14ac:dyDescent="0.25">
      <c r="A104" s="62" t="s">
        <v>180</v>
      </c>
      <c r="B104" s="23" t="s">
        <v>175</v>
      </c>
    </row>
    <row r="106" spans="1:5" x14ac:dyDescent="0.25">
      <c r="C106" t="s">
        <v>176</v>
      </c>
    </row>
    <row r="107" spans="1:5" ht="15.75" thickBot="1" x14ac:dyDescent="0.3"/>
    <row r="108" spans="1:5" ht="15.75" thickBot="1" x14ac:dyDescent="0.3">
      <c r="C108" s="45" t="s">
        <v>177</v>
      </c>
      <c r="D108" s="46"/>
      <c r="E108" s="47">
        <f>J91-D102</f>
        <v>599644.30273640063</v>
      </c>
    </row>
    <row r="110" spans="1:5" ht="15.75" thickBot="1" x14ac:dyDescent="0.3">
      <c r="A110" s="62" t="s">
        <v>181</v>
      </c>
      <c r="B110" s="23" t="s">
        <v>182</v>
      </c>
    </row>
    <row r="111" spans="1:5" ht="15.75" thickBot="1" x14ac:dyDescent="0.3">
      <c r="C111" s="120" t="s">
        <v>142</v>
      </c>
      <c r="D111" s="121">
        <f>IRR(I84:I89)</f>
        <v>0.3208358299041103</v>
      </c>
    </row>
    <row r="113" spans="1:6" ht="15.75" thickBot="1" x14ac:dyDescent="0.3">
      <c r="A113" s="62" t="s">
        <v>183</v>
      </c>
      <c r="B113" s="23" t="s">
        <v>184</v>
      </c>
    </row>
    <row r="114" spans="1:6" ht="15.75" thickBot="1" x14ac:dyDescent="0.3">
      <c r="C114" s="198" t="s">
        <v>185</v>
      </c>
      <c r="D114" s="199"/>
      <c r="F114">
        <f>-J86*365/I87</f>
        <v>227.58823529411765</v>
      </c>
    </row>
    <row r="116" spans="1:6" x14ac:dyDescent="0.25">
      <c r="A116" s="62" t="s">
        <v>186</v>
      </c>
      <c r="B116" s="23" t="s">
        <v>187</v>
      </c>
    </row>
    <row r="117" spans="1:6" ht="15.75" thickBot="1" x14ac:dyDescent="0.3"/>
    <row r="118" spans="1:6" ht="15.75" thickBot="1" x14ac:dyDescent="0.3">
      <c r="C118" s="120" t="s">
        <v>188</v>
      </c>
      <c r="D118" s="122">
        <f>J91/I73</f>
        <v>1.4203730272596844</v>
      </c>
    </row>
  </sheetData>
  <mergeCells count="46">
    <mergeCell ref="C54:E54"/>
    <mergeCell ref="F54:G54"/>
    <mergeCell ref="C114:D114"/>
    <mergeCell ref="C51:E51"/>
    <mergeCell ref="F51:G51"/>
    <mergeCell ref="C52:E52"/>
    <mergeCell ref="F52:G52"/>
    <mergeCell ref="C53:E53"/>
    <mergeCell ref="F53:G53"/>
    <mergeCell ref="C48:E48"/>
    <mergeCell ref="F48:G48"/>
    <mergeCell ref="C49:E49"/>
    <mergeCell ref="F49:G49"/>
    <mergeCell ref="C50:E50"/>
    <mergeCell ref="F50:G50"/>
    <mergeCell ref="C47:E47"/>
    <mergeCell ref="F47:G47"/>
    <mergeCell ref="C24:G24"/>
    <mergeCell ref="C25:G25"/>
    <mergeCell ref="C26:G26"/>
    <mergeCell ref="C27:G27"/>
    <mergeCell ref="C28:G28"/>
    <mergeCell ref="C29:G29"/>
    <mergeCell ref="C30:G30"/>
    <mergeCell ref="C31:G31"/>
    <mergeCell ref="D32:G32"/>
    <mergeCell ref="D33:G33"/>
    <mergeCell ref="D34:G34"/>
    <mergeCell ref="C23:G23"/>
    <mergeCell ref="B6:F6"/>
    <mergeCell ref="I6:L6"/>
    <mergeCell ref="B7:F7"/>
    <mergeCell ref="I7:L7"/>
    <mergeCell ref="B8:F8"/>
    <mergeCell ref="I8:L8"/>
    <mergeCell ref="B9:F9"/>
    <mergeCell ref="I9:L9"/>
    <mergeCell ref="C20:G20"/>
    <mergeCell ref="C21:G21"/>
    <mergeCell ref="C22:G22"/>
    <mergeCell ref="B3:F3"/>
    <mergeCell ref="I3:L3"/>
    <mergeCell ref="B4:F4"/>
    <mergeCell ref="I4:L4"/>
    <mergeCell ref="B5:F5"/>
    <mergeCell ref="I5: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EC42-D4D2-48F9-9EF1-A60CD6798D62}">
  <dimension ref="A1:S129"/>
  <sheetViews>
    <sheetView topLeftCell="A34" zoomScale="80" zoomScaleNormal="80" workbookViewId="0">
      <selection activeCell="K116" sqref="K116"/>
    </sheetView>
  </sheetViews>
  <sheetFormatPr baseColWidth="10" defaultColWidth="9.140625" defaultRowHeight="15" x14ac:dyDescent="0.25"/>
  <cols>
    <col min="2" max="2" width="14.85546875" customWidth="1"/>
    <col min="3" max="3" width="14.85546875" bestFit="1" customWidth="1"/>
    <col min="4" max="5" width="15.42578125" customWidth="1"/>
    <col min="6" max="6" width="14.28515625" customWidth="1"/>
    <col min="7" max="7" width="15.5703125" customWidth="1"/>
    <col min="8" max="8" width="14.5703125" customWidth="1"/>
    <col min="9" max="9" width="15.5703125" customWidth="1"/>
    <col min="10" max="10" width="15.42578125" bestFit="1" customWidth="1"/>
    <col min="11" max="11" width="16.5703125" customWidth="1"/>
  </cols>
  <sheetData>
    <row r="1" spans="1:19" ht="14.45" customHeight="1" x14ac:dyDescent="0.25">
      <c r="A1" s="207" t="s">
        <v>189</v>
      </c>
      <c r="B1" s="207"/>
      <c r="C1" s="207"/>
      <c r="D1" s="207"/>
      <c r="E1" s="207"/>
      <c r="F1" s="207"/>
      <c r="G1" s="207"/>
      <c r="H1" s="207"/>
      <c r="I1" s="207"/>
      <c r="J1" s="207"/>
      <c r="K1" s="207"/>
      <c r="L1" s="207"/>
      <c r="M1" s="207"/>
      <c r="N1" s="110"/>
      <c r="O1" s="110"/>
      <c r="P1" s="110"/>
      <c r="Q1" s="110"/>
      <c r="R1" s="110"/>
      <c r="S1" s="110"/>
    </row>
    <row r="2" spans="1:19" x14ac:dyDescent="0.25">
      <c r="A2" s="207"/>
      <c r="B2" s="207"/>
      <c r="C2" s="207"/>
      <c r="D2" s="207"/>
      <c r="E2" s="207"/>
      <c r="F2" s="207"/>
      <c r="G2" s="207"/>
      <c r="H2" s="207"/>
      <c r="I2" s="207"/>
      <c r="J2" s="207"/>
      <c r="K2" s="207"/>
      <c r="L2" s="207"/>
      <c r="M2" s="207"/>
      <c r="N2" s="110"/>
      <c r="O2" s="110"/>
      <c r="P2" s="110"/>
      <c r="Q2" s="110"/>
      <c r="R2" s="110"/>
      <c r="S2" s="110"/>
    </row>
    <row r="3" spans="1:19" x14ac:dyDescent="0.25">
      <c r="A3" s="207"/>
      <c r="B3" s="207"/>
      <c r="C3" s="207"/>
      <c r="D3" s="207"/>
      <c r="E3" s="207"/>
      <c r="F3" s="207"/>
      <c r="G3" s="207"/>
      <c r="H3" s="207"/>
      <c r="I3" s="207"/>
      <c r="J3" s="207"/>
      <c r="K3" s="207"/>
      <c r="L3" s="207"/>
      <c r="M3" s="207"/>
      <c r="N3" s="110"/>
      <c r="O3" s="110"/>
      <c r="P3" s="110"/>
      <c r="Q3" s="110"/>
      <c r="R3" s="110"/>
      <c r="S3" s="110"/>
    </row>
    <row r="4" spans="1:19" x14ac:dyDescent="0.25">
      <c r="A4" s="207"/>
      <c r="B4" s="207"/>
      <c r="C4" s="207"/>
      <c r="D4" s="207"/>
      <c r="E4" s="207"/>
      <c r="F4" s="207"/>
      <c r="G4" s="207"/>
      <c r="H4" s="207"/>
      <c r="I4" s="207"/>
      <c r="J4" s="207"/>
      <c r="K4" s="207"/>
      <c r="L4" s="207"/>
      <c r="M4" s="207"/>
      <c r="N4" s="110"/>
      <c r="O4" s="110"/>
      <c r="P4" s="110"/>
      <c r="Q4" s="110"/>
      <c r="R4" s="110"/>
      <c r="S4" s="110"/>
    </row>
    <row r="5" spans="1:19" x14ac:dyDescent="0.25">
      <c r="A5" s="207"/>
      <c r="B5" s="207"/>
      <c r="C5" s="207"/>
      <c r="D5" s="207"/>
      <c r="E5" s="207"/>
      <c r="F5" s="207"/>
      <c r="G5" s="207"/>
      <c r="H5" s="207"/>
      <c r="I5" s="207"/>
      <c r="J5" s="207"/>
      <c r="K5" s="207"/>
      <c r="L5" s="207"/>
      <c r="M5" s="207"/>
      <c r="N5" s="110"/>
      <c r="O5" s="110"/>
      <c r="P5" s="110"/>
      <c r="Q5" s="110"/>
      <c r="R5" s="110"/>
      <c r="S5" s="110"/>
    </row>
    <row r="6" spans="1:19" x14ac:dyDescent="0.25">
      <c r="A6" s="207"/>
      <c r="B6" s="207"/>
      <c r="C6" s="207"/>
      <c r="D6" s="207"/>
      <c r="E6" s="207"/>
      <c r="F6" s="207"/>
      <c r="G6" s="207"/>
      <c r="H6" s="207"/>
      <c r="I6" s="207"/>
      <c r="J6" s="207"/>
      <c r="K6" s="207"/>
      <c r="L6" s="207"/>
      <c r="M6" s="207"/>
      <c r="N6" s="110"/>
      <c r="O6" s="110"/>
      <c r="P6" s="110"/>
      <c r="Q6" s="110"/>
      <c r="R6" s="110"/>
      <c r="S6" s="110"/>
    </row>
    <row r="7" spans="1:19" x14ac:dyDescent="0.25">
      <c r="A7" s="207"/>
      <c r="B7" s="207"/>
      <c r="C7" s="207"/>
      <c r="D7" s="207"/>
      <c r="E7" s="207"/>
      <c r="F7" s="207"/>
      <c r="G7" s="207"/>
      <c r="H7" s="207"/>
      <c r="I7" s="207"/>
      <c r="J7" s="207"/>
      <c r="K7" s="207"/>
      <c r="L7" s="207"/>
      <c r="M7" s="207"/>
      <c r="N7" s="110"/>
      <c r="O7" s="110"/>
      <c r="P7" s="110"/>
      <c r="Q7" s="110"/>
      <c r="R7" s="110"/>
      <c r="S7" s="110"/>
    </row>
    <row r="8" spans="1:19" x14ac:dyDescent="0.25">
      <c r="A8" s="207"/>
      <c r="B8" s="207"/>
      <c r="C8" s="207"/>
      <c r="D8" s="207"/>
      <c r="E8" s="207"/>
      <c r="F8" s="207"/>
      <c r="G8" s="207"/>
      <c r="H8" s="207"/>
      <c r="I8" s="207"/>
      <c r="J8" s="207"/>
      <c r="K8" s="207"/>
      <c r="L8" s="207"/>
      <c r="M8" s="207"/>
      <c r="N8" s="110"/>
      <c r="O8" s="110"/>
      <c r="P8" s="110"/>
      <c r="Q8" s="110"/>
      <c r="R8" s="110"/>
      <c r="S8" s="110"/>
    </row>
    <row r="9" spans="1:19" x14ac:dyDescent="0.25">
      <c r="A9" s="207"/>
      <c r="B9" s="207"/>
      <c r="C9" s="207"/>
      <c r="D9" s="207"/>
      <c r="E9" s="207"/>
      <c r="F9" s="207"/>
      <c r="G9" s="207"/>
      <c r="H9" s="207"/>
      <c r="I9" s="207"/>
      <c r="J9" s="207"/>
      <c r="K9" s="207"/>
      <c r="L9" s="207"/>
      <c r="M9" s="207"/>
      <c r="N9" s="110"/>
      <c r="O9" s="110"/>
      <c r="P9" s="110"/>
      <c r="Q9" s="110"/>
      <c r="R9" s="110"/>
      <c r="S9" s="110"/>
    </row>
    <row r="10" spans="1:19" x14ac:dyDescent="0.25">
      <c r="A10" s="207"/>
      <c r="B10" s="207"/>
      <c r="C10" s="207"/>
      <c r="D10" s="207"/>
      <c r="E10" s="207"/>
      <c r="F10" s="207"/>
      <c r="G10" s="207"/>
      <c r="H10" s="207"/>
      <c r="I10" s="207"/>
      <c r="J10" s="207"/>
      <c r="K10" s="207"/>
      <c r="L10" s="207"/>
      <c r="M10" s="207"/>
      <c r="N10" s="110"/>
      <c r="O10" s="110"/>
      <c r="P10" s="110"/>
      <c r="Q10" s="110"/>
      <c r="R10" s="110"/>
      <c r="S10" s="110"/>
    </row>
    <row r="11" spans="1:19" x14ac:dyDescent="0.25">
      <c r="A11" s="110"/>
      <c r="B11" s="110"/>
      <c r="C11" s="110"/>
      <c r="D11" s="110"/>
      <c r="E11" s="110"/>
      <c r="F11" s="110"/>
      <c r="G11" s="110"/>
      <c r="H11" s="110"/>
      <c r="I11" s="110"/>
      <c r="J11" s="110"/>
      <c r="K11" s="110"/>
      <c r="L11" s="110"/>
      <c r="M11" s="110"/>
      <c r="N11" s="110"/>
      <c r="O11" s="110"/>
      <c r="P11" s="110"/>
      <c r="Q11" s="110"/>
      <c r="R11" s="110"/>
      <c r="S11" s="110"/>
    </row>
    <row r="12" spans="1:19" ht="15.75" thickBot="1" x14ac:dyDescent="0.3">
      <c r="I12" s="6"/>
    </row>
    <row r="13" spans="1:19" x14ac:dyDescent="0.25">
      <c r="C13" t="s">
        <v>162</v>
      </c>
      <c r="D13" s="214" t="s">
        <v>190</v>
      </c>
      <c r="E13" s="215"/>
      <c r="F13" s="215"/>
      <c r="G13" s="215"/>
      <c r="H13" s="216"/>
      <c r="I13" s="83">
        <v>10000000</v>
      </c>
      <c r="K13" t="s">
        <v>210</v>
      </c>
    </row>
    <row r="14" spans="1:19" x14ac:dyDescent="0.25">
      <c r="C14" t="s">
        <v>162</v>
      </c>
      <c r="D14" s="208" t="s">
        <v>191</v>
      </c>
      <c r="E14" s="209"/>
      <c r="F14" s="209"/>
      <c r="G14" s="209"/>
      <c r="H14" s="210"/>
      <c r="I14" s="29">
        <v>800000</v>
      </c>
      <c r="K14" t="s">
        <v>206</v>
      </c>
    </row>
    <row r="15" spans="1:19" x14ac:dyDescent="0.25">
      <c r="D15" s="208" t="s">
        <v>192</v>
      </c>
      <c r="E15" s="209"/>
      <c r="F15" s="209"/>
      <c r="G15" s="209"/>
      <c r="H15" s="210"/>
      <c r="I15" s="22" t="s">
        <v>49</v>
      </c>
      <c r="K15" t="s">
        <v>207</v>
      </c>
    </row>
    <row r="16" spans="1:19" x14ac:dyDescent="0.25">
      <c r="D16" s="208" t="s">
        <v>193</v>
      </c>
      <c r="E16" s="209"/>
      <c r="F16" s="209"/>
      <c r="G16" s="209"/>
      <c r="H16" s="210"/>
      <c r="I16" s="29">
        <v>2500000</v>
      </c>
      <c r="K16" t="s">
        <v>208</v>
      </c>
    </row>
    <row r="17" spans="1:11" x14ac:dyDescent="0.25">
      <c r="C17" t="s">
        <v>163</v>
      </c>
      <c r="D17" s="208" t="s">
        <v>194</v>
      </c>
      <c r="E17" s="209"/>
      <c r="F17" s="209"/>
      <c r="G17" s="209"/>
      <c r="H17" s="210"/>
      <c r="I17" s="29">
        <v>20000</v>
      </c>
      <c r="K17" t="s">
        <v>209</v>
      </c>
    </row>
    <row r="18" spans="1:11" x14ac:dyDescent="0.25">
      <c r="D18" s="208" t="s">
        <v>195</v>
      </c>
      <c r="E18" s="209"/>
      <c r="F18" s="209"/>
      <c r="G18" s="209"/>
      <c r="H18" s="210"/>
      <c r="I18" s="123">
        <v>0.105</v>
      </c>
      <c r="K18" t="s">
        <v>211</v>
      </c>
    </row>
    <row r="19" spans="1:11" x14ac:dyDescent="0.25">
      <c r="C19" t="s">
        <v>164</v>
      </c>
      <c r="D19" s="208" t="s">
        <v>196</v>
      </c>
      <c r="E19" s="209"/>
      <c r="F19" s="209"/>
      <c r="G19" s="209"/>
      <c r="H19" s="210"/>
      <c r="I19" s="29">
        <v>100000</v>
      </c>
    </row>
    <row r="20" spans="1:11" x14ac:dyDescent="0.25">
      <c r="C20" t="s">
        <v>165</v>
      </c>
      <c r="D20" s="208" t="s">
        <v>197</v>
      </c>
      <c r="E20" s="209"/>
      <c r="F20" s="209"/>
      <c r="G20" s="209"/>
      <c r="H20" s="210"/>
      <c r="I20" s="29">
        <v>30000</v>
      </c>
    </row>
    <row r="21" spans="1:11" x14ac:dyDescent="0.25">
      <c r="C21" t="s">
        <v>165</v>
      </c>
      <c r="D21" s="208" t="s">
        <v>198</v>
      </c>
      <c r="E21" s="209"/>
      <c r="F21" s="209"/>
      <c r="G21" s="209"/>
      <c r="H21" s="210"/>
      <c r="I21" s="29">
        <v>300000</v>
      </c>
    </row>
    <row r="22" spans="1:11" x14ac:dyDescent="0.25">
      <c r="C22" t="s">
        <v>165</v>
      </c>
      <c r="D22" s="208" t="s">
        <v>199</v>
      </c>
      <c r="E22" s="209"/>
      <c r="F22" s="209"/>
      <c r="G22" s="209"/>
      <c r="H22" s="210"/>
      <c r="I22" s="29">
        <v>200000</v>
      </c>
    </row>
    <row r="23" spans="1:11" x14ac:dyDescent="0.25">
      <c r="C23" t="s">
        <v>164</v>
      </c>
      <c r="D23" s="208" t="s">
        <v>200</v>
      </c>
      <c r="E23" s="209"/>
      <c r="F23" s="209"/>
      <c r="G23" s="209"/>
      <c r="H23" s="210"/>
      <c r="I23" s="29">
        <v>500000</v>
      </c>
    </row>
    <row r="24" spans="1:11" ht="15.75" thickBot="1" x14ac:dyDescent="0.3">
      <c r="D24" s="211" t="s">
        <v>201</v>
      </c>
      <c r="E24" s="212"/>
      <c r="F24" s="212"/>
      <c r="G24" s="212"/>
      <c r="H24" s="213"/>
      <c r="I24" s="5">
        <v>0.21</v>
      </c>
    </row>
    <row r="25" spans="1:11" ht="15.75" thickBot="1" x14ac:dyDescent="0.3"/>
    <row r="26" spans="1:11" x14ac:dyDescent="0.25">
      <c r="D26" s="194" t="s">
        <v>202</v>
      </c>
      <c r="E26" s="195"/>
      <c r="F26" s="195"/>
      <c r="G26" s="195"/>
      <c r="H26" s="197"/>
      <c r="I26" s="124">
        <v>900000</v>
      </c>
      <c r="J26" s="124">
        <v>1200000</v>
      </c>
      <c r="K26" s="83">
        <v>2000000</v>
      </c>
    </row>
    <row r="27" spans="1:11" x14ac:dyDescent="0.25">
      <c r="D27" s="169" t="s">
        <v>111</v>
      </c>
      <c r="E27" s="170"/>
      <c r="F27" s="170"/>
      <c r="G27" s="170"/>
      <c r="H27" s="171"/>
      <c r="I27" s="11">
        <v>480000</v>
      </c>
      <c r="J27" s="11">
        <v>550000</v>
      </c>
      <c r="K27" s="29">
        <v>700000</v>
      </c>
    </row>
    <row r="28" spans="1:11" x14ac:dyDescent="0.25">
      <c r="D28" s="169"/>
      <c r="E28" s="170"/>
      <c r="F28" s="170"/>
      <c r="G28" s="170"/>
      <c r="H28" s="171"/>
      <c r="I28" t="s">
        <v>51</v>
      </c>
      <c r="J28" t="s">
        <v>66</v>
      </c>
      <c r="K28" s="35" t="s">
        <v>203</v>
      </c>
    </row>
    <row r="29" spans="1:11" x14ac:dyDescent="0.25">
      <c r="D29" s="169" t="s">
        <v>204</v>
      </c>
      <c r="E29" s="170"/>
      <c r="F29" s="170"/>
      <c r="G29" s="170"/>
      <c r="H29" s="171"/>
      <c r="I29" s="2">
        <v>0.1</v>
      </c>
      <c r="K29" s="35"/>
    </row>
    <row r="30" spans="1:11" ht="15.75" thickBot="1" x14ac:dyDescent="0.3">
      <c r="D30" s="196" t="s">
        <v>205</v>
      </c>
      <c r="E30" s="190"/>
      <c r="F30" s="190"/>
      <c r="G30" s="190"/>
      <c r="H30" s="191"/>
      <c r="I30" s="14">
        <v>0.35</v>
      </c>
      <c r="J30" s="13"/>
      <c r="K30" s="111"/>
    </row>
    <row r="32" spans="1:11" x14ac:dyDescent="0.25">
      <c r="A32" s="62" t="s">
        <v>38</v>
      </c>
      <c r="B32" s="23" t="s">
        <v>39</v>
      </c>
    </row>
    <row r="33" spans="4:11" ht="15.75" thickBot="1" x14ac:dyDescent="0.3"/>
    <row r="34" spans="4:11" ht="15.75" thickBot="1" x14ac:dyDescent="0.3">
      <c r="D34" s="161"/>
      <c r="E34" s="168"/>
      <c r="F34" s="168"/>
      <c r="G34" s="168"/>
      <c r="H34" s="162"/>
      <c r="I34" s="19" t="s">
        <v>50</v>
      </c>
      <c r="J34" s="19" t="s">
        <v>51</v>
      </c>
      <c r="K34" s="20" t="s">
        <v>52</v>
      </c>
    </row>
    <row r="35" spans="4:11" x14ac:dyDescent="0.25">
      <c r="D35" s="169" t="s">
        <v>40</v>
      </c>
      <c r="E35" s="170"/>
      <c r="F35" s="170"/>
      <c r="G35" s="170"/>
      <c r="H35" s="171"/>
      <c r="I35" s="17">
        <f>I13+I14</f>
        <v>10800000</v>
      </c>
      <c r="J35" s="17">
        <f>I17</f>
        <v>20000</v>
      </c>
      <c r="K35" s="16">
        <f>I35+J35</f>
        <v>10820000</v>
      </c>
    </row>
    <row r="36" spans="4:11" x14ac:dyDescent="0.25">
      <c r="D36" s="169" t="s">
        <v>166</v>
      </c>
      <c r="E36" s="170"/>
      <c r="F36" s="170"/>
      <c r="G36" s="170"/>
      <c r="H36" s="171"/>
      <c r="I36" s="17">
        <f>0.105*I35</f>
        <v>1134000</v>
      </c>
      <c r="J36" s="17">
        <f t="shared" ref="J36:K36" si="0">0.105*J35</f>
        <v>2100</v>
      </c>
      <c r="K36" s="17">
        <f t="shared" si="0"/>
        <v>1136100</v>
      </c>
    </row>
    <row r="37" spans="4:11" x14ac:dyDescent="0.25">
      <c r="D37" s="169" t="s">
        <v>42</v>
      </c>
      <c r="E37" s="170"/>
      <c r="F37" s="170"/>
      <c r="G37" s="170"/>
      <c r="H37" s="171"/>
      <c r="I37" s="17">
        <f>I35+I36</f>
        <v>11934000</v>
      </c>
      <c r="J37" s="17">
        <f t="shared" ref="J37:K37" si="1">J35+J36</f>
        <v>22100</v>
      </c>
      <c r="K37" s="17">
        <f t="shared" si="1"/>
        <v>11956100</v>
      </c>
    </row>
    <row r="38" spans="4:11" x14ac:dyDescent="0.25">
      <c r="D38" s="169"/>
      <c r="E38" s="170"/>
      <c r="F38" s="170"/>
      <c r="G38" s="170"/>
      <c r="H38" s="171"/>
      <c r="I38" s="17"/>
      <c r="J38" s="17"/>
      <c r="K38" s="16"/>
    </row>
    <row r="39" spans="4:11" x14ac:dyDescent="0.25">
      <c r="D39" s="169" t="s">
        <v>43</v>
      </c>
      <c r="E39" s="170"/>
      <c r="F39" s="170"/>
      <c r="G39" s="170"/>
      <c r="H39" s="171"/>
      <c r="I39" s="17"/>
      <c r="J39" s="17"/>
      <c r="K39" s="16"/>
    </row>
    <row r="40" spans="4:11" x14ac:dyDescent="0.25">
      <c r="D40" s="169"/>
      <c r="E40" s="170"/>
      <c r="F40" s="170"/>
      <c r="G40" s="170"/>
      <c r="H40" s="171"/>
      <c r="I40" s="17"/>
      <c r="J40" s="17"/>
      <c r="K40" s="16"/>
    </row>
    <row r="41" spans="4:11" x14ac:dyDescent="0.25">
      <c r="D41" s="169" t="s">
        <v>44</v>
      </c>
      <c r="E41" s="170"/>
      <c r="F41" s="170"/>
      <c r="G41" s="170"/>
      <c r="H41" s="171"/>
      <c r="I41" s="17">
        <f>I19+I23</f>
        <v>600000</v>
      </c>
      <c r="J41" s="17">
        <f>I20+I21+I22</f>
        <v>530000</v>
      </c>
      <c r="K41" s="16">
        <f>I41+J41</f>
        <v>1130000</v>
      </c>
    </row>
    <row r="42" spans="4:11" x14ac:dyDescent="0.25">
      <c r="D42" s="169" t="s">
        <v>41</v>
      </c>
      <c r="E42" s="170"/>
      <c r="F42" s="170"/>
      <c r="G42" s="170"/>
      <c r="H42" s="171"/>
      <c r="I42" s="125">
        <f>0.21*I19</f>
        <v>21000</v>
      </c>
      <c r="J42" s="125">
        <f>0.21*(I21+I22)</f>
        <v>105000</v>
      </c>
      <c r="K42" s="125">
        <f>I42+J42</f>
        <v>126000</v>
      </c>
    </row>
    <row r="43" spans="4:11" x14ac:dyDescent="0.25">
      <c r="D43" s="169" t="s">
        <v>42</v>
      </c>
      <c r="E43" s="170"/>
      <c r="F43" s="170"/>
      <c r="G43" s="170"/>
      <c r="H43" s="171"/>
      <c r="I43" s="17">
        <f>I41+I42</f>
        <v>621000</v>
      </c>
      <c r="J43" s="17">
        <f t="shared" ref="J43:K43" si="2">J41+J42</f>
        <v>635000</v>
      </c>
      <c r="K43" s="17">
        <f t="shared" si="2"/>
        <v>1256000</v>
      </c>
    </row>
    <row r="44" spans="4:11" x14ac:dyDescent="0.25">
      <c r="D44" s="169"/>
      <c r="E44" s="170"/>
      <c r="F44" s="170"/>
      <c r="G44" s="170"/>
      <c r="H44" s="171"/>
      <c r="I44" s="17"/>
      <c r="J44" s="17"/>
      <c r="K44" s="16"/>
    </row>
    <row r="45" spans="4:11" x14ac:dyDescent="0.25">
      <c r="D45" s="169" t="s">
        <v>45</v>
      </c>
      <c r="E45" s="170"/>
      <c r="F45" s="170"/>
      <c r="G45" s="170"/>
      <c r="H45" s="171"/>
      <c r="I45" s="17"/>
      <c r="J45" s="17"/>
      <c r="K45" s="16"/>
    </row>
    <row r="46" spans="4:11" x14ac:dyDescent="0.25">
      <c r="D46" s="10"/>
      <c r="E46" s="170" t="s">
        <v>46</v>
      </c>
      <c r="F46" s="170"/>
      <c r="G46" s="170"/>
      <c r="H46" s="171"/>
      <c r="I46" s="17">
        <f>I35+I41</f>
        <v>11400000</v>
      </c>
      <c r="J46" s="17">
        <f t="shared" ref="J46:K46" si="3">J35+J41</f>
        <v>550000</v>
      </c>
      <c r="K46" s="17">
        <f t="shared" si="3"/>
        <v>11950000</v>
      </c>
    </row>
    <row r="47" spans="4:11" x14ac:dyDescent="0.25">
      <c r="D47" s="10"/>
      <c r="E47" s="170" t="s">
        <v>47</v>
      </c>
      <c r="F47" s="170"/>
      <c r="G47" s="170"/>
      <c r="H47" s="171"/>
      <c r="I47" s="17">
        <f>I36+I42</f>
        <v>1155000</v>
      </c>
      <c r="J47" s="17">
        <f>J36+J42</f>
        <v>107100</v>
      </c>
      <c r="K47" s="17">
        <f>I47+J47</f>
        <v>1262100</v>
      </c>
    </row>
    <row r="48" spans="4:11" ht="15.75" thickBot="1" x14ac:dyDescent="0.3">
      <c r="D48" s="12"/>
      <c r="E48" s="190" t="s">
        <v>48</v>
      </c>
      <c r="F48" s="190"/>
      <c r="G48" s="190"/>
      <c r="H48" s="191"/>
      <c r="I48" s="18">
        <f>I46+I47</f>
        <v>12555000</v>
      </c>
      <c r="J48" s="18">
        <f t="shared" ref="J48" si="4">J46+J47</f>
        <v>657100</v>
      </c>
      <c r="K48" s="18">
        <f>I48+J48</f>
        <v>13212100</v>
      </c>
    </row>
    <row r="50" spans="1:10" x14ac:dyDescent="0.25">
      <c r="A50" s="62" t="s">
        <v>54</v>
      </c>
      <c r="B50" s="23" t="s">
        <v>55</v>
      </c>
    </row>
    <row r="52" spans="1:10" x14ac:dyDescent="0.25">
      <c r="B52" t="s">
        <v>56</v>
      </c>
      <c r="C52" s="24">
        <f>K35</f>
        <v>10820000</v>
      </c>
    </row>
    <row r="53" spans="1:10" x14ac:dyDescent="0.25">
      <c r="B53" s="42" t="s">
        <v>57</v>
      </c>
      <c r="C53" s="43">
        <f>I16</f>
        <v>2500000</v>
      </c>
    </row>
    <row r="54" spans="1:10" x14ac:dyDescent="0.25">
      <c r="B54" t="s">
        <v>58</v>
      </c>
      <c r="C54" s="24">
        <f>C52-C53</f>
        <v>8320000</v>
      </c>
    </row>
    <row r="55" spans="1:10" x14ac:dyDescent="0.25">
      <c r="B55" t="s">
        <v>170</v>
      </c>
      <c r="C55" s="24">
        <f>C54/5</f>
        <v>1664000</v>
      </c>
    </row>
    <row r="58" spans="1:10" x14ac:dyDescent="0.25">
      <c r="A58" s="62" t="s">
        <v>60</v>
      </c>
      <c r="B58" s="23" t="s">
        <v>77</v>
      </c>
    </row>
    <row r="59" spans="1:10" ht="15.75" thickBot="1" x14ac:dyDescent="0.3"/>
    <row r="60" spans="1:10" ht="15.75" thickBot="1" x14ac:dyDescent="0.3">
      <c r="D60" s="161"/>
      <c r="E60" s="168"/>
      <c r="F60" s="168"/>
      <c r="G60" s="161" t="s">
        <v>17</v>
      </c>
      <c r="H60" s="168"/>
      <c r="I60" s="15" t="s">
        <v>36</v>
      </c>
      <c r="J60" s="37" t="s">
        <v>171</v>
      </c>
    </row>
    <row r="61" spans="1:10" x14ac:dyDescent="0.25">
      <c r="D61" s="165" t="s">
        <v>80</v>
      </c>
      <c r="E61" s="186"/>
      <c r="F61" s="186"/>
      <c r="G61" s="202"/>
      <c r="H61" s="203"/>
      <c r="I61" s="104"/>
      <c r="J61" s="102"/>
    </row>
    <row r="62" spans="1:10" x14ac:dyDescent="0.25">
      <c r="D62" s="165" t="s">
        <v>81</v>
      </c>
      <c r="E62" s="186"/>
      <c r="F62" s="186"/>
      <c r="G62" s="202"/>
      <c r="H62" s="203"/>
      <c r="I62" s="104"/>
      <c r="J62" s="97"/>
    </row>
    <row r="63" spans="1:10" x14ac:dyDescent="0.25">
      <c r="D63" s="166" t="s">
        <v>82</v>
      </c>
      <c r="E63" s="204"/>
      <c r="F63" s="204"/>
      <c r="G63" s="180">
        <f>I26</f>
        <v>900000</v>
      </c>
      <c r="H63" s="193"/>
      <c r="I63" s="21">
        <f>J26</f>
        <v>1200000</v>
      </c>
      <c r="J63" s="98">
        <f>K26</f>
        <v>2000000</v>
      </c>
    </row>
    <row r="64" spans="1:10" x14ac:dyDescent="0.25">
      <c r="D64" s="165" t="s">
        <v>83</v>
      </c>
      <c r="E64" s="186"/>
      <c r="F64" s="186"/>
      <c r="G64" s="180">
        <f>-0.1*G63</f>
        <v>-90000</v>
      </c>
      <c r="H64" s="193"/>
      <c r="I64" s="101">
        <f>-0.1*I63</f>
        <v>-120000</v>
      </c>
      <c r="J64" s="103">
        <f>-0.1*J63</f>
        <v>-200000</v>
      </c>
    </row>
    <row r="65" spans="1:10" x14ac:dyDescent="0.25">
      <c r="D65" s="166" t="s">
        <v>84</v>
      </c>
      <c r="E65" s="204"/>
      <c r="F65" s="204"/>
      <c r="G65" s="180">
        <f>G63+G64</f>
        <v>810000</v>
      </c>
      <c r="H65" s="193"/>
      <c r="I65" s="101">
        <f>I63+I64</f>
        <v>1080000</v>
      </c>
      <c r="J65" s="103">
        <f>J63+J64</f>
        <v>1800000</v>
      </c>
    </row>
    <row r="66" spans="1:10" x14ac:dyDescent="0.25">
      <c r="D66" s="165" t="s">
        <v>85</v>
      </c>
      <c r="E66" s="186"/>
      <c r="F66" s="186"/>
      <c r="G66" s="180">
        <f>-0.35*G65</f>
        <v>-283500</v>
      </c>
      <c r="H66" s="193"/>
      <c r="I66" s="21">
        <f>-0.35*I65</f>
        <v>-378000</v>
      </c>
      <c r="J66" s="98">
        <f>-0.35*J65</f>
        <v>-630000</v>
      </c>
    </row>
    <row r="67" spans="1:10" ht="15.75" thickBot="1" x14ac:dyDescent="0.3">
      <c r="D67" s="167" t="s">
        <v>86</v>
      </c>
      <c r="E67" s="205"/>
      <c r="F67" s="205"/>
      <c r="G67" s="200">
        <f>G65+G66</f>
        <v>526500</v>
      </c>
      <c r="H67" s="201"/>
      <c r="I67" s="99">
        <f>I65+I66</f>
        <v>702000</v>
      </c>
      <c r="J67" s="100">
        <f>J65+J66</f>
        <v>1170000</v>
      </c>
    </row>
    <row r="68" spans="1:10" ht="15.75" thickBot="1" x14ac:dyDescent="0.3"/>
    <row r="69" spans="1:10" ht="15.75" thickBot="1" x14ac:dyDescent="0.3">
      <c r="I69" s="45" t="s">
        <v>90</v>
      </c>
      <c r="J69" s="47">
        <f>G67+I67+3*J67</f>
        <v>4738500</v>
      </c>
    </row>
    <row r="70" spans="1:10" x14ac:dyDescent="0.25">
      <c r="A70" s="62" t="s">
        <v>78</v>
      </c>
      <c r="B70" s="23" t="s">
        <v>109</v>
      </c>
    </row>
    <row r="71" spans="1:10" ht="15.75" thickBot="1" x14ac:dyDescent="0.3"/>
    <row r="72" spans="1:10" ht="30.75" thickBot="1" x14ac:dyDescent="0.3">
      <c r="B72" s="105" t="s">
        <v>112</v>
      </c>
      <c r="C72" s="106" t="s">
        <v>113</v>
      </c>
      <c r="D72" s="106" t="s">
        <v>116</v>
      </c>
      <c r="E72" s="106" t="s">
        <v>114</v>
      </c>
      <c r="F72" s="105" t="s">
        <v>115</v>
      </c>
    </row>
    <row r="73" spans="1:10" ht="15.75" thickBot="1" x14ac:dyDescent="0.3">
      <c r="B73" s="107" t="s">
        <v>16</v>
      </c>
      <c r="C73" s="108">
        <f>I47</f>
        <v>1155000</v>
      </c>
      <c r="D73" s="109"/>
      <c r="E73" s="109"/>
      <c r="F73" s="40"/>
    </row>
    <row r="74" spans="1:10" ht="15.75" thickBot="1" x14ac:dyDescent="0.3">
      <c r="B74" s="107" t="s">
        <v>17</v>
      </c>
      <c r="C74" s="108">
        <f>I47+J47</f>
        <v>1262100</v>
      </c>
      <c r="D74" s="108">
        <f>I27</f>
        <v>480000</v>
      </c>
      <c r="E74" s="108">
        <f>D74</f>
        <v>480000</v>
      </c>
      <c r="F74" s="40"/>
    </row>
    <row r="75" spans="1:10" ht="15.75" thickBot="1" x14ac:dyDescent="0.3">
      <c r="B75" s="107" t="s">
        <v>36</v>
      </c>
      <c r="C75" s="108">
        <f>C74-E74</f>
        <v>782100</v>
      </c>
      <c r="D75" s="108">
        <f>J27</f>
        <v>550000</v>
      </c>
      <c r="E75" s="108">
        <f>D75</f>
        <v>550000</v>
      </c>
      <c r="F75" s="40"/>
    </row>
    <row r="76" spans="1:10" ht="15.75" thickBot="1" x14ac:dyDescent="0.3">
      <c r="B76" s="107" t="s">
        <v>87</v>
      </c>
      <c r="C76" s="108">
        <f>C75-E75</f>
        <v>232100</v>
      </c>
      <c r="D76" s="108">
        <f>K27</f>
        <v>700000</v>
      </c>
      <c r="E76" s="108">
        <f>C76</f>
        <v>232100</v>
      </c>
      <c r="F76" s="41">
        <f>D76-E76</f>
        <v>467900</v>
      </c>
    </row>
    <row r="77" spans="1:10" ht="15.75" thickBot="1" x14ac:dyDescent="0.3">
      <c r="B77" s="107" t="s">
        <v>88</v>
      </c>
      <c r="C77" s="109"/>
      <c r="D77" s="108">
        <f>D76</f>
        <v>700000</v>
      </c>
      <c r="E77" s="109"/>
      <c r="F77" s="41">
        <f>D77</f>
        <v>700000</v>
      </c>
    </row>
    <row r="78" spans="1:10" ht="15.75" thickBot="1" x14ac:dyDescent="0.3">
      <c r="B78" s="107" t="s">
        <v>89</v>
      </c>
      <c r="C78" s="109"/>
      <c r="D78" s="108">
        <f>D77</f>
        <v>700000</v>
      </c>
      <c r="E78" s="109"/>
      <c r="F78" s="41">
        <f>D78</f>
        <v>700000</v>
      </c>
    </row>
    <row r="81" spans="1:10" x14ac:dyDescent="0.25">
      <c r="A81" s="62" t="s">
        <v>92</v>
      </c>
      <c r="B81" s="23" t="s">
        <v>119</v>
      </c>
    </row>
    <row r="82" spans="1:10" ht="15.75" thickBot="1" x14ac:dyDescent="0.3"/>
    <row r="83" spans="1:10" ht="30.75" thickBot="1" x14ac:dyDescent="0.3">
      <c r="C83" s="112" t="s">
        <v>121</v>
      </c>
      <c r="D83" s="106" t="s">
        <v>2</v>
      </c>
      <c r="E83" s="106" t="s">
        <v>122</v>
      </c>
      <c r="F83" s="106" t="s">
        <v>123</v>
      </c>
      <c r="G83" s="106" t="s">
        <v>124</v>
      </c>
      <c r="H83" s="106" t="s">
        <v>125</v>
      </c>
      <c r="I83" s="106" t="s">
        <v>126</v>
      </c>
    </row>
    <row r="84" spans="1:10" ht="15.75" thickBot="1" x14ac:dyDescent="0.3">
      <c r="C84" s="107" t="s">
        <v>16</v>
      </c>
      <c r="D84" s="108">
        <f>I35</f>
        <v>10800000</v>
      </c>
      <c r="E84" s="108">
        <f>I41</f>
        <v>600000</v>
      </c>
      <c r="F84" s="108">
        <f>I47</f>
        <v>1155000</v>
      </c>
      <c r="G84" s="109"/>
      <c r="H84" s="109"/>
      <c r="I84" s="108">
        <f>SUM(D84:H84)</f>
        <v>12555000</v>
      </c>
    </row>
    <row r="85" spans="1:10" ht="15.75" thickBot="1" x14ac:dyDescent="0.3">
      <c r="C85" s="107" t="s">
        <v>17</v>
      </c>
      <c r="D85" s="108">
        <f>J35</f>
        <v>20000</v>
      </c>
      <c r="E85" s="108">
        <f>J41</f>
        <v>530000</v>
      </c>
      <c r="F85" s="108">
        <f>J47</f>
        <v>107100</v>
      </c>
      <c r="G85" s="108">
        <f>-G64</f>
        <v>90000</v>
      </c>
      <c r="H85" s="108">
        <f>-G66</f>
        <v>283500</v>
      </c>
      <c r="I85" s="108">
        <f t="shared" ref="I85:I89" si="5">SUM(D85:H85)</f>
        <v>1030600</v>
      </c>
    </row>
    <row r="86" spans="1:10" ht="15.75" thickBot="1" x14ac:dyDescent="0.3">
      <c r="C86" s="107" t="s">
        <v>36</v>
      </c>
      <c r="D86" s="109"/>
      <c r="E86" s="109"/>
      <c r="F86" s="109"/>
      <c r="G86" s="108">
        <f>-I64</f>
        <v>120000</v>
      </c>
      <c r="H86" s="108">
        <f>-I66</f>
        <v>378000</v>
      </c>
      <c r="I86" s="108">
        <f t="shared" si="5"/>
        <v>498000</v>
      </c>
    </row>
    <row r="87" spans="1:10" ht="15.75" thickBot="1" x14ac:dyDescent="0.3">
      <c r="C87" s="107" t="s">
        <v>87</v>
      </c>
      <c r="D87" s="109"/>
      <c r="E87" s="109"/>
      <c r="F87" s="109"/>
      <c r="G87" s="108">
        <f>-$J$64</f>
        <v>200000</v>
      </c>
      <c r="H87" s="108">
        <f>-$J$66</f>
        <v>630000</v>
      </c>
      <c r="I87" s="108">
        <f t="shared" si="5"/>
        <v>830000</v>
      </c>
    </row>
    <row r="88" spans="1:10" ht="15.75" thickBot="1" x14ac:dyDescent="0.3">
      <c r="C88" s="107" t="s">
        <v>88</v>
      </c>
      <c r="D88" s="109"/>
      <c r="E88" s="109"/>
      <c r="F88" s="109"/>
      <c r="G88" s="108">
        <f t="shared" ref="G88:G89" si="6">-$J$64</f>
        <v>200000</v>
      </c>
      <c r="H88" s="108">
        <f t="shared" ref="H88:H89" si="7">-$J$66</f>
        <v>630000</v>
      </c>
      <c r="I88" s="108">
        <f t="shared" si="5"/>
        <v>830000</v>
      </c>
    </row>
    <row r="89" spans="1:10" ht="15.75" thickBot="1" x14ac:dyDescent="0.3">
      <c r="C89" s="107" t="s">
        <v>89</v>
      </c>
      <c r="D89" s="108">
        <f>-C53</f>
        <v>-2500000</v>
      </c>
      <c r="E89" s="108">
        <f>-K41</f>
        <v>-1130000</v>
      </c>
      <c r="F89" s="109"/>
      <c r="G89" s="108">
        <f t="shared" si="6"/>
        <v>200000</v>
      </c>
      <c r="H89" s="108">
        <f t="shared" si="7"/>
        <v>630000</v>
      </c>
      <c r="I89" s="108">
        <f t="shared" si="5"/>
        <v>-2800000</v>
      </c>
    </row>
    <row r="90" spans="1:10" x14ac:dyDescent="0.25">
      <c r="C90" s="113" t="s">
        <v>127</v>
      </c>
      <c r="D90" s="114">
        <f>SUM(D84:D89)</f>
        <v>8320000</v>
      </c>
      <c r="E90" s="115">
        <f t="shared" ref="E90:I90" si="8">SUM(E84:E89)</f>
        <v>0</v>
      </c>
      <c r="F90" s="116">
        <f t="shared" si="8"/>
        <v>1262100</v>
      </c>
      <c r="G90" s="117">
        <f t="shared" si="8"/>
        <v>810000</v>
      </c>
      <c r="H90" s="117">
        <f t="shared" si="8"/>
        <v>2551500</v>
      </c>
      <c r="I90" s="115">
        <f t="shared" si="8"/>
        <v>12943600</v>
      </c>
    </row>
    <row r="91" spans="1:10" ht="15.75" thickBot="1" x14ac:dyDescent="0.3"/>
    <row r="92" spans="1:10" ht="15.75" thickBot="1" x14ac:dyDescent="0.3">
      <c r="I92" s="40" t="s">
        <v>130</v>
      </c>
      <c r="J92" s="40"/>
    </row>
    <row r="93" spans="1:10" ht="45.75" thickBot="1" x14ac:dyDescent="0.3">
      <c r="C93" s="112" t="s">
        <v>131</v>
      </c>
      <c r="D93" s="106" t="s">
        <v>132</v>
      </c>
      <c r="E93" s="106" t="s">
        <v>133</v>
      </c>
      <c r="F93" s="106" t="s">
        <v>114</v>
      </c>
      <c r="G93" s="106" t="s">
        <v>134</v>
      </c>
      <c r="I93" s="105" t="s">
        <v>135</v>
      </c>
      <c r="J93" s="105" t="s">
        <v>136</v>
      </c>
    </row>
    <row r="94" spans="1:10" ht="15.75" thickBot="1" x14ac:dyDescent="0.3">
      <c r="C94" s="107" t="s">
        <v>16</v>
      </c>
      <c r="D94" s="109"/>
      <c r="E94" s="109"/>
      <c r="F94" s="109"/>
      <c r="G94" s="118">
        <f>SUM(D94:F94)</f>
        <v>0</v>
      </c>
      <c r="I94" s="41">
        <f>G94-I84</f>
        <v>-12555000</v>
      </c>
      <c r="J94" s="41">
        <f>I94</f>
        <v>-12555000</v>
      </c>
    </row>
    <row r="95" spans="1:10" ht="15.75" thickBot="1" x14ac:dyDescent="0.3">
      <c r="C95" s="107" t="s">
        <v>17</v>
      </c>
      <c r="D95" s="108">
        <f>G63</f>
        <v>900000</v>
      </c>
      <c r="E95" s="108">
        <f>$C$55</f>
        <v>1664000</v>
      </c>
      <c r="F95" s="108">
        <f>E74</f>
        <v>480000</v>
      </c>
      <c r="G95" s="118">
        <f t="shared" ref="G95:G99" si="9">SUM(D95:F95)</f>
        <v>3044000</v>
      </c>
      <c r="I95" s="41">
        <f>G95-I85</f>
        <v>2013400</v>
      </c>
      <c r="J95" s="41">
        <f>J94+I95</f>
        <v>-10541600</v>
      </c>
    </row>
    <row r="96" spans="1:10" ht="15.75" thickBot="1" x14ac:dyDescent="0.3">
      <c r="C96" s="107" t="s">
        <v>36</v>
      </c>
      <c r="D96" s="108">
        <f>I63</f>
        <v>1200000</v>
      </c>
      <c r="E96" s="108">
        <f t="shared" ref="E96:E99" si="10">$C$55</f>
        <v>1664000</v>
      </c>
      <c r="F96" s="108">
        <f t="shared" ref="F96:F97" si="11">E75</f>
        <v>550000</v>
      </c>
      <c r="G96" s="118">
        <f t="shared" si="9"/>
        <v>3414000</v>
      </c>
      <c r="I96" s="41">
        <f t="shared" ref="I96:I99" si="12">G96-I86</f>
        <v>2916000</v>
      </c>
      <c r="J96" s="41">
        <f t="shared" ref="J96:J99" si="13">J95+I96</f>
        <v>-7625600</v>
      </c>
    </row>
    <row r="97" spans="1:10" ht="15.75" thickBot="1" x14ac:dyDescent="0.3">
      <c r="C97" s="107" t="s">
        <v>87</v>
      </c>
      <c r="D97" s="108">
        <f>J63</f>
        <v>2000000</v>
      </c>
      <c r="E97" s="108">
        <f t="shared" si="10"/>
        <v>1664000</v>
      </c>
      <c r="F97" s="108">
        <f t="shared" si="11"/>
        <v>232100</v>
      </c>
      <c r="G97" s="118">
        <f t="shared" si="9"/>
        <v>3896100</v>
      </c>
      <c r="I97" s="41">
        <f t="shared" si="12"/>
        <v>3066100</v>
      </c>
      <c r="J97" s="41">
        <f t="shared" si="13"/>
        <v>-4559500</v>
      </c>
    </row>
    <row r="98" spans="1:10" ht="15.75" thickBot="1" x14ac:dyDescent="0.3">
      <c r="C98" s="107" t="s">
        <v>88</v>
      </c>
      <c r="D98" s="108">
        <f>D97</f>
        <v>2000000</v>
      </c>
      <c r="E98" s="108">
        <f t="shared" si="10"/>
        <v>1664000</v>
      </c>
      <c r="F98" s="108"/>
      <c r="G98" s="118">
        <f t="shared" si="9"/>
        <v>3664000</v>
      </c>
      <c r="I98" s="41">
        <f t="shared" si="12"/>
        <v>2834000</v>
      </c>
      <c r="J98" s="41">
        <f t="shared" si="13"/>
        <v>-1725500</v>
      </c>
    </row>
    <row r="99" spans="1:10" ht="15.75" thickBot="1" x14ac:dyDescent="0.3">
      <c r="C99" s="107" t="s">
        <v>89</v>
      </c>
      <c r="D99" s="108">
        <f>D98</f>
        <v>2000000</v>
      </c>
      <c r="E99" s="108">
        <f t="shared" si="10"/>
        <v>1664000</v>
      </c>
      <c r="F99" s="108"/>
      <c r="G99" s="118">
        <f t="shared" si="9"/>
        <v>3664000</v>
      </c>
      <c r="I99" s="41">
        <f t="shared" si="12"/>
        <v>6464000</v>
      </c>
      <c r="J99" s="41">
        <f t="shared" si="13"/>
        <v>4738500</v>
      </c>
    </row>
    <row r="100" spans="1:10" ht="15.75" thickBot="1" x14ac:dyDescent="0.3">
      <c r="C100" s="113" t="s">
        <v>127</v>
      </c>
      <c r="D100" s="117">
        <f>SUM(D94:D99)</f>
        <v>8100000</v>
      </c>
      <c r="E100" s="114">
        <f t="shared" ref="E100:G100" si="14">SUM(E94:E99)</f>
        <v>8320000</v>
      </c>
      <c r="F100" s="116">
        <f t="shared" si="14"/>
        <v>1262100</v>
      </c>
      <c r="G100" s="115">
        <f t="shared" si="14"/>
        <v>17682100</v>
      </c>
    </row>
    <row r="101" spans="1:10" ht="15.75" thickBot="1" x14ac:dyDescent="0.3">
      <c r="I101" s="45" t="s">
        <v>137</v>
      </c>
      <c r="J101" s="47">
        <f>J99</f>
        <v>4738500</v>
      </c>
    </row>
    <row r="102" spans="1:10" ht="15.75" thickBot="1" x14ac:dyDescent="0.3"/>
    <row r="103" spans="1:10" ht="15.75" thickBot="1" x14ac:dyDescent="0.3">
      <c r="A103" s="62" t="s">
        <v>110</v>
      </c>
      <c r="B103" s="23" t="s">
        <v>178</v>
      </c>
      <c r="I103" s="45" t="s">
        <v>90</v>
      </c>
      <c r="J103" s="47">
        <f>J69</f>
        <v>4738500</v>
      </c>
    </row>
    <row r="104" spans="1:10" ht="15.75" thickBot="1" x14ac:dyDescent="0.3"/>
    <row r="105" spans="1:10" ht="15.75" thickBot="1" x14ac:dyDescent="0.3">
      <c r="B105" s="45" t="s">
        <v>212</v>
      </c>
      <c r="C105" s="46"/>
      <c r="D105" s="47">
        <f>J103</f>
        <v>4738500</v>
      </c>
    </row>
    <row r="107" spans="1:10" x14ac:dyDescent="0.25">
      <c r="B107" t="s">
        <v>213</v>
      </c>
      <c r="H107" t="s">
        <v>210</v>
      </c>
    </row>
    <row r="108" spans="1:10" ht="15.75" thickBot="1" x14ac:dyDescent="0.3">
      <c r="H108" t="s">
        <v>206</v>
      </c>
    </row>
    <row r="109" spans="1:10" ht="15.75" thickBot="1" x14ac:dyDescent="0.3">
      <c r="B109" s="45" t="s">
        <v>173</v>
      </c>
      <c r="C109" s="46"/>
      <c r="D109" s="47">
        <f>D100+E100</f>
        <v>16420000</v>
      </c>
      <c r="E109" s="24"/>
      <c r="H109" t="s">
        <v>207</v>
      </c>
    </row>
    <row r="110" spans="1:10" x14ac:dyDescent="0.25">
      <c r="H110" t="s">
        <v>208</v>
      </c>
    </row>
    <row r="111" spans="1:10" x14ac:dyDescent="0.25">
      <c r="A111" s="62" t="s">
        <v>120</v>
      </c>
      <c r="B111" s="23" t="s">
        <v>179</v>
      </c>
      <c r="H111" t="s">
        <v>209</v>
      </c>
    </row>
    <row r="112" spans="1:10" x14ac:dyDescent="0.25">
      <c r="H112" t="s">
        <v>211</v>
      </c>
    </row>
    <row r="113" spans="1:5" x14ac:dyDescent="0.25">
      <c r="B113" t="s">
        <v>214</v>
      </c>
      <c r="C113" s="3">
        <f>NPV(0.1,I95:I99)</f>
        <v>12493182.867538851</v>
      </c>
      <c r="D113" s="24">
        <f>I94</f>
        <v>-12555000</v>
      </c>
    </row>
    <row r="114" spans="1:5" ht="15.75" thickBot="1" x14ac:dyDescent="0.3"/>
    <row r="115" spans="1:5" ht="15.75" thickBot="1" x14ac:dyDescent="0.3">
      <c r="B115" s="45" t="s">
        <v>214</v>
      </c>
      <c r="C115" s="81">
        <f>C113+D113</f>
        <v>-61817.132461149246</v>
      </c>
    </row>
    <row r="117" spans="1:5" x14ac:dyDescent="0.25">
      <c r="A117" s="62" t="s">
        <v>180</v>
      </c>
      <c r="B117" t="s">
        <v>216</v>
      </c>
    </row>
    <row r="118" spans="1:5" ht="15.75" thickBot="1" x14ac:dyDescent="0.3"/>
    <row r="119" spans="1:5" ht="15.75" thickBot="1" x14ac:dyDescent="0.3">
      <c r="B119" s="120" t="s">
        <v>142</v>
      </c>
      <c r="C119" s="121">
        <f>IRR(I94:I99)</f>
        <v>9.836245275116462E-2</v>
      </c>
    </row>
    <row r="121" spans="1:5" x14ac:dyDescent="0.25">
      <c r="A121" s="62" t="s">
        <v>181</v>
      </c>
      <c r="B121" s="23" t="s">
        <v>184</v>
      </c>
    </row>
    <row r="122" spans="1:5" ht="15.75" thickBot="1" x14ac:dyDescent="0.3"/>
    <row r="123" spans="1:5" ht="15.75" thickBot="1" x14ac:dyDescent="0.3">
      <c r="B123" s="198" t="s">
        <v>217</v>
      </c>
      <c r="C123" s="199"/>
      <c r="E123">
        <f>-J98*365/I99</f>
        <v>97.433090965346537</v>
      </c>
    </row>
    <row r="125" spans="1:5" x14ac:dyDescent="0.25">
      <c r="A125" s="62" t="s">
        <v>183</v>
      </c>
      <c r="B125" s="23" t="s">
        <v>215</v>
      </c>
    </row>
    <row r="126" spans="1:5" ht="15.75" thickBot="1" x14ac:dyDescent="0.3"/>
    <row r="127" spans="1:5" ht="15.75" thickBot="1" x14ac:dyDescent="0.3">
      <c r="B127" s="120" t="s">
        <v>188</v>
      </c>
      <c r="C127" s="126">
        <f>J101/I84</f>
        <v>0.3774193548387097</v>
      </c>
    </row>
    <row r="129" spans="1:3" x14ac:dyDescent="0.25">
      <c r="A129" s="62" t="s">
        <v>186</v>
      </c>
      <c r="B129" s="23" t="s">
        <v>218</v>
      </c>
      <c r="C129" t="s">
        <v>219</v>
      </c>
    </row>
  </sheetData>
  <mergeCells count="50">
    <mergeCell ref="D20:H20"/>
    <mergeCell ref="D13:H13"/>
    <mergeCell ref="D14:H14"/>
    <mergeCell ref="D15:H15"/>
    <mergeCell ref="D16:H16"/>
    <mergeCell ref="D17:H17"/>
    <mergeCell ref="D18:H18"/>
    <mergeCell ref="D19:H19"/>
    <mergeCell ref="E46:H46"/>
    <mergeCell ref="D28:H28"/>
    <mergeCell ref="D29:H29"/>
    <mergeCell ref="D30:H30"/>
    <mergeCell ref="D21:H21"/>
    <mergeCell ref="D22:H22"/>
    <mergeCell ref="D23:H23"/>
    <mergeCell ref="D24:H24"/>
    <mergeCell ref="D26:H26"/>
    <mergeCell ref="D27:H27"/>
    <mergeCell ref="D60:F60"/>
    <mergeCell ref="G60:H60"/>
    <mergeCell ref="D61:F61"/>
    <mergeCell ref="G61:H61"/>
    <mergeCell ref="D34:H34"/>
    <mergeCell ref="D35:H35"/>
    <mergeCell ref="D36:H36"/>
    <mergeCell ref="D37:H37"/>
    <mergeCell ref="D38:H38"/>
    <mergeCell ref="D39:H39"/>
    <mergeCell ref="D40:H40"/>
    <mergeCell ref="D41:H41"/>
    <mergeCell ref="D42:H42"/>
    <mergeCell ref="D43:H43"/>
    <mergeCell ref="D44:H44"/>
    <mergeCell ref="D45:H45"/>
    <mergeCell ref="A1:M10"/>
    <mergeCell ref="B123:C123"/>
    <mergeCell ref="D64:F64"/>
    <mergeCell ref="G64:H64"/>
    <mergeCell ref="D65:F65"/>
    <mergeCell ref="G65:H65"/>
    <mergeCell ref="D66:F66"/>
    <mergeCell ref="G66:H66"/>
    <mergeCell ref="D67:F67"/>
    <mergeCell ref="G67:H67"/>
    <mergeCell ref="D62:F62"/>
    <mergeCell ref="G62:H62"/>
    <mergeCell ref="D63:F63"/>
    <mergeCell ref="G63:H63"/>
    <mergeCell ref="E47:H47"/>
    <mergeCell ref="E48:H4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4955-6BDE-4DF4-B11A-D7EDE44AD510}">
  <dimension ref="A1:R19"/>
  <sheetViews>
    <sheetView topLeftCell="A4" zoomScale="80" zoomScaleNormal="80" workbookViewId="0">
      <selection activeCell="R32" sqref="R32"/>
    </sheetView>
  </sheetViews>
  <sheetFormatPr baseColWidth="10" defaultColWidth="9.140625" defaultRowHeight="15" x14ac:dyDescent="0.25"/>
  <cols>
    <col min="5" max="6" width="13.5703125" bestFit="1" customWidth="1"/>
  </cols>
  <sheetData>
    <row r="1" spans="1:18" x14ac:dyDescent="0.25">
      <c r="A1" s="217" t="s">
        <v>220</v>
      </c>
      <c r="B1" s="217"/>
      <c r="C1" s="217"/>
      <c r="D1" s="217"/>
      <c r="E1" s="217"/>
      <c r="F1" s="217"/>
      <c r="G1" s="217"/>
      <c r="H1" s="217"/>
      <c r="I1" s="217"/>
      <c r="J1" s="217"/>
      <c r="K1" s="217"/>
      <c r="L1" s="217"/>
      <c r="M1" s="217"/>
      <c r="N1" s="217"/>
      <c r="O1" s="217"/>
      <c r="P1" s="217"/>
      <c r="Q1" s="217"/>
      <c r="R1" s="217"/>
    </row>
    <row r="2" spans="1:18" x14ac:dyDescent="0.25">
      <c r="A2" s="217"/>
      <c r="B2" s="217"/>
      <c r="C2" s="217"/>
      <c r="D2" s="217"/>
      <c r="E2" s="217"/>
      <c r="F2" s="217"/>
      <c r="G2" s="217"/>
      <c r="H2" s="217"/>
      <c r="I2" s="217"/>
      <c r="J2" s="217"/>
      <c r="K2" s="217"/>
      <c r="L2" s="217"/>
      <c r="M2" s="217"/>
      <c r="N2" s="217"/>
      <c r="O2" s="217"/>
      <c r="P2" s="217"/>
      <c r="Q2" s="217"/>
      <c r="R2" s="217"/>
    </row>
    <row r="3" spans="1:18" x14ac:dyDescent="0.25">
      <c r="A3" s="217"/>
      <c r="B3" s="217"/>
      <c r="C3" s="217"/>
      <c r="D3" s="217"/>
      <c r="E3" s="217"/>
      <c r="F3" s="217"/>
      <c r="G3" s="217"/>
      <c r="H3" s="217"/>
      <c r="I3" s="217"/>
      <c r="J3" s="217"/>
      <c r="K3" s="217"/>
      <c r="L3" s="217"/>
      <c r="M3" s="217"/>
      <c r="N3" s="217"/>
      <c r="O3" s="217"/>
      <c r="P3" s="217"/>
      <c r="Q3" s="217"/>
      <c r="R3" s="217"/>
    </row>
    <row r="4" spans="1:18" x14ac:dyDescent="0.25">
      <c r="A4" s="217"/>
      <c r="B4" s="217"/>
      <c r="C4" s="217"/>
      <c r="D4" s="217"/>
      <c r="E4" s="217"/>
      <c r="F4" s="217"/>
      <c r="G4" s="217"/>
      <c r="H4" s="217"/>
      <c r="I4" s="217"/>
      <c r="J4" s="217"/>
      <c r="K4" s="217"/>
      <c r="L4" s="217"/>
      <c r="M4" s="217"/>
      <c r="N4" s="217"/>
      <c r="O4" s="217"/>
      <c r="P4" s="217"/>
      <c r="Q4" s="217"/>
      <c r="R4" s="217"/>
    </row>
    <row r="5" spans="1:18" x14ac:dyDescent="0.25">
      <c r="A5" s="217"/>
      <c r="B5" s="217"/>
      <c r="C5" s="217"/>
      <c r="D5" s="217"/>
      <c r="E5" s="217"/>
      <c r="F5" s="217"/>
      <c r="G5" s="217"/>
      <c r="H5" s="217"/>
      <c r="I5" s="217"/>
      <c r="J5" s="217"/>
      <c r="K5" s="217"/>
      <c r="L5" s="217"/>
      <c r="M5" s="217"/>
      <c r="N5" s="217"/>
      <c r="O5" s="217"/>
      <c r="P5" s="217"/>
      <c r="Q5" s="217"/>
      <c r="R5" s="217"/>
    </row>
    <row r="6" spans="1:18" x14ac:dyDescent="0.25">
      <c r="A6" s="217"/>
      <c r="B6" s="217"/>
      <c r="C6" s="217"/>
      <c r="D6" s="217"/>
      <c r="E6" s="217"/>
      <c r="F6" s="217"/>
      <c r="G6" s="217"/>
      <c r="H6" s="217"/>
      <c r="I6" s="217"/>
      <c r="J6" s="217"/>
      <c r="K6" s="217"/>
      <c r="L6" s="217"/>
      <c r="M6" s="217"/>
      <c r="N6" s="217"/>
      <c r="O6" s="217"/>
      <c r="P6" s="217"/>
      <c r="Q6" s="217"/>
      <c r="R6" s="217"/>
    </row>
    <row r="7" spans="1:18" x14ac:dyDescent="0.25">
      <c r="A7" s="217"/>
      <c r="B7" s="217"/>
      <c r="C7" s="217"/>
      <c r="D7" s="217"/>
      <c r="E7" s="217"/>
      <c r="F7" s="217"/>
      <c r="G7" s="217"/>
      <c r="H7" s="217"/>
      <c r="I7" s="217"/>
      <c r="J7" s="217"/>
      <c r="K7" s="217"/>
      <c r="L7" s="217"/>
      <c r="M7" s="217"/>
      <c r="N7" s="217"/>
      <c r="O7" s="217"/>
      <c r="P7" s="217"/>
      <c r="Q7" s="217"/>
      <c r="R7" s="217"/>
    </row>
    <row r="8" spans="1:18" x14ac:dyDescent="0.25">
      <c r="A8" t="s">
        <v>221</v>
      </c>
    </row>
    <row r="10" spans="1:18" x14ac:dyDescent="0.25">
      <c r="B10" t="s">
        <v>222</v>
      </c>
      <c r="E10" s="6">
        <f>E12/1.21</f>
        <v>2283057.8512396696</v>
      </c>
      <c r="F10" s="6"/>
    </row>
    <row r="11" spans="1:18" x14ac:dyDescent="0.25">
      <c r="B11" t="s">
        <v>223</v>
      </c>
      <c r="E11" s="24">
        <f>E10*0.21</f>
        <v>479442.14876033057</v>
      </c>
      <c r="F11" s="24"/>
    </row>
    <row r="12" spans="1:18" x14ac:dyDescent="0.25">
      <c r="B12" t="s">
        <v>224</v>
      </c>
      <c r="E12" s="6">
        <v>2762500</v>
      </c>
    </row>
    <row r="13" spans="1:18" x14ac:dyDescent="0.25">
      <c r="B13" t="s">
        <v>225</v>
      </c>
      <c r="E13" s="6">
        <f>0.3*E10</f>
        <v>684917.35537190083</v>
      </c>
    </row>
    <row r="14" spans="1:18" x14ac:dyDescent="0.25">
      <c r="B14" t="s">
        <v>226</v>
      </c>
      <c r="E14" s="6">
        <f>18150/1.21</f>
        <v>15000</v>
      </c>
    </row>
    <row r="15" spans="1:18" x14ac:dyDescent="0.25">
      <c r="B15" t="s">
        <v>227</v>
      </c>
      <c r="E15" s="6">
        <f>E14*0.21</f>
        <v>3150</v>
      </c>
    </row>
    <row r="16" spans="1:18" x14ac:dyDescent="0.25">
      <c r="B16" t="s">
        <v>228</v>
      </c>
      <c r="E16" s="6">
        <f>24200/1.21</f>
        <v>20000</v>
      </c>
    </row>
    <row r="17" spans="2:5" x14ac:dyDescent="0.25">
      <c r="B17" t="s">
        <v>229</v>
      </c>
      <c r="E17" s="6">
        <f>E16*0.21</f>
        <v>4200</v>
      </c>
    </row>
    <row r="18" spans="2:5" x14ac:dyDescent="0.25">
      <c r="B18" t="s">
        <v>230</v>
      </c>
      <c r="E18" s="6">
        <f>36250/0.21</f>
        <v>172619.04761904763</v>
      </c>
    </row>
    <row r="19" spans="2:5" x14ac:dyDescent="0.25">
      <c r="B19" t="s">
        <v>231</v>
      </c>
    </row>
  </sheetData>
  <mergeCells count="1">
    <mergeCell ref="A1:R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0842-FCAA-4229-BC12-8215C5729EB7}">
  <dimension ref="A1:M138"/>
  <sheetViews>
    <sheetView tabSelected="1" topLeftCell="A85" zoomScaleNormal="100" workbookViewId="0">
      <selection activeCell="C136" sqref="C136"/>
    </sheetView>
  </sheetViews>
  <sheetFormatPr baseColWidth="10" defaultColWidth="9.140625" defaultRowHeight="15" x14ac:dyDescent="0.25"/>
  <cols>
    <col min="2" max="2" width="13.140625" customWidth="1"/>
    <col min="3" max="3" width="20.85546875" customWidth="1"/>
    <col min="4" max="4" width="15.85546875" bestFit="1" customWidth="1"/>
    <col min="5" max="5" width="14.5703125" bestFit="1" customWidth="1"/>
    <col min="6" max="6" width="19.5703125" bestFit="1" customWidth="1"/>
    <col min="7" max="7" width="15.85546875" customWidth="1"/>
    <col min="8" max="8" width="16" customWidth="1"/>
    <col min="9" max="9" width="16.5703125" customWidth="1"/>
    <col min="10" max="10" width="17.140625" customWidth="1"/>
    <col min="11" max="11" width="16" bestFit="1" customWidth="1"/>
  </cols>
  <sheetData>
    <row r="1" spans="1:13" x14ac:dyDescent="0.25">
      <c r="A1" s="217" t="s">
        <v>232</v>
      </c>
      <c r="B1" s="217"/>
      <c r="C1" s="217"/>
      <c r="D1" s="217"/>
      <c r="E1" s="217"/>
      <c r="F1" s="217"/>
      <c r="G1" s="217"/>
      <c r="H1" s="217"/>
      <c r="I1" s="217"/>
      <c r="J1" s="217"/>
      <c r="K1" s="217"/>
      <c r="L1" s="217"/>
      <c r="M1" s="217"/>
    </row>
    <row r="2" spans="1:13" x14ac:dyDescent="0.25">
      <c r="A2" s="217"/>
      <c r="B2" s="217"/>
      <c r="C2" s="217"/>
      <c r="D2" s="217"/>
      <c r="E2" s="217"/>
      <c r="F2" s="217"/>
      <c r="G2" s="217"/>
      <c r="H2" s="217"/>
      <c r="I2" s="217"/>
      <c r="J2" s="217"/>
      <c r="K2" s="217"/>
      <c r="L2" s="217"/>
      <c r="M2" s="217"/>
    </row>
    <row r="3" spans="1:13" x14ac:dyDescent="0.25">
      <c r="A3" s="217"/>
      <c r="B3" s="217"/>
      <c r="C3" s="217"/>
      <c r="D3" s="217"/>
      <c r="E3" s="217"/>
      <c r="F3" s="217"/>
      <c r="G3" s="217"/>
      <c r="H3" s="217"/>
      <c r="I3" s="217"/>
      <c r="J3" s="217"/>
      <c r="K3" s="217"/>
      <c r="L3" s="217"/>
      <c r="M3" s="217"/>
    </row>
    <row r="4" spans="1:13" x14ac:dyDescent="0.25">
      <c r="A4" s="217"/>
      <c r="B4" s="217"/>
      <c r="C4" s="217"/>
      <c r="D4" s="217"/>
      <c r="E4" s="217"/>
      <c r="F4" s="217"/>
      <c r="G4" s="217"/>
      <c r="H4" s="217"/>
      <c r="I4" s="217"/>
      <c r="J4" s="217"/>
      <c r="K4" s="217"/>
      <c r="L4" s="217"/>
      <c r="M4" s="217"/>
    </row>
    <row r="5" spans="1:13" x14ac:dyDescent="0.25">
      <c r="A5" s="217"/>
      <c r="B5" s="217"/>
      <c r="C5" s="217"/>
      <c r="D5" s="217"/>
      <c r="E5" s="217"/>
      <c r="F5" s="217"/>
      <c r="G5" s="217"/>
      <c r="H5" s="217"/>
      <c r="I5" s="217"/>
      <c r="J5" s="217"/>
      <c r="K5" s="217"/>
      <c r="L5" s="217"/>
      <c r="M5" s="217"/>
    </row>
    <row r="6" spans="1:13" x14ac:dyDescent="0.25">
      <c r="A6" s="217"/>
      <c r="B6" s="217"/>
      <c r="C6" s="217"/>
      <c r="D6" s="217"/>
      <c r="E6" s="217"/>
      <c r="F6" s="217"/>
      <c r="G6" s="217"/>
      <c r="H6" s="217"/>
      <c r="I6" s="217"/>
      <c r="J6" s="217"/>
      <c r="K6" s="217"/>
      <c r="L6" s="217"/>
      <c r="M6" s="217"/>
    </row>
    <row r="7" spans="1:13" x14ac:dyDescent="0.25">
      <c r="A7" s="217" t="s">
        <v>233</v>
      </c>
      <c r="B7" s="217"/>
      <c r="C7" s="217"/>
      <c r="D7" s="217"/>
      <c r="E7" s="217"/>
      <c r="F7" s="217"/>
      <c r="G7" s="217"/>
      <c r="H7" s="217"/>
      <c r="I7" s="217"/>
      <c r="J7" s="217"/>
      <c r="K7" s="217"/>
      <c r="L7" s="217"/>
      <c r="M7" s="217"/>
    </row>
    <row r="8" spans="1:13" x14ac:dyDescent="0.25">
      <c r="A8" s="217"/>
      <c r="B8" s="217"/>
      <c r="C8" s="217"/>
      <c r="D8" s="217"/>
      <c r="E8" s="217"/>
      <c r="F8" s="217"/>
      <c r="G8" s="217"/>
      <c r="H8" s="217"/>
      <c r="I8" s="217"/>
      <c r="J8" s="217"/>
      <c r="K8" s="217"/>
      <c r="L8" s="217"/>
      <c r="M8" s="217"/>
    </row>
    <row r="9" spans="1:13" x14ac:dyDescent="0.25">
      <c r="A9" s="217"/>
      <c r="B9" s="217"/>
      <c r="C9" s="217"/>
      <c r="D9" s="217"/>
      <c r="E9" s="217"/>
      <c r="F9" s="217"/>
      <c r="G9" s="217"/>
      <c r="H9" s="217"/>
      <c r="I9" s="217"/>
      <c r="J9" s="217"/>
      <c r="K9" s="217"/>
      <c r="L9" s="217"/>
      <c r="M9" s="217"/>
    </row>
    <row r="10" spans="1:13" x14ac:dyDescent="0.25">
      <c r="A10" s="217"/>
      <c r="B10" s="217"/>
      <c r="C10" s="217"/>
      <c r="D10" s="217"/>
      <c r="E10" s="217"/>
      <c r="F10" s="217"/>
      <c r="G10" s="217"/>
      <c r="H10" s="217"/>
      <c r="I10" s="217"/>
      <c r="J10" s="217"/>
      <c r="K10" s="217"/>
      <c r="L10" s="217"/>
      <c r="M10" s="217"/>
    </row>
    <row r="11" spans="1:13" x14ac:dyDescent="0.25">
      <c r="A11" s="217"/>
      <c r="B11" s="217"/>
      <c r="C11" s="217"/>
      <c r="D11" s="217"/>
      <c r="E11" s="217"/>
      <c r="F11" s="217"/>
      <c r="G11" s="217"/>
      <c r="H11" s="217"/>
      <c r="I11" s="217"/>
      <c r="J11" s="217"/>
      <c r="K11" s="217"/>
      <c r="L11" s="217"/>
      <c r="M11" s="217"/>
    </row>
    <row r="12" spans="1:13" x14ac:dyDescent="0.25">
      <c r="A12" s="207" t="s">
        <v>234</v>
      </c>
      <c r="B12" s="207"/>
      <c r="C12" s="207"/>
      <c r="D12" s="207"/>
      <c r="E12" s="207"/>
      <c r="F12" s="207"/>
      <c r="G12" s="207"/>
      <c r="H12" s="207"/>
      <c r="I12" s="207"/>
      <c r="J12" s="207"/>
      <c r="K12" s="207"/>
      <c r="L12" s="207"/>
      <c r="M12" s="207"/>
    </row>
    <row r="13" spans="1:13" x14ac:dyDescent="0.25">
      <c r="A13" s="207"/>
      <c r="B13" s="207"/>
      <c r="C13" s="207"/>
      <c r="D13" s="207"/>
      <c r="E13" s="207"/>
      <c r="F13" s="207"/>
      <c r="G13" s="207"/>
      <c r="H13" s="207"/>
      <c r="I13" s="207"/>
      <c r="J13" s="207"/>
      <c r="K13" s="207"/>
      <c r="L13" s="207"/>
      <c r="M13" s="207"/>
    </row>
    <row r="14" spans="1:13" ht="15.75" thickBot="1" x14ac:dyDescent="0.3"/>
    <row r="15" spans="1:13" x14ac:dyDescent="0.25">
      <c r="C15" s="194" t="s">
        <v>235</v>
      </c>
      <c r="D15" s="195"/>
      <c r="E15" s="197"/>
      <c r="F15" s="32">
        <f>F17/1.21</f>
        <v>800000</v>
      </c>
      <c r="G15" t="s">
        <v>162</v>
      </c>
      <c r="H15" s="194" t="s">
        <v>246</v>
      </c>
      <c r="I15" s="195"/>
      <c r="J15" s="197"/>
      <c r="K15" s="83">
        <f>K17/1.21</f>
        <v>450000</v>
      </c>
      <c r="L15" t="s">
        <v>163</v>
      </c>
    </row>
    <row r="16" spans="1:13" x14ac:dyDescent="0.25">
      <c r="C16" s="169" t="s">
        <v>237</v>
      </c>
      <c r="D16" s="170"/>
      <c r="E16" s="171"/>
      <c r="F16" s="29">
        <f>F15*0.21</f>
        <v>168000</v>
      </c>
      <c r="H16" s="169" t="s">
        <v>248</v>
      </c>
      <c r="I16" s="170"/>
      <c r="J16" s="171"/>
      <c r="K16" s="29">
        <f>0.21*K15</f>
        <v>94500</v>
      </c>
    </row>
    <row r="17" spans="1:12" x14ac:dyDescent="0.25">
      <c r="C17" s="169" t="s">
        <v>236</v>
      </c>
      <c r="D17" s="170"/>
      <c r="E17" s="171"/>
      <c r="F17" s="29">
        <v>968000</v>
      </c>
      <c r="H17" s="169" t="s">
        <v>247</v>
      </c>
      <c r="I17" s="170"/>
      <c r="J17" s="171"/>
      <c r="K17" s="29">
        <v>544500</v>
      </c>
    </row>
    <row r="18" spans="1:12" x14ac:dyDescent="0.25">
      <c r="C18" s="169" t="s">
        <v>238</v>
      </c>
      <c r="D18" s="170"/>
      <c r="E18" s="171"/>
      <c r="F18" s="29">
        <f>F20/1.105</f>
        <v>12000000</v>
      </c>
      <c r="G18" t="s">
        <v>162</v>
      </c>
      <c r="H18" s="169" t="s">
        <v>249</v>
      </c>
      <c r="I18" s="170"/>
      <c r="J18" s="171"/>
      <c r="K18" s="29">
        <f>K20/1.21</f>
        <v>82644.628099173555</v>
      </c>
      <c r="L18" t="s">
        <v>162</v>
      </c>
    </row>
    <row r="19" spans="1:12" x14ac:dyDescent="0.25">
      <c r="C19" s="169" t="s">
        <v>223</v>
      </c>
      <c r="D19" s="170"/>
      <c r="E19" s="171"/>
      <c r="F19" s="29">
        <f>F18*0.105</f>
        <v>1260000</v>
      </c>
      <c r="H19" s="169" t="s">
        <v>251</v>
      </c>
      <c r="I19" s="170"/>
      <c r="J19" s="171"/>
      <c r="K19" s="29">
        <f>K18*0.21</f>
        <v>17355.371900826445</v>
      </c>
    </row>
    <row r="20" spans="1:12" x14ac:dyDescent="0.25">
      <c r="C20" s="169" t="s">
        <v>239</v>
      </c>
      <c r="D20" s="170"/>
      <c r="E20" s="171"/>
      <c r="F20" s="29">
        <v>13260000</v>
      </c>
      <c r="H20" s="169" t="s">
        <v>250</v>
      </c>
      <c r="I20" s="170"/>
      <c r="J20" s="171"/>
      <c r="K20" s="29">
        <v>100000</v>
      </c>
    </row>
    <row r="21" spans="1:12" x14ac:dyDescent="0.25">
      <c r="A21" s="186" t="s">
        <v>261</v>
      </c>
      <c r="B21" s="158"/>
      <c r="C21" s="169" t="s">
        <v>240</v>
      </c>
      <c r="D21" s="170"/>
      <c r="E21" s="171"/>
      <c r="F21" s="29">
        <v>10000000</v>
      </c>
      <c r="H21" s="169" t="s">
        <v>226</v>
      </c>
      <c r="I21" s="170"/>
      <c r="J21" s="171"/>
      <c r="K21" s="29">
        <f>K23/1.21</f>
        <v>117355.37190082645</v>
      </c>
      <c r="L21" t="s">
        <v>162</v>
      </c>
    </row>
    <row r="22" spans="1:12" x14ac:dyDescent="0.25">
      <c r="C22" s="169" t="s">
        <v>241</v>
      </c>
      <c r="D22" s="170"/>
      <c r="E22" s="171"/>
      <c r="F22" s="29">
        <v>90000</v>
      </c>
      <c r="H22" s="169" t="s">
        <v>227</v>
      </c>
      <c r="I22" s="170"/>
      <c r="J22" s="171"/>
      <c r="K22" s="29">
        <f>K21*0.21</f>
        <v>24644.628099173551</v>
      </c>
    </row>
    <row r="23" spans="1:12" x14ac:dyDescent="0.25">
      <c r="C23" s="169" t="s">
        <v>242</v>
      </c>
      <c r="D23" s="170"/>
      <c r="E23" s="171"/>
      <c r="F23" s="29">
        <v>50000</v>
      </c>
      <c r="H23" s="169" t="s">
        <v>252</v>
      </c>
      <c r="I23" s="170"/>
      <c r="J23" s="171"/>
      <c r="K23" s="29">
        <v>142000</v>
      </c>
    </row>
    <row r="24" spans="1:12" x14ac:dyDescent="0.25">
      <c r="C24" s="169" t="s">
        <v>243</v>
      </c>
      <c r="D24" s="170"/>
      <c r="E24" s="171"/>
      <c r="F24" s="29">
        <f>0.6*F23</f>
        <v>30000</v>
      </c>
      <c r="H24" s="169" t="s">
        <v>253</v>
      </c>
      <c r="I24" s="170"/>
      <c r="J24" s="171"/>
      <c r="K24" s="29">
        <f>K26/1.21</f>
        <v>350000</v>
      </c>
      <c r="L24" t="s">
        <v>164</v>
      </c>
    </row>
    <row r="25" spans="1:12" x14ac:dyDescent="0.25">
      <c r="C25" s="169" t="s">
        <v>244</v>
      </c>
      <c r="D25" s="170"/>
      <c r="E25" s="171"/>
      <c r="F25" s="29">
        <v>15000</v>
      </c>
      <c r="H25" s="169" t="s">
        <v>254</v>
      </c>
      <c r="I25" s="170"/>
      <c r="J25" s="171"/>
      <c r="K25" s="29">
        <f>0.21*K24</f>
        <v>73500</v>
      </c>
    </row>
    <row r="26" spans="1:12" ht="15.75" thickBot="1" x14ac:dyDescent="0.3">
      <c r="C26" s="196" t="s">
        <v>245</v>
      </c>
      <c r="D26" s="190"/>
      <c r="E26" s="191"/>
      <c r="F26" s="84">
        <f>0.21*F25</f>
        <v>3150</v>
      </c>
      <c r="H26" s="169" t="s">
        <v>255</v>
      </c>
      <c r="I26" s="170"/>
      <c r="J26" s="171"/>
      <c r="K26" s="29">
        <v>423500</v>
      </c>
    </row>
    <row r="27" spans="1:12" ht="15.75" thickBot="1" x14ac:dyDescent="0.3">
      <c r="F27" s="6"/>
      <c r="H27" s="169" t="s">
        <v>256</v>
      </c>
      <c r="I27" s="170"/>
      <c r="J27" s="171"/>
      <c r="K27" s="29">
        <f>K29/1.21</f>
        <v>650000</v>
      </c>
      <c r="L27" t="s">
        <v>165</v>
      </c>
    </row>
    <row r="28" spans="1:12" x14ac:dyDescent="0.25">
      <c r="C28" s="194" t="s">
        <v>193</v>
      </c>
      <c r="D28" s="195"/>
      <c r="E28" s="197"/>
      <c r="F28" s="83">
        <v>3500000</v>
      </c>
      <c r="H28" s="169" t="s">
        <v>257</v>
      </c>
      <c r="I28" s="170"/>
      <c r="J28" s="171"/>
      <c r="K28" s="29">
        <f>K27*0.21</f>
        <v>136500</v>
      </c>
    </row>
    <row r="29" spans="1:12" ht="15.75" thickBot="1" x14ac:dyDescent="0.3">
      <c r="C29" s="169" t="s">
        <v>204</v>
      </c>
      <c r="D29" s="170"/>
      <c r="E29" s="171"/>
      <c r="F29" s="127">
        <v>0.1</v>
      </c>
      <c r="H29" s="196" t="s">
        <v>258</v>
      </c>
      <c r="I29" s="190"/>
      <c r="J29" s="191"/>
      <c r="K29" s="84">
        <f>786500</f>
        <v>786500</v>
      </c>
    </row>
    <row r="30" spans="1:12" ht="15.75" thickBot="1" x14ac:dyDescent="0.3">
      <c r="C30" s="196" t="s">
        <v>205</v>
      </c>
      <c r="D30" s="190"/>
      <c r="E30" s="191"/>
      <c r="F30" s="128">
        <v>0.35</v>
      </c>
      <c r="K30" s="6"/>
    </row>
    <row r="31" spans="1:12" ht="15.75" thickBot="1" x14ac:dyDescent="0.3">
      <c r="F31" s="6"/>
      <c r="H31" s="221" t="s">
        <v>259</v>
      </c>
      <c r="I31" s="222"/>
      <c r="J31" s="129">
        <v>0.4</v>
      </c>
      <c r="K31" s="130">
        <v>0.6</v>
      </c>
    </row>
    <row r="32" spans="1:12" x14ac:dyDescent="0.25">
      <c r="F32" s="6"/>
      <c r="J32" t="s">
        <v>17</v>
      </c>
      <c r="K32" t="s">
        <v>36</v>
      </c>
    </row>
    <row r="33" spans="1:11" x14ac:dyDescent="0.25">
      <c r="A33" s="62" t="s">
        <v>38</v>
      </c>
      <c r="B33" s="23" t="s">
        <v>39</v>
      </c>
      <c r="F33" t="s">
        <v>260</v>
      </c>
    </row>
    <row r="34" spans="1:11" ht="15.75" thickBot="1" x14ac:dyDescent="0.3"/>
    <row r="35" spans="1:11" ht="15.75" thickBot="1" x14ac:dyDescent="0.3">
      <c r="D35" s="161"/>
      <c r="E35" s="168"/>
      <c r="F35" s="168"/>
      <c r="G35" s="168"/>
      <c r="H35" s="162"/>
      <c r="I35" s="19" t="s">
        <v>50</v>
      </c>
      <c r="J35" s="19" t="s">
        <v>51</v>
      </c>
      <c r="K35" s="20" t="s">
        <v>52</v>
      </c>
    </row>
    <row r="36" spans="1:11" x14ac:dyDescent="0.25">
      <c r="D36" s="169" t="s">
        <v>40</v>
      </c>
      <c r="E36" s="170"/>
      <c r="F36" s="170"/>
      <c r="G36" s="170"/>
      <c r="H36" s="171"/>
      <c r="I36" s="17">
        <f>F15+F18+K18+K21</f>
        <v>13000000</v>
      </c>
      <c r="J36" s="17">
        <f>K15</f>
        <v>450000</v>
      </c>
      <c r="K36" s="16">
        <f>I36+J36</f>
        <v>13450000</v>
      </c>
    </row>
    <row r="37" spans="1:11" x14ac:dyDescent="0.25">
      <c r="D37" s="169" t="s">
        <v>166</v>
      </c>
      <c r="E37" s="170"/>
      <c r="F37" s="170"/>
      <c r="G37" s="170"/>
      <c r="H37" s="171"/>
      <c r="I37" s="17">
        <f>F16+F19+K19+K22</f>
        <v>1470000</v>
      </c>
      <c r="J37" s="17">
        <f>K16</f>
        <v>94500</v>
      </c>
      <c r="K37" s="16">
        <f>I37+J37</f>
        <v>1564500</v>
      </c>
    </row>
    <row r="38" spans="1:11" x14ac:dyDescent="0.25">
      <c r="D38" s="169" t="s">
        <v>42</v>
      </c>
      <c r="E38" s="170"/>
      <c r="F38" s="170"/>
      <c r="G38" s="170"/>
      <c r="H38" s="171"/>
      <c r="I38" s="17">
        <f>I36+I37</f>
        <v>14470000</v>
      </c>
      <c r="J38" s="17">
        <f t="shared" ref="J38:K38" si="0">J36+J37</f>
        <v>544500</v>
      </c>
      <c r="K38" s="17">
        <f t="shared" si="0"/>
        <v>15014500</v>
      </c>
    </row>
    <row r="39" spans="1:11" x14ac:dyDescent="0.25">
      <c r="D39" s="169"/>
      <c r="E39" s="170"/>
      <c r="F39" s="170"/>
      <c r="G39" s="170"/>
      <c r="H39" s="171"/>
      <c r="I39" s="17"/>
      <c r="J39" s="17"/>
      <c r="K39" s="16"/>
    </row>
    <row r="40" spans="1:11" x14ac:dyDescent="0.25">
      <c r="D40" s="169" t="s">
        <v>43</v>
      </c>
      <c r="E40" s="170"/>
      <c r="F40" s="170"/>
      <c r="G40" s="170"/>
      <c r="H40" s="171"/>
      <c r="I40" s="17"/>
      <c r="J40" s="17"/>
      <c r="K40" s="16"/>
    </row>
    <row r="41" spans="1:11" x14ac:dyDescent="0.25">
      <c r="D41" s="169"/>
      <c r="E41" s="170"/>
      <c r="F41" s="170"/>
      <c r="G41" s="170"/>
      <c r="H41" s="171"/>
      <c r="I41" s="17"/>
      <c r="J41" s="17"/>
      <c r="K41" s="16"/>
    </row>
    <row r="42" spans="1:11" x14ac:dyDescent="0.25">
      <c r="D42" s="169" t="s">
        <v>44</v>
      </c>
      <c r="E42" s="170"/>
      <c r="F42" s="170"/>
      <c r="G42" s="170"/>
      <c r="H42" s="171"/>
      <c r="I42" s="17">
        <f>K24</f>
        <v>350000</v>
      </c>
      <c r="J42" s="17">
        <f>K27</f>
        <v>650000</v>
      </c>
      <c r="K42" s="16">
        <f>I42+J42</f>
        <v>1000000</v>
      </c>
    </row>
    <row r="43" spans="1:11" x14ac:dyDescent="0.25">
      <c r="D43" s="169" t="s">
        <v>41</v>
      </c>
      <c r="E43" s="170"/>
      <c r="F43" s="170"/>
      <c r="G43" s="170"/>
      <c r="H43" s="171"/>
      <c r="I43" s="125">
        <f>K25</f>
        <v>73500</v>
      </c>
      <c r="J43" s="125">
        <f>K28</f>
        <v>136500</v>
      </c>
      <c r="K43" s="16">
        <f>I43+J43</f>
        <v>210000</v>
      </c>
    </row>
    <row r="44" spans="1:11" x14ac:dyDescent="0.25">
      <c r="D44" s="169" t="s">
        <v>42</v>
      </c>
      <c r="E44" s="170"/>
      <c r="F44" s="170"/>
      <c r="G44" s="170"/>
      <c r="H44" s="171"/>
      <c r="I44" s="17">
        <f>I42+I43</f>
        <v>423500</v>
      </c>
      <c r="J44" s="17">
        <f>J42+J43</f>
        <v>786500</v>
      </c>
      <c r="K44" s="17">
        <f t="shared" ref="J44:K44" si="1">K42+K43</f>
        <v>1210000</v>
      </c>
    </row>
    <row r="45" spans="1:11" x14ac:dyDescent="0.25">
      <c r="D45" s="169"/>
      <c r="E45" s="170"/>
      <c r="F45" s="170"/>
      <c r="G45" s="170"/>
      <c r="H45" s="171"/>
      <c r="I45" s="17"/>
      <c r="J45" s="17"/>
      <c r="K45" s="16"/>
    </row>
    <row r="46" spans="1:11" x14ac:dyDescent="0.25">
      <c r="D46" s="169" t="s">
        <v>45</v>
      </c>
      <c r="E46" s="170"/>
      <c r="F46" s="170"/>
      <c r="G46" s="170"/>
      <c r="H46" s="171"/>
      <c r="I46" s="17"/>
      <c r="J46" s="17"/>
      <c r="K46" s="16"/>
    </row>
    <row r="47" spans="1:11" x14ac:dyDescent="0.25">
      <c r="D47" s="10"/>
      <c r="E47" s="170" t="s">
        <v>46</v>
      </c>
      <c r="F47" s="170"/>
      <c r="G47" s="170"/>
      <c r="H47" s="171"/>
      <c r="I47" s="17">
        <f>I36+I42</f>
        <v>13350000</v>
      </c>
      <c r="J47" s="17">
        <f t="shared" ref="J47:K47" si="2">J36+J42</f>
        <v>1100000</v>
      </c>
      <c r="K47" s="17">
        <f t="shared" si="2"/>
        <v>14450000</v>
      </c>
    </row>
    <row r="48" spans="1:11" x14ac:dyDescent="0.25">
      <c r="D48" s="10"/>
      <c r="E48" s="170" t="s">
        <v>47</v>
      </c>
      <c r="F48" s="170"/>
      <c r="G48" s="170"/>
      <c r="H48" s="171"/>
      <c r="I48" s="17">
        <f>I37+I43</f>
        <v>1543500</v>
      </c>
      <c r="J48" s="17">
        <f t="shared" ref="J48:K48" si="3">J37+J43</f>
        <v>231000</v>
      </c>
      <c r="K48" s="17">
        <f t="shared" si="3"/>
        <v>1774500</v>
      </c>
    </row>
    <row r="49" spans="1:11" ht="15.75" thickBot="1" x14ac:dyDescent="0.3">
      <c r="D49" s="12"/>
      <c r="E49" s="190" t="s">
        <v>48</v>
      </c>
      <c r="F49" s="190"/>
      <c r="G49" s="190"/>
      <c r="H49" s="191"/>
      <c r="I49" s="18">
        <f>I47+I48</f>
        <v>14893500</v>
      </c>
      <c r="J49" s="18">
        <f t="shared" ref="J49:K49" si="4">J47+J48</f>
        <v>1331000</v>
      </c>
      <c r="K49" s="18">
        <f t="shared" si="4"/>
        <v>16224500</v>
      </c>
    </row>
    <row r="52" spans="1:11" x14ac:dyDescent="0.25">
      <c r="A52" s="62" t="s">
        <v>54</v>
      </c>
      <c r="B52" s="23" t="s">
        <v>55</v>
      </c>
    </row>
    <row r="54" spans="1:11" x14ac:dyDescent="0.25">
      <c r="B54" t="s">
        <v>56</v>
      </c>
      <c r="C54" s="24">
        <f>K36</f>
        <v>13450000</v>
      </c>
    </row>
    <row r="55" spans="1:11" x14ac:dyDescent="0.25">
      <c r="B55" s="42" t="s">
        <v>57</v>
      </c>
      <c r="C55" s="43">
        <f>F28</f>
        <v>3500000</v>
      </c>
    </row>
    <row r="56" spans="1:11" x14ac:dyDescent="0.25">
      <c r="B56" t="s">
        <v>58</v>
      </c>
      <c r="C56" s="24">
        <f>C54-C55</f>
        <v>9950000</v>
      </c>
    </row>
    <row r="57" spans="1:11" x14ac:dyDescent="0.25">
      <c r="B57" t="s">
        <v>170</v>
      </c>
      <c r="C57" s="24">
        <f>C56/5</f>
        <v>1990000</v>
      </c>
    </row>
    <row r="60" spans="1:11" x14ac:dyDescent="0.25">
      <c r="A60" s="62" t="s">
        <v>60</v>
      </c>
      <c r="B60" s="23" t="s">
        <v>77</v>
      </c>
    </row>
    <row r="61" spans="1:11" ht="15.75" thickBot="1" x14ac:dyDescent="0.3"/>
    <row r="62" spans="1:11" ht="15.75" thickBot="1" x14ac:dyDescent="0.3">
      <c r="C62" s="161"/>
      <c r="D62" s="168"/>
      <c r="E62" s="162"/>
      <c r="F62" s="168" t="s">
        <v>17</v>
      </c>
      <c r="G62" s="162"/>
    </row>
    <row r="63" spans="1:11" x14ac:dyDescent="0.25">
      <c r="C63" s="165" t="s">
        <v>80</v>
      </c>
      <c r="D63" s="186"/>
      <c r="E63" s="158"/>
      <c r="F63" s="219">
        <f>F21</f>
        <v>10000000</v>
      </c>
      <c r="G63" s="158"/>
    </row>
    <row r="64" spans="1:11" x14ac:dyDescent="0.25">
      <c r="C64" s="165" t="s">
        <v>81</v>
      </c>
      <c r="D64" s="186"/>
      <c r="E64" s="158"/>
      <c r="F64" s="203"/>
      <c r="G64" s="220"/>
    </row>
    <row r="65" spans="1:7" x14ac:dyDescent="0.25">
      <c r="C65" s="165" t="s">
        <v>241</v>
      </c>
      <c r="D65" s="186"/>
      <c r="E65" s="158"/>
      <c r="F65" s="219">
        <f>-F22</f>
        <v>-90000</v>
      </c>
      <c r="G65" s="158"/>
    </row>
    <row r="66" spans="1:7" x14ac:dyDescent="0.25">
      <c r="C66" s="165" t="s">
        <v>242</v>
      </c>
      <c r="D66" s="186"/>
      <c r="E66" s="158"/>
      <c r="F66" s="219">
        <f>-F23</f>
        <v>-50000</v>
      </c>
      <c r="G66" s="158"/>
    </row>
    <row r="67" spans="1:7" x14ac:dyDescent="0.25">
      <c r="C67" s="165" t="s">
        <v>243</v>
      </c>
      <c r="D67" s="186"/>
      <c r="E67" s="158"/>
      <c r="F67" s="219">
        <f>-F24</f>
        <v>-30000</v>
      </c>
      <c r="G67" s="158"/>
    </row>
    <row r="68" spans="1:7" x14ac:dyDescent="0.25">
      <c r="C68" s="165" t="s">
        <v>262</v>
      </c>
      <c r="D68" s="186"/>
      <c r="E68" s="158"/>
      <c r="F68" s="219">
        <f>-F25</f>
        <v>-15000</v>
      </c>
      <c r="G68" s="158"/>
    </row>
    <row r="69" spans="1:7" x14ac:dyDescent="0.25">
      <c r="C69" s="165" t="s">
        <v>133</v>
      </c>
      <c r="D69" s="186"/>
      <c r="E69" s="158"/>
      <c r="F69" s="219">
        <f>-C57</f>
        <v>-1990000</v>
      </c>
      <c r="G69" s="158"/>
    </row>
    <row r="70" spans="1:7" x14ac:dyDescent="0.25">
      <c r="C70" s="166" t="s">
        <v>82</v>
      </c>
      <c r="D70" s="204"/>
      <c r="E70" s="164"/>
      <c r="F70" s="193">
        <f>SUM(F63:G69)</f>
        <v>7825000</v>
      </c>
      <c r="G70" s="181"/>
    </row>
    <row r="71" spans="1:7" x14ac:dyDescent="0.25">
      <c r="C71" s="165" t="s">
        <v>83</v>
      </c>
      <c r="D71" s="186"/>
      <c r="E71" s="158"/>
      <c r="F71" s="193">
        <f>-0.1*F70</f>
        <v>-782500</v>
      </c>
      <c r="G71" s="181"/>
    </row>
    <row r="72" spans="1:7" x14ac:dyDescent="0.25">
      <c r="C72" s="166" t="s">
        <v>84</v>
      </c>
      <c r="D72" s="204"/>
      <c r="E72" s="164"/>
      <c r="F72" s="193">
        <f>SUM(F70:G71)</f>
        <v>7042500</v>
      </c>
      <c r="G72" s="181"/>
    </row>
    <row r="73" spans="1:7" x14ac:dyDescent="0.25">
      <c r="C73" s="165" t="s">
        <v>85</v>
      </c>
      <c r="D73" s="186"/>
      <c r="E73" s="158"/>
      <c r="F73" s="193">
        <f>-0.35*F72</f>
        <v>-2464875</v>
      </c>
      <c r="G73" s="181"/>
    </row>
    <row r="74" spans="1:7" ht="15.75" thickBot="1" x14ac:dyDescent="0.3">
      <c r="C74" s="167" t="s">
        <v>86</v>
      </c>
      <c r="D74" s="205"/>
      <c r="E74" s="160"/>
      <c r="F74" s="201">
        <f>SUM(F72:G73)</f>
        <v>4577625</v>
      </c>
      <c r="G74" s="218"/>
    </row>
    <row r="75" spans="1:7" ht="15.75" thickBot="1" x14ac:dyDescent="0.3"/>
    <row r="76" spans="1:7" ht="15.75" thickBot="1" x14ac:dyDescent="0.3">
      <c r="F76" s="45" t="s">
        <v>90</v>
      </c>
      <c r="G76" s="47">
        <f>F74*5</f>
        <v>22888125</v>
      </c>
    </row>
    <row r="79" spans="1:7" x14ac:dyDescent="0.25">
      <c r="A79" s="62" t="s">
        <v>78</v>
      </c>
      <c r="B79" s="23" t="s">
        <v>109</v>
      </c>
    </row>
    <row r="80" spans="1:7" ht="15.75" thickBot="1" x14ac:dyDescent="0.3"/>
    <row r="81" spans="1:9" ht="30.75" thickBot="1" x14ac:dyDescent="0.3">
      <c r="C81" s="105" t="s">
        <v>112</v>
      </c>
      <c r="D81" s="106" t="s">
        <v>113</v>
      </c>
      <c r="E81" s="106" t="s">
        <v>116</v>
      </c>
      <c r="F81" s="106" t="s">
        <v>114</v>
      </c>
      <c r="G81" s="105" t="s">
        <v>115</v>
      </c>
    </row>
    <row r="82" spans="1:9" ht="15.75" thickBot="1" x14ac:dyDescent="0.3">
      <c r="C82" s="107" t="s">
        <v>16</v>
      </c>
      <c r="D82" s="108">
        <f>I48</f>
        <v>1543500</v>
      </c>
      <c r="E82" s="109"/>
      <c r="F82" s="109"/>
      <c r="G82" s="40"/>
    </row>
    <row r="83" spans="1:9" ht="15.75" thickBot="1" x14ac:dyDescent="0.3">
      <c r="C83" s="107" t="s">
        <v>17</v>
      </c>
      <c r="D83" s="108">
        <f>I48+J48</f>
        <v>1774500</v>
      </c>
      <c r="E83" s="108">
        <f>F83</f>
        <v>709800</v>
      </c>
      <c r="F83" s="108">
        <f>0.4*D83</f>
        <v>709800</v>
      </c>
      <c r="G83" s="40"/>
    </row>
    <row r="84" spans="1:9" ht="15.75" thickBot="1" x14ac:dyDescent="0.3">
      <c r="C84" s="107" t="s">
        <v>36</v>
      </c>
      <c r="D84" s="108">
        <f>D83-F83</f>
        <v>1064700</v>
      </c>
      <c r="E84" s="108">
        <f>F84</f>
        <v>1064700</v>
      </c>
      <c r="F84" s="108">
        <f>0.6*D83</f>
        <v>1064700</v>
      </c>
      <c r="G84" s="40"/>
    </row>
    <row r="85" spans="1:9" ht="15.75" thickBot="1" x14ac:dyDescent="0.3">
      <c r="C85" s="107" t="s">
        <v>87</v>
      </c>
      <c r="D85" s="108"/>
      <c r="E85" s="108"/>
      <c r="F85" s="108"/>
      <c r="G85" s="41"/>
    </row>
    <row r="86" spans="1:9" ht="15.75" thickBot="1" x14ac:dyDescent="0.3">
      <c r="C86" s="107" t="s">
        <v>88</v>
      </c>
      <c r="D86" s="109"/>
      <c r="E86" s="108"/>
      <c r="F86" s="109"/>
      <c r="G86" s="41"/>
    </row>
    <row r="87" spans="1:9" ht="15.75" thickBot="1" x14ac:dyDescent="0.3">
      <c r="C87" s="107" t="s">
        <v>89</v>
      </c>
      <c r="D87" s="109"/>
      <c r="E87" s="108"/>
      <c r="F87" s="109"/>
      <c r="G87" s="41"/>
    </row>
    <row r="90" spans="1:9" x14ac:dyDescent="0.25">
      <c r="A90" s="62" t="s">
        <v>92</v>
      </c>
      <c r="B90" s="23" t="s">
        <v>119</v>
      </c>
    </row>
    <row r="91" spans="1:9" ht="15.75" thickBot="1" x14ac:dyDescent="0.3"/>
    <row r="92" spans="1:9" ht="30.75" thickBot="1" x14ac:dyDescent="0.3">
      <c r="C92" s="112" t="s">
        <v>121</v>
      </c>
      <c r="D92" s="106" t="s">
        <v>2</v>
      </c>
      <c r="E92" s="106" t="s">
        <v>122</v>
      </c>
      <c r="F92" s="106" t="s">
        <v>123</v>
      </c>
      <c r="G92" s="106" t="s">
        <v>124</v>
      </c>
      <c r="H92" s="106" t="s">
        <v>125</v>
      </c>
      <c r="I92" s="106" t="s">
        <v>126</v>
      </c>
    </row>
    <row r="93" spans="1:9" ht="15.75" thickBot="1" x14ac:dyDescent="0.3">
      <c r="C93" s="107" t="s">
        <v>16</v>
      </c>
      <c r="D93" s="108">
        <f>I36</f>
        <v>13000000</v>
      </c>
      <c r="E93" s="108">
        <f>I42</f>
        <v>350000</v>
      </c>
      <c r="F93" s="108">
        <f>I48</f>
        <v>1543500</v>
      </c>
      <c r="G93" s="109"/>
      <c r="H93" s="109"/>
      <c r="I93" s="108">
        <f>SUM(D93:H93)</f>
        <v>14893500</v>
      </c>
    </row>
    <row r="94" spans="1:9" ht="15.75" thickBot="1" x14ac:dyDescent="0.3">
      <c r="C94" s="107" t="s">
        <v>17</v>
      </c>
      <c r="D94" s="108">
        <f>J36</f>
        <v>450000</v>
      </c>
      <c r="E94" s="108">
        <f>J42</f>
        <v>650000</v>
      </c>
      <c r="F94" s="108">
        <f>J48</f>
        <v>231000</v>
      </c>
      <c r="G94" s="108">
        <f>-$F$71</f>
        <v>782500</v>
      </c>
      <c r="H94" s="108">
        <f>-$F$73</f>
        <v>2464875</v>
      </c>
      <c r="I94" s="108">
        <f t="shared" ref="I94:I98" si="5">SUM(D94:H94)</f>
        <v>4578375</v>
      </c>
    </row>
    <row r="95" spans="1:9" ht="15.75" thickBot="1" x14ac:dyDescent="0.3">
      <c r="C95" s="107" t="s">
        <v>36</v>
      </c>
      <c r="D95" s="109"/>
      <c r="E95" s="109"/>
      <c r="F95" s="109"/>
      <c r="G95" s="108">
        <f t="shared" ref="G95:G98" si="6">-$F$71</f>
        <v>782500</v>
      </c>
      <c r="H95" s="108">
        <f t="shared" ref="H95:H98" si="7">-$F$73</f>
        <v>2464875</v>
      </c>
      <c r="I95" s="108">
        <f t="shared" si="5"/>
        <v>3247375</v>
      </c>
    </row>
    <row r="96" spans="1:9" ht="15.75" thickBot="1" x14ac:dyDescent="0.3">
      <c r="C96" s="107" t="s">
        <v>87</v>
      </c>
      <c r="D96" s="109"/>
      <c r="E96" s="109"/>
      <c r="F96" s="109"/>
      <c r="G96" s="108">
        <f t="shared" si="6"/>
        <v>782500</v>
      </c>
      <c r="H96" s="108">
        <f t="shared" si="7"/>
        <v>2464875</v>
      </c>
      <c r="I96" s="108">
        <f t="shared" si="5"/>
        <v>3247375</v>
      </c>
    </row>
    <row r="97" spans="1:10" ht="15.75" thickBot="1" x14ac:dyDescent="0.3">
      <c r="C97" s="107" t="s">
        <v>88</v>
      </c>
      <c r="D97" s="109"/>
      <c r="E97" s="109"/>
      <c r="F97" s="109"/>
      <c r="G97" s="108">
        <f t="shared" si="6"/>
        <v>782500</v>
      </c>
      <c r="H97" s="108">
        <f t="shared" si="7"/>
        <v>2464875</v>
      </c>
      <c r="I97" s="108">
        <f t="shared" si="5"/>
        <v>3247375</v>
      </c>
    </row>
    <row r="98" spans="1:10" ht="15.75" thickBot="1" x14ac:dyDescent="0.3">
      <c r="C98" s="107" t="s">
        <v>89</v>
      </c>
      <c r="D98" s="108">
        <f>-C55</f>
        <v>-3500000</v>
      </c>
      <c r="E98" s="108">
        <f>-K42</f>
        <v>-1000000</v>
      </c>
      <c r="F98" s="109"/>
      <c r="G98" s="108">
        <f t="shared" si="6"/>
        <v>782500</v>
      </c>
      <c r="H98" s="108">
        <f t="shared" si="7"/>
        <v>2464875</v>
      </c>
      <c r="I98" s="108">
        <f t="shared" si="5"/>
        <v>-1252625</v>
      </c>
    </row>
    <row r="99" spans="1:10" x14ac:dyDescent="0.25">
      <c r="C99" s="113" t="s">
        <v>127</v>
      </c>
      <c r="D99" s="114">
        <f>SUM(D93:D98)</f>
        <v>9950000</v>
      </c>
      <c r="E99" s="115">
        <f t="shared" ref="E99:I99" si="8">SUM(E93:E98)</f>
        <v>0</v>
      </c>
      <c r="F99" s="116">
        <f t="shared" si="8"/>
        <v>1774500</v>
      </c>
      <c r="G99" s="117">
        <f t="shared" si="8"/>
        <v>3912500</v>
      </c>
      <c r="H99" s="117">
        <f t="shared" si="8"/>
        <v>12324375</v>
      </c>
      <c r="I99" s="115">
        <f t="shared" si="8"/>
        <v>27961375</v>
      </c>
    </row>
    <row r="100" spans="1:10" ht="15.75" thickBot="1" x14ac:dyDescent="0.3"/>
    <row r="101" spans="1:10" ht="15.75" thickBot="1" x14ac:dyDescent="0.3">
      <c r="I101" s="40" t="s">
        <v>130</v>
      </c>
      <c r="J101" s="40"/>
    </row>
    <row r="102" spans="1:10" ht="45.75" thickBot="1" x14ac:dyDescent="0.3">
      <c r="C102" s="112" t="s">
        <v>131</v>
      </c>
      <c r="D102" s="106" t="s">
        <v>132</v>
      </c>
      <c r="E102" s="106" t="s">
        <v>133</v>
      </c>
      <c r="F102" s="106" t="s">
        <v>114</v>
      </c>
      <c r="G102" s="106" t="s">
        <v>134</v>
      </c>
      <c r="I102" s="105" t="s">
        <v>135</v>
      </c>
      <c r="J102" s="105" t="s">
        <v>136</v>
      </c>
    </row>
    <row r="103" spans="1:10" ht="15.75" thickBot="1" x14ac:dyDescent="0.3">
      <c r="C103" s="107" t="s">
        <v>16</v>
      </c>
      <c r="D103" s="109"/>
      <c r="E103" s="109"/>
      <c r="F103" s="109"/>
      <c r="G103" s="118">
        <f>SUM(D103:F103)</f>
        <v>0</v>
      </c>
      <c r="I103" s="41">
        <f>G103-I93</f>
        <v>-14893500</v>
      </c>
      <c r="J103" s="41">
        <f>I103</f>
        <v>-14893500</v>
      </c>
    </row>
    <row r="104" spans="1:10" ht="15.75" thickBot="1" x14ac:dyDescent="0.3">
      <c r="C104" s="107" t="s">
        <v>17</v>
      </c>
      <c r="D104" s="108">
        <f>$F$70</f>
        <v>7825000</v>
      </c>
      <c r="E104" s="108">
        <f>$C$57</f>
        <v>1990000</v>
      </c>
      <c r="F104" s="108">
        <f>F83</f>
        <v>709800</v>
      </c>
      <c r="G104" s="118">
        <f>SUM(D104:F104)</f>
        <v>10524800</v>
      </c>
      <c r="I104" s="41">
        <f>G104-I94</f>
        <v>5946425</v>
      </c>
      <c r="J104" s="41">
        <f>J103+I104</f>
        <v>-8947075</v>
      </c>
    </row>
    <row r="105" spans="1:10" ht="15.75" thickBot="1" x14ac:dyDescent="0.3">
      <c r="C105" s="107" t="s">
        <v>36</v>
      </c>
      <c r="D105" s="108">
        <f t="shared" ref="D105:D108" si="9">$F$70</f>
        <v>7825000</v>
      </c>
      <c r="E105" s="108">
        <f t="shared" ref="E105:E108" si="10">$C$57</f>
        <v>1990000</v>
      </c>
      <c r="F105" s="108">
        <f>F84</f>
        <v>1064700</v>
      </c>
      <c r="G105" s="118">
        <f t="shared" ref="G104:G108" si="11">SUM(D105:F105)</f>
        <v>10879700</v>
      </c>
      <c r="I105" s="41">
        <f t="shared" ref="I105:I108" si="12">G105-I95</f>
        <v>7632325</v>
      </c>
      <c r="J105" s="41">
        <f t="shared" ref="J105:J108" si="13">J104+I105</f>
        <v>-1314750</v>
      </c>
    </row>
    <row r="106" spans="1:10" ht="15.75" thickBot="1" x14ac:dyDescent="0.3">
      <c r="C106" s="107" t="s">
        <v>87</v>
      </c>
      <c r="D106" s="108">
        <f t="shared" si="9"/>
        <v>7825000</v>
      </c>
      <c r="E106" s="108">
        <f t="shared" si="10"/>
        <v>1990000</v>
      </c>
      <c r="F106" s="108"/>
      <c r="G106" s="118">
        <f t="shared" si="11"/>
        <v>9815000</v>
      </c>
      <c r="I106" s="41">
        <f t="shared" si="12"/>
        <v>6567625</v>
      </c>
      <c r="J106" s="41">
        <f t="shared" si="13"/>
        <v>5252875</v>
      </c>
    </row>
    <row r="107" spans="1:10" ht="15.75" thickBot="1" x14ac:dyDescent="0.3">
      <c r="C107" s="107" t="s">
        <v>88</v>
      </c>
      <c r="D107" s="108">
        <f t="shared" si="9"/>
        <v>7825000</v>
      </c>
      <c r="E107" s="108">
        <f t="shared" si="10"/>
        <v>1990000</v>
      </c>
      <c r="F107" s="108"/>
      <c r="G107" s="118">
        <f t="shared" si="11"/>
        <v>9815000</v>
      </c>
      <c r="I107" s="41">
        <f t="shared" si="12"/>
        <v>6567625</v>
      </c>
      <c r="J107" s="41">
        <f t="shared" si="13"/>
        <v>11820500</v>
      </c>
    </row>
    <row r="108" spans="1:10" ht="15.75" thickBot="1" x14ac:dyDescent="0.3">
      <c r="C108" s="107" t="s">
        <v>89</v>
      </c>
      <c r="D108" s="108">
        <f t="shared" si="9"/>
        <v>7825000</v>
      </c>
      <c r="E108" s="108">
        <f t="shared" si="10"/>
        <v>1990000</v>
      </c>
      <c r="F108" s="108"/>
      <c r="G108" s="118">
        <f t="shared" si="11"/>
        <v>9815000</v>
      </c>
      <c r="I108" s="41">
        <f t="shared" si="12"/>
        <v>11067625</v>
      </c>
      <c r="J108" s="41">
        <f t="shared" si="13"/>
        <v>22888125</v>
      </c>
    </row>
    <row r="109" spans="1:10" ht="15.75" thickBot="1" x14ac:dyDescent="0.3">
      <c r="C109" s="113" t="s">
        <v>127</v>
      </c>
      <c r="D109" s="117">
        <f>SUM(D103:D108)</f>
        <v>39125000</v>
      </c>
      <c r="E109" s="114">
        <f t="shared" ref="E109:G109" si="14">SUM(E103:E108)</f>
        <v>9950000</v>
      </c>
      <c r="F109" s="116">
        <f t="shared" si="14"/>
        <v>1774500</v>
      </c>
      <c r="G109" s="115">
        <f t="shared" si="14"/>
        <v>50849500</v>
      </c>
    </row>
    <row r="110" spans="1:10" ht="15.75" thickBot="1" x14ac:dyDescent="0.3">
      <c r="I110" s="45" t="s">
        <v>137</v>
      </c>
      <c r="J110" s="47">
        <f>J108</f>
        <v>22888125</v>
      </c>
    </row>
    <row r="111" spans="1:10" ht="15.75" thickBot="1" x14ac:dyDescent="0.3"/>
    <row r="112" spans="1:10" ht="15.75" thickBot="1" x14ac:dyDescent="0.3">
      <c r="A112" s="62" t="s">
        <v>110</v>
      </c>
      <c r="B112" s="23" t="s">
        <v>178</v>
      </c>
      <c r="I112" s="45" t="s">
        <v>90</v>
      </c>
      <c r="J112" s="47">
        <f>G76</f>
        <v>22888125</v>
      </c>
    </row>
    <row r="113" spans="1:5" ht="15.75" thickBot="1" x14ac:dyDescent="0.3"/>
    <row r="114" spans="1:5" ht="15.75" thickBot="1" x14ac:dyDescent="0.3">
      <c r="B114" s="45" t="s">
        <v>212</v>
      </c>
      <c r="C114" s="46"/>
      <c r="D114" s="47">
        <f>J112</f>
        <v>22888125</v>
      </c>
    </row>
    <row r="116" spans="1:5" x14ac:dyDescent="0.25">
      <c r="B116" t="s">
        <v>213</v>
      </c>
    </row>
    <row r="117" spans="1:5" ht="15.75" thickBot="1" x14ac:dyDescent="0.3"/>
    <row r="118" spans="1:5" ht="15.75" thickBot="1" x14ac:dyDescent="0.3">
      <c r="B118" s="45" t="s">
        <v>173</v>
      </c>
      <c r="C118" s="46"/>
      <c r="D118" s="47">
        <f>(F70+C57)*5</f>
        <v>49075000</v>
      </c>
      <c r="E118" s="24"/>
    </row>
    <row r="120" spans="1:5" x14ac:dyDescent="0.25">
      <c r="A120" s="62" t="s">
        <v>120</v>
      </c>
      <c r="B120" s="23" t="s">
        <v>263</v>
      </c>
    </row>
    <row r="122" spans="1:5" x14ac:dyDescent="0.25">
      <c r="B122" t="s">
        <v>264</v>
      </c>
      <c r="C122" s="3">
        <f>NPV(0.5,I104:I108)</f>
        <v>12057164.403292181</v>
      </c>
      <c r="D122" s="24">
        <f>I103</f>
        <v>-14893500</v>
      </c>
    </row>
    <row r="123" spans="1:5" ht="15.75" thickBot="1" x14ac:dyDescent="0.3"/>
    <row r="124" spans="1:5" ht="15.75" thickBot="1" x14ac:dyDescent="0.3">
      <c r="B124" s="45" t="s">
        <v>214</v>
      </c>
      <c r="C124" s="81">
        <f>C122+D122</f>
        <v>-2836335.596707819</v>
      </c>
    </row>
    <row r="126" spans="1:5" x14ac:dyDescent="0.25">
      <c r="A126" s="62" t="s">
        <v>180</v>
      </c>
      <c r="B126" t="s">
        <v>216</v>
      </c>
    </row>
    <row r="127" spans="1:5" ht="15.75" thickBot="1" x14ac:dyDescent="0.3"/>
    <row r="128" spans="1:5" ht="15.75" thickBot="1" x14ac:dyDescent="0.3">
      <c r="B128" s="120" t="s">
        <v>142</v>
      </c>
      <c r="C128" s="121">
        <f>IRR(I103:I108)</f>
        <v>0.37799762878426413</v>
      </c>
    </row>
    <row r="130" spans="1:4" x14ac:dyDescent="0.25">
      <c r="A130" s="62" t="s">
        <v>181</v>
      </c>
      <c r="B130" s="23" t="s">
        <v>184</v>
      </c>
      <c r="C130" s="24">
        <f>-(J105*365)/I106</f>
        <v>73.068080165965625</v>
      </c>
    </row>
    <row r="131" spans="1:4" ht="15.75" thickBot="1" x14ac:dyDescent="0.3"/>
    <row r="132" spans="1:4" ht="15.75" thickBot="1" x14ac:dyDescent="0.3">
      <c r="B132" s="198" t="s">
        <v>265</v>
      </c>
      <c r="C132" s="199"/>
    </row>
    <row r="134" spans="1:4" x14ac:dyDescent="0.25">
      <c r="A134" s="62" t="s">
        <v>183</v>
      </c>
      <c r="B134" s="23" t="s">
        <v>215</v>
      </c>
    </row>
    <row r="135" spans="1:4" ht="15.75" thickBot="1" x14ac:dyDescent="0.3"/>
    <row r="136" spans="1:4" ht="15.75" thickBot="1" x14ac:dyDescent="0.3">
      <c r="B136" s="120" t="s">
        <v>188</v>
      </c>
      <c r="C136" s="126">
        <f>J112/I93</f>
        <v>1.5367861818914292</v>
      </c>
      <c r="D136" t="s">
        <v>267</v>
      </c>
    </row>
    <row r="137" spans="1:4" ht="15.75" thickBot="1" x14ac:dyDescent="0.3"/>
    <row r="138" spans="1:4" ht="15.75" thickBot="1" x14ac:dyDescent="0.3">
      <c r="B138" s="120" t="s">
        <v>188</v>
      </c>
      <c r="C138" s="126">
        <f>C136/5</f>
        <v>0.30735723637828583</v>
      </c>
      <c r="D138" t="s">
        <v>266</v>
      </c>
    </row>
  </sheetData>
  <mergeCells count="77">
    <mergeCell ref="C17:E17"/>
    <mergeCell ref="H15:J15"/>
    <mergeCell ref="H16:J16"/>
    <mergeCell ref="H17:J17"/>
    <mergeCell ref="A1:M6"/>
    <mergeCell ref="A7:M11"/>
    <mergeCell ref="A12:M13"/>
    <mergeCell ref="C15:E15"/>
    <mergeCell ref="C16:E16"/>
    <mergeCell ref="C18:E18"/>
    <mergeCell ref="C19:E19"/>
    <mergeCell ref="C20:E20"/>
    <mergeCell ref="C21:E21"/>
    <mergeCell ref="C22:E22"/>
    <mergeCell ref="H23:J23"/>
    <mergeCell ref="C24:E24"/>
    <mergeCell ref="C25:E25"/>
    <mergeCell ref="C26:E26"/>
    <mergeCell ref="C28:E28"/>
    <mergeCell ref="C23:E23"/>
    <mergeCell ref="H18:J18"/>
    <mergeCell ref="H19:J19"/>
    <mergeCell ref="H20:J20"/>
    <mergeCell ref="H21:J21"/>
    <mergeCell ref="H22:J22"/>
    <mergeCell ref="D39:H39"/>
    <mergeCell ref="H24:J24"/>
    <mergeCell ref="H25:J25"/>
    <mergeCell ref="H26:J26"/>
    <mergeCell ref="H27:J27"/>
    <mergeCell ref="H28:J28"/>
    <mergeCell ref="H29:J29"/>
    <mergeCell ref="C29:E29"/>
    <mergeCell ref="C30:E30"/>
    <mergeCell ref="H31:I31"/>
    <mergeCell ref="D35:H35"/>
    <mergeCell ref="D36:H36"/>
    <mergeCell ref="D37:H37"/>
    <mergeCell ref="D38:H38"/>
    <mergeCell ref="D46:H46"/>
    <mergeCell ref="E47:H47"/>
    <mergeCell ref="E48:H48"/>
    <mergeCell ref="E49:H49"/>
    <mergeCell ref="D40:H40"/>
    <mergeCell ref="D41:H41"/>
    <mergeCell ref="D42:H42"/>
    <mergeCell ref="D43:H43"/>
    <mergeCell ref="D44:H44"/>
    <mergeCell ref="D45:H45"/>
    <mergeCell ref="C72:E72"/>
    <mergeCell ref="C73:E73"/>
    <mergeCell ref="C74:E74"/>
    <mergeCell ref="C71:E71"/>
    <mergeCell ref="F71:G71"/>
    <mergeCell ref="F72:G72"/>
    <mergeCell ref="F73:G73"/>
    <mergeCell ref="F64:G64"/>
    <mergeCell ref="C70:E70"/>
    <mergeCell ref="F70:G70"/>
    <mergeCell ref="C69:E69"/>
    <mergeCell ref="F69:G69"/>
    <mergeCell ref="B132:C132"/>
    <mergeCell ref="F74:G74"/>
    <mergeCell ref="A21:B21"/>
    <mergeCell ref="C65:E65"/>
    <mergeCell ref="C66:E66"/>
    <mergeCell ref="C67:E67"/>
    <mergeCell ref="C68:E68"/>
    <mergeCell ref="F65:G65"/>
    <mergeCell ref="F66:G66"/>
    <mergeCell ref="F67:G67"/>
    <mergeCell ref="F68:G68"/>
    <mergeCell ref="C62:E62"/>
    <mergeCell ref="F62:G62"/>
    <mergeCell ref="C63:E63"/>
    <mergeCell ref="F63:G63"/>
    <mergeCell ref="C64:E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Ej. 0</vt:lpstr>
      <vt:lpstr>Ej. 0 (2)</vt:lpstr>
      <vt:lpstr>Ej. 0 (3)</vt:lpstr>
      <vt:lpstr>Ej. 1</vt:lpstr>
      <vt:lpstr>Ej. 1 (2)</vt:lpstr>
      <vt:lpstr>Ej. 2</vt:lpstr>
      <vt:lpstr>Ej. 3</vt:lpstr>
      <vt:lpstr>Ej. 4</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Mastrandrea, Valentina</dc:creator>
  <cp:lastModifiedBy>Santiiago Greco</cp:lastModifiedBy>
  <dcterms:created xsi:type="dcterms:W3CDTF">2023-08-20T15:45:12Z</dcterms:created>
  <dcterms:modified xsi:type="dcterms:W3CDTF">2024-08-21T00:42:38Z</dcterms:modified>
</cp:coreProperties>
</file>