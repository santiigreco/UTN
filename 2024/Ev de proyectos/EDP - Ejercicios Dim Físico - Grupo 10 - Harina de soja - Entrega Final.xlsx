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ignac\Desktop\"/>
    </mc:Choice>
  </mc:AlternateContent>
  <xr:revisionPtr revIDLastSave="0" documentId="13_ncr:1_{058E9631-7D4E-4950-B91A-8D1146FFDB5B}" xr6:coauthVersionLast="47" xr6:coauthVersionMax="47" xr10:uidLastSave="{00000000-0000-0000-0000-000000000000}"/>
  <bookViews>
    <workbookView xWindow="-120" yWindow="-120" windowWidth="20640" windowHeight="11160" firstSheet="3" activeTab="8" xr2:uid="{00000000-000D-0000-FFFF-FFFF00000000}"/>
  </bookViews>
  <sheets>
    <sheet name="Ejercicio 1" sheetId="1" r:id="rId1"/>
    <sheet name="Ejercicio 2 " sheetId="2" r:id="rId2"/>
    <sheet name="Ejercicio 3" sheetId="3" r:id="rId3"/>
    <sheet name="Ejercicio 4 y 5" sheetId="4" r:id="rId4"/>
    <sheet name="Ejercicio 6" sheetId="5" r:id="rId5"/>
    <sheet name="Ejercicio 7 y 8" sheetId="6" r:id="rId6"/>
    <sheet name="Ejercicio 9" sheetId="7" r:id="rId7"/>
    <sheet name="Ejercicio 10" sheetId="8" r:id="rId8"/>
    <sheet name="Ejercicio 1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4QBFmdMbE0ORKgOAHSZigGuGDbpT4fKZUd3sI0ohvbw="/>
    </ext>
  </extLst>
</workbook>
</file>

<file path=xl/calcChain.xml><?xml version="1.0" encoding="utf-8"?>
<calcChain xmlns="http://schemas.openxmlformats.org/spreadsheetml/2006/main">
  <c r="C13" i="8" l="1"/>
  <c r="C12" i="8"/>
  <c r="C10" i="8"/>
  <c r="C9" i="8"/>
  <c r="C7" i="8"/>
  <c r="C6" i="8"/>
  <c r="I3" i="8"/>
  <c r="I2" i="8"/>
  <c r="B4" i="7"/>
  <c r="B13" i="7" s="1"/>
  <c r="C6" i="6"/>
  <c r="C7" i="6" s="1"/>
  <c r="C4" i="6"/>
  <c r="C12" i="5"/>
  <c r="E5" i="9" s="1"/>
  <c r="C4" i="5"/>
  <c r="E7" i="5" s="1"/>
  <c r="H3" i="5"/>
  <c r="C10" i="3"/>
  <c r="C9" i="3"/>
  <c r="C8" i="3"/>
  <c r="C7" i="3"/>
  <c r="E5" i="3"/>
  <c r="F5" i="3" s="1"/>
  <c r="H5" i="3" s="1"/>
  <c r="D6" i="4" s="1"/>
  <c r="E4" i="3"/>
  <c r="C4" i="3"/>
  <c r="F4" i="3" s="1"/>
  <c r="H4" i="3" s="1"/>
  <c r="D5" i="4" s="1"/>
  <c r="E3" i="3"/>
  <c r="F3" i="3" s="1"/>
  <c r="H3" i="3" s="1"/>
  <c r="D4" i="4" s="1"/>
  <c r="B12" i="2"/>
  <c r="B11" i="2"/>
  <c r="E10" i="3" s="1"/>
  <c r="F10" i="3" s="1"/>
  <c r="H10" i="3" s="1"/>
  <c r="D11" i="4" s="1"/>
  <c r="D29" i="1"/>
  <c r="I28" i="1"/>
  <c r="F28" i="1" s="1"/>
  <c r="G21" i="1"/>
  <c r="C4" i="4" s="1"/>
  <c r="F29" i="1" l="1"/>
  <c r="G29" i="1" s="1"/>
  <c r="G28" i="1"/>
  <c r="C11" i="4" s="1"/>
  <c r="C28" i="1"/>
  <c r="F27" i="1" s="1"/>
  <c r="E4" i="4"/>
  <c r="F4" i="4" s="1"/>
  <c r="G4" i="4" s="1"/>
  <c r="E4" i="9"/>
  <c r="D4" i="9"/>
  <c r="E8" i="5"/>
  <c r="F7" i="5"/>
  <c r="I3" i="6"/>
  <c r="H6" i="6" s="1"/>
  <c r="E3" i="9" s="1"/>
  <c r="E6" i="3"/>
  <c r="F6" i="3" s="1"/>
  <c r="H6" i="3" s="1"/>
  <c r="D7" i="4" s="1"/>
  <c r="E7" i="3"/>
  <c r="F7" i="3" s="1"/>
  <c r="H7" i="3" s="1"/>
  <c r="D8" i="4" s="1"/>
  <c r="F8" i="4" s="1"/>
  <c r="E8" i="3"/>
  <c r="F8" i="3" s="1"/>
  <c r="H8" i="3" s="1"/>
  <c r="D9" i="4" s="1"/>
  <c r="E9" i="3"/>
  <c r="F9" i="3" s="1"/>
  <c r="H9" i="3" s="1"/>
  <c r="D10" i="4" s="1"/>
  <c r="E9" i="5" l="1"/>
  <c r="F9" i="5" s="1"/>
  <c r="F8" i="5"/>
  <c r="G27" i="1"/>
  <c r="C10" i="4" s="1"/>
  <c r="C27" i="1"/>
  <c r="F26" i="1" s="1"/>
  <c r="E11" i="4"/>
  <c r="F11" i="4" s="1"/>
  <c r="G11" i="4" s="1"/>
  <c r="F10" i="5"/>
  <c r="E10" i="4" l="1"/>
  <c r="F10" i="4" s="1"/>
  <c r="G10" i="4"/>
  <c r="B6" i="7"/>
  <c r="B12" i="5"/>
  <c r="G26" i="1"/>
  <c r="C9" i="4" s="1"/>
  <c r="C26" i="1"/>
  <c r="F25" i="1" s="1"/>
  <c r="H3" i="6" l="1"/>
  <c r="H5" i="6" s="1"/>
  <c r="D3" i="9" s="1"/>
  <c r="D5" i="9"/>
  <c r="B9" i="7"/>
  <c r="H11" i="5"/>
  <c r="B7" i="7" s="1"/>
  <c r="B8" i="7" s="1"/>
  <c r="B10" i="7" s="1"/>
  <c r="D6" i="9" s="1"/>
  <c r="G25" i="1"/>
  <c r="C8" i="4" s="1"/>
  <c r="G8" i="4" s="1"/>
  <c r="E25" i="1"/>
  <c r="C25" i="1" s="1"/>
  <c r="F24" i="1" s="1"/>
  <c r="E9" i="4"/>
  <c r="F9" i="4" s="1"/>
  <c r="G9" i="4" s="1"/>
  <c r="C24" i="1" l="1"/>
  <c r="F23" i="1" s="1"/>
  <c r="G24" i="1"/>
  <c r="C7" i="4" s="1"/>
  <c r="E7" i="4" l="1"/>
  <c r="F7" i="4" s="1"/>
  <c r="G7" i="4" s="1"/>
  <c r="C23" i="1"/>
  <c r="F22" i="1" s="1"/>
  <c r="G23" i="1"/>
  <c r="C6" i="4" s="1"/>
  <c r="E22" i="1" l="1"/>
  <c r="E29" i="1" s="1"/>
  <c r="G22" i="1"/>
  <c r="C5" i="4" s="1"/>
  <c r="C22" i="1"/>
  <c r="E6" i="4"/>
  <c r="F6" i="4" s="1"/>
  <c r="G6" i="4" s="1"/>
  <c r="B26" i="7" l="1"/>
  <c r="B14" i="7"/>
  <c r="D17" i="7" s="1"/>
  <c r="C29" i="1"/>
  <c r="C13" i="1"/>
  <c r="C14" i="1" s="1"/>
  <c r="E5" i="4"/>
  <c r="F5" i="4" s="1"/>
  <c r="G5" i="4"/>
  <c r="C15" i="1"/>
  <c r="C16" i="1"/>
  <c r="D18" i="7" l="1"/>
  <c r="E6" i="9" s="1"/>
  <c r="F2" i="8"/>
  <c r="F3" i="8" s="1"/>
  <c r="E8" i="9"/>
  <c r="E10" i="9" s="1"/>
  <c r="F4" i="8" l="1"/>
  <c r="C9" i="9" s="1"/>
  <c r="C10" i="9" s="1"/>
  <c r="B5" i="8"/>
  <c r="D20" i="7"/>
  <c r="C5" i="8" l="1"/>
  <c r="B8" i="8"/>
  <c r="E7" i="9"/>
  <c r="D7" i="9"/>
  <c r="C23" i="7"/>
  <c r="D8" i="9" s="1"/>
  <c r="D10" i="9" s="1"/>
  <c r="C8" i="8" l="1"/>
  <c r="B11" i="8"/>
  <c r="C11" i="8" l="1"/>
  <c r="B14" i="8"/>
  <c r="C14" i="8" s="1"/>
  <c r="D9" i="9"/>
  <c r="E9" i="9" s="1"/>
</calcChain>
</file>

<file path=xl/sharedStrings.xml><?xml version="1.0" encoding="utf-8"?>
<sst xmlns="http://schemas.openxmlformats.org/spreadsheetml/2006/main" count="210" uniqueCount="143">
  <si>
    <t>EJERCICIO 1</t>
  </si>
  <si>
    <t>SECCIONES</t>
  </si>
  <si>
    <t>DESPERDICIOS (litros)</t>
  </si>
  <si>
    <t>Recuperables</t>
  </si>
  <si>
    <t>No recuperables</t>
  </si>
  <si>
    <t>Descascarado</t>
  </si>
  <si>
    <t>2% del peso</t>
  </si>
  <si>
    <t>Molido grueso</t>
  </si>
  <si>
    <t>Extrusión</t>
  </si>
  <si>
    <t>Prensado</t>
  </si>
  <si>
    <t>Sale aceite</t>
  </si>
  <si>
    <t>Secado / Enfriado</t>
  </si>
  <si>
    <t>Molienda</t>
  </si>
  <si>
    <t>Empaquetado</t>
  </si>
  <si>
    <t xml:space="preserve">Volumen total ingresado = </t>
  </si>
  <si>
    <t>Consumo real MP =</t>
  </si>
  <si>
    <t>% Desperdicio operativo =</t>
  </si>
  <si>
    <t>% Desperdicio real =</t>
  </si>
  <si>
    <t>ALIMENTACION (Anual)</t>
  </si>
  <si>
    <t>DESPERDICIOS (Toneladas)</t>
  </si>
  <si>
    <t>PRODUCCIONES SECCIONALES (Tn/ Anual)</t>
  </si>
  <si>
    <t>PRODUCCIONES SECCIONALES (Kg/Anual)</t>
  </si>
  <si>
    <t>Separador</t>
  </si>
  <si>
    <t>Toneladas anuales</t>
  </si>
  <si>
    <t>Totales</t>
  </si>
  <si>
    <t>EJERCICIO 2</t>
  </si>
  <si>
    <t xml:space="preserve">Dias totales del año = </t>
  </si>
  <si>
    <t xml:space="preserve">Feriados del año = </t>
  </si>
  <si>
    <t xml:space="preserve">Vacaciones = </t>
  </si>
  <si>
    <t xml:space="preserve">Dias totales laborales = </t>
  </si>
  <si>
    <t>A la semana</t>
  </si>
  <si>
    <t xml:space="preserve">Equipos rotativos = </t>
  </si>
  <si>
    <t xml:space="preserve">Horas de cada turno = </t>
  </si>
  <si>
    <t>Turnos diarios =</t>
  </si>
  <si>
    <t>HORAS ACTIVAS/AÑO</t>
  </si>
  <si>
    <t>Horas</t>
  </si>
  <si>
    <t>HORAS/AÑO POR EQUIPO DE OPERARIOS</t>
  </si>
  <si>
    <t>EJERCICIO 3</t>
  </si>
  <si>
    <t>SECCIONES OPERATIVAS</t>
  </si>
  <si>
    <t>CAPACIDAD TEORICA / MAQUINA X HORA</t>
  </si>
  <si>
    <t>HORAS ACTIVA / AÑO</t>
  </si>
  <si>
    <t>CAPACIDAD TEORICA / MAQUINA X AÑO</t>
  </si>
  <si>
    <t>RENDIMIENTO OPERATIVO</t>
  </si>
  <si>
    <t>CAPACIDAD REAL / MAQUINA X AÑO</t>
  </si>
  <si>
    <t>Kg/h</t>
  </si>
  <si>
    <t>EJERCICIO 4 Y 5</t>
  </si>
  <si>
    <t>PROGRAMA ANUAL DE PRODUCCION</t>
  </si>
  <si>
    <t>CAPACIDAD REAL/MAQXAÑO</t>
  </si>
  <si>
    <t>CANTIDAD MAQS NECESARIAS</t>
  </si>
  <si>
    <t>CAPACIDAD REAL/SECCION X AÑO</t>
  </si>
  <si>
    <t>APROVECHAMIENTO SECCIONAL (%)</t>
  </si>
  <si>
    <t>Si bien, en términos de capacidades, sólo resulta necesaria una prensa en la sección operativa, es recomendable el agregado de una adicional, minimizando el costo perdido por paradas de máquinas debido a desperfectos y obteniendo un mayor porcentaje de extracción</t>
  </si>
  <si>
    <t>EJERCICIO 6</t>
  </si>
  <si>
    <t>días laborales</t>
  </si>
  <si>
    <t>Venta volúmen [Tn]</t>
  </si>
  <si>
    <t>Anual</t>
  </si>
  <si>
    <t>Mensual</t>
  </si>
  <si>
    <t>meses laborales</t>
  </si>
  <si>
    <t>Mes</t>
  </si>
  <si>
    <t>Ritmo de producción
 al inicio</t>
  </si>
  <si>
    <t>Ritmo de producción
 al final</t>
  </si>
  <si>
    <t>Producción Prom.</t>
  </si>
  <si>
    <t>Producción Mensual Prom.</t>
  </si>
  <si>
    <t>Producción Propuesta</t>
  </si>
  <si>
    <t xml:space="preserve">TOTAL = </t>
  </si>
  <si>
    <t>Resto del año</t>
  </si>
  <si>
    <t>Año 1</t>
  </si>
  <si>
    <t>Año 2 a 10</t>
  </si>
  <si>
    <t xml:space="preserve">Producción </t>
  </si>
  <si>
    <t>RESTO DEL AÑO</t>
  </si>
  <si>
    <t>EJERCICIO 7</t>
  </si>
  <si>
    <t>EJERCICIO 8</t>
  </si>
  <si>
    <t>Venta [Tn]</t>
  </si>
  <si>
    <t>Cuatrimestral</t>
  </si>
  <si>
    <t>Ventas del año 1 =</t>
  </si>
  <si>
    <t>Volumen de produccion cuatrimestral =</t>
  </si>
  <si>
    <t>Tn</t>
  </si>
  <si>
    <t>Ventas del año 2 a 10 =</t>
  </si>
  <si>
    <t>Stock promedio elaborados =</t>
  </si>
  <si>
    <t>Se opera sin la formación de un stock de seguridad</t>
  </si>
  <si>
    <t>EJERCICIO 9</t>
  </si>
  <si>
    <t>Punto A</t>
  </si>
  <si>
    <t>Ciclo de elaboracion =</t>
  </si>
  <si>
    <t>días</t>
  </si>
  <si>
    <t>Ciclos anuales =</t>
  </si>
  <si>
    <t>ciclos</t>
  </si>
  <si>
    <t>Periodo de puesta en marcha (3 meses) =</t>
  </si>
  <si>
    <t>con 17,3% de desperdicio</t>
  </si>
  <si>
    <t>Resto del año =</t>
  </si>
  <si>
    <t>total materia prima para la producción</t>
  </si>
  <si>
    <t>Produccion año 1 =</t>
  </si>
  <si>
    <t>Desperdicio no recuperable =</t>
  </si>
  <si>
    <t>Punto B</t>
  </si>
  <si>
    <t>Cantidad de ciclos productivos =</t>
  </si>
  <si>
    <t>Vol. Anual / días año * longitud proceso =</t>
  </si>
  <si>
    <t>Desglose por ciclo productivo (en régimen)</t>
  </si>
  <si>
    <t xml:space="preserve">Producto elaborado = </t>
  </si>
  <si>
    <t>MP / Coef desperdicio operativo =</t>
  </si>
  <si>
    <t>Coef Desp Operativo (Ej1) = 17.3%</t>
  </si>
  <si>
    <t>MP * % Desperdicio real =</t>
  </si>
  <si>
    <t>Desperdicio Real (Ej1) = 17.3%</t>
  </si>
  <si>
    <t>Desperdicio recuperable =</t>
  </si>
  <si>
    <t>MP * % Recuperable =</t>
  </si>
  <si>
    <t>Recuperable (Ej1) = 0%</t>
  </si>
  <si>
    <t>TOTAL =</t>
  </si>
  <si>
    <t>Punto C</t>
  </si>
  <si>
    <t>Consumo total MP año 1 = MP Produccion + MP Mercaderia en curso y SE =</t>
  </si>
  <si>
    <t>Punto D</t>
  </si>
  <si>
    <t xml:space="preserve">Consumo MP años 2 a 10 = </t>
  </si>
  <si>
    <t>EJERCICIO 10</t>
  </si>
  <si>
    <t>Al final del mes</t>
  </si>
  <si>
    <t>Stock</t>
  </si>
  <si>
    <t>Compras</t>
  </si>
  <si>
    <t>Total de compras anuales=</t>
  </si>
  <si>
    <t>Enero</t>
  </si>
  <si>
    <t>-</t>
  </si>
  <si>
    <t>12 Compras por año=</t>
  </si>
  <si>
    <t>Febrero</t>
  </si>
  <si>
    <t>Consumo mensual=</t>
  </si>
  <si>
    <t>Marzo</t>
  </si>
  <si>
    <t>Abril</t>
  </si>
  <si>
    <t>Mayo</t>
  </si>
  <si>
    <t>El período de tiempo entre siembra y cosecha son 3 meses</t>
  </si>
  <si>
    <t>Junio</t>
  </si>
  <si>
    <t>Julio</t>
  </si>
  <si>
    <t>Agosto</t>
  </si>
  <si>
    <t>Septiembre</t>
  </si>
  <si>
    <t>Octubre</t>
  </si>
  <si>
    <t>Noviembre</t>
  </si>
  <si>
    <t>Diciembre</t>
  </si>
  <si>
    <t>EJERCICIO 11</t>
  </si>
  <si>
    <t>U. de medida</t>
  </si>
  <si>
    <t xml:space="preserve">Período Instalación </t>
  </si>
  <si>
    <t>Ventas</t>
  </si>
  <si>
    <t>t. PT</t>
  </si>
  <si>
    <t>Stock Promedio de elaborados</t>
  </si>
  <si>
    <t>Producción</t>
  </si>
  <si>
    <t>t. MP</t>
  </si>
  <si>
    <t>Desperdicio No Recuperables</t>
  </si>
  <si>
    <t>En Curso y Semielaborados</t>
  </si>
  <si>
    <t>Consumo de MP</t>
  </si>
  <si>
    <t>Stock de MP</t>
  </si>
  <si>
    <t>Compra de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</si>
</sst>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12"/>
      <color rgb="FF7F7F7F"/>
      <name val="Arial"/>
    </font>
    <font>
      <u/>
      <sz val="10"/>
      <color theme="10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i/>
      <sz val="10"/>
      <color rgb="FF000000"/>
      <name val="Arial"/>
    </font>
    <font>
      <sz val="11"/>
      <color rgb="FF000000"/>
      <name val="Arial"/>
    </font>
    <font>
      <sz val="10"/>
      <color rgb="FF3C78D8"/>
      <name val="Arial"/>
    </font>
    <font>
      <b/>
      <sz val="11"/>
      <color rgb="FFFF0000"/>
      <name val="Calibri"/>
    </font>
    <font>
      <sz val="10"/>
      <color rgb="FFFF0000"/>
      <name val="Arial"/>
    </font>
    <font>
      <b/>
      <i/>
      <sz val="10"/>
      <color theme="1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1"/>
      <color rgb="FF1F1F1F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9" tint="0.59999389629810485"/>
        <bgColor rgb="FFFCE5CD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0" fontId="1" fillId="3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7" fillId="0" borderId="0" xfId="0" applyFont="1"/>
    <xf numFmtId="0" fontId="3" fillId="0" borderId="20" xfId="0" applyFont="1" applyBorder="1" applyAlignment="1">
      <alignment horizontal="center"/>
    </xf>
    <xf numFmtId="0" fontId="3" fillId="0" borderId="9" xfId="0" applyFont="1" applyBorder="1"/>
    <xf numFmtId="0" fontId="3" fillId="0" borderId="1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8" fillId="0" borderId="0" xfId="0" applyFont="1"/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9" fillId="4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18" xfId="0" applyFont="1" applyBorder="1"/>
    <xf numFmtId="3" fontId="3" fillId="0" borderId="1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3" fontId="3" fillId="0" borderId="23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" fillId="0" borderId="0" xfId="0" applyFont="1"/>
    <xf numFmtId="164" fontId="3" fillId="0" borderId="0" xfId="0" applyNumberFormat="1" applyFont="1"/>
    <xf numFmtId="0" fontId="9" fillId="4" borderId="10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10" fontId="10" fillId="0" borderId="10" xfId="0" applyNumberFormat="1" applyFont="1" applyBorder="1" applyAlignment="1">
      <alignment horizontal="center"/>
    </xf>
    <xf numFmtId="1" fontId="3" fillId="5" borderId="10" xfId="0" applyNumberFormat="1" applyFont="1" applyFill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0" fontId="16" fillId="6" borderId="6" xfId="0" applyFont="1" applyFill="1" applyBorder="1" applyAlignment="1">
      <alignment horizontal="right"/>
    </xf>
    <xf numFmtId="2" fontId="1" fillId="6" borderId="7" xfId="0" applyNumberFormat="1" applyFont="1" applyFill="1" applyBorder="1" applyAlignment="1">
      <alignment horizontal="center"/>
    </xf>
    <xf numFmtId="0" fontId="3" fillId="7" borderId="36" xfId="0" applyFont="1" applyFill="1" applyBorder="1" applyAlignment="1">
      <alignment horizontal="center"/>
    </xf>
    <xf numFmtId="0" fontId="17" fillId="4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1" fontId="3" fillId="7" borderId="32" xfId="0" applyNumberFormat="1" applyFont="1" applyFill="1" applyBorder="1" applyAlignment="1">
      <alignment horizontal="center"/>
    </xf>
    <xf numFmtId="0" fontId="11" fillId="5" borderId="10" xfId="0" applyFont="1" applyFill="1" applyBorder="1"/>
    <xf numFmtId="1" fontId="3" fillId="0" borderId="10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1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1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7" xfId="0" applyFont="1" applyBorder="1"/>
    <xf numFmtId="0" fontId="1" fillId="5" borderId="37" xfId="0" applyFont="1" applyFill="1" applyBorder="1"/>
    <xf numFmtId="0" fontId="1" fillId="5" borderId="37" xfId="0" applyFont="1" applyFill="1" applyBorder="1" applyAlignment="1">
      <alignment horizontal="center"/>
    </xf>
    <xf numFmtId="2" fontId="1" fillId="0" borderId="29" xfId="0" applyNumberFormat="1" applyFont="1" applyBorder="1" applyAlignment="1">
      <alignment horizontal="center"/>
    </xf>
    <xf numFmtId="0" fontId="1" fillId="0" borderId="29" xfId="0" applyFont="1" applyBorder="1"/>
    <xf numFmtId="0" fontId="1" fillId="0" borderId="5" xfId="0" applyFont="1" applyBorder="1"/>
    <xf numFmtId="2" fontId="1" fillId="0" borderId="38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9" fillId="0" borderId="0" xfId="0" applyFont="1"/>
    <xf numFmtId="0" fontId="1" fillId="0" borderId="8" xfId="0" applyFont="1" applyBorder="1" applyAlignment="1">
      <alignment horizontal="right"/>
    </xf>
    <xf numFmtId="1" fontId="1" fillId="0" borderId="9" xfId="0" applyNumberFormat="1" applyFont="1" applyBorder="1" applyAlignment="1">
      <alignment horizontal="center"/>
    </xf>
    <xf numFmtId="3" fontId="1" fillId="0" borderId="3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4" fillId="5" borderId="37" xfId="0" applyFont="1" applyFill="1" applyBorder="1" applyAlignment="1">
      <alignment horizontal="right"/>
    </xf>
    <xf numFmtId="2" fontId="3" fillId="0" borderId="0" xfId="0" applyNumberFormat="1" applyFont="1"/>
    <xf numFmtId="0" fontId="4" fillId="5" borderId="10" xfId="0" applyFont="1" applyFill="1" applyBorder="1" applyAlignment="1">
      <alignment horizontal="right"/>
    </xf>
    <xf numFmtId="2" fontId="3" fillId="0" borderId="10" xfId="0" applyNumberFormat="1" applyFont="1" applyBorder="1"/>
    <xf numFmtId="2" fontId="3" fillId="0" borderId="10" xfId="0" applyNumberFormat="1" applyFont="1" applyBorder="1" applyAlignment="1">
      <alignment horizontal="center"/>
    </xf>
    <xf numFmtId="0" fontId="1" fillId="0" borderId="10" xfId="0" applyFont="1" applyBorder="1"/>
    <xf numFmtId="0" fontId="20" fillId="5" borderId="37" xfId="0" applyFont="1" applyFill="1" applyBorder="1"/>
    <xf numFmtId="0" fontId="1" fillId="2" borderId="16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" fillId="3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7" xfId="0" applyFont="1" applyBorder="1"/>
    <xf numFmtId="0" fontId="2" fillId="0" borderId="9" xfId="0" applyFont="1" applyBorder="1"/>
    <xf numFmtId="0" fontId="4" fillId="0" borderId="25" xfId="0" applyFont="1" applyBorder="1" applyAlignment="1">
      <alignment horizontal="center"/>
    </xf>
    <xf numFmtId="0" fontId="2" fillId="0" borderId="2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/>
    <xf numFmtId="0" fontId="1" fillId="3" borderId="6" xfId="0" applyFont="1" applyFill="1" applyBorder="1" applyAlignment="1">
      <alignment horizontal="center"/>
    </xf>
    <xf numFmtId="0" fontId="2" fillId="0" borderId="7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1" fillId="3" borderId="14" xfId="0" applyFont="1" applyFill="1" applyBorder="1" applyAlignment="1">
      <alignment horizontal="center"/>
    </xf>
    <xf numFmtId="0" fontId="2" fillId="0" borderId="15" xfId="0" applyFont="1" applyBorder="1"/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29" xfId="0" applyFont="1" applyBorder="1"/>
    <xf numFmtId="0" fontId="2" fillId="0" borderId="35" xfId="0" applyFont="1" applyBorder="1"/>
    <xf numFmtId="0" fontId="3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2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8" borderId="30" xfId="0" applyFont="1" applyFill="1" applyBorder="1" applyAlignment="1">
      <alignment horizontal="center" vertical="center" wrapText="1"/>
    </xf>
    <xf numFmtId="0" fontId="2" fillId="9" borderId="31" xfId="0" applyFont="1" applyFill="1" applyBorder="1"/>
    <xf numFmtId="0" fontId="1" fillId="8" borderId="32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2" fillId="9" borderId="5" xfId="0" applyFont="1" applyFill="1" applyBorder="1"/>
    <xf numFmtId="0" fontId="10" fillId="8" borderId="23" xfId="0" applyFont="1" applyFill="1" applyBorder="1" applyAlignment="1">
      <alignment horizontal="center" vertical="center" wrapText="1"/>
    </xf>
    <xf numFmtId="0" fontId="2" fillId="9" borderId="8" xfId="0" applyFont="1" applyFill="1" applyBorder="1"/>
    <xf numFmtId="0" fontId="2" fillId="9" borderId="9" xfId="0" applyFont="1" applyFill="1" applyBorder="1"/>
    <xf numFmtId="0" fontId="2" fillId="9" borderId="33" xfId="0" applyFont="1" applyFill="1" applyBorder="1"/>
    <xf numFmtId="0" fontId="9" fillId="8" borderId="18" xfId="0" applyFont="1" applyFill="1" applyBorder="1" applyAlignment="1">
      <alignment horizontal="center"/>
    </xf>
    <xf numFmtId="0" fontId="9" fillId="8" borderId="32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2" fillId="9" borderId="7" xfId="0" applyFont="1" applyFill="1" applyBorder="1"/>
    <xf numFmtId="0" fontId="17" fillId="10" borderId="10" xfId="0" applyFont="1" applyFill="1" applyBorder="1"/>
    <xf numFmtId="0" fontId="17" fillId="10" borderId="10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9" fontId="10" fillId="13" borderId="34" xfId="0" applyNumberFormat="1" applyFont="1" applyFill="1" applyBorder="1" applyAlignment="1">
      <alignment horizontal="center"/>
    </xf>
    <xf numFmtId="9" fontId="14" fillId="13" borderId="34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opLeftCell="A12" workbookViewId="0">
      <selection activeCell="B18" sqref="B18"/>
    </sheetView>
  </sheetViews>
  <sheetFormatPr baseColWidth="10" defaultColWidth="12.5703125" defaultRowHeight="15" customHeight="1" x14ac:dyDescent="0.2"/>
  <cols>
    <col min="1" max="1" width="6.28515625" customWidth="1"/>
    <col min="2" max="2" width="30.28515625" customWidth="1"/>
    <col min="3" max="3" width="17.5703125" customWidth="1"/>
    <col min="4" max="5" width="16" customWidth="1"/>
    <col min="6" max="6" width="18.140625" customWidth="1"/>
    <col min="7" max="7" width="19.5703125" customWidth="1"/>
    <col min="8" max="26" width="14.42578125" customWidth="1"/>
  </cols>
  <sheetData>
    <row r="1" spans="1:9" ht="15.75" customHeight="1" x14ac:dyDescent="0.2">
      <c r="A1" s="99" t="s">
        <v>0</v>
      </c>
      <c r="B1" s="100"/>
      <c r="C1" s="100"/>
      <c r="D1" s="100"/>
      <c r="E1" s="100"/>
      <c r="F1" s="101"/>
      <c r="I1" s="1"/>
    </row>
    <row r="2" spans="1:9" ht="15.75" customHeight="1" x14ac:dyDescent="0.2">
      <c r="A2" s="102" t="s">
        <v>1</v>
      </c>
      <c r="B2" s="103"/>
      <c r="C2" s="105" t="s">
        <v>2</v>
      </c>
      <c r="D2" s="106"/>
    </row>
    <row r="3" spans="1:9" ht="15.75" customHeight="1" x14ac:dyDescent="0.2">
      <c r="A3" s="104"/>
      <c r="B3" s="96"/>
      <c r="C3" s="2" t="s">
        <v>3</v>
      </c>
      <c r="D3" s="2" t="s">
        <v>4</v>
      </c>
    </row>
    <row r="4" spans="1:9" ht="15.75" customHeight="1" x14ac:dyDescent="0.2">
      <c r="A4" s="3">
        <v>1</v>
      </c>
      <c r="B4" s="4" t="s">
        <v>5</v>
      </c>
      <c r="C4" s="3">
        <v>0</v>
      </c>
      <c r="D4" s="3">
        <v>115</v>
      </c>
      <c r="E4" s="5" t="s">
        <v>6</v>
      </c>
      <c r="H4" s="1"/>
    </row>
    <row r="5" spans="1:9" ht="15.75" customHeight="1" x14ac:dyDescent="0.2">
      <c r="A5" s="3">
        <v>2</v>
      </c>
      <c r="B5" s="4" t="s">
        <v>7</v>
      </c>
      <c r="C5" s="3">
        <v>0</v>
      </c>
      <c r="D5" s="3">
        <v>0</v>
      </c>
    </row>
    <row r="6" spans="1:9" ht="15.75" customHeight="1" x14ac:dyDescent="0.2">
      <c r="A6" s="3">
        <v>3</v>
      </c>
      <c r="B6" s="4" t="s">
        <v>8</v>
      </c>
      <c r="C6" s="3">
        <v>0</v>
      </c>
      <c r="D6" s="3">
        <v>0</v>
      </c>
      <c r="F6" s="1"/>
    </row>
    <row r="7" spans="1:9" ht="15.75" customHeight="1" x14ac:dyDescent="0.2">
      <c r="A7" s="3">
        <v>4</v>
      </c>
      <c r="B7" s="4" t="s">
        <v>9</v>
      </c>
      <c r="C7" s="3">
        <v>0</v>
      </c>
      <c r="D7" s="3">
        <v>750</v>
      </c>
      <c r="E7" s="1" t="s">
        <v>10</v>
      </c>
      <c r="F7" s="6"/>
    </row>
    <row r="8" spans="1:9" ht="15.75" customHeight="1" x14ac:dyDescent="0.2">
      <c r="A8" s="3">
        <v>5</v>
      </c>
      <c r="B8" s="4" t="s">
        <v>11</v>
      </c>
      <c r="C8" s="3">
        <v>0</v>
      </c>
      <c r="D8" s="3">
        <v>0</v>
      </c>
    </row>
    <row r="9" spans="1:9" ht="15.75" customHeight="1" x14ac:dyDescent="0.2">
      <c r="A9" s="3">
        <v>6</v>
      </c>
      <c r="B9" s="4" t="s">
        <v>12</v>
      </c>
      <c r="C9" s="3">
        <v>0</v>
      </c>
      <c r="D9" s="3">
        <v>0</v>
      </c>
      <c r="F9" s="7"/>
    </row>
    <row r="10" spans="1:9" ht="15.75" customHeight="1" x14ac:dyDescent="0.2">
      <c r="A10" s="3">
        <v>7</v>
      </c>
      <c r="B10" s="4" t="s">
        <v>13</v>
      </c>
      <c r="C10" s="3">
        <v>0</v>
      </c>
      <c r="D10" s="3">
        <v>0</v>
      </c>
    </row>
    <row r="11" spans="1:9" ht="15.75" customHeight="1" x14ac:dyDescent="0.2">
      <c r="F11" s="1"/>
    </row>
    <row r="12" spans="1:9" ht="15.75" customHeight="1" x14ac:dyDescent="0.2">
      <c r="F12" s="7"/>
    </row>
    <row r="13" spans="1:9" ht="15.75" customHeight="1" x14ac:dyDescent="0.2">
      <c r="B13" s="8" t="s">
        <v>14</v>
      </c>
      <c r="C13" s="9">
        <f>C22</f>
        <v>5865</v>
      </c>
    </row>
    <row r="14" spans="1:9" ht="15.75" customHeight="1" x14ac:dyDescent="0.2">
      <c r="B14" s="8" t="s">
        <v>15</v>
      </c>
      <c r="C14" s="9">
        <f>C13</f>
        <v>5865</v>
      </c>
    </row>
    <row r="15" spans="1:9" ht="15.75" customHeight="1" x14ac:dyDescent="0.2">
      <c r="B15" s="8" t="s">
        <v>16</v>
      </c>
      <c r="C15" s="10">
        <f>(D29+E29)/F28</f>
        <v>0.17299999999999999</v>
      </c>
    </row>
    <row r="16" spans="1:9" ht="15.75" customHeight="1" x14ac:dyDescent="0.2">
      <c r="B16" s="8" t="s">
        <v>17</v>
      </c>
      <c r="C16" s="10">
        <f>(E29)/F28</f>
        <v>0.17299999999999999</v>
      </c>
    </row>
    <row r="17" spans="1:10" ht="15.75" customHeight="1" x14ac:dyDescent="0.2"/>
    <row r="18" spans="1:10" ht="15.75" customHeight="1" x14ac:dyDescent="0.2">
      <c r="B18" s="11"/>
    </row>
    <row r="19" spans="1:10" ht="15.75" customHeight="1" x14ac:dyDescent="0.2">
      <c r="A19" s="93" t="s">
        <v>1</v>
      </c>
      <c r="B19" s="94"/>
      <c r="C19" s="107" t="s">
        <v>18</v>
      </c>
      <c r="D19" s="109" t="s">
        <v>19</v>
      </c>
      <c r="E19" s="110"/>
      <c r="F19" s="107" t="s">
        <v>20</v>
      </c>
      <c r="G19" s="91" t="s">
        <v>21</v>
      </c>
    </row>
    <row r="20" spans="1:10" ht="25.5" customHeight="1" x14ac:dyDescent="0.2">
      <c r="A20" s="95"/>
      <c r="B20" s="96"/>
      <c r="C20" s="108"/>
      <c r="D20" s="2" t="s">
        <v>3</v>
      </c>
      <c r="E20" s="2" t="s">
        <v>4</v>
      </c>
      <c r="F20" s="108"/>
      <c r="G20" s="92"/>
    </row>
    <row r="21" spans="1:10" ht="15.75" customHeight="1" x14ac:dyDescent="0.2">
      <c r="A21" s="12">
        <v>1</v>
      </c>
      <c r="B21" s="13" t="s">
        <v>22</v>
      </c>
      <c r="C21" s="14">
        <v>5865</v>
      </c>
      <c r="D21" s="3">
        <v>0</v>
      </c>
      <c r="E21" s="3">
        <v>0</v>
      </c>
      <c r="F21" s="15">
        <v>5865</v>
      </c>
      <c r="G21" s="16">
        <f t="shared" ref="G21:G29" si="0">F21*1000</f>
        <v>5865000</v>
      </c>
      <c r="H21" s="5"/>
    </row>
    <row r="22" spans="1:10" ht="15.75" customHeight="1" x14ac:dyDescent="0.2">
      <c r="A22" s="17">
        <v>2</v>
      </c>
      <c r="B22" s="4" t="s">
        <v>5</v>
      </c>
      <c r="C22" s="3">
        <f>F22*1.02</f>
        <v>5865</v>
      </c>
      <c r="D22" s="3">
        <v>0</v>
      </c>
      <c r="E22" s="3">
        <f>0.02*F22</f>
        <v>115</v>
      </c>
      <c r="F22" s="18">
        <f t="shared" ref="F22:F27" si="1">C23</f>
        <v>5750</v>
      </c>
      <c r="G22" s="16">
        <f t="shared" si="0"/>
        <v>5750000</v>
      </c>
      <c r="H22" s="5" t="s">
        <v>6</v>
      </c>
    </row>
    <row r="23" spans="1:10" ht="15.75" customHeight="1" x14ac:dyDescent="0.2">
      <c r="A23" s="17">
        <v>3</v>
      </c>
      <c r="B23" s="4" t="s">
        <v>7</v>
      </c>
      <c r="C23" s="3">
        <f>F23</f>
        <v>5750</v>
      </c>
      <c r="D23" s="3">
        <v>0</v>
      </c>
      <c r="E23" s="3">
        <v>0</v>
      </c>
      <c r="F23" s="18">
        <f t="shared" si="1"/>
        <v>5750</v>
      </c>
      <c r="G23" s="16">
        <f t="shared" si="0"/>
        <v>5750000</v>
      </c>
    </row>
    <row r="24" spans="1:10" ht="15.75" customHeight="1" x14ac:dyDescent="0.2">
      <c r="A24" s="12">
        <v>4</v>
      </c>
      <c r="B24" s="4" t="s">
        <v>8</v>
      </c>
      <c r="C24" s="3">
        <f t="shared" ref="C24:C25" si="2">D24+E24+F24</f>
        <v>5750</v>
      </c>
      <c r="D24" s="3">
        <v>0</v>
      </c>
      <c r="E24" s="3">
        <v>0</v>
      </c>
      <c r="F24" s="18">
        <f t="shared" si="1"/>
        <v>5750</v>
      </c>
      <c r="G24" s="16">
        <f t="shared" si="0"/>
        <v>5750000</v>
      </c>
    </row>
    <row r="25" spans="1:10" ht="15.75" customHeight="1" x14ac:dyDescent="0.2">
      <c r="A25" s="17">
        <v>5</v>
      </c>
      <c r="B25" s="4" t="s">
        <v>9</v>
      </c>
      <c r="C25" s="3">
        <f t="shared" si="2"/>
        <v>5750</v>
      </c>
      <c r="D25" s="3">
        <v>0</v>
      </c>
      <c r="E25" s="3">
        <f>0.15*F25</f>
        <v>750</v>
      </c>
      <c r="F25" s="18">
        <f t="shared" si="1"/>
        <v>5000</v>
      </c>
      <c r="G25" s="16">
        <f t="shared" si="0"/>
        <v>5000000</v>
      </c>
      <c r="H25" s="1"/>
      <c r="I25" s="6"/>
    </row>
    <row r="26" spans="1:10" ht="15.75" customHeight="1" x14ac:dyDescent="0.2">
      <c r="A26" s="17">
        <v>6</v>
      </c>
      <c r="B26" s="4" t="s">
        <v>11</v>
      </c>
      <c r="C26" s="3">
        <f>F26</f>
        <v>5000</v>
      </c>
      <c r="D26" s="3">
        <v>0</v>
      </c>
      <c r="E26" s="3">
        <v>0</v>
      </c>
      <c r="F26" s="18">
        <f t="shared" si="1"/>
        <v>5000</v>
      </c>
      <c r="G26" s="16">
        <f t="shared" si="0"/>
        <v>5000000</v>
      </c>
    </row>
    <row r="27" spans="1:10" ht="15.75" customHeight="1" x14ac:dyDescent="0.2">
      <c r="A27" s="12">
        <v>7</v>
      </c>
      <c r="B27" s="4" t="s">
        <v>12</v>
      </c>
      <c r="C27" s="3">
        <f t="shared" ref="C27:C28" si="3">F27+D27+E27</f>
        <v>5000</v>
      </c>
      <c r="D27" s="3">
        <v>0</v>
      </c>
      <c r="E27" s="3">
        <v>0</v>
      </c>
      <c r="F27" s="18">
        <f t="shared" si="1"/>
        <v>5000</v>
      </c>
      <c r="G27" s="16">
        <f t="shared" si="0"/>
        <v>5000000</v>
      </c>
    </row>
    <row r="28" spans="1:10" ht="15.75" customHeight="1" x14ac:dyDescent="0.2">
      <c r="A28" s="17">
        <v>8</v>
      </c>
      <c r="B28" s="19" t="s">
        <v>13</v>
      </c>
      <c r="C28" s="20">
        <f t="shared" si="3"/>
        <v>5000</v>
      </c>
      <c r="D28" s="20">
        <v>0</v>
      </c>
      <c r="E28" s="20">
        <v>0</v>
      </c>
      <c r="F28" s="21">
        <f>I28</f>
        <v>5000</v>
      </c>
      <c r="G28" s="22">
        <f t="shared" si="0"/>
        <v>5000000</v>
      </c>
      <c r="I28" s="1">
        <f>5000</f>
        <v>5000</v>
      </c>
      <c r="J28" s="5" t="s">
        <v>23</v>
      </c>
    </row>
    <row r="29" spans="1:10" ht="15.75" customHeight="1" x14ac:dyDescent="0.2">
      <c r="A29" s="97" t="s">
        <v>24</v>
      </c>
      <c r="B29" s="98"/>
      <c r="C29" s="23">
        <f>C22</f>
        <v>5865</v>
      </c>
      <c r="D29" s="23">
        <f t="shared" ref="D29:E29" si="4">SUM(D22:D28)</f>
        <v>0</v>
      </c>
      <c r="E29" s="23">
        <f t="shared" si="4"/>
        <v>865</v>
      </c>
      <c r="F29" s="24">
        <f>F28</f>
        <v>5000</v>
      </c>
      <c r="G29" s="25">
        <f t="shared" si="0"/>
        <v>5000000</v>
      </c>
    </row>
    <row r="30" spans="1:10" ht="15.75" customHeight="1" x14ac:dyDescent="0.2"/>
    <row r="31" spans="1:10" ht="15.75" customHeight="1" x14ac:dyDescent="0.2">
      <c r="C31" s="1"/>
      <c r="D31" s="1"/>
    </row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9">
    <mergeCell ref="G19:G20"/>
    <mergeCell ref="A19:B20"/>
    <mergeCell ref="A29:B29"/>
    <mergeCell ref="A1:F1"/>
    <mergeCell ref="A2:B3"/>
    <mergeCell ref="C2:D2"/>
    <mergeCell ref="C19:C20"/>
    <mergeCell ref="D19:E19"/>
    <mergeCell ref="F19:F2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8"/>
  <sheetViews>
    <sheetView workbookViewId="0">
      <selection activeCell="A12" sqref="A12"/>
    </sheetView>
  </sheetViews>
  <sheetFormatPr baseColWidth="10" defaultColWidth="12.5703125" defaultRowHeight="15" customHeight="1" x14ac:dyDescent="0.2"/>
  <cols>
    <col min="1" max="1" width="32.42578125" customWidth="1"/>
    <col min="2" max="2" width="9.5703125" customWidth="1"/>
    <col min="3" max="3" width="8.42578125" customWidth="1"/>
    <col min="4" max="26" width="14.42578125" customWidth="1"/>
  </cols>
  <sheetData>
    <row r="1" spans="1:5" ht="15.75" customHeight="1" x14ac:dyDescent="0.2">
      <c r="A1" s="111" t="s">
        <v>25</v>
      </c>
      <c r="B1" s="101"/>
    </row>
    <row r="2" spans="1:5" ht="15.75" customHeight="1" x14ac:dyDescent="0.2">
      <c r="A2" s="26" t="s">
        <v>26</v>
      </c>
      <c r="B2" s="3">
        <v>365</v>
      </c>
      <c r="E2" s="1"/>
    </row>
    <row r="3" spans="1:5" ht="15.75" customHeight="1" x14ac:dyDescent="0.2">
      <c r="A3" s="26" t="s">
        <v>27</v>
      </c>
      <c r="B3" s="3">
        <v>10</v>
      </c>
      <c r="E3" s="1"/>
    </row>
    <row r="4" spans="1:5" ht="15.75" customHeight="1" x14ac:dyDescent="0.2">
      <c r="A4" s="26" t="s">
        <v>28</v>
      </c>
      <c r="B4" s="3">
        <v>15</v>
      </c>
    </row>
    <row r="5" spans="1:5" ht="15.75" customHeight="1" x14ac:dyDescent="0.2">
      <c r="A5" s="27" t="s">
        <v>29</v>
      </c>
      <c r="B5" s="28">
        <v>340</v>
      </c>
      <c r="C5" s="29">
        <v>7</v>
      </c>
      <c r="D5" s="29" t="s">
        <v>30</v>
      </c>
    </row>
    <row r="6" spans="1:5" ht="15.75" customHeight="1" x14ac:dyDescent="0.2"/>
    <row r="7" spans="1:5" ht="15.75" customHeight="1" x14ac:dyDescent="0.2">
      <c r="A7" s="26" t="s">
        <v>31</v>
      </c>
      <c r="B7" s="3">
        <v>1</v>
      </c>
    </row>
    <row r="8" spans="1:5" ht="15.75" customHeight="1" x14ac:dyDescent="0.2">
      <c r="A8" s="26" t="s">
        <v>32</v>
      </c>
      <c r="B8" s="3">
        <v>8</v>
      </c>
    </row>
    <row r="9" spans="1:5" ht="15.75" customHeight="1" x14ac:dyDescent="0.2">
      <c r="A9" s="26" t="s">
        <v>33</v>
      </c>
      <c r="B9" s="30">
        <v>2</v>
      </c>
      <c r="E9" s="5"/>
    </row>
    <row r="10" spans="1:5" ht="15.75" customHeight="1" x14ac:dyDescent="0.2">
      <c r="A10" s="31"/>
    </row>
    <row r="11" spans="1:5" ht="15.75" customHeight="1" x14ac:dyDescent="0.2">
      <c r="A11" s="32" t="s">
        <v>34</v>
      </c>
      <c r="B11" s="33">
        <f>B5*B8*B9</f>
        <v>5440</v>
      </c>
      <c r="C11" s="33" t="s">
        <v>35</v>
      </c>
    </row>
    <row r="12" spans="1:5" ht="34.5" customHeight="1" x14ac:dyDescent="0.2">
      <c r="A12" s="32" t="s">
        <v>36</v>
      </c>
      <c r="B12" s="33">
        <f>B11/B7</f>
        <v>5440</v>
      </c>
      <c r="C12" s="33" t="s">
        <v>35</v>
      </c>
    </row>
    <row r="13" spans="1:5" ht="15.75" customHeight="1" x14ac:dyDescent="0.2">
      <c r="A13" s="34"/>
    </row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1"/>
  <sheetViews>
    <sheetView workbookViewId="0">
      <selection activeCell="H2" sqref="A2:H2"/>
    </sheetView>
  </sheetViews>
  <sheetFormatPr baseColWidth="10" defaultColWidth="12.5703125" defaultRowHeight="15" customHeight="1" x14ac:dyDescent="0.2"/>
  <cols>
    <col min="1" max="1" width="5.85546875" customWidth="1"/>
    <col min="2" max="2" width="19.7109375" customWidth="1"/>
    <col min="3" max="3" width="15.42578125" customWidth="1"/>
    <col min="4" max="4" width="4.85546875" customWidth="1"/>
    <col min="5" max="5" width="16.140625" customWidth="1"/>
    <col min="6" max="6" width="19.85546875" customWidth="1"/>
    <col min="7" max="7" width="14.42578125" customWidth="1"/>
    <col min="8" max="8" width="17.5703125" customWidth="1"/>
    <col min="9" max="10" width="18.42578125" customWidth="1"/>
    <col min="11" max="27" width="14.42578125" customWidth="1"/>
  </cols>
  <sheetData>
    <row r="1" spans="1:11" ht="15.75" customHeight="1" x14ac:dyDescent="0.2">
      <c r="A1" s="112" t="s">
        <v>37</v>
      </c>
      <c r="B1" s="113"/>
      <c r="C1" s="113"/>
      <c r="D1" s="113"/>
      <c r="E1" s="113"/>
      <c r="F1" s="113"/>
      <c r="G1" s="113"/>
      <c r="H1" s="106"/>
    </row>
    <row r="2" spans="1:11" ht="42" customHeight="1" x14ac:dyDescent="0.2">
      <c r="A2" s="125" t="s">
        <v>38</v>
      </c>
      <c r="B2" s="126"/>
      <c r="C2" s="125" t="s">
        <v>39</v>
      </c>
      <c r="D2" s="126"/>
      <c r="E2" s="127" t="s">
        <v>40</v>
      </c>
      <c r="F2" s="127" t="s">
        <v>41</v>
      </c>
      <c r="G2" s="127" t="s">
        <v>42</v>
      </c>
      <c r="H2" s="127" t="s">
        <v>43</v>
      </c>
    </row>
    <row r="3" spans="1:11" ht="15.75" customHeight="1" x14ac:dyDescent="0.2">
      <c r="A3" s="14">
        <v>1</v>
      </c>
      <c r="B3" s="35" t="s">
        <v>22</v>
      </c>
      <c r="C3" s="36">
        <v>8000</v>
      </c>
      <c r="D3" s="3" t="s">
        <v>44</v>
      </c>
      <c r="E3" s="37">
        <f>'Ejercicio 2 '!$B$11</f>
        <v>5440</v>
      </c>
      <c r="F3" s="37">
        <f t="shared" ref="F3:F10" si="0">C3*E3</f>
        <v>43520000</v>
      </c>
      <c r="G3" s="38">
        <v>0.95</v>
      </c>
      <c r="H3" s="37">
        <f t="shared" ref="H3:H10" si="1">F3*G3</f>
        <v>41344000</v>
      </c>
    </row>
    <row r="4" spans="1:11" ht="15.75" customHeight="1" x14ac:dyDescent="0.2">
      <c r="A4" s="3">
        <v>2</v>
      </c>
      <c r="B4" s="4" t="s">
        <v>5</v>
      </c>
      <c r="C4" s="37">
        <f>(150*1000)/24</f>
        <v>6250</v>
      </c>
      <c r="D4" s="3" t="s">
        <v>44</v>
      </c>
      <c r="E4" s="37">
        <f>'Ejercicio 2 '!$B$11</f>
        <v>5440</v>
      </c>
      <c r="F4" s="37">
        <f t="shared" si="0"/>
        <v>34000000</v>
      </c>
      <c r="G4" s="38">
        <v>0.95</v>
      </c>
      <c r="H4" s="37">
        <f t="shared" si="1"/>
        <v>32300000</v>
      </c>
    </row>
    <row r="5" spans="1:11" ht="15.75" customHeight="1" x14ac:dyDescent="0.2">
      <c r="A5" s="3">
        <v>3</v>
      </c>
      <c r="B5" s="4" t="s">
        <v>7</v>
      </c>
      <c r="C5" s="37">
        <v>1000</v>
      </c>
      <c r="D5" s="3" t="s">
        <v>44</v>
      </c>
      <c r="E5" s="37">
        <f>'Ejercicio 2 '!$B$11</f>
        <v>5440</v>
      </c>
      <c r="F5" s="37">
        <f t="shared" si="0"/>
        <v>5440000</v>
      </c>
      <c r="G5" s="38">
        <v>0.95</v>
      </c>
      <c r="H5" s="37">
        <f t="shared" si="1"/>
        <v>5168000</v>
      </c>
    </row>
    <row r="6" spans="1:11" ht="15.75" customHeight="1" x14ac:dyDescent="0.2">
      <c r="A6" s="3">
        <v>4</v>
      </c>
      <c r="B6" s="4" t="s">
        <v>8</v>
      </c>
      <c r="C6" s="37">
        <v>1000</v>
      </c>
      <c r="D6" s="3" t="s">
        <v>44</v>
      </c>
      <c r="E6" s="37">
        <f>'Ejercicio 2 '!$B$11</f>
        <v>5440</v>
      </c>
      <c r="F6" s="37">
        <f t="shared" si="0"/>
        <v>5440000</v>
      </c>
      <c r="G6" s="38">
        <v>0.95</v>
      </c>
      <c r="H6" s="37">
        <f t="shared" si="1"/>
        <v>5168000</v>
      </c>
    </row>
    <row r="7" spans="1:11" ht="15.75" customHeight="1" x14ac:dyDescent="0.2">
      <c r="A7" s="3">
        <v>5</v>
      </c>
      <c r="B7" s="4" t="s">
        <v>9</v>
      </c>
      <c r="C7" s="37">
        <f>(70*1000)/24</f>
        <v>2916.6666666666665</v>
      </c>
      <c r="D7" s="3" t="s">
        <v>44</v>
      </c>
      <c r="E7" s="37">
        <f>'Ejercicio 2 '!$B$11</f>
        <v>5440</v>
      </c>
      <c r="F7" s="37">
        <f t="shared" si="0"/>
        <v>15866666.666666666</v>
      </c>
      <c r="G7" s="38">
        <v>0.95</v>
      </c>
      <c r="H7" s="37">
        <f t="shared" si="1"/>
        <v>15073333.333333332</v>
      </c>
      <c r="K7" s="1"/>
    </row>
    <row r="8" spans="1:11" ht="15.75" customHeight="1" x14ac:dyDescent="0.2">
      <c r="A8" s="3">
        <v>6</v>
      </c>
      <c r="B8" s="4" t="s">
        <v>11</v>
      </c>
      <c r="C8" s="37">
        <f>10*1000</f>
        <v>10000</v>
      </c>
      <c r="D8" s="3" t="s">
        <v>44</v>
      </c>
      <c r="E8" s="37">
        <f>'Ejercicio 2 '!$B$11</f>
        <v>5440</v>
      </c>
      <c r="F8" s="37">
        <f t="shared" si="0"/>
        <v>54400000</v>
      </c>
      <c r="G8" s="38">
        <v>0.95</v>
      </c>
      <c r="H8" s="37">
        <f t="shared" si="1"/>
        <v>51680000</v>
      </c>
      <c r="K8" s="1"/>
    </row>
    <row r="9" spans="1:11" ht="15.75" customHeight="1" x14ac:dyDescent="0.2">
      <c r="A9" s="3">
        <v>7</v>
      </c>
      <c r="B9" s="4" t="s">
        <v>12</v>
      </c>
      <c r="C9" s="37">
        <f>4*1000</f>
        <v>4000</v>
      </c>
      <c r="D9" s="3" t="s">
        <v>44</v>
      </c>
      <c r="E9" s="37">
        <f>'Ejercicio 2 '!$B$11</f>
        <v>5440</v>
      </c>
      <c r="F9" s="37">
        <f t="shared" si="0"/>
        <v>21760000</v>
      </c>
      <c r="G9" s="38">
        <v>0.95</v>
      </c>
      <c r="H9" s="37">
        <f t="shared" si="1"/>
        <v>20672000</v>
      </c>
      <c r="K9" s="1"/>
    </row>
    <row r="10" spans="1:11" ht="15.75" customHeight="1" x14ac:dyDescent="0.2">
      <c r="A10" s="3">
        <v>8</v>
      </c>
      <c r="B10" s="4" t="s">
        <v>13</v>
      </c>
      <c r="C10" s="37">
        <f>(4*60)*50</f>
        <v>12000</v>
      </c>
      <c r="D10" s="3" t="s">
        <v>44</v>
      </c>
      <c r="E10" s="37">
        <f>'Ejercicio 2 '!$B$11</f>
        <v>5440</v>
      </c>
      <c r="F10" s="37">
        <f t="shared" si="0"/>
        <v>65280000</v>
      </c>
      <c r="G10" s="38">
        <v>0.95</v>
      </c>
      <c r="H10" s="37">
        <f t="shared" si="1"/>
        <v>62016000</v>
      </c>
    </row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>
      <c r="B14" s="40"/>
    </row>
    <row r="15" spans="1:11" ht="15.75" customHeight="1" x14ac:dyDescent="0.2">
      <c r="B15" s="40"/>
    </row>
    <row r="16" spans="1:11" ht="15.75" customHeight="1" x14ac:dyDescent="0.2">
      <c r="B16" s="40"/>
    </row>
    <row r="17" spans="2:2" ht="15.75" customHeight="1" x14ac:dyDescent="0.2"/>
    <row r="18" spans="2:2" ht="15.75" customHeight="1" x14ac:dyDescent="0.2">
      <c r="B18" s="1"/>
    </row>
    <row r="19" spans="2:2" ht="15.75" customHeight="1" x14ac:dyDescent="0.2"/>
    <row r="20" spans="2:2" ht="15.75" customHeight="1" x14ac:dyDescent="0.2">
      <c r="B20" s="41"/>
    </row>
    <row r="21" spans="2:2" ht="15.75" customHeight="1" x14ac:dyDescent="0.2"/>
    <row r="22" spans="2:2" ht="15.75" customHeight="1" x14ac:dyDescent="0.2"/>
    <row r="23" spans="2:2" ht="15.75" customHeight="1" x14ac:dyDescent="0.2"/>
    <row r="24" spans="2:2" ht="15.75" customHeight="1" x14ac:dyDescent="0.2"/>
    <row r="25" spans="2:2" ht="15.75" customHeight="1" x14ac:dyDescent="0.2"/>
    <row r="26" spans="2:2" ht="15.75" customHeight="1" x14ac:dyDescent="0.2"/>
    <row r="27" spans="2:2" ht="15.75" customHeight="1" x14ac:dyDescent="0.2"/>
    <row r="28" spans="2:2" ht="15.75" customHeight="1" x14ac:dyDescent="0.2"/>
    <row r="29" spans="2:2" ht="15.75" customHeight="1" x14ac:dyDescent="0.2"/>
    <row r="30" spans="2:2" ht="15.75" customHeight="1" x14ac:dyDescent="0.2"/>
    <row r="31" spans="2:2" ht="15.75" customHeight="1" x14ac:dyDescent="0.2"/>
    <row r="32" spans="2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1:H1"/>
    <mergeCell ref="A2:B2"/>
    <mergeCell ref="C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1"/>
  <sheetViews>
    <sheetView workbookViewId="0">
      <selection activeCell="F19" sqref="F19"/>
    </sheetView>
  </sheetViews>
  <sheetFormatPr baseColWidth="10" defaultColWidth="12.5703125" defaultRowHeight="15" customHeight="1" x14ac:dyDescent="0.2"/>
  <cols>
    <col min="1" max="1" width="10.140625" customWidth="1"/>
    <col min="2" max="2" width="27" customWidth="1"/>
    <col min="3" max="3" width="20.42578125" customWidth="1"/>
    <col min="4" max="4" width="18" customWidth="1"/>
    <col min="5" max="5" width="17.140625" customWidth="1"/>
    <col min="6" max="6" width="20" customWidth="1"/>
    <col min="7" max="7" width="17.28515625" customWidth="1"/>
    <col min="8" max="26" width="14.42578125" customWidth="1"/>
  </cols>
  <sheetData>
    <row r="1" spans="1:8" ht="15.75" customHeight="1" x14ac:dyDescent="0.2">
      <c r="A1" s="112" t="s">
        <v>45</v>
      </c>
      <c r="B1" s="113"/>
      <c r="C1" s="113"/>
      <c r="D1" s="113"/>
      <c r="E1" s="113"/>
      <c r="F1" s="113"/>
      <c r="G1" s="106"/>
      <c r="H1" s="40"/>
    </row>
    <row r="2" spans="1:8" ht="15.75" customHeight="1" x14ac:dyDescent="0.2">
      <c r="A2" s="128" t="s">
        <v>38</v>
      </c>
      <c r="B2" s="129"/>
      <c r="C2" s="130" t="s">
        <v>46</v>
      </c>
      <c r="D2" s="130" t="s">
        <v>47</v>
      </c>
      <c r="E2" s="130" t="s">
        <v>48</v>
      </c>
      <c r="F2" s="130" t="s">
        <v>49</v>
      </c>
      <c r="G2" s="130" t="s">
        <v>50</v>
      </c>
      <c r="H2" s="40"/>
    </row>
    <row r="3" spans="1:8" ht="15.75" customHeight="1" x14ac:dyDescent="0.2">
      <c r="A3" s="131"/>
      <c r="B3" s="132"/>
      <c r="C3" s="133"/>
      <c r="D3" s="133"/>
      <c r="E3" s="133"/>
      <c r="F3" s="133"/>
      <c r="G3" s="133"/>
      <c r="H3" s="40"/>
    </row>
    <row r="4" spans="1:8" ht="15.75" customHeight="1" x14ac:dyDescent="0.25">
      <c r="A4" s="134">
        <v>1</v>
      </c>
      <c r="B4" s="4" t="s">
        <v>22</v>
      </c>
      <c r="C4" s="37">
        <f>'Ejercicio 1'!G21</f>
        <v>5865000</v>
      </c>
      <c r="D4" s="42">
        <f>'Ejercicio 3'!H3</f>
        <v>41344000</v>
      </c>
      <c r="E4" s="43">
        <f t="shared" ref="E4:E7" si="0">ROUNDUP(C4/D4,0)</f>
        <v>1</v>
      </c>
      <c r="F4" s="37">
        <f t="shared" ref="F4:F11" si="1">D4*E4</f>
        <v>41344000</v>
      </c>
      <c r="G4" s="143">
        <f t="shared" ref="G4:G11" si="2">(C4/F4)</f>
        <v>0.14185855263157895</v>
      </c>
      <c r="H4" s="40"/>
    </row>
    <row r="5" spans="1:8" ht="15.75" customHeight="1" x14ac:dyDescent="0.25">
      <c r="A5" s="135">
        <v>2</v>
      </c>
      <c r="B5" s="4" t="s">
        <v>5</v>
      </c>
      <c r="C5" s="37">
        <f>'Ejercicio 1'!G22</f>
        <v>5750000</v>
      </c>
      <c r="D5" s="37">
        <f>'Ejercicio 3'!H4</f>
        <v>32300000</v>
      </c>
      <c r="E5" s="43">
        <f t="shared" si="0"/>
        <v>1</v>
      </c>
      <c r="F5" s="37">
        <f t="shared" si="1"/>
        <v>32300000</v>
      </c>
      <c r="G5" s="143">
        <f t="shared" si="2"/>
        <v>0.17801857585139319</v>
      </c>
      <c r="H5" s="40"/>
    </row>
    <row r="6" spans="1:8" ht="15.75" customHeight="1" x14ac:dyDescent="0.25">
      <c r="A6" s="135">
        <v>3</v>
      </c>
      <c r="B6" s="4" t="s">
        <v>7</v>
      </c>
      <c r="C6" s="37">
        <f>'Ejercicio 1'!G23</f>
        <v>5750000</v>
      </c>
      <c r="D6" s="37">
        <f>'Ejercicio 3'!H5</f>
        <v>5168000</v>
      </c>
      <c r="E6" s="43">
        <f t="shared" si="0"/>
        <v>2</v>
      </c>
      <c r="F6" s="37">
        <f t="shared" si="1"/>
        <v>10336000</v>
      </c>
      <c r="G6" s="144">
        <f t="shared" si="2"/>
        <v>0.55630804953560375</v>
      </c>
      <c r="H6" s="44"/>
    </row>
    <row r="7" spans="1:8" ht="15.75" customHeight="1" x14ac:dyDescent="0.25">
      <c r="A7" s="134">
        <v>4</v>
      </c>
      <c r="B7" s="4" t="s">
        <v>8</v>
      </c>
      <c r="C7" s="37">
        <f>'Ejercicio 1'!G24</f>
        <v>5750000</v>
      </c>
      <c r="D7" s="37">
        <f>'Ejercicio 3'!H6</f>
        <v>5168000</v>
      </c>
      <c r="E7" s="43">
        <f t="shared" si="0"/>
        <v>2</v>
      </c>
      <c r="F7" s="37">
        <f t="shared" si="1"/>
        <v>10336000</v>
      </c>
      <c r="G7" s="144">
        <f t="shared" si="2"/>
        <v>0.55630804953560375</v>
      </c>
    </row>
    <row r="8" spans="1:8" ht="15.75" customHeight="1" x14ac:dyDescent="0.25">
      <c r="A8" s="135">
        <v>5</v>
      </c>
      <c r="B8" s="4" t="s">
        <v>9</v>
      </c>
      <c r="C8" s="37">
        <f>'Ejercicio 1'!G25</f>
        <v>5000000</v>
      </c>
      <c r="D8" s="37">
        <f>'Ejercicio 3'!H7</f>
        <v>15073333.333333332</v>
      </c>
      <c r="E8" s="43">
        <v>2</v>
      </c>
      <c r="F8" s="37">
        <f t="shared" si="1"/>
        <v>30146666.666666664</v>
      </c>
      <c r="G8" s="143">
        <f t="shared" si="2"/>
        <v>0.16585581601061478</v>
      </c>
      <c r="H8" s="40" t="s">
        <v>51</v>
      </c>
    </row>
    <row r="9" spans="1:8" ht="15.75" customHeight="1" x14ac:dyDescent="0.25">
      <c r="A9" s="135">
        <v>6</v>
      </c>
      <c r="B9" s="4" t="s">
        <v>11</v>
      </c>
      <c r="C9" s="37">
        <f>'Ejercicio 1'!G26</f>
        <v>5000000</v>
      </c>
      <c r="D9" s="37">
        <f>'Ejercicio 3'!H8</f>
        <v>51680000</v>
      </c>
      <c r="E9" s="43">
        <f t="shared" ref="E9:E11" si="3">ROUNDUP(C9/D9,0)</f>
        <v>1</v>
      </c>
      <c r="F9" s="37">
        <f t="shared" si="1"/>
        <v>51680000</v>
      </c>
      <c r="G9" s="143">
        <f t="shared" si="2"/>
        <v>9.6749226006191957E-2</v>
      </c>
      <c r="H9" s="40"/>
    </row>
    <row r="10" spans="1:8" ht="15.75" customHeight="1" x14ac:dyDescent="0.25">
      <c r="A10" s="134">
        <v>7</v>
      </c>
      <c r="B10" s="4" t="s">
        <v>12</v>
      </c>
      <c r="C10" s="37">
        <f>'Ejercicio 1'!G27</f>
        <v>5000000</v>
      </c>
      <c r="D10" s="37">
        <f>'Ejercicio 3'!H9</f>
        <v>20672000</v>
      </c>
      <c r="E10" s="43">
        <f t="shared" si="3"/>
        <v>1</v>
      </c>
      <c r="F10" s="37">
        <f t="shared" si="1"/>
        <v>20672000</v>
      </c>
      <c r="G10" s="143">
        <f t="shared" si="2"/>
        <v>0.24187306501547987</v>
      </c>
    </row>
    <row r="11" spans="1:8" ht="15.75" customHeight="1" x14ac:dyDescent="0.25">
      <c r="A11" s="135">
        <v>8</v>
      </c>
      <c r="B11" s="4" t="s">
        <v>13</v>
      </c>
      <c r="C11" s="37">
        <f>'Ejercicio 1'!G28</f>
        <v>5000000</v>
      </c>
      <c r="D11" s="37">
        <f>'Ejercicio 3'!H10</f>
        <v>62016000</v>
      </c>
      <c r="E11" s="43">
        <f t="shared" si="3"/>
        <v>1</v>
      </c>
      <c r="F11" s="37">
        <f t="shared" si="1"/>
        <v>62016000</v>
      </c>
      <c r="G11" s="143">
        <f t="shared" si="2"/>
        <v>8.0624355005159964E-2</v>
      </c>
      <c r="H11" s="44"/>
    </row>
    <row r="12" spans="1:8" ht="15.75" customHeight="1" x14ac:dyDescent="0.2">
      <c r="C12" s="1"/>
    </row>
    <row r="13" spans="1:8" ht="15.75" customHeight="1" x14ac:dyDescent="0.2">
      <c r="E13" s="45"/>
    </row>
    <row r="14" spans="1:8" ht="15.75" customHeight="1" x14ac:dyDescent="0.2">
      <c r="A14" s="46"/>
      <c r="B14" s="46"/>
      <c r="E14" s="47"/>
      <c r="F14" s="1"/>
      <c r="G14" s="1"/>
    </row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A1:G1"/>
    <mergeCell ref="A2:B3"/>
    <mergeCell ref="C2:C3"/>
    <mergeCell ref="D2:D3"/>
    <mergeCell ref="E2:E3"/>
    <mergeCell ref="F2:F3"/>
    <mergeCell ref="G2:G3"/>
  </mergeCells>
  <conditionalFormatting sqref="G4:G11">
    <cfRule type="notContainsBlanks" dxfId="0" priority="1">
      <formula>LEN(TRIM(G4))&gt;0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workbookViewId="0">
      <selection sqref="A1:D1"/>
    </sheetView>
  </sheetViews>
  <sheetFormatPr baseColWidth="10" defaultColWidth="12.5703125" defaultRowHeight="15" customHeight="1" x14ac:dyDescent="0.2"/>
  <cols>
    <col min="1" max="1" width="19.5703125" customWidth="1"/>
    <col min="2" max="2" width="19.85546875" customWidth="1"/>
    <col min="3" max="3" width="15.85546875" customWidth="1"/>
    <col min="4" max="4" width="25.140625" customWidth="1"/>
    <col min="5" max="5" width="24.5703125" customWidth="1"/>
    <col min="6" max="6" width="19.7109375" customWidth="1"/>
    <col min="7" max="7" width="15" customWidth="1"/>
    <col min="8" max="25" width="14.42578125" customWidth="1"/>
  </cols>
  <sheetData>
    <row r="1" spans="1:9" ht="15.75" customHeight="1" x14ac:dyDescent="0.2">
      <c r="A1" s="112" t="s">
        <v>52</v>
      </c>
      <c r="B1" s="113"/>
      <c r="C1" s="113"/>
      <c r="D1" s="114"/>
      <c r="H1" s="1">
        <v>345</v>
      </c>
      <c r="I1" s="1" t="s">
        <v>53</v>
      </c>
    </row>
    <row r="2" spans="1:9" ht="15.75" customHeight="1" x14ac:dyDescent="0.2">
      <c r="A2" s="115" t="s">
        <v>54</v>
      </c>
      <c r="B2" s="113"/>
      <c r="C2" s="113"/>
      <c r="D2" s="106"/>
      <c r="H2" s="1"/>
      <c r="I2" s="1"/>
    </row>
    <row r="3" spans="1:9" ht="15.75" customHeight="1" x14ac:dyDescent="0.2">
      <c r="A3" s="115" t="s">
        <v>55</v>
      </c>
      <c r="B3" s="106"/>
      <c r="C3" s="115" t="s">
        <v>56</v>
      </c>
      <c r="D3" s="106"/>
      <c r="H3" s="1">
        <f>(H1*12)/365</f>
        <v>11.342465753424657</v>
      </c>
      <c r="I3" s="1" t="s">
        <v>57</v>
      </c>
    </row>
    <row r="4" spans="1:9" ht="15.75" customHeight="1" x14ac:dyDescent="0.2">
      <c r="A4" s="115">
        <v>5000</v>
      </c>
      <c r="B4" s="106"/>
      <c r="C4" s="116">
        <f>A4/H4</f>
        <v>434.78260869565219</v>
      </c>
      <c r="D4" s="106"/>
      <c r="H4" s="1">
        <v>11.5</v>
      </c>
    </row>
    <row r="5" spans="1:9" ht="15.75" customHeight="1" x14ac:dyDescent="0.2"/>
    <row r="6" spans="1:9" ht="15.75" customHeight="1" x14ac:dyDescent="0.2">
      <c r="A6" s="48" t="s">
        <v>58</v>
      </c>
      <c r="B6" s="49" t="s">
        <v>59</v>
      </c>
      <c r="C6" s="49" t="s">
        <v>60</v>
      </c>
      <c r="D6" s="49" t="s">
        <v>61</v>
      </c>
      <c r="E6" s="49" t="s">
        <v>62</v>
      </c>
      <c r="F6" s="49" t="s">
        <v>63</v>
      </c>
    </row>
    <row r="7" spans="1:9" ht="15.75" customHeight="1" x14ac:dyDescent="0.25">
      <c r="A7" s="50">
        <v>1</v>
      </c>
      <c r="B7" s="51">
        <v>0</v>
      </c>
      <c r="C7" s="51">
        <v>0.04</v>
      </c>
      <c r="D7" s="51">
        <v>0.02</v>
      </c>
      <c r="E7" s="52">
        <f>$C$4</f>
        <v>434.78260869565219</v>
      </c>
      <c r="F7" s="53">
        <f t="shared" ref="F7:F9" si="0">D7*E7</f>
        <v>8.6956521739130448</v>
      </c>
    </row>
    <row r="8" spans="1:9" ht="15.75" customHeight="1" x14ac:dyDescent="0.25">
      <c r="A8" s="50">
        <v>2</v>
      </c>
      <c r="B8" s="51">
        <v>0.04</v>
      </c>
      <c r="C8" s="51">
        <v>0.16</v>
      </c>
      <c r="D8" s="51">
        <v>0.1</v>
      </c>
      <c r="E8" s="52">
        <f t="shared" ref="E8:E9" si="1">E7</f>
        <v>434.78260869565219</v>
      </c>
      <c r="F8" s="53">
        <f t="shared" si="0"/>
        <v>43.478260869565219</v>
      </c>
    </row>
    <row r="9" spans="1:9" ht="15.75" customHeight="1" x14ac:dyDescent="0.25">
      <c r="A9" s="50">
        <v>3</v>
      </c>
      <c r="B9" s="51">
        <v>0.16</v>
      </c>
      <c r="C9" s="51">
        <v>1</v>
      </c>
      <c r="D9" s="51">
        <v>0.57999999999999996</v>
      </c>
      <c r="E9" s="52">
        <f t="shared" si="1"/>
        <v>434.78260869565219</v>
      </c>
      <c r="F9" s="53">
        <f t="shared" si="0"/>
        <v>252.17391304347825</v>
      </c>
    </row>
    <row r="10" spans="1:9" ht="15.75" customHeight="1" x14ac:dyDescent="0.2">
      <c r="E10" s="54" t="s">
        <v>64</v>
      </c>
      <c r="F10" s="55">
        <f>SUM(F7:F9)</f>
        <v>304.3478260869565</v>
      </c>
      <c r="H10" s="56" t="s">
        <v>65</v>
      </c>
    </row>
    <row r="11" spans="1:9" ht="15.75" customHeight="1" x14ac:dyDescent="0.2">
      <c r="B11" s="57" t="s">
        <v>66</v>
      </c>
      <c r="C11" s="58" t="s">
        <v>67</v>
      </c>
      <c r="H11" s="59">
        <f>B12-F10</f>
        <v>3695.6521739130435</v>
      </c>
    </row>
    <row r="12" spans="1:9" ht="15.75" customHeight="1" x14ac:dyDescent="0.2">
      <c r="A12" s="60" t="s">
        <v>68</v>
      </c>
      <c r="B12" s="61">
        <f>F10+(11.5-3)*C4</f>
        <v>4000</v>
      </c>
      <c r="C12" s="3">
        <f>A4</f>
        <v>5000</v>
      </c>
      <c r="E12" s="54" t="s">
        <v>69</v>
      </c>
      <c r="F12" s="55">
        <v>3696</v>
      </c>
    </row>
    <row r="13" spans="1:9" ht="15.75" customHeight="1" x14ac:dyDescent="0.2"/>
    <row r="14" spans="1:9" ht="15.75" customHeight="1" x14ac:dyDescent="0.2">
      <c r="B14" s="1"/>
    </row>
    <row r="15" spans="1:9" ht="15.75" customHeight="1" x14ac:dyDescent="0.2">
      <c r="B15" s="1"/>
    </row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1:D1"/>
    <mergeCell ref="A2:D2"/>
    <mergeCell ref="A3:B3"/>
    <mergeCell ref="C3:D3"/>
    <mergeCell ref="A4:B4"/>
    <mergeCell ref="C4:D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000"/>
  <sheetViews>
    <sheetView workbookViewId="0">
      <selection activeCell="E13" sqref="E13"/>
    </sheetView>
  </sheetViews>
  <sheetFormatPr baseColWidth="10" defaultColWidth="12.5703125" defaultRowHeight="15" customHeight="1" x14ac:dyDescent="0.2"/>
  <cols>
    <col min="1" max="1" width="14.42578125" customWidth="1"/>
    <col min="2" max="2" width="24.28515625" customWidth="1"/>
    <col min="3" max="3" width="14.42578125" customWidth="1"/>
    <col min="4" max="4" width="8.42578125" customWidth="1"/>
    <col min="5" max="6" width="14.42578125" customWidth="1"/>
    <col min="7" max="7" width="23.42578125" customWidth="1"/>
    <col min="8" max="26" width="14.42578125" customWidth="1"/>
  </cols>
  <sheetData>
    <row r="1" spans="1:9" ht="15.75" customHeight="1" x14ac:dyDescent="0.2">
      <c r="A1" s="112" t="s">
        <v>70</v>
      </c>
      <c r="B1" s="113"/>
      <c r="C1" s="113"/>
      <c r="D1" s="114"/>
      <c r="G1" s="112" t="s">
        <v>71</v>
      </c>
      <c r="H1" s="113"/>
      <c r="I1" s="106"/>
    </row>
    <row r="2" spans="1:9" ht="15.75" customHeight="1" x14ac:dyDescent="0.2">
      <c r="A2" s="118" t="s">
        <v>72</v>
      </c>
      <c r="B2" s="113"/>
      <c r="C2" s="113"/>
      <c r="D2" s="113"/>
      <c r="E2" s="1"/>
      <c r="F2" s="1"/>
      <c r="H2" s="139" t="s">
        <v>66</v>
      </c>
      <c r="I2" s="140" t="s">
        <v>67</v>
      </c>
    </row>
    <row r="3" spans="1:9" ht="15.75" customHeight="1" x14ac:dyDescent="0.2">
      <c r="A3" s="136" t="s">
        <v>55</v>
      </c>
      <c r="B3" s="137"/>
      <c r="C3" s="136" t="s">
        <v>73</v>
      </c>
      <c r="D3" s="137"/>
      <c r="G3" s="138" t="s">
        <v>68</v>
      </c>
      <c r="H3" s="61">
        <f>'Ejercicio 6'!B12</f>
        <v>4000</v>
      </c>
      <c r="I3" s="3">
        <f>'Ejercicio 6'!C12</f>
        <v>5000</v>
      </c>
    </row>
    <row r="4" spans="1:9" ht="15.75" customHeight="1" x14ac:dyDescent="0.2">
      <c r="A4" s="115">
        <v>5000</v>
      </c>
      <c r="B4" s="106"/>
      <c r="C4" s="116">
        <f>A4/4</f>
        <v>1250</v>
      </c>
      <c r="D4" s="106"/>
    </row>
    <row r="5" spans="1:9" ht="15.75" customHeight="1" x14ac:dyDescent="0.2">
      <c r="G5" s="62" t="s">
        <v>74</v>
      </c>
      <c r="H5" s="63">
        <f>H3-C7</f>
        <v>3375</v>
      </c>
    </row>
    <row r="6" spans="1:9" ht="15.75" customHeight="1" x14ac:dyDescent="0.2">
      <c r="A6" s="117" t="s">
        <v>75</v>
      </c>
      <c r="B6" s="113"/>
      <c r="C6" s="65">
        <f>C4</f>
        <v>1250</v>
      </c>
      <c r="D6" s="5" t="s">
        <v>76</v>
      </c>
      <c r="G6" s="64" t="s">
        <v>77</v>
      </c>
      <c r="H6" s="66">
        <f>I3</f>
        <v>5000</v>
      </c>
    </row>
    <row r="7" spans="1:9" ht="15.75" customHeight="1" x14ac:dyDescent="0.2">
      <c r="A7" s="117" t="s">
        <v>78</v>
      </c>
      <c r="B7" s="113"/>
      <c r="C7" s="65">
        <f>C6/2</f>
        <v>625</v>
      </c>
      <c r="D7" s="5" t="s">
        <v>76</v>
      </c>
    </row>
    <row r="8" spans="1:9" ht="15.75" customHeight="1" x14ac:dyDescent="0.2"/>
    <row r="9" spans="1:9" ht="15.75" customHeight="1" x14ac:dyDescent="0.2"/>
    <row r="10" spans="1:9" ht="15.75" customHeight="1" x14ac:dyDescent="0.2">
      <c r="A10" s="45" t="s">
        <v>79</v>
      </c>
    </row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6:B6"/>
    <mergeCell ref="A7:B7"/>
    <mergeCell ref="A1:D1"/>
    <mergeCell ref="G1:I1"/>
    <mergeCell ref="A2:D2"/>
    <mergeCell ref="A3:B3"/>
    <mergeCell ref="C3:D3"/>
    <mergeCell ref="A4:B4"/>
    <mergeCell ref="C4:D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8"/>
  <sheetViews>
    <sheetView workbookViewId="0">
      <selection activeCell="F11" sqref="F11"/>
    </sheetView>
  </sheetViews>
  <sheetFormatPr baseColWidth="10" defaultColWidth="12.5703125" defaultRowHeight="15" customHeight="1" x14ac:dyDescent="0.2"/>
  <cols>
    <col min="1" max="1" width="38.5703125" customWidth="1"/>
    <col min="2" max="2" width="22.42578125" customWidth="1"/>
    <col min="3" max="3" width="17" customWidth="1"/>
    <col min="4" max="4" width="12" customWidth="1"/>
    <col min="5" max="26" width="14.42578125" customWidth="1"/>
  </cols>
  <sheetData>
    <row r="1" spans="1:5" ht="15.75" customHeight="1" x14ac:dyDescent="0.2">
      <c r="A1" s="120" t="s">
        <v>80</v>
      </c>
      <c r="B1" s="100"/>
      <c r="C1" s="100"/>
      <c r="D1" s="101"/>
    </row>
    <row r="2" spans="1:5" ht="15.75" customHeight="1" x14ac:dyDescent="0.2">
      <c r="A2" s="119" t="s">
        <v>81</v>
      </c>
      <c r="B2" s="100"/>
      <c r="C2" s="100"/>
      <c r="D2" s="101"/>
    </row>
    <row r="3" spans="1:5" ht="15.75" customHeight="1" x14ac:dyDescent="0.2">
      <c r="A3" s="64" t="s">
        <v>82</v>
      </c>
      <c r="B3" s="67">
        <v>7</v>
      </c>
      <c r="C3" s="68" t="s">
        <v>83</v>
      </c>
      <c r="D3" s="69"/>
    </row>
    <row r="4" spans="1:5" ht="15.75" customHeight="1" x14ac:dyDescent="0.2">
      <c r="A4" s="64" t="s">
        <v>84</v>
      </c>
      <c r="B4" s="67">
        <f>ROUND(340/B3,0)</f>
        <v>49</v>
      </c>
      <c r="C4" s="68" t="s">
        <v>85</v>
      </c>
      <c r="D4" s="69"/>
    </row>
    <row r="5" spans="1:5" ht="15.75" customHeight="1" x14ac:dyDescent="0.2">
      <c r="A5" s="69"/>
      <c r="B5" s="70"/>
      <c r="C5" s="69"/>
      <c r="D5" s="69"/>
    </row>
    <row r="6" spans="1:5" ht="15.75" customHeight="1" x14ac:dyDescent="0.2">
      <c r="A6" s="64" t="s">
        <v>86</v>
      </c>
      <c r="B6" s="71">
        <f>'Ejercicio 6'!F10*1.173</f>
        <v>357</v>
      </c>
      <c r="C6" s="72" t="s">
        <v>87</v>
      </c>
      <c r="D6" s="73"/>
      <c r="E6" s="11"/>
    </row>
    <row r="7" spans="1:5" ht="15.75" customHeight="1" x14ac:dyDescent="0.2">
      <c r="A7" s="62" t="s">
        <v>88</v>
      </c>
      <c r="B7" s="74">
        <f>'Ejercicio 6'!H11*1.173</f>
        <v>4335</v>
      </c>
      <c r="C7" s="72" t="s">
        <v>87</v>
      </c>
      <c r="D7" s="68"/>
    </row>
    <row r="8" spans="1:5" ht="15.75" customHeight="1" x14ac:dyDescent="0.2">
      <c r="A8" s="64" t="s">
        <v>89</v>
      </c>
      <c r="B8" s="75">
        <f>B7+B6</f>
        <v>4692</v>
      </c>
      <c r="C8" s="76"/>
      <c r="D8" s="76"/>
    </row>
    <row r="9" spans="1:5" ht="15.75" customHeight="1" x14ac:dyDescent="0.2">
      <c r="A9" s="77" t="s">
        <v>90</v>
      </c>
      <c r="B9" s="78">
        <f>'Ejercicio 6'!B12</f>
        <v>4000</v>
      </c>
      <c r="C9" s="76"/>
      <c r="D9" s="76"/>
    </row>
    <row r="10" spans="1:5" ht="15.75" customHeight="1" x14ac:dyDescent="0.2">
      <c r="A10" s="64" t="s">
        <v>91</v>
      </c>
      <c r="B10" s="75">
        <f>B8-B9</f>
        <v>692</v>
      </c>
      <c r="C10" s="76"/>
      <c r="D10" s="76"/>
    </row>
    <row r="11" spans="1:5" ht="15.75" customHeight="1" x14ac:dyDescent="0.2">
      <c r="A11" s="46"/>
      <c r="B11" s="9"/>
      <c r="C11" s="76"/>
      <c r="D11" s="76"/>
    </row>
    <row r="12" spans="1:5" ht="15.75" customHeight="1" x14ac:dyDescent="0.2">
      <c r="A12" s="119" t="s">
        <v>92</v>
      </c>
      <c r="B12" s="100"/>
      <c r="C12" s="100"/>
      <c r="D12" s="101"/>
    </row>
    <row r="13" spans="1:5" ht="15.75" customHeight="1" x14ac:dyDescent="0.2">
      <c r="A13" s="64" t="s">
        <v>93</v>
      </c>
      <c r="B13" s="67">
        <f>B4</f>
        <v>49</v>
      </c>
      <c r="C13" s="68" t="s">
        <v>85</v>
      </c>
    </row>
    <row r="14" spans="1:5" ht="15.75" customHeight="1" x14ac:dyDescent="0.2">
      <c r="A14" s="64" t="s">
        <v>94</v>
      </c>
      <c r="B14" s="79">
        <f>'Ejercicio 1'!C22/340*'Ejercicio 2 '!C5</f>
        <v>120.75</v>
      </c>
      <c r="C14" s="68" t="s">
        <v>76</v>
      </c>
    </row>
    <row r="15" spans="1:5" ht="15.75" customHeight="1" x14ac:dyDescent="0.2">
      <c r="B15" s="80"/>
    </row>
    <row r="16" spans="1:5" ht="15.75" customHeight="1" x14ac:dyDescent="0.2">
      <c r="A16" s="121" t="s">
        <v>95</v>
      </c>
      <c r="B16" s="122"/>
      <c r="C16" s="122"/>
      <c r="D16" s="122"/>
    </row>
    <row r="17" spans="1:6" ht="15.75" customHeight="1" x14ac:dyDescent="0.2">
      <c r="A17" s="64" t="s">
        <v>96</v>
      </c>
      <c r="B17" s="123" t="s">
        <v>97</v>
      </c>
      <c r="C17" s="113"/>
      <c r="D17" s="81">
        <f>B14/1.173</f>
        <v>102.94117647058823</v>
      </c>
      <c r="F17" s="1" t="s">
        <v>98</v>
      </c>
    </row>
    <row r="18" spans="1:6" ht="15.75" customHeight="1" x14ac:dyDescent="0.2">
      <c r="A18" s="64" t="s">
        <v>91</v>
      </c>
      <c r="B18" s="123" t="s">
        <v>99</v>
      </c>
      <c r="C18" s="113"/>
      <c r="D18" s="81">
        <f>D17*1.173</f>
        <v>120.75</v>
      </c>
      <c r="F18" s="1" t="s">
        <v>100</v>
      </c>
    </row>
    <row r="19" spans="1:6" ht="15.75" customHeight="1" x14ac:dyDescent="0.2">
      <c r="A19" s="64" t="s">
        <v>101</v>
      </c>
      <c r="B19" s="123" t="s">
        <v>102</v>
      </c>
      <c r="C19" s="113"/>
      <c r="D19" s="81">
        <v>0</v>
      </c>
      <c r="F19" s="1" t="s">
        <v>103</v>
      </c>
    </row>
    <row r="20" spans="1:6" ht="15.75" customHeight="1" x14ac:dyDescent="0.2">
      <c r="C20" s="46" t="s">
        <v>104</v>
      </c>
      <c r="D20" s="82">
        <f>SUM(D17:D19)</f>
        <v>223.69117647058823</v>
      </c>
    </row>
    <row r="21" spans="1:6" ht="15.75" customHeight="1" x14ac:dyDescent="0.2"/>
    <row r="22" spans="1:6" ht="15.75" customHeight="1" x14ac:dyDescent="0.2">
      <c r="A22" s="119" t="s">
        <v>105</v>
      </c>
      <c r="B22" s="100"/>
      <c r="C22" s="100"/>
      <c r="D22" s="101"/>
    </row>
    <row r="23" spans="1:6" ht="15.75" customHeight="1" x14ac:dyDescent="0.2">
      <c r="A23" s="117" t="s">
        <v>106</v>
      </c>
      <c r="B23" s="113"/>
      <c r="C23" s="83">
        <f>D20+B6+B7</f>
        <v>4915.6911764705883</v>
      </c>
      <c r="D23" s="1" t="s">
        <v>76</v>
      </c>
    </row>
    <row r="24" spans="1:6" ht="15.75" customHeight="1" x14ac:dyDescent="0.2"/>
    <row r="25" spans="1:6" ht="15.75" customHeight="1" x14ac:dyDescent="0.2">
      <c r="A25" s="119" t="s">
        <v>107</v>
      </c>
      <c r="B25" s="100"/>
      <c r="C25" s="100"/>
      <c r="D25" s="101"/>
    </row>
    <row r="26" spans="1:6" ht="15.75" customHeight="1" x14ac:dyDescent="0.2">
      <c r="A26" s="64" t="s">
        <v>108</v>
      </c>
      <c r="B26" s="83">
        <f>'Ejercicio 1'!C22*1.1</f>
        <v>6451.5000000000009</v>
      </c>
      <c r="C26" s="1" t="s">
        <v>76</v>
      </c>
    </row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0">
    <mergeCell ref="A22:D22"/>
    <mergeCell ref="A23:B23"/>
    <mergeCell ref="A25:D25"/>
    <mergeCell ref="A1:D1"/>
    <mergeCell ref="A2:D2"/>
    <mergeCell ref="A12:D12"/>
    <mergeCell ref="A16:D16"/>
    <mergeCell ref="B17:C17"/>
    <mergeCell ref="B18:C18"/>
    <mergeCell ref="B19:C1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000"/>
  <sheetViews>
    <sheetView workbookViewId="0">
      <selection activeCell="E12" sqref="E12"/>
    </sheetView>
  </sheetViews>
  <sheetFormatPr baseColWidth="10" defaultColWidth="12.5703125" defaultRowHeight="15" customHeight="1" x14ac:dyDescent="0.2"/>
  <cols>
    <col min="1" max="1" width="15.85546875" customWidth="1"/>
    <col min="2" max="4" width="14.42578125" customWidth="1"/>
    <col min="5" max="5" width="24.140625" customWidth="1"/>
    <col min="6" max="6" width="24.85546875" customWidth="1"/>
    <col min="7" max="26" width="14.42578125" customWidth="1"/>
  </cols>
  <sheetData>
    <row r="1" spans="1:9" ht="15.75" customHeight="1" x14ac:dyDescent="0.2">
      <c r="A1" s="120" t="s">
        <v>109</v>
      </c>
      <c r="B1" s="100"/>
      <c r="C1" s="101"/>
      <c r="F1" s="84"/>
      <c r="G1" s="85"/>
    </row>
    <row r="2" spans="1:9" ht="15.75" customHeight="1" x14ac:dyDescent="0.2">
      <c r="A2" s="141" t="s">
        <v>110</v>
      </c>
      <c r="B2" s="141" t="s">
        <v>111</v>
      </c>
      <c r="C2" s="141" t="s">
        <v>112</v>
      </c>
      <c r="E2" s="86" t="s">
        <v>113</v>
      </c>
      <c r="F2" s="87">
        <f>'Ejercicio 9'!B26</f>
        <v>6451.5000000000009</v>
      </c>
      <c r="G2" s="1" t="s">
        <v>76</v>
      </c>
      <c r="I2" s="1">
        <f>340/365</f>
        <v>0.93150684931506844</v>
      </c>
    </row>
    <row r="3" spans="1:9" ht="15.75" customHeight="1" x14ac:dyDescent="0.2">
      <c r="A3" s="4" t="s">
        <v>114</v>
      </c>
      <c r="B3" s="88" t="s">
        <v>115</v>
      </c>
      <c r="C3" s="88" t="s">
        <v>115</v>
      </c>
      <c r="E3" s="26" t="s">
        <v>116</v>
      </c>
      <c r="F3" s="87">
        <f>F2/I3</f>
        <v>577.15625000000011</v>
      </c>
      <c r="G3" s="1" t="s">
        <v>76</v>
      </c>
      <c r="I3" s="1">
        <f>12*I2</f>
        <v>11.17808219178082</v>
      </c>
    </row>
    <row r="4" spans="1:9" ht="15.75" customHeight="1" x14ac:dyDescent="0.2">
      <c r="A4" s="4" t="s">
        <v>117</v>
      </c>
      <c r="B4" s="88" t="s">
        <v>115</v>
      </c>
      <c r="C4" s="88" t="s">
        <v>115</v>
      </c>
      <c r="E4" s="26" t="s">
        <v>118</v>
      </c>
      <c r="F4" s="87">
        <f>F3</f>
        <v>577.15625000000011</v>
      </c>
      <c r="G4" s="1" t="s">
        <v>76</v>
      </c>
    </row>
    <row r="5" spans="1:9" ht="15.75" customHeight="1" x14ac:dyDescent="0.2">
      <c r="A5" s="4" t="s">
        <v>119</v>
      </c>
      <c r="B5" s="88">
        <f>F3*3</f>
        <v>1731.4687500000005</v>
      </c>
      <c r="C5" s="88">
        <f t="shared" ref="C5:C14" si="0">B5</f>
        <v>1731.4687500000005</v>
      </c>
    </row>
    <row r="6" spans="1:9" ht="15.75" customHeight="1" x14ac:dyDescent="0.2">
      <c r="A6" s="4" t="s">
        <v>120</v>
      </c>
      <c r="B6" s="88" t="s">
        <v>115</v>
      </c>
      <c r="C6" s="88" t="str">
        <f t="shared" si="0"/>
        <v>-</v>
      </c>
    </row>
    <row r="7" spans="1:9" ht="15.75" customHeight="1" x14ac:dyDescent="0.2">
      <c r="A7" s="4" t="s">
        <v>121</v>
      </c>
      <c r="B7" s="88" t="s">
        <v>115</v>
      </c>
      <c r="C7" s="88" t="str">
        <f t="shared" si="0"/>
        <v>-</v>
      </c>
      <c r="E7" s="29" t="s">
        <v>122</v>
      </c>
    </row>
    <row r="8" spans="1:9" ht="15.75" customHeight="1" x14ac:dyDescent="0.2">
      <c r="A8" s="4" t="s">
        <v>123</v>
      </c>
      <c r="B8" s="88">
        <f>B5</f>
        <v>1731.4687500000005</v>
      </c>
      <c r="C8" s="88">
        <f t="shared" si="0"/>
        <v>1731.4687500000005</v>
      </c>
    </row>
    <row r="9" spans="1:9" ht="15.75" customHeight="1" x14ac:dyDescent="0.2">
      <c r="A9" s="4" t="s">
        <v>124</v>
      </c>
      <c r="B9" s="88" t="s">
        <v>115</v>
      </c>
      <c r="C9" s="88" t="str">
        <f t="shared" si="0"/>
        <v>-</v>
      </c>
      <c r="E9" s="1"/>
    </row>
    <row r="10" spans="1:9" ht="15.75" customHeight="1" x14ac:dyDescent="0.2">
      <c r="A10" s="4" t="s">
        <v>125</v>
      </c>
      <c r="B10" s="88" t="s">
        <v>115</v>
      </c>
      <c r="C10" s="88" t="str">
        <f t="shared" si="0"/>
        <v>-</v>
      </c>
    </row>
    <row r="11" spans="1:9" ht="15.75" customHeight="1" x14ac:dyDescent="0.2">
      <c r="A11" s="4" t="s">
        <v>126</v>
      </c>
      <c r="B11" s="88">
        <f>B8</f>
        <v>1731.4687500000005</v>
      </c>
      <c r="C11" s="88">
        <f t="shared" si="0"/>
        <v>1731.4687500000005</v>
      </c>
    </row>
    <row r="12" spans="1:9" ht="15.75" customHeight="1" x14ac:dyDescent="0.2">
      <c r="A12" s="4" t="s">
        <v>127</v>
      </c>
      <c r="B12" s="88" t="s">
        <v>115</v>
      </c>
      <c r="C12" s="88" t="str">
        <f t="shared" si="0"/>
        <v>-</v>
      </c>
    </row>
    <row r="13" spans="1:9" ht="15.75" customHeight="1" x14ac:dyDescent="0.2">
      <c r="A13" s="4" t="s">
        <v>128</v>
      </c>
      <c r="B13" s="88" t="s">
        <v>115</v>
      </c>
      <c r="C13" s="88" t="str">
        <f t="shared" si="0"/>
        <v>-</v>
      </c>
    </row>
    <row r="14" spans="1:9" ht="15.75" customHeight="1" x14ac:dyDescent="0.2">
      <c r="A14" s="4" t="s">
        <v>129</v>
      </c>
      <c r="B14" s="88">
        <f>B11</f>
        <v>1731.4687500000005</v>
      </c>
      <c r="C14" s="88">
        <f t="shared" si="0"/>
        <v>1731.4687500000005</v>
      </c>
    </row>
    <row r="15" spans="1:9" ht="15.75" customHeight="1" x14ac:dyDescent="0.2"/>
    <row r="16" spans="1:9" ht="15.75" customHeight="1" x14ac:dyDescent="0.2">
      <c r="A16" s="1"/>
    </row>
    <row r="17" spans="1:2" ht="15.75" customHeight="1" x14ac:dyDescent="0.2">
      <c r="A17" s="1"/>
    </row>
    <row r="18" spans="1:2" ht="15.75" customHeight="1" x14ac:dyDescent="0.2">
      <c r="A18" s="1"/>
      <c r="B18" s="1"/>
    </row>
    <row r="19" spans="1:2" ht="15.75" customHeight="1" x14ac:dyDescent="0.2"/>
    <row r="20" spans="1:2" ht="15.75" customHeight="1" x14ac:dyDescent="0.2"/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0"/>
  <sheetViews>
    <sheetView tabSelected="1" workbookViewId="0">
      <selection activeCell="G9" sqref="G9"/>
    </sheetView>
  </sheetViews>
  <sheetFormatPr baseColWidth="10" defaultColWidth="12.5703125" defaultRowHeight="15" customHeight="1" x14ac:dyDescent="0.2"/>
  <cols>
    <col min="1" max="1" width="29" customWidth="1"/>
    <col min="2" max="2" width="21" customWidth="1"/>
    <col min="3" max="3" width="23.42578125" customWidth="1"/>
    <col min="4" max="9" width="14.42578125" customWidth="1"/>
    <col min="10" max="10" width="26.140625" customWidth="1"/>
    <col min="11" max="26" width="14.42578125" customWidth="1"/>
  </cols>
  <sheetData>
    <row r="1" spans="1:7" ht="15.75" customHeight="1" x14ac:dyDescent="0.2">
      <c r="A1" s="120" t="s">
        <v>130</v>
      </c>
      <c r="B1" s="100"/>
      <c r="C1" s="100"/>
      <c r="D1" s="100"/>
      <c r="E1" s="101"/>
    </row>
    <row r="2" spans="1:7" ht="15.75" customHeight="1" x14ac:dyDescent="0.2">
      <c r="A2" s="4"/>
      <c r="B2" s="142" t="s">
        <v>131</v>
      </c>
      <c r="C2" s="142" t="s">
        <v>132</v>
      </c>
      <c r="D2" s="142" t="s">
        <v>66</v>
      </c>
      <c r="E2" s="142" t="s">
        <v>67</v>
      </c>
    </row>
    <row r="3" spans="1:7" ht="15.75" customHeight="1" x14ac:dyDescent="0.2">
      <c r="A3" s="89" t="s">
        <v>133</v>
      </c>
      <c r="B3" s="3" t="s">
        <v>134</v>
      </c>
      <c r="C3" s="37">
        <v>0</v>
      </c>
      <c r="D3" s="37">
        <f>'Ejercicio 7 y 8'!H5</f>
        <v>3375</v>
      </c>
      <c r="E3" s="37">
        <f>'Ejercicio 7 y 8'!H6</f>
        <v>5000</v>
      </c>
    </row>
    <row r="4" spans="1:7" ht="15.75" customHeight="1" x14ac:dyDescent="0.2">
      <c r="A4" s="89" t="s">
        <v>135</v>
      </c>
      <c r="B4" s="3" t="s">
        <v>134</v>
      </c>
      <c r="C4" s="37">
        <v>0</v>
      </c>
      <c r="D4" s="37">
        <f>'Ejercicio 7 y 8'!C7</f>
        <v>625</v>
      </c>
      <c r="E4" s="37">
        <f>'Ejercicio 7 y 8'!C7</f>
        <v>625</v>
      </c>
    </row>
    <row r="5" spans="1:7" ht="15.75" customHeight="1" x14ac:dyDescent="0.2">
      <c r="A5" s="89" t="s">
        <v>136</v>
      </c>
      <c r="B5" s="3" t="s">
        <v>137</v>
      </c>
      <c r="C5" s="37">
        <v>0</v>
      </c>
      <c r="D5" s="37">
        <f>'Ejercicio 6'!B12</f>
        <v>4000</v>
      </c>
      <c r="E5" s="37">
        <f>'Ejercicio 6'!C12</f>
        <v>5000</v>
      </c>
    </row>
    <row r="6" spans="1:7" ht="15.75" customHeight="1" x14ac:dyDescent="0.2">
      <c r="A6" s="89" t="s">
        <v>138</v>
      </c>
      <c r="B6" s="3" t="s">
        <v>137</v>
      </c>
      <c r="C6" s="37">
        <v>0</v>
      </c>
      <c r="D6" s="39">
        <f>'Ejercicio 9'!B10</f>
        <v>692</v>
      </c>
      <c r="E6" s="37">
        <f>'Ejercicio 9'!D18</f>
        <v>120.75</v>
      </c>
      <c r="G6" s="1"/>
    </row>
    <row r="7" spans="1:7" ht="15.75" customHeight="1" x14ac:dyDescent="0.2">
      <c r="A7" s="89" t="s">
        <v>139</v>
      </c>
      <c r="B7" s="3" t="s">
        <v>137</v>
      </c>
      <c r="C7" s="37">
        <v>0</v>
      </c>
      <c r="D7" s="37">
        <f>'Ejercicio 9'!D20</f>
        <v>223.69117647058823</v>
      </c>
      <c r="E7" s="37">
        <f>'Ejercicio 9'!D20</f>
        <v>223.69117647058823</v>
      </c>
      <c r="G7" s="1"/>
    </row>
    <row r="8" spans="1:7" ht="15.75" customHeight="1" x14ac:dyDescent="0.2">
      <c r="A8" s="89" t="s">
        <v>140</v>
      </c>
      <c r="B8" s="3" t="s">
        <v>137</v>
      </c>
      <c r="C8" s="37">
        <v>0</v>
      </c>
      <c r="D8" s="37">
        <f>'Ejercicio 9'!C23</f>
        <v>4915.6911764705883</v>
      </c>
      <c r="E8" s="37">
        <f>'Ejercicio 9'!B26</f>
        <v>6451.5000000000009</v>
      </c>
      <c r="G8" s="1"/>
    </row>
    <row r="9" spans="1:7" ht="15.75" customHeight="1" x14ac:dyDescent="0.2">
      <c r="A9" s="89" t="s">
        <v>141</v>
      </c>
      <c r="B9" s="3" t="s">
        <v>137</v>
      </c>
      <c r="C9" s="37">
        <f>'Ejercicio 10'!F4*3</f>
        <v>1731.4687500000005</v>
      </c>
      <c r="D9" s="37">
        <f>AVERAGE('Ejercicio 10'!B3:B14)</f>
        <v>1731.4687500000005</v>
      </c>
      <c r="E9" s="37">
        <f>D9</f>
        <v>1731.4687500000005</v>
      </c>
    </row>
    <row r="10" spans="1:7" ht="15.75" customHeight="1" x14ac:dyDescent="0.2">
      <c r="A10" s="89" t="s">
        <v>142</v>
      </c>
      <c r="B10" s="3" t="s">
        <v>137</v>
      </c>
      <c r="C10" s="37">
        <f>C9</f>
        <v>1731.4687500000005</v>
      </c>
      <c r="D10" s="37">
        <f t="shared" ref="D10:E10" si="0">D8</f>
        <v>4915.6911764705883</v>
      </c>
      <c r="E10" s="37">
        <f t="shared" si="0"/>
        <v>6451.5000000000009</v>
      </c>
      <c r="F10" s="90"/>
    </row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spans="10:13" ht="15.75" customHeight="1" x14ac:dyDescent="0.2"/>
    <row r="18" spans="10:13" ht="15.75" customHeight="1" x14ac:dyDescent="0.2"/>
    <row r="19" spans="10:13" ht="15.75" customHeight="1" x14ac:dyDescent="0.2"/>
    <row r="20" spans="10:13" ht="15.75" customHeight="1" x14ac:dyDescent="0.2"/>
    <row r="21" spans="10:13" ht="15.75" customHeight="1" x14ac:dyDescent="0.2"/>
    <row r="22" spans="10:13" ht="15.75" customHeight="1" x14ac:dyDescent="0.2"/>
    <row r="23" spans="10:13" ht="15.75" customHeight="1" x14ac:dyDescent="0.2"/>
    <row r="24" spans="10:13" ht="15.75" customHeight="1" x14ac:dyDescent="0.2">
      <c r="J24" s="124"/>
      <c r="K24" s="122"/>
      <c r="L24" s="122"/>
      <c r="M24" s="46"/>
    </row>
    <row r="25" spans="10:13" ht="15.75" customHeight="1" x14ac:dyDescent="0.2"/>
    <row r="26" spans="10:13" ht="15.75" customHeight="1" x14ac:dyDescent="0.2"/>
    <row r="27" spans="10:13" ht="15.75" customHeight="1" x14ac:dyDescent="0.2"/>
    <row r="28" spans="10:13" ht="15.75" customHeight="1" x14ac:dyDescent="0.2"/>
    <row r="29" spans="10:13" ht="15.75" customHeight="1" x14ac:dyDescent="0.2"/>
    <row r="30" spans="10:13" ht="15.75" customHeight="1" x14ac:dyDescent="0.2"/>
    <row r="31" spans="10:13" ht="15.75" customHeight="1" x14ac:dyDescent="0.2"/>
    <row r="32" spans="10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E1"/>
    <mergeCell ref="J24:L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Ejercicio 1</vt:lpstr>
      <vt:lpstr>Ejercicio 2 </vt:lpstr>
      <vt:lpstr>Ejercicio 3</vt:lpstr>
      <vt:lpstr>Ejercicio 4 y 5</vt:lpstr>
      <vt:lpstr>Ejercicio 6</vt:lpstr>
      <vt:lpstr>Ejercicio 7 y 8</vt:lpstr>
      <vt:lpstr>Ejercicio 9</vt:lpstr>
      <vt:lpstr>Ejercicio 10</vt:lpstr>
      <vt:lpstr>Ejercicio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</dc:creator>
  <cp:lastModifiedBy>Ignacio Lucio</cp:lastModifiedBy>
  <dcterms:created xsi:type="dcterms:W3CDTF">2021-06-09T01:26:28Z</dcterms:created>
  <dcterms:modified xsi:type="dcterms:W3CDTF">2024-08-13T17:50:16Z</dcterms:modified>
</cp:coreProperties>
</file>