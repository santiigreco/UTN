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F:\UTN\4º AÑO\Evaluación de Proyectos\Practica 2do Parcial\"/>
    </mc:Choice>
  </mc:AlternateContent>
  <bookViews>
    <workbookView xWindow="-105" yWindow="-105" windowWidth="19425" windowHeight="11505" activeTab="1"/>
  </bookViews>
  <sheets>
    <sheet name="DE" sheetId="1" r:id="rId1"/>
    <sheet name="CREDITOS" sheetId="2" r:id="rId2"/>
    <sheet name="1era estructura Financiera" sheetId="3" r:id="rId3"/>
    <sheet name="CRes" sheetId="4" r:id="rId4"/>
    <sheet name="Calendario Inv" sheetId="5" r:id="rId5"/>
    <sheet name="2da Est. " sheetId="6" r:id="rId6"/>
    <sheet name="RECUPERO IVA" sheetId="7" r:id="rId7"/>
    <sheet name="CFyU" sheetId="8" r:id="rId8"/>
  </sheet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" i="7" l="1"/>
  <c r="B34" i="1"/>
  <c r="F33" i="8" l="1"/>
  <c r="B3" i="5"/>
  <c r="A30" i="8"/>
  <c r="F32" i="8"/>
  <c r="C19" i="8" l="1"/>
  <c r="B19" i="8"/>
  <c r="E17" i="8"/>
  <c r="D17" i="8"/>
  <c r="C17" i="8"/>
  <c r="E16" i="8"/>
  <c r="D16" i="8"/>
  <c r="C16" i="8"/>
  <c r="E15" i="8"/>
  <c r="D15" i="8"/>
  <c r="C15" i="8"/>
  <c r="E14" i="8"/>
  <c r="D14" i="8"/>
  <c r="C14" i="8"/>
  <c r="C13" i="8"/>
  <c r="B13" i="8"/>
  <c r="C12" i="8"/>
  <c r="B12" i="8"/>
  <c r="E7" i="8"/>
  <c r="D7" i="8"/>
  <c r="C7" i="8"/>
  <c r="B6" i="8"/>
  <c r="C5" i="8"/>
  <c r="C4" i="8"/>
  <c r="B33" i="8" l="1"/>
  <c r="F19" i="8"/>
  <c r="F18" i="8"/>
  <c r="F17" i="8"/>
  <c r="F16" i="8"/>
  <c r="F15" i="8"/>
  <c r="E11" i="8"/>
  <c r="D11" i="8"/>
  <c r="F14" i="8"/>
  <c r="F13" i="8"/>
  <c r="C11" i="8"/>
  <c r="B11" i="8"/>
  <c r="F11" i="8" s="1"/>
  <c r="F7" i="8"/>
  <c r="F6" i="8"/>
  <c r="F5" i="8"/>
  <c r="F13" i="7"/>
  <c r="B11" i="7"/>
  <c r="B10" i="7"/>
  <c r="C13" i="7"/>
  <c r="C12" i="7"/>
  <c r="D5" i="7"/>
  <c r="C5" i="7"/>
  <c r="D4" i="7"/>
  <c r="C4" i="7"/>
  <c r="B4" i="7"/>
  <c r="D3" i="7"/>
  <c r="C3" i="7"/>
  <c r="B3" i="7"/>
  <c r="E6" i="6"/>
  <c r="E7" i="6" s="1"/>
  <c r="E4" i="6"/>
  <c r="D4" i="6"/>
  <c r="D7" i="6" s="1"/>
  <c r="B5" i="6"/>
  <c r="F5" i="6" s="1"/>
  <c r="C4" i="6"/>
  <c r="G4" i="6" s="1"/>
  <c r="G6" i="6"/>
  <c r="H6" i="6" s="1"/>
  <c r="F6" i="6"/>
  <c r="G5" i="6"/>
  <c r="C13" i="5"/>
  <c r="C12" i="5"/>
  <c r="B10" i="5"/>
  <c r="C9" i="5"/>
  <c r="B9" i="5"/>
  <c r="C8" i="5"/>
  <c r="B8" i="5"/>
  <c r="C7" i="5"/>
  <c r="B7" i="5"/>
  <c r="C4" i="5"/>
  <c r="B4" i="5"/>
  <c r="C3" i="5"/>
  <c r="B7" i="4"/>
  <c r="G4" i="4"/>
  <c r="G5" i="4"/>
  <c r="G3" i="4"/>
  <c r="F4" i="4"/>
  <c r="F5" i="4"/>
  <c r="F3" i="4"/>
  <c r="E4" i="4"/>
  <c r="E5" i="4"/>
  <c r="E3" i="4"/>
  <c r="D4" i="4"/>
  <c r="D5" i="4"/>
  <c r="D3" i="4"/>
  <c r="C5" i="4"/>
  <c r="C4" i="4"/>
  <c r="C3" i="4"/>
  <c r="B5" i="4"/>
  <c r="B4" i="4"/>
  <c r="B3" i="4"/>
  <c r="E12" i="3"/>
  <c r="B12" i="3"/>
  <c r="B11" i="3"/>
  <c r="B10" i="3"/>
  <c r="C7" i="3"/>
  <c r="B8" i="3"/>
  <c r="B7" i="3"/>
  <c r="B6" i="3"/>
  <c r="B37" i="8" l="1"/>
  <c r="E23" i="8" s="1"/>
  <c r="B35" i="8"/>
  <c r="F12" i="8"/>
  <c r="D6" i="7"/>
  <c r="B6" i="7"/>
  <c r="C11" i="7" s="1"/>
  <c r="D11" i="7" s="1"/>
  <c r="C6" i="7"/>
  <c r="H5" i="6"/>
  <c r="H4" i="6"/>
  <c r="I6" i="6" s="1"/>
  <c r="C7" i="6"/>
  <c r="G7" i="6" s="1"/>
  <c r="D7" i="5"/>
  <c r="D4" i="5"/>
  <c r="B12" i="5"/>
  <c r="B13" i="5"/>
  <c r="B14" i="5" s="1"/>
  <c r="B5" i="5"/>
  <c r="B4" i="6" s="1"/>
  <c r="F4" i="6" s="1"/>
  <c r="D9" i="5"/>
  <c r="D3" i="5"/>
  <c r="D12" i="5" s="1"/>
  <c r="D8" i="5"/>
  <c r="C10" i="5"/>
  <c r="C5" i="5"/>
  <c r="E8" i="3"/>
  <c r="C35" i="2"/>
  <c r="C34" i="2"/>
  <c r="B32" i="2"/>
  <c r="D31" i="2"/>
  <c r="B31" i="2"/>
  <c r="B30" i="2"/>
  <c r="C36" i="2"/>
  <c r="B26" i="2"/>
  <c r="D23" i="1"/>
  <c r="D21" i="1"/>
  <c r="B23" i="1"/>
  <c r="C11" i="2"/>
  <c r="C12" i="2"/>
  <c r="C10" i="2"/>
  <c r="B8" i="2"/>
  <c r="B2" i="2"/>
  <c r="C8" i="8" l="1"/>
  <c r="B12" i="7"/>
  <c r="D12" i="7" s="1"/>
  <c r="B36" i="8"/>
  <c r="D23" i="8" s="1"/>
  <c r="C23" i="8"/>
  <c r="B7" i="6"/>
  <c r="I5" i="6"/>
  <c r="C14" i="5"/>
  <c r="D13" i="5"/>
  <c r="D14" i="5" s="1"/>
  <c r="D10" i="5"/>
  <c r="D5" i="5"/>
  <c r="C10" i="3"/>
  <c r="C12" i="3" s="1"/>
  <c r="D10" i="2"/>
  <c r="D12" i="2"/>
  <c r="D11" i="2"/>
  <c r="D8" i="8" l="1"/>
  <c r="F12" i="7"/>
  <c r="F8" i="8"/>
  <c r="F7" i="6"/>
  <c r="H7" i="6" s="1"/>
  <c r="I7" i="6" s="1"/>
  <c r="I4" i="6" s="1"/>
  <c r="B4" i="8"/>
  <c r="F23" i="8"/>
  <c r="E7" i="3"/>
  <c r="B2" i="8" l="1"/>
  <c r="B22" i="8" s="1"/>
  <c r="B25" i="8" s="1"/>
  <c r="F4" i="8"/>
  <c r="F2" i="8" s="1"/>
  <c r="F22" i="8" s="1"/>
  <c r="F25" i="8" s="1"/>
  <c r="F26" i="8" s="1"/>
  <c r="C3" i="8" l="1"/>
  <c r="C2" i="8" s="1"/>
  <c r="C22" i="8" s="1"/>
  <c r="C25" i="8" s="1"/>
  <c r="B26" i="8"/>
  <c r="C26" i="8" l="1"/>
  <c r="D3" i="8"/>
  <c r="D2" i="8" s="1"/>
  <c r="D22" i="8" s="1"/>
  <c r="D25" i="8" s="1"/>
  <c r="D26" i="8" l="1"/>
  <c r="E3" i="8"/>
  <c r="E2" i="8" l="1"/>
  <c r="E22" i="8" s="1"/>
  <c r="E25" i="8" s="1"/>
  <c r="C32" i="1"/>
  <c r="C34" i="1" s="1"/>
  <c r="B32" i="1"/>
  <c r="D27" i="2" s="1"/>
  <c r="F29" i="1"/>
  <c r="F28" i="1"/>
  <c r="B22" i="1"/>
  <c r="B16" i="1"/>
  <c r="B24" i="1" s="1"/>
  <c r="B14" i="1"/>
  <c r="B17" i="1" s="1"/>
  <c r="C6" i="1"/>
  <c r="D6" i="1" s="1"/>
  <c r="C5" i="1"/>
  <c r="D5" i="1" s="1"/>
  <c r="B4" i="1"/>
  <c r="B7" i="1" s="1"/>
  <c r="C3" i="1"/>
  <c r="F31" i="8" l="1"/>
  <c r="F34" i="8" s="1"/>
  <c r="E26" i="8"/>
  <c r="C24" i="1"/>
  <c r="D24" i="1"/>
  <c r="D3" i="2"/>
  <c r="D3" i="3" s="1"/>
  <c r="D10" i="3" s="1"/>
  <c r="D12" i="3" s="1"/>
  <c r="B3" i="3"/>
  <c r="C22" i="1"/>
  <c r="C25" i="1" s="1"/>
  <c r="B25" i="1"/>
  <c r="C17" i="2" s="1"/>
  <c r="B20" i="2" s="1"/>
  <c r="D3" i="1"/>
  <c r="D22" i="1"/>
  <c r="D25" i="1" s="1"/>
  <c r="C4" i="1"/>
  <c r="D4" i="1" s="1"/>
  <c r="B33" i="2" l="1"/>
  <c r="B23" i="2"/>
  <c r="B21" i="2"/>
  <c r="B22" i="2"/>
  <c r="B4" i="3"/>
  <c r="E3" i="3"/>
  <c r="C7" i="1"/>
  <c r="D7" i="1"/>
  <c r="D22" i="2" l="1"/>
  <c r="D35" i="2" s="1"/>
  <c r="B35" i="2"/>
  <c r="E4" i="3"/>
  <c r="E11" i="3"/>
  <c r="D21" i="2"/>
  <c r="D34" i="2" s="1"/>
  <c r="B34" i="2"/>
  <c r="E10" i="3"/>
  <c r="D23" i="2"/>
  <c r="D36" i="2" s="1"/>
  <c r="B36" i="2"/>
  <c r="B39" i="2" l="1"/>
  <c r="E34" i="2"/>
  <c r="D39" i="2"/>
  <c r="E36" i="2"/>
  <c r="C39" i="2"/>
  <c r="E35" i="2"/>
</calcChain>
</file>

<file path=xl/sharedStrings.xml><?xml version="1.0" encoding="utf-8"?>
<sst xmlns="http://schemas.openxmlformats.org/spreadsheetml/2006/main" count="190" uniqueCount="128">
  <si>
    <t>SIN IVA</t>
  </si>
  <si>
    <t>IVA</t>
  </si>
  <si>
    <t>CON IVA</t>
  </si>
  <si>
    <t xml:space="preserve">Compra Bs de Uso </t>
  </si>
  <si>
    <t>Año</t>
  </si>
  <si>
    <t xml:space="preserve">Gs investig y estudios </t>
  </si>
  <si>
    <t>Gs instalación</t>
  </si>
  <si>
    <t>Gs puesta en marcha</t>
  </si>
  <si>
    <t xml:space="preserve">VR BIENES DE USO </t>
  </si>
  <si>
    <t>VALOR CONTABLE AT</t>
  </si>
  <si>
    <t>Caja y Bancos</t>
  </si>
  <si>
    <t>Compra MP para PM</t>
  </si>
  <si>
    <t>Créditos por Ventas</t>
  </si>
  <si>
    <t>Form. Stock MP, MCySE, PT</t>
  </si>
  <si>
    <t>INVERSIÓN AT</t>
  </si>
  <si>
    <t>ACTIVO FIJO (BS DE USO + CS DIFERIDOS)</t>
  </si>
  <si>
    <t>Año 1</t>
  </si>
  <si>
    <t>Año 2 a n</t>
  </si>
  <si>
    <t>unidades</t>
  </si>
  <si>
    <t xml:space="preserve">Cantidad </t>
  </si>
  <si>
    <t>Pvu</t>
  </si>
  <si>
    <t>IVA DF</t>
  </si>
  <si>
    <t>$/u</t>
  </si>
  <si>
    <t>Gastos prod, admin y comerc</t>
  </si>
  <si>
    <t>Gastos variables de lo vendido</t>
  </si>
  <si>
    <t xml:space="preserve">IVA costos </t>
  </si>
  <si>
    <t xml:space="preserve">HD </t>
  </si>
  <si>
    <t xml:space="preserve">IIGG </t>
  </si>
  <si>
    <t xml:space="preserve">kc </t>
  </si>
  <si>
    <t>CREDITO NO RENOVABLE</t>
  </si>
  <si>
    <t>30% INVERSIÓN DE LARGO PLAZO</t>
  </si>
  <si>
    <t xml:space="preserve">Totales </t>
  </si>
  <si>
    <t>Fecha</t>
  </si>
  <si>
    <t>Deuda</t>
  </si>
  <si>
    <t>1/1/-1</t>
  </si>
  <si>
    <t>31/12/-1</t>
  </si>
  <si>
    <t>Amort. Anual</t>
  </si>
  <si>
    <t>Int. Anuales</t>
  </si>
  <si>
    <t xml:space="preserve">Gastos preop. </t>
  </si>
  <si>
    <t>i</t>
  </si>
  <si>
    <t>Año 2</t>
  </si>
  <si>
    <t>Año 3</t>
  </si>
  <si>
    <t>CREDITO RENOVABLE</t>
  </si>
  <si>
    <t xml:space="preserve">i </t>
  </si>
  <si>
    <t>50% INVERSION DE CORTO PLAZO</t>
  </si>
  <si>
    <t>Totales</t>
  </si>
  <si>
    <t>kd</t>
  </si>
  <si>
    <t>CREDITOS TOTALES</t>
  </si>
  <si>
    <t>Gasto Financiero</t>
  </si>
  <si>
    <t>PRIMERA ESTRUCTURA FINANCIERA</t>
  </si>
  <si>
    <t>Total</t>
  </si>
  <si>
    <t>Credito Renovable</t>
  </si>
  <si>
    <t>Credito No Renovable</t>
  </si>
  <si>
    <t>IVA Inversion</t>
  </si>
  <si>
    <t>Inversiones s/ IVA</t>
  </si>
  <si>
    <t>Inversion Total</t>
  </si>
  <si>
    <t>Aporte Cap. Propio</t>
  </si>
  <si>
    <t>Activo Fijo, sin IVA</t>
  </si>
  <si>
    <t>Activo de trabajo</t>
  </si>
  <si>
    <t>Inversión Activo Trabajo s/ IVA</t>
  </si>
  <si>
    <t>Ventas</t>
  </si>
  <si>
    <t>CTV</t>
  </si>
  <si>
    <t>U a/ HD e IIGG</t>
  </si>
  <si>
    <t>HD</t>
  </si>
  <si>
    <t>IIGG</t>
  </si>
  <si>
    <t>U d/HD e IIGG</t>
  </si>
  <si>
    <t>CUADRO DE RESULT. PROFORMA</t>
  </si>
  <si>
    <t>Costo total de lo vendido</t>
  </si>
  <si>
    <t xml:space="preserve">BN inversor </t>
  </si>
  <si>
    <t>Año 0</t>
  </si>
  <si>
    <t>Total s/ IVA</t>
  </si>
  <si>
    <t>CALENDARIO DE INVERSIONES (incrementos)</t>
  </si>
  <si>
    <t>IVA Inversión</t>
  </si>
  <si>
    <t>a) Activo Fijo (incrementos)</t>
  </si>
  <si>
    <t>Inversion total a)</t>
  </si>
  <si>
    <t>AT (incrementos)</t>
  </si>
  <si>
    <t>Inv. AT (incrementos)</t>
  </si>
  <si>
    <t>Inversión Total AT</t>
  </si>
  <si>
    <t>AF</t>
  </si>
  <si>
    <t>%</t>
  </si>
  <si>
    <t>Aporte de Capital</t>
  </si>
  <si>
    <t>2° ESTRUCTURA FINANCIERA</t>
  </si>
  <si>
    <t>Inv. AT</t>
  </si>
  <si>
    <t>Crédito No Renovable</t>
  </si>
  <si>
    <t>Crédito Renovable</t>
  </si>
  <si>
    <t>Inversion total</t>
  </si>
  <si>
    <t>IVA Plan Explotación</t>
  </si>
  <si>
    <t>IVA Percibido (ventas)</t>
  </si>
  <si>
    <t>IVA pagado (s/costos, sin intereses)</t>
  </si>
  <si>
    <t>IVA pagado (sobre intereses)</t>
  </si>
  <si>
    <t>IVA diferencia</t>
  </si>
  <si>
    <t>Recupero IVA</t>
  </si>
  <si>
    <t>Cobro del Crédito Fiscal</t>
  </si>
  <si>
    <t>Crédito Fiscal</t>
  </si>
  <si>
    <t>IVA DF al fisco</t>
  </si>
  <si>
    <t>TOTALES</t>
  </si>
  <si>
    <t>Activo Fijo</t>
  </si>
  <si>
    <t>Activo Trabajo</t>
  </si>
  <si>
    <t>Dividendos Efectivo</t>
  </si>
  <si>
    <t>FUENTES - USOS</t>
  </si>
  <si>
    <t>FUENTES: Totales</t>
  </si>
  <si>
    <t>Saldo ej. Anterior (Ac)</t>
  </si>
  <si>
    <t>Aporte de Cap. Propio</t>
  </si>
  <si>
    <t>Créditos Renovables</t>
  </si>
  <si>
    <t>Créditos No Renovables</t>
  </si>
  <si>
    <t>Ventas del ej.</t>
  </si>
  <si>
    <t>Recupero Crédito Fiscal</t>
  </si>
  <si>
    <t>USOS: Totales</t>
  </si>
  <si>
    <t>Otros ingresos</t>
  </si>
  <si>
    <t>Costo de lo vendido</t>
  </si>
  <si>
    <t>Cancelación de deudas</t>
  </si>
  <si>
    <t xml:space="preserve">Otros egresos </t>
  </si>
  <si>
    <t>Amortizaciones del Ejercicio</t>
  </si>
  <si>
    <t>Saldo al ej. Siguiente (Ac)</t>
  </si>
  <si>
    <t>Saldo propio del ejercicio</t>
  </si>
  <si>
    <t>Amortizaciones ejercicio</t>
  </si>
  <si>
    <t>VO</t>
  </si>
  <si>
    <t xml:space="preserve">VR </t>
  </si>
  <si>
    <t>Amort int y gastos preop</t>
  </si>
  <si>
    <t>Amort año 1</t>
  </si>
  <si>
    <t>Amort año 2</t>
  </si>
  <si>
    <t>Amort año 3</t>
  </si>
  <si>
    <t>se amortizan en 2 años</t>
  </si>
  <si>
    <t>VERIFICACIONES</t>
  </si>
  <si>
    <t>BN inv</t>
  </si>
  <si>
    <t>Bn inv</t>
  </si>
  <si>
    <t>BN mod</t>
  </si>
  <si>
    <t xml:space="preserve">BN puro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</si>
</sst>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6" formatCode="&quot;$&quot;\ #,##0;[Red]\-&quot;$&quot;\ #,##0"/>
    <numFmt numFmtId="44" formatCode="_-&quot;$&quot;\ * #,##0.00_-;\-&quot;$&quot;\ * #,##0.00_-;_-&quot;$&quot;\ * &quot;-&quot;??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249977111117893"/>
        <bgColor indexed="64"/>
      </patternFill>
    </fill>
  </fills>
  <borders count="4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01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/>
    </xf>
    <xf numFmtId="44" fontId="0" fillId="0" borderId="1" xfId="1" applyFont="1" applyBorder="1" applyAlignment="1">
      <alignment horizontal="center"/>
    </xf>
    <xf numFmtId="0" fontId="0" fillId="0" borderId="6" xfId="0" applyBorder="1"/>
    <xf numFmtId="0" fontId="0" fillId="0" borderId="7" xfId="0" applyBorder="1" applyAlignment="1">
      <alignment horizontal="center"/>
    </xf>
    <xf numFmtId="0" fontId="0" fillId="0" borderId="8" xfId="0" applyBorder="1"/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1" xfId="0" applyBorder="1"/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6" fontId="0" fillId="0" borderId="9" xfId="0" applyNumberFormat="1" applyBorder="1" applyAlignment="1">
      <alignment horizontal="center"/>
    </xf>
    <xf numFmtId="0" fontId="0" fillId="0" borderId="17" xfId="0" applyBorder="1"/>
    <xf numFmtId="0" fontId="0" fillId="0" borderId="20" xfId="0" applyBorder="1"/>
    <xf numFmtId="0" fontId="0" fillId="0" borderId="0" xfId="0" applyBorder="1"/>
    <xf numFmtId="0" fontId="0" fillId="0" borderId="22" xfId="0" applyBorder="1"/>
    <xf numFmtId="0" fontId="0" fillId="0" borderId="7" xfId="0" applyBorder="1"/>
    <xf numFmtId="0" fontId="2" fillId="6" borderId="3" xfId="0" applyFont="1" applyFill="1" applyBorder="1" applyAlignment="1">
      <alignment horizontal="center"/>
    </xf>
    <xf numFmtId="0" fontId="2" fillId="6" borderId="6" xfId="0" applyFont="1" applyFill="1" applyBorder="1"/>
    <xf numFmtId="0" fontId="2" fillId="6" borderId="8" xfId="0" applyFont="1" applyFill="1" applyBorder="1"/>
    <xf numFmtId="0" fontId="2" fillId="6" borderId="5" xfId="0" applyFont="1" applyFill="1" applyBorder="1" applyAlignment="1">
      <alignment horizontal="center"/>
    </xf>
    <xf numFmtId="44" fontId="0" fillId="0" borderId="0" xfId="1" applyFont="1"/>
    <xf numFmtId="44" fontId="0" fillId="0" borderId="7" xfId="1" applyFont="1" applyBorder="1" applyAlignment="1">
      <alignment horizontal="center"/>
    </xf>
    <xf numFmtId="44" fontId="0" fillId="0" borderId="9" xfId="0" applyNumberFormat="1" applyBorder="1" applyAlignment="1">
      <alignment horizontal="center"/>
    </xf>
    <xf numFmtId="44" fontId="0" fillId="0" borderId="10" xfId="0" applyNumberFormat="1" applyBorder="1" applyAlignment="1">
      <alignment horizontal="center"/>
    </xf>
    <xf numFmtId="0" fontId="2" fillId="6" borderId="3" xfId="0" applyFont="1" applyFill="1" applyBorder="1"/>
    <xf numFmtId="0" fontId="2" fillId="6" borderId="4" xfId="0" applyFont="1" applyFill="1" applyBorder="1" applyAlignment="1">
      <alignment horizontal="center"/>
    </xf>
    <xf numFmtId="0" fontId="2" fillId="6" borderId="1" xfId="0" applyFont="1" applyFill="1" applyBorder="1"/>
    <xf numFmtId="9" fontId="0" fillId="0" borderId="1" xfId="0" applyNumberFormat="1" applyBorder="1" applyAlignment="1">
      <alignment horizontal="center"/>
    </xf>
    <xf numFmtId="0" fontId="2" fillId="3" borderId="6" xfId="0" applyFont="1" applyFill="1" applyBorder="1"/>
    <xf numFmtId="44" fontId="0" fillId="0" borderId="0" xfId="0" applyNumberFormat="1"/>
    <xf numFmtId="44" fontId="0" fillId="0" borderId="1" xfId="0" applyNumberFormat="1" applyBorder="1"/>
    <xf numFmtId="0" fontId="0" fillId="0" borderId="0" xfId="0" applyBorder="1" applyAlignment="1">
      <alignment horizontal="center"/>
    </xf>
    <xf numFmtId="44" fontId="0" fillId="0" borderId="1" xfId="1" applyFont="1" applyBorder="1"/>
    <xf numFmtId="0" fontId="2" fillId="0" borderId="0" xfId="0" applyFont="1" applyFill="1" applyAlignment="1"/>
    <xf numFmtId="44" fontId="0" fillId="0" borderId="7" xfId="0" applyNumberFormat="1" applyBorder="1"/>
    <xf numFmtId="44" fontId="0" fillId="0" borderId="7" xfId="1" applyFont="1" applyBorder="1"/>
    <xf numFmtId="14" fontId="0" fillId="0" borderId="6" xfId="0" applyNumberFormat="1" applyBorder="1"/>
    <xf numFmtId="14" fontId="0" fillId="0" borderId="8" xfId="0" applyNumberFormat="1" applyBorder="1"/>
    <xf numFmtId="44" fontId="0" fillId="0" borderId="9" xfId="1" applyFont="1" applyBorder="1"/>
    <xf numFmtId="44" fontId="0" fillId="0" borderId="10" xfId="1" applyFont="1" applyBorder="1"/>
    <xf numFmtId="44" fontId="0" fillId="0" borderId="0" xfId="1" applyFont="1" applyBorder="1" applyAlignment="1">
      <alignment horizontal="center"/>
    </xf>
    <xf numFmtId="0" fontId="2" fillId="2" borderId="8" xfId="0" applyFont="1" applyFill="1" applyBorder="1"/>
    <xf numFmtId="44" fontId="2" fillId="2" borderId="9" xfId="1" applyFont="1" applyFill="1" applyBorder="1" applyAlignment="1">
      <alignment horizontal="center"/>
    </xf>
    <xf numFmtId="0" fontId="2" fillId="2" borderId="10" xfId="0" applyFont="1" applyFill="1" applyBorder="1" applyAlignment="1">
      <alignment horizontal="center"/>
    </xf>
    <xf numFmtId="44" fontId="2" fillId="3" borderId="1" xfId="0" applyNumberFormat="1" applyFont="1" applyFill="1" applyBorder="1" applyAlignment="1">
      <alignment horizontal="center"/>
    </xf>
    <xf numFmtId="0" fontId="2" fillId="3" borderId="7" xfId="0" applyFont="1" applyFill="1" applyBorder="1" applyAlignment="1">
      <alignment horizontal="center"/>
    </xf>
    <xf numFmtId="0" fontId="2" fillId="6" borderId="6" xfId="0" applyFont="1" applyFill="1" applyBorder="1" applyAlignment="1">
      <alignment horizontal="center"/>
    </xf>
    <xf numFmtId="0" fontId="2" fillId="6" borderId="1" xfId="0" applyFont="1" applyFill="1" applyBorder="1" applyAlignment="1">
      <alignment horizontal="center"/>
    </xf>
    <xf numFmtId="0" fontId="2" fillId="6" borderId="7" xfId="0" applyFont="1" applyFill="1" applyBorder="1" applyAlignment="1">
      <alignment horizontal="center"/>
    </xf>
    <xf numFmtId="0" fontId="0" fillId="0" borderId="11" xfId="0" applyBorder="1" applyAlignment="1">
      <alignment horizontal="center"/>
    </xf>
    <xf numFmtId="0" fontId="2" fillId="6" borderId="11" xfId="0" applyFont="1" applyFill="1" applyBorder="1" applyAlignment="1">
      <alignment horizontal="center"/>
    </xf>
    <xf numFmtId="0" fontId="2" fillId="6" borderId="12" xfId="0" applyFont="1" applyFill="1" applyBorder="1" applyAlignment="1">
      <alignment horizontal="center"/>
    </xf>
    <xf numFmtId="0" fontId="2" fillId="6" borderId="13" xfId="0" applyFont="1" applyFill="1" applyBorder="1" applyAlignment="1">
      <alignment horizontal="center"/>
    </xf>
    <xf numFmtId="10" fontId="0" fillId="0" borderId="7" xfId="2" applyNumberFormat="1" applyFont="1" applyBorder="1"/>
    <xf numFmtId="10" fontId="0" fillId="0" borderId="10" xfId="2" applyNumberFormat="1" applyFont="1" applyBorder="1"/>
    <xf numFmtId="10" fontId="2" fillId="0" borderId="7" xfId="2" applyNumberFormat="1" applyFont="1" applyBorder="1"/>
    <xf numFmtId="44" fontId="0" fillId="0" borderId="9" xfId="0" applyNumberFormat="1" applyBorder="1"/>
    <xf numFmtId="44" fontId="0" fillId="0" borderId="10" xfId="0" applyNumberFormat="1" applyBorder="1"/>
    <xf numFmtId="0" fontId="2" fillId="6" borderId="4" xfId="0" applyFont="1" applyFill="1" applyBorder="1"/>
    <xf numFmtId="0" fontId="2" fillId="6" borderId="5" xfId="0" applyFont="1" applyFill="1" applyBorder="1"/>
    <xf numFmtId="0" fontId="0" fillId="0" borderId="32" xfId="0" applyBorder="1"/>
    <xf numFmtId="0" fontId="0" fillId="0" borderId="2" xfId="0" applyBorder="1"/>
    <xf numFmtId="44" fontId="0" fillId="0" borderId="39" xfId="1" applyFont="1" applyBorder="1"/>
    <xf numFmtId="44" fontId="0" fillId="0" borderId="18" xfId="1" applyFont="1" applyBorder="1"/>
    <xf numFmtId="44" fontId="0" fillId="0" borderId="19" xfId="1" applyFont="1" applyBorder="1"/>
    <xf numFmtId="44" fontId="0" fillId="0" borderId="40" xfId="1" applyFont="1" applyBorder="1"/>
    <xf numFmtId="44" fontId="0" fillId="0" borderId="23" xfId="1" applyFont="1" applyBorder="1"/>
    <xf numFmtId="44" fontId="0" fillId="0" borderId="24" xfId="1" applyFont="1" applyBorder="1"/>
    <xf numFmtId="44" fontId="0" fillId="0" borderId="41" xfId="1" applyFont="1" applyBorder="1"/>
    <xf numFmtId="44" fontId="0" fillId="0" borderId="0" xfId="1" applyFont="1" applyBorder="1"/>
    <xf numFmtId="44" fontId="0" fillId="0" borderId="21" xfId="1" applyFont="1" applyBorder="1"/>
    <xf numFmtId="0" fontId="0" fillId="0" borderId="2" xfId="0" applyBorder="1" applyAlignment="1">
      <alignment horizontal="center"/>
    </xf>
    <xf numFmtId="0" fontId="0" fillId="0" borderId="33" xfId="0" applyBorder="1" applyAlignment="1">
      <alignment horizontal="center"/>
    </xf>
    <xf numFmtId="0" fontId="0" fillId="0" borderId="34" xfId="0" applyBorder="1" applyAlignment="1">
      <alignment horizontal="center"/>
    </xf>
    <xf numFmtId="0" fontId="0" fillId="7" borderId="20" xfId="0" applyFill="1" applyBorder="1"/>
    <xf numFmtId="44" fontId="0" fillId="7" borderId="41" xfId="1" applyFont="1" applyFill="1" applyBorder="1"/>
    <xf numFmtId="44" fontId="0" fillId="7" borderId="0" xfId="1" applyFont="1" applyFill="1" applyBorder="1"/>
    <xf numFmtId="44" fontId="0" fillId="7" borderId="21" xfId="1" applyFont="1" applyFill="1" applyBorder="1"/>
    <xf numFmtId="0" fontId="2" fillId="0" borderId="0" xfId="0" applyFont="1" applyFill="1" applyBorder="1" applyAlignment="1"/>
    <xf numFmtId="44" fontId="2" fillId="2" borderId="9" xfId="0" applyNumberFormat="1" applyFont="1" applyFill="1" applyBorder="1"/>
    <xf numFmtId="0" fontId="2" fillId="2" borderId="10" xfId="0" applyFont="1" applyFill="1" applyBorder="1"/>
    <xf numFmtId="0" fontId="2" fillId="6" borderId="22" xfId="0" applyFont="1" applyFill="1" applyBorder="1"/>
    <xf numFmtId="44" fontId="2" fillId="6" borderId="40" xfId="1" applyFont="1" applyFill="1" applyBorder="1"/>
    <xf numFmtId="44" fontId="2" fillId="6" borderId="23" xfId="1" applyFont="1" applyFill="1" applyBorder="1"/>
    <xf numFmtId="44" fontId="2" fillId="6" borderId="24" xfId="1" applyFont="1" applyFill="1" applyBorder="1"/>
    <xf numFmtId="44" fontId="0" fillId="0" borderId="22" xfId="1" applyFont="1" applyBorder="1"/>
    <xf numFmtId="0" fontId="0" fillId="0" borderId="20" xfId="0" applyBorder="1" applyAlignment="1">
      <alignment horizontal="left"/>
    </xf>
    <xf numFmtId="0" fontId="0" fillId="0" borderId="22" xfId="0" applyBorder="1" applyAlignment="1">
      <alignment horizontal="left"/>
    </xf>
    <xf numFmtId="0" fontId="2" fillId="6" borderId="32" xfId="0" applyFont="1" applyFill="1" applyBorder="1" applyAlignment="1">
      <alignment horizontal="center"/>
    </xf>
    <xf numFmtId="0" fontId="2" fillId="6" borderId="2" xfId="0" applyFont="1" applyFill="1" applyBorder="1" applyAlignment="1">
      <alignment horizontal="center"/>
    </xf>
    <xf numFmtId="0" fontId="2" fillId="6" borderId="33" xfId="0" applyFont="1" applyFill="1" applyBorder="1" applyAlignment="1">
      <alignment horizontal="center"/>
    </xf>
    <xf numFmtId="0" fontId="2" fillId="6" borderId="34" xfId="0" applyFont="1" applyFill="1" applyBorder="1" applyAlignment="1">
      <alignment horizontal="center"/>
    </xf>
    <xf numFmtId="44" fontId="2" fillId="6" borderId="1" xfId="0" applyNumberFormat="1" applyFont="1" applyFill="1" applyBorder="1"/>
    <xf numFmtId="0" fontId="0" fillId="0" borderId="39" xfId="0" applyBorder="1"/>
    <xf numFmtId="0" fontId="0" fillId="0" borderId="41" xfId="0" applyBorder="1"/>
    <xf numFmtId="44" fontId="0" fillId="0" borderId="20" xfId="1" applyFont="1" applyBorder="1"/>
    <xf numFmtId="0" fontId="0" fillId="0" borderId="40" xfId="0" applyBorder="1"/>
    <xf numFmtId="0" fontId="0" fillId="0" borderId="23" xfId="0" applyBorder="1" applyAlignment="1">
      <alignment horizontal="center"/>
    </xf>
    <xf numFmtId="0" fontId="0" fillId="0" borderId="19" xfId="0" applyBorder="1" applyAlignment="1">
      <alignment horizontal="center"/>
    </xf>
    <xf numFmtId="0" fontId="0" fillId="7" borderId="41" xfId="0" applyFill="1" applyBorder="1"/>
    <xf numFmtId="44" fontId="0" fillId="0" borderId="18" xfId="1" applyFont="1" applyBorder="1" applyAlignment="1">
      <alignment horizontal="center"/>
    </xf>
    <xf numFmtId="44" fontId="0" fillId="0" borderId="39" xfId="1" applyFont="1" applyBorder="1" applyAlignment="1">
      <alignment horizontal="center"/>
    </xf>
    <xf numFmtId="44" fontId="0" fillId="0" borderId="20" xfId="1" applyFont="1" applyBorder="1" applyAlignment="1">
      <alignment horizontal="center"/>
    </xf>
    <xf numFmtId="44" fontId="0" fillId="0" borderId="41" xfId="1" applyFont="1" applyBorder="1" applyAlignment="1">
      <alignment horizontal="center"/>
    </xf>
    <xf numFmtId="44" fontId="0" fillId="0" borderId="23" xfId="1" applyFont="1" applyBorder="1" applyAlignment="1">
      <alignment horizontal="center"/>
    </xf>
    <xf numFmtId="44" fontId="0" fillId="0" borderId="22" xfId="1" applyFont="1" applyBorder="1" applyAlignment="1">
      <alignment horizontal="center"/>
    </xf>
    <xf numFmtId="44" fontId="0" fillId="0" borderId="40" xfId="1" applyFont="1" applyBorder="1" applyAlignment="1">
      <alignment horizontal="center"/>
    </xf>
    <xf numFmtId="44" fontId="0" fillId="7" borderId="0" xfId="1" applyFont="1" applyFill="1" applyBorder="1" applyAlignment="1">
      <alignment horizontal="center"/>
    </xf>
    <xf numFmtId="44" fontId="0" fillId="7" borderId="41" xfId="1" applyFont="1" applyFill="1" applyBorder="1" applyAlignment="1">
      <alignment horizontal="center"/>
    </xf>
    <xf numFmtId="44" fontId="0" fillId="7" borderId="21" xfId="1" applyFont="1" applyFill="1" applyBorder="1" applyAlignment="1">
      <alignment horizontal="center"/>
    </xf>
    <xf numFmtId="44" fontId="0" fillId="0" borderId="19" xfId="1" applyFont="1" applyBorder="1" applyAlignment="1">
      <alignment horizontal="center"/>
    </xf>
    <xf numFmtId="44" fontId="0" fillId="0" borderId="21" xfId="1" applyFont="1" applyBorder="1" applyAlignment="1">
      <alignment horizontal="center"/>
    </xf>
    <xf numFmtId="44" fontId="0" fillId="0" borderId="24" xfId="1" applyFont="1" applyBorder="1" applyAlignment="1">
      <alignment horizontal="center"/>
    </xf>
    <xf numFmtId="44" fontId="0" fillId="0" borderId="20" xfId="0" applyNumberFormat="1" applyBorder="1"/>
    <xf numFmtId="9" fontId="0" fillId="0" borderId="21" xfId="2" applyFont="1" applyBorder="1"/>
    <xf numFmtId="44" fontId="0" fillId="0" borderId="22" xfId="0" applyNumberFormat="1" applyBorder="1"/>
    <xf numFmtId="9" fontId="0" fillId="0" borderId="24" xfId="2" applyFont="1" applyBorder="1"/>
    <xf numFmtId="0" fontId="2" fillId="6" borderId="14" xfId="0" applyFont="1" applyFill="1" applyBorder="1" applyAlignment="1">
      <alignment horizontal="center"/>
    </xf>
    <xf numFmtId="0" fontId="2" fillId="6" borderId="16" xfId="0" applyFont="1" applyFill="1" applyBorder="1" applyAlignment="1">
      <alignment horizontal="center"/>
    </xf>
    <xf numFmtId="0" fontId="2" fillId="0" borderId="41" xfId="0" applyFont="1" applyBorder="1"/>
    <xf numFmtId="0" fontId="2" fillId="0" borderId="40" xfId="0" applyFont="1" applyBorder="1"/>
    <xf numFmtId="44" fontId="0" fillId="0" borderId="39" xfId="0" applyNumberFormat="1" applyBorder="1"/>
    <xf numFmtId="44" fontId="0" fillId="0" borderId="41" xfId="0" applyNumberFormat="1" applyBorder="1"/>
    <xf numFmtId="44" fontId="0" fillId="0" borderId="40" xfId="0" applyNumberFormat="1" applyBorder="1"/>
    <xf numFmtId="0" fontId="2" fillId="0" borderId="39" xfId="0" applyFont="1" applyBorder="1"/>
    <xf numFmtId="44" fontId="2" fillId="0" borderId="18" xfId="1" applyFont="1" applyBorder="1" applyAlignment="1">
      <alignment horizontal="center"/>
    </xf>
    <xf numFmtId="44" fontId="2" fillId="0" borderId="17" xfId="1" applyFont="1" applyBorder="1" applyAlignment="1">
      <alignment horizontal="center"/>
    </xf>
    <xf numFmtId="44" fontId="2" fillId="0" borderId="39" xfId="1" applyFont="1" applyBorder="1" applyAlignment="1">
      <alignment horizontal="center"/>
    </xf>
    <xf numFmtId="44" fontId="2" fillId="0" borderId="0" xfId="1" applyFont="1" applyBorder="1" applyAlignment="1">
      <alignment horizontal="center"/>
    </xf>
    <xf numFmtId="44" fontId="2" fillId="0" borderId="41" xfId="1" applyFont="1" applyBorder="1" applyAlignment="1">
      <alignment horizontal="center"/>
    </xf>
    <xf numFmtId="44" fontId="0" fillId="0" borderId="39" xfId="1" applyFont="1" applyFill="1" applyBorder="1"/>
    <xf numFmtId="44" fontId="0" fillId="0" borderId="21" xfId="1" applyFont="1" applyFill="1" applyBorder="1"/>
    <xf numFmtId="44" fontId="0" fillId="0" borderId="0" xfId="1" applyFont="1" applyFill="1" applyBorder="1"/>
    <xf numFmtId="0" fontId="0" fillId="7" borderId="2" xfId="0" applyFill="1" applyBorder="1"/>
    <xf numFmtId="44" fontId="0" fillId="7" borderId="33" xfId="1" applyFont="1" applyFill="1" applyBorder="1" applyAlignment="1">
      <alignment horizontal="center"/>
    </xf>
    <xf numFmtId="44" fontId="0" fillId="7" borderId="2" xfId="1" applyFont="1" applyFill="1" applyBorder="1" applyAlignment="1">
      <alignment horizontal="center"/>
    </xf>
    <xf numFmtId="0" fontId="2" fillId="8" borderId="22" xfId="0" applyFont="1" applyFill="1" applyBorder="1"/>
    <xf numFmtId="44" fontId="2" fillId="8" borderId="2" xfId="1" applyFont="1" applyFill="1" applyBorder="1" applyAlignment="1">
      <alignment horizontal="center"/>
    </xf>
    <xf numFmtId="44" fontId="0" fillId="7" borderId="40" xfId="1" applyFont="1" applyFill="1" applyBorder="1" applyAlignment="1">
      <alignment horizontal="center"/>
    </xf>
    <xf numFmtId="44" fontId="0" fillId="0" borderId="39" xfId="1" applyFont="1" applyFill="1" applyBorder="1" applyAlignment="1">
      <alignment horizontal="center"/>
    </xf>
    <xf numFmtId="44" fontId="0" fillId="0" borderId="18" xfId="1" applyFont="1" applyFill="1" applyBorder="1" applyAlignment="1">
      <alignment horizontal="center"/>
    </xf>
    <xf numFmtId="44" fontId="2" fillId="8" borderId="33" xfId="1" applyFont="1" applyFill="1" applyBorder="1" applyAlignment="1">
      <alignment horizontal="center"/>
    </xf>
    <xf numFmtId="44" fontId="0" fillId="0" borderId="40" xfId="1" applyFont="1" applyFill="1" applyBorder="1" applyAlignment="1">
      <alignment horizontal="center"/>
    </xf>
    <xf numFmtId="0" fontId="2" fillId="0" borderId="39" xfId="0" applyFont="1" applyFill="1" applyBorder="1"/>
    <xf numFmtId="44" fontId="0" fillId="0" borderId="41" xfId="1" applyFont="1" applyFill="1" applyBorder="1" applyAlignment="1">
      <alignment horizontal="center"/>
    </xf>
    <xf numFmtId="44" fontId="0" fillId="0" borderId="0" xfId="1" applyFont="1" applyFill="1" applyBorder="1" applyAlignment="1">
      <alignment horizontal="center"/>
    </xf>
    <xf numFmtId="0" fontId="0" fillId="0" borderId="41" xfId="0" applyFill="1" applyBorder="1"/>
    <xf numFmtId="0" fontId="0" fillId="0" borderId="39" xfId="0" applyFill="1" applyBorder="1"/>
    <xf numFmtId="0" fontId="0" fillId="0" borderId="41" xfId="0" applyFont="1" applyFill="1" applyBorder="1"/>
    <xf numFmtId="0" fontId="0" fillId="0" borderId="40" xfId="0" applyFill="1" applyBorder="1"/>
    <xf numFmtId="44" fontId="0" fillId="6" borderId="39" xfId="1" applyFont="1" applyFill="1" applyBorder="1" applyAlignment="1">
      <alignment horizontal="center"/>
    </xf>
    <xf numFmtId="44" fontId="0" fillId="6" borderId="21" xfId="1" applyFont="1" applyFill="1" applyBorder="1" applyAlignment="1">
      <alignment horizontal="center"/>
    </xf>
    <xf numFmtId="44" fontId="0" fillId="6" borderId="40" xfId="1" applyFont="1" applyFill="1" applyBorder="1" applyAlignment="1">
      <alignment horizontal="center"/>
    </xf>
    <xf numFmtId="0" fontId="2" fillId="0" borderId="0" xfId="0" applyFont="1"/>
    <xf numFmtId="0" fontId="2" fillId="5" borderId="14" xfId="0" applyFont="1" applyFill="1" applyBorder="1" applyAlignment="1">
      <alignment horizontal="center"/>
    </xf>
    <xf numFmtId="0" fontId="2" fillId="5" borderId="15" xfId="0" applyFont="1" applyFill="1" applyBorder="1" applyAlignment="1">
      <alignment horizontal="center"/>
    </xf>
    <xf numFmtId="0" fontId="2" fillId="5" borderId="16" xfId="0" applyFont="1" applyFill="1" applyBorder="1" applyAlignment="1">
      <alignment horizontal="center"/>
    </xf>
    <xf numFmtId="0" fontId="2" fillId="4" borderId="14" xfId="0" applyFont="1" applyFill="1" applyBorder="1" applyAlignment="1">
      <alignment horizontal="center"/>
    </xf>
    <xf numFmtId="0" fontId="2" fillId="4" borderId="15" xfId="0" applyFont="1" applyFill="1" applyBorder="1" applyAlignment="1">
      <alignment horizontal="center"/>
    </xf>
    <xf numFmtId="0" fontId="2" fillId="4" borderId="16" xfId="0" applyFont="1" applyFill="1" applyBorder="1" applyAlignment="1">
      <alignment horizontal="center"/>
    </xf>
    <xf numFmtId="0" fontId="2" fillId="6" borderId="25" xfId="0" applyFont="1" applyFill="1" applyBorder="1" applyAlignment="1">
      <alignment horizontal="center"/>
    </xf>
    <xf numFmtId="0" fontId="2" fillId="6" borderId="26" xfId="0" applyFont="1" applyFill="1" applyBorder="1" applyAlignment="1">
      <alignment horizontal="center"/>
    </xf>
    <xf numFmtId="0" fontId="2" fillId="4" borderId="32" xfId="0" applyFont="1" applyFill="1" applyBorder="1" applyAlignment="1">
      <alignment horizontal="center"/>
    </xf>
    <xf numFmtId="0" fontId="2" fillId="4" borderId="33" xfId="0" applyFont="1" applyFill="1" applyBorder="1" applyAlignment="1">
      <alignment horizontal="center"/>
    </xf>
    <xf numFmtId="0" fontId="2" fillId="4" borderId="34" xfId="0" applyFont="1" applyFill="1" applyBorder="1" applyAlignment="1">
      <alignment horizontal="center"/>
    </xf>
    <xf numFmtId="0" fontId="0" fillId="0" borderId="6" xfId="0" applyBorder="1" applyAlignment="1">
      <alignment horizontal="left"/>
    </xf>
    <xf numFmtId="0" fontId="0" fillId="0" borderId="1" xfId="0" applyBorder="1" applyAlignment="1">
      <alignment horizontal="left"/>
    </xf>
    <xf numFmtId="44" fontId="2" fillId="6" borderId="1" xfId="1" applyFont="1" applyFill="1" applyBorder="1" applyAlignment="1">
      <alignment horizontal="center" wrapText="1"/>
    </xf>
    <xf numFmtId="44" fontId="0" fillId="0" borderId="27" xfId="0" applyNumberFormat="1" applyBorder="1" applyAlignment="1">
      <alignment horizontal="center"/>
    </xf>
    <xf numFmtId="44" fontId="0" fillId="0" borderId="35" xfId="0" applyNumberFormat="1" applyBorder="1" applyAlignment="1">
      <alignment horizontal="center"/>
    </xf>
    <xf numFmtId="9" fontId="0" fillId="0" borderId="29" xfId="2" applyFont="1" applyBorder="1" applyAlignment="1">
      <alignment horizontal="center"/>
    </xf>
    <xf numFmtId="9" fontId="0" fillId="0" borderId="30" xfId="2" applyFont="1" applyBorder="1" applyAlignment="1">
      <alignment horizontal="center"/>
    </xf>
    <xf numFmtId="9" fontId="0" fillId="0" borderId="37" xfId="2" applyFont="1" applyBorder="1" applyAlignment="1">
      <alignment horizontal="center"/>
    </xf>
    <xf numFmtId="0" fontId="0" fillId="7" borderId="36" xfId="0" applyFill="1" applyBorder="1" applyAlignment="1">
      <alignment horizontal="center"/>
    </xf>
    <xf numFmtId="0" fontId="0" fillId="7" borderId="28" xfId="0" applyFill="1" applyBorder="1" applyAlignment="1">
      <alignment horizontal="center"/>
    </xf>
    <xf numFmtId="0" fontId="0" fillId="7" borderId="35" xfId="0" applyFill="1" applyBorder="1" applyAlignment="1">
      <alignment horizontal="center"/>
    </xf>
    <xf numFmtId="0" fontId="2" fillId="6" borderId="32" xfId="0" applyFont="1" applyFill="1" applyBorder="1" applyAlignment="1">
      <alignment horizontal="center"/>
    </xf>
    <xf numFmtId="0" fontId="2" fillId="6" borderId="33" xfId="0" applyFont="1" applyFill="1" applyBorder="1" applyAlignment="1">
      <alignment horizontal="center"/>
    </xf>
    <xf numFmtId="0" fontId="2" fillId="6" borderId="34" xfId="0" applyFont="1" applyFill="1" applyBorder="1" applyAlignment="1">
      <alignment horizontal="center"/>
    </xf>
    <xf numFmtId="0" fontId="0" fillId="0" borderId="31" xfId="0" applyBorder="1" applyAlignment="1">
      <alignment horizontal="center"/>
    </xf>
    <xf numFmtId="0" fontId="0" fillId="0" borderId="38" xfId="0" applyBorder="1" applyAlignment="1">
      <alignment horizontal="center"/>
    </xf>
    <xf numFmtId="0" fontId="0" fillId="0" borderId="13" xfId="0" applyBorder="1" applyAlignment="1">
      <alignment horizontal="center"/>
    </xf>
    <xf numFmtId="0" fontId="2" fillId="6" borderId="17" xfId="0" applyFont="1" applyFill="1" applyBorder="1" applyAlignment="1">
      <alignment horizontal="center"/>
    </xf>
    <xf numFmtId="0" fontId="2" fillId="6" borderId="18" xfId="0" applyFont="1" applyFill="1" applyBorder="1" applyAlignment="1">
      <alignment horizontal="center"/>
    </xf>
    <xf numFmtId="0" fontId="2" fillId="6" borderId="19" xfId="0" applyFont="1" applyFill="1" applyBorder="1" applyAlignment="1">
      <alignment horizontal="center"/>
    </xf>
    <xf numFmtId="9" fontId="0" fillId="0" borderId="1" xfId="0" applyNumberFormat="1" applyBorder="1" applyAlignment="1">
      <alignment horizontal="center"/>
    </xf>
    <xf numFmtId="44" fontId="0" fillId="0" borderId="1" xfId="0" applyNumberFormat="1" applyBorder="1" applyAlignment="1">
      <alignment horizontal="center"/>
    </xf>
    <xf numFmtId="44" fontId="2" fillId="6" borderId="7" xfId="1" applyFont="1" applyFill="1" applyBorder="1" applyAlignment="1">
      <alignment horizontal="center" wrapText="1"/>
    </xf>
    <xf numFmtId="0" fontId="2" fillId="6" borderId="14" xfId="0" applyFont="1" applyFill="1" applyBorder="1" applyAlignment="1">
      <alignment horizontal="center"/>
    </xf>
    <xf numFmtId="0" fontId="2" fillId="6" borderId="15" xfId="0" applyFont="1" applyFill="1" applyBorder="1" applyAlignment="1">
      <alignment horizontal="center"/>
    </xf>
    <xf numFmtId="0" fontId="2" fillId="6" borderId="16" xfId="0" applyFont="1" applyFill="1" applyBorder="1" applyAlignment="1">
      <alignment horizontal="center"/>
    </xf>
    <xf numFmtId="9" fontId="0" fillId="0" borderId="12" xfId="2" applyFont="1" applyBorder="1" applyAlignment="1">
      <alignment horizontal="center"/>
    </xf>
    <xf numFmtId="9" fontId="0" fillId="0" borderId="13" xfId="2" applyFont="1" applyBorder="1" applyAlignment="1">
      <alignment horizontal="center"/>
    </xf>
    <xf numFmtId="0" fontId="2" fillId="8" borderId="32" xfId="0" applyFont="1" applyFill="1" applyBorder="1" applyAlignment="1">
      <alignment horizontal="center"/>
    </xf>
    <xf numFmtId="0" fontId="2" fillId="8" borderId="33" xfId="0" applyFont="1" applyFill="1" applyBorder="1" applyAlignment="1">
      <alignment horizontal="center"/>
    </xf>
    <xf numFmtId="0" fontId="2" fillId="8" borderId="34" xfId="0" applyFont="1" applyFill="1" applyBorder="1" applyAlignment="1">
      <alignment horizontal="center"/>
    </xf>
    <xf numFmtId="0" fontId="2" fillId="0" borderId="17" xfId="0" applyFont="1" applyBorder="1" applyAlignment="1">
      <alignment horizontal="center"/>
    </xf>
    <xf numFmtId="0" fontId="2" fillId="0" borderId="19" xfId="0" applyFont="1" applyBorder="1" applyAlignment="1">
      <alignment horizontal="center"/>
    </xf>
  </cellXfs>
  <cellStyles count="3">
    <cellStyle name="Moneda" xfId="1" builtinId="4"/>
    <cellStyle name="Normal" xfId="0" builtinId="0"/>
    <cellStyle name="Porcentaje" xfId="2" builtinId="5"/>
  </cellStyles>
  <dxfs count="1"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8"/>
  <sheetViews>
    <sheetView showGridLines="0" topLeftCell="A22" workbookViewId="0">
      <selection activeCell="D35" sqref="D35"/>
    </sheetView>
  </sheetViews>
  <sheetFormatPr baseColWidth="10" defaultRowHeight="15" x14ac:dyDescent="0.25"/>
  <cols>
    <col min="1" max="1" width="26" customWidth="1"/>
    <col min="2" max="4" width="13" bestFit="1" customWidth="1"/>
    <col min="5" max="5" width="4.5703125" bestFit="1" customWidth="1"/>
    <col min="6" max="6" width="7" bestFit="1" customWidth="1"/>
    <col min="7" max="7" width="12.5703125" bestFit="1" customWidth="1"/>
  </cols>
  <sheetData>
    <row r="1" spans="1:7" ht="15.75" thickBot="1" x14ac:dyDescent="0.3">
      <c r="A1" s="157" t="s">
        <v>15</v>
      </c>
      <c r="B1" s="158"/>
      <c r="C1" s="158"/>
      <c r="D1" s="158"/>
      <c r="E1" s="159"/>
    </row>
    <row r="2" spans="1:7" x14ac:dyDescent="0.25">
      <c r="A2" s="10"/>
      <c r="B2" s="11" t="s">
        <v>0</v>
      </c>
      <c r="C2" s="11" t="s">
        <v>1</v>
      </c>
      <c r="D2" s="11" t="s">
        <v>2</v>
      </c>
      <c r="E2" s="12" t="s">
        <v>4</v>
      </c>
    </row>
    <row r="3" spans="1:7" x14ac:dyDescent="0.25">
      <c r="A3" s="5" t="s">
        <v>3</v>
      </c>
      <c r="B3" s="4">
        <v>220000</v>
      </c>
      <c r="C3" s="4">
        <f>B3*0.21</f>
        <v>46200</v>
      </c>
      <c r="D3" s="4">
        <f>B3+C3</f>
        <v>266200</v>
      </c>
      <c r="E3" s="6">
        <v>0</v>
      </c>
    </row>
    <row r="4" spans="1:7" x14ac:dyDescent="0.25">
      <c r="A4" s="5" t="s">
        <v>5</v>
      </c>
      <c r="B4" s="4">
        <f>40000</f>
        <v>40000</v>
      </c>
      <c r="C4" s="4">
        <f>B4*0.21</f>
        <v>8400</v>
      </c>
      <c r="D4" s="4">
        <f>B4+C4</f>
        <v>48400</v>
      </c>
      <c r="E4" s="6">
        <v>0</v>
      </c>
    </row>
    <row r="5" spans="1:7" x14ac:dyDescent="0.25">
      <c r="A5" s="5" t="s">
        <v>6</v>
      </c>
      <c r="B5" s="4">
        <v>80000</v>
      </c>
      <c r="C5" s="4">
        <f>B5*0.21</f>
        <v>16800</v>
      </c>
      <c r="D5" s="4">
        <f>B5+C5</f>
        <v>96800</v>
      </c>
      <c r="E5" s="6">
        <v>0</v>
      </c>
    </row>
    <row r="6" spans="1:7" x14ac:dyDescent="0.25">
      <c r="A6" s="5" t="s">
        <v>7</v>
      </c>
      <c r="B6" s="4">
        <v>10000</v>
      </c>
      <c r="C6" s="4">
        <f>B6*0.21</f>
        <v>2100</v>
      </c>
      <c r="D6" s="4">
        <f>B6+C6</f>
        <v>12100</v>
      </c>
      <c r="E6" s="6">
        <v>1</v>
      </c>
    </row>
    <row r="7" spans="1:7" x14ac:dyDescent="0.25">
      <c r="A7" s="31" t="s">
        <v>31</v>
      </c>
      <c r="B7" s="47">
        <f>SUM(B3:B6)</f>
        <v>350000</v>
      </c>
      <c r="C7" s="47">
        <f>SUM(C3:C6)</f>
        <v>73500</v>
      </c>
      <c r="D7" s="47">
        <f>SUM(D3:D6)</f>
        <v>423500</v>
      </c>
      <c r="E7" s="48"/>
      <c r="G7" s="32"/>
    </row>
    <row r="8" spans="1:7" ht="15.75" thickBot="1" x14ac:dyDescent="0.3">
      <c r="A8" s="7" t="s">
        <v>8</v>
      </c>
      <c r="B8" s="13">
        <v>50000</v>
      </c>
      <c r="C8" s="8"/>
      <c r="D8" s="8"/>
      <c r="E8" s="9"/>
    </row>
    <row r="9" spans="1:7" x14ac:dyDescent="0.25">
      <c r="B9" s="1"/>
      <c r="C9" s="1"/>
      <c r="D9" s="1"/>
      <c r="E9" s="1"/>
    </row>
    <row r="10" spans="1:7" ht="15.75" thickBot="1" x14ac:dyDescent="0.3">
      <c r="B10" s="1"/>
      <c r="C10" s="1"/>
      <c r="D10" s="1"/>
      <c r="E10" s="1"/>
    </row>
    <row r="11" spans="1:7" ht="15.75" thickBot="1" x14ac:dyDescent="0.3">
      <c r="A11" s="165" t="s">
        <v>9</v>
      </c>
      <c r="B11" s="166"/>
      <c r="C11" s="167"/>
      <c r="D11" s="81"/>
      <c r="E11" s="81"/>
    </row>
    <row r="12" spans="1:7" x14ac:dyDescent="0.25">
      <c r="A12" s="10"/>
      <c r="B12" s="11" t="s">
        <v>0</v>
      </c>
      <c r="C12" s="12" t="s">
        <v>4</v>
      </c>
    </row>
    <row r="13" spans="1:7" x14ac:dyDescent="0.25">
      <c r="A13" s="5" t="s">
        <v>10</v>
      </c>
      <c r="B13" s="4">
        <v>2000</v>
      </c>
      <c r="C13" s="6">
        <v>0</v>
      </c>
    </row>
    <row r="14" spans="1:7" x14ac:dyDescent="0.25">
      <c r="A14" s="5" t="s">
        <v>11</v>
      </c>
      <c r="B14" s="4">
        <f>8000</f>
        <v>8000</v>
      </c>
      <c r="C14" s="6">
        <v>0</v>
      </c>
    </row>
    <row r="15" spans="1:7" x14ac:dyDescent="0.25">
      <c r="A15" s="5" t="s">
        <v>12</v>
      </c>
      <c r="B15" s="4">
        <v>10000</v>
      </c>
      <c r="C15" s="6">
        <v>1</v>
      </c>
    </row>
    <row r="16" spans="1:7" x14ac:dyDescent="0.25">
      <c r="A16" s="5" t="s">
        <v>13</v>
      </c>
      <c r="B16" s="4">
        <f>15000</f>
        <v>15000</v>
      </c>
      <c r="C16" s="6">
        <v>1</v>
      </c>
    </row>
    <row r="17" spans="1:6" ht="15.75" thickBot="1" x14ac:dyDescent="0.3">
      <c r="A17" s="44" t="s">
        <v>31</v>
      </c>
      <c r="B17" s="82">
        <f>SUM(B13:B16)</f>
        <v>35000</v>
      </c>
      <c r="C17" s="83"/>
    </row>
    <row r="18" spans="1:6" ht="15.75" thickBot="1" x14ac:dyDescent="0.3"/>
    <row r="19" spans="1:6" ht="15.75" thickBot="1" x14ac:dyDescent="0.3">
      <c r="A19" s="160" t="s">
        <v>14</v>
      </c>
      <c r="B19" s="161"/>
      <c r="C19" s="161"/>
      <c r="D19" s="161"/>
      <c r="E19" s="162"/>
    </row>
    <row r="20" spans="1:6" x14ac:dyDescent="0.25">
      <c r="A20" s="10"/>
      <c r="B20" s="11" t="s">
        <v>0</v>
      </c>
      <c r="C20" s="11" t="s">
        <v>1</v>
      </c>
      <c r="D20" s="11" t="s">
        <v>2</v>
      </c>
      <c r="E20" s="12" t="s">
        <v>4</v>
      </c>
    </row>
    <row r="21" spans="1:6" x14ac:dyDescent="0.25">
      <c r="A21" s="5" t="s">
        <v>10</v>
      </c>
      <c r="B21" s="4">
        <v>2000</v>
      </c>
      <c r="C21" s="4"/>
      <c r="D21" s="4">
        <f>B21+C21</f>
        <v>2000</v>
      </c>
      <c r="E21" s="6">
        <v>0</v>
      </c>
    </row>
    <row r="22" spans="1:6" x14ac:dyDescent="0.25">
      <c r="A22" s="5" t="s">
        <v>11</v>
      </c>
      <c r="B22" s="4">
        <f>8000</f>
        <v>8000</v>
      </c>
      <c r="C22" s="4">
        <f>B22*0.21</f>
        <v>1680</v>
      </c>
      <c r="D22" s="4">
        <f>B22+C22</f>
        <v>9680</v>
      </c>
      <c r="E22" s="6">
        <v>0</v>
      </c>
    </row>
    <row r="23" spans="1:6" x14ac:dyDescent="0.25">
      <c r="A23" s="5" t="s">
        <v>12</v>
      </c>
      <c r="B23" s="4">
        <f>B15*0.7</f>
        <v>7000</v>
      </c>
      <c r="C23" s="4"/>
      <c r="D23" s="4">
        <f>B23+C23</f>
        <v>7000</v>
      </c>
      <c r="E23" s="6">
        <v>1</v>
      </c>
    </row>
    <row r="24" spans="1:6" x14ac:dyDescent="0.25">
      <c r="A24" s="5" t="s">
        <v>13</v>
      </c>
      <c r="B24" s="4">
        <f>B16*0.7</f>
        <v>10500</v>
      </c>
      <c r="C24" s="4">
        <f>B24*0.21</f>
        <v>2205</v>
      </c>
      <c r="D24" s="4">
        <f>SUM(B24+C24)</f>
        <v>12705</v>
      </c>
      <c r="E24" s="6">
        <v>1</v>
      </c>
    </row>
    <row r="25" spans="1:6" ht="15.75" thickBot="1" x14ac:dyDescent="0.3">
      <c r="A25" s="44" t="s">
        <v>45</v>
      </c>
      <c r="B25" s="45">
        <f>SUM(B21:B24)</f>
        <v>27500</v>
      </c>
      <c r="C25" s="45">
        <f>SUM(C21:C24)</f>
        <v>3885</v>
      </c>
      <c r="D25" s="45">
        <f>SUM(D21:D24)</f>
        <v>31385</v>
      </c>
      <c r="E25" s="46"/>
    </row>
    <row r="26" spans="1:6" ht="15.75" thickBot="1" x14ac:dyDescent="0.3"/>
    <row r="27" spans="1:6" x14ac:dyDescent="0.25">
      <c r="A27" s="19"/>
      <c r="B27" s="163" t="s">
        <v>19</v>
      </c>
      <c r="C27" s="164"/>
      <c r="D27" s="163" t="s">
        <v>20</v>
      </c>
      <c r="E27" s="164"/>
      <c r="F27" s="22" t="s">
        <v>21</v>
      </c>
    </row>
    <row r="28" spans="1:6" x14ac:dyDescent="0.25">
      <c r="A28" s="20" t="s">
        <v>16</v>
      </c>
      <c r="B28" s="3">
        <v>300</v>
      </c>
      <c r="C28" s="3" t="s">
        <v>18</v>
      </c>
      <c r="D28" s="3">
        <v>1000</v>
      </c>
      <c r="E28" s="3" t="s">
        <v>22</v>
      </c>
      <c r="F28" s="6">
        <f>B28*D28*0.21</f>
        <v>63000</v>
      </c>
    </row>
    <row r="29" spans="1:6" ht="15.75" thickBot="1" x14ac:dyDescent="0.3">
      <c r="A29" s="21" t="s">
        <v>17</v>
      </c>
      <c r="B29" s="8">
        <v>500</v>
      </c>
      <c r="C29" s="8" t="s">
        <v>18</v>
      </c>
      <c r="D29" s="8">
        <v>1000</v>
      </c>
      <c r="E29" s="8" t="s">
        <v>22</v>
      </c>
      <c r="F29" s="9">
        <f>B29*D29*0.21</f>
        <v>105000</v>
      </c>
    </row>
    <row r="30" spans="1:6" ht="15.75" thickBot="1" x14ac:dyDescent="0.3"/>
    <row r="31" spans="1:6" x14ac:dyDescent="0.25">
      <c r="A31" s="27"/>
      <c r="B31" s="28" t="s">
        <v>16</v>
      </c>
      <c r="C31" s="22" t="s">
        <v>17</v>
      </c>
    </row>
    <row r="32" spans="1:6" x14ac:dyDescent="0.25">
      <c r="A32" s="20" t="s">
        <v>23</v>
      </c>
      <c r="B32" s="4">
        <f>80000</f>
        <v>80000</v>
      </c>
      <c r="C32" s="24">
        <f>100000</f>
        <v>100000</v>
      </c>
    </row>
    <row r="33" spans="1:3" x14ac:dyDescent="0.25">
      <c r="A33" s="20" t="s">
        <v>24</v>
      </c>
      <c r="B33" s="4">
        <v>40000</v>
      </c>
      <c r="C33" s="24">
        <v>60000</v>
      </c>
    </row>
    <row r="34" spans="1:3" ht="15.75" thickBot="1" x14ac:dyDescent="0.3">
      <c r="A34" s="21" t="s">
        <v>25</v>
      </c>
      <c r="B34" s="25">
        <f>(B32+B33)*0.15</f>
        <v>18000</v>
      </c>
      <c r="C34" s="26">
        <f>(C32+C33)*0.15</f>
        <v>24000</v>
      </c>
    </row>
    <row r="35" spans="1:3" x14ac:dyDescent="0.25">
      <c r="B35" s="1"/>
      <c r="C35" s="1"/>
    </row>
    <row r="36" spans="1:3" x14ac:dyDescent="0.25">
      <c r="A36" s="29" t="s">
        <v>26</v>
      </c>
      <c r="B36" s="30">
        <v>0.1</v>
      </c>
      <c r="C36" s="1"/>
    </row>
    <row r="37" spans="1:3" x14ac:dyDescent="0.25">
      <c r="A37" s="29" t="s">
        <v>27</v>
      </c>
      <c r="B37" s="30">
        <v>0.35</v>
      </c>
      <c r="C37" s="1"/>
    </row>
    <row r="38" spans="1:3" x14ac:dyDescent="0.25">
      <c r="A38" s="29" t="s">
        <v>28</v>
      </c>
      <c r="B38" s="30">
        <v>0.3</v>
      </c>
      <c r="C38" s="1"/>
    </row>
  </sheetData>
  <mergeCells count="5">
    <mergeCell ref="A1:E1"/>
    <mergeCell ref="A19:E19"/>
    <mergeCell ref="B27:C27"/>
    <mergeCell ref="D27:E27"/>
    <mergeCell ref="A11:C1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9"/>
  <sheetViews>
    <sheetView showGridLines="0" tabSelected="1" workbookViewId="0">
      <selection activeCell="L3" sqref="L3"/>
    </sheetView>
  </sheetViews>
  <sheetFormatPr baseColWidth="10" defaultRowHeight="15" x14ac:dyDescent="0.25"/>
  <cols>
    <col min="1" max="4" width="15.5703125" customWidth="1"/>
    <col min="5" max="5" width="22.42578125" customWidth="1"/>
    <col min="6" max="6" width="15.5703125" customWidth="1"/>
  </cols>
  <sheetData>
    <row r="1" spans="1:5" ht="15.75" thickBot="1" x14ac:dyDescent="0.3">
      <c r="A1" s="191" t="s">
        <v>29</v>
      </c>
      <c r="B1" s="192"/>
      <c r="C1" s="192"/>
      <c r="D1" s="193"/>
      <c r="E1" s="36"/>
    </row>
    <row r="2" spans="1:5" x14ac:dyDescent="0.25">
      <c r="A2" s="52" t="s">
        <v>39</v>
      </c>
      <c r="B2" s="194">
        <f>20%</f>
        <v>0.2</v>
      </c>
      <c r="C2" s="194"/>
      <c r="D2" s="195"/>
    </row>
    <row r="3" spans="1:5" x14ac:dyDescent="0.25">
      <c r="A3" s="168" t="s">
        <v>30</v>
      </c>
      <c r="B3" s="169"/>
      <c r="C3" s="169"/>
      <c r="D3" s="37">
        <f>DE!B7*0.3</f>
        <v>105000</v>
      </c>
    </row>
    <row r="4" spans="1:5" x14ac:dyDescent="0.25">
      <c r="A4" s="5"/>
      <c r="B4" s="2"/>
      <c r="C4" s="2"/>
      <c r="D4" s="18"/>
    </row>
    <row r="5" spans="1:5" x14ac:dyDescent="0.25">
      <c r="A5" s="49" t="s">
        <v>32</v>
      </c>
      <c r="B5" s="50" t="s">
        <v>33</v>
      </c>
      <c r="C5" s="50" t="s">
        <v>36</v>
      </c>
      <c r="D5" s="51" t="s">
        <v>37</v>
      </c>
      <c r="E5" s="34"/>
    </row>
    <row r="6" spans="1:5" x14ac:dyDescent="0.25">
      <c r="A6" s="5" t="s">
        <v>34</v>
      </c>
      <c r="B6" s="35">
        <v>105000</v>
      </c>
      <c r="C6" s="35">
        <v>0</v>
      </c>
      <c r="D6" s="38">
        <v>0</v>
      </c>
      <c r="E6" s="16"/>
    </row>
    <row r="7" spans="1:5" x14ac:dyDescent="0.25">
      <c r="A7" s="5" t="s">
        <v>35</v>
      </c>
      <c r="B7" s="35">
        <v>105000</v>
      </c>
      <c r="C7" s="35">
        <v>0</v>
      </c>
      <c r="D7" s="38">
        <v>21000</v>
      </c>
      <c r="E7" s="16"/>
    </row>
    <row r="8" spans="1:5" x14ac:dyDescent="0.25">
      <c r="A8" s="20" t="s">
        <v>38</v>
      </c>
      <c r="B8" s="170">
        <f>D7</f>
        <v>21000</v>
      </c>
      <c r="C8" s="170"/>
      <c r="D8" s="190"/>
      <c r="E8" s="16"/>
    </row>
    <row r="9" spans="1:5" x14ac:dyDescent="0.25">
      <c r="A9" s="39">
        <v>36892</v>
      </c>
      <c r="B9" s="35">
        <v>105000</v>
      </c>
      <c r="C9" s="35">
        <v>0</v>
      </c>
      <c r="D9" s="38">
        <v>0</v>
      </c>
      <c r="E9" s="16"/>
    </row>
    <row r="10" spans="1:5" x14ac:dyDescent="0.25">
      <c r="A10" s="39">
        <v>37255</v>
      </c>
      <c r="B10" s="35">
        <v>70000</v>
      </c>
      <c r="C10" s="35">
        <f>$B$7/3</f>
        <v>35000</v>
      </c>
      <c r="D10" s="38">
        <f>B9*$B$2</f>
        <v>21000</v>
      </c>
      <c r="E10" s="16"/>
    </row>
    <row r="11" spans="1:5" x14ac:dyDescent="0.25">
      <c r="A11" s="39">
        <v>37620</v>
      </c>
      <c r="B11" s="35">
        <v>35000</v>
      </c>
      <c r="C11" s="35">
        <f t="shared" ref="C11:C12" si="0">$B$7/3</f>
        <v>35000</v>
      </c>
      <c r="D11" s="38">
        <f t="shared" ref="D11:D12" si="1">B10*$B$2</f>
        <v>14000</v>
      </c>
      <c r="E11" s="16"/>
    </row>
    <row r="12" spans="1:5" ht="15.75" thickBot="1" x14ac:dyDescent="0.3">
      <c r="A12" s="40">
        <v>37985</v>
      </c>
      <c r="B12" s="41">
        <v>0</v>
      </c>
      <c r="C12" s="41">
        <f t="shared" si="0"/>
        <v>35000</v>
      </c>
      <c r="D12" s="42">
        <f t="shared" si="1"/>
        <v>7000</v>
      </c>
      <c r="E12" s="16"/>
    </row>
    <row r="14" spans="1:5" ht="15.75" thickBot="1" x14ac:dyDescent="0.3"/>
    <row r="15" spans="1:5" x14ac:dyDescent="0.25">
      <c r="A15" s="185" t="s">
        <v>42</v>
      </c>
      <c r="B15" s="186"/>
      <c r="C15" s="186"/>
      <c r="D15" s="187"/>
    </row>
    <row r="16" spans="1:5" x14ac:dyDescent="0.25">
      <c r="A16" s="2" t="s">
        <v>43</v>
      </c>
      <c r="B16" s="188">
        <v>0.1</v>
      </c>
      <c r="C16" s="188"/>
      <c r="D16" s="188"/>
    </row>
    <row r="17" spans="1:5" x14ac:dyDescent="0.25">
      <c r="A17" s="2" t="s">
        <v>44</v>
      </c>
      <c r="B17" s="2"/>
      <c r="C17" s="189">
        <f>DE!B25*0.5</f>
        <v>13750</v>
      </c>
      <c r="D17" s="189"/>
    </row>
    <row r="18" spans="1:5" x14ac:dyDescent="0.25">
      <c r="A18" s="2"/>
      <c r="B18" s="2"/>
      <c r="C18" s="2"/>
      <c r="D18" s="2"/>
    </row>
    <row r="19" spans="1:5" x14ac:dyDescent="0.25">
      <c r="A19" s="53" t="s">
        <v>32</v>
      </c>
      <c r="B19" s="54" t="s">
        <v>33</v>
      </c>
      <c r="C19" s="54" t="s">
        <v>36</v>
      </c>
      <c r="D19" s="55" t="s">
        <v>37</v>
      </c>
    </row>
    <row r="20" spans="1:5" x14ac:dyDescent="0.25">
      <c r="A20" s="39">
        <v>36892</v>
      </c>
      <c r="B20" s="35">
        <f>C17</f>
        <v>13750</v>
      </c>
      <c r="C20" s="35">
        <v>0</v>
      </c>
      <c r="D20" s="38">
        <v>0</v>
      </c>
    </row>
    <row r="21" spans="1:5" x14ac:dyDescent="0.25">
      <c r="A21" s="39">
        <v>37255</v>
      </c>
      <c r="B21" s="35">
        <f>B20</f>
        <v>13750</v>
      </c>
      <c r="C21" s="35">
        <v>0</v>
      </c>
      <c r="D21" s="38">
        <f>B21*$B$16</f>
        <v>1375</v>
      </c>
    </row>
    <row r="22" spans="1:5" x14ac:dyDescent="0.25">
      <c r="A22" s="39">
        <v>37620</v>
      </c>
      <c r="B22" s="35">
        <f>B20</f>
        <v>13750</v>
      </c>
      <c r="C22" s="35">
        <v>0</v>
      </c>
      <c r="D22" s="38">
        <f t="shared" ref="D22:D23" si="2">B22*$B$16</f>
        <v>1375</v>
      </c>
    </row>
    <row r="23" spans="1:5" ht="15.75" thickBot="1" x14ac:dyDescent="0.3">
      <c r="A23" s="40">
        <v>37985</v>
      </c>
      <c r="B23" s="41">
        <f>B20</f>
        <v>13750</v>
      </c>
      <c r="C23" s="41">
        <v>0</v>
      </c>
      <c r="D23" s="42">
        <f t="shared" si="2"/>
        <v>1375</v>
      </c>
    </row>
    <row r="24" spans="1:5" ht="15.75" thickBot="1" x14ac:dyDescent="0.3"/>
    <row r="25" spans="1:5" ht="15.75" thickBot="1" x14ac:dyDescent="0.3">
      <c r="A25" s="179" t="s">
        <v>47</v>
      </c>
      <c r="B25" s="180"/>
      <c r="C25" s="180"/>
      <c r="D25" s="180"/>
      <c r="E25" s="181"/>
    </row>
    <row r="26" spans="1:5" x14ac:dyDescent="0.25">
      <c r="A26" s="52" t="s">
        <v>39</v>
      </c>
      <c r="B26" s="173">
        <f>20%</f>
        <v>0.2</v>
      </c>
      <c r="C26" s="174"/>
      <c r="D26" s="174"/>
      <c r="E26" s="175"/>
    </row>
    <row r="27" spans="1:5" x14ac:dyDescent="0.25">
      <c r="A27" s="168" t="s">
        <v>30</v>
      </c>
      <c r="B27" s="169"/>
      <c r="C27" s="169"/>
      <c r="D27" s="171">
        <f>DE!B34*0.3</f>
        <v>5400</v>
      </c>
      <c r="E27" s="172"/>
    </row>
    <row r="28" spans="1:5" x14ac:dyDescent="0.25">
      <c r="A28" s="176"/>
      <c r="B28" s="177"/>
      <c r="C28" s="177"/>
      <c r="D28" s="177"/>
      <c r="E28" s="178"/>
    </row>
    <row r="29" spans="1:5" x14ac:dyDescent="0.25">
      <c r="A29" s="49" t="s">
        <v>32</v>
      </c>
      <c r="B29" s="50" t="s">
        <v>33</v>
      </c>
      <c r="C29" s="50" t="s">
        <v>36</v>
      </c>
      <c r="D29" s="50" t="s">
        <v>37</v>
      </c>
      <c r="E29" s="51" t="s">
        <v>46</v>
      </c>
    </row>
    <row r="30" spans="1:5" x14ac:dyDescent="0.25">
      <c r="A30" s="5" t="s">
        <v>34</v>
      </c>
      <c r="B30" s="35">
        <f>B6</f>
        <v>105000</v>
      </c>
      <c r="C30" s="35">
        <v>0</v>
      </c>
      <c r="D30" s="35">
        <v>0</v>
      </c>
      <c r="E30" s="182"/>
    </row>
    <row r="31" spans="1:5" x14ac:dyDescent="0.25">
      <c r="A31" s="5" t="s">
        <v>35</v>
      </c>
      <c r="B31" s="35">
        <f>B7</f>
        <v>105000</v>
      </c>
      <c r="C31" s="35">
        <v>0</v>
      </c>
      <c r="D31" s="35">
        <f>D7</f>
        <v>21000</v>
      </c>
      <c r="E31" s="183"/>
    </row>
    <row r="32" spans="1:5" x14ac:dyDescent="0.25">
      <c r="A32" s="20" t="s">
        <v>38</v>
      </c>
      <c r="B32" s="170">
        <f>B8</f>
        <v>21000</v>
      </c>
      <c r="C32" s="170"/>
      <c r="D32" s="170"/>
      <c r="E32" s="184"/>
    </row>
    <row r="33" spans="1:5" x14ac:dyDescent="0.25">
      <c r="A33" s="39">
        <v>36892</v>
      </c>
      <c r="B33" s="35">
        <f>B9+B20</f>
        <v>118750</v>
      </c>
      <c r="C33" s="35">
        <v>0</v>
      </c>
      <c r="D33" s="35">
        <v>0</v>
      </c>
      <c r="E33" s="18"/>
    </row>
    <row r="34" spans="1:5" x14ac:dyDescent="0.25">
      <c r="A34" s="39">
        <v>37255</v>
      </c>
      <c r="B34" s="35">
        <f>B10+B21</f>
        <v>83750</v>
      </c>
      <c r="C34" s="35">
        <f>C10+C21</f>
        <v>35000</v>
      </c>
      <c r="D34" s="35">
        <f>D10+D21</f>
        <v>22375</v>
      </c>
      <c r="E34" s="58">
        <f>D34/B33</f>
        <v>0.18842105263157893</v>
      </c>
    </row>
    <row r="35" spans="1:5" x14ac:dyDescent="0.25">
      <c r="A35" s="39">
        <v>37620</v>
      </c>
      <c r="B35" s="35">
        <f>B11+B22</f>
        <v>48750</v>
      </c>
      <c r="C35" s="35">
        <f>C11+C22</f>
        <v>35000</v>
      </c>
      <c r="D35" s="35">
        <f>D11+D22</f>
        <v>15375</v>
      </c>
      <c r="E35" s="56">
        <f>D35/B34</f>
        <v>0.18358208955223881</v>
      </c>
    </row>
    <row r="36" spans="1:5" ht="15.75" thickBot="1" x14ac:dyDescent="0.3">
      <c r="A36" s="40">
        <v>37985</v>
      </c>
      <c r="B36" s="41">
        <f>B12+B23</f>
        <v>13750</v>
      </c>
      <c r="C36" s="41">
        <f t="shared" ref="C36" si="3">$B$7/3</f>
        <v>35000</v>
      </c>
      <c r="D36" s="41">
        <f>D12+D23</f>
        <v>8375</v>
      </c>
      <c r="E36" s="57">
        <f>D36/B35</f>
        <v>0.1717948717948718</v>
      </c>
    </row>
    <row r="37" spans="1:5" ht="15.75" thickBot="1" x14ac:dyDescent="0.3"/>
    <row r="38" spans="1:5" x14ac:dyDescent="0.25">
      <c r="A38" s="27"/>
      <c r="B38" s="61" t="s">
        <v>16</v>
      </c>
      <c r="C38" s="61" t="s">
        <v>40</v>
      </c>
      <c r="D38" s="62" t="s">
        <v>41</v>
      </c>
    </row>
    <row r="39" spans="1:5" ht="15.75" thickBot="1" x14ac:dyDescent="0.3">
      <c r="A39" s="21" t="s">
        <v>48</v>
      </c>
      <c r="B39" s="59">
        <f>B32/2+D34</f>
        <v>32875</v>
      </c>
      <c r="C39" s="59">
        <f>B32/2+D35</f>
        <v>25875</v>
      </c>
      <c r="D39" s="60">
        <f>D36</f>
        <v>8375</v>
      </c>
    </row>
  </sheetData>
  <mergeCells count="14">
    <mergeCell ref="A3:C3"/>
    <mergeCell ref="B8:D8"/>
    <mergeCell ref="A1:D1"/>
    <mergeCell ref="B2:D2"/>
    <mergeCell ref="A25:E25"/>
    <mergeCell ref="E30:E32"/>
    <mergeCell ref="A15:D15"/>
    <mergeCell ref="B16:D16"/>
    <mergeCell ref="C17:D17"/>
    <mergeCell ref="A27:C27"/>
    <mergeCell ref="B32:D32"/>
    <mergeCell ref="D27:E27"/>
    <mergeCell ref="B26:E26"/>
    <mergeCell ref="A28:E28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5"/>
  <sheetViews>
    <sheetView showGridLines="0" workbookViewId="0">
      <selection activeCell="A16" sqref="A16"/>
    </sheetView>
  </sheetViews>
  <sheetFormatPr baseColWidth="10" defaultRowHeight="15" x14ac:dyDescent="0.25"/>
  <cols>
    <col min="1" max="5" width="20.5703125" customWidth="1"/>
  </cols>
  <sheetData>
    <row r="1" spans="1:5" ht="14.1" customHeight="1" thickBot="1" x14ac:dyDescent="0.3">
      <c r="A1" s="179" t="s">
        <v>49</v>
      </c>
      <c r="B1" s="180"/>
      <c r="C1" s="180"/>
      <c r="D1" s="180"/>
      <c r="E1" s="181"/>
    </row>
    <row r="2" spans="1:5" ht="14.1" customHeight="1" thickBot="1" x14ac:dyDescent="0.3">
      <c r="A2" s="63"/>
      <c r="B2" s="74" t="s">
        <v>50</v>
      </c>
      <c r="C2" s="75" t="s">
        <v>51</v>
      </c>
      <c r="D2" s="74" t="s">
        <v>52</v>
      </c>
      <c r="E2" s="76" t="s">
        <v>56</v>
      </c>
    </row>
    <row r="3" spans="1:5" ht="14.1" customHeight="1" x14ac:dyDescent="0.25">
      <c r="A3" s="14" t="s">
        <v>57</v>
      </c>
      <c r="B3" s="65">
        <f>DE!B7</f>
        <v>350000</v>
      </c>
      <c r="C3" s="66">
        <v>0</v>
      </c>
      <c r="D3" s="65">
        <f>CREDITOS!D3</f>
        <v>105000</v>
      </c>
      <c r="E3" s="67">
        <f>+B3-D3</f>
        <v>245000</v>
      </c>
    </row>
    <row r="4" spans="1:5" ht="14.1" customHeight="1" thickBot="1" x14ac:dyDescent="0.3">
      <c r="A4" s="17" t="s">
        <v>53</v>
      </c>
      <c r="B4" s="68">
        <f>B3*0.21</f>
        <v>73500</v>
      </c>
      <c r="C4" s="69">
        <v>0</v>
      </c>
      <c r="D4" s="68">
        <v>0</v>
      </c>
      <c r="E4" s="70">
        <f>+B4</f>
        <v>73500</v>
      </c>
    </row>
    <row r="5" spans="1:5" ht="14.1" customHeight="1" thickBot="1" x14ac:dyDescent="0.3">
      <c r="A5" s="77"/>
      <c r="B5" s="78"/>
      <c r="C5" s="79"/>
      <c r="D5" s="78"/>
      <c r="E5" s="80"/>
    </row>
    <row r="6" spans="1:5" ht="14.1" customHeight="1" x14ac:dyDescent="0.25">
      <c r="A6" s="14" t="s">
        <v>58</v>
      </c>
      <c r="B6" s="65">
        <f>DE!B17</f>
        <v>35000</v>
      </c>
      <c r="C6" s="66"/>
      <c r="D6" s="65">
        <v>0</v>
      </c>
      <c r="E6" s="67"/>
    </row>
    <row r="7" spans="1:5" ht="14.1" customHeight="1" x14ac:dyDescent="0.25">
      <c r="A7" s="15" t="s">
        <v>59</v>
      </c>
      <c r="B7" s="71">
        <f>DE!B25</f>
        <v>27500</v>
      </c>
      <c r="C7" s="72">
        <f>CREDITOS!C17</f>
        <v>13750</v>
      </c>
      <c r="D7" s="71">
        <v>0</v>
      </c>
      <c r="E7" s="73">
        <f>+B7-C7</f>
        <v>13750</v>
      </c>
    </row>
    <row r="8" spans="1:5" ht="14.1" customHeight="1" thickBot="1" x14ac:dyDescent="0.3">
      <c r="A8" s="17" t="s">
        <v>53</v>
      </c>
      <c r="B8" s="68">
        <f>DE!C25</f>
        <v>3885</v>
      </c>
      <c r="C8" s="69">
        <v>0</v>
      </c>
      <c r="D8" s="68">
        <v>0</v>
      </c>
      <c r="E8" s="70">
        <f>+B8</f>
        <v>3885</v>
      </c>
    </row>
    <row r="9" spans="1:5" ht="14.1" customHeight="1" thickBot="1" x14ac:dyDescent="0.3">
      <c r="A9" s="77"/>
      <c r="B9" s="78"/>
      <c r="C9" s="79"/>
      <c r="D9" s="78"/>
      <c r="E9" s="80"/>
    </row>
    <row r="10" spans="1:5" ht="14.1" customHeight="1" x14ac:dyDescent="0.25">
      <c r="A10" s="14" t="s">
        <v>54</v>
      </c>
      <c r="B10" s="65">
        <f>+B3+B7</f>
        <v>377500</v>
      </c>
      <c r="C10" s="66">
        <f>+SUM(C3:C9)</f>
        <v>13750</v>
      </c>
      <c r="D10" s="65">
        <f>+SUM(D3:D9)</f>
        <v>105000</v>
      </c>
      <c r="E10" s="67">
        <f>+B10-C10-D10</f>
        <v>258750</v>
      </c>
    </row>
    <row r="11" spans="1:5" ht="14.1" customHeight="1" x14ac:dyDescent="0.25">
      <c r="A11" s="15" t="s">
        <v>53</v>
      </c>
      <c r="B11" s="71">
        <f>+B4+B8</f>
        <v>77385</v>
      </c>
      <c r="C11" s="72">
        <v>0</v>
      </c>
      <c r="D11" s="71">
        <v>0</v>
      </c>
      <c r="E11" s="73">
        <f>+B11</f>
        <v>77385</v>
      </c>
    </row>
    <row r="12" spans="1:5" ht="14.1" customHeight="1" thickBot="1" x14ac:dyDescent="0.3">
      <c r="A12" s="84" t="s">
        <v>55</v>
      </c>
      <c r="B12" s="85">
        <f>+B10+B11</f>
        <v>454885</v>
      </c>
      <c r="C12" s="86">
        <f>+C10</f>
        <v>13750</v>
      </c>
      <c r="D12" s="85">
        <f>+D10</f>
        <v>105000</v>
      </c>
      <c r="E12" s="87">
        <f>SUM(E10:E11)</f>
        <v>336135</v>
      </c>
    </row>
    <row r="15" spans="1:5" x14ac:dyDescent="0.25">
      <c r="A15" t="s">
        <v>67</v>
      </c>
    </row>
  </sheetData>
  <mergeCells count="1">
    <mergeCell ref="A1:E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"/>
  <sheetViews>
    <sheetView showGridLines="0" workbookViewId="0">
      <selection activeCell="D4" sqref="D4"/>
    </sheetView>
  </sheetViews>
  <sheetFormatPr baseColWidth="10" defaultRowHeight="15" x14ac:dyDescent="0.25"/>
  <cols>
    <col min="1" max="7" width="20.5703125" customWidth="1"/>
  </cols>
  <sheetData>
    <row r="1" spans="1:7" ht="15.75" thickBot="1" x14ac:dyDescent="0.3">
      <c r="A1" s="196" t="s">
        <v>66</v>
      </c>
      <c r="B1" s="197"/>
      <c r="C1" s="197"/>
      <c r="D1" s="197"/>
      <c r="E1" s="197"/>
      <c r="F1" s="197"/>
      <c r="G1" s="198"/>
    </row>
    <row r="2" spans="1:7" ht="15.75" thickBot="1" x14ac:dyDescent="0.3">
      <c r="A2" s="91" t="s">
        <v>4</v>
      </c>
      <c r="B2" s="92" t="s">
        <v>60</v>
      </c>
      <c r="C2" s="93" t="s">
        <v>61</v>
      </c>
      <c r="D2" s="92" t="s">
        <v>62</v>
      </c>
      <c r="E2" s="93" t="s">
        <v>63</v>
      </c>
      <c r="F2" s="92" t="s">
        <v>64</v>
      </c>
      <c r="G2" s="94" t="s">
        <v>65</v>
      </c>
    </row>
    <row r="3" spans="1:7" x14ac:dyDescent="0.25">
      <c r="A3" s="89">
        <v>1</v>
      </c>
      <c r="B3" s="71">
        <f>DE!B28*DE!D28</f>
        <v>300000</v>
      </c>
      <c r="C3" s="72">
        <f>DE!B32+DE!B33+CREDITOS!B39</f>
        <v>152875</v>
      </c>
      <c r="D3" s="65">
        <f>B3-C3</f>
        <v>147125</v>
      </c>
      <c r="E3" s="66">
        <f>D3*DE!$B$36</f>
        <v>14712.5</v>
      </c>
      <c r="F3" s="65">
        <f>(D3-E3)*DE!$B$37</f>
        <v>46344.375</v>
      </c>
      <c r="G3" s="67">
        <f>D3-E3-F3</f>
        <v>86068.125</v>
      </c>
    </row>
    <row r="4" spans="1:7" x14ac:dyDescent="0.25">
      <c r="A4" s="89">
        <v>2</v>
      </c>
      <c r="B4" s="71">
        <f>DE!B29*DE!D29</f>
        <v>500000</v>
      </c>
      <c r="C4" s="72">
        <f>DE!C32+DE!C33+CREDITOS!C39</f>
        <v>185875</v>
      </c>
      <c r="D4" s="71">
        <f t="shared" ref="D4:D5" si="0">B4-C4</f>
        <v>314125</v>
      </c>
      <c r="E4" s="72">
        <f>D4*DE!$B$36</f>
        <v>31412.5</v>
      </c>
      <c r="F4" s="71">
        <f>(D4-E4)*DE!$B$37</f>
        <v>98949.375</v>
      </c>
      <c r="G4" s="73">
        <f t="shared" ref="G4:G5" si="1">D4-E4-F4</f>
        <v>183763.125</v>
      </c>
    </row>
    <row r="5" spans="1:7" ht="15.75" thickBot="1" x14ac:dyDescent="0.3">
      <c r="A5" s="90">
        <v>3</v>
      </c>
      <c r="B5" s="68">
        <f>B4</f>
        <v>500000</v>
      </c>
      <c r="C5" s="69">
        <f>DE!C32+DE!C33+CREDITOS!D39</f>
        <v>168375</v>
      </c>
      <c r="D5" s="68">
        <f t="shared" si="0"/>
        <v>331625</v>
      </c>
      <c r="E5" s="69">
        <f>D5*DE!$B$36</f>
        <v>33162.5</v>
      </c>
      <c r="F5" s="68">
        <f>(D5-E5)*DE!$B$37</f>
        <v>104461.875</v>
      </c>
      <c r="G5" s="70">
        <f t="shared" si="1"/>
        <v>194000.625</v>
      </c>
    </row>
    <row r="7" spans="1:7" x14ac:dyDescent="0.25">
      <c r="A7" s="29" t="s">
        <v>68</v>
      </c>
      <c r="B7" s="95">
        <f>SUM(G3:G5)</f>
        <v>463831.875</v>
      </c>
    </row>
  </sheetData>
  <mergeCells count="1">
    <mergeCell ref="A1:G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4"/>
  <sheetViews>
    <sheetView showGridLines="0" zoomScale="126" workbookViewId="0">
      <selection activeCell="B17" sqref="B17"/>
    </sheetView>
  </sheetViews>
  <sheetFormatPr baseColWidth="10" defaultRowHeight="15" x14ac:dyDescent="0.25"/>
  <cols>
    <col min="1" max="1" width="24.5703125" customWidth="1"/>
    <col min="2" max="4" width="20.5703125" customWidth="1"/>
    <col min="5" max="5" width="11.5703125" bestFit="1" customWidth="1"/>
    <col min="7" max="7" width="12.5703125" bestFit="1" customWidth="1"/>
  </cols>
  <sheetData>
    <row r="1" spans="1:7" ht="14.1" customHeight="1" thickBot="1" x14ac:dyDescent="0.3">
      <c r="A1" s="179" t="s">
        <v>71</v>
      </c>
      <c r="B1" s="180"/>
      <c r="C1" s="180"/>
      <c r="D1" s="181"/>
    </row>
    <row r="2" spans="1:7" ht="14.1" customHeight="1" thickBot="1" x14ac:dyDescent="0.3">
      <c r="A2" s="64"/>
      <c r="B2" s="100" t="s">
        <v>69</v>
      </c>
      <c r="C2" s="74" t="s">
        <v>16</v>
      </c>
      <c r="D2" s="101" t="s">
        <v>45</v>
      </c>
    </row>
    <row r="3" spans="1:7" ht="14.1" customHeight="1" x14ac:dyDescent="0.25">
      <c r="A3" s="127" t="s">
        <v>73</v>
      </c>
      <c r="B3" s="128">
        <f>DE!B3+DE!B4+DE!B5+CREDITOS!B32</f>
        <v>361000</v>
      </c>
      <c r="C3" s="129">
        <f>DE!B6</f>
        <v>10000</v>
      </c>
      <c r="D3" s="104">
        <f>+C3+B3</f>
        <v>371000</v>
      </c>
    </row>
    <row r="4" spans="1:7" ht="14.1" customHeight="1" x14ac:dyDescent="0.25">
      <c r="A4" s="97" t="s">
        <v>72</v>
      </c>
      <c r="B4" s="43">
        <f>DE!C7-DE!C6+0.21*CREDITOS!B32</f>
        <v>75810</v>
      </c>
      <c r="C4" s="105">
        <f>DE!C6</f>
        <v>2100</v>
      </c>
      <c r="D4" s="106">
        <f t="shared" ref="D4:D5" si="0">+C4+B4</f>
        <v>77910</v>
      </c>
      <c r="E4" s="32"/>
    </row>
    <row r="5" spans="1:7" ht="14.1" customHeight="1" thickBot="1" x14ac:dyDescent="0.3">
      <c r="A5" s="99" t="s">
        <v>74</v>
      </c>
      <c r="B5" s="107">
        <f>+B4+B3</f>
        <v>436810</v>
      </c>
      <c r="C5" s="108">
        <f>+C3+C4</f>
        <v>12100</v>
      </c>
      <c r="D5" s="109">
        <f t="shared" si="0"/>
        <v>448910</v>
      </c>
    </row>
    <row r="6" spans="1:7" ht="14.1" customHeight="1" thickBot="1" x14ac:dyDescent="0.3">
      <c r="A6" s="102"/>
      <c r="B6" s="110"/>
      <c r="C6" s="111"/>
      <c r="D6" s="112"/>
      <c r="G6" s="32"/>
    </row>
    <row r="7" spans="1:7" ht="14.1" customHeight="1" x14ac:dyDescent="0.25">
      <c r="A7" s="127" t="s">
        <v>75</v>
      </c>
      <c r="B7" s="128">
        <f>DE!B13+DE!B14</f>
        <v>10000</v>
      </c>
      <c r="C7" s="130">
        <f>DE!B15+DE!B16</f>
        <v>25000</v>
      </c>
      <c r="D7" s="113">
        <f>+C7+B7</f>
        <v>35000</v>
      </c>
      <c r="G7" s="32"/>
    </row>
    <row r="8" spans="1:7" ht="14.1" customHeight="1" x14ac:dyDescent="0.25">
      <c r="A8" s="122" t="s">
        <v>76</v>
      </c>
      <c r="B8" s="131">
        <f>DE!B21+DE!B22</f>
        <v>10000</v>
      </c>
      <c r="C8" s="132">
        <f>DE!B23+DE!B24</f>
        <v>17500</v>
      </c>
      <c r="D8" s="114">
        <f>+C8+B8</f>
        <v>27500</v>
      </c>
    </row>
    <row r="9" spans="1:7" ht="14.1" customHeight="1" x14ac:dyDescent="0.25">
      <c r="A9" s="97" t="s">
        <v>53</v>
      </c>
      <c r="B9" s="43">
        <f>DE!C21+DE!C22</f>
        <v>1680</v>
      </c>
      <c r="C9" s="106">
        <f>DE!C23+DE!C24</f>
        <v>2205</v>
      </c>
      <c r="D9" s="114">
        <f>+C9+B9</f>
        <v>3885</v>
      </c>
    </row>
    <row r="10" spans="1:7" ht="14.1" customHeight="1" thickBot="1" x14ac:dyDescent="0.3">
      <c r="A10" s="99" t="s">
        <v>77</v>
      </c>
      <c r="B10" s="107">
        <f>B8+B9</f>
        <v>11680</v>
      </c>
      <c r="C10" s="109">
        <f>+C8+C9</f>
        <v>19705</v>
      </c>
      <c r="D10" s="115">
        <f>+D9+D8</f>
        <v>31385</v>
      </c>
    </row>
    <row r="11" spans="1:7" ht="14.1" customHeight="1" thickBot="1" x14ac:dyDescent="0.3">
      <c r="A11" s="102"/>
      <c r="B11" s="110"/>
      <c r="C11" s="111"/>
      <c r="D11" s="112"/>
    </row>
    <row r="12" spans="1:7" ht="14.1" customHeight="1" x14ac:dyDescent="0.25">
      <c r="A12" s="127" t="s">
        <v>70</v>
      </c>
      <c r="B12" s="103">
        <f>+B8+B3</f>
        <v>371000</v>
      </c>
      <c r="C12" s="104">
        <f>+C8+C3</f>
        <v>27500</v>
      </c>
      <c r="D12" s="104">
        <f>+D8+D3</f>
        <v>398500</v>
      </c>
    </row>
    <row r="13" spans="1:7" ht="14.1" customHeight="1" x14ac:dyDescent="0.25">
      <c r="A13" s="97" t="s">
        <v>53</v>
      </c>
      <c r="B13" s="43">
        <f>+B9+B4</f>
        <v>77490</v>
      </c>
      <c r="C13" s="106">
        <f>+C9+C4</f>
        <v>4305</v>
      </c>
      <c r="D13" s="106">
        <f t="shared" ref="D13" si="1">+D9+D4</f>
        <v>81795</v>
      </c>
    </row>
    <row r="14" spans="1:7" ht="14.1" customHeight="1" thickBot="1" x14ac:dyDescent="0.3">
      <c r="A14" s="99" t="s">
        <v>55</v>
      </c>
      <c r="B14" s="107">
        <f>+B13+B12</f>
        <v>448490</v>
      </c>
      <c r="C14" s="109">
        <f t="shared" ref="C14:D14" si="2">+C13+C12</f>
        <v>31805</v>
      </c>
      <c r="D14" s="109">
        <f t="shared" si="2"/>
        <v>480295</v>
      </c>
    </row>
  </sheetData>
  <mergeCells count="1">
    <mergeCell ref="A1:D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7"/>
  <sheetViews>
    <sheetView showGridLines="0" workbookViewId="0">
      <selection activeCell="C14" sqref="C14"/>
    </sheetView>
  </sheetViews>
  <sheetFormatPr baseColWidth="10" defaultRowHeight="15" x14ac:dyDescent="0.25"/>
  <cols>
    <col min="1" max="1" width="25.7109375" customWidth="1"/>
    <col min="2" max="9" width="15.5703125" customWidth="1"/>
  </cols>
  <sheetData>
    <row r="1" spans="1:9" ht="15.75" thickBot="1" x14ac:dyDescent="0.3">
      <c r="A1" s="179" t="s">
        <v>81</v>
      </c>
      <c r="B1" s="180"/>
      <c r="C1" s="180"/>
      <c r="D1" s="180"/>
      <c r="E1" s="180"/>
      <c r="F1" s="180"/>
      <c r="G1" s="180"/>
      <c r="H1" s="180"/>
      <c r="I1" s="181"/>
    </row>
    <row r="2" spans="1:9" ht="15.75" thickBot="1" x14ac:dyDescent="0.3">
      <c r="A2" s="14"/>
      <c r="B2" s="179" t="s">
        <v>69</v>
      </c>
      <c r="C2" s="181"/>
      <c r="D2" s="179" t="s">
        <v>16</v>
      </c>
      <c r="E2" s="181"/>
      <c r="F2" s="179" t="s">
        <v>45</v>
      </c>
      <c r="G2" s="180"/>
      <c r="H2" s="180"/>
      <c r="I2" s="181"/>
    </row>
    <row r="3" spans="1:9" ht="15.75" thickBot="1" x14ac:dyDescent="0.3">
      <c r="A3" s="17"/>
      <c r="B3" s="120" t="s">
        <v>78</v>
      </c>
      <c r="C3" s="121" t="s">
        <v>82</v>
      </c>
      <c r="D3" s="120" t="s">
        <v>78</v>
      </c>
      <c r="E3" s="121" t="s">
        <v>82</v>
      </c>
      <c r="F3" s="120" t="s">
        <v>78</v>
      </c>
      <c r="G3" s="121" t="s">
        <v>82</v>
      </c>
      <c r="H3" s="120" t="s">
        <v>50</v>
      </c>
      <c r="I3" s="121" t="s">
        <v>79</v>
      </c>
    </row>
    <row r="4" spans="1:9" x14ac:dyDescent="0.25">
      <c r="A4" s="122" t="s">
        <v>85</v>
      </c>
      <c r="B4" s="133">
        <f>'Calendario Inv'!B5</f>
        <v>436810</v>
      </c>
      <c r="C4" s="134">
        <f>'Calendario Inv'!B10</f>
        <v>11680</v>
      </c>
      <c r="D4" s="133">
        <f>'Calendario Inv'!C5</f>
        <v>12100</v>
      </c>
      <c r="E4" s="135">
        <f>'Calendario Inv'!C10</f>
        <v>19705</v>
      </c>
      <c r="F4" s="116">
        <f>+B4+D4</f>
        <v>448910</v>
      </c>
      <c r="G4" s="124">
        <f>+C4+E4</f>
        <v>31385</v>
      </c>
      <c r="H4" s="124">
        <f>+G4+F4</f>
        <v>480295</v>
      </c>
      <c r="I4" s="117">
        <f>+I5+I6+I7</f>
        <v>1</v>
      </c>
    </row>
    <row r="5" spans="1:9" x14ac:dyDescent="0.25">
      <c r="A5" s="122" t="s">
        <v>83</v>
      </c>
      <c r="B5" s="71">
        <f>'1era estructura Financiera'!D3</f>
        <v>105000</v>
      </c>
      <c r="C5" s="73">
        <v>0</v>
      </c>
      <c r="D5" s="71">
        <v>0</v>
      </c>
      <c r="E5" s="72">
        <v>0</v>
      </c>
      <c r="F5" s="116">
        <f t="shared" ref="F5:G7" si="0">+B5+D5</f>
        <v>105000</v>
      </c>
      <c r="G5" s="125">
        <f t="shared" si="0"/>
        <v>0</v>
      </c>
      <c r="H5" s="125">
        <f>+G5+F5</f>
        <v>105000</v>
      </c>
      <c r="I5" s="117">
        <f>+H5/H4</f>
        <v>0.21861564246973214</v>
      </c>
    </row>
    <row r="6" spans="1:9" x14ac:dyDescent="0.25">
      <c r="A6" s="122" t="s">
        <v>84</v>
      </c>
      <c r="B6" s="71">
        <v>0</v>
      </c>
      <c r="C6" s="73">
        <v>0</v>
      </c>
      <c r="D6" s="71"/>
      <c r="E6" s="72">
        <f>'1era estructura Financiera'!C7</f>
        <v>13750</v>
      </c>
      <c r="F6" s="116">
        <f t="shared" si="0"/>
        <v>0</v>
      </c>
      <c r="G6" s="125">
        <f t="shared" si="0"/>
        <v>13750</v>
      </c>
      <c r="H6" s="125">
        <f>+G6+F6</f>
        <v>13750</v>
      </c>
      <c r="I6" s="117">
        <f>+H6/H4</f>
        <v>2.8628238894845875E-2</v>
      </c>
    </row>
    <row r="7" spans="1:9" ht="15.75" thickBot="1" x14ac:dyDescent="0.3">
      <c r="A7" s="123" t="s">
        <v>80</v>
      </c>
      <c r="B7" s="68">
        <f>+B4-B5</f>
        <v>331810</v>
      </c>
      <c r="C7" s="70">
        <f>+C4</f>
        <v>11680</v>
      </c>
      <c r="D7" s="68">
        <f>+D4</f>
        <v>12100</v>
      </c>
      <c r="E7" s="69">
        <f>+E4-E6</f>
        <v>5955</v>
      </c>
      <c r="F7" s="118">
        <f>+B7+D7</f>
        <v>343910</v>
      </c>
      <c r="G7" s="126">
        <f t="shared" si="0"/>
        <v>17635</v>
      </c>
      <c r="H7" s="126">
        <f>+G7+F7</f>
        <v>361545</v>
      </c>
      <c r="I7" s="119">
        <f>+H7/H4</f>
        <v>0.75275611863542202</v>
      </c>
    </row>
  </sheetData>
  <mergeCells count="4">
    <mergeCell ref="A1:I1"/>
    <mergeCell ref="B2:C2"/>
    <mergeCell ref="D2:E2"/>
    <mergeCell ref="F2:I2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3"/>
  <sheetViews>
    <sheetView showGridLines="0" workbookViewId="0">
      <selection activeCell="B5" sqref="B5"/>
    </sheetView>
  </sheetViews>
  <sheetFormatPr baseColWidth="10" defaultRowHeight="15" x14ac:dyDescent="0.25"/>
  <cols>
    <col min="1" max="1" width="34" customWidth="1"/>
    <col min="2" max="4" width="15.5703125" customWidth="1"/>
    <col min="5" max="5" width="21.140625" customWidth="1"/>
    <col min="6" max="6" width="12" bestFit="1" customWidth="1"/>
  </cols>
  <sheetData>
    <row r="1" spans="1:6" ht="15.75" thickBot="1" x14ac:dyDescent="0.3">
      <c r="A1" s="179" t="s">
        <v>90</v>
      </c>
      <c r="B1" s="180"/>
      <c r="C1" s="180"/>
      <c r="D1" s="181"/>
    </row>
    <row r="2" spans="1:6" ht="15.75" thickBot="1" x14ac:dyDescent="0.3">
      <c r="A2" s="63" t="s">
        <v>86</v>
      </c>
      <c r="B2" s="74" t="s">
        <v>16</v>
      </c>
      <c r="C2" s="74" t="s">
        <v>40</v>
      </c>
      <c r="D2" s="76" t="s">
        <v>41</v>
      </c>
    </row>
    <row r="3" spans="1:6" x14ac:dyDescent="0.25">
      <c r="A3" s="15" t="s">
        <v>87</v>
      </c>
      <c r="B3" s="98">
        <f>DE!F28</f>
        <v>63000</v>
      </c>
      <c r="C3" s="71">
        <f>DE!F29</f>
        <v>105000</v>
      </c>
      <c r="D3" s="65">
        <f>DE!F29</f>
        <v>105000</v>
      </c>
    </row>
    <row r="4" spans="1:6" x14ac:dyDescent="0.25">
      <c r="A4" s="15" t="s">
        <v>88</v>
      </c>
      <c r="B4" s="98">
        <f>DE!B34</f>
        <v>18000</v>
      </c>
      <c r="C4" s="71">
        <f>DE!C34</f>
        <v>24000</v>
      </c>
      <c r="D4" s="71">
        <f>DE!C34</f>
        <v>24000</v>
      </c>
    </row>
    <row r="5" spans="1:6" x14ac:dyDescent="0.25">
      <c r="A5" s="15" t="s">
        <v>89</v>
      </c>
      <c r="B5" s="98">
        <f>CREDITOS!D34*0.21</f>
        <v>4698.75</v>
      </c>
      <c r="C5" s="98">
        <f>CREDITOS!D35*0.21</f>
        <v>3228.75</v>
      </c>
      <c r="D5" s="71">
        <f>CREDITOS!D36*0.21</f>
        <v>1758.75</v>
      </c>
    </row>
    <row r="6" spans="1:6" ht="15.75" thickBot="1" x14ac:dyDescent="0.3">
      <c r="A6" s="17" t="s">
        <v>90</v>
      </c>
      <c r="B6" s="88">
        <f>+B3-B4-B5</f>
        <v>40301.25</v>
      </c>
      <c r="C6" s="88">
        <f t="shared" ref="C6:D6" si="0">+C3-C4-C5</f>
        <v>77771.25</v>
      </c>
      <c r="D6" s="68">
        <f t="shared" si="0"/>
        <v>79241.25</v>
      </c>
    </row>
    <row r="7" spans="1:6" ht="15.75" thickBot="1" x14ac:dyDescent="0.3"/>
    <row r="8" spans="1:6" ht="15.75" thickBot="1" x14ac:dyDescent="0.3">
      <c r="A8" s="179" t="s">
        <v>92</v>
      </c>
      <c r="B8" s="180"/>
      <c r="C8" s="180"/>
      <c r="D8" s="181"/>
    </row>
    <row r="9" spans="1:6" ht="15.75" thickBot="1" x14ac:dyDescent="0.3">
      <c r="A9" s="63"/>
      <c r="B9" s="74" t="s">
        <v>93</v>
      </c>
      <c r="C9" s="74" t="s">
        <v>90</v>
      </c>
      <c r="D9" s="76" t="s">
        <v>91</v>
      </c>
    </row>
    <row r="10" spans="1:6" x14ac:dyDescent="0.25">
      <c r="A10" s="15" t="s">
        <v>69</v>
      </c>
      <c r="B10" s="71">
        <f>'Calendario Inv'!B13</f>
        <v>77490</v>
      </c>
      <c r="C10" s="71">
        <v>0</v>
      </c>
      <c r="D10" s="73">
        <v>0</v>
      </c>
    </row>
    <row r="11" spans="1:6" x14ac:dyDescent="0.25">
      <c r="A11" s="15" t="s">
        <v>16</v>
      </c>
      <c r="B11" s="71">
        <f>'Calendario Inv'!D13</f>
        <v>81795</v>
      </c>
      <c r="C11" s="71">
        <f>B6</f>
        <v>40301.25</v>
      </c>
      <c r="D11" s="73">
        <f>C11</f>
        <v>40301.25</v>
      </c>
    </row>
    <row r="12" spans="1:6" x14ac:dyDescent="0.25">
      <c r="A12" s="15" t="s">
        <v>40</v>
      </c>
      <c r="B12" s="71">
        <f>B11-D11</f>
        <v>41493.75</v>
      </c>
      <c r="C12" s="71">
        <f>+C6</f>
        <v>77771.25</v>
      </c>
      <c r="D12" s="73">
        <f>B12</f>
        <v>41493.75</v>
      </c>
      <c r="E12" t="s">
        <v>94</v>
      </c>
      <c r="F12" s="32">
        <f>C12-D12</f>
        <v>36277.5</v>
      </c>
    </row>
    <row r="13" spans="1:6" ht="15.75" thickBot="1" x14ac:dyDescent="0.3">
      <c r="A13" s="17" t="s">
        <v>41</v>
      </c>
      <c r="B13" s="68">
        <v>0</v>
      </c>
      <c r="C13" s="68">
        <f>+D6</f>
        <v>79241.25</v>
      </c>
      <c r="D13" s="70">
        <v>0</v>
      </c>
      <c r="E13" t="s">
        <v>94</v>
      </c>
      <c r="F13" s="32">
        <f>C13</f>
        <v>79241.25</v>
      </c>
    </row>
  </sheetData>
  <mergeCells count="2">
    <mergeCell ref="A1:D1"/>
    <mergeCell ref="A8:D8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7"/>
  <sheetViews>
    <sheetView showGridLines="0" workbookViewId="0">
      <selection activeCell="H25" sqref="H25"/>
    </sheetView>
  </sheetViews>
  <sheetFormatPr baseColWidth="10" defaultRowHeight="15" x14ac:dyDescent="0.25"/>
  <cols>
    <col min="1" max="1" width="26.5703125" customWidth="1"/>
    <col min="2" max="6" width="20.5703125" customWidth="1"/>
    <col min="7" max="8" width="14.140625" bestFit="1" customWidth="1"/>
  </cols>
  <sheetData>
    <row r="1" spans="1:8" ht="15.75" thickBot="1" x14ac:dyDescent="0.3">
      <c r="A1" s="139"/>
      <c r="B1" s="140" t="s">
        <v>69</v>
      </c>
      <c r="C1" s="144" t="s">
        <v>16</v>
      </c>
      <c r="D1" s="140" t="s">
        <v>40</v>
      </c>
      <c r="E1" s="140" t="s">
        <v>41</v>
      </c>
      <c r="F1" s="140" t="s">
        <v>95</v>
      </c>
    </row>
    <row r="2" spans="1:8" x14ac:dyDescent="0.25">
      <c r="A2" s="146" t="s">
        <v>100</v>
      </c>
      <c r="B2" s="147">
        <f>SUM(B3:B9)</f>
        <v>448490</v>
      </c>
      <c r="C2" s="148">
        <f t="shared" ref="C2:E2" si="0">SUM(C3:C9)</f>
        <v>372106.25</v>
      </c>
      <c r="D2" s="147">
        <f t="shared" si="0"/>
        <v>735863.125</v>
      </c>
      <c r="E2" s="147">
        <f t="shared" si="0"/>
        <v>995126.25</v>
      </c>
      <c r="F2" s="147">
        <f>SUM(F3:F9)</f>
        <v>1862090</v>
      </c>
    </row>
    <row r="3" spans="1:8" x14ac:dyDescent="0.25">
      <c r="A3" s="149" t="s">
        <v>101</v>
      </c>
      <c r="B3" s="147">
        <v>0</v>
      </c>
      <c r="C3" s="148">
        <f>B25</f>
        <v>0</v>
      </c>
      <c r="D3" s="147">
        <f>C25</f>
        <v>194369.375</v>
      </c>
      <c r="E3" s="147">
        <f>D25</f>
        <v>495126.25</v>
      </c>
      <c r="F3" s="147">
        <v>0</v>
      </c>
    </row>
    <row r="4" spans="1:8" x14ac:dyDescent="0.25">
      <c r="A4" s="149" t="s">
        <v>102</v>
      </c>
      <c r="B4" s="147">
        <f>'2da Est. '!B7+'2da Est. '!C7</f>
        <v>343490</v>
      </c>
      <c r="C4" s="148">
        <f>'2da Est. '!D7+'2da Est. '!E7</f>
        <v>18055</v>
      </c>
      <c r="D4" s="147">
        <v>0</v>
      </c>
      <c r="E4" s="147">
        <v>0</v>
      </c>
      <c r="F4" s="147">
        <f t="shared" ref="F4:F23" si="1">SUM(B4:E4)</f>
        <v>361545</v>
      </c>
    </row>
    <row r="5" spans="1:8" x14ac:dyDescent="0.25">
      <c r="A5" s="149" t="s">
        <v>103</v>
      </c>
      <c r="B5" s="147">
        <v>0</v>
      </c>
      <c r="C5" s="148">
        <f>CREDITOS!C17</f>
        <v>13750</v>
      </c>
      <c r="D5" s="147">
        <v>0</v>
      </c>
      <c r="E5" s="147">
        <v>0</v>
      </c>
      <c r="F5" s="147">
        <f t="shared" si="1"/>
        <v>13750</v>
      </c>
    </row>
    <row r="6" spans="1:8" x14ac:dyDescent="0.25">
      <c r="A6" s="149" t="s">
        <v>104</v>
      </c>
      <c r="B6" s="147">
        <f>CREDITOS!D3</f>
        <v>105000</v>
      </c>
      <c r="C6" s="148">
        <v>0</v>
      </c>
      <c r="D6" s="147">
        <v>0</v>
      </c>
      <c r="E6" s="147">
        <v>0</v>
      </c>
      <c r="F6" s="147">
        <f t="shared" si="1"/>
        <v>105000</v>
      </c>
    </row>
    <row r="7" spans="1:8" x14ac:dyDescent="0.25">
      <c r="A7" s="149" t="s">
        <v>105</v>
      </c>
      <c r="B7" s="147">
        <v>0</v>
      </c>
      <c r="C7" s="148">
        <f>CRes!B3</f>
        <v>300000</v>
      </c>
      <c r="D7" s="147">
        <f>CRes!B4</f>
        <v>500000</v>
      </c>
      <c r="E7" s="147">
        <f>CRes!B5</f>
        <v>500000</v>
      </c>
      <c r="F7" s="147">
        <f t="shared" si="1"/>
        <v>1300000</v>
      </c>
    </row>
    <row r="8" spans="1:8" x14ac:dyDescent="0.25">
      <c r="A8" s="149" t="s">
        <v>106</v>
      </c>
      <c r="B8" s="147">
        <v>0</v>
      </c>
      <c r="C8" s="148">
        <f>'RECUPERO IVA'!D11</f>
        <v>40301.25</v>
      </c>
      <c r="D8" s="147">
        <f>'RECUPERO IVA'!D12</f>
        <v>41493.75</v>
      </c>
      <c r="E8" s="147">
        <v>0</v>
      </c>
      <c r="F8" s="147">
        <f t="shared" si="1"/>
        <v>81795</v>
      </c>
    </row>
    <row r="9" spans="1:8" ht="15.75" thickBot="1" x14ac:dyDescent="0.3">
      <c r="A9" s="149" t="s">
        <v>108</v>
      </c>
      <c r="B9" s="145">
        <v>0</v>
      </c>
      <c r="C9" s="148">
        <v>0</v>
      </c>
      <c r="D9" s="145">
        <v>0</v>
      </c>
      <c r="E9" s="145">
        <v>0</v>
      </c>
      <c r="F9" s="145">
        <v>0</v>
      </c>
    </row>
    <row r="10" spans="1:8" ht="15.75" thickBot="1" x14ac:dyDescent="0.3">
      <c r="A10" s="136"/>
      <c r="B10" s="137"/>
      <c r="C10" s="138"/>
      <c r="D10" s="137"/>
      <c r="E10" s="138"/>
      <c r="F10" s="138"/>
    </row>
    <row r="11" spans="1:8" x14ac:dyDescent="0.25">
      <c r="A11" s="150" t="s">
        <v>107</v>
      </c>
      <c r="B11" s="142">
        <f>SUM(B12:B19)</f>
        <v>448490</v>
      </c>
      <c r="C11" s="142">
        <f>SUM(C12:C19)</f>
        <v>288236.875</v>
      </c>
      <c r="D11" s="142">
        <f>SUM(D12:D19)</f>
        <v>351236.875</v>
      </c>
      <c r="E11" s="142">
        <f>SUM(E12:E19)</f>
        <v>340999.375</v>
      </c>
      <c r="F11" s="142">
        <f t="shared" si="1"/>
        <v>1428963.125</v>
      </c>
      <c r="G11" s="32"/>
      <c r="H11" s="32"/>
    </row>
    <row r="12" spans="1:8" x14ac:dyDescent="0.25">
      <c r="A12" s="151" t="s">
        <v>96</v>
      </c>
      <c r="B12" s="147">
        <f>'Calendario Inv'!B3</f>
        <v>361000</v>
      </c>
      <c r="C12" s="147">
        <f>'Calendario Inv'!C3</f>
        <v>10000</v>
      </c>
      <c r="D12" s="147">
        <v>0</v>
      </c>
      <c r="E12" s="147">
        <v>0</v>
      </c>
      <c r="F12" s="147">
        <f t="shared" si="1"/>
        <v>371000</v>
      </c>
    </row>
    <row r="13" spans="1:8" x14ac:dyDescent="0.25">
      <c r="A13" s="149" t="s">
        <v>97</v>
      </c>
      <c r="B13" s="147">
        <f>'Calendario Inv'!B7</f>
        <v>10000</v>
      </c>
      <c r="C13" s="147">
        <f>'Calendario Inv'!C7</f>
        <v>25000</v>
      </c>
      <c r="D13" s="147">
        <v>0</v>
      </c>
      <c r="E13" s="147">
        <v>0</v>
      </c>
      <c r="F13" s="147">
        <f t="shared" si="1"/>
        <v>35000</v>
      </c>
    </row>
    <row r="14" spans="1:8" x14ac:dyDescent="0.25">
      <c r="A14" s="149" t="s">
        <v>109</v>
      </c>
      <c r="B14" s="147">
        <v>0</v>
      </c>
      <c r="C14" s="147">
        <f>CRes!C3</f>
        <v>152875</v>
      </c>
      <c r="D14" s="147">
        <f>CRes!C4</f>
        <v>185875</v>
      </c>
      <c r="E14" s="147">
        <f>CRes!C5</f>
        <v>168375</v>
      </c>
      <c r="F14" s="147">
        <f t="shared" si="1"/>
        <v>507125</v>
      </c>
    </row>
    <row r="15" spans="1:8" x14ac:dyDescent="0.25">
      <c r="A15" s="149" t="s">
        <v>64</v>
      </c>
      <c r="B15" s="147">
        <v>0</v>
      </c>
      <c r="C15" s="147">
        <f>CRes!F3</f>
        <v>46344.375</v>
      </c>
      <c r="D15" s="147">
        <f>CRes!F4</f>
        <v>98949.375</v>
      </c>
      <c r="E15" s="147">
        <f>CRes!F5</f>
        <v>104461.875</v>
      </c>
      <c r="F15" s="147">
        <f t="shared" si="1"/>
        <v>249755.625</v>
      </c>
    </row>
    <row r="16" spans="1:8" x14ac:dyDescent="0.25">
      <c r="A16" s="149" t="s">
        <v>110</v>
      </c>
      <c r="B16" s="147">
        <v>0</v>
      </c>
      <c r="C16" s="147">
        <f>CREDITOS!C10</f>
        <v>35000</v>
      </c>
      <c r="D16" s="147">
        <f>C16</f>
        <v>35000</v>
      </c>
      <c r="E16" s="147">
        <f>C16</f>
        <v>35000</v>
      </c>
      <c r="F16" s="147">
        <f t="shared" si="1"/>
        <v>105000</v>
      </c>
    </row>
    <row r="17" spans="1:7" x14ac:dyDescent="0.25">
      <c r="A17" s="149" t="s">
        <v>63</v>
      </c>
      <c r="B17" s="147">
        <v>0</v>
      </c>
      <c r="C17" s="147">
        <f>CRes!E3</f>
        <v>14712.5</v>
      </c>
      <c r="D17" s="147">
        <f>CRes!E4</f>
        <v>31412.5</v>
      </c>
      <c r="E17" s="147">
        <f>CRes!E5</f>
        <v>33162.5</v>
      </c>
      <c r="F17" s="147">
        <f t="shared" si="1"/>
        <v>79287.5</v>
      </c>
    </row>
    <row r="18" spans="1:7" x14ac:dyDescent="0.25">
      <c r="A18" s="149" t="s">
        <v>98</v>
      </c>
      <c r="B18" s="147">
        <v>0</v>
      </c>
      <c r="C18" s="147">
        <v>0</v>
      </c>
      <c r="D18" s="147">
        <v>0</v>
      </c>
      <c r="E18" s="147">
        <v>0</v>
      </c>
      <c r="F18" s="147">
        <f t="shared" si="1"/>
        <v>0</v>
      </c>
    </row>
    <row r="19" spans="1:7" x14ac:dyDescent="0.25">
      <c r="A19" s="149" t="s">
        <v>53</v>
      </c>
      <c r="B19" s="147">
        <f>'Calendario Inv'!B13</f>
        <v>77490</v>
      </c>
      <c r="C19" s="147">
        <f>'Calendario Inv'!C13</f>
        <v>4305</v>
      </c>
      <c r="D19" s="147">
        <v>0</v>
      </c>
      <c r="E19" s="147">
        <v>0</v>
      </c>
      <c r="F19" s="147">
        <f t="shared" si="1"/>
        <v>81795</v>
      </c>
    </row>
    <row r="20" spans="1:7" ht="15.75" thickBot="1" x14ac:dyDescent="0.3">
      <c r="A20" s="152" t="s">
        <v>111</v>
      </c>
      <c r="B20" s="145"/>
      <c r="C20" s="145"/>
      <c r="D20" s="145"/>
      <c r="E20" s="145"/>
      <c r="F20" s="145"/>
    </row>
    <row r="21" spans="1:7" ht="15.75" thickBot="1" x14ac:dyDescent="0.3">
      <c r="A21" s="102"/>
      <c r="B21" s="110"/>
      <c r="C21" s="111"/>
      <c r="D21" s="110"/>
      <c r="E21" s="111"/>
      <c r="F21" s="141"/>
    </row>
    <row r="22" spans="1:7" x14ac:dyDescent="0.25">
      <c r="A22" s="96" t="s">
        <v>99</v>
      </c>
      <c r="B22" s="143">
        <f>+B2-B11</f>
        <v>0</v>
      </c>
      <c r="C22" s="142">
        <f>+C2-C11</f>
        <v>83869.375</v>
      </c>
      <c r="D22" s="104">
        <f>+D2-D11</f>
        <v>384626.25</v>
      </c>
      <c r="E22" s="103">
        <f>+E2-E11</f>
        <v>654126.875</v>
      </c>
      <c r="F22" s="104">
        <f>F2-F11</f>
        <v>433126.875</v>
      </c>
    </row>
    <row r="23" spans="1:7" ht="15.75" thickBot="1" x14ac:dyDescent="0.3">
      <c r="A23" s="99" t="s">
        <v>112</v>
      </c>
      <c r="B23" s="107">
        <v>0</v>
      </c>
      <c r="C23" s="109">
        <f>B35</f>
        <v>110500</v>
      </c>
      <c r="D23" s="109">
        <f>B36</f>
        <v>110500</v>
      </c>
      <c r="E23" s="109">
        <f>B37</f>
        <v>100000</v>
      </c>
      <c r="F23" s="114">
        <f t="shared" si="1"/>
        <v>321000</v>
      </c>
    </row>
    <row r="24" spans="1:7" ht="15.75" thickBot="1" x14ac:dyDescent="0.3">
      <c r="A24" s="102"/>
      <c r="B24" s="110"/>
      <c r="C24" s="111"/>
      <c r="D24" s="110"/>
      <c r="E24" s="111"/>
      <c r="F24" s="138"/>
    </row>
    <row r="25" spans="1:7" x14ac:dyDescent="0.25">
      <c r="A25" s="96" t="s">
        <v>113</v>
      </c>
      <c r="B25" s="104">
        <f>+B22+B23</f>
        <v>0</v>
      </c>
      <c r="C25" s="104">
        <f>+C22+C23</f>
        <v>194369.375</v>
      </c>
      <c r="D25" s="104">
        <f>+D22+D23</f>
        <v>495126.25</v>
      </c>
      <c r="E25" s="153">
        <f>+E22+E23</f>
        <v>754126.875</v>
      </c>
      <c r="F25" s="154">
        <f>F22+F23</f>
        <v>754126.875</v>
      </c>
    </row>
    <row r="26" spans="1:7" ht="15.75" thickBot="1" x14ac:dyDescent="0.3">
      <c r="A26" s="99" t="s">
        <v>114</v>
      </c>
      <c r="B26" s="107">
        <f>+B25</f>
        <v>0</v>
      </c>
      <c r="C26" s="109">
        <f>C25-B25</f>
        <v>194369.375</v>
      </c>
      <c r="D26" s="109">
        <f>D25-C25</f>
        <v>300756.875</v>
      </c>
      <c r="E26" s="109">
        <f>E25-D25</f>
        <v>259000.625</v>
      </c>
      <c r="F26" s="155">
        <f>F25</f>
        <v>754126.875</v>
      </c>
    </row>
    <row r="28" spans="1:7" x14ac:dyDescent="0.25">
      <c r="A28" s="156" t="s">
        <v>115</v>
      </c>
    </row>
    <row r="29" spans="1:7" ht="15.75" thickBot="1" x14ac:dyDescent="0.3"/>
    <row r="30" spans="1:7" ht="15.75" thickBot="1" x14ac:dyDescent="0.3">
      <c r="A30" s="32">
        <f>SUM(DE!B3:B6)</f>
        <v>350000</v>
      </c>
      <c r="B30" s="1" t="s">
        <v>116</v>
      </c>
      <c r="E30" s="199" t="s">
        <v>123</v>
      </c>
      <c r="F30" s="200"/>
    </row>
    <row r="31" spans="1:7" x14ac:dyDescent="0.25">
      <c r="A31" s="23">
        <v>50000</v>
      </c>
      <c r="B31" s="1" t="s">
        <v>117</v>
      </c>
      <c r="D31" s="32"/>
      <c r="E31" s="96" t="s">
        <v>124</v>
      </c>
      <c r="F31" s="124">
        <f>E25+A31+F13-F4-F5</f>
        <v>463831.875</v>
      </c>
      <c r="G31" s="32"/>
    </row>
    <row r="32" spans="1:7" x14ac:dyDescent="0.25">
      <c r="E32" s="97" t="s">
        <v>125</v>
      </c>
      <c r="F32" s="125">
        <f>CRes!B7</f>
        <v>463831.875</v>
      </c>
    </row>
    <row r="33" spans="1:6" x14ac:dyDescent="0.25">
      <c r="A33" t="s">
        <v>118</v>
      </c>
      <c r="B33" s="32">
        <f>CREDITOS!B32/2</f>
        <v>10500</v>
      </c>
      <c r="C33" s="1" t="s">
        <v>122</v>
      </c>
      <c r="E33" s="97" t="s">
        <v>126</v>
      </c>
      <c r="F33" s="125">
        <f>F32+SUM(CREDITOS!B39:D39)</f>
        <v>530956.875</v>
      </c>
    </row>
    <row r="34" spans="1:6" ht="15.75" thickBot="1" x14ac:dyDescent="0.3">
      <c r="E34" s="99" t="s">
        <v>127</v>
      </c>
      <c r="F34" s="126">
        <f>F31+SUM(CREDITOS!B39:D39)*(1-DE!B37)*(1-DE!B36)</f>
        <v>503100</v>
      </c>
    </row>
    <row r="35" spans="1:6" x14ac:dyDescent="0.25">
      <c r="A35" s="2" t="s">
        <v>119</v>
      </c>
      <c r="B35" s="33">
        <f>(A30-A31)/3+B33</f>
        <v>110500</v>
      </c>
    </row>
    <row r="36" spans="1:6" x14ac:dyDescent="0.25">
      <c r="A36" s="2" t="s">
        <v>120</v>
      </c>
      <c r="B36" s="33">
        <f>B35</f>
        <v>110500</v>
      </c>
    </row>
    <row r="37" spans="1:6" x14ac:dyDescent="0.25">
      <c r="A37" s="2" t="s">
        <v>121</v>
      </c>
      <c r="B37" s="33">
        <f>(A30-A31)/3</f>
        <v>100000</v>
      </c>
    </row>
  </sheetData>
  <mergeCells count="1">
    <mergeCell ref="E30:F30"/>
  </mergeCells>
  <conditionalFormatting sqref="C22:E22">
    <cfRule type="cellIs" dxfId="0" priority="1" operator="equal">
      <formula>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8</vt:i4>
      </vt:variant>
    </vt:vector>
  </HeadingPairs>
  <TitlesOfParts>
    <vt:vector size="8" baseType="lpstr">
      <vt:lpstr>DE</vt:lpstr>
      <vt:lpstr>CREDITOS</vt:lpstr>
      <vt:lpstr>1era estructura Financiera</vt:lpstr>
      <vt:lpstr>CRes</vt:lpstr>
      <vt:lpstr>Calendario Inv</vt:lpstr>
      <vt:lpstr>2da Est. </vt:lpstr>
      <vt:lpstr>RECUPERO IVA</vt:lpstr>
      <vt:lpstr>CFyU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Abril Marian Nacif</dc:creator>
  <cp:lastModifiedBy>Cris Ziegler</cp:lastModifiedBy>
  <dcterms:created xsi:type="dcterms:W3CDTF">2023-11-20T20:29:22Z</dcterms:created>
  <dcterms:modified xsi:type="dcterms:W3CDTF">2024-07-28T21:07:34Z</dcterms:modified>
</cp:coreProperties>
</file>