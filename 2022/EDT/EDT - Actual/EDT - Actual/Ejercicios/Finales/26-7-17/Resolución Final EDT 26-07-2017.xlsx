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00" windowHeight="7530" activeTab="4"/>
  </bookViews>
  <sheets>
    <sheet name="Tiempos" sheetId="2" r:id="rId1"/>
    <sheet name="DHM" sheetId="1" r:id="rId2"/>
    <sheet name="Desperdicio" sheetId="3" r:id="rId3"/>
    <sheet name="Productividad" sheetId="4" r:id="rId4"/>
    <sheet name="Prod - Cambio" sheetId="5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D52" i="1"/>
  <c r="E52" i="1"/>
  <c r="F52" i="1"/>
  <c r="B52" i="1"/>
  <c r="G10" i="2"/>
  <c r="W9" i="5" l="1"/>
  <c r="C18" i="5" s="1"/>
  <c r="H17" i="5" s="1"/>
  <c r="W13" i="5"/>
  <c r="C13" i="5"/>
  <c r="S11" i="4"/>
  <c r="P12" i="4"/>
  <c r="L24" i="4"/>
  <c r="I21" i="4"/>
  <c r="L16" i="4"/>
  <c r="L13" i="4"/>
  <c r="L10" i="4"/>
  <c r="L7" i="4"/>
  <c r="L3" i="4"/>
  <c r="C29" i="3"/>
  <c r="D24" i="3"/>
  <c r="D23" i="3"/>
  <c r="G20" i="3"/>
  <c r="G19" i="3"/>
  <c r="E17" i="3"/>
  <c r="K10" i="3"/>
  <c r="K8" i="3"/>
  <c r="K7" i="3"/>
  <c r="K6" i="3"/>
  <c r="K5" i="3"/>
  <c r="K4" i="3"/>
  <c r="J19" i="1"/>
  <c r="F4" i="2"/>
  <c r="F5" i="2"/>
  <c r="F6" i="2"/>
  <c r="F7" i="2"/>
  <c r="F8" i="2"/>
  <c r="F9" i="2"/>
  <c r="F3" i="2"/>
  <c r="D9" i="2"/>
  <c r="D8" i="2"/>
  <c r="D7" i="2"/>
  <c r="D6" i="2"/>
  <c r="D5" i="2"/>
  <c r="D4" i="2"/>
  <c r="D3" i="2"/>
  <c r="J8" i="1"/>
  <c r="J7" i="1"/>
  <c r="J6" i="1"/>
  <c r="J5" i="1"/>
  <c r="J4" i="1"/>
</calcChain>
</file>

<file path=xl/sharedStrings.xml><?xml version="1.0" encoding="utf-8"?>
<sst xmlns="http://schemas.openxmlformats.org/spreadsheetml/2006/main" count="285" uniqueCount="94">
  <si>
    <t>Diagrama hombre-máquina (4 operarios - 1 máquina)</t>
  </si>
  <si>
    <t>OP1</t>
  </si>
  <si>
    <t>OP2</t>
  </si>
  <si>
    <t>OP3</t>
  </si>
  <si>
    <t>OP4</t>
  </si>
  <si>
    <t>MAQ1</t>
  </si>
  <si>
    <t>set up</t>
  </si>
  <si>
    <t>carga</t>
  </si>
  <si>
    <t>limp</t>
  </si>
  <si>
    <t>operac</t>
  </si>
  <si>
    <t>Descarga</t>
  </si>
  <si>
    <t>Lim Final</t>
  </si>
  <si>
    <t>Tiempos de ocupación</t>
  </si>
  <si>
    <t xml:space="preserve">OP1: </t>
  </si>
  <si>
    <t xml:space="preserve">MAQ1: </t>
  </si>
  <si>
    <t xml:space="preserve">OP4: </t>
  </si>
  <si>
    <t xml:space="preserve">OP2: </t>
  </si>
  <si>
    <t xml:space="preserve">OP3: </t>
  </si>
  <si>
    <t>Descripción del elemento</t>
  </si>
  <si>
    <t>V</t>
  </si>
  <si>
    <t>C</t>
  </si>
  <si>
    <t>TR</t>
  </si>
  <si>
    <t>TB</t>
  </si>
  <si>
    <t>Ciclo 4</t>
  </si>
  <si>
    <t>Ciclo 5</t>
  </si>
  <si>
    <t>Ciclo 6</t>
  </si>
  <si>
    <t>Ciclo 7</t>
  </si>
  <si>
    <t>Ciclo 8</t>
  </si>
  <si>
    <t>Ciclo 9</t>
  </si>
  <si>
    <t>Ciclo 10</t>
  </si>
  <si>
    <t>598*</t>
  </si>
  <si>
    <t>*Se suponía que tenía que dar esto pero estaba mal la fotocopia porque faltaban los primeros 3 ciclos</t>
  </si>
  <si>
    <t>Piezas por día</t>
  </si>
  <si>
    <t>5 operaciones x 4piezas/operación = 20/piezas día</t>
  </si>
  <si>
    <t>Por defectos, se descarta el 5% de las piezas</t>
  </si>
  <si>
    <t>Entonces =&gt;</t>
  </si>
  <si>
    <t>piezas/día</t>
  </si>
  <si>
    <t>Para un lote de 114 piezas</t>
  </si>
  <si>
    <t>114/19 =</t>
  </si>
  <si>
    <t>días</t>
  </si>
  <si>
    <t>Considerando que empezaba el 24/07 y sólo se trabaja de lun-vie</t>
  </si>
  <si>
    <t>Lote listo el 31/07</t>
  </si>
  <si>
    <t xml:space="preserve">Área de la pieza = Área 1 + Área 2 + Área 3 + Área 4 - Área 5 </t>
  </si>
  <si>
    <t xml:space="preserve">Área 1 = </t>
  </si>
  <si>
    <t xml:space="preserve"> 2 x 2,8 =</t>
  </si>
  <si>
    <r>
      <t>dm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</si>
  <si>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Área 2 = </t>
  </si>
  <si>
    <t>(7-2) x 2,8 =</t>
  </si>
  <si>
    <t xml:space="preserve">Área 3 = </t>
  </si>
  <si>
    <t>(7-2-4,1) x (4-2,8) /2 =</t>
  </si>
  <si>
    <t xml:space="preserve">Área 4 = </t>
  </si>
  <si>
    <t>4,1 x (4-2,8)</t>
  </si>
  <si>
    <t xml:space="preserve">Área 5 = </t>
  </si>
  <si>
    <t>2x2</t>
  </si>
  <si>
    <t xml:space="preserve">Área pieza= </t>
  </si>
  <si>
    <t>Área de la placa =</t>
  </si>
  <si>
    <t>15,5 x 9,5=</t>
  </si>
  <si>
    <t>Peso pieza = Área x Espesor x Peso específico =</t>
  </si>
  <si>
    <t>Peso placa = Área x Espesor x Peso específico =</t>
  </si>
  <si>
    <t>PB = Peso placa x 5=</t>
  </si>
  <si>
    <t>PN = Peso pieza x19=</t>
  </si>
  <si>
    <t>Desperdicio en orden de producción:</t>
  </si>
  <si>
    <t>En la producción de un día (19 piezas, 5 placas):</t>
  </si>
  <si>
    <t>Desp = (PB-PN)x6</t>
  </si>
  <si>
    <t xml:space="preserve">Desp = </t>
  </si>
  <si>
    <t>kg</t>
  </si>
  <si>
    <t xml:space="preserve">MP = </t>
  </si>
  <si>
    <t>día</t>
  </si>
  <si>
    <t>x</t>
  </si>
  <si>
    <t>$</t>
  </si>
  <si>
    <t>ton</t>
  </si>
  <si>
    <t>=</t>
  </si>
  <si>
    <t>MDO=</t>
  </si>
  <si>
    <t>OP1=</t>
  </si>
  <si>
    <t>min</t>
  </si>
  <si>
    <t>hs</t>
  </si>
  <si>
    <t>mins</t>
  </si>
  <si>
    <t>OP2=</t>
  </si>
  <si>
    <t>OP3=</t>
  </si>
  <si>
    <t>OP4=</t>
  </si>
  <si>
    <t>MAQ=</t>
  </si>
  <si>
    <t>CA=</t>
  </si>
  <si>
    <t>⁄</t>
  </si>
  <si>
    <t xml:space="preserve">PG = </t>
  </si>
  <si>
    <t>19 piezas/día</t>
  </si>
  <si>
    <t>$/día</t>
  </si>
  <si>
    <t>pz/$</t>
  </si>
  <si>
    <t>Cambiar la limpieza en horas extras no permite producir más piezas ya que no alcanzan los minutos.</t>
  </si>
  <si>
    <t>Por esto, se mantienen constantes las piezas producidas por día (19)</t>
  </si>
  <si>
    <t>También se mantienen constantes los sueldos de OP1 y OP3 ya que no realizan la limpieza</t>
  </si>
  <si>
    <t>La máquina se utilizan igual cantidad de tiempo por no aumentar la cantidad de piezas</t>
  </si>
  <si>
    <t>+</t>
  </si>
  <si>
    <t>PG =</t>
  </si>
  <si>
    <t>19 pz/día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</si>
</sst>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/>
    <xf numFmtId="0" fontId="0" fillId="0" borderId="4" xfId="0" applyBorder="1" applyAlignment="1">
      <alignment horizontal="right"/>
    </xf>
    <xf numFmtId="2" fontId="0" fillId="0" borderId="5" xfId="0" applyNumberFormat="1" applyBorder="1" applyAlignment="1">
      <alignment horizontal="left"/>
    </xf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2" fontId="0" fillId="0" borderId="0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9526</xdr:rowOff>
    </xdr:from>
    <xdr:to>
      <xdr:col>2</xdr:col>
      <xdr:colOff>219075</xdr:colOff>
      <xdr:row>6</xdr:row>
      <xdr:rowOff>142876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C5BDA07C-364E-4F5D-AB0E-3505861BAD2D}"/>
            </a:ext>
          </a:extLst>
        </xdr:cNvPr>
        <xdr:cNvSpPr/>
      </xdr:nvSpPr>
      <xdr:spPr>
        <a:xfrm>
          <a:off x="628650" y="962026"/>
          <a:ext cx="809625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0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</xdr:col>
      <xdr:colOff>19050</xdr:colOff>
      <xdr:row>6</xdr:row>
      <xdr:rowOff>180976</xdr:rowOff>
    </xdr:from>
    <xdr:to>
      <xdr:col>2</xdr:col>
      <xdr:colOff>219075</xdr:colOff>
      <xdr:row>13</xdr:row>
      <xdr:rowOff>28576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398CB161-CB16-44B5-A88A-28C83A151B55}"/>
            </a:ext>
          </a:extLst>
        </xdr:cNvPr>
        <xdr:cNvSpPr/>
      </xdr:nvSpPr>
      <xdr:spPr>
        <a:xfrm>
          <a:off x="628650" y="1323976"/>
          <a:ext cx="809625" cy="1181100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8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</a:t>
          </a:r>
          <a:endParaRPr lang="es-AR" sz="1800">
            <a:solidFill>
              <a:schemeClr val="accent5">
                <a:lumMod val="75000"/>
              </a:schemeClr>
            </a:solidFill>
            <a:effectLst/>
          </a:endParaRPr>
        </a:p>
        <a:p>
          <a:pPr algn="l"/>
          <a:endParaRPr lang="es-AR" sz="1100"/>
        </a:p>
      </xdr:txBody>
    </xdr:sp>
    <xdr:clientData/>
  </xdr:twoCellAnchor>
  <xdr:twoCellAnchor>
    <xdr:from>
      <xdr:col>2</xdr:col>
      <xdr:colOff>257175</xdr:colOff>
      <xdr:row>8</xdr:row>
      <xdr:rowOff>85726</xdr:rowOff>
    </xdr:from>
    <xdr:to>
      <xdr:col>3</xdr:col>
      <xdr:colOff>66674</xdr:colOff>
      <xdr:row>13</xdr:row>
      <xdr:rowOff>28576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8B9F98FA-BBFC-4FD3-9FF0-A9280DDD59BE}"/>
            </a:ext>
          </a:extLst>
        </xdr:cNvPr>
        <xdr:cNvSpPr/>
      </xdr:nvSpPr>
      <xdr:spPr>
        <a:xfrm>
          <a:off x="1476375" y="1038226"/>
          <a:ext cx="419099" cy="895350"/>
        </a:xfrm>
        <a:prstGeom prst="rect">
          <a:avLst/>
        </a:prstGeom>
        <a:noFill/>
        <a:ln w="28575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>
              <a:solidFill>
                <a:schemeClr val="accent6">
                  <a:lumMod val="75000"/>
                </a:schemeClr>
              </a:solidFill>
            </a:rPr>
            <a:t>4</a:t>
          </a:r>
          <a:endParaRPr lang="es-AR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266700</xdr:colOff>
      <xdr:row>6</xdr:row>
      <xdr:rowOff>171450</xdr:rowOff>
    </xdr:from>
    <xdr:to>
      <xdr:col>3</xdr:col>
      <xdr:colOff>47625</xdr:colOff>
      <xdr:row>8</xdr:row>
      <xdr:rowOff>47625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58BF3B2A-2A7A-4603-BEA5-293F32D90155}"/>
            </a:ext>
          </a:extLst>
        </xdr:cNvPr>
        <xdr:cNvSpPr/>
      </xdr:nvSpPr>
      <xdr:spPr>
        <a:xfrm>
          <a:off x="1485900" y="1314450"/>
          <a:ext cx="390525" cy="257175"/>
        </a:xfrm>
        <a:prstGeom prst="triangle">
          <a:avLst>
            <a:gd name="adj" fmla="val 0"/>
          </a:avLst>
        </a:prstGeom>
        <a:noFill/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solidFill>
                <a:schemeClr val="accent4">
                  <a:lumMod val="75000"/>
                </a:schemeClr>
              </a:solidFill>
            </a:rPr>
            <a:t>3</a:t>
          </a:r>
        </a:p>
      </xdr:txBody>
    </xdr:sp>
    <xdr:clientData/>
  </xdr:twoCellAnchor>
  <xdr:twoCellAnchor>
    <xdr:from>
      <xdr:col>4</xdr:col>
      <xdr:colOff>142875</xdr:colOff>
      <xdr:row>4</xdr:row>
      <xdr:rowOff>142876</xdr:rowOff>
    </xdr:from>
    <xdr:to>
      <xdr:col>5</xdr:col>
      <xdr:colOff>257175</xdr:colOff>
      <xdr:row>7</xdr:row>
      <xdr:rowOff>133351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xmlns="" id="{B4052150-745B-4AB2-AE21-89CF28A5C84F}"/>
            </a:ext>
          </a:extLst>
        </xdr:cNvPr>
        <xdr:cNvSpPr/>
      </xdr:nvSpPr>
      <xdr:spPr>
        <a:xfrm>
          <a:off x="2581275" y="933451"/>
          <a:ext cx="723900" cy="647700"/>
        </a:xfrm>
        <a:prstGeom prst="diamond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solidFill>
                <a:sysClr val="windowText" lastClr="000000"/>
              </a:solidFill>
            </a:rPr>
            <a:t>5</a:t>
          </a:r>
          <a:endParaRPr lang="es-A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600075</xdr:colOff>
      <xdr:row>4</xdr:row>
      <xdr:rowOff>76200</xdr:rowOff>
    </xdr:from>
    <xdr:to>
      <xdr:col>2</xdr:col>
      <xdr:colOff>228600</xdr:colOff>
      <xdr:row>4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F9566A6B-F542-4F3E-AEFF-B213CD1CF18F}"/>
            </a:ext>
          </a:extLst>
        </xdr:cNvPr>
        <xdr:cNvCxnSpPr/>
      </xdr:nvCxnSpPr>
      <xdr:spPr>
        <a:xfrm>
          <a:off x="600075" y="838200"/>
          <a:ext cx="847725" cy="0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542925</xdr:colOff>
      <xdr:row>4</xdr:row>
      <xdr:rowOff>171450</xdr:rowOff>
    </xdr:from>
    <xdr:to>
      <xdr:col>0</xdr:col>
      <xdr:colOff>542925</xdr:colOff>
      <xdr:row>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9E5DA388-216F-4813-8D8D-07A5843AF744}"/>
            </a:ext>
          </a:extLst>
        </xdr:cNvPr>
        <xdr:cNvCxnSpPr/>
      </xdr:nvCxnSpPr>
      <xdr:spPr>
        <a:xfrm flipV="1">
          <a:off x="542925" y="933450"/>
          <a:ext cx="0" cy="400050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361950</xdr:colOff>
      <xdr:row>5</xdr:row>
      <xdr:rowOff>19050</xdr:rowOff>
    </xdr:from>
    <xdr:to>
      <xdr:col>0</xdr:col>
      <xdr:colOff>361950</xdr:colOff>
      <xdr:row>13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79531686-AB83-4041-B8D7-F1DF2C66A81A}"/>
            </a:ext>
          </a:extLst>
        </xdr:cNvPr>
        <xdr:cNvCxnSpPr/>
      </xdr:nvCxnSpPr>
      <xdr:spPr>
        <a:xfrm flipV="1">
          <a:off x="361950" y="971550"/>
          <a:ext cx="0" cy="1524000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</xdr:row>
      <xdr:rowOff>180975</xdr:rowOff>
    </xdr:from>
    <xdr:to>
      <xdr:col>3</xdr:col>
      <xdr:colOff>95250</xdr:colOff>
      <xdr:row>13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A4EB1D2E-6EB5-4B0E-B3DD-103AFAB41C53}"/>
            </a:ext>
          </a:extLst>
        </xdr:cNvPr>
        <xdr:cNvCxnSpPr/>
      </xdr:nvCxnSpPr>
      <xdr:spPr>
        <a:xfrm>
          <a:off x="619125" y="2657475"/>
          <a:ext cx="1304925" cy="0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438150</xdr:colOff>
      <xdr:row>12</xdr:row>
      <xdr:rowOff>180975</xdr:rowOff>
    </xdr:from>
    <xdr:ext cx="39914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9D1CF679-562F-423A-A63E-E4FB16969C16}"/>
            </a:ext>
          </a:extLst>
        </xdr:cNvPr>
        <xdr:cNvSpPr txBox="1"/>
      </xdr:nvSpPr>
      <xdr:spPr>
        <a:xfrm>
          <a:off x="1047750" y="24669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 b="1"/>
            <a:t>400</a:t>
          </a:r>
        </a:p>
      </xdr:txBody>
    </xdr:sp>
    <xdr:clientData/>
  </xdr:oneCellAnchor>
  <xdr:oneCellAnchor>
    <xdr:from>
      <xdr:col>1</xdr:col>
      <xdr:colOff>228600</xdr:colOff>
      <xdr:row>3</xdr:row>
      <xdr:rowOff>76200</xdr:rowOff>
    </xdr:from>
    <xdr:ext cx="39914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344051F-28D6-4441-846D-D727CA5BB7B2}"/>
            </a:ext>
          </a:extLst>
        </xdr:cNvPr>
        <xdr:cNvSpPr txBox="1"/>
      </xdr:nvSpPr>
      <xdr:spPr>
        <a:xfrm>
          <a:off x="838200" y="6477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 b="1"/>
            <a:t>280</a:t>
          </a:r>
        </a:p>
      </xdr:txBody>
    </xdr:sp>
    <xdr:clientData/>
  </xdr:oneCellAnchor>
  <xdr:oneCellAnchor>
    <xdr:from>
      <xdr:col>0</xdr:col>
      <xdr:colOff>153019</xdr:colOff>
      <xdr:row>7</xdr:row>
      <xdr:rowOff>180356</xdr:rowOff>
    </xdr:from>
    <xdr:ext cx="264560" cy="39914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19DEA0EE-79F2-4B40-99F4-6342C0A0E4C0}"/>
            </a:ext>
          </a:extLst>
        </xdr:cNvPr>
        <xdr:cNvSpPr txBox="1"/>
      </xdr:nvSpPr>
      <xdr:spPr>
        <a:xfrm rot="16200000">
          <a:off x="85725" y="15811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 b="1"/>
            <a:t>700</a:t>
          </a:r>
        </a:p>
      </xdr:txBody>
    </xdr:sp>
    <xdr:clientData/>
  </xdr:oneCellAnchor>
  <xdr:oneCellAnchor>
    <xdr:from>
      <xdr:col>0</xdr:col>
      <xdr:colOff>333994</xdr:colOff>
      <xdr:row>4</xdr:row>
      <xdr:rowOff>180356</xdr:rowOff>
    </xdr:from>
    <xdr:ext cx="264560" cy="39914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DFFF0CA-9486-46E2-8128-9C3E76FD9210}"/>
            </a:ext>
          </a:extLst>
        </xdr:cNvPr>
        <xdr:cNvSpPr txBox="1"/>
      </xdr:nvSpPr>
      <xdr:spPr>
        <a:xfrm rot="16200000">
          <a:off x="266700" y="10096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 b="1"/>
            <a:t>200</a:t>
          </a:r>
        </a:p>
      </xdr:txBody>
    </xdr:sp>
    <xdr:clientData/>
  </xdr:oneCellAnchor>
  <xdr:twoCellAnchor>
    <xdr:from>
      <xdr:col>4</xdr:col>
      <xdr:colOff>604372</xdr:colOff>
      <xdr:row>6</xdr:row>
      <xdr:rowOff>123825</xdr:rowOff>
    </xdr:from>
    <xdr:to>
      <xdr:col>5</xdr:col>
      <xdr:colOff>379142</xdr:colOff>
      <xdr:row>8</xdr:row>
      <xdr:rowOff>113088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xmlns="" id="{DB7E26D3-3B13-4EA8-868C-9920F7F8349E}"/>
            </a:ext>
          </a:extLst>
        </xdr:cNvPr>
        <xdr:cNvCxnSpPr/>
      </xdr:nvCxnSpPr>
      <xdr:spPr>
        <a:xfrm flipV="1">
          <a:off x="3042772" y="1266825"/>
          <a:ext cx="384370" cy="370263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571501</xdr:colOff>
      <xdr:row>6</xdr:row>
      <xdr:rowOff>114301</xdr:rowOff>
    </xdr:from>
    <xdr:ext cx="39914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12B5B46-C94E-4A7C-8C50-03415F32911E}"/>
            </a:ext>
          </a:extLst>
        </xdr:cNvPr>
        <xdr:cNvSpPr txBox="1"/>
      </xdr:nvSpPr>
      <xdr:spPr>
        <a:xfrm rot="18964258">
          <a:off x="3009901" y="125730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1"/>
            <a:t>200</a:t>
          </a:r>
        </a:p>
      </xdr:txBody>
    </xdr:sp>
    <xdr:clientData/>
  </xdr:oneCellAnchor>
  <xdr:twoCellAnchor>
    <xdr:from>
      <xdr:col>3</xdr:col>
      <xdr:colOff>219075</xdr:colOff>
      <xdr:row>8</xdr:row>
      <xdr:rowOff>85725</xdr:rowOff>
    </xdr:from>
    <xdr:to>
      <xdr:col>3</xdr:col>
      <xdr:colOff>219075</xdr:colOff>
      <xdr:row>13</xdr:row>
      <xdr:rowOff>47625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xmlns="" id="{C5C78F44-D2A1-4F48-BE94-8F27D48B2125}"/>
            </a:ext>
          </a:extLst>
        </xdr:cNvPr>
        <xdr:cNvCxnSpPr/>
      </xdr:nvCxnSpPr>
      <xdr:spPr>
        <a:xfrm flipV="1">
          <a:off x="2047875" y="1609725"/>
          <a:ext cx="0" cy="914400"/>
        </a:xfrm>
        <a:prstGeom prst="line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19669</xdr:colOff>
      <xdr:row>10</xdr:row>
      <xdr:rowOff>27956</xdr:rowOff>
    </xdr:from>
    <xdr:ext cx="264560" cy="39914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0C511A55-8073-4941-B7B7-C437E0AFA2CA}"/>
            </a:ext>
          </a:extLst>
        </xdr:cNvPr>
        <xdr:cNvSpPr txBox="1"/>
      </xdr:nvSpPr>
      <xdr:spPr>
        <a:xfrm rot="16200000">
          <a:off x="1781175" y="20002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 b="1"/>
            <a:t>410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2</xdr:row>
      <xdr:rowOff>28575</xdr:rowOff>
    </xdr:from>
    <xdr:ext cx="637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="" id="{CF6A5676-6B73-4BAC-8168-5869F12E16D3}"/>
                </a:ext>
              </a:extLst>
            </xdr:cNvPr>
            <xdr:cNvSpPr txBox="1"/>
          </xdr:nvSpPr>
          <xdr:spPr>
            <a:xfrm>
              <a:off x="1114425" y="409575"/>
              <a:ext cx="637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/>
                      <m:t> </m:t>
                    </m:r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F6A5676-6B73-4BAC-8168-5869F12E16D3}"/>
                </a:ext>
              </a:extLst>
            </xdr:cNvPr>
            <xdr:cNvSpPr txBox="1"/>
          </xdr:nvSpPr>
          <xdr:spPr>
            <a:xfrm>
              <a:off x="1114425" y="409575"/>
              <a:ext cx="637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i="0">
                  <a:latin typeface="Cambria Math" panose="02040503050406030204" pitchFamily="18" charset="0"/>
                </a:rPr>
                <a:t>" </a:t>
              </a:r>
              <a:r>
                <a:rPr lang="es-AR" i="0"/>
                <a:t>"</a:t>
              </a:r>
              <a:endParaRPr lang="es-A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E17" sqref="E17"/>
    </sheetView>
  </sheetViews>
  <sheetFormatPr defaultRowHeight="15" x14ac:dyDescent="0.25"/>
  <cols>
    <col min="2" max="2" width="14.5703125" customWidth="1"/>
  </cols>
  <sheetData>
    <row r="2" spans="2:7" ht="30" x14ac:dyDescent="0.25">
      <c r="B2" s="5" t="s">
        <v>18</v>
      </c>
      <c r="C2" s="6" t="s">
        <v>19</v>
      </c>
      <c r="D2" s="6" t="s">
        <v>20</v>
      </c>
      <c r="E2" s="6" t="s">
        <v>21</v>
      </c>
      <c r="F2" s="6" t="s">
        <v>22</v>
      </c>
    </row>
    <row r="3" spans="2:7" x14ac:dyDescent="0.25">
      <c r="B3" s="6" t="s">
        <v>23</v>
      </c>
      <c r="C3" s="1">
        <v>90</v>
      </c>
      <c r="D3" s="7">
        <f>+E3</f>
        <v>645</v>
      </c>
      <c r="E3" s="1">
        <v>645</v>
      </c>
      <c r="F3" s="7">
        <f>+E3*C3/100</f>
        <v>580.5</v>
      </c>
    </row>
    <row r="4" spans="2:7" x14ac:dyDescent="0.25">
      <c r="B4" s="6" t="s">
        <v>24</v>
      </c>
      <c r="C4" s="1">
        <v>100</v>
      </c>
      <c r="D4" s="7">
        <f t="shared" ref="D4:D9" si="0">+D3+E4</f>
        <v>1257</v>
      </c>
      <c r="E4" s="1">
        <v>612</v>
      </c>
      <c r="F4" s="7">
        <f t="shared" ref="F4:F9" si="1">+E4*C4/100</f>
        <v>612</v>
      </c>
    </row>
    <row r="5" spans="2:7" x14ac:dyDescent="0.25">
      <c r="B5" s="6" t="s">
        <v>25</v>
      </c>
      <c r="C5" s="1">
        <v>80</v>
      </c>
      <c r="D5" s="7">
        <f t="shared" si="0"/>
        <v>1932</v>
      </c>
      <c r="E5" s="1">
        <v>675</v>
      </c>
      <c r="F5" s="7">
        <f t="shared" si="1"/>
        <v>540</v>
      </c>
    </row>
    <row r="6" spans="2:7" x14ac:dyDescent="0.25">
      <c r="B6" s="6" t="s">
        <v>26</v>
      </c>
      <c r="C6" s="1">
        <v>90</v>
      </c>
      <c r="D6" s="7">
        <f t="shared" si="0"/>
        <v>2587</v>
      </c>
      <c r="E6" s="1">
        <v>655</v>
      </c>
      <c r="F6" s="7">
        <f t="shared" si="1"/>
        <v>589.5</v>
      </c>
    </row>
    <row r="7" spans="2:7" x14ac:dyDescent="0.25">
      <c r="B7" s="6" t="s">
        <v>27</v>
      </c>
      <c r="C7" s="1">
        <v>90</v>
      </c>
      <c r="D7" s="7">
        <f t="shared" si="0"/>
        <v>3232</v>
      </c>
      <c r="E7" s="1">
        <v>645</v>
      </c>
      <c r="F7" s="7">
        <f t="shared" si="1"/>
        <v>580.5</v>
      </c>
    </row>
    <row r="8" spans="2:7" x14ac:dyDescent="0.25">
      <c r="B8" s="6" t="s">
        <v>28</v>
      </c>
      <c r="C8" s="1">
        <v>120</v>
      </c>
      <c r="D8" s="7">
        <f t="shared" si="0"/>
        <v>3812</v>
      </c>
      <c r="E8" s="1">
        <v>580</v>
      </c>
      <c r="F8" s="7">
        <f t="shared" si="1"/>
        <v>696</v>
      </c>
    </row>
    <row r="9" spans="2:7" ht="15.75" thickBot="1" x14ac:dyDescent="0.3">
      <c r="B9" s="6" t="s">
        <v>29</v>
      </c>
      <c r="C9" s="1">
        <v>110</v>
      </c>
      <c r="D9" s="7">
        <f t="shared" si="0"/>
        <v>4407</v>
      </c>
      <c r="E9" s="1">
        <v>595</v>
      </c>
      <c r="F9" s="7">
        <f t="shared" si="1"/>
        <v>654.5</v>
      </c>
    </row>
    <row r="10" spans="2:7" ht="15.75" thickBot="1" x14ac:dyDescent="0.3">
      <c r="F10" s="8" t="s">
        <v>30</v>
      </c>
      <c r="G10">
        <f>(SUM(F3:F9))/7</f>
        <v>607.57142857142856</v>
      </c>
    </row>
    <row r="12" spans="2:7" x14ac:dyDescent="0.25">
      <c r="B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30" workbookViewId="0">
      <selection activeCell="G53" sqref="G53"/>
    </sheetView>
  </sheetViews>
  <sheetFormatPr defaultRowHeight="15" x14ac:dyDescent="0.25"/>
  <cols>
    <col min="1" max="8" width="9.140625" style="1"/>
    <col min="9" max="9" width="11.28515625" style="1" customWidth="1"/>
    <col min="10" max="10" width="7.42578125" style="1" customWidth="1"/>
    <col min="11" max="16384" width="9.140625" style="1"/>
  </cols>
  <sheetData>
    <row r="1" spans="1:11" x14ac:dyDescent="0.25">
      <c r="A1" s="2" t="s">
        <v>0</v>
      </c>
    </row>
    <row r="2" spans="1:11" x14ac:dyDescent="0.25">
      <c r="A2" s="14"/>
    </row>
    <row r="3" spans="1:11" x14ac:dyDescent="0.25">
      <c r="A3" s="13"/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4" t="s">
        <v>12</v>
      </c>
    </row>
    <row r="4" spans="1:11" x14ac:dyDescent="0.25">
      <c r="A4" s="11">
        <v>5</v>
      </c>
      <c r="B4" s="11" t="s">
        <v>6</v>
      </c>
      <c r="C4" s="11"/>
      <c r="D4" s="11"/>
      <c r="E4" s="11"/>
      <c r="F4" s="11"/>
      <c r="I4" s="1" t="s">
        <v>13</v>
      </c>
      <c r="J4" s="1">
        <f>15*5</f>
        <v>75</v>
      </c>
    </row>
    <row r="5" spans="1:11" x14ac:dyDescent="0.25">
      <c r="A5" s="11">
        <v>10</v>
      </c>
      <c r="B5" s="11" t="s">
        <v>6</v>
      </c>
      <c r="C5" s="11"/>
      <c r="D5" s="11"/>
      <c r="E5" s="11"/>
      <c r="F5" s="11"/>
      <c r="I5" s="1" t="s">
        <v>16</v>
      </c>
      <c r="J5" s="1">
        <f>23*5</f>
        <v>115</v>
      </c>
    </row>
    <row r="6" spans="1:11" x14ac:dyDescent="0.25">
      <c r="A6" s="11">
        <v>15</v>
      </c>
      <c r="B6" s="11" t="s">
        <v>6</v>
      </c>
      <c r="C6" s="11"/>
      <c r="D6" s="11"/>
      <c r="E6" s="11"/>
      <c r="F6" s="11"/>
      <c r="I6" s="1" t="s">
        <v>17</v>
      </c>
      <c r="J6" s="1">
        <f>15*5</f>
        <v>75</v>
      </c>
    </row>
    <row r="7" spans="1:11" x14ac:dyDescent="0.25">
      <c r="A7" s="11">
        <v>20</v>
      </c>
      <c r="B7" s="11" t="s">
        <v>6</v>
      </c>
      <c r="C7" s="11"/>
      <c r="D7" s="11"/>
      <c r="E7" s="11"/>
      <c r="F7" s="11"/>
      <c r="I7" s="1" t="s">
        <v>15</v>
      </c>
      <c r="J7" s="1">
        <f>18*5</f>
        <v>90</v>
      </c>
    </row>
    <row r="8" spans="1:11" x14ac:dyDescent="0.25">
      <c r="A8" s="11">
        <v>25</v>
      </c>
      <c r="B8" s="11" t="s">
        <v>6</v>
      </c>
      <c r="C8" s="11"/>
      <c r="D8" s="11"/>
      <c r="E8" s="11"/>
      <c r="F8" s="11"/>
      <c r="I8" s="1" t="s">
        <v>14</v>
      </c>
      <c r="J8" s="1">
        <f>10*5</f>
        <v>50</v>
      </c>
    </row>
    <row r="9" spans="1:11" x14ac:dyDescent="0.25">
      <c r="A9" s="11">
        <v>30</v>
      </c>
      <c r="B9" s="11"/>
      <c r="C9" s="11" t="s">
        <v>7</v>
      </c>
      <c r="D9" s="11" t="s">
        <v>7</v>
      </c>
      <c r="E9" s="11"/>
      <c r="F9" s="11"/>
    </row>
    <row r="10" spans="1:11" x14ac:dyDescent="0.25">
      <c r="A10" s="11">
        <v>35</v>
      </c>
      <c r="B10" s="11"/>
      <c r="C10" s="11" t="s">
        <v>7</v>
      </c>
      <c r="D10" s="11" t="s">
        <v>7</v>
      </c>
      <c r="E10" s="11"/>
      <c r="F10" s="11"/>
    </row>
    <row r="11" spans="1:11" x14ac:dyDescent="0.25">
      <c r="A11" s="11">
        <v>40</v>
      </c>
      <c r="B11" s="11"/>
      <c r="C11" s="11"/>
      <c r="D11" s="11"/>
      <c r="E11" s="11" t="s">
        <v>8</v>
      </c>
      <c r="F11" s="11"/>
      <c r="I11" s="4" t="s">
        <v>32</v>
      </c>
    </row>
    <row r="12" spans="1:11" x14ac:dyDescent="0.25">
      <c r="A12" s="11">
        <v>45</v>
      </c>
      <c r="B12" s="11" t="s">
        <v>9</v>
      </c>
      <c r="C12" s="11"/>
      <c r="D12" s="11"/>
      <c r="E12" s="11"/>
      <c r="F12" s="11" t="s">
        <v>9</v>
      </c>
      <c r="I12" s="2" t="s">
        <v>33</v>
      </c>
    </row>
    <row r="13" spans="1:11" x14ac:dyDescent="0.25">
      <c r="A13" s="11">
        <v>50</v>
      </c>
      <c r="B13" s="11" t="s">
        <v>9</v>
      </c>
      <c r="C13" s="11"/>
      <c r="D13" s="11"/>
      <c r="E13" s="11"/>
      <c r="F13" s="11" t="s">
        <v>9</v>
      </c>
    </row>
    <row r="14" spans="1:11" x14ac:dyDescent="0.25">
      <c r="A14" s="11">
        <v>55</v>
      </c>
      <c r="B14" s="11"/>
      <c r="C14" s="11"/>
      <c r="D14" s="11" t="s">
        <v>8</v>
      </c>
      <c r="E14" s="11"/>
      <c r="F14" s="11"/>
      <c r="I14" s="2" t="s">
        <v>34</v>
      </c>
    </row>
    <row r="15" spans="1:11" x14ac:dyDescent="0.25">
      <c r="A15" s="11">
        <v>60</v>
      </c>
      <c r="B15" s="11"/>
      <c r="C15" s="11" t="s">
        <v>10</v>
      </c>
      <c r="D15" s="11"/>
      <c r="E15" s="11" t="s">
        <v>10</v>
      </c>
      <c r="F15" s="11"/>
      <c r="I15" s="2" t="s">
        <v>35</v>
      </c>
      <c r="J15" s="9">
        <v>19</v>
      </c>
      <c r="K15" s="1" t="s">
        <v>36</v>
      </c>
    </row>
    <row r="16" spans="1:11" x14ac:dyDescent="0.25">
      <c r="A16" s="11">
        <v>65</v>
      </c>
      <c r="B16" s="11"/>
      <c r="C16" s="11" t="s">
        <v>10</v>
      </c>
      <c r="D16" s="11"/>
      <c r="E16" s="11" t="s">
        <v>10</v>
      </c>
      <c r="F16" s="11"/>
    </row>
    <row r="17" spans="1:11" x14ac:dyDescent="0.25">
      <c r="A17" s="11">
        <v>70</v>
      </c>
      <c r="B17" s="11"/>
      <c r="C17" s="11" t="s">
        <v>7</v>
      </c>
      <c r="D17" s="11" t="s">
        <v>7</v>
      </c>
      <c r="E17" s="11"/>
      <c r="F17" s="11"/>
    </row>
    <row r="18" spans="1:11" x14ac:dyDescent="0.25">
      <c r="A18" s="11">
        <v>75</v>
      </c>
      <c r="B18" s="11"/>
      <c r="C18" s="11" t="s">
        <v>7</v>
      </c>
      <c r="D18" s="11" t="s">
        <v>7</v>
      </c>
      <c r="E18" s="11"/>
      <c r="F18" s="11"/>
      <c r="I18" s="2" t="s">
        <v>37</v>
      </c>
    </row>
    <row r="19" spans="1:11" x14ac:dyDescent="0.25">
      <c r="A19" s="11">
        <v>80</v>
      </c>
      <c r="B19" s="11"/>
      <c r="C19" s="11"/>
      <c r="D19" s="11"/>
      <c r="E19" s="11" t="s">
        <v>8</v>
      </c>
      <c r="F19" s="11"/>
      <c r="I19" s="1" t="s">
        <v>38</v>
      </c>
      <c r="J19" s="6">
        <f>114/19</f>
        <v>6</v>
      </c>
      <c r="K19" s="1" t="s">
        <v>39</v>
      </c>
    </row>
    <row r="20" spans="1:11" x14ac:dyDescent="0.25">
      <c r="A20" s="11">
        <v>85</v>
      </c>
      <c r="B20" s="11" t="s">
        <v>9</v>
      </c>
      <c r="C20" s="11"/>
      <c r="D20" s="11"/>
      <c r="E20" s="11"/>
      <c r="F20" s="11" t="s">
        <v>9</v>
      </c>
      <c r="I20" s="2" t="s">
        <v>40</v>
      </c>
    </row>
    <row r="21" spans="1:11" x14ac:dyDescent="0.25">
      <c r="A21" s="11">
        <v>90</v>
      </c>
      <c r="B21" s="11" t="s">
        <v>9</v>
      </c>
      <c r="C21" s="11"/>
      <c r="D21" s="11"/>
      <c r="E21" s="11"/>
      <c r="F21" s="11" t="s">
        <v>9</v>
      </c>
      <c r="I21" s="4" t="s">
        <v>41</v>
      </c>
    </row>
    <row r="22" spans="1:11" x14ac:dyDescent="0.25">
      <c r="A22" s="11">
        <v>95</v>
      </c>
      <c r="B22" s="11"/>
      <c r="C22" s="11"/>
      <c r="D22" s="11" t="s">
        <v>8</v>
      </c>
      <c r="E22" s="11"/>
      <c r="F22" s="11"/>
    </row>
    <row r="23" spans="1:11" x14ac:dyDescent="0.25">
      <c r="A23" s="11">
        <v>100</v>
      </c>
      <c r="B23" s="11"/>
      <c r="C23" s="11" t="s">
        <v>10</v>
      </c>
      <c r="D23" s="11"/>
      <c r="E23" s="11" t="s">
        <v>10</v>
      </c>
      <c r="F23" s="11"/>
    </row>
    <row r="24" spans="1:11" x14ac:dyDescent="0.25">
      <c r="A24" s="11">
        <v>105</v>
      </c>
      <c r="B24" s="11"/>
      <c r="C24" s="11" t="s">
        <v>10</v>
      </c>
      <c r="D24" s="11"/>
      <c r="E24" s="11" t="s">
        <v>10</v>
      </c>
      <c r="F24" s="11"/>
    </row>
    <row r="25" spans="1:11" x14ac:dyDescent="0.25">
      <c r="A25" s="11">
        <v>110</v>
      </c>
      <c r="B25" s="11"/>
      <c r="C25" s="11" t="s">
        <v>7</v>
      </c>
      <c r="D25" s="11" t="s">
        <v>7</v>
      </c>
      <c r="E25" s="11"/>
      <c r="F25" s="11"/>
    </row>
    <row r="26" spans="1:11" x14ac:dyDescent="0.25">
      <c r="A26" s="11">
        <v>115</v>
      </c>
      <c r="B26" s="11"/>
      <c r="C26" s="11" t="s">
        <v>7</v>
      </c>
      <c r="D26" s="11" t="s">
        <v>7</v>
      </c>
      <c r="E26" s="11"/>
      <c r="F26" s="11"/>
    </row>
    <row r="27" spans="1:11" x14ac:dyDescent="0.25">
      <c r="A27" s="11">
        <v>120</v>
      </c>
      <c r="B27" s="11"/>
      <c r="C27" s="11"/>
      <c r="D27" s="11"/>
      <c r="E27" s="11" t="s">
        <v>8</v>
      </c>
      <c r="F27" s="11"/>
    </row>
    <row r="28" spans="1:11" x14ac:dyDescent="0.25">
      <c r="A28" s="11">
        <v>125</v>
      </c>
      <c r="B28" s="11" t="s">
        <v>9</v>
      </c>
      <c r="C28" s="11"/>
      <c r="D28" s="11"/>
      <c r="E28" s="11"/>
      <c r="F28" s="11" t="s">
        <v>9</v>
      </c>
    </row>
    <row r="29" spans="1:11" x14ac:dyDescent="0.25">
      <c r="A29" s="11">
        <v>130</v>
      </c>
      <c r="B29" s="11" t="s">
        <v>9</v>
      </c>
      <c r="C29" s="11"/>
      <c r="D29" s="11"/>
      <c r="E29" s="11"/>
      <c r="F29" s="11" t="s">
        <v>9</v>
      </c>
    </row>
    <row r="30" spans="1:11" x14ac:dyDescent="0.25">
      <c r="A30" s="11">
        <v>135</v>
      </c>
      <c r="B30" s="11"/>
      <c r="C30" s="11"/>
      <c r="D30" s="11" t="s">
        <v>8</v>
      </c>
      <c r="E30" s="11"/>
      <c r="F30" s="11"/>
    </row>
    <row r="31" spans="1:11" x14ac:dyDescent="0.25">
      <c r="A31" s="11">
        <v>140</v>
      </c>
      <c r="B31" s="11"/>
      <c r="C31" s="11" t="s">
        <v>10</v>
      </c>
      <c r="D31" s="11"/>
      <c r="E31" s="11" t="s">
        <v>10</v>
      </c>
      <c r="F31" s="11"/>
    </row>
    <row r="32" spans="1:11" x14ac:dyDescent="0.25">
      <c r="A32" s="11">
        <v>145</v>
      </c>
      <c r="B32" s="11"/>
      <c r="C32" s="11" t="s">
        <v>10</v>
      </c>
      <c r="D32" s="11"/>
      <c r="E32" s="11" t="s">
        <v>10</v>
      </c>
      <c r="F32" s="11"/>
    </row>
    <row r="33" spans="1:6" x14ac:dyDescent="0.25">
      <c r="A33" s="11">
        <v>150</v>
      </c>
      <c r="B33" s="11"/>
      <c r="C33" s="11" t="s">
        <v>7</v>
      </c>
      <c r="D33" s="11" t="s">
        <v>7</v>
      </c>
      <c r="E33" s="11"/>
      <c r="F33" s="11"/>
    </row>
    <row r="34" spans="1:6" x14ac:dyDescent="0.25">
      <c r="A34" s="11">
        <v>155</v>
      </c>
      <c r="B34" s="11"/>
      <c r="C34" s="11" t="s">
        <v>7</v>
      </c>
      <c r="D34" s="11" t="s">
        <v>7</v>
      </c>
      <c r="E34" s="11"/>
      <c r="F34" s="11"/>
    </row>
    <row r="35" spans="1:6" x14ac:dyDescent="0.25">
      <c r="A35" s="11">
        <v>160</v>
      </c>
      <c r="B35" s="11"/>
      <c r="C35" s="11"/>
      <c r="D35" s="11"/>
      <c r="E35" s="11" t="s">
        <v>8</v>
      </c>
      <c r="F35" s="11"/>
    </row>
    <row r="36" spans="1:6" x14ac:dyDescent="0.25">
      <c r="A36" s="11">
        <v>165</v>
      </c>
      <c r="B36" s="11" t="s">
        <v>9</v>
      </c>
      <c r="C36" s="11"/>
      <c r="D36" s="11"/>
      <c r="E36" s="11"/>
      <c r="F36" s="11" t="s">
        <v>9</v>
      </c>
    </row>
    <row r="37" spans="1:6" x14ac:dyDescent="0.25">
      <c r="A37" s="11">
        <v>170</v>
      </c>
      <c r="B37" s="11" t="s">
        <v>9</v>
      </c>
      <c r="C37" s="11"/>
      <c r="D37" s="11"/>
      <c r="E37" s="11"/>
      <c r="F37" s="11" t="s">
        <v>9</v>
      </c>
    </row>
    <row r="38" spans="1:6" x14ac:dyDescent="0.25">
      <c r="A38" s="11">
        <v>175</v>
      </c>
      <c r="B38" s="11"/>
      <c r="C38" s="11"/>
      <c r="D38" s="11" t="s">
        <v>8</v>
      </c>
      <c r="E38" s="11"/>
      <c r="F38" s="11"/>
    </row>
    <row r="39" spans="1:6" x14ac:dyDescent="0.25">
      <c r="A39" s="11">
        <v>180</v>
      </c>
      <c r="B39" s="11"/>
      <c r="C39" s="11" t="s">
        <v>10</v>
      </c>
      <c r="D39" s="11"/>
      <c r="E39" s="11" t="s">
        <v>10</v>
      </c>
      <c r="F39" s="11"/>
    </row>
    <row r="40" spans="1:6" x14ac:dyDescent="0.25">
      <c r="A40" s="11">
        <v>185</v>
      </c>
      <c r="B40" s="11"/>
      <c r="C40" s="11" t="s">
        <v>10</v>
      </c>
      <c r="D40" s="11"/>
      <c r="E40" s="11" t="s">
        <v>10</v>
      </c>
      <c r="F40" s="11"/>
    </row>
    <row r="41" spans="1:6" x14ac:dyDescent="0.25">
      <c r="A41" s="11">
        <v>190</v>
      </c>
      <c r="B41" s="11"/>
      <c r="C41" s="11" t="s">
        <v>7</v>
      </c>
      <c r="D41" s="11" t="s">
        <v>7</v>
      </c>
      <c r="E41" s="11"/>
      <c r="F41" s="11"/>
    </row>
    <row r="42" spans="1:6" x14ac:dyDescent="0.25">
      <c r="A42" s="11">
        <v>195</v>
      </c>
      <c r="B42" s="11"/>
      <c r="C42" s="11" t="s">
        <v>7</v>
      </c>
      <c r="D42" s="11" t="s">
        <v>7</v>
      </c>
      <c r="E42" s="11"/>
      <c r="F42" s="11"/>
    </row>
    <row r="43" spans="1:6" x14ac:dyDescent="0.25">
      <c r="A43" s="11">
        <v>200</v>
      </c>
      <c r="B43" s="11"/>
      <c r="C43" s="11"/>
      <c r="D43" s="11"/>
      <c r="E43" s="11" t="s">
        <v>8</v>
      </c>
      <c r="F43" s="11"/>
    </row>
    <row r="44" spans="1:6" x14ac:dyDescent="0.25">
      <c r="A44" s="11">
        <v>205</v>
      </c>
      <c r="B44" s="11" t="s">
        <v>9</v>
      </c>
      <c r="C44" s="11"/>
      <c r="D44" s="11"/>
      <c r="E44" s="11"/>
      <c r="F44" s="11" t="s">
        <v>9</v>
      </c>
    </row>
    <row r="45" spans="1:6" x14ac:dyDescent="0.25">
      <c r="A45" s="11">
        <v>210</v>
      </c>
      <c r="B45" s="11" t="s">
        <v>9</v>
      </c>
      <c r="C45" s="11"/>
      <c r="D45" s="11"/>
      <c r="E45" s="11"/>
      <c r="F45" s="11" t="s">
        <v>9</v>
      </c>
    </row>
    <row r="46" spans="1:6" x14ac:dyDescent="0.25">
      <c r="A46" s="11">
        <v>215</v>
      </c>
      <c r="B46" s="11"/>
      <c r="C46" s="11"/>
      <c r="D46" s="11" t="s">
        <v>8</v>
      </c>
      <c r="E46" s="11"/>
      <c r="F46" s="11"/>
    </row>
    <row r="47" spans="1:6" x14ac:dyDescent="0.25">
      <c r="A47" s="11">
        <v>220</v>
      </c>
      <c r="B47" s="11"/>
      <c r="C47" s="11" t="s">
        <v>10</v>
      </c>
      <c r="D47" s="11"/>
      <c r="E47" s="11" t="s">
        <v>10</v>
      </c>
      <c r="F47" s="11"/>
    </row>
    <row r="48" spans="1:6" x14ac:dyDescent="0.25">
      <c r="A48" s="11">
        <v>225</v>
      </c>
      <c r="B48" s="11"/>
      <c r="C48" s="11" t="s">
        <v>10</v>
      </c>
      <c r="D48" s="11"/>
      <c r="E48" s="11" t="s">
        <v>10</v>
      </c>
      <c r="F48" s="11"/>
    </row>
    <row r="49" spans="1:6" x14ac:dyDescent="0.25">
      <c r="A49" s="11">
        <v>230</v>
      </c>
      <c r="B49" s="11"/>
      <c r="C49" s="12" t="s">
        <v>11</v>
      </c>
      <c r="D49" s="11"/>
      <c r="E49" s="12" t="s">
        <v>11</v>
      </c>
      <c r="F49" s="11"/>
    </row>
    <row r="50" spans="1:6" x14ac:dyDescent="0.25">
      <c r="A50" s="11">
        <v>235</v>
      </c>
      <c r="B50" s="11"/>
      <c r="C50" s="12" t="s">
        <v>11</v>
      </c>
      <c r="D50" s="11"/>
      <c r="E50" s="12" t="s">
        <v>11</v>
      </c>
      <c r="F50" s="11"/>
    </row>
    <row r="51" spans="1:6" x14ac:dyDescent="0.25">
      <c r="A51" s="11">
        <v>240</v>
      </c>
      <c r="B51" s="11"/>
      <c r="C51" s="12" t="s">
        <v>11</v>
      </c>
      <c r="D51" s="11"/>
      <c r="E51" s="12" t="s">
        <v>11</v>
      </c>
      <c r="F51" s="11"/>
    </row>
    <row r="52" spans="1:6" x14ac:dyDescent="0.25">
      <c r="B52" s="1">
        <f>COUNTA(B4:B51)</f>
        <v>15</v>
      </c>
      <c r="C52" s="1">
        <f t="shared" ref="C52:F52" si="0">COUNTA(C4:C51)</f>
        <v>23</v>
      </c>
      <c r="D52" s="1">
        <f t="shared" si="0"/>
        <v>15</v>
      </c>
      <c r="E52" s="1">
        <f t="shared" si="0"/>
        <v>18</v>
      </c>
      <c r="F52" s="1">
        <f t="shared" si="0"/>
        <v>10</v>
      </c>
    </row>
  </sheetData>
  <conditionalFormatting sqref="B4:G51">
    <cfRule type="containsText" dxfId="5" priority="1" operator="containsText" text="Prep">
      <formula>NOT(ISERROR(SEARCH("Prep",B4)))</formula>
    </cfRule>
    <cfRule type="containsText" dxfId="4" priority="2" operator="containsText" text="Set Up">
      <formula>NOT(ISERROR(SEARCH("Set Up",B4)))</formula>
    </cfRule>
    <cfRule type="containsText" dxfId="3" priority="3" operator="containsText" text="Limp">
      <formula>NOT(ISERROR(SEARCH("Limp",B4)))</formula>
    </cfRule>
    <cfRule type="containsText" dxfId="2" priority="4" operator="containsText" text="Oper">
      <formula>NOT(ISERROR(SEARCH("Oper",B4)))</formula>
    </cfRule>
    <cfRule type="containsText" dxfId="1" priority="5" operator="containsText" text="Descarga">
      <formula>NOT(ISERROR(SEARCH("Descarga",B4)))</formula>
    </cfRule>
    <cfRule type="containsText" dxfId="0" priority="6" operator="containsText" text="Carga">
      <formula>NOT(ISERROR(SEARCH("Carga",B4)))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topLeftCell="A7" workbookViewId="0">
      <selection activeCell="F25" sqref="F25"/>
    </sheetView>
  </sheetViews>
  <sheetFormatPr defaultRowHeight="15" x14ac:dyDescent="0.25"/>
  <cols>
    <col min="4" max="4" width="10" customWidth="1"/>
    <col min="6" max="6" width="6.42578125" customWidth="1"/>
    <col min="9" max="9" width="9" bestFit="1" customWidth="1"/>
    <col min="10" max="10" width="20" bestFit="1" customWidth="1"/>
    <col min="11" max="11" width="5.5703125" bestFit="1" customWidth="1"/>
  </cols>
  <sheetData>
    <row r="2" spans="2:12" x14ac:dyDescent="0.25">
      <c r="B2" t="s">
        <v>42</v>
      </c>
    </row>
    <row r="4" spans="2:12" ht="17.25" x14ac:dyDescent="0.25">
      <c r="I4" s="9" t="s">
        <v>43</v>
      </c>
      <c r="J4" t="s">
        <v>44</v>
      </c>
      <c r="K4" s="15">
        <f>2*2.8</f>
        <v>5.6</v>
      </c>
      <c r="L4" t="s">
        <v>45</v>
      </c>
    </row>
    <row r="5" spans="2:12" ht="17.25" x14ac:dyDescent="0.25">
      <c r="I5" s="9" t="s">
        <v>46</v>
      </c>
      <c r="J5" t="s">
        <v>47</v>
      </c>
      <c r="K5" s="15">
        <f>+(7-2)*2.8</f>
        <v>14</v>
      </c>
      <c r="L5" t="s">
        <v>45</v>
      </c>
    </row>
    <row r="6" spans="2:12" ht="17.25" x14ac:dyDescent="0.25">
      <c r="I6" s="9" t="s">
        <v>48</v>
      </c>
      <c r="J6" t="s">
        <v>49</v>
      </c>
      <c r="K6" s="15">
        <f>+(7-2-4.1)*(4-2.8)/2</f>
        <v>0.54000000000000026</v>
      </c>
      <c r="L6" t="s">
        <v>45</v>
      </c>
    </row>
    <row r="7" spans="2:12" ht="17.25" x14ac:dyDescent="0.25">
      <c r="I7" s="9" t="s">
        <v>50</v>
      </c>
      <c r="J7" t="s">
        <v>51</v>
      </c>
      <c r="K7" s="15">
        <f>+(4-2.8)*4.1</f>
        <v>4.92</v>
      </c>
      <c r="L7" t="s">
        <v>45</v>
      </c>
    </row>
    <row r="8" spans="2:12" ht="17.25" x14ac:dyDescent="0.25">
      <c r="I8" s="9" t="s">
        <v>52</v>
      </c>
      <c r="J8" t="s">
        <v>53</v>
      </c>
      <c r="K8" s="15">
        <f>2*2</f>
        <v>4</v>
      </c>
      <c r="L8" t="s">
        <v>45</v>
      </c>
    </row>
    <row r="9" spans="2:12" ht="15.75" thickBot="1" x14ac:dyDescent="0.3">
      <c r="I9" s="9"/>
      <c r="K9" s="15"/>
    </row>
    <row r="10" spans="2:12" ht="18" thickBot="1" x14ac:dyDescent="0.3">
      <c r="J10" s="16" t="s">
        <v>54</v>
      </c>
      <c r="K10" s="17">
        <f>+K4+K5+K6+K7-K8</f>
        <v>21.060000000000002</v>
      </c>
      <c r="L10" s="18" t="s">
        <v>45</v>
      </c>
    </row>
    <row r="16" spans="2:12" ht="15.75" thickBot="1" x14ac:dyDescent="0.3"/>
    <row r="17" spans="2:7" ht="15.75" thickBot="1" x14ac:dyDescent="0.3">
      <c r="B17" s="19" t="s">
        <v>55</v>
      </c>
      <c r="C17" s="20"/>
      <c r="D17" s="20" t="s">
        <v>56</v>
      </c>
      <c r="E17" s="18">
        <f>15.5*9.5</f>
        <v>147.25</v>
      </c>
    </row>
    <row r="19" spans="2:7" x14ac:dyDescent="0.25">
      <c r="B19" t="s">
        <v>58</v>
      </c>
      <c r="G19">
        <f>+E17*0.05*10</f>
        <v>73.625</v>
      </c>
    </row>
    <row r="20" spans="2:7" x14ac:dyDescent="0.25">
      <c r="B20" t="s">
        <v>57</v>
      </c>
      <c r="G20">
        <f>+K10*0.05*10</f>
        <v>10.530000000000001</v>
      </c>
    </row>
    <row r="22" spans="2:7" x14ac:dyDescent="0.25">
      <c r="B22" s="3" t="s">
        <v>62</v>
      </c>
    </row>
    <row r="23" spans="2:7" x14ac:dyDescent="0.25">
      <c r="B23" t="s">
        <v>59</v>
      </c>
      <c r="D23">
        <f>+G19*5</f>
        <v>368.125</v>
      </c>
    </row>
    <row r="24" spans="2:7" x14ac:dyDescent="0.25">
      <c r="B24" t="s">
        <v>60</v>
      </c>
      <c r="D24">
        <f>+G20*19</f>
        <v>200.07000000000002</v>
      </c>
    </row>
    <row r="26" spans="2:7" x14ac:dyDescent="0.25">
      <c r="B26" s="3" t="s">
        <v>61</v>
      </c>
    </row>
    <row r="28" spans="2:7" ht="15.75" thickBot="1" x14ac:dyDescent="0.3">
      <c r="B28" t="s">
        <v>63</v>
      </c>
    </row>
    <row r="29" spans="2:7" ht="15.75" thickBot="1" x14ac:dyDescent="0.3">
      <c r="B29" s="21" t="s">
        <v>64</v>
      </c>
      <c r="C29" s="22">
        <f>+(D23-D24)*6</f>
        <v>1008.3299999999999</v>
      </c>
      <c r="D29" s="23" t="s">
        <v>65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5"/>
  <sheetViews>
    <sheetView showGridLines="0" topLeftCell="A7" workbookViewId="0">
      <selection activeCell="P16" sqref="P16"/>
    </sheetView>
  </sheetViews>
  <sheetFormatPr defaultRowHeight="15" x14ac:dyDescent="0.25"/>
  <cols>
    <col min="1" max="1" width="9.140625" style="1"/>
    <col min="2" max="2" width="5.7109375" style="6" bestFit="1" customWidth="1"/>
    <col min="3" max="3" width="9.140625" style="1"/>
    <col min="4" max="4" width="3.5703125" style="1" bestFit="1" customWidth="1"/>
    <col min="5" max="5" width="2" style="1" bestFit="1" customWidth="1"/>
    <col min="6" max="6" width="5" style="1" bestFit="1" customWidth="1"/>
    <col min="7" max="7" width="4" style="1" bestFit="1" customWidth="1"/>
    <col min="8" max="8" width="2" style="1" bestFit="1" customWidth="1"/>
    <col min="9" max="9" width="5" style="1" bestFit="1" customWidth="1"/>
    <col min="10" max="10" width="4" style="1" bestFit="1" customWidth="1"/>
    <col min="11" max="11" width="2" style="1" bestFit="1" customWidth="1"/>
    <col min="12" max="12" width="9.140625" style="25"/>
    <col min="13" max="13" width="3.5703125" style="1" bestFit="1" customWidth="1"/>
    <col min="14" max="17" width="9.140625" style="1"/>
    <col min="18" max="18" width="2" style="1" bestFit="1" customWidth="1"/>
    <col min="19" max="19" width="6.5703125" style="1" bestFit="1" customWidth="1"/>
    <col min="20" max="20" width="4.85546875" style="1" bestFit="1" customWidth="1"/>
    <col min="21" max="16384" width="9.140625" style="1"/>
  </cols>
  <sheetData>
    <row r="3" spans="2:20" x14ac:dyDescent="0.25">
      <c r="B3" s="6" t="s">
        <v>66</v>
      </c>
      <c r="C3" s="1">
        <v>368.125</v>
      </c>
      <c r="D3" s="24" t="s">
        <v>65</v>
      </c>
      <c r="E3" s="1" t="s">
        <v>68</v>
      </c>
      <c r="F3" s="1">
        <v>1000</v>
      </c>
      <c r="G3" s="24" t="s">
        <v>69</v>
      </c>
      <c r="H3" s="1" t="s">
        <v>68</v>
      </c>
      <c r="I3" s="24">
        <v>1</v>
      </c>
      <c r="J3" s="24" t="s">
        <v>70</v>
      </c>
      <c r="K3" s="1" t="s">
        <v>71</v>
      </c>
      <c r="L3" s="28">
        <f>+C3*F3*I3/I4</f>
        <v>368.125</v>
      </c>
      <c r="M3" s="24" t="s">
        <v>69</v>
      </c>
    </row>
    <row r="4" spans="2:20" x14ac:dyDescent="0.25">
      <c r="D4" s="1" t="s">
        <v>67</v>
      </c>
      <c r="G4" s="1" t="s">
        <v>70</v>
      </c>
      <c r="I4" s="1">
        <v>1000</v>
      </c>
      <c r="J4" s="1" t="s">
        <v>65</v>
      </c>
      <c r="M4" s="1" t="s">
        <v>67</v>
      </c>
    </row>
    <row r="6" spans="2:20" x14ac:dyDescent="0.25">
      <c r="B6" s="6" t="s">
        <v>72</v>
      </c>
    </row>
    <row r="7" spans="2:20" x14ac:dyDescent="0.25">
      <c r="B7" s="6" t="s">
        <v>73</v>
      </c>
      <c r="C7" s="1">
        <v>75</v>
      </c>
      <c r="D7" s="24" t="s">
        <v>74</v>
      </c>
      <c r="E7" s="1" t="s">
        <v>68</v>
      </c>
      <c r="F7" s="1">
        <v>250</v>
      </c>
      <c r="G7" s="24" t="s">
        <v>69</v>
      </c>
      <c r="H7" s="1" t="s">
        <v>68</v>
      </c>
      <c r="I7" s="24">
        <v>1</v>
      </c>
      <c r="J7" s="27" t="s">
        <v>75</v>
      </c>
      <c r="K7" s="1" t="s">
        <v>71</v>
      </c>
      <c r="L7" s="28">
        <f>+C7*F7/I8</f>
        <v>312.5</v>
      </c>
      <c r="M7" s="24" t="s">
        <v>69</v>
      </c>
    </row>
    <row r="8" spans="2:20" x14ac:dyDescent="0.25">
      <c r="D8" s="1" t="s">
        <v>67</v>
      </c>
      <c r="G8" s="1" t="s">
        <v>75</v>
      </c>
      <c r="I8" s="1">
        <v>60</v>
      </c>
      <c r="J8" s="1" t="s">
        <v>76</v>
      </c>
      <c r="M8" s="1" t="s">
        <v>67</v>
      </c>
    </row>
    <row r="9" spans="2:20" ht="15.75" thickBot="1" x14ac:dyDescent="0.3"/>
    <row r="10" spans="2:20" x14ac:dyDescent="0.25">
      <c r="B10" s="6" t="s">
        <v>77</v>
      </c>
      <c r="C10" s="1">
        <v>115</v>
      </c>
      <c r="D10" s="24" t="s">
        <v>74</v>
      </c>
      <c r="E10" s="1" t="s">
        <v>68</v>
      </c>
      <c r="F10" s="1">
        <v>100</v>
      </c>
      <c r="G10" s="24" t="s">
        <v>69</v>
      </c>
      <c r="H10" s="1" t="s">
        <v>68</v>
      </c>
      <c r="I10" s="24">
        <v>1</v>
      </c>
      <c r="J10" s="27" t="s">
        <v>75</v>
      </c>
      <c r="K10" s="1" t="s">
        <v>71</v>
      </c>
      <c r="L10" s="28">
        <f>+C10*F10/I11</f>
        <v>191.66666666666666</v>
      </c>
      <c r="M10" s="24" t="s">
        <v>69</v>
      </c>
      <c r="O10" s="29"/>
      <c r="P10" s="30"/>
      <c r="Q10" s="30"/>
      <c r="R10" s="30"/>
      <c r="S10" s="30"/>
      <c r="T10" s="31"/>
    </row>
    <row r="11" spans="2:20" x14ac:dyDescent="0.25">
      <c r="D11" s="1" t="s">
        <v>67</v>
      </c>
      <c r="G11" s="1" t="s">
        <v>75</v>
      </c>
      <c r="I11" s="1">
        <v>60</v>
      </c>
      <c r="J11" s="1" t="s">
        <v>76</v>
      </c>
      <c r="M11" s="1" t="s">
        <v>67</v>
      </c>
      <c r="O11" s="32" t="s">
        <v>83</v>
      </c>
      <c r="P11" s="49" t="s">
        <v>84</v>
      </c>
      <c r="Q11" s="49"/>
      <c r="R11" s="14" t="s">
        <v>71</v>
      </c>
      <c r="S11" s="33">
        <f>19/P12</f>
        <v>1.351711871943086E-2</v>
      </c>
      <c r="T11" s="34" t="s">
        <v>86</v>
      </c>
    </row>
    <row r="12" spans="2:20" x14ac:dyDescent="0.25">
      <c r="O12" s="32"/>
      <c r="P12" s="35">
        <f>+L3+L7+L10+L13+L16+L24</f>
        <v>1405.6249999999998</v>
      </c>
      <c r="Q12" s="14" t="s">
        <v>85</v>
      </c>
      <c r="R12" s="14"/>
      <c r="S12" s="14"/>
      <c r="T12" s="34"/>
    </row>
    <row r="13" spans="2:20" ht="15.75" thickBot="1" x14ac:dyDescent="0.3">
      <c r="B13" s="6" t="s">
        <v>78</v>
      </c>
      <c r="C13" s="1">
        <v>75</v>
      </c>
      <c r="D13" s="24" t="s">
        <v>74</v>
      </c>
      <c r="E13" s="1" t="s">
        <v>68</v>
      </c>
      <c r="F13" s="1">
        <v>100</v>
      </c>
      <c r="G13" s="24" t="s">
        <v>69</v>
      </c>
      <c r="H13" s="1" t="s">
        <v>68</v>
      </c>
      <c r="I13" s="24">
        <v>1</v>
      </c>
      <c r="J13" s="27" t="s">
        <v>75</v>
      </c>
      <c r="K13" s="1" t="s">
        <v>71</v>
      </c>
      <c r="L13" s="28">
        <f>+C13*F13/I14</f>
        <v>125</v>
      </c>
      <c r="M13" s="24" t="s">
        <v>69</v>
      </c>
      <c r="O13" s="36"/>
      <c r="P13" s="37"/>
      <c r="Q13" s="37"/>
      <c r="R13" s="37"/>
      <c r="S13" s="37"/>
      <c r="T13" s="38"/>
    </row>
    <row r="14" spans="2:20" x14ac:dyDescent="0.25">
      <c r="D14" s="1" t="s">
        <v>67</v>
      </c>
      <c r="G14" s="1" t="s">
        <v>75</v>
      </c>
      <c r="I14" s="1">
        <v>60</v>
      </c>
      <c r="J14" s="1" t="s">
        <v>76</v>
      </c>
      <c r="M14" s="1" t="s">
        <v>67</v>
      </c>
    </row>
    <row r="16" spans="2:20" x14ac:dyDescent="0.25">
      <c r="B16" s="6" t="s">
        <v>79</v>
      </c>
      <c r="C16" s="1">
        <v>90</v>
      </c>
      <c r="D16" s="24" t="s">
        <v>74</v>
      </c>
      <c r="E16" s="1" t="s">
        <v>68</v>
      </c>
      <c r="F16" s="1">
        <v>150</v>
      </c>
      <c r="G16" s="24" t="s">
        <v>69</v>
      </c>
      <c r="H16" s="1" t="s">
        <v>68</v>
      </c>
      <c r="I16" s="24">
        <v>1</v>
      </c>
      <c r="J16" s="27" t="s">
        <v>75</v>
      </c>
      <c r="K16" s="1" t="s">
        <v>71</v>
      </c>
      <c r="L16" s="28">
        <f>+C16*F16/I17</f>
        <v>225</v>
      </c>
      <c r="M16" s="24" t="s">
        <v>69</v>
      </c>
    </row>
    <row r="17" spans="2:13" x14ac:dyDescent="0.25">
      <c r="D17" s="1" t="s">
        <v>67</v>
      </c>
      <c r="G17" s="1" t="s">
        <v>75</v>
      </c>
      <c r="I17" s="1">
        <v>60</v>
      </c>
      <c r="J17" s="1" t="s">
        <v>76</v>
      </c>
      <c r="M17" s="1" t="s">
        <v>67</v>
      </c>
    </row>
    <row r="20" spans="2:13" x14ac:dyDescent="0.25">
      <c r="B20" s="6" t="s">
        <v>80</v>
      </c>
    </row>
    <row r="21" spans="2:13" x14ac:dyDescent="0.25">
      <c r="B21" s="6" t="s">
        <v>81</v>
      </c>
      <c r="C21" s="1">
        <v>1100000</v>
      </c>
      <c r="D21" s="1" t="s">
        <v>69</v>
      </c>
      <c r="E21" s="26" t="s">
        <v>82</v>
      </c>
      <c r="F21" s="1">
        <v>5000</v>
      </c>
      <c r="G21" s="1" t="s">
        <v>75</v>
      </c>
      <c r="H21" s="1" t="s">
        <v>71</v>
      </c>
      <c r="I21" s="1">
        <f>+C21/F21</f>
        <v>220</v>
      </c>
      <c r="J21" s="27" t="s">
        <v>69</v>
      </c>
    </row>
    <row r="22" spans="2:13" x14ac:dyDescent="0.25">
      <c r="J22" s="1" t="s">
        <v>75</v>
      </c>
    </row>
    <row r="24" spans="2:13" x14ac:dyDescent="0.25">
      <c r="B24" s="6" t="s">
        <v>71</v>
      </c>
      <c r="C24" s="1">
        <v>220</v>
      </c>
      <c r="D24" s="24" t="s">
        <v>69</v>
      </c>
      <c r="E24" s="1" t="s">
        <v>68</v>
      </c>
      <c r="F24" s="1">
        <v>50</v>
      </c>
      <c r="G24" s="24" t="s">
        <v>74</v>
      </c>
      <c r="H24" s="1" t="s">
        <v>68</v>
      </c>
      <c r="I24" s="24">
        <v>1</v>
      </c>
      <c r="J24" s="27" t="s">
        <v>75</v>
      </c>
      <c r="K24" s="1" t="s">
        <v>71</v>
      </c>
      <c r="L24" s="28">
        <f>+C24*F24/I25</f>
        <v>183.33333333333334</v>
      </c>
      <c r="M24" s="24" t="s">
        <v>69</v>
      </c>
    </row>
    <row r="25" spans="2:13" x14ac:dyDescent="0.25">
      <c r="D25" s="1" t="s">
        <v>75</v>
      </c>
      <c r="G25" s="1" t="s">
        <v>67</v>
      </c>
      <c r="I25" s="1">
        <v>60</v>
      </c>
      <c r="J25" s="1" t="s">
        <v>76</v>
      </c>
      <c r="M25" s="1" t="s">
        <v>67</v>
      </c>
    </row>
  </sheetData>
  <mergeCells count="1">
    <mergeCell ref="P11:Q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9"/>
  <sheetViews>
    <sheetView showGridLines="0" tabSelected="1" workbookViewId="0">
      <selection activeCell="C7" sqref="C7:J11"/>
    </sheetView>
  </sheetViews>
  <sheetFormatPr defaultRowHeight="15" x14ac:dyDescent="0.25"/>
  <cols>
    <col min="3" max="3" width="7.5703125" bestFit="1" customWidth="1"/>
    <col min="4" max="4" width="4.42578125" bestFit="1" customWidth="1"/>
    <col min="5" max="5" width="2" bestFit="1" customWidth="1"/>
    <col min="6" max="6" width="4" bestFit="1" customWidth="1"/>
    <col min="7" max="7" width="3" bestFit="1" customWidth="1"/>
    <col min="8" max="8" width="2" bestFit="1" customWidth="1"/>
    <col min="9" max="9" width="3" bestFit="1" customWidth="1"/>
    <col min="10" max="10" width="5.28515625" bestFit="1" customWidth="1"/>
    <col min="11" max="11" width="2" bestFit="1" customWidth="1"/>
    <col min="12" max="12" width="3" bestFit="1" customWidth="1"/>
    <col min="13" max="13" width="4.42578125" bestFit="1" customWidth="1"/>
    <col min="14" max="14" width="2" bestFit="1" customWidth="1"/>
    <col min="15" max="15" width="4" bestFit="1" customWidth="1"/>
    <col min="16" max="16" width="2" customWidth="1"/>
    <col min="17" max="17" width="4" bestFit="1" customWidth="1"/>
    <col min="18" max="18" width="3" bestFit="1" customWidth="1"/>
    <col min="19" max="19" width="2" bestFit="1" customWidth="1"/>
    <col min="20" max="20" width="3" bestFit="1" customWidth="1"/>
    <col min="21" max="21" width="5.28515625" bestFit="1" customWidth="1"/>
    <col min="22" max="22" width="2" bestFit="1" customWidth="1"/>
    <col min="24" max="24" width="3.5703125" bestFit="1" customWidth="1"/>
  </cols>
  <sheetData>
    <row r="2" spans="2:24" x14ac:dyDescent="0.25">
      <c r="B2" t="s">
        <v>87</v>
      </c>
    </row>
    <row r="3" spans="2:24" x14ac:dyDescent="0.25">
      <c r="B3" t="s">
        <v>88</v>
      </c>
    </row>
    <row r="4" spans="2:24" x14ac:dyDescent="0.25">
      <c r="B4" t="s">
        <v>89</v>
      </c>
    </row>
    <row r="5" spans="2:24" x14ac:dyDescent="0.25">
      <c r="B5" t="s">
        <v>90</v>
      </c>
    </row>
    <row r="8" spans="2:24" x14ac:dyDescent="0.25">
      <c r="B8" s="6"/>
      <c r="C8" s="1"/>
      <c r="D8" s="1"/>
      <c r="E8" s="1"/>
      <c r="F8" s="1"/>
      <c r="G8" s="1"/>
      <c r="H8" s="1"/>
      <c r="I8" s="1"/>
      <c r="J8" s="1"/>
      <c r="K8" s="1"/>
      <c r="L8" s="14"/>
      <c r="M8" s="14"/>
      <c r="N8" s="35"/>
      <c r="O8" s="35"/>
      <c r="P8" s="35"/>
      <c r="Q8" s="14"/>
    </row>
    <row r="9" spans="2:24" x14ac:dyDescent="0.25">
      <c r="B9" s="6" t="s">
        <v>77</v>
      </c>
      <c r="C9" s="1">
        <v>100</v>
      </c>
      <c r="D9" s="24" t="s">
        <v>74</v>
      </c>
      <c r="E9" s="1" t="s">
        <v>68</v>
      </c>
      <c r="F9" s="1">
        <v>100</v>
      </c>
      <c r="G9" s="24" t="s">
        <v>69</v>
      </c>
      <c r="H9" s="1" t="s">
        <v>68</v>
      </c>
      <c r="I9" s="24">
        <v>1</v>
      </c>
      <c r="J9" s="27" t="s">
        <v>75</v>
      </c>
      <c r="K9" s="10" t="s">
        <v>91</v>
      </c>
      <c r="L9" s="1">
        <v>15</v>
      </c>
      <c r="M9" s="24" t="s">
        <v>74</v>
      </c>
      <c r="N9" s="1" t="s">
        <v>68</v>
      </c>
      <c r="O9" s="1">
        <v>100</v>
      </c>
      <c r="P9" s="1" t="s">
        <v>68</v>
      </c>
      <c r="Q9" s="1">
        <v>1.5</v>
      </c>
      <c r="R9" s="24" t="s">
        <v>69</v>
      </c>
      <c r="S9" s="1" t="s">
        <v>68</v>
      </c>
      <c r="T9" s="24">
        <v>1</v>
      </c>
      <c r="U9" s="27" t="s">
        <v>75</v>
      </c>
      <c r="V9" s="10" t="s">
        <v>71</v>
      </c>
      <c r="W9" s="15">
        <f>+C9*F9/I10+L9*O9*Q9/T10</f>
        <v>204.16666666666666</v>
      </c>
      <c r="X9" s="24" t="s">
        <v>69</v>
      </c>
    </row>
    <row r="10" spans="2:24" x14ac:dyDescent="0.25">
      <c r="B10" s="6"/>
      <c r="C10" s="1"/>
      <c r="D10" s="1" t="s">
        <v>67</v>
      </c>
      <c r="E10" s="1"/>
      <c r="F10" s="1"/>
      <c r="G10" s="1" t="s">
        <v>75</v>
      </c>
      <c r="H10" s="1"/>
      <c r="I10" s="1">
        <v>60</v>
      </c>
      <c r="J10" s="1" t="s">
        <v>76</v>
      </c>
      <c r="K10" s="1"/>
      <c r="L10" s="1"/>
      <c r="M10" s="1" t="s">
        <v>67</v>
      </c>
      <c r="N10" s="1"/>
      <c r="O10" s="1"/>
      <c r="P10" s="1"/>
      <c r="Q10" s="1"/>
      <c r="R10" s="1" t="s">
        <v>75</v>
      </c>
      <c r="S10" s="1"/>
      <c r="T10" s="1">
        <v>60</v>
      </c>
      <c r="U10" s="1" t="s">
        <v>76</v>
      </c>
      <c r="V10" s="1"/>
      <c r="X10" s="1" t="s">
        <v>67</v>
      </c>
    </row>
    <row r="13" spans="2:24" x14ac:dyDescent="0.25">
      <c r="B13" s="6" t="s">
        <v>79</v>
      </c>
      <c r="C13" s="1">
        <f>+(90-15)</f>
        <v>75</v>
      </c>
      <c r="D13" s="24" t="s">
        <v>74</v>
      </c>
      <c r="E13" s="1" t="s">
        <v>68</v>
      </c>
      <c r="F13" s="1">
        <v>150</v>
      </c>
      <c r="G13" s="24" t="s">
        <v>69</v>
      </c>
      <c r="H13" s="1" t="s">
        <v>68</v>
      </c>
      <c r="I13" s="24">
        <v>1</v>
      </c>
      <c r="J13" s="27" t="s">
        <v>75</v>
      </c>
      <c r="K13" s="10" t="s">
        <v>91</v>
      </c>
      <c r="L13" s="1">
        <v>15</v>
      </c>
      <c r="M13" s="24" t="s">
        <v>74</v>
      </c>
      <c r="N13" s="1" t="s">
        <v>68</v>
      </c>
      <c r="O13" s="1">
        <v>150</v>
      </c>
      <c r="P13" s="1" t="s">
        <v>68</v>
      </c>
      <c r="Q13" s="1">
        <v>1.5</v>
      </c>
      <c r="R13" s="24" t="s">
        <v>69</v>
      </c>
      <c r="S13" s="1" t="s">
        <v>68</v>
      </c>
      <c r="T13" s="24">
        <v>1</v>
      </c>
      <c r="U13" s="27" t="s">
        <v>75</v>
      </c>
      <c r="V13" s="10" t="s">
        <v>71</v>
      </c>
      <c r="W13">
        <f>+C13*F13/I14+L13*O13*Q13/T14</f>
        <v>243.75</v>
      </c>
      <c r="X13" s="24" t="s">
        <v>69</v>
      </c>
    </row>
    <row r="14" spans="2:24" x14ac:dyDescent="0.25">
      <c r="B14" s="6"/>
      <c r="C14" s="1"/>
      <c r="D14" s="1" t="s">
        <v>67</v>
      </c>
      <c r="E14" s="1"/>
      <c r="F14" s="1"/>
      <c r="G14" s="1" t="s">
        <v>75</v>
      </c>
      <c r="H14" s="1"/>
      <c r="I14" s="1">
        <v>60</v>
      </c>
      <c r="J14" s="1" t="s">
        <v>76</v>
      </c>
      <c r="K14" s="1"/>
      <c r="L14" s="1"/>
      <c r="M14" s="1" t="s">
        <v>67</v>
      </c>
      <c r="N14" s="1"/>
      <c r="O14" s="1"/>
      <c r="P14" s="1"/>
      <c r="Q14" s="1"/>
      <c r="R14" s="1" t="s">
        <v>75</v>
      </c>
      <c r="S14" s="1"/>
      <c r="T14" s="1">
        <v>60</v>
      </c>
      <c r="U14" s="1" t="s">
        <v>76</v>
      </c>
      <c r="V14" s="1"/>
      <c r="X14" s="1" t="s">
        <v>67</v>
      </c>
    </row>
    <row r="15" spans="2:24" ht="15.75" thickBot="1" x14ac:dyDescent="0.3"/>
    <row r="16" spans="2:24" x14ac:dyDescent="0.25"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2:12" x14ac:dyDescent="0.25">
      <c r="B17" s="42" t="s">
        <v>92</v>
      </c>
      <c r="C17" s="49" t="s">
        <v>93</v>
      </c>
      <c r="D17" s="49"/>
      <c r="E17" s="49"/>
      <c r="F17" s="49"/>
      <c r="G17" s="43" t="s">
        <v>71</v>
      </c>
      <c r="H17" s="51">
        <f>19/C18</f>
        <v>1.3223140495867768E-2</v>
      </c>
      <c r="I17" s="51"/>
      <c r="J17" s="51"/>
      <c r="K17" s="52" t="s">
        <v>86</v>
      </c>
      <c r="L17" s="52"/>
    </row>
    <row r="18" spans="2:12" x14ac:dyDescent="0.25">
      <c r="B18" s="42"/>
      <c r="C18" s="44">
        <f>+Productividad!L3+Productividad!L7+Productividad!L13+Productividad!L24+'Prod - Cambio'!W9+'Prod - Cambio'!W13</f>
        <v>1436.875</v>
      </c>
      <c r="D18" s="50" t="s">
        <v>85</v>
      </c>
      <c r="E18" s="50"/>
      <c r="F18" s="50"/>
      <c r="G18" s="43"/>
      <c r="H18" s="43"/>
      <c r="I18" s="43"/>
      <c r="J18" s="43"/>
      <c r="K18" s="43"/>
      <c r="L18" s="45"/>
    </row>
    <row r="19" spans="2:12" ht="15.75" thickBot="1" x14ac:dyDescent="0.3"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8"/>
    </row>
  </sheetData>
  <mergeCells count="4">
    <mergeCell ref="C17:F17"/>
    <mergeCell ref="D18:F18"/>
    <mergeCell ref="H17:J17"/>
    <mergeCell ref="K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Tiempos</vt:lpstr>
      <vt:lpstr>DHM</vt:lpstr>
      <vt:lpstr>Desperdicio</vt:lpstr>
      <vt:lpstr>Productividad</vt:lpstr>
      <vt:lpstr>Prod - Cambio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DESCALZO, AGUSTINA LAURA [AG/5000]</dc:creator>
  <cp:lastModifiedBy>Matu</cp:lastModifiedBy>
  <dcterms:created xsi:type="dcterms:W3CDTF">2017-07-27T14:44:01Z</dcterms:created>
  <dcterms:modified xsi:type="dcterms:W3CDTF">2021-03-02T21:21:18Z</dcterms:modified>
</cp:coreProperties>
</file>