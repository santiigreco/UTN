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0" yWindow="390" windowWidth="17055" windowHeight="11685"/>
  </bookViews>
  <sheets>
    <sheet name="Hoja1" sheetId="1" r:id="rId1"/>
    <sheet name="Nomograma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1" l="1"/>
  <c r="F33" i="1"/>
  <c r="A34" i="1"/>
  <c r="A35" i="1" l="1"/>
  <c r="A33" i="1"/>
  <c r="J42" i="1" l="1"/>
  <c r="C48" i="1"/>
  <c r="C49" i="1" s="1"/>
  <c r="C50" i="1" s="1"/>
  <c r="G42" i="1"/>
  <c r="D31" i="1"/>
  <c r="D30" i="1"/>
  <c r="A30" i="1"/>
  <c r="A31" i="1" s="1"/>
  <c r="E9" i="1" l="1"/>
  <c r="E6" i="1"/>
  <c r="E3" i="1"/>
  <c r="E10" i="1" s="1"/>
  <c r="A8" i="1"/>
  <c r="A7" i="1"/>
  <c r="B5" i="1"/>
  <c r="A6" i="1"/>
  <c r="A5" i="1"/>
  <c r="A4" i="1"/>
  <c r="A3" i="1"/>
  <c r="B3" i="1" s="1"/>
  <c r="B7" i="1" l="1"/>
  <c r="B9" i="1"/>
  <c r="B10" i="1" s="1"/>
  <c r="B12" i="1" s="1"/>
  <c r="D12" i="1" s="1"/>
  <c r="D13" i="1" s="1"/>
  <c r="B14" i="1"/>
</calcChain>
</file>

<file path=xl/sharedStrings.xml><?xml version="1.0" encoding="utf-8"?>
<sst xmlns="http://schemas.openxmlformats.org/spreadsheetml/2006/main" count="49" uniqueCount="32">
  <si>
    <t>TTA</t>
  </si>
  <si>
    <t>min</t>
  </si>
  <si>
    <t>CM</t>
  </si>
  <si>
    <t>seg</t>
  </si>
  <si>
    <t>seg/lote</t>
  </si>
  <si>
    <t>Dispersion</t>
  </si>
  <si>
    <t>seg/pza</t>
  </si>
  <si>
    <t>lote 48 pzas</t>
  </si>
  <si>
    <t>min/contenedor</t>
  </si>
  <si>
    <t>min/pza</t>
  </si>
  <si>
    <t>pzas/h</t>
  </si>
  <si>
    <t>Cuello de botella</t>
  </si>
  <si>
    <t>1)</t>
  </si>
  <si>
    <t>2)</t>
  </si>
  <si>
    <t>3)</t>
  </si>
  <si>
    <t>MO</t>
  </si>
  <si>
    <t>$/h</t>
  </si>
  <si>
    <t>PrecioVenta</t>
  </si>
  <si>
    <t>$</t>
  </si>
  <si>
    <t>Pge</t>
  </si>
  <si>
    <t>$/$</t>
  </si>
  <si>
    <t>4)</t>
  </si>
  <si>
    <t>QxF</t>
  </si>
  <si>
    <t>COD</t>
  </si>
  <si>
    <t>TMU</t>
  </si>
  <si>
    <t>1TMU</t>
  </si>
  <si>
    <t xml:space="preserve">Distancia </t>
  </si>
  <si>
    <t>cm</t>
  </si>
  <si>
    <t>R40A</t>
  </si>
  <si>
    <t>G1A</t>
  </si>
  <si>
    <t>RL1</t>
  </si>
  <si>
    <t>M40B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</si>
</sst>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  <xf numFmtId="2" fontId="0" fillId="2" borderId="0" xfId="0" applyNumberFormat="1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9525</xdr:colOff>
      <xdr:row>43</xdr:row>
      <xdr:rowOff>38100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xmlns="" id="{50386F9B-3245-47FD-8780-3F2A1DA6C55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05525" cy="82296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</xdr:pic>
    <xdr:clientData/>
  </xdr:twoCellAnchor>
  <xdr:twoCellAnchor>
    <xdr:from>
      <xdr:col>0</xdr:col>
      <xdr:colOff>657225</xdr:colOff>
      <xdr:row>15</xdr:row>
      <xdr:rowOff>180975</xdr:rowOff>
    </xdr:from>
    <xdr:to>
      <xdr:col>7</xdr:col>
      <xdr:colOff>219075</xdr:colOff>
      <xdr:row>24</xdr:row>
      <xdr:rowOff>133350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xmlns="" id="{501C4AF4-97CE-4C8D-BF44-DC70AC4E1648}"/>
            </a:ext>
          </a:extLst>
        </xdr:cNvPr>
        <xdr:cNvCxnSpPr/>
      </xdr:nvCxnSpPr>
      <xdr:spPr>
        <a:xfrm>
          <a:off x="657225" y="3038475"/>
          <a:ext cx="4895850" cy="166687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7" workbookViewId="0">
      <selection activeCell="G16" sqref="G16"/>
    </sheetView>
  </sheetViews>
  <sheetFormatPr defaultColWidth="11.42578125" defaultRowHeight="15" x14ac:dyDescent="0.25"/>
  <cols>
    <col min="3" max="3" width="11.85546875" bestFit="1" customWidth="1"/>
    <col min="5" max="5" width="11.85546875" bestFit="1" customWidth="1"/>
  </cols>
  <sheetData>
    <row r="1" spans="1:9" x14ac:dyDescent="0.25">
      <c r="A1" t="s">
        <v>12</v>
      </c>
    </row>
    <row r="2" spans="1:9" x14ac:dyDescent="0.25">
      <c r="A2" s="2"/>
      <c r="B2" s="2" t="s">
        <v>0</v>
      </c>
      <c r="E2">
        <v>26</v>
      </c>
      <c r="F2">
        <v>26.8</v>
      </c>
      <c r="G2">
        <v>26.3</v>
      </c>
      <c r="H2">
        <v>25.2</v>
      </c>
      <c r="I2">
        <v>25.6</v>
      </c>
    </row>
    <row r="3" spans="1:9" x14ac:dyDescent="0.25">
      <c r="A3" s="2">
        <f>250/3</f>
        <v>83.333333333333329</v>
      </c>
      <c r="B3" s="7">
        <f>+A3*A4/100</f>
        <v>6.8333333333333321</v>
      </c>
      <c r="E3" s="8">
        <f>+F2-H2</f>
        <v>1.6000000000000014</v>
      </c>
      <c r="F3" s="8"/>
      <c r="G3" s="8"/>
      <c r="H3" s="8"/>
      <c r="I3" s="8"/>
    </row>
    <row r="4" spans="1:9" x14ac:dyDescent="0.25">
      <c r="A4" s="2">
        <f>123/15</f>
        <v>8.1999999999999993</v>
      </c>
      <c r="B4" s="7"/>
    </row>
    <row r="5" spans="1:9" x14ac:dyDescent="0.25">
      <c r="A5" s="2">
        <f>310/3</f>
        <v>103.33333333333333</v>
      </c>
      <c r="B5" s="7">
        <f>+A6*A5/100</f>
        <v>8.3355555555555547</v>
      </c>
      <c r="E5">
        <v>25.2</v>
      </c>
      <c r="F5">
        <v>26</v>
      </c>
      <c r="G5">
        <v>25.7</v>
      </c>
      <c r="H5">
        <v>26.8</v>
      </c>
      <c r="I5">
        <v>26.5</v>
      </c>
    </row>
    <row r="6" spans="1:9" x14ac:dyDescent="0.25">
      <c r="A6" s="2">
        <f>121/15</f>
        <v>8.0666666666666664</v>
      </c>
      <c r="B6" s="7"/>
      <c r="E6" s="8">
        <f>+H5-E5</f>
        <v>1.6000000000000014</v>
      </c>
      <c r="F6" s="8"/>
      <c r="G6" s="8"/>
      <c r="H6" s="8"/>
      <c r="I6" s="8"/>
    </row>
    <row r="7" spans="1:9" x14ac:dyDescent="0.25">
      <c r="A7" s="2">
        <f>270/3</f>
        <v>90</v>
      </c>
      <c r="B7" s="7">
        <f>+A8*A7/100</f>
        <v>8.8800000000000008</v>
      </c>
    </row>
    <row r="8" spans="1:9" x14ac:dyDescent="0.25">
      <c r="A8" s="2">
        <f>148/15</f>
        <v>9.8666666666666671</v>
      </c>
      <c r="B8" s="7"/>
      <c r="E8">
        <v>26.7</v>
      </c>
      <c r="F8">
        <v>26.6</v>
      </c>
      <c r="G8">
        <v>26.5</v>
      </c>
      <c r="H8">
        <v>26.7</v>
      </c>
      <c r="I8">
        <v>25.2</v>
      </c>
    </row>
    <row r="9" spans="1:9" x14ac:dyDescent="0.25">
      <c r="A9" s="2"/>
      <c r="B9" s="2">
        <f>+SUM(B3:B8)</f>
        <v>24.048888888888889</v>
      </c>
      <c r="C9" t="s">
        <v>2</v>
      </c>
      <c r="E9" s="8">
        <f>+E8-I8</f>
        <v>1.5</v>
      </c>
      <c r="F9" s="8"/>
      <c r="G9" s="8"/>
      <c r="H9" s="8"/>
      <c r="I9" s="8"/>
    </row>
    <row r="10" spans="1:9" x14ac:dyDescent="0.25">
      <c r="B10" s="1">
        <f>+B9/100</f>
        <v>0.24048888888888889</v>
      </c>
      <c r="C10" t="s">
        <v>1</v>
      </c>
      <c r="E10">
        <f>+AVERAGE(E3,E6,E9)</f>
        <v>1.5666666666666675</v>
      </c>
    </row>
    <row r="11" spans="1:9" x14ac:dyDescent="0.25">
      <c r="B11">
        <v>1</v>
      </c>
      <c r="C11" t="s">
        <v>1</v>
      </c>
      <c r="D11">
        <v>60</v>
      </c>
      <c r="E11" t="s">
        <v>3</v>
      </c>
    </row>
    <row r="12" spans="1:9" x14ac:dyDescent="0.25">
      <c r="B12" s="1">
        <f>+B10</f>
        <v>0.24048888888888889</v>
      </c>
      <c r="C12" t="s">
        <v>1</v>
      </c>
      <c r="D12">
        <f>+B12*D11/B11</f>
        <v>14.429333333333334</v>
      </c>
      <c r="E12" t="s">
        <v>4</v>
      </c>
    </row>
    <row r="13" spans="1:9" x14ac:dyDescent="0.25">
      <c r="D13" s="3">
        <f>+D12/10</f>
        <v>1.4429333333333334</v>
      </c>
      <c r="E13" s="3" t="s">
        <v>6</v>
      </c>
    </row>
    <row r="14" spans="1:9" x14ac:dyDescent="0.25">
      <c r="A14" t="s">
        <v>5</v>
      </c>
      <c r="B14" s="3">
        <f>+(E10/B9)*100</f>
        <v>6.5145074847532829</v>
      </c>
    </row>
    <row r="15" spans="1:9" x14ac:dyDescent="0.25">
      <c r="A15" t="s">
        <v>13</v>
      </c>
    </row>
    <row r="16" spans="1:9" x14ac:dyDescent="0.25">
      <c r="B16" s="4"/>
    </row>
    <row r="17" spans="1:6" x14ac:dyDescent="0.25">
      <c r="F17" s="4"/>
    </row>
    <row r="18" spans="1:6" x14ac:dyDescent="0.25">
      <c r="B18" s="4"/>
      <c r="D18" s="4"/>
    </row>
    <row r="19" spans="1:6" x14ac:dyDescent="0.25">
      <c r="F19" s="4"/>
    </row>
    <row r="20" spans="1:6" x14ac:dyDescent="0.25">
      <c r="B20" s="4"/>
      <c r="D20" s="4"/>
    </row>
    <row r="21" spans="1:6" x14ac:dyDescent="0.25">
      <c r="F21" s="4"/>
    </row>
    <row r="22" spans="1:6" x14ac:dyDescent="0.25">
      <c r="B22" s="4"/>
      <c r="D22" s="4"/>
    </row>
    <row r="23" spans="1:6" x14ac:dyDescent="0.25">
      <c r="F23" s="4"/>
    </row>
    <row r="24" spans="1:6" x14ac:dyDescent="0.25">
      <c r="B24" s="4"/>
      <c r="D24" s="4"/>
    </row>
    <row r="26" spans="1:6" x14ac:dyDescent="0.25">
      <c r="B26" s="4"/>
    </row>
    <row r="28" spans="1:6" x14ac:dyDescent="0.25">
      <c r="A28" t="s">
        <v>7</v>
      </c>
    </row>
    <row r="29" spans="1:6" x14ac:dyDescent="0.25">
      <c r="A29">
        <v>0.75</v>
      </c>
      <c r="B29" t="s">
        <v>8</v>
      </c>
      <c r="D29">
        <v>0.65</v>
      </c>
      <c r="E29" t="s">
        <v>8</v>
      </c>
    </row>
    <row r="30" spans="1:6" x14ac:dyDescent="0.25">
      <c r="A30">
        <f>+A29/48</f>
        <v>1.5625E-2</v>
      </c>
      <c r="B30" t="s">
        <v>9</v>
      </c>
      <c r="D30">
        <f>+D29/48</f>
        <v>1.3541666666666667E-2</v>
      </c>
      <c r="E30" t="s">
        <v>9</v>
      </c>
    </row>
    <row r="31" spans="1:6" x14ac:dyDescent="0.25">
      <c r="A31">
        <f>+A30*60</f>
        <v>0.9375</v>
      </c>
      <c r="B31" t="s">
        <v>6</v>
      </c>
      <c r="D31">
        <f>+D30*60</f>
        <v>0.8125</v>
      </c>
      <c r="E31" t="s">
        <v>6</v>
      </c>
    </row>
    <row r="33" spans="1:12" x14ac:dyDescent="0.25">
      <c r="A33" s="9">
        <f>3600/(D13)*6</f>
        <v>14969.506560709664</v>
      </c>
      <c r="B33" s="3" t="s">
        <v>10</v>
      </c>
      <c r="C33" s="6" t="s">
        <v>11</v>
      </c>
      <c r="D33" s="6"/>
      <c r="E33" s="10">
        <v>15000</v>
      </c>
      <c r="F33" s="10">
        <f>+E33*0.96</f>
        <v>14400</v>
      </c>
      <c r="G33" t="s">
        <v>10</v>
      </c>
    </row>
    <row r="34" spans="1:12" x14ac:dyDescent="0.25">
      <c r="A34" s="5">
        <f>(3600/(A31)*2)*2</f>
        <v>15360</v>
      </c>
      <c r="B34" s="3" t="s">
        <v>10</v>
      </c>
    </row>
    <row r="35" spans="1:12" x14ac:dyDescent="0.25">
      <c r="A35" s="5">
        <f>3600/(D31)*4</f>
        <v>17723.076923076922</v>
      </c>
      <c r="B35" s="3" t="s">
        <v>10</v>
      </c>
    </row>
    <row r="36" spans="1:12" x14ac:dyDescent="0.25">
      <c r="A36" t="s">
        <v>14</v>
      </c>
    </row>
    <row r="37" spans="1:12" x14ac:dyDescent="0.25">
      <c r="A37" t="s">
        <v>15</v>
      </c>
      <c r="B37">
        <v>115</v>
      </c>
      <c r="C37" t="s">
        <v>16</v>
      </c>
      <c r="E37" t="s">
        <v>17</v>
      </c>
      <c r="F37">
        <v>56</v>
      </c>
      <c r="G37" t="s">
        <v>18</v>
      </c>
    </row>
    <row r="39" spans="1:12" x14ac:dyDescent="0.25">
      <c r="A39" t="s">
        <v>19</v>
      </c>
      <c r="B39">
        <f>(+F33*F37)/(B37*12)</f>
        <v>584.3478260869565</v>
      </c>
      <c r="C39" t="s">
        <v>20</v>
      </c>
    </row>
    <row r="41" spans="1:12" x14ac:dyDescent="0.25">
      <c r="A41" t="s">
        <v>21</v>
      </c>
    </row>
    <row r="42" spans="1:12" x14ac:dyDescent="0.25">
      <c r="A42" t="s">
        <v>22</v>
      </c>
      <c r="B42" t="s">
        <v>23</v>
      </c>
      <c r="C42" t="s">
        <v>24</v>
      </c>
      <c r="D42" t="s">
        <v>23</v>
      </c>
      <c r="E42" t="s">
        <v>22</v>
      </c>
      <c r="F42" t="s">
        <v>25</v>
      </c>
      <c r="G42">
        <f>0.036/60</f>
        <v>5.9999999999999995E-4</v>
      </c>
      <c r="H42" t="s">
        <v>1</v>
      </c>
      <c r="I42" t="s">
        <v>26</v>
      </c>
      <c r="J42">
        <f>0.16+0.22</f>
        <v>0.38</v>
      </c>
      <c r="K42">
        <v>35</v>
      </c>
      <c r="L42" t="s">
        <v>27</v>
      </c>
    </row>
    <row r="43" spans="1:12" x14ac:dyDescent="0.25">
      <c r="B43" t="s">
        <v>28</v>
      </c>
      <c r="C43">
        <v>10.4</v>
      </c>
      <c r="D43" t="s">
        <v>28</v>
      </c>
    </row>
    <row r="44" spans="1:12" x14ac:dyDescent="0.25">
      <c r="B44" t="s">
        <v>31</v>
      </c>
      <c r="C44">
        <v>14.3</v>
      </c>
      <c r="D44" t="s">
        <v>31</v>
      </c>
    </row>
    <row r="45" spans="1:12" x14ac:dyDescent="0.25">
      <c r="B45" t="s">
        <v>29</v>
      </c>
      <c r="C45">
        <v>2</v>
      </c>
      <c r="D45" t="s">
        <v>29</v>
      </c>
    </row>
    <row r="46" spans="1:12" x14ac:dyDescent="0.25">
      <c r="B46" t="s">
        <v>30</v>
      </c>
      <c r="C46">
        <v>0</v>
      </c>
      <c r="D46" t="s">
        <v>30</v>
      </c>
    </row>
    <row r="48" spans="1:12" x14ac:dyDescent="0.25">
      <c r="C48">
        <f>+SUM(C43:C46)*2</f>
        <v>53.400000000000006</v>
      </c>
    </row>
    <row r="49" spans="3:4" x14ac:dyDescent="0.25">
      <c r="C49">
        <f>+C48*24</f>
        <v>1281.6000000000001</v>
      </c>
    </row>
    <row r="50" spans="3:4" x14ac:dyDescent="0.25">
      <c r="C50">
        <f>+C49*G42</f>
        <v>0.76895999999999998</v>
      </c>
      <c r="D50" t="s">
        <v>1</v>
      </c>
    </row>
  </sheetData>
  <mergeCells count="7">
    <mergeCell ref="C33:D33"/>
    <mergeCell ref="B3:B4"/>
    <mergeCell ref="B5:B6"/>
    <mergeCell ref="B7:B8"/>
    <mergeCell ref="E3:I3"/>
    <mergeCell ref="E6:I6"/>
    <mergeCell ref="E9:I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" sqref="I1"/>
    </sheetView>
  </sheetViews>
  <sheetFormatPr defaultColWidth="11.425781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Nomograma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Matu</cp:lastModifiedBy>
  <dcterms:created xsi:type="dcterms:W3CDTF">2020-10-12T22:00:09Z</dcterms:created>
  <dcterms:modified xsi:type="dcterms:W3CDTF">2021-06-18T22:17:35Z</dcterms:modified>
</cp:coreProperties>
</file>