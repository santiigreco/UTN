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és\Back up Andres\facultad a final\Estudio del trabajo\Finales\20210226\"/>
    </mc:Choice>
  </mc:AlternateContent>
  <bookViews>
    <workbookView xWindow="0" yWindow="0" windowWidth="20490" windowHeight="7650" activeTab="3"/>
  </bookViews>
  <sheets>
    <sheet name="1P" sheetId="1" r:id="rId1"/>
    <sheet name="2P" sheetId="2" r:id="rId2"/>
    <sheet name="3P" sheetId="3" r:id="rId3"/>
    <sheet name="4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4" l="1"/>
  <c r="J21" i="4"/>
  <c r="G21" i="4"/>
  <c r="D21" i="4"/>
  <c r="H11" i="4" l="1"/>
  <c r="G11" i="4"/>
  <c r="H9" i="4"/>
  <c r="G9" i="4"/>
  <c r="F5" i="4"/>
  <c r="D10" i="4" s="1"/>
  <c r="I18" i="3"/>
  <c r="I17" i="3"/>
  <c r="G20" i="3"/>
  <c r="G19" i="3"/>
  <c r="G18" i="3"/>
  <c r="D20" i="3"/>
  <c r="D19" i="3"/>
  <c r="D18" i="3"/>
  <c r="I15" i="3"/>
  <c r="I14" i="3"/>
  <c r="I13" i="3"/>
  <c r="I12" i="3"/>
  <c r="I11" i="3"/>
  <c r="I10" i="3"/>
  <c r="I9" i="3"/>
  <c r="I8" i="3"/>
  <c r="I16" i="3" s="1"/>
  <c r="I7" i="3"/>
  <c r="I6" i="3"/>
  <c r="F7" i="3"/>
  <c r="F8" i="3"/>
  <c r="F9" i="3"/>
  <c r="F10" i="3"/>
  <c r="F11" i="3"/>
  <c r="F12" i="3"/>
  <c r="F13" i="3"/>
  <c r="F14" i="3"/>
  <c r="F15" i="3"/>
  <c r="F6" i="3"/>
  <c r="F16" i="3" s="1"/>
  <c r="F13" i="2"/>
  <c r="F12" i="2"/>
  <c r="E14" i="2"/>
  <c r="E15" i="2"/>
  <c r="C13" i="2"/>
  <c r="J14" i="2"/>
  <c r="J16" i="2"/>
  <c r="E13" i="2"/>
  <c r="E12" i="2"/>
  <c r="L134" i="1"/>
  <c r="Q129" i="1"/>
  <c r="P129" i="1"/>
  <c r="M129" i="1"/>
  <c r="L129" i="1"/>
  <c r="I23" i="1"/>
  <c r="H23" i="1"/>
  <c r="I15" i="1"/>
  <c r="I16" i="1" s="1"/>
  <c r="I19" i="1" s="1"/>
  <c r="I20" i="1" s="1"/>
  <c r="I21" i="1" s="1"/>
  <c r="H15" i="1"/>
  <c r="H16" i="1"/>
  <c r="H19" i="1" s="1"/>
  <c r="H20" i="1" s="1"/>
  <c r="H21" i="1" s="1"/>
</calcChain>
</file>

<file path=xl/sharedStrings.xml><?xml version="1.0" encoding="utf-8"?>
<sst xmlns="http://schemas.openxmlformats.org/spreadsheetml/2006/main" count="873" uniqueCount="84">
  <si>
    <t>Capacidad del sector de conformado si:</t>
  </si>
  <si>
    <t>1. 2 operarios operan c/ balancín</t>
  </si>
  <si>
    <t>2. 1 operario opera los 2 balancines</t>
  </si>
  <si>
    <t>Considerar trabajo de 2hs y balancines aptos para cualquier pieza</t>
  </si>
  <si>
    <t>Operario</t>
  </si>
  <si>
    <t>Balancín 1</t>
  </si>
  <si>
    <t>Balancín 2</t>
  </si>
  <si>
    <t>Set up</t>
  </si>
  <si>
    <t>Tiempo</t>
  </si>
  <si>
    <t>Carga</t>
  </si>
  <si>
    <t>Maquineado</t>
  </si>
  <si>
    <t>Descarga</t>
  </si>
  <si>
    <t>Desalistamiento</t>
  </si>
  <si>
    <t>sup</t>
  </si>
  <si>
    <t>c</t>
  </si>
  <si>
    <t>d</t>
  </si>
  <si>
    <t>B1</t>
  </si>
  <si>
    <t>des</t>
  </si>
  <si>
    <t>maq</t>
  </si>
  <si>
    <t>B2</t>
  </si>
  <si>
    <t>T total</t>
  </si>
  <si>
    <t>Tdisp</t>
  </si>
  <si>
    <t>Lotes</t>
  </si>
  <si>
    <t>P/lote</t>
  </si>
  <si>
    <t>Capacidad total</t>
  </si>
  <si>
    <t>Operario 1</t>
  </si>
  <si>
    <t>Piezas/min</t>
  </si>
  <si>
    <t>desalistamiento</t>
  </si>
  <si>
    <t>desal</t>
  </si>
  <si>
    <t>84min</t>
  </si>
  <si>
    <t>pt</t>
  </si>
  <si>
    <t>MOD neto</t>
  </si>
  <si>
    <t>min</t>
  </si>
  <si>
    <t>Costo MOD</t>
  </si>
  <si>
    <t>Pep mano de obra sector de conformado para ambas opciones del P1</t>
  </si>
  <si>
    <t>Op1</t>
  </si>
  <si>
    <t>Op2</t>
  </si>
  <si>
    <t>Opción 1</t>
  </si>
  <si>
    <t>Opción 2</t>
  </si>
  <si>
    <t>$/hs</t>
  </si>
  <si>
    <t>total</t>
  </si>
  <si>
    <t>Costo</t>
  </si>
  <si>
    <t>TTA para el montaje del PE1 y PE2</t>
  </si>
  <si>
    <t>ciclo 1</t>
  </si>
  <si>
    <t>ciclo 2</t>
  </si>
  <si>
    <t>ciclo 3</t>
  </si>
  <si>
    <t>ciclo 4</t>
  </si>
  <si>
    <t>ciclo 5</t>
  </si>
  <si>
    <t>ciclo 6</t>
  </si>
  <si>
    <t>ciclo 7</t>
  </si>
  <si>
    <t>ciclo 8</t>
  </si>
  <si>
    <t>ciclo 9</t>
  </si>
  <si>
    <t>ciclo 10</t>
  </si>
  <si>
    <t>PE1</t>
  </si>
  <si>
    <t>PE2</t>
  </si>
  <si>
    <t>TTA</t>
  </si>
  <si>
    <t>8 OPERARIOS</t>
  </si>
  <si>
    <t>5 MONTAJE</t>
  </si>
  <si>
    <t xml:space="preserve"> -&gt;</t>
  </si>
  <si>
    <t>T TOTAL ENSAMBLE</t>
  </si>
  <si>
    <t>PT/H</t>
  </si>
  <si>
    <t>MIN/PIEZA</t>
  </si>
  <si>
    <t>R207</t>
  </si>
  <si>
    <t>R209</t>
  </si>
  <si>
    <t>Cantidad</t>
  </si>
  <si>
    <t>Semielab</t>
  </si>
  <si>
    <t>Capacidad</t>
  </si>
  <si>
    <t>Operarios</t>
  </si>
  <si>
    <t>PT</t>
  </si>
  <si>
    <t>MONTAJE (2 operarios)</t>
  </si>
  <si>
    <t>C MECANIZADO (1 operario)</t>
  </si>
  <si>
    <t>TIEMPOS YA CALCULADOS</t>
  </si>
  <si>
    <t>BALANCIN 1 (1 operario)</t>
  </si>
  <si>
    <t>BALANCIN 2 (1 OPERARIO)</t>
  </si>
  <si>
    <t>3 C MECANIZADO (3 OPER)</t>
  </si>
  <si>
    <t>R207/H</t>
  </si>
  <si>
    <t>R209/H</t>
  </si>
  <si>
    <t>3 BALANCINES (3 OPERARIOS)</t>
  </si>
  <si>
    <t xml:space="preserve"> -&gt; 25 pt/h</t>
  </si>
  <si>
    <t xml:space="preserve"> -&gt; 50 PT/H</t>
  </si>
  <si>
    <t>operarios</t>
  </si>
  <si>
    <t>capacidad</t>
  </si>
  <si>
    <t>TOTAL</t>
  </si>
  <si>
    <t>PT/hora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</si>
</sst>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34"/>
  <sheetViews>
    <sheetView topLeftCell="A20" zoomScale="60" zoomScaleNormal="60" workbookViewId="0">
      <selection activeCell="G26" sqref="G26"/>
    </sheetView>
  </sheetViews>
  <sheetFormatPr baseColWidth="10" defaultRowHeight="15" x14ac:dyDescent="0.25"/>
  <sheetData>
    <row r="2" spans="1:17" x14ac:dyDescent="0.25">
      <c r="B2" t="s">
        <v>0</v>
      </c>
    </row>
    <row r="3" spans="1:17" x14ac:dyDescent="0.25">
      <c r="B3" t="s">
        <v>1</v>
      </c>
    </row>
    <row r="4" spans="1:17" x14ac:dyDescent="0.25">
      <c r="B4" t="s">
        <v>2</v>
      </c>
    </row>
    <row r="5" spans="1:17" x14ac:dyDescent="0.25">
      <c r="B5" t="s">
        <v>3</v>
      </c>
    </row>
    <row r="7" spans="1:17" x14ac:dyDescent="0.25">
      <c r="A7" t="s">
        <v>8</v>
      </c>
      <c r="B7" t="s">
        <v>4</v>
      </c>
      <c r="C7" t="s">
        <v>5</v>
      </c>
      <c r="D7" t="s">
        <v>4</v>
      </c>
      <c r="E7" t="s">
        <v>6</v>
      </c>
      <c r="H7" t="s">
        <v>16</v>
      </c>
      <c r="I7" t="s">
        <v>19</v>
      </c>
      <c r="J7" t="s">
        <v>8</v>
      </c>
      <c r="K7" t="s">
        <v>25</v>
      </c>
      <c r="L7" t="s">
        <v>16</v>
      </c>
      <c r="M7" t="s">
        <v>19</v>
      </c>
      <c r="N7" t="s">
        <v>8</v>
      </c>
      <c r="O7" t="s">
        <v>25</v>
      </c>
      <c r="P7" t="s">
        <v>16</v>
      </c>
      <c r="Q7" t="s">
        <v>19</v>
      </c>
    </row>
    <row r="8" spans="1:17" x14ac:dyDescent="0.25">
      <c r="A8">
        <v>1</v>
      </c>
      <c r="B8" t="s">
        <v>7</v>
      </c>
      <c r="D8" t="s">
        <v>7</v>
      </c>
      <c r="G8" t="s">
        <v>13</v>
      </c>
      <c r="H8">
        <v>12</v>
      </c>
      <c r="I8">
        <v>15</v>
      </c>
      <c r="J8">
        <v>1</v>
      </c>
      <c r="K8" s="2" t="s">
        <v>7</v>
      </c>
      <c r="L8" s="2" t="s">
        <v>7</v>
      </c>
      <c r="N8">
        <v>1</v>
      </c>
      <c r="O8" t="s">
        <v>7</v>
      </c>
      <c r="Q8" t="s">
        <v>7</v>
      </c>
    </row>
    <row r="9" spans="1:17" x14ac:dyDescent="0.25">
      <c r="A9">
        <v>2</v>
      </c>
      <c r="B9" t="s">
        <v>7</v>
      </c>
      <c r="D9" t="s">
        <v>7</v>
      </c>
      <c r="G9" t="s">
        <v>14</v>
      </c>
      <c r="H9">
        <v>3</v>
      </c>
      <c r="I9">
        <v>3</v>
      </c>
      <c r="J9">
        <v>2</v>
      </c>
      <c r="K9" s="2" t="s">
        <v>7</v>
      </c>
      <c r="L9" s="2" t="s">
        <v>7</v>
      </c>
      <c r="N9">
        <v>2</v>
      </c>
      <c r="O9" t="s">
        <v>7</v>
      </c>
      <c r="Q9" t="s">
        <v>7</v>
      </c>
    </row>
    <row r="10" spans="1:17" x14ac:dyDescent="0.25">
      <c r="A10">
        <v>3</v>
      </c>
      <c r="B10" t="s">
        <v>7</v>
      </c>
      <c r="D10" t="s">
        <v>7</v>
      </c>
      <c r="G10" t="s">
        <v>18</v>
      </c>
      <c r="H10">
        <v>15</v>
      </c>
      <c r="I10">
        <v>18</v>
      </c>
      <c r="J10">
        <v>3</v>
      </c>
      <c r="K10" s="2" t="s">
        <v>7</v>
      </c>
      <c r="L10" s="2" t="s">
        <v>7</v>
      </c>
      <c r="N10">
        <v>3</v>
      </c>
      <c r="O10" t="s">
        <v>7</v>
      </c>
      <c r="Q10" t="s">
        <v>7</v>
      </c>
    </row>
    <row r="11" spans="1:17" x14ac:dyDescent="0.25">
      <c r="A11">
        <v>4</v>
      </c>
      <c r="B11" t="s">
        <v>7</v>
      </c>
      <c r="D11" t="s">
        <v>7</v>
      </c>
      <c r="G11" t="s">
        <v>15</v>
      </c>
      <c r="H11">
        <v>3</v>
      </c>
      <c r="I11">
        <v>3</v>
      </c>
      <c r="J11">
        <v>4</v>
      </c>
      <c r="K11" s="2" t="s">
        <v>7</v>
      </c>
      <c r="L11" s="2" t="s">
        <v>7</v>
      </c>
      <c r="N11">
        <v>4</v>
      </c>
      <c r="O11" t="s">
        <v>7</v>
      </c>
      <c r="Q11" t="s">
        <v>7</v>
      </c>
    </row>
    <row r="12" spans="1:17" x14ac:dyDescent="0.25">
      <c r="A12">
        <v>5</v>
      </c>
      <c r="B12" t="s">
        <v>7</v>
      </c>
      <c r="D12" t="s">
        <v>7</v>
      </c>
      <c r="G12" t="s">
        <v>17</v>
      </c>
      <c r="H12">
        <v>3</v>
      </c>
      <c r="I12">
        <v>6</v>
      </c>
      <c r="J12">
        <v>5</v>
      </c>
      <c r="K12" s="2" t="s">
        <v>7</v>
      </c>
      <c r="L12" s="2" t="s">
        <v>7</v>
      </c>
      <c r="N12">
        <v>5</v>
      </c>
      <c r="O12" t="s">
        <v>7</v>
      </c>
      <c r="Q12" t="s">
        <v>7</v>
      </c>
    </row>
    <row r="13" spans="1:17" x14ac:dyDescent="0.25">
      <c r="A13">
        <v>6</v>
      </c>
      <c r="B13" t="s">
        <v>7</v>
      </c>
      <c r="D13" t="s">
        <v>7</v>
      </c>
      <c r="J13">
        <v>6</v>
      </c>
      <c r="K13" s="2" t="s">
        <v>7</v>
      </c>
      <c r="L13" s="2" t="s">
        <v>7</v>
      </c>
      <c r="N13">
        <v>6</v>
      </c>
      <c r="O13" t="s">
        <v>7</v>
      </c>
      <c r="Q13" t="s">
        <v>7</v>
      </c>
    </row>
    <row r="14" spans="1:17" x14ac:dyDescent="0.25">
      <c r="A14">
        <v>7</v>
      </c>
      <c r="B14" t="s">
        <v>7</v>
      </c>
      <c r="D14" t="s">
        <v>7</v>
      </c>
      <c r="G14" t="s">
        <v>20</v>
      </c>
      <c r="H14">
        <v>120</v>
      </c>
      <c r="I14">
        <v>120</v>
      </c>
      <c r="J14">
        <v>7</v>
      </c>
      <c r="K14" s="2" t="s">
        <v>7</v>
      </c>
      <c r="L14" s="2" t="s">
        <v>7</v>
      </c>
      <c r="N14">
        <v>7</v>
      </c>
      <c r="O14" t="s">
        <v>7</v>
      </c>
      <c r="Q14" t="s">
        <v>7</v>
      </c>
    </row>
    <row r="15" spans="1:17" x14ac:dyDescent="0.25">
      <c r="A15">
        <v>8</v>
      </c>
      <c r="B15" t="s">
        <v>7</v>
      </c>
      <c r="D15" t="s">
        <v>7</v>
      </c>
      <c r="G15" t="s">
        <v>21</v>
      </c>
      <c r="H15">
        <f>+H14-H12-H8</f>
        <v>105</v>
      </c>
      <c r="I15">
        <f>+I14-I12-I8</f>
        <v>99</v>
      </c>
      <c r="J15">
        <v>8</v>
      </c>
      <c r="K15" s="2" t="s">
        <v>7</v>
      </c>
      <c r="L15" s="2" t="s">
        <v>7</v>
      </c>
      <c r="N15">
        <v>8</v>
      </c>
      <c r="O15" t="s">
        <v>7</v>
      </c>
      <c r="Q15" t="s">
        <v>7</v>
      </c>
    </row>
    <row r="16" spans="1:17" x14ac:dyDescent="0.25">
      <c r="A16">
        <v>9</v>
      </c>
      <c r="B16" t="s">
        <v>7</v>
      </c>
      <c r="D16" t="s">
        <v>7</v>
      </c>
      <c r="G16" t="s">
        <v>22</v>
      </c>
      <c r="H16">
        <f>+H15/SUM(H9:H11)</f>
        <v>5</v>
      </c>
      <c r="I16">
        <f>+ROUNDDOWN(I15/SUM(I9:I10),0)</f>
        <v>4</v>
      </c>
      <c r="J16">
        <v>9</v>
      </c>
      <c r="K16" s="2" t="s">
        <v>7</v>
      </c>
      <c r="L16" s="2" t="s">
        <v>7</v>
      </c>
      <c r="N16">
        <v>9</v>
      </c>
      <c r="O16" t="s">
        <v>7</v>
      </c>
      <c r="Q16" t="s">
        <v>7</v>
      </c>
    </row>
    <row r="17" spans="1:17" x14ac:dyDescent="0.25">
      <c r="A17">
        <v>10</v>
      </c>
      <c r="B17" t="s">
        <v>7</v>
      </c>
      <c r="D17" t="s">
        <v>7</v>
      </c>
      <c r="J17">
        <v>10</v>
      </c>
      <c r="K17" s="2" t="s">
        <v>7</v>
      </c>
      <c r="L17" s="2" t="s">
        <v>7</v>
      </c>
      <c r="N17">
        <v>10</v>
      </c>
      <c r="O17" t="s">
        <v>7</v>
      </c>
      <c r="Q17" t="s">
        <v>7</v>
      </c>
    </row>
    <row r="18" spans="1:17" x14ac:dyDescent="0.25">
      <c r="A18">
        <v>11</v>
      </c>
      <c r="B18" t="s">
        <v>7</v>
      </c>
      <c r="D18" t="s">
        <v>7</v>
      </c>
      <c r="G18" t="s">
        <v>23</v>
      </c>
      <c r="H18">
        <v>10</v>
      </c>
      <c r="I18">
        <v>25</v>
      </c>
      <c r="J18">
        <v>11</v>
      </c>
      <c r="K18" s="2" t="s">
        <v>7</v>
      </c>
      <c r="L18" s="2" t="s">
        <v>7</v>
      </c>
      <c r="N18">
        <v>11</v>
      </c>
      <c r="O18" t="s">
        <v>7</v>
      </c>
      <c r="Q18" t="s">
        <v>7</v>
      </c>
    </row>
    <row r="19" spans="1:17" x14ac:dyDescent="0.25">
      <c r="A19">
        <v>12</v>
      </c>
      <c r="B19" t="s">
        <v>7</v>
      </c>
      <c r="D19" t="s">
        <v>7</v>
      </c>
      <c r="G19" t="s">
        <v>24</v>
      </c>
      <c r="H19">
        <f>+H18*H16</f>
        <v>50</v>
      </c>
      <c r="I19">
        <f>+I18*I16</f>
        <v>100</v>
      </c>
      <c r="J19">
        <v>12</v>
      </c>
      <c r="K19" s="2" t="s">
        <v>7</v>
      </c>
      <c r="L19" s="2" t="s">
        <v>7</v>
      </c>
      <c r="N19">
        <v>12</v>
      </c>
      <c r="O19" t="s">
        <v>7</v>
      </c>
      <c r="Q19" t="s">
        <v>7</v>
      </c>
    </row>
    <row r="20" spans="1:17" x14ac:dyDescent="0.25">
      <c r="A20">
        <v>13</v>
      </c>
      <c r="B20" t="s">
        <v>9</v>
      </c>
      <c r="D20" t="s">
        <v>7</v>
      </c>
      <c r="G20" t="s">
        <v>26</v>
      </c>
      <c r="H20">
        <f>+H19/H23</f>
        <v>0.47619047619047616</v>
      </c>
      <c r="I20">
        <f>+I19/I23</f>
        <v>0.95238095238095233</v>
      </c>
      <c r="J20">
        <v>13</v>
      </c>
      <c r="K20" s="2" t="s">
        <v>9</v>
      </c>
      <c r="L20" s="2" t="s">
        <v>9</v>
      </c>
      <c r="N20">
        <v>13</v>
      </c>
      <c r="O20" t="s">
        <v>7</v>
      </c>
      <c r="Q20" t="s">
        <v>7</v>
      </c>
    </row>
    <row r="21" spans="1:17" x14ac:dyDescent="0.25">
      <c r="A21">
        <v>14</v>
      </c>
      <c r="B21" t="s">
        <v>9</v>
      </c>
      <c r="D21" t="s">
        <v>7</v>
      </c>
      <c r="H21">
        <f>60/H20</f>
        <v>126</v>
      </c>
      <c r="I21">
        <f>60/I20</f>
        <v>63</v>
      </c>
      <c r="J21">
        <v>14</v>
      </c>
      <c r="K21" s="2" t="s">
        <v>9</v>
      </c>
      <c r="L21" s="2" t="s">
        <v>9</v>
      </c>
      <c r="N21">
        <v>14</v>
      </c>
      <c r="O21" t="s">
        <v>7</v>
      </c>
      <c r="Q21" t="s">
        <v>7</v>
      </c>
    </row>
    <row r="22" spans="1:17" x14ac:dyDescent="0.25">
      <c r="A22">
        <v>15</v>
      </c>
      <c r="B22" t="s">
        <v>9</v>
      </c>
      <c r="D22" t="s">
        <v>7</v>
      </c>
      <c r="J22">
        <v>15</v>
      </c>
      <c r="K22" s="2" t="s">
        <v>9</v>
      </c>
      <c r="L22" s="2" t="s">
        <v>9</v>
      </c>
      <c r="N22">
        <v>15</v>
      </c>
      <c r="O22" t="s">
        <v>7</v>
      </c>
      <c r="Q22" t="s">
        <v>7</v>
      </c>
    </row>
    <row r="23" spans="1:17" x14ac:dyDescent="0.25">
      <c r="A23">
        <v>16</v>
      </c>
      <c r="D23" t="s">
        <v>9</v>
      </c>
      <c r="G23">
        <v>50</v>
      </c>
      <c r="H23">
        <f>15+6+21*4</f>
        <v>105</v>
      </c>
      <c r="I23">
        <f>15+6+21*4</f>
        <v>105</v>
      </c>
      <c r="J23">
        <v>16</v>
      </c>
      <c r="K23" t="s">
        <v>7</v>
      </c>
      <c r="L23" s="2" t="s">
        <v>10</v>
      </c>
      <c r="M23" t="s">
        <v>7</v>
      </c>
      <c r="N23">
        <v>16</v>
      </c>
      <c r="O23" t="s">
        <v>9</v>
      </c>
      <c r="Q23" t="s">
        <v>9</v>
      </c>
    </row>
    <row r="24" spans="1:17" x14ac:dyDescent="0.25">
      <c r="A24">
        <v>17</v>
      </c>
      <c r="C24" t="s">
        <v>10</v>
      </c>
      <c r="D24" t="s">
        <v>9</v>
      </c>
      <c r="G24" s="1">
        <v>25</v>
      </c>
      <c r="H24" s="1" t="s">
        <v>83</v>
      </c>
      <c r="J24">
        <v>17</v>
      </c>
      <c r="K24" t="s">
        <v>7</v>
      </c>
      <c r="L24" s="2" t="s">
        <v>10</v>
      </c>
      <c r="M24" t="s">
        <v>7</v>
      </c>
      <c r="N24">
        <v>17</v>
      </c>
      <c r="O24" t="s">
        <v>9</v>
      </c>
      <c r="Q24" t="s">
        <v>9</v>
      </c>
    </row>
    <row r="25" spans="1:17" x14ac:dyDescent="0.25">
      <c r="A25">
        <v>18</v>
      </c>
      <c r="C25" t="s">
        <v>10</v>
      </c>
      <c r="D25" t="s">
        <v>9</v>
      </c>
      <c r="J25">
        <v>18</v>
      </c>
      <c r="K25" t="s">
        <v>7</v>
      </c>
      <c r="L25" s="2" t="s">
        <v>10</v>
      </c>
      <c r="M25" t="s">
        <v>7</v>
      </c>
      <c r="N25">
        <v>18</v>
      </c>
      <c r="O25" t="s">
        <v>9</v>
      </c>
      <c r="Q25" t="s">
        <v>9</v>
      </c>
    </row>
    <row r="26" spans="1:17" x14ac:dyDescent="0.25">
      <c r="A26">
        <v>19</v>
      </c>
      <c r="C26" t="s">
        <v>10</v>
      </c>
      <c r="E26" t="s">
        <v>10</v>
      </c>
      <c r="J26">
        <v>19</v>
      </c>
      <c r="K26" t="s">
        <v>7</v>
      </c>
      <c r="L26" s="2" t="s">
        <v>10</v>
      </c>
      <c r="M26" t="s">
        <v>7</v>
      </c>
      <c r="N26">
        <v>19</v>
      </c>
      <c r="O26" t="s">
        <v>7</v>
      </c>
      <c r="P26" t="s">
        <v>7</v>
      </c>
      <c r="Q26" s="1" t="s">
        <v>10</v>
      </c>
    </row>
    <row r="27" spans="1:17" x14ac:dyDescent="0.25">
      <c r="A27">
        <v>20</v>
      </c>
      <c r="C27" t="s">
        <v>10</v>
      </c>
      <c r="E27" t="s">
        <v>10</v>
      </c>
      <c r="J27">
        <v>20</v>
      </c>
      <c r="K27" t="s">
        <v>7</v>
      </c>
      <c r="L27" s="2" t="s">
        <v>10</v>
      </c>
      <c r="M27" t="s">
        <v>7</v>
      </c>
      <c r="N27">
        <v>20</v>
      </c>
      <c r="O27" t="s">
        <v>7</v>
      </c>
      <c r="P27" t="s">
        <v>7</v>
      </c>
      <c r="Q27" s="1" t="s">
        <v>10</v>
      </c>
    </row>
    <row r="28" spans="1:17" x14ac:dyDescent="0.25">
      <c r="A28">
        <v>21</v>
      </c>
      <c r="C28" t="s">
        <v>10</v>
      </c>
      <c r="E28" t="s">
        <v>10</v>
      </c>
      <c r="J28">
        <v>21</v>
      </c>
      <c r="K28" t="s">
        <v>7</v>
      </c>
      <c r="L28" s="2" t="s">
        <v>10</v>
      </c>
      <c r="M28" t="s">
        <v>7</v>
      </c>
      <c r="N28">
        <v>21</v>
      </c>
      <c r="O28" t="s">
        <v>7</v>
      </c>
      <c r="P28" t="s">
        <v>7</v>
      </c>
      <c r="Q28" s="1" t="s">
        <v>10</v>
      </c>
    </row>
    <row r="29" spans="1:17" x14ac:dyDescent="0.25">
      <c r="A29">
        <v>22</v>
      </c>
      <c r="C29" t="s">
        <v>10</v>
      </c>
      <c r="E29" t="s">
        <v>10</v>
      </c>
      <c r="J29">
        <v>22</v>
      </c>
      <c r="K29" t="s">
        <v>7</v>
      </c>
      <c r="L29" s="2" t="s">
        <v>10</v>
      </c>
      <c r="M29" t="s">
        <v>7</v>
      </c>
      <c r="N29">
        <v>22</v>
      </c>
      <c r="O29" t="s">
        <v>7</v>
      </c>
      <c r="P29" t="s">
        <v>7</v>
      </c>
      <c r="Q29" s="1" t="s">
        <v>10</v>
      </c>
    </row>
    <row r="30" spans="1:17" x14ac:dyDescent="0.25">
      <c r="A30">
        <v>23</v>
      </c>
      <c r="C30" t="s">
        <v>10</v>
      </c>
      <c r="E30" t="s">
        <v>10</v>
      </c>
      <c r="J30">
        <v>23</v>
      </c>
      <c r="K30" t="s">
        <v>7</v>
      </c>
      <c r="L30" s="2" t="s">
        <v>10</v>
      </c>
      <c r="M30" t="s">
        <v>7</v>
      </c>
      <c r="N30">
        <v>23</v>
      </c>
      <c r="O30" t="s">
        <v>7</v>
      </c>
      <c r="P30" t="s">
        <v>7</v>
      </c>
      <c r="Q30" s="1" t="s">
        <v>10</v>
      </c>
    </row>
    <row r="31" spans="1:17" x14ac:dyDescent="0.25">
      <c r="A31">
        <v>24</v>
      </c>
      <c r="C31" t="s">
        <v>10</v>
      </c>
      <c r="E31" t="s">
        <v>10</v>
      </c>
      <c r="J31">
        <v>24</v>
      </c>
      <c r="K31" t="s">
        <v>7</v>
      </c>
      <c r="L31" s="2" t="s">
        <v>10</v>
      </c>
      <c r="M31" t="s">
        <v>7</v>
      </c>
      <c r="N31">
        <v>24</v>
      </c>
      <c r="O31" t="s">
        <v>7</v>
      </c>
      <c r="P31" t="s">
        <v>7</v>
      </c>
      <c r="Q31" s="1" t="s">
        <v>10</v>
      </c>
    </row>
    <row r="32" spans="1:17" x14ac:dyDescent="0.25">
      <c r="A32">
        <v>25</v>
      </c>
      <c r="C32" t="s">
        <v>10</v>
      </c>
      <c r="E32" t="s">
        <v>10</v>
      </c>
      <c r="J32">
        <v>25</v>
      </c>
      <c r="K32" t="s">
        <v>7</v>
      </c>
      <c r="L32" s="2" t="s">
        <v>10</v>
      </c>
      <c r="M32" t="s">
        <v>7</v>
      </c>
      <c r="N32">
        <v>25</v>
      </c>
      <c r="O32" t="s">
        <v>7</v>
      </c>
      <c r="P32" t="s">
        <v>7</v>
      </c>
      <c r="Q32" s="1" t="s">
        <v>10</v>
      </c>
    </row>
    <row r="33" spans="1:17" x14ac:dyDescent="0.25">
      <c r="A33">
        <v>26</v>
      </c>
      <c r="C33" t="s">
        <v>10</v>
      </c>
      <c r="E33" t="s">
        <v>10</v>
      </c>
      <c r="J33">
        <v>26</v>
      </c>
      <c r="K33" t="s">
        <v>7</v>
      </c>
      <c r="L33" s="2" t="s">
        <v>10</v>
      </c>
      <c r="M33" t="s">
        <v>7</v>
      </c>
      <c r="N33">
        <v>26</v>
      </c>
      <c r="O33" t="s">
        <v>7</v>
      </c>
      <c r="P33" t="s">
        <v>7</v>
      </c>
      <c r="Q33" s="1" t="s">
        <v>10</v>
      </c>
    </row>
    <row r="34" spans="1:17" x14ac:dyDescent="0.25">
      <c r="A34">
        <v>27</v>
      </c>
      <c r="C34" t="s">
        <v>10</v>
      </c>
      <c r="E34" t="s">
        <v>10</v>
      </c>
      <c r="J34">
        <v>27</v>
      </c>
      <c r="K34" t="s">
        <v>7</v>
      </c>
      <c r="L34" s="2" t="s">
        <v>10</v>
      </c>
      <c r="M34" t="s">
        <v>7</v>
      </c>
      <c r="N34">
        <v>27</v>
      </c>
      <c r="O34" t="s">
        <v>7</v>
      </c>
      <c r="P34" t="s">
        <v>7</v>
      </c>
      <c r="Q34" s="1" t="s">
        <v>10</v>
      </c>
    </row>
    <row r="35" spans="1:17" x14ac:dyDescent="0.25">
      <c r="A35">
        <v>28</v>
      </c>
      <c r="C35" t="s">
        <v>10</v>
      </c>
      <c r="E35" t="s">
        <v>10</v>
      </c>
      <c r="J35">
        <v>28</v>
      </c>
      <c r="K35" t="s">
        <v>7</v>
      </c>
      <c r="L35" s="2" t="s">
        <v>10</v>
      </c>
      <c r="M35" t="s">
        <v>7</v>
      </c>
      <c r="N35">
        <v>28</v>
      </c>
      <c r="O35" t="s">
        <v>7</v>
      </c>
      <c r="P35" t="s">
        <v>7</v>
      </c>
      <c r="Q35" s="1" t="s">
        <v>10</v>
      </c>
    </row>
    <row r="36" spans="1:17" x14ac:dyDescent="0.25">
      <c r="A36">
        <v>29</v>
      </c>
      <c r="C36" t="s">
        <v>10</v>
      </c>
      <c r="E36" t="s">
        <v>10</v>
      </c>
      <c r="J36">
        <v>29</v>
      </c>
      <c r="K36" t="s">
        <v>7</v>
      </c>
      <c r="L36" s="2" t="s">
        <v>10</v>
      </c>
      <c r="M36" t="s">
        <v>7</v>
      </c>
      <c r="N36">
        <v>29</v>
      </c>
      <c r="O36" t="s">
        <v>7</v>
      </c>
      <c r="P36" t="s">
        <v>7</v>
      </c>
      <c r="Q36" s="1" t="s">
        <v>10</v>
      </c>
    </row>
    <row r="37" spans="1:17" x14ac:dyDescent="0.25">
      <c r="A37">
        <v>30</v>
      </c>
      <c r="C37" t="s">
        <v>10</v>
      </c>
      <c r="E37" t="s">
        <v>10</v>
      </c>
      <c r="J37">
        <v>30</v>
      </c>
      <c r="K37" t="s">
        <v>7</v>
      </c>
      <c r="L37" s="2" t="s">
        <v>10</v>
      </c>
      <c r="M37" t="s">
        <v>7</v>
      </c>
      <c r="N37">
        <v>30</v>
      </c>
      <c r="O37" t="s">
        <v>7</v>
      </c>
      <c r="P37" t="s">
        <v>7</v>
      </c>
      <c r="Q37" s="1" t="s">
        <v>10</v>
      </c>
    </row>
    <row r="38" spans="1:17" x14ac:dyDescent="0.25">
      <c r="A38">
        <v>31</v>
      </c>
      <c r="B38" t="s">
        <v>11</v>
      </c>
      <c r="C38" t="s">
        <v>10</v>
      </c>
      <c r="E38" t="s">
        <v>10</v>
      </c>
      <c r="J38">
        <v>31</v>
      </c>
      <c r="K38" t="s">
        <v>9</v>
      </c>
      <c r="M38" t="s">
        <v>9</v>
      </c>
      <c r="N38">
        <v>31</v>
      </c>
      <c r="O38" t="s">
        <v>9</v>
      </c>
      <c r="P38" t="s">
        <v>9</v>
      </c>
      <c r="Q38" s="1" t="s">
        <v>10</v>
      </c>
    </row>
    <row r="39" spans="1:17" x14ac:dyDescent="0.25">
      <c r="A39">
        <v>32</v>
      </c>
      <c r="B39" t="s">
        <v>11</v>
      </c>
      <c r="E39" t="s">
        <v>10</v>
      </c>
      <c r="J39">
        <v>32</v>
      </c>
      <c r="K39" t="s">
        <v>9</v>
      </c>
      <c r="M39" t="s">
        <v>9</v>
      </c>
      <c r="N39">
        <v>32</v>
      </c>
      <c r="O39" t="s">
        <v>9</v>
      </c>
      <c r="P39" t="s">
        <v>9</v>
      </c>
      <c r="Q39" s="1" t="s">
        <v>10</v>
      </c>
    </row>
    <row r="40" spans="1:17" x14ac:dyDescent="0.25">
      <c r="A40">
        <v>33</v>
      </c>
      <c r="B40" t="s">
        <v>11</v>
      </c>
      <c r="E40" t="s">
        <v>10</v>
      </c>
      <c r="J40">
        <v>33</v>
      </c>
      <c r="K40" t="s">
        <v>9</v>
      </c>
      <c r="M40" t="s">
        <v>9</v>
      </c>
      <c r="N40">
        <v>33</v>
      </c>
      <c r="O40" t="s">
        <v>9</v>
      </c>
      <c r="P40" t="s">
        <v>9</v>
      </c>
      <c r="Q40" s="1" t="s">
        <v>10</v>
      </c>
    </row>
    <row r="41" spans="1:17" x14ac:dyDescent="0.25">
      <c r="A41">
        <v>34</v>
      </c>
      <c r="B41" t="s">
        <v>9</v>
      </c>
      <c r="E41" t="s">
        <v>10</v>
      </c>
      <c r="J41">
        <v>34</v>
      </c>
      <c r="K41" s="2" t="s">
        <v>11</v>
      </c>
      <c r="L41" s="2" t="s">
        <v>11</v>
      </c>
      <c r="M41" t="s">
        <v>10</v>
      </c>
      <c r="N41">
        <v>34</v>
      </c>
      <c r="O41" t="s">
        <v>11</v>
      </c>
      <c r="P41" t="s">
        <v>10</v>
      </c>
      <c r="Q41" s="1" t="s">
        <v>10</v>
      </c>
    </row>
    <row r="42" spans="1:17" x14ac:dyDescent="0.25">
      <c r="A42">
        <v>35</v>
      </c>
      <c r="B42" t="s">
        <v>9</v>
      </c>
      <c r="E42" t="s">
        <v>10</v>
      </c>
      <c r="J42">
        <v>35</v>
      </c>
      <c r="K42" s="2" t="s">
        <v>11</v>
      </c>
      <c r="L42" s="2" t="s">
        <v>11</v>
      </c>
      <c r="M42" t="s">
        <v>10</v>
      </c>
      <c r="N42">
        <v>35</v>
      </c>
      <c r="O42" t="s">
        <v>11</v>
      </c>
      <c r="P42" t="s">
        <v>10</v>
      </c>
      <c r="Q42" s="1" t="s">
        <v>10</v>
      </c>
    </row>
    <row r="43" spans="1:17" x14ac:dyDescent="0.25">
      <c r="A43">
        <v>36</v>
      </c>
      <c r="B43" t="s">
        <v>9</v>
      </c>
      <c r="E43" t="s">
        <v>10</v>
      </c>
      <c r="J43">
        <v>36</v>
      </c>
      <c r="K43" s="2" t="s">
        <v>11</v>
      </c>
      <c r="L43" s="2" t="s">
        <v>11</v>
      </c>
      <c r="M43" t="s">
        <v>10</v>
      </c>
      <c r="N43">
        <v>36</v>
      </c>
      <c r="O43" t="s">
        <v>11</v>
      </c>
      <c r="P43" t="s">
        <v>10</v>
      </c>
      <c r="Q43" s="1" t="s">
        <v>10</v>
      </c>
    </row>
    <row r="44" spans="1:17" x14ac:dyDescent="0.25">
      <c r="A44">
        <v>37</v>
      </c>
      <c r="D44" t="s">
        <v>11</v>
      </c>
      <c r="J44">
        <v>37</v>
      </c>
      <c r="K44" s="2" t="s">
        <v>9</v>
      </c>
      <c r="L44" s="2" t="s">
        <v>9</v>
      </c>
      <c r="M44" t="s">
        <v>10</v>
      </c>
      <c r="N44">
        <v>37</v>
      </c>
      <c r="O44" t="s">
        <v>9</v>
      </c>
      <c r="P44" t="s">
        <v>10</v>
      </c>
      <c r="Q44" t="s">
        <v>9</v>
      </c>
    </row>
    <row r="45" spans="1:17" x14ac:dyDescent="0.25">
      <c r="A45">
        <v>38</v>
      </c>
      <c r="C45" t="s">
        <v>10</v>
      </c>
      <c r="D45" t="s">
        <v>11</v>
      </c>
      <c r="J45">
        <v>38</v>
      </c>
      <c r="K45" s="2" t="s">
        <v>9</v>
      </c>
      <c r="L45" s="2" t="s">
        <v>9</v>
      </c>
      <c r="M45" t="s">
        <v>10</v>
      </c>
      <c r="N45">
        <v>38</v>
      </c>
      <c r="O45" t="s">
        <v>9</v>
      </c>
      <c r="P45" t="s">
        <v>10</v>
      </c>
      <c r="Q45" t="s">
        <v>9</v>
      </c>
    </row>
    <row r="46" spans="1:17" x14ac:dyDescent="0.25">
      <c r="A46">
        <v>39</v>
      </c>
      <c r="C46" t="s">
        <v>10</v>
      </c>
      <c r="D46" t="s">
        <v>11</v>
      </c>
      <c r="J46">
        <v>39</v>
      </c>
      <c r="K46" s="2" t="s">
        <v>9</v>
      </c>
      <c r="L46" s="2" t="s">
        <v>9</v>
      </c>
      <c r="M46" t="s">
        <v>10</v>
      </c>
      <c r="N46">
        <v>39</v>
      </c>
      <c r="O46" t="s">
        <v>9</v>
      </c>
      <c r="P46" t="s">
        <v>10</v>
      </c>
      <c r="Q46" t="s">
        <v>9</v>
      </c>
    </row>
    <row r="47" spans="1:17" x14ac:dyDescent="0.25">
      <c r="A47">
        <v>40</v>
      </c>
      <c r="C47" t="s">
        <v>10</v>
      </c>
      <c r="D47" t="s">
        <v>9</v>
      </c>
      <c r="J47">
        <v>40</v>
      </c>
      <c r="L47" s="2" t="s">
        <v>10</v>
      </c>
      <c r="M47" t="s">
        <v>10</v>
      </c>
      <c r="N47">
        <v>40</v>
      </c>
      <c r="P47" t="s">
        <v>10</v>
      </c>
      <c r="Q47" t="s">
        <v>10</v>
      </c>
    </row>
    <row r="48" spans="1:17" x14ac:dyDescent="0.25">
      <c r="A48">
        <v>41</v>
      </c>
      <c r="C48" t="s">
        <v>10</v>
      </c>
      <c r="D48" t="s">
        <v>9</v>
      </c>
      <c r="J48">
        <v>41</v>
      </c>
      <c r="L48" s="2" t="s">
        <v>10</v>
      </c>
      <c r="M48" t="s">
        <v>10</v>
      </c>
      <c r="N48">
        <v>41</v>
      </c>
      <c r="P48" t="s">
        <v>10</v>
      </c>
      <c r="Q48" t="s">
        <v>10</v>
      </c>
    </row>
    <row r="49" spans="1:17" x14ac:dyDescent="0.25">
      <c r="A49">
        <v>42</v>
      </c>
      <c r="C49" t="s">
        <v>10</v>
      </c>
      <c r="D49" t="s">
        <v>9</v>
      </c>
      <c r="J49">
        <v>42</v>
      </c>
      <c r="L49" s="2" t="s">
        <v>10</v>
      </c>
      <c r="M49" t="s">
        <v>10</v>
      </c>
      <c r="N49">
        <v>42</v>
      </c>
      <c r="P49" t="s">
        <v>10</v>
      </c>
      <c r="Q49" t="s">
        <v>10</v>
      </c>
    </row>
    <row r="50" spans="1:17" x14ac:dyDescent="0.25">
      <c r="A50">
        <v>43</v>
      </c>
      <c r="C50" t="s">
        <v>10</v>
      </c>
      <c r="E50" t="s">
        <v>10</v>
      </c>
      <c r="J50">
        <v>43</v>
      </c>
      <c r="L50" s="2" t="s">
        <v>10</v>
      </c>
      <c r="M50" t="s">
        <v>10</v>
      </c>
      <c r="N50">
        <v>43</v>
      </c>
      <c r="P50" t="s">
        <v>10</v>
      </c>
      <c r="Q50" t="s">
        <v>10</v>
      </c>
    </row>
    <row r="51" spans="1:17" x14ac:dyDescent="0.25">
      <c r="A51">
        <v>44</v>
      </c>
      <c r="C51" t="s">
        <v>10</v>
      </c>
      <c r="E51" t="s">
        <v>10</v>
      </c>
      <c r="J51">
        <v>44</v>
      </c>
      <c r="L51" s="2" t="s">
        <v>10</v>
      </c>
      <c r="M51" t="s">
        <v>10</v>
      </c>
      <c r="N51">
        <v>44</v>
      </c>
      <c r="P51" t="s">
        <v>10</v>
      </c>
      <c r="Q51" t="s">
        <v>10</v>
      </c>
    </row>
    <row r="52" spans="1:17" x14ac:dyDescent="0.25">
      <c r="A52">
        <v>45</v>
      </c>
      <c r="C52" t="s">
        <v>10</v>
      </c>
      <c r="E52" t="s">
        <v>10</v>
      </c>
      <c r="J52">
        <v>45</v>
      </c>
      <c r="L52" s="2" t="s">
        <v>10</v>
      </c>
      <c r="M52" t="s">
        <v>10</v>
      </c>
      <c r="N52">
        <v>45</v>
      </c>
      <c r="P52" t="s">
        <v>10</v>
      </c>
      <c r="Q52" t="s">
        <v>10</v>
      </c>
    </row>
    <row r="53" spans="1:17" x14ac:dyDescent="0.25">
      <c r="A53">
        <v>46</v>
      </c>
      <c r="C53" t="s">
        <v>10</v>
      </c>
      <c r="E53" t="s">
        <v>10</v>
      </c>
      <c r="J53">
        <v>46</v>
      </c>
      <c r="L53" s="2" t="s">
        <v>10</v>
      </c>
      <c r="M53" t="s">
        <v>10</v>
      </c>
      <c r="N53">
        <v>46</v>
      </c>
      <c r="O53" t="s">
        <v>11</v>
      </c>
      <c r="P53" t="s">
        <v>10</v>
      </c>
      <c r="Q53" t="s">
        <v>10</v>
      </c>
    </row>
    <row r="54" spans="1:17" x14ac:dyDescent="0.25">
      <c r="A54">
        <v>47</v>
      </c>
      <c r="C54" t="s">
        <v>10</v>
      </c>
      <c r="E54" t="s">
        <v>10</v>
      </c>
      <c r="J54">
        <v>47</v>
      </c>
      <c r="L54" s="2" t="s">
        <v>10</v>
      </c>
      <c r="M54" t="s">
        <v>10</v>
      </c>
      <c r="N54">
        <v>47</v>
      </c>
      <c r="O54" t="s">
        <v>11</v>
      </c>
      <c r="P54" t="s">
        <v>10</v>
      </c>
      <c r="Q54" t="s">
        <v>10</v>
      </c>
    </row>
    <row r="55" spans="1:17" x14ac:dyDescent="0.25">
      <c r="A55">
        <v>48</v>
      </c>
      <c r="C55" t="s">
        <v>10</v>
      </c>
      <c r="E55" t="s">
        <v>10</v>
      </c>
      <c r="J55">
        <v>48</v>
      </c>
      <c r="L55" s="2" t="s">
        <v>10</v>
      </c>
      <c r="M55" t="s">
        <v>10</v>
      </c>
      <c r="N55">
        <v>48</v>
      </c>
      <c r="O55" t="s">
        <v>11</v>
      </c>
      <c r="P55" t="s">
        <v>10</v>
      </c>
      <c r="Q55" t="s">
        <v>10</v>
      </c>
    </row>
    <row r="56" spans="1:17" x14ac:dyDescent="0.25">
      <c r="A56">
        <v>49</v>
      </c>
      <c r="C56" t="s">
        <v>10</v>
      </c>
      <c r="E56" t="s">
        <v>10</v>
      </c>
      <c r="J56">
        <v>49</v>
      </c>
      <c r="K56" t="s">
        <v>11</v>
      </c>
      <c r="L56" s="2" t="s">
        <v>10</v>
      </c>
      <c r="M56" t="s">
        <v>10</v>
      </c>
      <c r="N56">
        <v>49</v>
      </c>
      <c r="O56" t="s">
        <v>9</v>
      </c>
      <c r="P56" t="s">
        <v>9</v>
      </c>
      <c r="Q56" t="s">
        <v>10</v>
      </c>
    </row>
    <row r="57" spans="1:17" x14ac:dyDescent="0.25">
      <c r="A57">
        <v>50</v>
      </c>
      <c r="C57" t="s">
        <v>10</v>
      </c>
      <c r="E57" t="s">
        <v>10</v>
      </c>
      <c r="J57">
        <v>50</v>
      </c>
      <c r="K57" t="s">
        <v>11</v>
      </c>
      <c r="L57" s="2" t="s">
        <v>10</v>
      </c>
      <c r="M57" t="s">
        <v>10</v>
      </c>
      <c r="N57">
        <v>50</v>
      </c>
      <c r="O57" t="s">
        <v>9</v>
      </c>
      <c r="P57" t="s">
        <v>9</v>
      </c>
      <c r="Q57" t="s">
        <v>10</v>
      </c>
    </row>
    <row r="58" spans="1:17" x14ac:dyDescent="0.25">
      <c r="A58">
        <v>51</v>
      </c>
      <c r="C58" t="s">
        <v>10</v>
      </c>
      <c r="E58" t="s">
        <v>10</v>
      </c>
      <c r="J58">
        <v>51</v>
      </c>
      <c r="K58" t="s">
        <v>11</v>
      </c>
      <c r="L58" s="2" t="s">
        <v>10</v>
      </c>
      <c r="M58" t="s">
        <v>10</v>
      </c>
      <c r="N58">
        <v>51</v>
      </c>
      <c r="O58" t="s">
        <v>9</v>
      </c>
      <c r="P58" t="s">
        <v>9</v>
      </c>
      <c r="Q58" t="s">
        <v>10</v>
      </c>
    </row>
    <row r="59" spans="1:17" x14ac:dyDescent="0.25">
      <c r="A59">
        <v>52</v>
      </c>
      <c r="B59" t="s">
        <v>11</v>
      </c>
      <c r="C59" t="s">
        <v>10</v>
      </c>
      <c r="E59" t="s">
        <v>10</v>
      </c>
      <c r="J59">
        <v>52</v>
      </c>
      <c r="K59" t="s">
        <v>9</v>
      </c>
      <c r="L59" s="2" t="s">
        <v>10</v>
      </c>
      <c r="M59" t="s">
        <v>9</v>
      </c>
      <c r="N59">
        <v>52</v>
      </c>
      <c r="P59" s="1" t="s">
        <v>10</v>
      </c>
      <c r="Q59" t="s">
        <v>10</v>
      </c>
    </row>
    <row r="60" spans="1:17" x14ac:dyDescent="0.25">
      <c r="A60">
        <v>53</v>
      </c>
      <c r="B60" t="s">
        <v>11</v>
      </c>
      <c r="E60" t="s">
        <v>10</v>
      </c>
      <c r="J60">
        <v>53</v>
      </c>
      <c r="K60" t="s">
        <v>9</v>
      </c>
      <c r="L60" s="2" t="s">
        <v>10</v>
      </c>
      <c r="M60" t="s">
        <v>9</v>
      </c>
      <c r="N60">
        <v>53</v>
      </c>
      <c r="P60" s="1" t="s">
        <v>10</v>
      </c>
      <c r="Q60" t="s">
        <v>10</v>
      </c>
    </row>
    <row r="61" spans="1:17" x14ac:dyDescent="0.25">
      <c r="A61">
        <v>54</v>
      </c>
      <c r="B61" t="s">
        <v>11</v>
      </c>
      <c r="E61" t="s">
        <v>10</v>
      </c>
      <c r="J61">
        <v>54</v>
      </c>
      <c r="K61" t="s">
        <v>9</v>
      </c>
      <c r="L61" s="2" t="s">
        <v>10</v>
      </c>
      <c r="M61" t="s">
        <v>9</v>
      </c>
      <c r="N61">
        <v>54</v>
      </c>
      <c r="P61" s="1" t="s">
        <v>10</v>
      </c>
      <c r="Q61" t="s">
        <v>10</v>
      </c>
    </row>
    <row r="62" spans="1:17" x14ac:dyDescent="0.25">
      <c r="A62">
        <v>55</v>
      </c>
      <c r="B62" t="s">
        <v>9</v>
      </c>
      <c r="E62" t="s">
        <v>10</v>
      </c>
      <c r="J62">
        <v>55</v>
      </c>
      <c r="K62" s="2" t="s">
        <v>11</v>
      </c>
      <c r="M62" t="s">
        <v>10</v>
      </c>
      <c r="N62">
        <v>55</v>
      </c>
      <c r="O62" t="s">
        <v>11</v>
      </c>
      <c r="P62" s="1" t="s">
        <v>10</v>
      </c>
      <c r="Q62" t="s">
        <v>10</v>
      </c>
    </row>
    <row r="63" spans="1:17" x14ac:dyDescent="0.25">
      <c r="A63">
        <v>56</v>
      </c>
      <c r="B63" t="s">
        <v>9</v>
      </c>
      <c r="E63" t="s">
        <v>10</v>
      </c>
      <c r="J63">
        <v>56</v>
      </c>
      <c r="K63" s="2" t="s">
        <v>11</v>
      </c>
      <c r="M63" t="s">
        <v>10</v>
      </c>
      <c r="N63">
        <v>56</v>
      </c>
      <c r="O63" t="s">
        <v>11</v>
      </c>
      <c r="P63" s="1" t="s">
        <v>10</v>
      </c>
      <c r="Q63" t="s">
        <v>10</v>
      </c>
    </row>
    <row r="64" spans="1:17" x14ac:dyDescent="0.25">
      <c r="A64">
        <v>57</v>
      </c>
      <c r="B64" t="s">
        <v>9</v>
      </c>
      <c r="E64" t="s">
        <v>10</v>
      </c>
      <c r="J64">
        <v>57</v>
      </c>
      <c r="K64" s="2" t="s">
        <v>11</v>
      </c>
      <c r="M64" t="s">
        <v>10</v>
      </c>
      <c r="N64">
        <v>57</v>
      </c>
      <c r="O64" t="s">
        <v>11</v>
      </c>
      <c r="P64" s="1" t="s">
        <v>10</v>
      </c>
      <c r="Q64" t="s">
        <v>10</v>
      </c>
    </row>
    <row r="65" spans="1:17" x14ac:dyDescent="0.25">
      <c r="A65">
        <v>58</v>
      </c>
      <c r="E65" t="s">
        <v>10</v>
      </c>
      <c r="J65">
        <v>58</v>
      </c>
      <c r="K65" s="2" t="s">
        <v>9</v>
      </c>
      <c r="M65" t="s">
        <v>10</v>
      </c>
      <c r="N65">
        <v>58</v>
      </c>
      <c r="O65" t="s">
        <v>9</v>
      </c>
      <c r="P65" s="1" t="s">
        <v>10</v>
      </c>
      <c r="Q65" t="s">
        <v>9</v>
      </c>
    </row>
    <row r="66" spans="1:17" x14ac:dyDescent="0.25">
      <c r="A66">
        <v>59</v>
      </c>
      <c r="C66" t="s">
        <v>10</v>
      </c>
      <c r="E66" t="s">
        <v>10</v>
      </c>
      <c r="J66">
        <v>59</v>
      </c>
      <c r="K66" s="2" t="s">
        <v>9</v>
      </c>
      <c r="M66" t="s">
        <v>10</v>
      </c>
      <c r="N66">
        <v>59</v>
      </c>
      <c r="O66" t="s">
        <v>9</v>
      </c>
      <c r="P66" s="1" t="s">
        <v>10</v>
      </c>
      <c r="Q66" t="s">
        <v>9</v>
      </c>
    </row>
    <row r="67" spans="1:17" x14ac:dyDescent="0.25">
      <c r="A67">
        <v>60</v>
      </c>
      <c r="C67" t="s">
        <v>10</v>
      </c>
      <c r="E67" t="s">
        <v>10</v>
      </c>
      <c r="J67">
        <v>60</v>
      </c>
      <c r="K67" s="2" t="s">
        <v>9</v>
      </c>
      <c r="M67" t="s">
        <v>10</v>
      </c>
      <c r="N67">
        <v>60</v>
      </c>
      <c r="O67" t="s">
        <v>9</v>
      </c>
      <c r="P67" s="1" t="s">
        <v>10</v>
      </c>
      <c r="Q67" t="s">
        <v>9</v>
      </c>
    </row>
    <row r="68" spans="1:17" x14ac:dyDescent="0.25">
      <c r="A68">
        <v>61</v>
      </c>
      <c r="C68" t="s">
        <v>10</v>
      </c>
      <c r="D68" t="s">
        <v>11</v>
      </c>
      <c r="J68">
        <v>61</v>
      </c>
      <c r="L68" s="2" t="s">
        <v>10</v>
      </c>
      <c r="M68" t="s">
        <v>10</v>
      </c>
      <c r="N68">
        <v>61</v>
      </c>
      <c r="P68" s="1" t="s">
        <v>10</v>
      </c>
      <c r="Q68" s="1" t="s">
        <v>10</v>
      </c>
    </row>
    <row r="69" spans="1:17" x14ac:dyDescent="0.25">
      <c r="A69">
        <v>62</v>
      </c>
      <c r="C69" t="s">
        <v>10</v>
      </c>
      <c r="D69" t="s">
        <v>11</v>
      </c>
      <c r="J69">
        <v>62</v>
      </c>
      <c r="L69" s="2" t="s">
        <v>10</v>
      </c>
      <c r="M69" t="s">
        <v>10</v>
      </c>
      <c r="N69">
        <v>62</v>
      </c>
      <c r="P69" s="1" t="s">
        <v>10</v>
      </c>
      <c r="Q69" s="1" t="s">
        <v>10</v>
      </c>
    </row>
    <row r="70" spans="1:17" x14ac:dyDescent="0.25">
      <c r="A70">
        <v>63</v>
      </c>
      <c r="C70" t="s">
        <v>10</v>
      </c>
      <c r="D70" t="s">
        <v>11</v>
      </c>
      <c r="J70">
        <v>63</v>
      </c>
      <c r="L70" s="2" t="s">
        <v>10</v>
      </c>
      <c r="M70" t="s">
        <v>10</v>
      </c>
      <c r="N70">
        <v>63</v>
      </c>
      <c r="P70" s="1" t="s">
        <v>10</v>
      </c>
      <c r="Q70" s="1" t="s">
        <v>10</v>
      </c>
    </row>
    <row r="71" spans="1:17" x14ac:dyDescent="0.25">
      <c r="A71">
        <v>64</v>
      </c>
      <c r="C71" t="s">
        <v>10</v>
      </c>
      <c r="D71" t="s">
        <v>9</v>
      </c>
      <c r="J71">
        <v>64</v>
      </c>
      <c r="L71" s="2" t="s">
        <v>10</v>
      </c>
      <c r="M71" t="s">
        <v>10</v>
      </c>
      <c r="N71">
        <v>64</v>
      </c>
      <c r="O71" t="s">
        <v>11</v>
      </c>
      <c r="P71" s="1" t="s">
        <v>10</v>
      </c>
      <c r="Q71" s="1" t="s">
        <v>10</v>
      </c>
    </row>
    <row r="72" spans="1:17" x14ac:dyDescent="0.25">
      <c r="A72">
        <v>65</v>
      </c>
      <c r="C72" t="s">
        <v>10</v>
      </c>
      <c r="D72" t="s">
        <v>9</v>
      </c>
      <c r="J72">
        <v>65</v>
      </c>
      <c r="L72" s="2" t="s">
        <v>10</v>
      </c>
      <c r="M72" t="s">
        <v>10</v>
      </c>
      <c r="N72">
        <v>65</v>
      </c>
      <c r="O72" t="s">
        <v>11</v>
      </c>
      <c r="P72" s="1" t="s">
        <v>10</v>
      </c>
      <c r="Q72" s="1" t="s">
        <v>10</v>
      </c>
    </row>
    <row r="73" spans="1:17" x14ac:dyDescent="0.25">
      <c r="A73">
        <v>66</v>
      </c>
      <c r="C73" t="s">
        <v>10</v>
      </c>
      <c r="D73" t="s">
        <v>9</v>
      </c>
      <c r="J73">
        <v>66</v>
      </c>
      <c r="L73" s="2" t="s">
        <v>10</v>
      </c>
      <c r="M73" t="s">
        <v>10</v>
      </c>
      <c r="N73">
        <v>66</v>
      </c>
      <c r="O73" t="s">
        <v>11</v>
      </c>
      <c r="P73" s="1" t="s">
        <v>10</v>
      </c>
      <c r="Q73" s="1" t="s">
        <v>10</v>
      </c>
    </row>
    <row r="74" spans="1:17" x14ac:dyDescent="0.25">
      <c r="A74">
        <v>67</v>
      </c>
      <c r="C74" t="s">
        <v>10</v>
      </c>
      <c r="E74" t="s">
        <v>10</v>
      </c>
      <c r="J74">
        <v>67</v>
      </c>
      <c r="L74" s="2" t="s">
        <v>10</v>
      </c>
      <c r="M74" t="s">
        <v>10</v>
      </c>
      <c r="N74">
        <v>67</v>
      </c>
      <c r="O74" t="s">
        <v>9</v>
      </c>
      <c r="P74" t="s">
        <v>9</v>
      </c>
      <c r="Q74" s="1" t="s">
        <v>10</v>
      </c>
    </row>
    <row r="75" spans="1:17" x14ac:dyDescent="0.25">
      <c r="A75">
        <v>68</v>
      </c>
      <c r="C75" t="s">
        <v>10</v>
      </c>
      <c r="E75" t="s">
        <v>10</v>
      </c>
      <c r="J75">
        <v>68</v>
      </c>
      <c r="L75" s="2" t="s">
        <v>10</v>
      </c>
      <c r="M75" t="s">
        <v>10</v>
      </c>
      <c r="N75">
        <v>68</v>
      </c>
      <c r="O75" t="s">
        <v>9</v>
      </c>
      <c r="P75" t="s">
        <v>9</v>
      </c>
      <c r="Q75" s="1" t="s">
        <v>10</v>
      </c>
    </row>
    <row r="76" spans="1:17" x14ac:dyDescent="0.25">
      <c r="A76">
        <v>69</v>
      </c>
      <c r="C76" t="s">
        <v>10</v>
      </c>
      <c r="E76" t="s">
        <v>10</v>
      </c>
      <c r="J76">
        <v>69</v>
      </c>
      <c r="L76" s="2" t="s">
        <v>10</v>
      </c>
      <c r="M76" t="s">
        <v>10</v>
      </c>
      <c r="N76">
        <v>69</v>
      </c>
      <c r="O76" t="s">
        <v>9</v>
      </c>
      <c r="P76" t="s">
        <v>9</v>
      </c>
      <c r="Q76" s="1" t="s">
        <v>10</v>
      </c>
    </row>
    <row r="77" spans="1:17" x14ac:dyDescent="0.25">
      <c r="A77">
        <v>70</v>
      </c>
      <c r="C77" t="s">
        <v>10</v>
      </c>
      <c r="E77" t="s">
        <v>10</v>
      </c>
      <c r="J77">
        <v>70</v>
      </c>
      <c r="K77" t="s">
        <v>11</v>
      </c>
      <c r="L77" s="2" t="s">
        <v>10</v>
      </c>
      <c r="M77" t="s">
        <v>10</v>
      </c>
      <c r="N77">
        <v>70</v>
      </c>
      <c r="P77" t="s">
        <v>10</v>
      </c>
      <c r="Q77" s="1" t="s">
        <v>10</v>
      </c>
    </row>
    <row r="78" spans="1:17" x14ac:dyDescent="0.25">
      <c r="A78">
        <v>71</v>
      </c>
      <c r="C78" t="s">
        <v>10</v>
      </c>
      <c r="E78" t="s">
        <v>10</v>
      </c>
      <c r="J78">
        <v>71</v>
      </c>
      <c r="K78" t="s">
        <v>11</v>
      </c>
      <c r="L78" s="2" t="s">
        <v>10</v>
      </c>
      <c r="M78" t="s">
        <v>10</v>
      </c>
      <c r="N78">
        <v>71</v>
      </c>
      <c r="P78" t="s">
        <v>10</v>
      </c>
      <c r="Q78" s="1" t="s">
        <v>10</v>
      </c>
    </row>
    <row r="79" spans="1:17" x14ac:dyDescent="0.25">
      <c r="A79">
        <v>72</v>
      </c>
      <c r="C79" t="s">
        <v>10</v>
      </c>
      <c r="E79" t="s">
        <v>10</v>
      </c>
      <c r="J79">
        <v>72</v>
      </c>
      <c r="K79" t="s">
        <v>11</v>
      </c>
      <c r="L79" s="2" t="s">
        <v>10</v>
      </c>
      <c r="M79" t="s">
        <v>10</v>
      </c>
      <c r="N79">
        <v>72</v>
      </c>
      <c r="P79" t="s">
        <v>10</v>
      </c>
      <c r="Q79" s="1" t="s">
        <v>10</v>
      </c>
    </row>
    <row r="80" spans="1:17" x14ac:dyDescent="0.25">
      <c r="A80">
        <v>73</v>
      </c>
      <c r="B80" t="s">
        <v>11</v>
      </c>
      <c r="C80" t="s">
        <v>10</v>
      </c>
      <c r="E80" t="s">
        <v>10</v>
      </c>
      <c r="J80">
        <v>73</v>
      </c>
      <c r="K80" t="s">
        <v>9</v>
      </c>
      <c r="L80" s="2" t="s">
        <v>10</v>
      </c>
      <c r="M80" t="s">
        <v>9</v>
      </c>
      <c r="N80">
        <v>73</v>
      </c>
      <c r="P80" t="s">
        <v>10</v>
      </c>
      <c r="Q80" s="1" t="s">
        <v>10</v>
      </c>
    </row>
    <row r="81" spans="1:17" x14ac:dyDescent="0.25">
      <c r="A81">
        <v>74</v>
      </c>
      <c r="B81" t="s">
        <v>11</v>
      </c>
      <c r="E81" t="s">
        <v>10</v>
      </c>
      <c r="J81">
        <v>74</v>
      </c>
      <c r="K81" t="s">
        <v>9</v>
      </c>
      <c r="L81" s="2" t="s">
        <v>10</v>
      </c>
      <c r="M81" t="s">
        <v>9</v>
      </c>
      <c r="N81">
        <v>74</v>
      </c>
      <c r="P81" t="s">
        <v>10</v>
      </c>
      <c r="Q81" s="1" t="s">
        <v>10</v>
      </c>
    </row>
    <row r="82" spans="1:17" x14ac:dyDescent="0.25">
      <c r="A82">
        <v>75</v>
      </c>
      <c r="B82" t="s">
        <v>11</v>
      </c>
      <c r="E82" t="s">
        <v>10</v>
      </c>
      <c r="J82">
        <v>75</v>
      </c>
      <c r="K82" t="s">
        <v>9</v>
      </c>
      <c r="L82" s="2" t="s">
        <v>10</v>
      </c>
      <c r="M82" t="s">
        <v>9</v>
      </c>
      <c r="N82">
        <v>75</v>
      </c>
      <c r="P82" t="s">
        <v>10</v>
      </c>
      <c r="Q82" s="1" t="s">
        <v>10</v>
      </c>
    </row>
    <row r="83" spans="1:17" x14ac:dyDescent="0.25">
      <c r="A83">
        <v>76</v>
      </c>
      <c r="B83" t="s">
        <v>9</v>
      </c>
      <c r="E83" t="s">
        <v>10</v>
      </c>
      <c r="J83">
        <v>76</v>
      </c>
      <c r="K83" s="2" t="s">
        <v>11</v>
      </c>
      <c r="M83" t="s">
        <v>10</v>
      </c>
      <c r="N83">
        <v>76</v>
      </c>
      <c r="O83" t="s">
        <v>11</v>
      </c>
      <c r="P83" t="s">
        <v>10</v>
      </c>
      <c r="Q83" s="1" t="s">
        <v>10</v>
      </c>
    </row>
    <row r="84" spans="1:17" x14ac:dyDescent="0.25">
      <c r="A84">
        <v>77</v>
      </c>
      <c r="B84" t="s">
        <v>9</v>
      </c>
      <c r="E84" t="s">
        <v>10</v>
      </c>
      <c r="J84">
        <v>77</v>
      </c>
      <c r="K84" s="2" t="s">
        <v>11</v>
      </c>
      <c r="M84" t="s">
        <v>10</v>
      </c>
      <c r="N84">
        <v>77</v>
      </c>
      <c r="O84" t="s">
        <v>11</v>
      </c>
      <c r="P84" t="s">
        <v>10</v>
      </c>
      <c r="Q84" s="1" t="s">
        <v>10</v>
      </c>
    </row>
    <row r="85" spans="1:17" x14ac:dyDescent="0.25">
      <c r="A85">
        <v>78</v>
      </c>
      <c r="B85" t="s">
        <v>9</v>
      </c>
      <c r="E85" t="s">
        <v>10</v>
      </c>
      <c r="J85">
        <v>78</v>
      </c>
      <c r="K85" s="2" t="s">
        <v>11</v>
      </c>
      <c r="M85" t="s">
        <v>10</v>
      </c>
      <c r="N85">
        <v>78</v>
      </c>
      <c r="O85" t="s">
        <v>11</v>
      </c>
      <c r="P85" t="s">
        <v>10</v>
      </c>
      <c r="Q85" s="1" t="s">
        <v>10</v>
      </c>
    </row>
    <row r="86" spans="1:17" x14ac:dyDescent="0.25">
      <c r="A86">
        <v>79</v>
      </c>
      <c r="E86" t="s">
        <v>10</v>
      </c>
      <c r="J86">
        <v>79</v>
      </c>
      <c r="K86" s="2" t="s">
        <v>9</v>
      </c>
      <c r="M86" t="s">
        <v>10</v>
      </c>
      <c r="N86">
        <v>79</v>
      </c>
      <c r="O86" t="s">
        <v>9</v>
      </c>
      <c r="P86" t="s">
        <v>10</v>
      </c>
      <c r="Q86" t="s">
        <v>9</v>
      </c>
    </row>
    <row r="87" spans="1:17" x14ac:dyDescent="0.25">
      <c r="A87">
        <v>80</v>
      </c>
      <c r="C87" t="s">
        <v>10</v>
      </c>
      <c r="E87" t="s">
        <v>10</v>
      </c>
      <c r="J87">
        <v>80</v>
      </c>
      <c r="K87" s="2" t="s">
        <v>9</v>
      </c>
      <c r="M87" t="s">
        <v>10</v>
      </c>
      <c r="N87">
        <v>80</v>
      </c>
      <c r="O87" t="s">
        <v>9</v>
      </c>
      <c r="P87" t="s">
        <v>10</v>
      </c>
      <c r="Q87" t="s">
        <v>9</v>
      </c>
    </row>
    <row r="88" spans="1:17" x14ac:dyDescent="0.25">
      <c r="A88">
        <v>81</v>
      </c>
      <c r="C88" t="s">
        <v>10</v>
      </c>
      <c r="E88" t="s">
        <v>10</v>
      </c>
      <c r="J88">
        <v>81</v>
      </c>
      <c r="K88" s="2" t="s">
        <v>9</v>
      </c>
      <c r="M88" t="s">
        <v>10</v>
      </c>
      <c r="N88">
        <v>81</v>
      </c>
      <c r="O88" t="s">
        <v>9</v>
      </c>
      <c r="P88" t="s">
        <v>10</v>
      </c>
      <c r="Q88" t="s">
        <v>9</v>
      </c>
    </row>
    <row r="89" spans="1:17" x14ac:dyDescent="0.25">
      <c r="A89">
        <v>82</v>
      </c>
      <c r="C89" t="s">
        <v>10</v>
      </c>
      <c r="E89" t="s">
        <v>10</v>
      </c>
      <c r="J89">
        <v>82</v>
      </c>
      <c r="L89" s="2" t="s">
        <v>10</v>
      </c>
      <c r="M89" t="s">
        <v>10</v>
      </c>
      <c r="N89">
        <v>82</v>
      </c>
      <c r="O89" t="s">
        <v>11</v>
      </c>
      <c r="P89" t="s">
        <v>10</v>
      </c>
      <c r="Q89" t="s">
        <v>10</v>
      </c>
    </row>
    <row r="90" spans="1:17" x14ac:dyDescent="0.25">
      <c r="A90">
        <v>83</v>
      </c>
      <c r="C90" t="s">
        <v>10</v>
      </c>
      <c r="E90" t="s">
        <v>10</v>
      </c>
      <c r="J90">
        <v>83</v>
      </c>
      <c r="L90" s="2" t="s">
        <v>10</v>
      </c>
      <c r="M90" t="s">
        <v>10</v>
      </c>
      <c r="N90">
        <v>83</v>
      </c>
      <c r="O90" t="s">
        <v>11</v>
      </c>
      <c r="P90" t="s">
        <v>10</v>
      </c>
      <c r="Q90" t="s">
        <v>10</v>
      </c>
    </row>
    <row r="91" spans="1:17" x14ac:dyDescent="0.25">
      <c r="A91">
        <v>84</v>
      </c>
      <c r="C91" t="s">
        <v>10</v>
      </c>
      <c r="E91" t="s">
        <v>10</v>
      </c>
      <c r="J91">
        <v>84</v>
      </c>
      <c r="L91" s="2" t="s">
        <v>10</v>
      </c>
      <c r="M91" t="s">
        <v>10</v>
      </c>
      <c r="N91">
        <v>84</v>
      </c>
      <c r="O91" t="s">
        <v>11</v>
      </c>
      <c r="P91" t="s">
        <v>10</v>
      </c>
      <c r="Q91" t="s">
        <v>10</v>
      </c>
    </row>
    <row r="92" spans="1:17" x14ac:dyDescent="0.25">
      <c r="A92">
        <v>85</v>
      </c>
      <c r="C92" t="s">
        <v>10</v>
      </c>
      <c r="D92" t="s">
        <v>11</v>
      </c>
      <c r="J92">
        <v>85</v>
      </c>
      <c r="L92" s="2" t="s">
        <v>10</v>
      </c>
      <c r="M92" t="s">
        <v>10</v>
      </c>
      <c r="N92">
        <v>85</v>
      </c>
      <c r="O92" t="s">
        <v>9</v>
      </c>
      <c r="P92" t="s">
        <v>9</v>
      </c>
      <c r="Q92" t="s">
        <v>10</v>
      </c>
    </row>
    <row r="93" spans="1:17" x14ac:dyDescent="0.25">
      <c r="A93">
        <v>86</v>
      </c>
      <c r="C93" t="s">
        <v>10</v>
      </c>
      <c r="D93" t="s">
        <v>11</v>
      </c>
      <c r="J93">
        <v>86</v>
      </c>
      <c r="L93" s="2" t="s">
        <v>10</v>
      </c>
      <c r="M93" t="s">
        <v>10</v>
      </c>
      <c r="N93">
        <v>86</v>
      </c>
      <c r="O93" t="s">
        <v>9</v>
      </c>
      <c r="P93" t="s">
        <v>9</v>
      </c>
      <c r="Q93" t="s">
        <v>10</v>
      </c>
    </row>
    <row r="94" spans="1:17" x14ac:dyDescent="0.25">
      <c r="A94">
        <v>87</v>
      </c>
      <c r="C94" t="s">
        <v>10</v>
      </c>
      <c r="D94" t="s">
        <v>11</v>
      </c>
      <c r="J94">
        <v>87</v>
      </c>
      <c r="L94" s="2" t="s">
        <v>10</v>
      </c>
      <c r="M94" t="s">
        <v>10</v>
      </c>
      <c r="N94">
        <v>87</v>
      </c>
      <c r="O94" t="s">
        <v>9</v>
      </c>
      <c r="P94" t="s">
        <v>9</v>
      </c>
      <c r="Q94" t="s">
        <v>10</v>
      </c>
    </row>
    <row r="95" spans="1:17" x14ac:dyDescent="0.25">
      <c r="A95">
        <v>88</v>
      </c>
      <c r="C95" t="s">
        <v>10</v>
      </c>
      <c r="D95" t="s">
        <v>9</v>
      </c>
      <c r="J95">
        <v>88</v>
      </c>
      <c r="L95" s="2" t="s">
        <v>10</v>
      </c>
      <c r="M95" t="s">
        <v>10</v>
      </c>
      <c r="N95">
        <v>88</v>
      </c>
      <c r="P95" s="1" t="s">
        <v>10</v>
      </c>
      <c r="Q95" t="s">
        <v>10</v>
      </c>
    </row>
    <row r="96" spans="1:17" x14ac:dyDescent="0.25">
      <c r="A96">
        <v>89</v>
      </c>
      <c r="C96" t="s">
        <v>10</v>
      </c>
      <c r="D96" t="s">
        <v>9</v>
      </c>
      <c r="J96">
        <v>89</v>
      </c>
      <c r="L96" s="2" t="s">
        <v>10</v>
      </c>
      <c r="M96" t="s">
        <v>10</v>
      </c>
      <c r="N96">
        <v>89</v>
      </c>
      <c r="P96" s="1" t="s">
        <v>10</v>
      </c>
      <c r="Q96" t="s">
        <v>10</v>
      </c>
    </row>
    <row r="97" spans="1:17" x14ac:dyDescent="0.25">
      <c r="A97">
        <v>90</v>
      </c>
      <c r="C97" t="s">
        <v>10</v>
      </c>
      <c r="D97" t="s">
        <v>9</v>
      </c>
      <c r="J97">
        <v>90</v>
      </c>
      <c r="L97" s="2" t="s">
        <v>10</v>
      </c>
      <c r="M97" t="s">
        <v>10</v>
      </c>
      <c r="N97">
        <v>90</v>
      </c>
      <c r="P97" s="1" t="s">
        <v>10</v>
      </c>
      <c r="Q97" t="s">
        <v>10</v>
      </c>
    </row>
    <row r="98" spans="1:17" x14ac:dyDescent="0.25">
      <c r="A98">
        <v>91</v>
      </c>
      <c r="C98" t="s">
        <v>10</v>
      </c>
      <c r="E98" t="s">
        <v>10</v>
      </c>
      <c r="J98">
        <v>91</v>
      </c>
      <c r="K98" t="s">
        <v>11</v>
      </c>
      <c r="L98" s="2" t="s">
        <v>10</v>
      </c>
      <c r="M98" t="s">
        <v>10</v>
      </c>
      <c r="N98">
        <v>91</v>
      </c>
      <c r="P98" s="1" t="s">
        <v>10</v>
      </c>
      <c r="Q98" t="s">
        <v>10</v>
      </c>
    </row>
    <row r="99" spans="1:17" x14ac:dyDescent="0.25">
      <c r="A99">
        <v>92</v>
      </c>
      <c r="C99" t="s">
        <v>10</v>
      </c>
      <c r="E99" t="s">
        <v>10</v>
      </c>
      <c r="J99">
        <v>92</v>
      </c>
      <c r="K99" t="s">
        <v>11</v>
      </c>
      <c r="L99" s="2" t="s">
        <v>10</v>
      </c>
      <c r="M99" t="s">
        <v>10</v>
      </c>
      <c r="N99">
        <v>92</v>
      </c>
      <c r="P99" s="1" t="s">
        <v>10</v>
      </c>
      <c r="Q99" t="s">
        <v>10</v>
      </c>
    </row>
    <row r="100" spans="1:17" x14ac:dyDescent="0.25">
      <c r="A100">
        <v>93</v>
      </c>
      <c r="C100" t="s">
        <v>10</v>
      </c>
      <c r="E100" t="s">
        <v>10</v>
      </c>
      <c r="J100">
        <v>93</v>
      </c>
      <c r="K100" t="s">
        <v>11</v>
      </c>
      <c r="L100" s="2" t="s">
        <v>10</v>
      </c>
      <c r="M100" t="s">
        <v>10</v>
      </c>
      <c r="N100">
        <v>93</v>
      </c>
      <c r="P100" s="1" t="s">
        <v>10</v>
      </c>
      <c r="Q100" t="s">
        <v>10</v>
      </c>
    </row>
    <row r="101" spans="1:17" x14ac:dyDescent="0.25">
      <c r="A101">
        <v>94</v>
      </c>
      <c r="B101" t="s">
        <v>11</v>
      </c>
      <c r="C101" t="s">
        <v>10</v>
      </c>
      <c r="E101" t="s">
        <v>10</v>
      </c>
      <c r="J101">
        <v>94</v>
      </c>
      <c r="K101" s="2" t="s">
        <v>11</v>
      </c>
      <c r="L101" s="2" t="s">
        <v>10</v>
      </c>
      <c r="N101">
        <v>94</v>
      </c>
      <c r="P101" s="1" t="s">
        <v>10</v>
      </c>
      <c r="Q101" t="s">
        <v>10</v>
      </c>
    </row>
    <row r="102" spans="1:17" x14ac:dyDescent="0.25">
      <c r="A102">
        <v>95</v>
      </c>
      <c r="B102" t="s">
        <v>11</v>
      </c>
      <c r="E102" t="s">
        <v>10</v>
      </c>
      <c r="J102">
        <v>95</v>
      </c>
      <c r="K102" s="2" t="s">
        <v>11</v>
      </c>
      <c r="L102" s="2" t="s">
        <v>10</v>
      </c>
      <c r="N102">
        <v>95</v>
      </c>
      <c r="P102" s="1" t="s">
        <v>10</v>
      </c>
      <c r="Q102" t="s">
        <v>10</v>
      </c>
    </row>
    <row r="103" spans="1:17" x14ac:dyDescent="0.25">
      <c r="A103">
        <v>96</v>
      </c>
      <c r="B103" t="s">
        <v>11</v>
      </c>
      <c r="E103" t="s">
        <v>10</v>
      </c>
      <c r="J103">
        <v>96</v>
      </c>
      <c r="K103" s="2" t="s">
        <v>11</v>
      </c>
      <c r="L103" s="2" t="s">
        <v>10</v>
      </c>
      <c r="N103">
        <v>96</v>
      </c>
      <c r="P103" s="1" t="s">
        <v>10</v>
      </c>
      <c r="Q103" t="s">
        <v>10</v>
      </c>
    </row>
    <row r="104" spans="1:17" x14ac:dyDescent="0.25">
      <c r="A104">
        <v>97</v>
      </c>
      <c r="B104" t="s">
        <v>9</v>
      </c>
      <c r="E104" t="s">
        <v>10</v>
      </c>
      <c r="J104">
        <v>97</v>
      </c>
      <c r="K104" s="2" t="s">
        <v>9</v>
      </c>
      <c r="N104">
        <v>97</v>
      </c>
      <c r="O104" t="s">
        <v>11</v>
      </c>
      <c r="P104" s="1" t="s">
        <v>10</v>
      </c>
      <c r="Q104" t="s">
        <v>10</v>
      </c>
    </row>
    <row r="105" spans="1:17" x14ac:dyDescent="0.25">
      <c r="A105">
        <v>98</v>
      </c>
      <c r="B105" t="s">
        <v>9</v>
      </c>
      <c r="E105" t="s">
        <v>10</v>
      </c>
      <c r="J105">
        <v>98</v>
      </c>
      <c r="K105" s="2" t="s">
        <v>9</v>
      </c>
      <c r="N105">
        <v>98</v>
      </c>
      <c r="O105" t="s">
        <v>11</v>
      </c>
      <c r="P105" s="1" t="s">
        <v>10</v>
      </c>
      <c r="Q105" t="s">
        <v>10</v>
      </c>
    </row>
    <row r="106" spans="1:17" x14ac:dyDescent="0.25">
      <c r="A106">
        <v>99</v>
      </c>
      <c r="B106" t="s">
        <v>9</v>
      </c>
      <c r="E106" t="s">
        <v>10</v>
      </c>
      <c r="J106">
        <v>99</v>
      </c>
      <c r="K106" s="2" t="s">
        <v>9</v>
      </c>
      <c r="N106">
        <v>99</v>
      </c>
      <c r="O106" t="s">
        <v>11</v>
      </c>
      <c r="P106" s="1" t="s">
        <v>10</v>
      </c>
      <c r="Q106" t="s">
        <v>10</v>
      </c>
    </row>
    <row r="107" spans="1:17" x14ac:dyDescent="0.25">
      <c r="A107">
        <v>100</v>
      </c>
      <c r="E107" t="s">
        <v>10</v>
      </c>
      <c r="J107">
        <v>100</v>
      </c>
      <c r="K107" t="s">
        <v>28</v>
      </c>
      <c r="L107" s="2" t="s">
        <v>10</v>
      </c>
      <c r="M107" t="s">
        <v>28</v>
      </c>
      <c r="N107">
        <v>100</v>
      </c>
      <c r="O107" t="s">
        <v>11</v>
      </c>
      <c r="P107" s="1" t="s">
        <v>10</v>
      </c>
    </row>
    <row r="108" spans="1:17" x14ac:dyDescent="0.25">
      <c r="A108">
        <v>101</v>
      </c>
      <c r="C108" t="s">
        <v>10</v>
      </c>
      <c r="E108" t="s">
        <v>10</v>
      </c>
      <c r="J108">
        <v>101</v>
      </c>
      <c r="K108" t="s">
        <v>28</v>
      </c>
      <c r="L108" s="2" t="s">
        <v>10</v>
      </c>
      <c r="M108" t="s">
        <v>28</v>
      </c>
      <c r="N108">
        <v>101</v>
      </c>
      <c r="O108" t="s">
        <v>11</v>
      </c>
      <c r="P108" s="1" t="s">
        <v>10</v>
      </c>
    </row>
    <row r="109" spans="1:17" x14ac:dyDescent="0.25">
      <c r="A109">
        <v>102</v>
      </c>
      <c r="C109" t="s">
        <v>10</v>
      </c>
      <c r="E109" t="s">
        <v>10</v>
      </c>
      <c r="J109">
        <v>102</v>
      </c>
      <c r="K109" t="s">
        <v>28</v>
      </c>
      <c r="L109" s="2" t="s">
        <v>10</v>
      </c>
      <c r="M109" t="s">
        <v>28</v>
      </c>
      <c r="N109">
        <v>102</v>
      </c>
      <c r="O109" t="s">
        <v>11</v>
      </c>
      <c r="P109" s="1" t="s">
        <v>10</v>
      </c>
    </row>
    <row r="110" spans="1:17" x14ac:dyDescent="0.25">
      <c r="A110">
        <v>103</v>
      </c>
      <c r="C110" t="s">
        <v>10</v>
      </c>
      <c r="E110" t="s">
        <v>10</v>
      </c>
      <c r="J110">
        <v>103</v>
      </c>
      <c r="K110" t="s">
        <v>28</v>
      </c>
      <c r="L110" s="2" t="s">
        <v>10</v>
      </c>
      <c r="M110" t="s">
        <v>28</v>
      </c>
      <c r="N110">
        <v>103</v>
      </c>
      <c r="P110" t="s">
        <v>27</v>
      </c>
    </row>
    <row r="111" spans="1:17" x14ac:dyDescent="0.25">
      <c r="A111">
        <v>104</v>
      </c>
      <c r="C111" t="s">
        <v>10</v>
      </c>
      <c r="E111" t="s">
        <v>10</v>
      </c>
      <c r="J111">
        <v>104</v>
      </c>
      <c r="K111" t="s">
        <v>28</v>
      </c>
      <c r="L111" s="2" t="s">
        <v>10</v>
      </c>
      <c r="M111" t="s">
        <v>28</v>
      </c>
      <c r="N111">
        <v>104</v>
      </c>
      <c r="P111" t="s">
        <v>27</v>
      </c>
    </row>
    <row r="112" spans="1:17" x14ac:dyDescent="0.25">
      <c r="A112">
        <v>105</v>
      </c>
      <c r="C112" t="s">
        <v>10</v>
      </c>
      <c r="E112" t="s">
        <v>10</v>
      </c>
      <c r="J112">
        <v>105</v>
      </c>
      <c r="K112" t="s">
        <v>28</v>
      </c>
      <c r="L112" s="2" t="s">
        <v>10</v>
      </c>
      <c r="M112" t="s">
        <v>28</v>
      </c>
      <c r="N112">
        <v>105</v>
      </c>
      <c r="P112" t="s">
        <v>27</v>
      </c>
    </row>
    <row r="113" spans="1:17" x14ac:dyDescent="0.25">
      <c r="A113">
        <v>106</v>
      </c>
      <c r="C113" t="s">
        <v>10</v>
      </c>
      <c r="D113" t="s">
        <v>11</v>
      </c>
      <c r="E113" t="s">
        <v>10</v>
      </c>
      <c r="J113">
        <v>106</v>
      </c>
      <c r="L113" s="2" t="s">
        <v>10</v>
      </c>
      <c r="N113">
        <v>106</v>
      </c>
      <c r="Q113" t="s">
        <v>27</v>
      </c>
    </row>
    <row r="114" spans="1:17" x14ac:dyDescent="0.25">
      <c r="A114">
        <v>107</v>
      </c>
      <c r="C114" t="s">
        <v>10</v>
      </c>
      <c r="D114" t="s">
        <v>11</v>
      </c>
      <c r="E114" t="s">
        <v>10</v>
      </c>
      <c r="J114">
        <v>107</v>
      </c>
      <c r="L114" s="2" t="s">
        <v>10</v>
      </c>
      <c r="N114">
        <v>107</v>
      </c>
      <c r="Q114" t="s">
        <v>27</v>
      </c>
    </row>
    <row r="115" spans="1:17" x14ac:dyDescent="0.25">
      <c r="A115">
        <v>108</v>
      </c>
      <c r="C115" t="s">
        <v>10</v>
      </c>
      <c r="D115" t="s">
        <v>11</v>
      </c>
      <c r="E115" t="s">
        <v>10</v>
      </c>
      <c r="J115">
        <v>108</v>
      </c>
      <c r="L115" s="2" t="s">
        <v>10</v>
      </c>
      <c r="N115">
        <v>108</v>
      </c>
      <c r="Q115" t="s">
        <v>27</v>
      </c>
    </row>
    <row r="116" spans="1:17" x14ac:dyDescent="0.25">
      <c r="A116">
        <v>109</v>
      </c>
      <c r="C116" t="s">
        <v>10</v>
      </c>
      <c r="D116" t="s">
        <v>12</v>
      </c>
      <c r="J116">
        <v>109</v>
      </c>
      <c r="L116" s="2" t="s">
        <v>10</v>
      </c>
      <c r="N116">
        <v>109</v>
      </c>
      <c r="Q116" t="s">
        <v>27</v>
      </c>
    </row>
    <row r="117" spans="1:17" x14ac:dyDescent="0.25">
      <c r="A117">
        <v>110</v>
      </c>
      <c r="C117" t="s">
        <v>10</v>
      </c>
      <c r="D117" t="s">
        <v>12</v>
      </c>
      <c r="J117">
        <v>110</v>
      </c>
      <c r="L117" s="2" t="s">
        <v>10</v>
      </c>
      <c r="N117">
        <v>110</v>
      </c>
      <c r="Q117" t="s">
        <v>27</v>
      </c>
    </row>
    <row r="118" spans="1:17" x14ac:dyDescent="0.25">
      <c r="A118">
        <v>111</v>
      </c>
      <c r="C118" t="s">
        <v>10</v>
      </c>
      <c r="D118" t="s">
        <v>12</v>
      </c>
      <c r="J118">
        <v>111</v>
      </c>
      <c r="L118" s="2" t="s">
        <v>10</v>
      </c>
      <c r="N118">
        <v>111</v>
      </c>
      <c r="Q118" t="s">
        <v>27</v>
      </c>
    </row>
    <row r="119" spans="1:17" x14ac:dyDescent="0.25">
      <c r="A119">
        <v>112</v>
      </c>
      <c r="C119" t="s">
        <v>10</v>
      </c>
      <c r="D119" t="s">
        <v>12</v>
      </c>
      <c r="J119">
        <v>112</v>
      </c>
      <c r="K119" s="2" t="s">
        <v>11</v>
      </c>
      <c r="L119" s="2" t="s">
        <v>10</v>
      </c>
      <c r="N119">
        <v>112</v>
      </c>
    </row>
    <row r="120" spans="1:17" x14ac:dyDescent="0.25">
      <c r="A120">
        <v>113</v>
      </c>
      <c r="C120" t="s">
        <v>10</v>
      </c>
      <c r="D120" t="s">
        <v>12</v>
      </c>
      <c r="J120">
        <v>113</v>
      </c>
      <c r="K120" s="2" t="s">
        <v>11</v>
      </c>
      <c r="L120" s="2" t="s">
        <v>10</v>
      </c>
      <c r="N120">
        <v>113</v>
      </c>
    </row>
    <row r="121" spans="1:17" x14ac:dyDescent="0.25">
      <c r="A121">
        <v>114</v>
      </c>
      <c r="C121" t="s">
        <v>10</v>
      </c>
      <c r="D121" t="s">
        <v>12</v>
      </c>
      <c r="J121">
        <v>114</v>
      </c>
      <c r="K121" s="2" t="s">
        <v>11</v>
      </c>
      <c r="L121" s="2" t="s">
        <v>10</v>
      </c>
      <c r="N121">
        <v>114</v>
      </c>
    </row>
    <row r="122" spans="1:17" x14ac:dyDescent="0.25">
      <c r="A122">
        <v>115</v>
      </c>
      <c r="B122" t="s">
        <v>11</v>
      </c>
      <c r="C122" t="s">
        <v>10</v>
      </c>
      <c r="J122">
        <v>115</v>
      </c>
      <c r="K122" s="2" t="s">
        <v>28</v>
      </c>
      <c r="L122" s="2" t="s">
        <v>28</v>
      </c>
      <c r="N122">
        <v>115</v>
      </c>
    </row>
    <row r="123" spans="1:17" x14ac:dyDescent="0.25">
      <c r="A123">
        <v>116</v>
      </c>
      <c r="B123" t="s">
        <v>11</v>
      </c>
      <c r="J123">
        <v>116</v>
      </c>
      <c r="K123" s="2" t="s">
        <v>28</v>
      </c>
      <c r="L123" s="2" t="s">
        <v>28</v>
      </c>
      <c r="N123">
        <v>116</v>
      </c>
    </row>
    <row r="124" spans="1:17" x14ac:dyDescent="0.25">
      <c r="A124">
        <v>117</v>
      </c>
      <c r="B124" t="s">
        <v>11</v>
      </c>
      <c r="J124">
        <v>117</v>
      </c>
      <c r="K124" s="2" t="s">
        <v>28</v>
      </c>
      <c r="L124" s="2" t="s">
        <v>28</v>
      </c>
      <c r="N124">
        <v>117</v>
      </c>
    </row>
    <row r="125" spans="1:17" x14ac:dyDescent="0.25">
      <c r="A125">
        <v>118</v>
      </c>
      <c r="B125" t="s">
        <v>12</v>
      </c>
      <c r="J125">
        <v>118</v>
      </c>
      <c r="N125">
        <v>118</v>
      </c>
    </row>
    <row r="126" spans="1:17" x14ac:dyDescent="0.25">
      <c r="A126">
        <v>119</v>
      </c>
      <c r="B126" t="s">
        <v>12</v>
      </c>
      <c r="J126">
        <v>119</v>
      </c>
      <c r="N126">
        <v>119</v>
      </c>
    </row>
    <row r="127" spans="1:17" x14ac:dyDescent="0.25">
      <c r="A127">
        <v>120</v>
      </c>
      <c r="B127" t="s">
        <v>12</v>
      </c>
      <c r="J127">
        <v>120</v>
      </c>
      <c r="N127">
        <v>120</v>
      </c>
    </row>
    <row r="129" spans="10:17" x14ac:dyDescent="0.25">
      <c r="L129">
        <f>5*20</f>
        <v>100</v>
      </c>
      <c r="M129">
        <f>3*50</f>
        <v>150</v>
      </c>
      <c r="P129">
        <f>20*4</f>
        <v>80</v>
      </c>
      <c r="Q129">
        <f>50*4</f>
        <v>200</v>
      </c>
    </row>
    <row r="131" spans="10:17" x14ac:dyDescent="0.25">
      <c r="J131" t="s">
        <v>31</v>
      </c>
      <c r="K131" t="s">
        <v>29</v>
      </c>
    </row>
    <row r="133" spans="10:17" x14ac:dyDescent="0.25">
      <c r="J133">
        <v>117</v>
      </c>
      <c r="K133" t="s">
        <v>32</v>
      </c>
      <c r="L133">
        <v>50</v>
      </c>
      <c r="M133" t="s">
        <v>30</v>
      </c>
    </row>
    <row r="134" spans="10:17" x14ac:dyDescent="0.25">
      <c r="J134">
        <v>60</v>
      </c>
      <c r="L134">
        <f>+J134*L133/J133</f>
        <v>25.641025641025642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J16"/>
  <sheetViews>
    <sheetView workbookViewId="0">
      <selection activeCell="F14" sqref="F14"/>
    </sheetView>
  </sheetViews>
  <sheetFormatPr baseColWidth="10" defaultRowHeight="15" x14ac:dyDescent="0.25"/>
  <sheetData>
    <row r="8" spans="2:10" x14ac:dyDescent="0.25">
      <c r="B8" t="s">
        <v>34</v>
      </c>
    </row>
    <row r="10" spans="2:10" x14ac:dyDescent="0.25">
      <c r="B10" t="s">
        <v>33</v>
      </c>
      <c r="D10">
        <v>180</v>
      </c>
      <c r="J10" t="s">
        <v>39</v>
      </c>
    </row>
    <row r="11" spans="2:10" x14ac:dyDescent="0.25">
      <c r="B11" t="s">
        <v>37</v>
      </c>
      <c r="E11" t="s">
        <v>41</v>
      </c>
      <c r="G11" t="s">
        <v>38</v>
      </c>
    </row>
    <row r="12" spans="2:10" x14ac:dyDescent="0.25">
      <c r="B12" t="s">
        <v>35</v>
      </c>
      <c r="C12">
        <v>45</v>
      </c>
      <c r="D12" t="s">
        <v>32</v>
      </c>
      <c r="E12">
        <f>+C12/60*D10</f>
        <v>135</v>
      </c>
      <c r="F12">
        <f>100/E12</f>
        <v>0.7407407407407407</v>
      </c>
      <c r="G12" t="s">
        <v>35</v>
      </c>
    </row>
    <row r="13" spans="2:10" x14ac:dyDescent="0.25">
      <c r="B13" t="s">
        <v>36</v>
      </c>
      <c r="C13">
        <f>15+6+2*6</f>
        <v>33</v>
      </c>
      <c r="D13" t="s">
        <v>32</v>
      </c>
      <c r="E13">
        <f>+C13*D10/60</f>
        <v>99</v>
      </c>
      <c r="F13">
        <f>100/E13</f>
        <v>1.0101010101010102</v>
      </c>
    </row>
    <row r="14" spans="2:10" x14ac:dyDescent="0.25">
      <c r="D14" t="s">
        <v>40</v>
      </c>
      <c r="E14">
        <f>+E13+E12</f>
        <v>234</v>
      </c>
      <c r="H14">
        <v>84</v>
      </c>
      <c r="I14" t="s">
        <v>32</v>
      </c>
      <c r="J14">
        <f>+H14*D10/60</f>
        <v>252</v>
      </c>
    </row>
    <row r="15" spans="2:10" x14ac:dyDescent="0.25">
      <c r="E15">
        <f>50/E14</f>
        <v>0.21367521367521367</v>
      </c>
    </row>
    <row r="16" spans="2:10" x14ac:dyDescent="0.25">
      <c r="J16">
        <f>25/J14</f>
        <v>9.9206349206349201E-2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workbookViewId="0">
      <selection activeCell="F16" sqref="F16"/>
    </sheetView>
  </sheetViews>
  <sheetFormatPr baseColWidth="10" defaultRowHeight="15" x14ac:dyDescent="0.25"/>
  <sheetData>
    <row r="2" spans="2:9" x14ac:dyDescent="0.25">
      <c r="B2" t="s">
        <v>42</v>
      </c>
    </row>
    <row r="5" spans="2:9" x14ac:dyDescent="0.25">
      <c r="D5" t="s">
        <v>53</v>
      </c>
      <c r="G5" t="s">
        <v>54</v>
      </c>
    </row>
    <row r="6" spans="2:9" x14ac:dyDescent="0.25">
      <c r="C6" t="s">
        <v>43</v>
      </c>
      <c r="D6">
        <v>16.600000000000001</v>
      </c>
      <c r="E6">
        <v>110</v>
      </c>
      <c r="F6">
        <f>+D6*E6/100</f>
        <v>18.260000000000002</v>
      </c>
      <c r="G6">
        <v>14.6</v>
      </c>
      <c r="H6">
        <v>110</v>
      </c>
      <c r="I6">
        <f>+G6*H6/100</f>
        <v>16.059999999999999</v>
      </c>
    </row>
    <row r="7" spans="2:9" x14ac:dyDescent="0.25">
      <c r="C7" t="s">
        <v>44</v>
      </c>
      <c r="D7">
        <v>18.5</v>
      </c>
      <c r="E7">
        <v>90</v>
      </c>
      <c r="F7">
        <f t="shared" ref="F7:F15" si="0">+D7*E7/100</f>
        <v>16.649999999999999</v>
      </c>
      <c r="G7">
        <v>15.5</v>
      </c>
      <c r="H7">
        <v>100</v>
      </c>
      <c r="I7">
        <f t="shared" ref="I7:I15" si="1">+G7*H7/100</f>
        <v>15.5</v>
      </c>
    </row>
    <row r="8" spans="2:9" x14ac:dyDescent="0.25">
      <c r="C8" t="s">
        <v>45</v>
      </c>
      <c r="D8">
        <v>17.100000000000001</v>
      </c>
      <c r="E8">
        <v>110</v>
      </c>
      <c r="F8">
        <f t="shared" si="0"/>
        <v>18.810000000000002</v>
      </c>
      <c r="G8">
        <v>16.100000000000001</v>
      </c>
      <c r="H8">
        <v>80</v>
      </c>
      <c r="I8">
        <f t="shared" si="1"/>
        <v>12.88</v>
      </c>
    </row>
    <row r="9" spans="2:9" x14ac:dyDescent="0.25">
      <c r="C9" t="s">
        <v>46</v>
      </c>
      <c r="D9">
        <v>15.9</v>
      </c>
      <c r="E9">
        <v>120</v>
      </c>
      <c r="F9">
        <f t="shared" si="0"/>
        <v>19.079999999999998</v>
      </c>
      <c r="G9">
        <v>15.9</v>
      </c>
      <c r="H9">
        <v>90</v>
      </c>
      <c r="I9">
        <f t="shared" si="1"/>
        <v>14.31</v>
      </c>
    </row>
    <row r="10" spans="2:9" x14ac:dyDescent="0.25">
      <c r="C10" t="s">
        <v>47</v>
      </c>
      <c r="D10">
        <v>16.100000000000001</v>
      </c>
      <c r="E10">
        <v>110</v>
      </c>
      <c r="F10">
        <f t="shared" si="0"/>
        <v>17.71</v>
      </c>
      <c r="G10">
        <v>14.1</v>
      </c>
      <c r="H10">
        <v>110</v>
      </c>
      <c r="I10">
        <f t="shared" si="1"/>
        <v>15.51</v>
      </c>
    </row>
    <row r="11" spans="2:9" x14ac:dyDescent="0.25">
      <c r="C11" t="s">
        <v>48</v>
      </c>
      <c r="D11">
        <v>17.7</v>
      </c>
      <c r="E11">
        <v>100</v>
      </c>
      <c r="F11">
        <f t="shared" si="0"/>
        <v>17.7</v>
      </c>
      <c r="G11">
        <v>13.7</v>
      </c>
      <c r="H11">
        <v>120</v>
      </c>
      <c r="I11">
        <f t="shared" si="1"/>
        <v>16.440000000000001</v>
      </c>
    </row>
    <row r="12" spans="2:9" x14ac:dyDescent="0.25">
      <c r="C12" t="s">
        <v>49</v>
      </c>
      <c r="D12">
        <v>18</v>
      </c>
      <c r="E12">
        <v>100</v>
      </c>
      <c r="F12">
        <f t="shared" si="0"/>
        <v>18</v>
      </c>
      <c r="G12">
        <v>15</v>
      </c>
      <c r="H12">
        <v>90</v>
      </c>
      <c r="I12">
        <f t="shared" si="1"/>
        <v>13.5</v>
      </c>
    </row>
    <row r="13" spans="2:9" x14ac:dyDescent="0.25">
      <c r="C13" t="s">
        <v>50</v>
      </c>
      <c r="D13">
        <v>18.3</v>
      </c>
      <c r="E13">
        <v>90</v>
      </c>
      <c r="F13">
        <f t="shared" si="0"/>
        <v>16.47</v>
      </c>
      <c r="G13">
        <v>15.3</v>
      </c>
      <c r="H13">
        <v>100</v>
      </c>
      <c r="I13">
        <f t="shared" si="1"/>
        <v>15.3</v>
      </c>
    </row>
    <row r="14" spans="2:9" x14ac:dyDescent="0.25">
      <c r="C14" t="s">
        <v>51</v>
      </c>
      <c r="D14">
        <v>17.8</v>
      </c>
      <c r="E14">
        <v>100</v>
      </c>
      <c r="F14">
        <f t="shared" si="0"/>
        <v>17.8</v>
      </c>
      <c r="G14">
        <v>15.8</v>
      </c>
      <c r="H14">
        <v>90</v>
      </c>
      <c r="I14">
        <f t="shared" si="1"/>
        <v>14.22</v>
      </c>
    </row>
    <row r="15" spans="2:9" x14ac:dyDescent="0.25">
      <c r="C15" t="s">
        <v>52</v>
      </c>
      <c r="D15">
        <v>18.8</v>
      </c>
      <c r="E15">
        <v>80</v>
      </c>
      <c r="F15">
        <f t="shared" si="0"/>
        <v>15.04</v>
      </c>
      <c r="G15">
        <v>12.8</v>
      </c>
      <c r="H15">
        <v>120</v>
      </c>
      <c r="I15">
        <f t="shared" si="1"/>
        <v>15.36</v>
      </c>
    </row>
    <row r="16" spans="2:9" x14ac:dyDescent="0.25">
      <c r="E16" s="3" t="s">
        <v>55</v>
      </c>
      <c r="F16" s="3">
        <f>+AVERAGE(F6:F15)</f>
        <v>17.552</v>
      </c>
      <c r="G16" s="3"/>
      <c r="H16" s="3" t="s">
        <v>55</v>
      </c>
      <c r="I16" s="3">
        <f>+AVERAGE(I6:I15)</f>
        <v>14.907999999999998</v>
      </c>
    </row>
    <row r="17" spans="4:9" x14ac:dyDescent="0.25">
      <c r="H17" t="s">
        <v>59</v>
      </c>
      <c r="I17">
        <f>+I16+F16</f>
        <v>32.459999999999994</v>
      </c>
    </row>
    <row r="18" spans="4:9" x14ac:dyDescent="0.25">
      <c r="D18">
        <f>+AVERAGE(D6:D10)</f>
        <v>16.840000000000003</v>
      </c>
      <c r="G18">
        <f>+AVERAGE(G6:G10)</f>
        <v>15.24</v>
      </c>
      <c r="I18">
        <f>3600/I17</f>
        <v>110.90573012939004</v>
      </c>
    </row>
    <row r="19" spans="4:9" x14ac:dyDescent="0.25">
      <c r="D19">
        <f>+AVERAGE(D11:D15)</f>
        <v>18.119999999999997</v>
      </c>
      <c r="G19">
        <f>+AVERAGE(G11:G15)</f>
        <v>14.52</v>
      </c>
    </row>
    <row r="20" spans="4:9" x14ac:dyDescent="0.25">
      <c r="D20">
        <f>+MAX(D6:D10)-MIN(D6:D10)</f>
        <v>2.5999999999999996</v>
      </c>
      <c r="G20">
        <f>+MAX(G6:G10)-MIN(G6:G10)</f>
        <v>2.0000000000000018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1"/>
  <sheetViews>
    <sheetView tabSelected="1" workbookViewId="0"/>
  </sheetViews>
  <sheetFormatPr baseColWidth="10" defaultRowHeight="15" x14ac:dyDescent="0.25"/>
  <cols>
    <col min="2" max="2" width="27.42578125" bestFit="1" customWidth="1"/>
    <col min="3" max="3" width="3.140625" bestFit="1" customWidth="1"/>
  </cols>
  <sheetData>
    <row r="2" spans="2:17" x14ac:dyDescent="0.25">
      <c r="B2" t="s">
        <v>71</v>
      </c>
    </row>
    <row r="3" spans="2:17" x14ac:dyDescent="0.25">
      <c r="B3" t="s">
        <v>72</v>
      </c>
      <c r="D3">
        <v>50</v>
      </c>
      <c r="E3" t="s">
        <v>75</v>
      </c>
      <c r="F3" t="s">
        <v>78</v>
      </c>
    </row>
    <row r="4" spans="2:17" x14ac:dyDescent="0.25">
      <c r="B4" t="s">
        <v>73</v>
      </c>
      <c r="D4">
        <v>100</v>
      </c>
      <c r="E4" t="s">
        <v>76</v>
      </c>
      <c r="F4" t="s">
        <v>79</v>
      </c>
    </row>
    <row r="5" spans="2:17" x14ac:dyDescent="0.25">
      <c r="B5" t="s">
        <v>70</v>
      </c>
      <c r="D5">
        <v>1.95</v>
      </c>
      <c r="E5" t="s">
        <v>61</v>
      </c>
      <c r="F5">
        <f>60/D5</f>
        <v>30.76923076923077</v>
      </c>
      <c r="G5" t="s">
        <v>60</v>
      </c>
    </row>
    <row r="6" spans="2:17" x14ac:dyDescent="0.25">
      <c r="B6" t="s">
        <v>69</v>
      </c>
      <c r="D6">
        <v>111</v>
      </c>
      <c r="E6" t="s">
        <v>60</v>
      </c>
    </row>
    <row r="8" spans="2:17" x14ac:dyDescent="0.25">
      <c r="B8" t="s">
        <v>56</v>
      </c>
      <c r="F8" t="s">
        <v>65</v>
      </c>
      <c r="G8" t="s">
        <v>62</v>
      </c>
      <c r="H8" t="s">
        <v>63</v>
      </c>
    </row>
    <row r="9" spans="2:17" x14ac:dyDescent="0.25">
      <c r="B9" t="s">
        <v>77</v>
      </c>
      <c r="F9" t="s">
        <v>64</v>
      </c>
      <c r="G9">
        <f>92*2</f>
        <v>184</v>
      </c>
      <c r="H9">
        <f>92*2</f>
        <v>184</v>
      </c>
    </row>
    <row r="10" spans="2:17" x14ac:dyDescent="0.25">
      <c r="B10" t="s">
        <v>74</v>
      </c>
      <c r="D10">
        <f>+F5*3</f>
        <v>92.307692307692307</v>
      </c>
      <c r="E10" t="s">
        <v>60</v>
      </c>
      <c r="F10" t="s">
        <v>66</v>
      </c>
      <c r="G10">
        <v>50</v>
      </c>
      <c r="H10">
        <v>100</v>
      </c>
    </row>
    <row r="11" spans="2:17" x14ac:dyDescent="0.25">
      <c r="B11" t="s">
        <v>57</v>
      </c>
      <c r="C11" t="s">
        <v>58</v>
      </c>
      <c r="F11" t="s">
        <v>67</v>
      </c>
      <c r="G11">
        <f>+G9/G10</f>
        <v>3.68</v>
      </c>
      <c r="H11">
        <f>+H9/H10</f>
        <v>1.84</v>
      </c>
    </row>
    <row r="13" spans="2:17" x14ac:dyDescent="0.25">
      <c r="F13" t="s">
        <v>68</v>
      </c>
    </row>
    <row r="15" spans="2:17" x14ac:dyDescent="0.25">
      <c r="D15" t="s">
        <v>80</v>
      </c>
      <c r="E15" t="s">
        <v>81</v>
      </c>
      <c r="G15" t="s">
        <v>80</v>
      </c>
      <c r="H15" t="s">
        <v>81</v>
      </c>
      <c r="J15" t="s">
        <v>80</v>
      </c>
      <c r="K15" t="s">
        <v>81</v>
      </c>
      <c r="M15" t="s">
        <v>80</v>
      </c>
      <c r="N15" t="s">
        <v>81</v>
      </c>
    </row>
    <row r="16" spans="2:17" x14ac:dyDescent="0.25">
      <c r="B16" t="s">
        <v>72</v>
      </c>
      <c r="D16" s="1">
        <v>1</v>
      </c>
      <c r="E16" s="1">
        <v>25</v>
      </c>
      <c r="G16">
        <v>2</v>
      </c>
      <c r="H16">
        <v>50</v>
      </c>
      <c r="J16" s="1">
        <v>2</v>
      </c>
      <c r="K16" s="1">
        <v>50</v>
      </c>
      <c r="M16" s="4">
        <v>2.5</v>
      </c>
      <c r="N16" s="4">
        <v>75</v>
      </c>
      <c r="O16" s="4"/>
      <c r="P16" s="1"/>
      <c r="Q16" s="1"/>
    </row>
    <row r="17" spans="2:17" x14ac:dyDescent="0.25">
      <c r="B17" t="s">
        <v>73</v>
      </c>
      <c r="D17">
        <v>1</v>
      </c>
      <c r="E17">
        <v>50</v>
      </c>
      <c r="G17">
        <v>1</v>
      </c>
      <c r="H17">
        <v>50</v>
      </c>
      <c r="J17" s="1">
        <v>1</v>
      </c>
      <c r="K17" s="1">
        <v>50</v>
      </c>
      <c r="M17" s="4">
        <v>1.5</v>
      </c>
      <c r="N17" s="4">
        <v>75</v>
      </c>
      <c r="O17" s="4"/>
      <c r="P17" s="1"/>
      <c r="Q17" s="1"/>
    </row>
    <row r="18" spans="2:17" x14ac:dyDescent="0.25">
      <c r="B18" t="s">
        <v>70</v>
      </c>
      <c r="D18">
        <v>1</v>
      </c>
      <c r="E18">
        <v>30</v>
      </c>
      <c r="G18" s="1">
        <v>1</v>
      </c>
      <c r="H18" s="1">
        <v>30</v>
      </c>
      <c r="J18">
        <v>2</v>
      </c>
      <c r="K18">
        <v>61</v>
      </c>
      <c r="M18" s="1">
        <v>2</v>
      </c>
      <c r="N18" s="1">
        <v>61</v>
      </c>
    </row>
    <row r="19" spans="2:17" x14ac:dyDescent="0.25">
      <c r="B19" t="s">
        <v>69</v>
      </c>
      <c r="D19">
        <v>2</v>
      </c>
      <c r="E19">
        <v>111</v>
      </c>
      <c r="G19">
        <v>2</v>
      </c>
      <c r="H19">
        <v>111</v>
      </c>
      <c r="J19">
        <v>2</v>
      </c>
      <c r="K19">
        <v>111</v>
      </c>
      <c r="M19">
        <v>2</v>
      </c>
      <c r="N19">
        <v>111</v>
      </c>
    </row>
    <row r="21" spans="2:17" x14ac:dyDescent="0.25">
      <c r="B21" t="s">
        <v>82</v>
      </c>
      <c r="D21">
        <f>+SUM(D16:D19)</f>
        <v>5</v>
      </c>
      <c r="G21">
        <f>+SUM(G16:G19)</f>
        <v>6</v>
      </c>
      <c r="J21">
        <f>+SUM(J16:J19)</f>
        <v>7</v>
      </c>
      <c r="M21">
        <f>+SUM(M16:M19)</f>
        <v>8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1P</vt:lpstr>
      <vt:lpstr>2P</vt:lpstr>
      <vt:lpstr>3P</vt:lpstr>
      <vt:lpstr>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</dc:creator>
  <cp:lastModifiedBy>Andrés</cp:lastModifiedBy>
  <dcterms:created xsi:type="dcterms:W3CDTF">2021-09-19T18:36:17Z</dcterms:created>
  <dcterms:modified xsi:type="dcterms:W3CDTF">2021-09-21T12:02:54Z</dcterms:modified>
</cp:coreProperties>
</file>