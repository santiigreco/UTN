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0" windowWidth="20730" windowHeight="11760"/>
  </bookViews>
  <sheets>
    <sheet name="19-02-20" sheetId="3" r:id="rId1"/>
  </sheets>
  <calcPr calcId="144525"/>
</workbook>
</file>

<file path=xl/calcChain.xml><?xml version="1.0" encoding="utf-8"?>
<calcChain xmlns="http://schemas.openxmlformats.org/spreadsheetml/2006/main">
  <c r="H57" i="3" l="1"/>
  <c r="F52" i="3"/>
  <c r="B52" i="3"/>
  <c r="N19" i="3" l="1"/>
  <c r="N12" i="3"/>
  <c r="N17" i="3"/>
  <c r="I66" i="3"/>
  <c r="C66" i="3"/>
  <c r="J64" i="3"/>
  <c r="I64" i="3"/>
  <c r="H64" i="3"/>
  <c r="G64" i="3"/>
  <c r="D64" i="3"/>
  <c r="C64" i="3"/>
  <c r="B64" i="3"/>
  <c r="I63" i="3"/>
  <c r="H63" i="3"/>
  <c r="G63" i="3"/>
  <c r="E63" i="3"/>
  <c r="D63" i="3"/>
  <c r="C63" i="3"/>
  <c r="B63" i="3"/>
  <c r="A58" i="3" l="1"/>
  <c r="K11" i="3"/>
  <c r="H58" i="3"/>
  <c r="E58" i="3"/>
  <c r="C58" i="3"/>
  <c r="J52" i="3"/>
  <c r="F53" i="3"/>
  <c r="B53" i="3"/>
  <c r="N7" i="3"/>
  <c r="G36" i="3"/>
  <c r="G48" i="3"/>
  <c r="G34" i="3"/>
  <c r="R36" i="3"/>
  <c r="T34" i="3" s="1"/>
  <c r="R37" i="3"/>
  <c r="S37" i="3" s="1"/>
  <c r="R38" i="3"/>
  <c r="S38" i="3" s="1"/>
  <c r="R35" i="3"/>
  <c r="S35" i="3" s="1"/>
  <c r="R34" i="3"/>
  <c r="S34" i="3" s="1"/>
  <c r="F48" i="3"/>
  <c r="F46" i="3"/>
  <c r="G46" i="3" s="1"/>
  <c r="F47" i="3"/>
  <c r="G47" i="3" s="1"/>
  <c r="F45" i="3"/>
  <c r="G45" i="3" s="1"/>
  <c r="F44" i="3"/>
  <c r="G44" i="3" s="1"/>
  <c r="F43" i="3"/>
  <c r="G43" i="3" s="1"/>
  <c r="F41" i="3"/>
  <c r="G41" i="3" s="1"/>
  <c r="F42" i="3"/>
  <c r="G42" i="3" s="1"/>
  <c r="F40" i="3"/>
  <c r="G40" i="3" s="1"/>
  <c r="F39" i="3"/>
  <c r="G39" i="3" s="1"/>
  <c r="F38" i="3"/>
  <c r="G38" i="3" s="1"/>
  <c r="F37" i="3"/>
  <c r="G37" i="3" s="1"/>
  <c r="F36" i="3"/>
  <c r="F35" i="3"/>
  <c r="G35" i="3" s="1"/>
  <c r="H34" i="3" l="1"/>
  <c r="H39" i="3"/>
  <c r="H44" i="3"/>
  <c r="S36" i="3"/>
  <c r="W48" i="3" s="1"/>
  <c r="K35" i="3"/>
  <c r="W35" i="3"/>
  <c r="K37" i="3" l="1"/>
  <c r="K39" i="3" s="1"/>
  <c r="W37" i="3"/>
  <c r="W39" i="3" s="1"/>
  <c r="S12" i="3" l="1"/>
</calcChain>
</file>

<file path=xl/sharedStrings.xml><?xml version="1.0" encoding="utf-8"?>
<sst xmlns="http://schemas.openxmlformats.org/spreadsheetml/2006/main" count="91" uniqueCount="80">
  <si>
    <t>2)</t>
  </si>
  <si>
    <t>Aprovechamiento:</t>
  </si>
  <si>
    <t>3)</t>
  </si>
  <si>
    <t>1)</t>
  </si>
  <si>
    <t>C</t>
  </si>
  <si>
    <t>Linea A</t>
  </si>
  <si>
    <t>OP 01 A</t>
  </si>
  <si>
    <t>OP 02 A</t>
  </si>
  <si>
    <t>Linea B</t>
  </si>
  <si>
    <t>OP 03 B</t>
  </si>
  <si>
    <t>OP 04 B</t>
  </si>
  <si>
    <t>OP 05 B</t>
  </si>
  <si>
    <t>OP 06 B</t>
  </si>
  <si>
    <t>Linea C</t>
  </si>
  <si>
    <t>OP 07 D</t>
  </si>
  <si>
    <t>OP 08 D</t>
  </si>
  <si>
    <t>OP 09 D</t>
  </si>
  <si>
    <t>Linea D</t>
  </si>
  <si>
    <t>OP 10 F</t>
  </si>
  <si>
    <t>OP 11 F</t>
  </si>
  <si>
    <t>OP 12 F</t>
  </si>
  <si>
    <t>OP 13 F</t>
  </si>
  <si>
    <t>Linea E</t>
  </si>
  <si>
    <t>OP 14 G</t>
  </si>
  <si>
    <t>OP 15 G</t>
  </si>
  <si>
    <t>OP 16 G</t>
  </si>
  <si>
    <t>Descripcion del elemento</t>
  </si>
  <si>
    <t>V</t>
  </si>
  <si>
    <t>Tr</t>
  </si>
  <si>
    <t>Tb</t>
  </si>
  <si>
    <t>Rango</t>
  </si>
  <si>
    <t>Ciclo 1</t>
  </si>
  <si>
    <t>Ciclo 2</t>
  </si>
  <si>
    <t>Ciclo 3</t>
  </si>
  <si>
    <t>Ciclo 4</t>
  </si>
  <si>
    <t>Ciclo 5</t>
  </si>
  <si>
    <t>Ciclo 6</t>
  </si>
  <si>
    <t>Ciclo 7</t>
  </si>
  <si>
    <t>Ciclo 8</t>
  </si>
  <si>
    <t>e%</t>
  </si>
  <si>
    <t>Ciclo 9</t>
  </si>
  <si>
    <t>Ciclo 10</t>
  </si>
  <si>
    <t>¿Valida?</t>
  </si>
  <si>
    <t>No</t>
  </si>
  <si>
    <t>Si</t>
  </si>
  <si>
    <t>Ciclo 11</t>
  </si>
  <si>
    <t>Ciclo 12</t>
  </si>
  <si>
    <t>n´</t>
  </si>
  <si>
    <t>Ciclo 13</t>
  </si>
  <si>
    <t>Ciclo 14</t>
  </si>
  <si>
    <t>Ciclo 15</t>
  </si>
  <si>
    <t>TTa =</t>
  </si>
  <si>
    <t>=</t>
  </si>
  <si>
    <t>Ciclo 16</t>
  </si>
  <si>
    <t>Ciclo 17</t>
  </si>
  <si>
    <t>Ciclo 18</t>
  </si>
  <si>
    <t>Ciclo 19</t>
  </si>
  <si>
    <t>Ciclo 20</t>
  </si>
  <si>
    <t>5)</t>
  </si>
  <si>
    <t>No me conviene cambiar de chapa</t>
  </si>
  <si>
    <t>Ciclo 21</t>
  </si>
  <si>
    <t>Ciclo 22</t>
  </si>
  <si>
    <t>Ciclo 23</t>
  </si>
  <si>
    <t>Ciclo 24</t>
  </si>
  <si>
    <t>Ciclo 25</t>
  </si>
  <si>
    <t>Ciclo 26</t>
  </si>
  <si>
    <t>Ciclo 27</t>
  </si>
  <si>
    <t>Ciclo 28</t>
  </si>
  <si>
    <t>Ciclo 29</t>
  </si>
  <si>
    <t>Ciclo 30</t>
  </si>
  <si>
    <t>eA =</t>
  </si>
  <si>
    <t>eC =</t>
  </si>
  <si>
    <t>eE =</t>
  </si>
  <si>
    <t>eB =</t>
  </si>
  <si>
    <t>eD =</t>
  </si>
  <si>
    <t>4)</t>
  </si>
  <si>
    <t>Lineas B,C D</t>
  </si>
  <si>
    <t>Total:</t>
  </si>
  <si>
    <t>hs</t>
  </si>
  <si>
    <t>Cuello de botella: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</si>
</sst>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2" fillId="2" borderId="2" xfId="0" applyFont="1" applyFill="1" applyBorder="1"/>
    <xf numFmtId="0" fontId="2" fillId="2" borderId="3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8" xfId="0" applyFont="1" applyFill="1" applyBorder="1"/>
    <xf numFmtId="0" fontId="2" fillId="2" borderId="10" xfId="0" applyFont="1" applyFill="1" applyBorder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0" xfId="0" applyFill="1" applyBorder="1"/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2" fillId="0" borderId="0" xfId="0" applyFont="1"/>
    <xf numFmtId="164" fontId="0" fillId="0" borderId="0" xfId="0" applyNumberFormat="1"/>
    <xf numFmtId="0" fontId="0" fillId="0" borderId="24" xfId="0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165" fontId="0" fillId="0" borderId="0" xfId="1" applyNumberFormat="1" applyFont="1"/>
    <xf numFmtId="0" fontId="0" fillId="0" borderId="12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/>
    <xf numFmtId="0" fontId="2" fillId="0" borderId="0" xfId="0" applyFont="1" applyFill="1" applyBorder="1" applyAlignment="1">
      <alignment horizontal="center"/>
    </xf>
    <xf numFmtId="0" fontId="2" fillId="2" borderId="8" xfId="0" applyFont="1" applyFill="1" applyBorder="1" applyAlignment="1"/>
    <xf numFmtId="0" fontId="2" fillId="2" borderId="9" xfId="0" applyFont="1" applyFill="1" applyBorder="1" applyAlignment="1"/>
    <xf numFmtId="0" fontId="2" fillId="2" borderId="10" xfId="0" applyFont="1" applyFill="1" applyBorder="1" applyAlignment="1"/>
    <xf numFmtId="0" fontId="0" fillId="0" borderId="0" xfId="0" applyBorder="1" applyAlignment="1">
      <alignment vertical="center"/>
    </xf>
    <xf numFmtId="10" fontId="2" fillId="2" borderId="6" xfId="1" applyNumberFormat="1" applyFont="1" applyFill="1" applyBorder="1" applyAlignment="1"/>
    <xf numFmtId="10" fontId="2" fillId="2" borderId="7" xfId="1" applyNumberFormat="1" applyFont="1" applyFill="1" applyBorder="1" applyAlignment="1"/>
    <xf numFmtId="0" fontId="0" fillId="2" borderId="1" xfId="0" applyFill="1" applyBorder="1"/>
    <xf numFmtId="0" fontId="0" fillId="0" borderId="0" xfId="0" applyFill="1" applyBorder="1" applyAlignment="1"/>
    <xf numFmtId="0" fontId="2" fillId="0" borderId="0" xfId="0" applyFont="1" applyFill="1" applyBorder="1" applyAlignment="1"/>
    <xf numFmtId="0" fontId="3" fillId="0" borderId="0" xfId="0" applyFont="1" applyAlignment="1">
      <alignment horizontal="center"/>
    </xf>
    <xf numFmtId="10" fontId="2" fillId="2" borderId="3" xfId="1" applyNumberFormat="1" applyFont="1" applyFill="1" applyBorder="1" applyAlignment="1">
      <alignment horizontal="center"/>
    </xf>
    <xf numFmtId="10" fontId="2" fillId="2" borderId="4" xfId="1" applyNumberFormat="1" applyFont="1" applyFill="1" applyBorder="1" applyAlignment="1">
      <alignment horizontal="center"/>
    </xf>
    <xf numFmtId="10" fontId="1" fillId="0" borderId="0" xfId="1" applyNumberFormat="1" applyFont="1" applyAlignment="1">
      <alignment horizontal="center"/>
    </xf>
    <xf numFmtId="10" fontId="2" fillId="2" borderId="6" xfId="1" applyNumberFormat="1" applyFont="1" applyFill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w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57150</xdr:rowOff>
    </xdr:from>
    <xdr:to>
      <xdr:col>9</xdr:col>
      <xdr:colOff>748393</xdr:colOff>
      <xdr:row>29</xdr:row>
      <xdr:rowOff>38100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"/>
          <a:ext cx="7606393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5</xdr:row>
      <xdr:rowOff>19050</xdr:rowOff>
    </xdr:from>
    <xdr:to>
      <xdr:col>12</xdr:col>
      <xdr:colOff>685800</xdr:colOff>
      <xdr:row>10</xdr:row>
      <xdr:rowOff>0</xdr:rowOff>
    </xdr:to>
    <xdr:cxnSp macro="">
      <xdr:nvCxnSpPr>
        <xdr:cNvPr id="4" name="3 Conector recto de flecha"/>
        <xdr:cNvCxnSpPr/>
      </xdr:nvCxnSpPr>
      <xdr:spPr>
        <a:xfrm flipV="1">
          <a:off x="8934450" y="971550"/>
          <a:ext cx="685800" cy="9334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9</xdr:row>
      <xdr:rowOff>28575</xdr:rowOff>
    </xdr:from>
    <xdr:to>
      <xdr:col>13</xdr:col>
      <xdr:colOff>9525</xdr:colOff>
      <xdr:row>10</xdr:row>
      <xdr:rowOff>0</xdr:rowOff>
    </xdr:to>
    <xdr:cxnSp macro="">
      <xdr:nvCxnSpPr>
        <xdr:cNvPr id="5" name="4 Conector recto de flecha"/>
        <xdr:cNvCxnSpPr/>
      </xdr:nvCxnSpPr>
      <xdr:spPr>
        <a:xfrm flipV="1">
          <a:off x="8934450" y="1743075"/>
          <a:ext cx="752475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5</xdr:row>
      <xdr:rowOff>161926</xdr:rowOff>
    </xdr:from>
    <xdr:to>
      <xdr:col>18</xdr:col>
      <xdr:colOff>0</xdr:colOff>
      <xdr:row>8</xdr:row>
      <xdr:rowOff>180975</xdr:rowOff>
    </xdr:to>
    <xdr:cxnSp macro="">
      <xdr:nvCxnSpPr>
        <xdr:cNvPr id="8" name="7 Conector recto de flecha"/>
        <xdr:cNvCxnSpPr/>
      </xdr:nvCxnSpPr>
      <xdr:spPr>
        <a:xfrm>
          <a:off x="12954000" y="1114426"/>
          <a:ext cx="762000" cy="59054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123825</xdr:colOff>
      <xdr:row>8</xdr:row>
      <xdr:rowOff>180975</xdr:rowOff>
    </xdr:from>
    <xdr:to>
      <xdr:col>18</xdr:col>
      <xdr:colOff>0</xdr:colOff>
      <xdr:row>10</xdr:row>
      <xdr:rowOff>0</xdr:rowOff>
    </xdr:to>
    <xdr:cxnSp macro="">
      <xdr:nvCxnSpPr>
        <xdr:cNvPr id="10" name="9 Conector recto de flecha"/>
        <xdr:cNvCxnSpPr/>
      </xdr:nvCxnSpPr>
      <xdr:spPr>
        <a:xfrm flipV="1">
          <a:off x="11344275" y="1704975"/>
          <a:ext cx="847725" cy="20002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47625</xdr:colOff>
      <xdr:row>8</xdr:row>
      <xdr:rowOff>171451</xdr:rowOff>
    </xdr:from>
    <xdr:to>
      <xdr:col>18</xdr:col>
      <xdr:colOff>0</xdr:colOff>
      <xdr:row>15</xdr:row>
      <xdr:rowOff>9525</xdr:rowOff>
    </xdr:to>
    <xdr:cxnSp macro="">
      <xdr:nvCxnSpPr>
        <xdr:cNvPr id="13" name="12 Conector recto de flecha"/>
        <xdr:cNvCxnSpPr/>
      </xdr:nvCxnSpPr>
      <xdr:spPr>
        <a:xfrm flipV="1">
          <a:off x="11772900" y="1695451"/>
          <a:ext cx="419100" cy="1171574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76200</xdr:colOff>
      <xdr:row>33</xdr:row>
      <xdr:rowOff>161925</xdr:rowOff>
    </xdr:from>
    <xdr:to>
      <xdr:col>9</xdr:col>
      <xdr:colOff>514350</xdr:colOff>
      <xdr:row>35</xdr:row>
      <xdr:rowOff>104775</xdr:rowOff>
    </xdr:to>
    <xdr:pic>
      <xdr:nvPicPr>
        <xdr:cNvPr id="25" name="24 Imagen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575" y="1133475"/>
          <a:ext cx="5905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28575</xdr:colOff>
      <xdr:row>38</xdr:row>
      <xdr:rowOff>19050</xdr:rowOff>
    </xdr:from>
    <xdr:to>
      <xdr:col>9</xdr:col>
      <xdr:colOff>561975</xdr:colOff>
      <xdr:row>39</xdr:row>
      <xdr:rowOff>123825</xdr:rowOff>
    </xdr:to>
    <xdr:pic>
      <xdr:nvPicPr>
        <xdr:cNvPr id="26" name="25 Imagen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1952625"/>
          <a:ext cx="78105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57150</xdr:colOff>
      <xdr:row>35</xdr:row>
      <xdr:rowOff>171450</xdr:rowOff>
    </xdr:from>
    <xdr:to>
      <xdr:col>9</xdr:col>
      <xdr:colOff>514350</xdr:colOff>
      <xdr:row>37</xdr:row>
      <xdr:rowOff>95250</xdr:rowOff>
    </xdr:to>
    <xdr:pic>
      <xdr:nvPicPr>
        <xdr:cNvPr id="27" name="26 Imagen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2525" y="1524000"/>
          <a:ext cx="571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76200</xdr:colOff>
      <xdr:row>33</xdr:row>
      <xdr:rowOff>161925</xdr:rowOff>
    </xdr:from>
    <xdr:to>
      <xdr:col>21</xdr:col>
      <xdr:colOff>666750</xdr:colOff>
      <xdr:row>35</xdr:row>
      <xdr:rowOff>104775</xdr:rowOff>
    </xdr:to>
    <xdr:pic>
      <xdr:nvPicPr>
        <xdr:cNvPr id="28" name="27 Imagen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3825" y="1133475"/>
          <a:ext cx="5905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28575</xdr:colOff>
      <xdr:row>38</xdr:row>
      <xdr:rowOff>19050</xdr:rowOff>
    </xdr:from>
    <xdr:to>
      <xdr:col>21</xdr:col>
      <xdr:colOff>733425</xdr:colOff>
      <xdr:row>39</xdr:row>
      <xdr:rowOff>123825</xdr:rowOff>
    </xdr:to>
    <xdr:pic>
      <xdr:nvPicPr>
        <xdr:cNvPr id="29" name="28 Imagen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6200" y="1952625"/>
          <a:ext cx="78105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57150</xdr:colOff>
      <xdr:row>35</xdr:row>
      <xdr:rowOff>171450</xdr:rowOff>
    </xdr:from>
    <xdr:to>
      <xdr:col>21</xdr:col>
      <xdr:colOff>628650</xdr:colOff>
      <xdr:row>37</xdr:row>
      <xdr:rowOff>95250</xdr:rowOff>
    </xdr:to>
    <xdr:pic>
      <xdr:nvPicPr>
        <xdr:cNvPr id="30" name="29 Imagen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34775" y="1524000"/>
          <a:ext cx="571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809625</xdr:colOff>
      <xdr:row>0</xdr:row>
      <xdr:rowOff>161925</xdr:rowOff>
    </xdr:from>
    <xdr:to>
      <xdr:col>36</xdr:col>
      <xdr:colOff>447675</xdr:colOff>
      <xdr:row>43</xdr:row>
      <xdr:rowOff>133350</xdr:rowOff>
    </xdr:to>
    <xdr:pic>
      <xdr:nvPicPr>
        <xdr:cNvPr id="31" name="Imagen 1">
          <a:extLst>
            <a:ext uri="{FF2B5EF4-FFF2-40B4-BE49-F238E27FC236}">
              <a16:creationId xmlns="" xmlns:a16="http://schemas.microsoft.com/office/drawing/2014/main" id="{F29FDF6D-3B46-4639-8408-538136BC06BA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7750" y="161925"/>
          <a:ext cx="6105525" cy="8229600"/>
        </a:xfrm>
        <a:prstGeom prst="rect">
          <a:avLst/>
        </a:prstGeom>
        <a:noFill/>
      </xdr:spPr>
    </xdr:pic>
    <xdr:clientData/>
  </xdr:twoCellAnchor>
  <xdr:twoCellAnchor>
    <xdr:from>
      <xdr:col>25</xdr:col>
      <xdr:colOff>657226</xdr:colOff>
      <xdr:row>14</xdr:row>
      <xdr:rowOff>47625</xdr:rowOff>
    </xdr:from>
    <xdr:to>
      <xdr:col>35</xdr:col>
      <xdr:colOff>666750</xdr:colOff>
      <xdr:row>16</xdr:row>
      <xdr:rowOff>180975</xdr:rowOff>
    </xdr:to>
    <xdr:cxnSp macro="">
      <xdr:nvCxnSpPr>
        <xdr:cNvPr id="32" name="Conector recto 9">
          <a:extLst>
            <a:ext uri="{FF2B5EF4-FFF2-40B4-BE49-F238E27FC236}">
              <a16:creationId xmlns="" xmlns:a16="http://schemas.microsoft.com/office/drawing/2014/main" id="{90B4E231-35DD-42E7-A10A-C989FE13C3D8}"/>
            </a:ext>
          </a:extLst>
        </xdr:cNvPr>
        <xdr:cNvCxnSpPr/>
      </xdr:nvCxnSpPr>
      <xdr:spPr>
        <a:xfrm flipH="1">
          <a:off x="16954501" y="2714625"/>
          <a:ext cx="4895849" cy="51435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657225</xdr:colOff>
      <xdr:row>14</xdr:row>
      <xdr:rowOff>57150</xdr:rowOff>
    </xdr:from>
    <xdr:to>
      <xdr:col>35</xdr:col>
      <xdr:colOff>628646</xdr:colOff>
      <xdr:row>19</xdr:row>
      <xdr:rowOff>9525</xdr:rowOff>
    </xdr:to>
    <xdr:cxnSp macro="">
      <xdr:nvCxnSpPr>
        <xdr:cNvPr id="34" name="Conector recto 9">
          <a:extLst>
            <a:ext uri="{FF2B5EF4-FFF2-40B4-BE49-F238E27FC236}">
              <a16:creationId xmlns="" xmlns:a16="http://schemas.microsoft.com/office/drawing/2014/main" id="{90B4E231-35DD-42E7-A10A-C989FE13C3D8}"/>
            </a:ext>
          </a:extLst>
        </xdr:cNvPr>
        <xdr:cNvCxnSpPr/>
      </xdr:nvCxnSpPr>
      <xdr:spPr>
        <a:xfrm flipH="1">
          <a:off x="16954500" y="2724150"/>
          <a:ext cx="4857746" cy="904875"/>
        </a:xfrm>
        <a:prstGeom prst="line">
          <a:avLst/>
        </a:prstGeom>
        <a:ln w="38100">
          <a:solidFill>
            <a:schemeClr val="accent3">
              <a:lumMod val="75000"/>
            </a:schemeClr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666750</xdr:colOff>
      <xdr:row>14</xdr:row>
      <xdr:rowOff>47625</xdr:rowOff>
    </xdr:from>
    <xdr:to>
      <xdr:col>35</xdr:col>
      <xdr:colOff>685797</xdr:colOff>
      <xdr:row>20</xdr:row>
      <xdr:rowOff>19050</xdr:rowOff>
    </xdr:to>
    <xdr:cxnSp macro="">
      <xdr:nvCxnSpPr>
        <xdr:cNvPr id="35" name="Conector recto 3">
          <a:extLst>
            <a:ext uri="{FF2B5EF4-FFF2-40B4-BE49-F238E27FC236}">
              <a16:creationId xmlns="" xmlns:a16="http://schemas.microsoft.com/office/drawing/2014/main" id="{071BAFC3-24CD-4850-8121-621532A95F68}"/>
            </a:ext>
          </a:extLst>
        </xdr:cNvPr>
        <xdr:cNvCxnSpPr/>
      </xdr:nvCxnSpPr>
      <xdr:spPr>
        <a:xfrm flipH="1">
          <a:off x="16964025" y="2714625"/>
          <a:ext cx="4905372" cy="1114425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I67"/>
  <sheetViews>
    <sheetView tabSelected="1" topLeftCell="A52" workbookViewId="0">
      <selection activeCell="C68" sqref="C68"/>
    </sheetView>
  </sheetViews>
  <sheetFormatPr defaultColWidth="11.42578125" defaultRowHeight="15" x14ac:dyDescent="0.25"/>
  <cols>
    <col min="11" max="11" width="7.7109375" bestFit="1" customWidth="1"/>
    <col min="12" max="12" width="12" bestFit="1" customWidth="1"/>
    <col min="13" max="13" width="11.140625" customWidth="1"/>
    <col min="14" max="16" width="7.7109375" bestFit="1" customWidth="1"/>
    <col min="17" max="17" width="7.5703125" bestFit="1" customWidth="1"/>
    <col min="18" max="18" width="7" customWidth="1"/>
    <col min="19" max="19" width="7.7109375" bestFit="1" customWidth="1"/>
    <col min="21" max="21" width="7.7109375" bestFit="1" customWidth="1"/>
    <col min="23" max="23" width="11" customWidth="1"/>
    <col min="24" max="24" width="12.28515625" customWidth="1"/>
    <col min="25" max="25" width="11.42578125" hidden="1" customWidth="1"/>
    <col min="26" max="26" width="11.28515625" customWidth="1"/>
    <col min="27" max="27" width="9.7109375" customWidth="1"/>
    <col min="28" max="28" width="4" bestFit="1" customWidth="1"/>
    <col min="29" max="29" width="7" bestFit="1" customWidth="1"/>
    <col min="30" max="30" width="6.42578125" bestFit="1" customWidth="1"/>
    <col min="33" max="33" width="6" bestFit="1" customWidth="1"/>
    <col min="34" max="34" width="2" bestFit="1" customWidth="1"/>
    <col min="35" max="35" width="4" bestFit="1" customWidth="1"/>
  </cols>
  <sheetData>
    <row r="4" spans="11:34" x14ac:dyDescent="0.25">
      <c r="K4" t="s">
        <v>0</v>
      </c>
    </row>
    <row r="5" spans="11:34" x14ac:dyDescent="0.25">
      <c r="N5" t="s">
        <v>8</v>
      </c>
    </row>
    <row r="6" spans="11:34" x14ac:dyDescent="0.25">
      <c r="N6" t="s">
        <v>9</v>
      </c>
      <c r="O6" t="s">
        <v>10</v>
      </c>
      <c r="P6" t="s">
        <v>11</v>
      </c>
      <c r="Q6" t="s">
        <v>12</v>
      </c>
    </row>
    <row r="7" spans="11:34" x14ac:dyDescent="0.25">
      <c r="N7" s="38">
        <f>3600/70</f>
        <v>51.428571428571431</v>
      </c>
      <c r="O7" s="38"/>
      <c r="P7" s="38"/>
      <c r="Q7" s="38"/>
    </row>
    <row r="8" spans="11:34" x14ac:dyDescent="0.25">
      <c r="K8" t="s">
        <v>5</v>
      </c>
    </row>
    <row r="9" spans="11:34" x14ac:dyDescent="0.25">
      <c r="K9" t="s">
        <v>6</v>
      </c>
      <c r="L9" t="s">
        <v>7</v>
      </c>
      <c r="N9" t="s">
        <v>13</v>
      </c>
      <c r="S9" t="s">
        <v>22</v>
      </c>
    </row>
    <row r="10" spans="11:34" x14ac:dyDescent="0.25">
      <c r="K10">
        <v>13</v>
      </c>
      <c r="L10">
        <v>9</v>
      </c>
      <c r="N10" t="s">
        <v>14</v>
      </c>
      <c r="O10" t="s">
        <v>15</v>
      </c>
      <c r="P10" t="s">
        <v>16</v>
      </c>
      <c r="S10" t="s">
        <v>23</v>
      </c>
      <c r="T10" t="s">
        <v>24</v>
      </c>
      <c r="U10" t="s">
        <v>25</v>
      </c>
    </row>
    <row r="11" spans="11:34" x14ac:dyDescent="0.25">
      <c r="K11" s="71">
        <f>3600/((13+9)*2)</f>
        <v>81.818181818181813</v>
      </c>
      <c r="L11" s="71"/>
      <c r="N11">
        <v>13</v>
      </c>
      <c r="O11">
        <v>10</v>
      </c>
      <c r="P11">
        <v>15</v>
      </c>
      <c r="S11">
        <v>21</v>
      </c>
      <c r="T11">
        <v>19</v>
      </c>
      <c r="U11">
        <v>11</v>
      </c>
    </row>
    <row r="12" spans="11:34" x14ac:dyDescent="0.25">
      <c r="N12" s="71">
        <f>3600/(13+10+15)</f>
        <v>94.736842105263165</v>
      </c>
      <c r="O12" s="71"/>
      <c r="P12" s="71"/>
      <c r="S12" s="71">
        <f>3600/(21+19+11)</f>
        <v>70.588235294117652</v>
      </c>
      <c r="T12" s="71"/>
      <c r="U12" s="71"/>
    </row>
    <row r="14" spans="11:34" x14ac:dyDescent="0.25">
      <c r="N14" t="s">
        <v>17</v>
      </c>
    </row>
    <row r="15" spans="11:34" x14ac:dyDescent="0.25">
      <c r="N15" t="s">
        <v>18</v>
      </c>
      <c r="O15" t="s">
        <v>19</v>
      </c>
      <c r="P15" t="s">
        <v>20</v>
      </c>
      <c r="Q15" t="s">
        <v>21</v>
      </c>
    </row>
    <row r="16" spans="11:34" x14ac:dyDescent="0.25">
      <c r="K16" s="7"/>
      <c r="L16" s="7"/>
      <c r="M16" s="7"/>
      <c r="N16">
        <v>31</v>
      </c>
      <c r="O16">
        <v>8</v>
      </c>
      <c r="P16">
        <v>17</v>
      </c>
      <c r="Q16">
        <v>14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 spans="1:35" x14ac:dyDescent="0.25">
      <c r="K17" s="36"/>
      <c r="L17" s="36"/>
      <c r="M17" s="36"/>
      <c r="N17" s="38">
        <f>3600/(31+8+17+14)</f>
        <v>51.428571428571431</v>
      </c>
      <c r="O17" s="38"/>
      <c r="P17" s="38"/>
      <c r="Q17" s="38"/>
      <c r="R17" s="36"/>
      <c r="S17" s="36"/>
      <c r="T17" s="36"/>
      <c r="U17" s="36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11"/>
    </row>
    <row r="18" spans="1:35" ht="15.75" thickBot="1" x14ac:dyDescent="0.3"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11"/>
    </row>
    <row r="19" spans="1:35" ht="15.75" thickBot="1" x14ac:dyDescent="0.3">
      <c r="K19" s="36"/>
      <c r="L19" s="29" t="s">
        <v>79</v>
      </c>
      <c r="M19" s="30"/>
      <c r="N19" s="31">
        <f>N17</f>
        <v>51.428571428571431</v>
      </c>
      <c r="O19" s="36"/>
      <c r="P19" s="36"/>
      <c r="Q19" s="36"/>
      <c r="R19" s="36"/>
      <c r="S19" s="36"/>
      <c r="T19" s="36"/>
      <c r="U19" s="36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11"/>
    </row>
    <row r="20" spans="1:35" x14ac:dyDescent="0.25"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11"/>
    </row>
    <row r="21" spans="1:35" x14ac:dyDescent="0.25"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11"/>
    </row>
    <row r="22" spans="1:35" x14ac:dyDescent="0.25"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11"/>
    </row>
    <row r="23" spans="1:35" x14ac:dyDescent="0.25">
      <c r="K23" s="37"/>
      <c r="L23" s="37"/>
      <c r="M23" s="37"/>
      <c r="N23" s="36"/>
      <c r="O23" s="36"/>
      <c r="P23" s="36"/>
      <c r="Q23" s="36"/>
      <c r="R23" s="36"/>
      <c r="S23" s="36"/>
      <c r="T23" s="36"/>
      <c r="U23" s="36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11"/>
    </row>
    <row r="24" spans="1:35" x14ac:dyDescent="0.25"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11"/>
    </row>
    <row r="25" spans="1:35" x14ac:dyDescent="0.25"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11"/>
    </row>
    <row r="26" spans="1:35" x14ac:dyDescent="0.25"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11"/>
    </row>
    <row r="27" spans="1:35" x14ac:dyDescent="0.25"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11"/>
    </row>
    <row r="28" spans="1:35" x14ac:dyDescent="0.25"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11"/>
    </row>
    <row r="29" spans="1:35" x14ac:dyDescent="0.25"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11"/>
    </row>
    <row r="30" spans="1:35" x14ac:dyDescent="0.25"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4"/>
    </row>
    <row r="31" spans="1:35" x14ac:dyDescent="0.25">
      <c r="A31" t="s">
        <v>3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11"/>
    </row>
    <row r="32" spans="1:35" ht="15.75" thickBot="1" x14ac:dyDescent="0.3"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Z32" s="7"/>
      <c r="AA32" s="7"/>
      <c r="AB32" s="7"/>
      <c r="AC32" s="7"/>
      <c r="AD32" s="7"/>
      <c r="AE32" s="7"/>
      <c r="AF32" s="7"/>
      <c r="AG32" s="7"/>
      <c r="AH32" s="7"/>
      <c r="AI32" s="28"/>
    </row>
    <row r="33" spans="1:35" ht="15.75" thickBot="1" x14ac:dyDescent="0.3">
      <c r="A33" s="61" t="s">
        <v>26</v>
      </c>
      <c r="B33" s="62"/>
      <c r="C33" s="63"/>
      <c r="D33" s="12" t="s">
        <v>27</v>
      </c>
      <c r="E33" s="12" t="s">
        <v>4</v>
      </c>
      <c r="F33" s="12" t="s">
        <v>28</v>
      </c>
      <c r="G33" s="12" t="s">
        <v>29</v>
      </c>
      <c r="H33" s="13" t="s">
        <v>30</v>
      </c>
      <c r="M33" s="64" t="s">
        <v>26</v>
      </c>
      <c r="N33" s="65"/>
      <c r="O33" s="65"/>
      <c r="P33" s="12" t="s">
        <v>27</v>
      </c>
      <c r="Q33" s="12" t="s">
        <v>4</v>
      </c>
      <c r="R33" s="12" t="s">
        <v>28</v>
      </c>
      <c r="S33" s="12" t="s">
        <v>29</v>
      </c>
      <c r="T33" s="13" t="s">
        <v>30</v>
      </c>
      <c r="Z33" s="7"/>
      <c r="AA33" s="7"/>
      <c r="AB33" s="7"/>
      <c r="AC33" s="7"/>
      <c r="AD33" s="7"/>
      <c r="AE33" s="7"/>
      <c r="AF33" s="7"/>
      <c r="AG33" s="7"/>
      <c r="AH33" s="7"/>
      <c r="AI33" s="11"/>
    </row>
    <row r="34" spans="1:35" x14ac:dyDescent="0.25">
      <c r="A34" s="56" t="s">
        <v>31</v>
      </c>
      <c r="B34" s="57"/>
      <c r="C34" s="57"/>
      <c r="D34" s="14">
        <v>110</v>
      </c>
      <c r="E34" s="14">
        <v>65</v>
      </c>
      <c r="F34" s="14">
        <v>65</v>
      </c>
      <c r="G34" s="15">
        <f>(D34*F34)/100</f>
        <v>71.5</v>
      </c>
      <c r="H34" s="43">
        <f>F36-F38</f>
        <v>20</v>
      </c>
      <c r="M34" s="56" t="s">
        <v>53</v>
      </c>
      <c r="N34" s="57"/>
      <c r="O34" s="57"/>
      <c r="P34" s="14">
        <v>95</v>
      </c>
      <c r="Q34" s="14">
        <v>1175</v>
      </c>
      <c r="R34" s="14">
        <f>Q34-E48</f>
        <v>68</v>
      </c>
      <c r="S34" s="15">
        <f>(P34*R34)/100</f>
        <v>64.599999999999994</v>
      </c>
      <c r="T34" s="43">
        <f>R36-R37</f>
        <v>17</v>
      </c>
      <c r="Z34" s="7"/>
      <c r="AA34" s="7"/>
      <c r="AB34" s="7"/>
      <c r="AC34" s="7"/>
      <c r="AD34" s="7"/>
      <c r="AE34" s="7"/>
      <c r="AF34" s="7"/>
      <c r="AG34" s="7"/>
      <c r="AH34" s="7"/>
      <c r="AI34" s="11"/>
    </row>
    <row r="35" spans="1:35" x14ac:dyDescent="0.25">
      <c r="A35" s="46" t="s">
        <v>32</v>
      </c>
      <c r="B35" s="47"/>
      <c r="C35" s="47"/>
      <c r="D35" s="9">
        <v>110</v>
      </c>
      <c r="E35" s="9">
        <v>131</v>
      </c>
      <c r="F35" s="9">
        <f>E35-F34</f>
        <v>66</v>
      </c>
      <c r="G35" s="10">
        <f>(D35*F35)/100</f>
        <v>72.599999999999994</v>
      </c>
      <c r="H35" s="44"/>
      <c r="I35" s="16">
        <v>1</v>
      </c>
      <c r="K35">
        <f>(SUM(F34:F48)/15)</f>
        <v>73.8</v>
      </c>
      <c r="M35" s="46" t="s">
        <v>54</v>
      </c>
      <c r="N35" s="47"/>
      <c r="O35" s="47"/>
      <c r="P35" s="9">
        <v>100</v>
      </c>
      <c r="Q35" s="9">
        <v>1244</v>
      </c>
      <c r="R35" s="9">
        <f>Q35-Q34</f>
        <v>69</v>
      </c>
      <c r="S35" s="10">
        <f>(P35*R35)/100</f>
        <v>69</v>
      </c>
      <c r="T35" s="44"/>
      <c r="U35" s="16">
        <v>1</v>
      </c>
      <c r="W35">
        <f>((SUM(F34:F48)+SUM(R34:R38)))/20</f>
        <v>73</v>
      </c>
      <c r="Z35" s="7"/>
      <c r="AA35" s="7"/>
      <c r="AB35" s="7"/>
      <c r="AC35" s="7"/>
      <c r="AD35" s="7"/>
      <c r="AE35" s="7"/>
      <c r="AF35" s="7"/>
      <c r="AG35" s="7"/>
      <c r="AH35" s="7"/>
      <c r="AI35" s="11"/>
    </row>
    <row r="36" spans="1:35" x14ac:dyDescent="0.25">
      <c r="A36" s="46" t="s">
        <v>33</v>
      </c>
      <c r="B36" s="47"/>
      <c r="C36" s="47"/>
      <c r="D36" s="9">
        <v>90</v>
      </c>
      <c r="E36" s="9">
        <v>213</v>
      </c>
      <c r="F36" s="9">
        <f>E36-E35</f>
        <v>82</v>
      </c>
      <c r="G36" s="10">
        <f t="shared" ref="G36:G48" si="0">(D36*F36)/100</f>
        <v>73.8</v>
      </c>
      <c r="H36" s="44"/>
      <c r="I36" s="16"/>
      <c r="M36" s="48" t="s">
        <v>55</v>
      </c>
      <c r="N36" s="49"/>
      <c r="O36" s="50"/>
      <c r="P36" s="9">
        <v>115</v>
      </c>
      <c r="Q36" s="9">
        <v>1323</v>
      </c>
      <c r="R36" s="9">
        <f t="shared" ref="R36:R38" si="1">Q36-Q35</f>
        <v>79</v>
      </c>
      <c r="S36" s="10">
        <f t="shared" ref="S36:S38" si="2">(P36*R36)/100</f>
        <v>90.85</v>
      </c>
      <c r="T36" s="44"/>
      <c r="U36" s="16"/>
      <c r="Z36" s="7"/>
      <c r="AA36" s="7"/>
      <c r="AB36" s="7"/>
      <c r="AC36" s="7"/>
      <c r="AD36" s="7"/>
      <c r="AE36" s="7"/>
      <c r="AF36" s="7"/>
      <c r="AG36" s="7"/>
      <c r="AH36" s="7"/>
      <c r="AI36" s="11"/>
    </row>
    <row r="37" spans="1:35" x14ac:dyDescent="0.25">
      <c r="A37" s="46" t="s">
        <v>34</v>
      </c>
      <c r="B37" s="47"/>
      <c r="C37" s="47"/>
      <c r="D37" s="9">
        <v>95</v>
      </c>
      <c r="E37" s="9">
        <v>288</v>
      </c>
      <c r="F37" s="9">
        <f>E37-E36</f>
        <v>75</v>
      </c>
      <c r="G37" s="10">
        <f t="shared" si="0"/>
        <v>71.25</v>
      </c>
      <c r="H37" s="44"/>
      <c r="I37" s="16">
        <v>2</v>
      </c>
      <c r="K37" s="17">
        <f>(SUM(H34:H48)/3)</f>
        <v>17.333333333333332</v>
      </c>
      <c r="M37" s="46" t="s">
        <v>56</v>
      </c>
      <c r="N37" s="47"/>
      <c r="O37" s="47"/>
      <c r="P37" s="9">
        <v>90</v>
      </c>
      <c r="Q37" s="9">
        <v>1385</v>
      </c>
      <c r="R37" s="9">
        <f t="shared" si="1"/>
        <v>62</v>
      </c>
      <c r="S37" s="10">
        <f t="shared" si="2"/>
        <v>55.8</v>
      </c>
      <c r="T37" s="44"/>
      <c r="U37" s="16">
        <v>2</v>
      </c>
      <c r="W37" s="17">
        <f>(SUM(H34:H48)+17)/4</f>
        <v>17.25</v>
      </c>
      <c r="Z37" s="7"/>
      <c r="AA37" s="7"/>
      <c r="AB37" s="7"/>
      <c r="AC37" s="7"/>
      <c r="AD37" s="7"/>
      <c r="AE37" s="7"/>
      <c r="AF37" s="7"/>
      <c r="AG37" s="7"/>
      <c r="AH37" s="7"/>
      <c r="AI37" s="11"/>
    </row>
    <row r="38" spans="1:35" ht="15.75" thickBot="1" x14ac:dyDescent="0.3">
      <c r="A38" s="66" t="s">
        <v>35</v>
      </c>
      <c r="B38" s="67"/>
      <c r="C38" s="67"/>
      <c r="D38" s="21">
        <v>115</v>
      </c>
      <c r="E38" s="21">
        <v>350</v>
      </c>
      <c r="F38" s="21">
        <f>E38-E37</f>
        <v>62</v>
      </c>
      <c r="G38" s="22">
        <f t="shared" si="0"/>
        <v>71.3</v>
      </c>
      <c r="H38" s="44"/>
      <c r="I38" s="16"/>
      <c r="M38" s="68" t="s">
        <v>57</v>
      </c>
      <c r="N38" s="69"/>
      <c r="O38" s="70"/>
      <c r="P38" s="21">
        <v>85</v>
      </c>
      <c r="Q38" s="21">
        <v>1460</v>
      </c>
      <c r="R38" s="21">
        <f t="shared" si="1"/>
        <v>75</v>
      </c>
      <c r="S38" s="10">
        <f t="shared" si="2"/>
        <v>63.75</v>
      </c>
      <c r="T38" s="44"/>
      <c r="U38" s="16"/>
    </row>
    <row r="39" spans="1:35" x14ac:dyDescent="0.25">
      <c r="A39" s="56" t="s">
        <v>36</v>
      </c>
      <c r="B39" s="57"/>
      <c r="C39" s="57"/>
      <c r="D39" s="14">
        <v>95</v>
      </c>
      <c r="E39" s="14">
        <v>423</v>
      </c>
      <c r="F39" s="14">
        <f>E39-E38</f>
        <v>73</v>
      </c>
      <c r="G39" s="15">
        <f t="shared" si="0"/>
        <v>69.349999999999994</v>
      </c>
      <c r="H39" s="43">
        <f>F43-F41</f>
        <v>16</v>
      </c>
      <c r="I39" s="16">
        <v>3</v>
      </c>
      <c r="K39" s="17">
        <f>(K37/K35)*100</f>
        <v>23.486901535682023</v>
      </c>
      <c r="M39" s="56" t="s">
        <v>60</v>
      </c>
      <c r="N39" s="57"/>
      <c r="O39" s="57"/>
      <c r="P39" s="14">
        <v>85</v>
      </c>
      <c r="Q39" s="14">
        <v>1533</v>
      </c>
      <c r="R39" s="14"/>
      <c r="S39" s="15"/>
      <c r="T39" s="43"/>
      <c r="U39" s="16">
        <v>3</v>
      </c>
      <c r="W39" s="17">
        <f>(W37/W35)*100</f>
        <v>23.63013698630137</v>
      </c>
    </row>
    <row r="40" spans="1:35" x14ac:dyDescent="0.25">
      <c r="A40" s="46" t="s">
        <v>37</v>
      </c>
      <c r="B40" s="47"/>
      <c r="C40" s="47"/>
      <c r="D40" s="9">
        <v>100</v>
      </c>
      <c r="E40" s="9">
        <v>494</v>
      </c>
      <c r="F40" s="9">
        <f>E40-E39</f>
        <v>71</v>
      </c>
      <c r="G40" s="10">
        <f t="shared" si="0"/>
        <v>71</v>
      </c>
      <c r="H40" s="44"/>
      <c r="I40" s="16"/>
      <c r="M40" s="48" t="s">
        <v>61</v>
      </c>
      <c r="N40" s="49"/>
      <c r="O40" s="50"/>
      <c r="P40" s="9">
        <v>90</v>
      </c>
      <c r="Q40" s="9">
        <v>1604</v>
      </c>
      <c r="R40" s="9"/>
      <c r="S40" s="10"/>
      <c r="T40" s="44"/>
      <c r="U40" s="16"/>
    </row>
    <row r="41" spans="1:35" x14ac:dyDescent="0.25">
      <c r="A41" s="46" t="s">
        <v>38</v>
      </c>
      <c r="B41" s="47"/>
      <c r="C41" s="47"/>
      <c r="D41" s="9">
        <v>115</v>
      </c>
      <c r="E41" s="9">
        <v>555</v>
      </c>
      <c r="F41" s="9">
        <f t="shared" ref="F41:F42" si="3">E41-E40</f>
        <v>61</v>
      </c>
      <c r="G41" s="10">
        <f t="shared" si="0"/>
        <v>70.150000000000006</v>
      </c>
      <c r="H41" s="44"/>
      <c r="I41" s="16">
        <v>4</v>
      </c>
      <c r="J41" t="s">
        <v>39</v>
      </c>
      <c r="K41" s="20">
        <v>5.6000000000000001E-2</v>
      </c>
      <c r="M41" s="46" t="s">
        <v>62</v>
      </c>
      <c r="N41" s="47"/>
      <c r="O41" s="47"/>
      <c r="P41" s="9">
        <v>85</v>
      </c>
      <c r="Q41" s="9">
        <v>1665</v>
      </c>
      <c r="R41" s="9"/>
      <c r="S41" s="10"/>
      <c r="T41" s="44"/>
      <c r="U41" s="16">
        <v>4</v>
      </c>
      <c r="V41" t="s">
        <v>39</v>
      </c>
      <c r="W41" s="20">
        <v>4.8</v>
      </c>
    </row>
    <row r="42" spans="1:35" ht="15.75" thickBot="1" x14ac:dyDescent="0.3">
      <c r="A42" s="46" t="s">
        <v>40</v>
      </c>
      <c r="B42" s="47"/>
      <c r="C42" s="47"/>
      <c r="D42" s="9">
        <v>90</v>
      </c>
      <c r="E42" s="9">
        <v>631</v>
      </c>
      <c r="F42" s="9">
        <f t="shared" si="3"/>
        <v>76</v>
      </c>
      <c r="G42" s="10">
        <f t="shared" si="0"/>
        <v>68.400000000000006</v>
      </c>
      <c r="H42" s="44"/>
      <c r="I42" s="16"/>
      <c r="M42" s="48" t="s">
        <v>63</v>
      </c>
      <c r="N42" s="49"/>
      <c r="O42" s="50"/>
      <c r="P42" s="9">
        <v>80</v>
      </c>
      <c r="Q42" s="9">
        <v>1741</v>
      </c>
      <c r="R42" s="9"/>
      <c r="S42" s="10"/>
      <c r="T42" s="44"/>
      <c r="U42" s="16"/>
    </row>
    <row r="43" spans="1:35" ht="15.75" thickBot="1" x14ac:dyDescent="0.3">
      <c r="A43" s="51" t="s">
        <v>41</v>
      </c>
      <c r="B43" s="52"/>
      <c r="C43" s="52"/>
      <c r="D43" s="18">
        <v>85</v>
      </c>
      <c r="E43" s="18">
        <v>708</v>
      </c>
      <c r="F43" s="18">
        <f>E43-E42</f>
        <v>77</v>
      </c>
      <c r="G43" s="19">
        <f t="shared" si="0"/>
        <v>65.45</v>
      </c>
      <c r="H43" s="45"/>
      <c r="I43" s="16">
        <v>5</v>
      </c>
      <c r="J43" t="s">
        <v>42</v>
      </c>
      <c r="K43" s="8" t="s">
        <v>43</v>
      </c>
      <c r="M43" s="51" t="s">
        <v>64</v>
      </c>
      <c r="N43" s="52"/>
      <c r="O43" s="52"/>
      <c r="P43" s="18">
        <v>90</v>
      </c>
      <c r="Q43" s="18">
        <v>1817</v>
      </c>
      <c r="R43" s="18"/>
      <c r="S43" s="19"/>
      <c r="T43" s="45"/>
      <c r="U43" s="16">
        <v>5</v>
      </c>
      <c r="V43" t="s">
        <v>42</v>
      </c>
      <c r="W43" s="23" t="s">
        <v>44</v>
      </c>
    </row>
    <row r="44" spans="1:35" x14ac:dyDescent="0.25">
      <c r="A44" s="56" t="s">
        <v>45</v>
      </c>
      <c r="B44" s="57"/>
      <c r="C44" s="57"/>
      <c r="D44" s="14">
        <v>85</v>
      </c>
      <c r="E44" s="14">
        <v>788</v>
      </c>
      <c r="F44" s="14">
        <f>E44-E43</f>
        <v>80</v>
      </c>
      <c r="G44" s="15">
        <f t="shared" si="0"/>
        <v>68</v>
      </c>
      <c r="H44" s="43">
        <f>F47-F45</f>
        <v>16</v>
      </c>
      <c r="I44" s="16"/>
      <c r="M44" s="58" t="s">
        <v>65</v>
      </c>
      <c r="N44" s="59"/>
      <c r="O44" s="60"/>
      <c r="P44" s="14">
        <v>110</v>
      </c>
      <c r="Q44" s="14">
        <v>1898</v>
      </c>
      <c r="R44" s="14"/>
      <c r="S44" s="15"/>
      <c r="T44" s="43"/>
      <c r="U44" s="16"/>
    </row>
    <row r="45" spans="1:35" x14ac:dyDescent="0.25">
      <c r="A45" s="46" t="s">
        <v>46</v>
      </c>
      <c r="B45" s="47"/>
      <c r="C45" s="47"/>
      <c r="D45" s="9">
        <v>90</v>
      </c>
      <c r="E45" s="9">
        <v>861</v>
      </c>
      <c r="F45" s="9">
        <f>E45-E44</f>
        <v>73</v>
      </c>
      <c r="G45" s="10">
        <f t="shared" si="0"/>
        <v>65.7</v>
      </c>
      <c r="H45" s="44"/>
      <c r="M45" s="46" t="s">
        <v>66</v>
      </c>
      <c r="N45" s="47"/>
      <c r="O45" s="47"/>
      <c r="P45" s="9">
        <v>110</v>
      </c>
      <c r="Q45" s="9">
        <v>1971</v>
      </c>
      <c r="R45" s="9"/>
      <c r="S45" s="10"/>
      <c r="T45" s="44"/>
      <c r="U45" s="16">
        <v>6</v>
      </c>
      <c r="V45" t="s">
        <v>47</v>
      </c>
      <c r="W45">
        <v>20</v>
      </c>
      <c r="Y45" s="24"/>
    </row>
    <row r="46" spans="1:35" ht="15.75" thickBot="1" x14ac:dyDescent="0.3">
      <c r="A46" s="46" t="s">
        <v>48</v>
      </c>
      <c r="B46" s="47"/>
      <c r="C46" s="47"/>
      <c r="D46" s="9">
        <v>85</v>
      </c>
      <c r="E46" s="9">
        <v>942</v>
      </c>
      <c r="F46" s="9">
        <f t="shared" ref="F46:F47" si="4">E46-E45</f>
        <v>81</v>
      </c>
      <c r="G46" s="10">
        <f t="shared" si="0"/>
        <v>68.849999999999994</v>
      </c>
      <c r="H46" s="44"/>
      <c r="M46" s="48" t="s">
        <v>67</v>
      </c>
      <c r="N46" s="49"/>
      <c r="O46" s="50"/>
      <c r="P46" s="9">
        <v>90</v>
      </c>
      <c r="Q46" s="9">
        <v>2052</v>
      </c>
      <c r="R46" s="9"/>
      <c r="S46" s="10"/>
      <c r="T46" s="44"/>
      <c r="V46" s="24"/>
      <c r="W46" s="25"/>
      <c r="X46" s="24"/>
    </row>
    <row r="47" spans="1:35" ht="15.75" thickBot="1" x14ac:dyDescent="0.3">
      <c r="A47" s="46" t="s">
        <v>49</v>
      </c>
      <c r="B47" s="47"/>
      <c r="C47" s="47"/>
      <c r="D47" s="9">
        <v>80</v>
      </c>
      <c r="E47" s="9">
        <v>1031</v>
      </c>
      <c r="F47" s="9">
        <f t="shared" si="4"/>
        <v>89</v>
      </c>
      <c r="G47" s="10">
        <f t="shared" si="0"/>
        <v>71.2</v>
      </c>
      <c r="H47" s="44"/>
      <c r="M47" s="46" t="s">
        <v>68</v>
      </c>
      <c r="N47" s="47"/>
      <c r="O47" s="47"/>
      <c r="P47" s="9">
        <v>85</v>
      </c>
      <c r="Q47" s="9">
        <v>2141</v>
      </c>
      <c r="R47" s="9"/>
      <c r="S47" s="10"/>
      <c r="T47" s="44"/>
      <c r="Y47" s="26">
        <v>140</v>
      </c>
    </row>
    <row r="48" spans="1:35" ht="15.75" thickBot="1" x14ac:dyDescent="0.3">
      <c r="A48" s="51" t="s">
        <v>50</v>
      </c>
      <c r="B48" s="52"/>
      <c r="C48" s="52"/>
      <c r="D48" s="18">
        <v>90</v>
      </c>
      <c r="E48" s="18">
        <v>1107</v>
      </c>
      <c r="F48" s="18">
        <f>E48-E47</f>
        <v>76</v>
      </c>
      <c r="G48" s="19">
        <f t="shared" si="0"/>
        <v>68.400000000000006</v>
      </c>
      <c r="H48" s="45"/>
      <c r="M48" s="53" t="s">
        <v>69</v>
      </c>
      <c r="N48" s="54"/>
      <c r="O48" s="55"/>
      <c r="P48" s="18">
        <v>115</v>
      </c>
      <c r="Q48" s="18">
        <v>2217</v>
      </c>
      <c r="R48" s="18"/>
      <c r="S48" s="19"/>
      <c r="T48" s="45"/>
      <c r="V48" s="24" t="s">
        <v>51</v>
      </c>
      <c r="W48" s="25">
        <f>(SUM(S34:S38)+SUM(G34:G48))/20</f>
        <v>69.547499999999999</v>
      </c>
      <c r="X48" s="24" t="s">
        <v>52</v>
      </c>
      <c r="Z48" s="35">
        <v>70</v>
      </c>
    </row>
    <row r="49" spans="1:21" x14ac:dyDescent="0.25">
      <c r="A49" s="7"/>
      <c r="B49" s="7"/>
      <c r="C49" s="7"/>
      <c r="M49" s="32"/>
      <c r="N49" s="32"/>
      <c r="O49" s="32"/>
      <c r="P49" s="32"/>
      <c r="Q49" s="32"/>
      <c r="R49" s="32"/>
      <c r="S49" s="32"/>
      <c r="T49" s="32"/>
      <c r="U49" s="27"/>
    </row>
    <row r="50" spans="1:21" x14ac:dyDescent="0.25">
      <c r="A50" s="7" t="s">
        <v>2</v>
      </c>
      <c r="B50" s="7"/>
      <c r="C50" s="7"/>
      <c r="M50" s="32"/>
      <c r="N50" s="32"/>
      <c r="O50" s="32"/>
      <c r="P50" s="32"/>
      <c r="Q50" s="32"/>
      <c r="R50" s="32"/>
      <c r="S50" s="32"/>
      <c r="T50" s="32"/>
      <c r="U50" s="27"/>
    </row>
    <row r="51" spans="1:21" ht="15.75" thickBot="1" x14ac:dyDescent="0.3">
      <c r="M51" s="32"/>
      <c r="N51" s="32"/>
      <c r="O51" s="32"/>
      <c r="P51" s="32"/>
      <c r="Q51" s="32"/>
      <c r="R51" s="32"/>
      <c r="S51" s="32"/>
      <c r="T51" s="32"/>
      <c r="U51" s="27"/>
    </row>
    <row r="52" spans="1:21" x14ac:dyDescent="0.25">
      <c r="A52" s="1" t="s">
        <v>70</v>
      </c>
      <c r="B52" s="39">
        <f>N7/K11</f>
        <v>0.62857142857142867</v>
      </c>
      <c r="C52" s="39"/>
      <c r="D52" s="2"/>
      <c r="E52" s="2" t="s">
        <v>71</v>
      </c>
      <c r="F52" s="39">
        <f>N7/N12</f>
        <v>0.54285714285714282</v>
      </c>
      <c r="G52" s="39"/>
      <c r="H52" s="2"/>
      <c r="I52" s="2" t="s">
        <v>72</v>
      </c>
      <c r="J52" s="39">
        <f>N7/S12</f>
        <v>0.72857142857142854</v>
      </c>
      <c r="K52" s="40"/>
      <c r="N52" s="41"/>
      <c r="O52" s="41"/>
      <c r="P52" s="32"/>
      <c r="Q52" s="32"/>
      <c r="R52" s="32"/>
      <c r="S52" s="32"/>
      <c r="T52" s="32"/>
      <c r="U52" s="27"/>
    </row>
    <row r="53" spans="1:21" ht="15.75" thickBot="1" x14ac:dyDescent="0.3">
      <c r="A53" s="3" t="s">
        <v>73</v>
      </c>
      <c r="B53" s="42">
        <f>N7/N7</f>
        <v>1</v>
      </c>
      <c r="C53" s="42"/>
      <c r="D53" s="4"/>
      <c r="E53" s="4" t="s">
        <v>74</v>
      </c>
      <c r="F53" s="42">
        <f>N7/N7</f>
        <v>1</v>
      </c>
      <c r="G53" s="42"/>
      <c r="H53" s="4"/>
      <c r="I53" s="4"/>
      <c r="J53" s="33"/>
      <c r="K53" s="34"/>
      <c r="N53" s="41"/>
      <c r="O53" s="41"/>
      <c r="P53" s="32"/>
      <c r="Q53" s="32"/>
      <c r="R53" s="32"/>
      <c r="S53" s="32"/>
      <c r="T53" s="32"/>
      <c r="U53" s="27"/>
    </row>
    <row r="54" spans="1:21" x14ac:dyDescent="0.25">
      <c r="M54" s="32"/>
      <c r="N54" s="32"/>
      <c r="O54" s="32"/>
      <c r="P54" s="32"/>
      <c r="Q54" s="32"/>
      <c r="R54" s="32"/>
      <c r="S54" s="32"/>
      <c r="T54" s="32"/>
    </row>
    <row r="55" spans="1:21" x14ac:dyDescent="0.25">
      <c r="A55" t="s">
        <v>75</v>
      </c>
    </row>
    <row r="57" spans="1:21" ht="15.75" thickBot="1" x14ac:dyDescent="0.3">
      <c r="A57" t="s">
        <v>5</v>
      </c>
      <c r="C57" t="s">
        <v>76</v>
      </c>
      <c r="E57" t="s">
        <v>22</v>
      </c>
      <c r="G57" t="s">
        <v>77</v>
      </c>
      <c r="H57">
        <f>A58+C58+E58</f>
        <v>16500</v>
      </c>
    </row>
    <row r="58" spans="1:21" ht="15.75" thickBot="1" x14ac:dyDescent="0.3">
      <c r="A58">
        <f>200*(13+9)</f>
        <v>4400</v>
      </c>
      <c r="C58">
        <f>100*70</f>
        <v>7000</v>
      </c>
      <c r="E58">
        <f>100*(21+19+11)</f>
        <v>5100</v>
      </c>
      <c r="H58" s="5">
        <f>H57/3600</f>
        <v>4.583333333333333</v>
      </c>
      <c r="I58" s="6" t="s">
        <v>78</v>
      </c>
    </row>
    <row r="60" spans="1:21" x14ac:dyDescent="0.25">
      <c r="A60" s="7" t="s">
        <v>58</v>
      </c>
      <c r="B60" s="7"/>
      <c r="C60" s="7"/>
      <c r="D60" s="7"/>
      <c r="E60" s="7"/>
      <c r="F60" s="7"/>
      <c r="G60" s="7"/>
      <c r="H60" s="7"/>
      <c r="I60" s="7"/>
      <c r="J60" s="7"/>
    </row>
    <row r="61" spans="1:2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spans="1:21" x14ac:dyDescent="0.25">
      <c r="A62" s="7"/>
      <c r="B62" s="7">
        <v>1000</v>
      </c>
      <c r="C62" s="7">
        <v>2000</v>
      </c>
      <c r="D62" s="7"/>
      <c r="E62" s="7"/>
      <c r="F62" s="7"/>
      <c r="G62" s="7">
        <v>1220</v>
      </c>
      <c r="H62" s="7">
        <v>2440</v>
      </c>
      <c r="I62" s="7"/>
      <c r="J62" s="7"/>
    </row>
    <row r="63" spans="1:21" x14ac:dyDescent="0.25">
      <c r="A63" s="7">
        <v>333</v>
      </c>
      <c r="B63" s="7">
        <f>B62/A63</f>
        <v>3.0030030030030028</v>
      </c>
      <c r="C63" s="7">
        <f>C62/A63</f>
        <v>6.0060060060060056</v>
      </c>
      <c r="D63" s="7">
        <f>2*6</f>
        <v>12</v>
      </c>
      <c r="E63" s="7">
        <f>200/12</f>
        <v>16.666666666666668</v>
      </c>
      <c r="F63" s="7">
        <v>333</v>
      </c>
      <c r="G63" s="7">
        <f>G62/F63</f>
        <v>3.6636636636636637</v>
      </c>
      <c r="H63" s="7">
        <f>H62/F63</f>
        <v>7.3273273273273274</v>
      </c>
      <c r="I63" s="7">
        <f>2*7</f>
        <v>14</v>
      </c>
      <c r="J63" s="7"/>
    </row>
    <row r="64" spans="1:21" x14ac:dyDescent="0.25">
      <c r="A64" s="7">
        <v>475</v>
      </c>
      <c r="B64" s="7">
        <f>B62/A64</f>
        <v>2.1052631578947367</v>
      </c>
      <c r="C64" s="7">
        <f>C62/A64</f>
        <v>4.2105263157894735</v>
      </c>
      <c r="D64" s="7">
        <f>3*4</f>
        <v>12</v>
      </c>
      <c r="E64" s="7"/>
      <c r="F64" s="7">
        <v>475</v>
      </c>
      <c r="G64" s="7">
        <f>G62/F64</f>
        <v>2.5684210526315789</v>
      </c>
      <c r="H64" s="7">
        <f>H62/F64</f>
        <v>5.1368421052631579</v>
      </c>
      <c r="I64" s="7">
        <f>3*5</f>
        <v>15</v>
      </c>
      <c r="J64" s="7">
        <f>200/15</f>
        <v>13.333333333333334</v>
      </c>
    </row>
    <row r="65" spans="1:10" ht="15.75" thickBo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0" ht="15.75" thickBot="1" x14ac:dyDescent="0.3">
      <c r="A66" s="29" t="s">
        <v>1</v>
      </c>
      <c r="B66" s="30"/>
      <c r="C66" s="31">
        <f>(200*333*475)/(1000*2000*17)</f>
        <v>0.93044117647058822</v>
      </c>
      <c r="D66" s="7"/>
      <c r="E66" s="7"/>
      <c r="F66" s="7" t="s">
        <v>1</v>
      </c>
      <c r="G66" s="7"/>
      <c r="H66" s="7"/>
      <c r="I66" s="7">
        <f>(200*333*475)/(1220*2440*14)</f>
        <v>0.75908453948631316</v>
      </c>
      <c r="J66" s="7"/>
    </row>
    <row r="67" spans="1:10" x14ac:dyDescent="0.25">
      <c r="A67" s="7"/>
      <c r="B67" s="7"/>
      <c r="C67" s="7"/>
      <c r="D67" s="7"/>
      <c r="E67" s="7"/>
      <c r="F67" s="7" t="s">
        <v>59</v>
      </c>
      <c r="G67" s="7"/>
      <c r="H67" s="7"/>
      <c r="I67" s="7"/>
      <c r="J67" s="7"/>
    </row>
  </sheetData>
  <mergeCells count="50">
    <mergeCell ref="K11:L11"/>
    <mergeCell ref="N7:Q7"/>
    <mergeCell ref="S12:U12"/>
    <mergeCell ref="N12:P12"/>
    <mergeCell ref="M38:O38"/>
    <mergeCell ref="T34:T38"/>
    <mergeCell ref="A35:C35"/>
    <mergeCell ref="M35:O35"/>
    <mergeCell ref="A36:C36"/>
    <mergeCell ref="M36:O36"/>
    <mergeCell ref="T39:T43"/>
    <mergeCell ref="A40:C40"/>
    <mergeCell ref="M40:O40"/>
    <mergeCell ref="A41:C41"/>
    <mergeCell ref="M41:O41"/>
    <mergeCell ref="A42:C42"/>
    <mergeCell ref="M42:O42"/>
    <mergeCell ref="A43:C43"/>
    <mergeCell ref="M43:O43"/>
    <mergeCell ref="B53:C53"/>
    <mergeCell ref="F53:G53"/>
    <mergeCell ref="N53:O53"/>
    <mergeCell ref="T44:T48"/>
    <mergeCell ref="A45:C45"/>
    <mergeCell ref="M45:O45"/>
    <mergeCell ref="A46:C46"/>
    <mergeCell ref="M46:O46"/>
    <mergeCell ref="A47:C47"/>
    <mergeCell ref="M47:O47"/>
    <mergeCell ref="A48:C48"/>
    <mergeCell ref="M48:O48"/>
    <mergeCell ref="A44:C44"/>
    <mergeCell ref="H44:H48"/>
    <mergeCell ref="M44:O44"/>
    <mergeCell ref="N17:Q17"/>
    <mergeCell ref="B52:C52"/>
    <mergeCell ref="F52:G52"/>
    <mergeCell ref="J52:K52"/>
    <mergeCell ref="N52:O52"/>
    <mergeCell ref="A39:C39"/>
    <mergeCell ref="H39:H43"/>
    <mergeCell ref="M39:O39"/>
    <mergeCell ref="A33:C33"/>
    <mergeCell ref="M33:O33"/>
    <mergeCell ref="A34:C34"/>
    <mergeCell ref="H34:H38"/>
    <mergeCell ref="M34:O34"/>
    <mergeCell ref="A37:C37"/>
    <mergeCell ref="M37:O37"/>
    <mergeCell ref="A38:C38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19-02-20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Vaio</dc:creator>
  <cp:lastModifiedBy>Matu</cp:lastModifiedBy>
  <dcterms:created xsi:type="dcterms:W3CDTF">2021-02-04T22:16:18Z</dcterms:created>
  <dcterms:modified xsi:type="dcterms:W3CDTF">2021-03-10T01:30:28Z</dcterms:modified>
</cp:coreProperties>
</file>