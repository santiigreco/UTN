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\Desktop\"/>
    </mc:Choice>
  </mc:AlternateContent>
  <xr:revisionPtr revIDLastSave="0" documentId="8_{C4999E5F-0F22-4F1B-A598-03BE32999FED}" xr6:coauthVersionLast="45" xr6:coauthVersionMax="45" xr10:uidLastSave="{00000000-0000-0000-0000-000000000000}"/>
  <bookViews>
    <workbookView xWindow="390" yWindow="390" windowWidth="17055" windowHeight="11685" xr2:uid="{970C6466-32EA-4C5F-8C8B-FD07FA6C0B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L4" i="1"/>
  <c r="K10" i="1"/>
  <c r="K9" i="1"/>
  <c r="L9" i="1"/>
  <c r="J12" i="1"/>
  <c r="J13" i="1"/>
  <c r="J10" i="1"/>
  <c r="J9" i="1"/>
  <c r="L3" i="1"/>
  <c r="K3" i="1"/>
  <c r="O3" i="1"/>
  <c r="N3" i="1"/>
</calcChain>
</file>

<file path=xl/sharedStrings.xml><?xml version="1.0" encoding="utf-8"?>
<sst xmlns="http://schemas.openxmlformats.org/spreadsheetml/2006/main" count="443" uniqueCount="36">
  <si>
    <t>X</t>
  </si>
  <si>
    <t>Y</t>
  </si>
  <si>
    <t>M1</t>
  </si>
  <si>
    <t>M2</t>
  </si>
  <si>
    <t>M3</t>
  </si>
  <si>
    <t>CARGA2</t>
  </si>
  <si>
    <t>DESCARGA2</t>
  </si>
  <si>
    <t>DESCARGA3</t>
  </si>
  <si>
    <t>CARGA3</t>
  </si>
  <si>
    <t>CM3</t>
  </si>
  <si>
    <t>CD</t>
  </si>
  <si>
    <t>MBF</t>
  </si>
  <si>
    <t>SF</t>
  </si>
  <si>
    <t>MFP</t>
  </si>
  <si>
    <t>FPM</t>
  </si>
  <si>
    <t>IR</t>
  </si>
  <si>
    <t>MYS</t>
  </si>
  <si>
    <t>CARGA1</t>
  </si>
  <si>
    <t>CM1</t>
  </si>
  <si>
    <t>CM2</t>
  </si>
  <si>
    <t>CV2</t>
  </si>
  <si>
    <t>CV1</t>
  </si>
  <si>
    <t>DESCARGA1</t>
  </si>
  <si>
    <t>1CPD-3287</t>
  </si>
  <si>
    <t>CANTIDAD DE CPD-3287</t>
  </si>
  <si>
    <t>u</t>
  </si>
  <si>
    <t>%INACTIVIDAD</t>
  </si>
  <si>
    <t>DISTANCIA TOTAL</t>
  </si>
  <si>
    <t>D1</t>
  </si>
  <si>
    <t>D2</t>
  </si>
  <si>
    <t>D3</t>
  </si>
  <si>
    <t>D5</t>
  </si>
  <si>
    <t>D4</t>
  </si>
  <si>
    <t>D6</t>
  </si>
  <si>
    <t>U</t>
  </si>
  <si>
    <t>Regreso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</si>
</sst>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6A6B-54D0-4908-BD72-382BEE65ABF7}">
  <dimension ref="A1:O241"/>
  <sheetViews>
    <sheetView tabSelected="1" topLeftCell="E1" workbookViewId="0">
      <selection activeCell="M4" sqref="M4"/>
    </sheetView>
  </sheetViews>
  <sheetFormatPr baseColWidth="10" defaultRowHeight="15" x14ac:dyDescent="0.25"/>
  <cols>
    <col min="9" max="9" width="21.5703125" customWidth="1"/>
  </cols>
  <sheetData>
    <row r="1" spans="1:15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J1" t="s">
        <v>34</v>
      </c>
      <c r="K1" t="s">
        <v>0</v>
      </c>
      <c r="L1" t="s">
        <v>1</v>
      </c>
    </row>
    <row r="2" spans="1:15" x14ac:dyDescent="0.25">
      <c r="B2">
        <v>1</v>
      </c>
      <c r="C2" t="s">
        <v>5</v>
      </c>
      <c r="D2" t="s">
        <v>8</v>
      </c>
      <c r="H2">
        <v>1</v>
      </c>
      <c r="I2" t="s">
        <v>24</v>
      </c>
      <c r="J2">
        <v>4</v>
      </c>
      <c r="K2" t="s">
        <v>25</v>
      </c>
    </row>
    <row r="3" spans="1:15" x14ac:dyDescent="0.25">
      <c r="B3">
        <v>2</v>
      </c>
      <c r="D3" t="s">
        <v>8</v>
      </c>
      <c r="G3" t="s">
        <v>9</v>
      </c>
      <c r="H3">
        <v>2</v>
      </c>
      <c r="I3" t="s">
        <v>26</v>
      </c>
      <c r="K3" s="1">
        <f>+N3/240</f>
        <v>0.27500000000000002</v>
      </c>
      <c r="L3" s="1">
        <f>+O3/240</f>
        <v>0.25833333333333336</v>
      </c>
      <c r="N3">
        <f>+COUNTBLANK(C2:C241)</f>
        <v>66</v>
      </c>
      <c r="O3">
        <f>+COUNTBLANK(D2:D241)</f>
        <v>62</v>
      </c>
    </row>
    <row r="4" spans="1:15" x14ac:dyDescent="0.25">
      <c r="B4">
        <v>3</v>
      </c>
      <c r="F4" t="s">
        <v>19</v>
      </c>
      <c r="G4" t="s">
        <v>9</v>
      </c>
      <c r="H4">
        <v>3</v>
      </c>
      <c r="I4" t="s">
        <v>27</v>
      </c>
      <c r="K4">
        <f>4*K10+(4*J15)</f>
        <v>41.556101532064574</v>
      </c>
      <c r="L4">
        <f>+L9*4+(4*J15)</f>
        <v>42.165525060596437</v>
      </c>
    </row>
    <row r="5" spans="1:15" x14ac:dyDescent="0.25">
      <c r="B5">
        <v>4</v>
      </c>
      <c r="F5" t="s">
        <v>19</v>
      </c>
      <c r="G5" t="s">
        <v>9</v>
      </c>
    </row>
    <row r="6" spans="1:15" x14ac:dyDescent="0.25">
      <c r="B6">
        <v>5</v>
      </c>
      <c r="F6" t="s">
        <v>19</v>
      </c>
      <c r="G6" t="s">
        <v>9</v>
      </c>
    </row>
    <row r="7" spans="1:15" x14ac:dyDescent="0.25">
      <c r="B7">
        <v>6</v>
      </c>
      <c r="C7" t="s">
        <v>20</v>
      </c>
      <c r="F7" t="s">
        <v>19</v>
      </c>
    </row>
    <row r="8" spans="1:15" x14ac:dyDescent="0.25">
      <c r="B8">
        <v>7</v>
      </c>
      <c r="C8" t="s">
        <v>20</v>
      </c>
      <c r="F8" t="s">
        <v>19</v>
      </c>
    </row>
    <row r="9" spans="1:15" x14ac:dyDescent="0.25">
      <c r="B9">
        <v>8</v>
      </c>
      <c r="C9" t="s">
        <v>6</v>
      </c>
      <c r="D9" t="s">
        <v>10</v>
      </c>
      <c r="H9">
        <v>3</v>
      </c>
      <c r="I9" t="s">
        <v>28</v>
      </c>
      <c r="J9">
        <f>((3.5^2)+(1.5^2))^(1/2)</f>
        <v>3.8078865529319543</v>
      </c>
      <c r="K9">
        <f>+J9+J10+J14</f>
        <v>7.8890253830161443</v>
      </c>
      <c r="L9">
        <f>+J11+J12+J14</f>
        <v>8.0413812651491092</v>
      </c>
    </row>
    <row r="10" spans="1:15" x14ac:dyDescent="0.25">
      <c r="A10">
        <v>1</v>
      </c>
      <c r="B10">
        <v>9</v>
      </c>
      <c r="C10" t="s">
        <v>6</v>
      </c>
      <c r="D10" t="s">
        <v>10</v>
      </c>
      <c r="I10" t="s">
        <v>29</v>
      </c>
      <c r="J10">
        <f>((1.5^2)+(0.5^2))^(1/2)</f>
        <v>1.5811388300841898</v>
      </c>
      <c r="K10">
        <f>+J9+J10+J14</f>
        <v>7.8890253830161443</v>
      </c>
    </row>
    <row r="11" spans="1:15" x14ac:dyDescent="0.25">
      <c r="A11">
        <v>1</v>
      </c>
      <c r="B11">
        <v>10</v>
      </c>
      <c r="D11" t="s">
        <v>7</v>
      </c>
      <c r="I11" t="s">
        <v>30</v>
      </c>
      <c r="J11">
        <v>2.5</v>
      </c>
    </row>
    <row r="12" spans="1:15" x14ac:dyDescent="0.25">
      <c r="B12">
        <v>11</v>
      </c>
      <c r="C12" t="s">
        <v>11</v>
      </c>
      <c r="D12" t="s">
        <v>12</v>
      </c>
      <c r="I12" t="s">
        <v>32</v>
      </c>
      <c r="J12">
        <f>((0.5^2)+(3^2))^(1/2)</f>
        <v>3.0413812651491097</v>
      </c>
    </row>
    <row r="13" spans="1:15" x14ac:dyDescent="0.25">
      <c r="B13">
        <v>12</v>
      </c>
      <c r="C13" t="s">
        <v>11</v>
      </c>
      <c r="D13" t="s">
        <v>12</v>
      </c>
      <c r="I13" t="s">
        <v>31</v>
      </c>
      <c r="J13">
        <f>((2.5^2)+(3^2))^(1/2)</f>
        <v>3.905124837953327</v>
      </c>
    </row>
    <row r="14" spans="1:15" x14ac:dyDescent="0.25">
      <c r="B14">
        <v>13</v>
      </c>
      <c r="C14" t="s">
        <v>11</v>
      </c>
      <c r="D14" t="s">
        <v>12</v>
      </c>
      <c r="I14" t="s">
        <v>33</v>
      </c>
      <c r="J14">
        <v>2.5</v>
      </c>
    </row>
    <row r="15" spans="1:15" x14ac:dyDescent="0.25">
      <c r="B15">
        <v>14</v>
      </c>
      <c r="C15" t="s">
        <v>11</v>
      </c>
      <c r="D15" t="s">
        <v>12</v>
      </c>
      <c r="I15" t="s">
        <v>35</v>
      </c>
      <c r="J15">
        <v>2.5</v>
      </c>
    </row>
    <row r="16" spans="1:15" x14ac:dyDescent="0.25">
      <c r="B16">
        <v>15</v>
      </c>
      <c r="C16" t="s">
        <v>11</v>
      </c>
      <c r="D16" t="s">
        <v>12</v>
      </c>
    </row>
    <row r="17" spans="2:4" x14ac:dyDescent="0.25">
      <c r="B17">
        <v>16</v>
      </c>
      <c r="C17" t="s">
        <v>11</v>
      </c>
      <c r="D17" t="s">
        <v>12</v>
      </c>
    </row>
    <row r="18" spans="2:4" x14ac:dyDescent="0.25">
      <c r="B18">
        <v>17</v>
      </c>
      <c r="C18" t="s">
        <v>11</v>
      </c>
      <c r="D18" t="s">
        <v>12</v>
      </c>
    </row>
    <row r="19" spans="2:4" x14ac:dyDescent="0.25">
      <c r="B19">
        <v>18</v>
      </c>
      <c r="C19" t="s">
        <v>11</v>
      </c>
      <c r="D19" t="s">
        <v>12</v>
      </c>
    </row>
    <row r="20" spans="2:4" x14ac:dyDescent="0.25">
      <c r="B20">
        <v>19</v>
      </c>
      <c r="C20" t="s">
        <v>11</v>
      </c>
      <c r="D20" t="s">
        <v>12</v>
      </c>
    </row>
    <row r="21" spans="2:4" x14ac:dyDescent="0.25">
      <c r="B21">
        <v>20</v>
      </c>
      <c r="C21" t="s">
        <v>11</v>
      </c>
      <c r="D21" t="s">
        <v>12</v>
      </c>
    </row>
    <row r="22" spans="2:4" x14ac:dyDescent="0.25">
      <c r="B22">
        <v>21</v>
      </c>
      <c r="C22" t="s">
        <v>11</v>
      </c>
      <c r="D22" t="s">
        <v>12</v>
      </c>
    </row>
    <row r="23" spans="2:4" x14ac:dyDescent="0.25">
      <c r="B23">
        <v>22</v>
      </c>
      <c r="C23" t="s">
        <v>11</v>
      </c>
      <c r="D23" t="s">
        <v>12</v>
      </c>
    </row>
    <row r="24" spans="2:4" x14ac:dyDescent="0.25">
      <c r="B24">
        <v>23</v>
      </c>
      <c r="C24" t="s">
        <v>11</v>
      </c>
      <c r="D24" t="s">
        <v>14</v>
      </c>
    </row>
    <row r="25" spans="2:4" x14ac:dyDescent="0.25">
      <c r="B25">
        <v>24</v>
      </c>
      <c r="C25" t="s">
        <v>11</v>
      </c>
      <c r="D25" t="s">
        <v>14</v>
      </c>
    </row>
    <row r="26" spans="2:4" x14ac:dyDescent="0.25">
      <c r="B26">
        <v>25</v>
      </c>
      <c r="C26" t="s">
        <v>11</v>
      </c>
      <c r="D26" t="s">
        <v>14</v>
      </c>
    </row>
    <row r="27" spans="2:4" x14ac:dyDescent="0.25">
      <c r="B27">
        <v>26</v>
      </c>
      <c r="C27" t="s">
        <v>11</v>
      </c>
      <c r="D27" t="s">
        <v>14</v>
      </c>
    </row>
    <row r="28" spans="2:4" x14ac:dyDescent="0.25">
      <c r="B28">
        <v>27</v>
      </c>
      <c r="C28" t="s">
        <v>15</v>
      </c>
      <c r="D28" t="s">
        <v>14</v>
      </c>
    </row>
    <row r="29" spans="2:4" x14ac:dyDescent="0.25">
      <c r="B29">
        <v>28</v>
      </c>
      <c r="C29" t="s">
        <v>15</v>
      </c>
      <c r="D29" t="s">
        <v>14</v>
      </c>
    </row>
    <row r="30" spans="2:4" x14ac:dyDescent="0.25">
      <c r="B30">
        <v>29</v>
      </c>
      <c r="C30" t="s">
        <v>15</v>
      </c>
      <c r="D30" t="s">
        <v>14</v>
      </c>
    </row>
    <row r="31" spans="2:4" x14ac:dyDescent="0.25">
      <c r="B31">
        <v>30</v>
      </c>
      <c r="C31" t="s">
        <v>15</v>
      </c>
      <c r="D31" t="s">
        <v>14</v>
      </c>
    </row>
    <row r="32" spans="2:4" x14ac:dyDescent="0.25">
      <c r="B32">
        <v>31</v>
      </c>
      <c r="C32" t="s">
        <v>15</v>
      </c>
      <c r="D32" t="s">
        <v>14</v>
      </c>
    </row>
    <row r="33" spans="1:4" x14ac:dyDescent="0.25">
      <c r="B33">
        <v>32</v>
      </c>
      <c r="C33" t="s">
        <v>15</v>
      </c>
      <c r="D33" t="s">
        <v>16</v>
      </c>
    </row>
    <row r="34" spans="1:4" x14ac:dyDescent="0.25">
      <c r="B34">
        <v>33</v>
      </c>
      <c r="C34" t="s">
        <v>15</v>
      </c>
      <c r="D34" t="s">
        <v>16</v>
      </c>
    </row>
    <row r="35" spans="1:4" x14ac:dyDescent="0.25">
      <c r="B35">
        <v>34</v>
      </c>
      <c r="C35" t="s">
        <v>15</v>
      </c>
      <c r="D35" t="s">
        <v>16</v>
      </c>
    </row>
    <row r="36" spans="1:4" x14ac:dyDescent="0.25">
      <c r="B36">
        <v>35</v>
      </c>
      <c r="C36" t="s">
        <v>15</v>
      </c>
      <c r="D36" t="s">
        <v>16</v>
      </c>
    </row>
    <row r="37" spans="1:4" x14ac:dyDescent="0.25">
      <c r="B37">
        <v>36</v>
      </c>
      <c r="C37" t="s">
        <v>15</v>
      </c>
      <c r="D37" t="s">
        <v>16</v>
      </c>
    </row>
    <row r="38" spans="1:4" x14ac:dyDescent="0.25">
      <c r="B38">
        <v>37</v>
      </c>
      <c r="C38" t="s">
        <v>15</v>
      </c>
      <c r="D38" t="s">
        <v>16</v>
      </c>
    </row>
    <row r="39" spans="1:4" x14ac:dyDescent="0.25">
      <c r="B39">
        <v>38</v>
      </c>
      <c r="C39" t="s">
        <v>13</v>
      </c>
      <c r="D39" t="s">
        <v>16</v>
      </c>
    </row>
    <row r="40" spans="1:4" x14ac:dyDescent="0.25">
      <c r="B40">
        <v>39</v>
      </c>
      <c r="C40" t="s">
        <v>13</v>
      </c>
      <c r="D40" t="s">
        <v>16</v>
      </c>
    </row>
    <row r="41" spans="1:4" x14ac:dyDescent="0.25">
      <c r="B41">
        <v>40</v>
      </c>
      <c r="C41" t="s">
        <v>13</v>
      </c>
      <c r="D41" t="s">
        <v>16</v>
      </c>
    </row>
    <row r="42" spans="1:4" x14ac:dyDescent="0.25">
      <c r="B42">
        <v>41</v>
      </c>
      <c r="C42" t="s">
        <v>13</v>
      </c>
      <c r="D42" t="s">
        <v>16</v>
      </c>
    </row>
    <row r="43" spans="1:4" x14ac:dyDescent="0.25">
      <c r="B43">
        <v>42</v>
      </c>
      <c r="C43" t="s">
        <v>13</v>
      </c>
      <c r="D43" t="s">
        <v>16</v>
      </c>
    </row>
    <row r="44" spans="1:4" x14ac:dyDescent="0.25">
      <c r="B44">
        <v>43</v>
      </c>
      <c r="C44" t="s">
        <v>13</v>
      </c>
      <c r="D44" t="s">
        <v>16</v>
      </c>
    </row>
    <row r="45" spans="1:4" x14ac:dyDescent="0.25">
      <c r="B45">
        <v>44</v>
      </c>
      <c r="C45" t="s">
        <v>13</v>
      </c>
      <c r="D45" t="s">
        <v>16</v>
      </c>
    </row>
    <row r="46" spans="1:4" x14ac:dyDescent="0.25">
      <c r="B46">
        <v>45</v>
      </c>
      <c r="C46" t="s">
        <v>13</v>
      </c>
      <c r="D46" t="s">
        <v>16</v>
      </c>
    </row>
    <row r="47" spans="1:4" x14ac:dyDescent="0.25">
      <c r="B47">
        <v>46</v>
      </c>
      <c r="C47" t="s">
        <v>13</v>
      </c>
      <c r="D47" t="s">
        <v>16</v>
      </c>
    </row>
    <row r="48" spans="1:4" x14ac:dyDescent="0.25">
      <c r="A48" t="s">
        <v>23</v>
      </c>
      <c r="B48">
        <v>47</v>
      </c>
      <c r="C48" t="s">
        <v>13</v>
      </c>
      <c r="D48" t="s">
        <v>16</v>
      </c>
    </row>
    <row r="49" spans="2:7" x14ac:dyDescent="0.25">
      <c r="B49">
        <v>48</v>
      </c>
      <c r="C49" t="s">
        <v>17</v>
      </c>
      <c r="D49" t="s">
        <v>8</v>
      </c>
    </row>
    <row r="50" spans="2:7" x14ac:dyDescent="0.25">
      <c r="B50">
        <v>49</v>
      </c>
      <c r="D50" t="s">
        <v>8</v>
      </c>
      <c r="E50" t="s">
        <v>18</v>
      </c>
    </row>
    <row r="51" spans="2:7" x14ac:dyDescent="0.25">
      <c r="B51">
        <v>50</v>
      </c>
      <c r="E51" t="s">
        <v>18</v>
      </c>
      <c r="F51" t="s">
        <v>19</v>
      </c>
    </row>
    <row r="52" spans="2:7" x14ac:dyDescent="0.25">
      <c r="B52">
        <v>51</v>
      </c>
      <c r="E52" t="s">
        <v>18</v>
      </c>
      <c r="F52" t="s">
        <v>19</v>
      </c>
    </row>
    <row r="53" spans="2:7" x14ac:dyDescent="0.25">
      <c r="B53">
        <v>52</v>
      </c>
      <c r="E53" t="s">
        <v>18</v>
      </c>
      <c r="F53" t="s">
        <v>19</v>
      </c>
    </row>
    <row r="54" spans="2:7" x14ac:dyDescent="0.25">
      <c r="B54">
        <v>53</v>
      </c>
      <c r="E54" t="s">
        <v>18</v>
      </c>
      <c r="F54" t="s">
        <v>19</v>
      </c>
    </row>
    <row r="55" spans="2:7" x14ac:dyDescent="0.25">
      <c r="B55">
        <v>54</v>
      </c>
      <c r="E55" t="s">
        <v>18</v>
      </c>
      <c r="F55" t="s">
        <v>19</v>
      </c>
    </row>
    <row r="56" spans="2:7" x14ac:dyDescent="0.25">
      <c r="B56">
        <v>55</v>
      </c>
      <c r="D56" t="s">
        <v>10</v>
      </c>
      <c r="E56" t="s">
        <v>18</v>
      </c>
    </row>
    <row r="57" spans="2:7" x14ac:dyDescent="0.25">
      <c r="B57">
        <v>56</v>
      </c>
      <c r="D57" t="s">
        <v>10</v>
      </c>
      <c r="E57" t="s">
        <v>18</v>
      </c>
    </row>
    <row r="58" spans="2:7" x14ac:dyDescent="0.25">
      <c r="B58">
        <v>57</v>
      </c>
      <c r="C58" t="s">
        <v>21</v>
      </c>
      <c r="D58" t="s">
        <v>7</v>
      </c>
    </row>
    <row r="59" spans="2:7" x14ac:dyDescent="0.25">
      <c r="B59">
        <v>58</v>
      </c>
      <c r="C59" t="s">
        <v>21</v>
      </c>
      <c r="D59" t="s">
        <v>8</v>
      </c>
    </row>
    <row r="60" spans="2:7" x14ac:dyDescent="0.25">
      <c r="B60">
        <v>59</v>
      </c>
      <c r="C60" t="s">
        <v>22</v>
      </c>
      <c r="D60" t="s">
        <v>8</v>
      </c>
    </row>
    <row r="61" spans="2:7" x14ac:dyDescent="0.25">
      <c r="B61">
        <v>60</v>
      </c>
      <c r="C61" t="s">
        <v>5</v>
      </c>
      <c r="F61" t="s">
        <v>19</v>
      </c>
    </row>
    <row r="62" spans="2:7" x14ac:dyDescent="0.25">
      <c r="B62">
        <v>61</v>
      </c>
      <c r="F62" t="s">
        <v>19</v>
      </c>
      <c r="G62" t="s">
        <v>9</v>
      </c>
    </row>
    <row r="63" spans="2:7" x14ac:dyDescent="0.25">
      <c r="B63">
        <v>62</v>
      </c>
      <c r="F63" t="s">
        <v>19</v>
      </c>
      <c r="G63" t="s">
        <v>9</v>
      </c>
    </row>
    <row r="64" spans="2:7" x14ac:dyDescent="0.25">
      <c r="B64">
        <v>63</v>
      </c>
      <c r="F64" t="s">
        <v>19</v>
      </c>
      <c r="G64" t="s">
        <v>9</v>
      </c>
    </row>
    <row r="65" spans="1:7" x14ac:dyDescent="0.25">
      <c r="B65">
        <v>64</v>
      </c>
      <c r="F65" t="s">
        <v>19</v>
      </c>
      <c r="G65" t="s">
        <v>9</v>
      </c>
    </row>
    <row r="66" spans="1:7" x14ac:dyDescent="0.25">
      <c r="B66">
        <v>65</v>
      </c>
      <c r="C66" t="s">
        <v>20</v>
      </c>
      <c r="D66" t="s">
        <v>10</v>
      </c>
    </row>
    <row r="67" spans="1:7" x14ac:dyDescent="0.25">
      <c r="B67">
        <v>66</v>
      </c>
      <c r="C67" t="s">
        <v>20</v>
      </c>
      <c r="D67" t="s">
        <v>10</v>
      </c>
    </row>
    <row r="68" spans="1:7" x14ac:dyDescent="0.25">
      <c r="A68">
        <v>1</v>
      </c>
      <c r="B68">
        <v>67</v>
      </c>
      <c r="C68" t="s">
        <v>6</v>
      </c>
      <c r="D68" t="s">
        <v>7</v>
      </c>
    </row>
    <row r="69" spans="1:7" x14ac:dyDescent="0.25">
      <c r="A69">
        <v>2</v>
      </c>
      <c r="B69">
        <v>68</v>
      </c>
      <c r="C69" t="s">
        <v>6</v>
      </c>
    </row>
    <row r="70" spans="1:7" x14ac:dyDescent="0.25">
      <c r="B70">
        <v>69</v>
      </c>
      <c r="C70" t="s">
        <v>11</v>
      </c>
      <c r="D70" t="s">
        <v>12</v>
      </c>
    </row>
    <row r="71" spans="1:7" x14ac:dyDescent="0.25">
      <c r="B71">
        <v>70</v>
      </c>
      <c r="C71" t="s">
        <v>11</v>
      </c>
      <c r="D71" t="s">
        <v>12</v>
      </c>
    </row>
    <row r="72" spans="1:7" x14ac:dyDescent="0.25">
      <c r="B72">
        <v>71</v>
      </c>
      <c r="C72" t="s">
        <v>11</v>
      </c>
      <c r="D72" t="s">
        <v>12</v>
      </c>
    </row>
    <row r="73" spans="1:7" x14ac:dyDescent="0.25">
      <c r="B73">
        <v>72</v>
      </c>
      <c r="C73" t="s">
        <v>11</v>
      </c>
      <c r="D73" t="s">
        <v>12</v>
      </c>
    </row>
    <row r="74" spans="1:7" x14ac:dyDescent="0.25">
      <c r="B74">
        <v>73</v>
      </c>
      <c r="C74" t="s">
        <v>11</v>
      </c>
      <c r="D74" t="s">
        <v>12</v>
      </c>
    </row>
    <row r="75" spans="1:7" x14ac:dyDescent="0.25">
      <c r="B75">
        <v>74</v>
      </c>
      <c r="C75" t="s">
        <v>11</v>
      </c>
      <c r="D75" t="s">
        <v>12</v>
      </c>
    </row>
    <row r="76" spans="1:7" x14ac:dyDescent="0.25">
      <c r="B76">
        <v>75</v>
      </c>
      <c r="C76" t="s">
        <v>11</v>
      </c>
      <c r="D76" t="s">
        <v>12</v>
      </c>
    </row>
    <row r="77" spans="1:7" x14ac:dyDescent="0.25">
      <c r="B77">
        <v>76</v>
      </c>
      <c r="C77" t="s">
        <v>11</v>
      </c>
      <c r="D77" t="s">
        <v>12</v>
      </c>
    </row>
    <row r="78" spans="1:7" x14ac:dyDescent="0.25">
      <c r="B78">
        <v>77</v>
      </c>
      <c r="C78" t="s">
        <v>11</v>
      </c>
      <c r="D78" t="s">
        <v>12</v>
      </c>
    </row>
    <row r="79" spans="1:7" x14ac:dyDescent="0.25">
      <c r="B79">
        <v>78</v>
      </c>
      <c r="C79" t="s">
        <v>11</v>
      </c>
      <c r="D79" t="s">
        <v>12</v>
      </c>
    </row>
    <row r="80" spans="1:7" x14ac:dyDescent="0.25">
      <c r="B80">
        <v>79</v>
      </c>
      <c r="C80" t="s">
        <v>11</v>
      </c>
      <c r="D80" t="s">
        <v>12</v>
      </c>
    </row>
    <row r="81" spans="2:4" x14ac:dyDescent="0.25">
      <c r="B81">
        <v>80</v>
      </c>
      <c r="C81" t="s">
        <v>11</v>
      </c>
      <c r="D81" t="s">
        <v>12</v>
      </c>
    </row>
    <row r="82" spans="2:4" x14ac:dyDescent="0.25">
      <c r="B82">
        <v>81</v>
      </c>
      <c r="C82" t="s">
        <v>11</v>
      </c>
      <c r="D82" t="s">
        <v>14</v>
      </c>
    </row>
    <row r="83" spans="2:4" x14ac:dyDescent="0.25">
      <c r="B83">
        <v>82</v>
      </c>
      <c r="C83" t="s">
        <v>11</v>
      </c>
      <c r="D83" t="s">
        <v>14</v>
      </c>
    </row>
    <row r="84" spans="2:4" x14ac:dyDescent="0.25">
      <c r="B84">
        <v>83</v>
      </c>
      <c r="C84" t="s">
        <v>11</v>
      </c>
      <c r="D84" t="s">
        <v>14</v>
      </c>
    </row>
    <row r="85" spans="2:4" x14ac:dyDescent="0.25">
      <c r="B85">
        <v>84</v>
      </c>
      <c r="C85" t="s">
        <v>11</v>
      </c>
      <c r="D85" t="s">
        <v>14</v>
      </c>
    </row>
    <row r="86" spans="2:4" x14ac:dyDescent="0.25">
      <c r="B86">
        <v>85</v>
      </c>
      <c r="C86" t="s">
        <v>15</v>
      </c>
      <c r="D86" t="s">
        <v>14</v>
      </c>
    </row>
    <row r="87" spans="2:4" x14ac:dyDescent="0.25">
      <c r="B87">
        <v>86</v>
      </c>
      <c r="C87" t="s">
        <v>15</v>
      </c>
      <c r="D87" t="s">
        <v>14</v>
      </c>
    </row>
    <row r="88" spans="2:4" x14ac:dyDescent="0.25">
      <c r="B88">
        <v>87</v>
      </c>
      <c r="C88" t="s">
        <v>15</v>
      </c>
      <c r="D88" t="s">
        <v>14</v>
      </c>
    </row>
    <row r="89" spans="2:4" x14ac:dyDescent="0.25">
      <c r="B89">
        <v>88</v>
      </c>
      <c r="C89" t="s">
        <v>15</v>
      </c>
      <c r="D89" t="s">
        <v>14</v>
      </c>
    </row>
    <row r="90" spans="2:4" x14ac:dyDescent="0.25">
      <c r="B90">
        <v>89</v>
      </c>
      <c r="C90" t="s">
        <v>15</v>
      </c>
      <c r="D90" t="s">
        <v>14</v>
      </c>
    </row>
    <row r="91" spans="2:4" x14ac:dyDescent="0.25">
      <c r="B91">
        <v>90</v>
      </c>
      <c r="C91" t="s">
        <v>15</v>
      </c>
      <c r="D91" t="s">
        <v>16</v>
      </c>
    </row>
    <row r="92" spans="2:4" x14ac:dyDescent="0.25">
      <c r="B92">
        <v>91</v>
      </c>
      <c r="C92" t="s">
        <v>15</v>
      </c>
      <c r="D92" t="s">
        <v>16</v>
      </c>
    </row>
    <row r="93" spans="2:4" x14ac:dyDescent="0.25">
      <c r="B93">
        <v>92</v>
      </c>
      <c r="C93" t="s">
        <v>15</v>
      </c>
      <c r="D93" t="s">
        <v>16</v>
      </c>
    </row>
    <row r="94" spans="2:4" x14ac:dyDescent="0.25">
      <c r="B94">
        <v>93</v>
      </c>
      <c r="C94" t="s">
        <v>15</v>
      </c>
      <c r="D94" t="s">
        <v>16</v>
      </c>
    </row>
    <row r="95" spans="2:4" x14ac:dyDescent="0.25">
      <c r="B95">
        <v>94</v>
      </c>
      <c r="C95" t="s">
        <v>15</v>
      </c>
      <c r="D95" t="s">
        <v>16</v>
      </c>
    </row>
    <row r="96" spans="2:4" x14ac:dyDescent="0.25">
      <c r="B96">
        <v>95</v>
      </c>
      <c r="C96" t="s">
        <v>15</v>
      </c>
      <c r="D96" t="s">
        <v>16</v>
      </c>
    </row>
    <row r="97" spans="2:7" x14ac:dyDescent="0.25">
      <c r="B97">
        <v>96</v>
      </c>
      <c r="C97" t="s">
        <v>17</v>
      </c>
      <c r="D97" t="s">
        <v>16</v>
      </c>
    </row>
    <row r="98" spans="2:7" x14ac:dyDescent="0.25">
      <c r="B98">
        <v>97</v>
      </c>
      <c r="D98" t="s">
        <v>16</v>
      </c>
      <c r="E98" t="s">
        <v>18</v>
      </c>
    </row>
    <row r="99" spans="2:7" x14ac:dyDescent="0.25">
      <c r="B99">
        <v>98</v>
      </c>
      <c r="D99" t="s">
        <v>16</v>
      </c>
      <c r="E99" t="s">
        <v>18</v>
      </c>
    </row>
    <row r="100" spans="2:7" x14ac:dyDescent="0.25">
      <c r="B100">
        <v>99</v>
      </c>
      <c r="D100" t="s">
        <v>16</v>
      </c>
      <c r="E100" t="s">
        <v>18</v>
      </c>
    </row>
    <row r="101" spans="2:7" x14ac:dyDescent="0.25">
      <c r="B101">
        <v>100</v>
      </c>
      <c r="D101" t="s">
        <v>16</v>
      </c>
      <c r="E101" t="s">
        <v>18</v>
      </c>
    </row>
    <row r="102" spans="2:7" x14ac:dyDescent="0.25">
      <c r="B102">
        <v>101</v>
      </c>
      <c r="D102" t="s">
        <v>16</v>
      </c>
      <c r="E102" t="s">
        <v>18</v>
      </c>
    </row>
    <row r="103" spans="2:7" x14ac:dyDescent="0.25">
      <c r="B103">
        <v>102</v>
      </c>
      <c r="D103" t="s">
        <v>16</v>
      </c>
      <c r="E103" t="s">
        <v>18</v>
      </c>
    </row>
    <row r="104" spans="2:7" x14ac:dyDescent="0.25">
      <c r="B104">
        <v>103</v>
      </c>
      <c r="D104" t="s">
        <v>16</v>
      </c>
      <c r="E104" t="s">
        <v>18</v>
      </c>
    </row>
    <row r="105" spans="2:7" x14ac:dyDescent="0.25">
      <c r="B105">
        <v>104</v>
      </c>
      <c r="D105" t="s">
        <v>16</v>
      </c>
      <c r="E105" t="s">
        <v>18</v>
      </c>
    </row>
    <row r="106" spans="2:7" x14ac:dyDescent="0.25">
      <c r="B106">
        <v>105</v>
      </c>
      <c r="C106" t="s">
        <v>21</v>
      </c>
      <c r="D106" t="s">
        <v>16</v>
      </c>
    </row>
    <row r="107" spans="2:7" x14ac:dyDescent="0.25">
      <c r="B107">
        <v>106</v>
      </c>
      <c r="C107" t="s">
        <v>21</v>
      </c>
      <c r="D107" t="s">
        <v>13</v>
      </c>
    </row>
    <row r="108" spans="2:7" x14ac:dyDescent="0.25">
      <c r="B108">
        <v>107</v>
      </c>
      <c r="C108" t="s">
        <v>22</v>
      </c>
      <c r="D108" t="s">
        <v>13</v>
      </c>
    </row>
    <row r="109" spans="2:7" x14ac:dyDescent="0.25">
      <c r="B109">
        <v>108</v>
      </c>
      <c r="C109" t="s">
        <v>5</v>
      </c>
      <c r="D109" t="s">
        <v>13</v>
      </c>
    </row>
    <row r="110" spans="2:7" x14ac:dyDescent="0.25">
      <c r="B110">
        <v>109</v>
      </c>
      <c r="D110" t="s">
        <v>13</v>
      </c>
      <c r="G110" t="s">
        <v>9</v>
      </c>
    </row>
    <row r="111" spans="2:7" x14ac:dyDescent="0.25">
      <c r="B111">
        <v>110</v>
      </c>
      <c r="D111" t="s">
        <v>13</v>
      </c>
      <c r="G111" t="s">
        <v>9</v>
      </c>
    </row>
    <row r="112" spans="2:7" x14ac:dyDescent="0.25">
      <c r="B112">
        <v>111</v>
      </c>
      <c r="D112" t="s">
        <v>13</v>
      </c>
      <c r="G112" t="s">
        <v>9</v>
      </c>
    </row>
    <row r="113" spans="1:7" x14ac:dyDescent="0.25">
      <c r="B113">
        <v>112</v>
      </c>
      <c r="D113" t="s">
        <v>13</v>
      </c>
      <c r="G113" t="s">
        <v>9</v>
      </c>
    </row>
    <row r="114" spans="1:7" x14ac:dyDescent="0.25">
      <c r="B114">
        <v>113</v>
      </c>
      <c r="C114" t="s">
        <v>20</v>
      </c>
      <c r="D114" t="s">
        <v>13</v>
      </c>
    </row>
    <row r="115" spans="1:7" x14ac:dyDescent="0.25">
      <c r="B115">
        <v>114</v>
      </c>
      <c r="C115" t="s">
        <v>20</v>
      </c>
      <c r="D115" t="s">
        <v>13</v>
      </c>
    </row>
    <row r="116" spans="1:7" x14ac:dyDescent="0.25">
      <c r="A116" t="s">
        <v>23</v>
      </c>
      <c r="B116">
        <v>115</v>
      </c>
      <c r="C116" t="s">
        <v>6</v>
      </c>
      <c r="D116" t="s">
        <v>13</v>
      </c>
    </row>
    <row r="117" spans="1:7" x14ac:dyDescent="0.25">
      <c r="A117">
        <v>1</v>
      </c>
      <c r="B117">
        <v>116</v>
      </c>
      <c r="C117" t="s">
        <v>6</v>
      </c>
    </row>
    <row r="118" spans="1:7" x14ac:dyDescent="0.25">
      <c r="A118">
        <v>1</v>
      </c>
      <c r="B118">
        <v>117</v>
      </c>
      <c r="C118" t="s">
        <v>11</v>
      </c>
      <c r="D118" t="s">
        <v>12</v>
      </c>
    </row>
    <row r="119" spans="1:7" x14ac:dyDescent="0.25">
      <c r="B119">
        <v>118</v>
      </c>
      <c r="C119" t="s">
        <v>11</v>
      </c>
      <c r="D119" t="s">
        <v>12</v>
      </c>
    </row>
    <row r="120" spans="1:7" x14ac:dyDescent="0.25">
      <c r="B120">
        <v>119</v>
      </c>
      <c r="C120" t="s">
        <v>11</v>
      </c>
      <c r="D120" t="s">
        <v>12</v>
      </c>
    </row>
    <row r="121" spans="1:7" x14ac:dyDescent="0.25">
      <c r="B121">
        <v>120</v>
      </c>
      <c r="C121" t="s">
        <v>11</v>
      </c>
      <c r="D121" t="s">
        <v>12</v>
      </c>
    </row>
    <row r="122" spans="1:7" x14ac:dyDescent="0.25">
      <c r="B122">
        <v>121</v>
      </c>
      <c r="C122" t="s">
        <v>11</v>
      </c>
      <c r="D122" t="s">
        <v>12</v>
      </c>
    </row>
    <row r="123" spans="1:7" x14ac:dyDescent="0.25">
      <c r="B123">
        <v>122</v>
      </c>
      <c r="C123" t="s">
        <v>11</v>
      </c>
      <c r="D123" t="s">
        <v>12</v>
      </c>
    </row>
    <row r="124" spans="1:7" x14ac:dyDescent="0.25">
      <c r="B124">
        <v>123</v>
      </c>
      <c r="C124" t="s">
        <v>11</v>
      </c>
      <c r="D124" t="s">
        <v>12</v>
      </c>
    </row>
    <row r="125" spans="1:7" x14ac:dyDescent="0.25">
      <c r="B125">
        <v>124</v>
      </c>
      <c r="C125" t="s">
        <v>11</v>
      </c>
      <c r="D125" t="s">
        <v>12</v>
      </c>
    </row>
    <row r="126" spans="1:7" x14ac:dyDescent="0.25">
      <c r="B126">
        <v>125</v>
      </c>
      <c r="C126" t="s">
        <v>11</v>
      </c>
      <c r="D126" t="s">
        <v>12</v>
      </c>
    </row>
    <row r="127" spans="1:7" x14ac:dyDescent="0.25">
      <c r="B127">
        <v>126</v>
      </c>
      <c r="C127" t="s">
        <v>11</v>
      </c>
      <c r="D127" t="s">
        <v>12</v>
      </c>
    </row>
    <row r="128" spans="1:7" x14ac:dyDescent="0.25">
      <c r="B128">
        <v>127</v>
      </c>
      <c r="C128" t="s">
        <v>11</v>
      </c>
      <c r="D128" t="s">
        <v>12</v>
      </c>
    </row>
    <row r="129" spans="2:4" x14ac:dyDescent="0.25">
      <c r="B129">
        <v>128</v>
      </c>
      <c r="C129" t="s">
        <v>11</v>
      </c>
      <c r="D129" t="s">
        <v>12</v>
      </c>
    </row>
    <row r="130" spans="2:4" x14ac:dyDescent="0.25">
      <c r="B130">
        <v>129</v>
      </c>
      <c r="C130" t="s">
        <v>11</v>
      </c>
      <c r="D130" t="s">
        <v>14</v>
      </c>
    </row>
    <row r="131" spans="2:4" x14ac:dyDescent="0.25">
      <c r="B131">
        <v>130</v>
      </c>
      <c r="C131" t="s">
        <v>11</v>
      </c>
      <c r="D131" t="s">
        <v>14</v>
      </c>
    </row>
    <row r="132" spans="2:4" x14ac:dyDescent="0.25">
      <c r="B132">
        <v>131</v>
      </c>
      <c r="C132" t="s">
        <v>11</v>
      </c>
      <c r="D132" t="s">
        <v>14</v>
      </c>
    </row>
    <row r="133" spans="2:4" x14ac:dyDescent="0.25">
      <c r="B133">
        <v>132</v>
      </c>
      <c r="C133" t="s">
        <v>11</v>
      </c>
      <c r="D133" t="s">
        <v>14</v>
      </c>
    </row>
    <row r="134" spans="2:4" x14ac:dyDescent="0.25">
      <c r="B134">
        <v>133</v>
      </c>
      <c r="C134" t="s">
        <v>15</v>
      </c>
      <c r="D134" t="s">
        <v>14</v>
      </c>
    </row>
    <row r="135" spans="2:4" x14ac:dyDescent="0.25">
      <c r="B135">
        <v>134</v>
      </c>
      <c r="C135" t="s">
        <v>15</v>
      </c>
      <c r="D135" t="s">
        <v>14</v>
      </c>
    </row>
    <row r="136" spans="2:4" x14ac:dyDescent="0.25">
      <c r="B136">
        <v>135</v>
      </c>
      <c r="C136" t="s">
        <v>15</v>
      </c>
      <c r="D136" t="s">
        <v>14</v>
      </c>
    </row>
    <row r="137" spans="2:4" x14ac:dyDescent="0.25">
      <c r="B137">
        <v>136</v>
      </c>
      <c r="C137" t="s">
        <v>15</v>
      </c>
      <c r="D137" t="s">
        <v>14</v>
      </c>
    </row>
    <row r="138" spans="2:4" x14ac:dyDescent="0.25">
      <c r="B138">
        <v>137</v>
      </c>
      <c r="C138" t="s">
        <v>15</v>
      </c>
      <c r="D138" t="s">
        <v>14</v>
      </c>
    </row>
    <row r="139" spans="2:4" x14ac:dyDescent="0.25">
      <c r="B139">
        <v>138</v>
      </c>
      <c r="C139" t="s">
        <v>15</v>
      </c>
      <c r="D139" t="s">
        <v>16</v>
      </c>
    </row>
    <row r="140" spans="2:4" x14ac:dyDescent="0.25">
      <c r="B140">
        <v>139</v>
      </c>
      <c r="C140" t="s">
        <v>15</v>
      </c>
      <c r="D140" t="s">
        <v>16</v>
      </c>
    </row>
    <row r="141" spans="2:4" x14ac:dyDescent="0.25">
      <c r="B141">
        <v>140</v>
      </c>
      <c r="C141" t="s">
        <v>15</v>
      </c>
      <c r="D141" t="s">
        <v>16</v>
      </c>
    </row>
    <row r="142" spans="2:4" x14ac:dyDescent="0.25">
      <c r="B142">
        <v>141</v>
      </c>
      <c r="C142" t="s">
        <v>15</v>
      </c>
      <c r="D142" t="s">
        <v>16</v>
      </c>
    </row>
    <row r="143" spans="2:4" x14ac:dyDescent="0.25">
      <c r="B143">
        <v>142</v>
      </c>
      <c r="C143" t="s">
        <v>15</v>
      </c>
      <c r="D143" t="s">
        <v>16</v>
      </c>
    </row>
    <row r="144" spans="2:4" x14ac:dyDescent="0.25">
      <c r="B144">
        <v>143</v>
      </c>
      <c r="C144" t="s">
        <v>15</v>
      </c>
      <c r="D144" t="s">
        <v>16</v>
      </c>
    </row>
    <row r="145" spans="1:6" x14ac:dyDescent="0.25">
      <c r="B145">
        <v>144</v>
      </c>
      <c r="C145" t="s">
        <v>13</v>
      </c>
      <c r="D145" t="s">
        <v>16</v>
      </c>
    </row>
    <row r="146" spans="1:6" x14ac:dyDescent="0.25">
      <c r="B146">
        <v>145</v>
      </c>
      <c r="C146" t="s">
        <v>13</v>
      </c>
      <c r="D146" t="s">
        <v>16</v>
      </c>
    </row>
    <row r="147" spans="1:6" x14ac:dyDescent="0.25">
      <c r="B147">
        <v>146</v>
      </c>
      <c r="C147" t="s">
        <v>13</v>
      </c>
      <c r="D147" t="s">
        <v>16</v>
      </c>
    </row>
    <row r="148" spans="1:6" x14ac:dyDescent="0.25">
      <c r="B148">
        <v>147</v>
      </c>
      <c r="C148" t="s">
        <v>13</v>
      </c>
      <c r="D148" t="s">
        <v>16</v>
      </c>
    </row>
    <row r="149" spans="1:6" x14ac:dyDescent="0.25">
      <c r="B149">
        <v>148</v>
      </c>
      <c r="C149" t="s">
        <v>13</v>
      </c>
      <c r="D149" t="s">
        <v>16</v>
      </c>
    </row>
    <row r="150" spans="1:6" x14ac:dyDescent="0.25">
      <c r="B150">
        <v>149</v>
      </c>
      <c r="C150" t="s">
        <v>13</v>
      </c>
      <c r="D150" t="s">
        <v>16</v>
      </c>
    </row>
    <row r="151" spans="1:6" x14ac:dyDescent="0.25">
      <c r="B151">
        <v>150</v>
      </c>
      <c r="C151" t="s">
        <v>13</v>
      </c>
      <c r="D151" t="s">
        <v>16</v>
      </c>
    </row>
    <row r="152" spans="1:6" x14ac:dyDescent="0.25">
      <c r="B152">
        <v>151</v>
      </c>
      <c r="C152" t="s">
        <v>13</v>
      </c>
      <c r="D152" t="s">
        <v>16</v>
      </c>
    </row>
    <row r="153" spans="1:6" x14ac:dyDescent="0.25">
      <c r="B153">
        <v>152</v>
      </c>
      <c r="C153" t="s">
        <v>13</v>
      </c>
      <c r="D153" t="s">
        <v>16</v>
      </c>
    </row>
    <row r="154" spans="1:6" x14ac:dyDescent="0.25">
      <c r="A154" t="s">
        <v>23</v>
      </c>
      <c r="B154">
        <v>153</v>
      </c>
      <c r="C154" t="s">
        <v>13</v>
      </c>
      <c r="D154" t="s">
        <v>16</v>
      </c>
    </row>
    <row r="155" spans="1:6" x14ac:dyDescent="0.25">
      <c r="B155">
        <v>154</v>
      </c>
      <c r="C155" t="s">
        <v>17</v>
      </c>
      <c r="D155" t="s">
        <v>8</v>
      </c>
    </row>
    <row r="156" spans="1:6" x14ac:dyDescent="0.25">
      <c r="B156">
        <v>155</v>
      </c>
      <c r="D156" t="s">
        <v>8</v>
      </c>
      <c r="E156" t="s">
        <v>18</v>
      </c>
    </row>
    <row r="157" spans="1:6" x14ac:dyDescent="0.25">
      <c r="B157">
        <v>156</v>
      </c>
      <c r="E157" t="s">
        <v>18</v>
      </c>
      <c r="F157" t="s">
        <v>19</v>
      </c>
    </row>
    <row r="158" spans="1:6" x14ac:dyDescent="0.25">
      <c r="B158">
        <v>157</v>
      </c>
      <c r="E158" t="s">
        <v>18</v>
      </c>
      <c r="F158" t="s">
        <v>19</v>
      </c>
    </row>
    <row r="159" spans="1:6" x14ac:dyDescent="0.25">
      <c r="B159">
        <v>158</v>
      </c>
      <c r="E159" t="s">
        <v>18</v>
      </c>
      <c r="F159" t="s">
        <v>19</v>
      </c>
    </row>
    <row r="160" spans="1:6" x14ac:dyDescent="0.25">
      <c r="B160">
        <v>159</v>
      </c>
      <c r="E160" t="s">
        <v>18</v>
      </c>
      <c r="F160" t="s">
        <v>19</v>
      </c>
    </row>
    <row r="161" spans="1:7" x14ac:dyDescent="0.25">
      <c r="B161">
        <v>160</v>
      </c>
      <c r="E161" t="s">
        <v>18</v>
      </c>
      <c r="F161" t="s">
        <v>19</v>
      </c>
    </row>
    <row r="162" spans="1:7" x14ac:dyDescent="0.25">
      <c r="B162">
        <v>161</v>
      </c>
      <c r="D162" t="s">
        <v>10</v>
      </c>
      <c r="E162" t="s">
        <v>18</v>
      </c>
    </row>
    <row r="163" spans="1:7" x14ac:dyDescent="0.25">
      <c r="B163">
        <v>162</v>
      </c>
      <c r="D163" t="s">
        <v>10</v>
      </c>
      <c r="E163" t="s">
        <v>18</v>
      </c>
    </row>
    <row r="164" spans="1:7" x14ac:dyDescent="0.25">
      <c r="B164">
        <v>163</v>
      </c>
      <c r="C164" t="s">
        <v>21</v>
      </c>
      <c r="D164" t="s">
        <v>7</v>
      </c>
    </row>
    <row r="165" spans="1:7" x14ac:dyDescent="0.25">
      <c r="B165">
        <v>164</v>
      </c>
      <c r="C165" t="s">
        <v>21</v>
      </c>
    </row>
    <row r="166" spans="1:7" x14ac:dyDescent="0.25">
      <c r="B166">
        <v>165</v>
      </c>
      <c r="C166" t="s">
        <v>22</v>
      </c>
    </row>
    <row r="167" spans="1:7" x14ac:dyDescent="0.25">
      <c r="B167">
        <v>166</v>
      </c>
      <c r="C167" t="s">
        <v>5</v>
      </c>
    </row>
    <row r="168" spans="1:7" x14ac:dyDescent="0.25">
      <c r="B168">
        <v>167</v>
      </c>
      <c r="G168" t="s">
        <v>9</v>
      </c>
    </row>
    <row r="169" spans="1:7" x14ac:dyDescent="0.25">
      <c r="B169">
        <v>168</v>
      </c>
      <c r="G169" t="s">
        <v>9</v>
      </c>
    </row>
    <row r="170" spans="1:7" x14ac:dyDescent="0.25">
      <c r="B170">
        <v>169</v>
      </c>
      <c r="G170" t="s">
        <v>9</v>
      </c>
    </row>
    <row r="171" spans="1:7" x14ac:dyDescent="0.25">
      <c r="B171">
        <v>170</v>
      </c>
      <c r="G171" t="s">
        <v>9</v>
      </c>
    </row>
    <row r="172" spans="1:7" x14ac:dyDescent="0.25">
      <c r="B172">
        <v>171</v>
      </c>
      <c r="C172" t="s">
        <v>20</v>
      </c>
    </row>
    <row r="173" spans="1:7" x14ac:dyDescent="0.25">
      <c r="B173">
        <v>172</v>
      </c>
      <c r="C173" t="s">
        <v>20</v>
      </c>
    </row>
    <row r="174" spans="1:7" x14ac:dyDescent="0.25">
      <c r="A174">
        <v>1</v>
      </c>
      <c r="B174">
        <v>173</v>
      </c>
      <c r="C174" t="s">
        <v>6</v>
      </c>
    </row>
    <row r="175" spans="1:7" x14ac:dyDescent="0.25">
      <c r="A175">
        <v>1</v>
      </c>
      <c r="B175">
        <v>174</v>
      </c>
      <c r="C175" t="s">
        <v>6</v>
      </c>
    </row>
    <row r="176" spans="1:7" x14ac:dyDescent="0.25">
      <c r="B176">
        <v>175</v>
      </c>
      <c r="C176" t="s">
        <v>11</v>
      </c>
      <c r="D176" t="s">
        <v>12</v>
      </c>
    </row>
    <row r="177" spans="2:4" x14ac:dyDescent="0.25">
      <c r="B177">
        <v>176</v>
      </c>
      <c r="C177" t="s">
        <v>11</v>
      </c>
      <c r="D177" t="s">
        <v>12</v>
      </c>
    </row>
    <row r="178" spans="2:4" x14ac:dyDescent="0.25">
      <c r="B178">
        <v>177</v>
      </c>
      <c r="C178" t="s">
        <v>11</v>
      </c>
      <c r="D178" t="s">
        <v>12</v>
      </c>
    </row>
    <row r="179" spans="2:4" x14ac:dyDescent="0.25">
      <c r="B179">
        <v>178</v>
      </c>
      <c r="C179" t="s">
        <v>11</v>
      </c>
      <c r="D179" t="s">
        <v>12</v>
      </c>
    </row>
    <row r="180" spans="2:4" x14ac:dyDescent="0.25">
      <c r="B180">
        <v>179</v>
      </c>
      <c r="C180" t="s">
        <v>11</v>
      </c>
      <c r="D180" t="s">
        <v>12</v>
      </c>
    </row>
    <row r="181" spans="2:4" x14ac:dyDescent="0.25">
      <c r="B181">
        <v>180</v>
      </c>
      <c r="C181" t="s">
        <v>11</v>
      </c>
      <c r="D181" t="s">
        <v>12</v>
      </c>
    </row>
    <row r="182" spans="2:4" x14ac:dyDescent="0.25">
      <c r="B182">
        <v>181</v>
      </c>
      <c r="C182" t="s">
        <v>11</v>
      </c>
      <c r="D182" t="s">
        <v>12</v>
      </c>
    </row>
    <row r="183" spans="2:4" x14ac:dyDescent="0.25">
      <c r="B183">
        <v>182</v>
      </c>
      <c r="C183" t="s">
        <v>11</v>
      </c>
      <c r="D183" t="s">
        <v>12</v>
      </c>
    </row>
    <row r="184" spans="2:4" x14ac:dyDescent="0.25">
      <c r="B184">
        <v>183</v>
      </c>
      <c r="C184" t="s">
        <v>11</v>
      </c>
      <c r="D184" t="s">
        <v>12</v>
      </c>
    </row>
    <row r="185" spans="2:4" x14ac:dyDescent="0.25">
      <c r="B185">
        <v>184</v>
      </c>
      <c r="C185" t="s">
        <v>11</v>
      </c>
      <c r="D185" t="s">
        <v>12</v>
      </c>
    </row>
    <row r="186" spans="2:4" x14ac:dyDescent="0.25">
      <c r="B186">
        <v>185</v>
      </c>
      <c r="C186" t="s">
        <v>11</v>
      </c>
      <c r="D186" t="s">
        <v>12</v>
      </c>
    </row>
    <row r="187" spans="2:4" x14ac:dyDescent="0.25">
      <c r="B187">
        <v>186</v>
      </c>
      <c r="C187" t="s">
        <v>11</v>
      </c>
      <c r="D187" t="s">
        <v>12</v>
      </c>
    </row>
    <row r="188" spans="2:4" x14ac:dyDescent="0.25">
      <c r="B188">
        <v>187</v>
      </c>
      <c r="C188" t="s">
        <v>11</v>
      </c>
      <c r="D188" t="s">
        <v>14</v>
      </c>
    </row>
    <row r="189" spans="2:4" x14ac:dyDescent="0.25">
      <c r="B189">
        <v>188</v>
      </c>
      <c r="C189" t="s">
        <v>11</v>
      </c>
      <c r="D189" t="s">
        <v>14</v>
      </c>
    </row>
    <row r="190" spans="2:4" x14ac:dyDescent="0.25">
      <c r="B190">
        <v>189</v>
      </c>
      <c r="C190" t="s">
        <v>11</v>
      </c>
      <c r="D190" t="s">
        <v>14</v>
      </c>
    </row>
    <row r="191" spans="2:4" x14ac:dyDescent="0.25">
      <c r="B191">
        <v>190</v>
      </c>
      <c r="C191" t="s">
        <v>11</v>
      </c>
      <c r="D191" t="s">
        <v>14</v>
      </c>
    </row>
    <row r="192" spans="2:4" x14ac:dyDescent="0.25">
      <c r="B192">
        <v>191</v>
      </c>
      <c r="C192" t="s">
        <v>15</v>
      </c>
      <c r="D192" t="s">
        <v>14</v>
      </c>
    </row>
    <row r="193" spans="2:4" x14ac:dyDescent="0.25">
      <c r="B193">
        <v>192</v>
      </c>
      <c r="C193" t="s">
        <v>15</v>
      </c>
      <c r="D193" t="s">
        <v>14</v>
      </c>
    </row>
    <row r="194" spans="2:4" x14ac:dyDescent="0.25">
      <c r="B194">
        <v>193</v>
      </c>
      <c r="C194" t="s">
        <v>15</v>
      </c>
      <c r="D194" t="s">
        <v>14</v>
      </c>
    </row>
    <row r="195" spans="2:4" x14ac:dyDescent="0.25">
      <c r="B195">
        <v>194</v>
      </c>
      <c r="C195" t="s">
        <v>15</v>
      </c>
      <c r="D195" t="s">
        <v>14</v>
      </c>
    </row>
    <row r="196" spans="2:4" x14ac:dyDescent="0.25">
      <c r="B196">
        <v>195</v>
      </c>
      <c r="C196" t="s">
        <v>15</v>
      </c>
      <c r="D196" t="s">
        <v>14</v>
      </c>
    </row>
    <row r="197" spans="2:4" x14ac:dyDescent="0.25">
      <c r="B197">
        <v>196</v>
      </c>
      <c r="C197" t="s">
        <v>15</v>
      </c>
      <c r="D197" t="s">
        <v>16</v>
      </c>
    </row>
    <row r="198" spans="2:4" x14ac:dyDescent="0.25">
      <c r="B198">
        <v>197</v>
      </c>
      <c r="C198" t="s">
        <v>15</v>
      </c>
      <c r="D198" t="s">
        <v>16</v>
      </c>
    </row>
    <row r="199" spans="2:4" x14ac:dyDescent="0.25">
      <c r="B199">
        <v>198</v>
      </c>
      <c r="C199" t="s">
        <v>15</v>
      </c>
      <c r="D199" t="s">
        <v>16</v>
      </c>
    </row>
    <row r="200" spans="2:4" x14ac:dyDescent="0.25">
      <c r="B200">
        <v>199</v>
      </c>
      <c r="C200" t="s">
        <v>15</v>
      </c>
      <c r="D200" t="s">
        <v>16</v>
      </c>
    </row>
    <row r="201" spans="2:4" x14ac:dyDescent="0.25">
      <c r="B201">
        <v>200</v>
      </c>
      <c r="C201" t="s">
        <v>15</v>
      </c>
      <c r="D201" t="s">
        <v>16</v>
      </c>
    </row>
    <row r="202" spans="2:4" x14ac:dyDescent="0.25">
      <c r="B202">
        <v>201</v>
      </c>
      <c r="C202" t="s">
        <v>15</v>
      </c>
      <c r="D202" t="s">
        <v>16</v>
      </c>
    </row>
    <row r="203" spans="2:4" x14ac:dyDescent="0.25">
      <c r="B203">
        <v>202</v>
      </c>
      <c r="C203" t="s">
        <v>13</v>
      </c>
      <c r="D203" t="s">
        <v>16</v>
      </c>
    </row>
    <row r="204" spans="2:4" x14ac:dyDescent="0.25">
      <c r="B204">
        <v>203</v>
      </c>
      <c r="C204" t="s">
        <v>13</v>
      </c>
      <c r="D204" t="s">
        <v>16</v>
      </c>
    </row>
    <row r="205" spans="2:4" x14ac:dyDescent="0.25">
      <c r="B205">
        <v>204</v>
      </c>
      <c r="C205" t="s">
        <v>13</v>
      </c>
      <c r="D205" t="s">
        <v>16</v>
      </c>
    </row>
    <row r="206" spans="2:4" x14ac:dyDescent="0.25">
      <c r="B206">
        <v>205</v>
      </c>
      <c r="C206" t="s">
        <v>13</v>
      </c>
      <c r="D206" t="s">
        <v>16</v>
      </c>
    </row>
    <row r="207" spans="2:4" x14ac:dyDescent="0.25">
      <c r="B207">
        <v>206</v>
      </c>
      <c r="C207" t="s">
        <v>13</v>
      </c>
      <c r="D207" t="s">
        <v>16</v>
      </c>
    </row>
    <row r="208" spans="2:4" x14ac:dyDescent="0.25">
      <c r="B208">
        <v>207</v>
      </c>
      <c r="C208" t="s">
        <v>13</v>
      </c>
      <c r="D208" t="s">
        <v>16</v>
      </c>
    </row>
    <row r="209" spans="1:5" x14ac:dyDescent="0.25">
      <c r="B209">
        <v>208</v>
      </c>
      <c r="C209" t="s">
        <v>13</v>
      </c>
      <c r="D209" t="s">
        <v>16</v>
      </c>
    </row>
    <row r="210" spans="1:5" x14ac:dyDescent="0.25">
      <c r="B210">
        <v>209</v>
      </c>
      <c r="C210" t="s">
        <v>13</v>
      </c>
      <c r="D210" t="s">
        <v>16</v>
      </c>
    </row>
    <row r="211" spans="1:5" x14ac:dyDescent="0.25">
      <c r="B211">
        <v>210</v>
      </c>
      <c r="C211" t="s">
        <v>13</v>
      </c>
      <c r="D211" t="s">
        <v>16</v>
      </c>
    </row>
    <row r="212" spans="1:5" x14ac:dyDescent="0.25">
      <c r="A212" t="s">
        <v>23</v>
      </c>
      <c r="B212">
        <v>211</v>
      </c>
      <c r="C212" t="s">
        <v>13</v>
      </c>
      <c r="D212" t="s">
        <v>16</v>
      </c>
    </row>
    <row r="213" spans="1:5" x14ac:dyDescent="0.25">
      <c r="B213">
        <v>212</v>
      </c>
      <c r="C213" t="s">
        <v>17</v>
      </c>
    </row>
    <row r="214" spans="1:5" x14ac:dyDescent="0.25">
      <c r="B214">
        <v>213</v>
      </c>
      <c r="E214" t="s">
        <v>18</v>
      </c>
    </row>
    <row r="215" spans="1:5" x14ac:dyDescent="0.25">
      <c r="B215">
        <v>214</v>
      </c>
      <c r="E215" t="s">
        <v>18</v>
      </c>
    </row>
    <row r="216" spans="1:5" x14ac:dyDescent="0.25">
      <c r="B216">
        <v>215</v>
      </c>
      <c r="E216" t="s">
        <v>18</v>
      </c>
    </row>
    <row r="217" spans="1:5" x14ac:dyDescent="0.25">
      <c r="B217">
        <v>216</v>
      </c>
      <c r="E217" t="s">
        <v>18</v>
      </c>
    </row>
    <row r="218" spans="1:5" x14ac:dyDescent="0.25">
      <c r="B218">
        <v>217</v>
      </c>
      <c r="E218" t="s">
        <v>18</v>
      </c>
    </row>
    <row r="219" spans="1:5" x14ac:dyDescent="0.25">
      <c r="B219">
        <v>218</v>
      </c>
      <c r="E219" t="s">
        <v>18</v>
      </c>
    </row>
    <row r="220" spans="1:5" x14ac:dyDescent="0.25">
      <c r="B220">
        <v>219</v>
      </c>
      <c r="E220" t="s">
        <v>18</v>
      </c>
    </row>
    <row r="221" spans="1:5" x14ac:dyDescent="0.25">
      <c r="B221">
        <v>220</v>
      </c>
      <c r="E221" t="s">
        <v>18</v>
      </c>
    </row>
    <row r="222" spans="1:5" x14ac:dyDescent="0.25">
      <c r="B222">
        <v>221</v>
      </c>
      <c r="C222" t="s">
        <v>21</v>
      </c>
    </row>
    <row r="223" spans="1:5" x14ac:dyDescent="0.25">
      <c r="B223">
        <v>222</v>
      </c>
      <c r="C223" t="s">
        <v>21</v>
      </c>
    </row>
    <row r="224" spans="1:5" x14ac:dyDescent="0.25">
      <c r="B224">
        <v>223</v>
      </c>
      <c r="C224" t="s">
        <v>22</v>
      </c>
    </row>
    <row r="225" spans="2:2" x14ac:dyDescent="0.25">
      <c r="B225">
        <v>224</v>
      </c>
    </row>
    <row r="226" spans="2:2" x14ac:dyDescent="0.25">
      <c r="B226">
        <v>225</v>
      </c>
    </row>
    <row r="227" spans="2:2" x14ac:dyDescent="0.25">
      <c r="B227">
        <v>226</v>
      </c>
    </row>
    <row r="228" spans="2:2" x14ac:dyDescent="0.25">
      <c r="B228">
        <v>227</v>
      </c>
    </row>
    <row r="229" spans="2:2" x14ac:dyDescent="0.25">
      <c r="B229">
        <v>228</v>
      </c>
    </row>
    <row r="230" spans="2:2" x14ac:dyDescent="0.25">
      <c r="B230">
        <v>229</v>
      </c>
    </row>
    <row r="231" spans="2:2" x14ac:dyDescent="0.25">
      <c r="B231">
        <v>230</v>
      </c>
    </row>
    <row r="232" spans="2:2" x14ac:dyDescent="0.25">
      <c r="B232">
        <v>231</v>
      </c>
    </row>
    <row r="233" spans="2:2" x14ac:dyDescent="0.25">
      <c r="B233">
        <v>232</v>
      </c>
    </row>
    <row r="234" spans="2:2" x14ac:dyDescent="0.25">
      <c r="B234">
        <v>233</v>
      </c>
    </row>
    <row r="235" spans="2:2" x14ac:dyDescent="0.25">
      <c r="B235">
        <v>234</v>
      </c>
    </row>
    <row r="236" spans="2:2" x14ac:dyDescent="0.25">
      <c r="B236">
        <v>235</v>
      </c>
    </row>
    <row r="237" spans="2:2" x14ac:dyDescent="0.25">
      <c r="B237">
        <v>236</v>
      </c>
    </row>
    <row r="238" spans="2:2" x14ac:dyDescent="0.25">
      <c r="B238">
        <v>237</v>
      </c>
    </row>
    <row r="239" spans="2:2" x14ac:dyDescent="0.25">
      <c r="B239">
        <v>238</v>
      </c>
    </row>
    <row r="240" spans="2:2" x14ac:dyDescent="0.25">
      <c r="B240">
        <v>239</v>
      </c>
    </row>
    <row r="241" spans="2:2" x14ac:dyDescent="0.25">
      <c r="B241">
        <v>240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alan</cp:lastModifiedBy>
  <dcterms:created xsi:type="dcterms:W3CDTF">2020-10-08T18:05:23Z</dcterms:created>
  <dcterms:modified xsi:type="dcterms:W3CDTF">2020-10-08T19:37:56Z</dcterms:modified>
</cp:coreProperties>
</file>