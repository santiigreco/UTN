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\Google Drive\UTN\3er AÑO\ESTUDIO DEL TRABAJO\Finales resueltos Alan Villegas\"/>
    </mc:Choice>
  </mc:AlternateContent>
  <xr:revisionPtr revIDLastSave="0" documentId="13_ncr:1_{036513DF-AA01-4506-8C28-A0CEC18AE926}" xr6:coauthVersionLast="45" xr6:coauthVersionMax="45" xr10:uidLastSave="{00000000-0000-0000-0000-000000000000}"/>
  <bookViews>
    <workbookView xWindow="14595" yWindow="1110" windowWidth="17055" windowHeight="11640" xr2:uid="{A05A0E7D-D9A6-415C-A0C1-864486B604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10" i="1" s="1"/>
  <c r="E6" i="1"/>
  <c r="H9" i="1"/>
  <c r="H5" i="1"/>
  <c r="H6" i="1" s="1"/>
  <c r="H8" i="1" s="1"/>
  <c r="H13" i="1"/>
  <c r="E4" i="1"/>
  <c r="E3" i="1"/>
  <c r="E2" i="1"/>
  <c r="H11" i="1" l="1"/>
</calcChain>
</file>

<file path=xl/sharedStrings.xml><?xml version="1.0" encoding="utf-8"?>
<sst xmlns="http://schemas.openxmlformats.org/spreadsheetml/2006/main" count="75" uniqueCount="27">
  <si>
    <t>OP1</t>
  </si>
  <si>
    <t>OP2</t>
  </si>
  <si>
    <t>DESCANSO</t>
  </si>
  <si>
    <t>setup</t>
  </si>
  <si>
    <t>carga</t>
  </si>
  <si>
    <t>opera</t>
  </si>
  <si>
    <t>Limpieza</t>
  </si>
  <si>
    <t>operacion</t>
  </si>
  <si>
    <t>Retiro de MP</t>
  </si>
  <si>
    <t>Cambio de disco</t>
  </si>
  <si>
    <t>Inactividad</t>
  </si>
  <si>
    <t>limpieza</t>
  </si>
  <si>
    <t>L</t>
  </si>
  <si>
    <t>cm</t>
  </si>
  <si>
    <t>D</t>
  </si>
  <si>
    <t>PesoEsp</t>
  </si>
  <si>
    <t>kg/dm3</t>
  </si>
  <si>
    <t>Volumen</t>
  </si>
  <si>
    <t>PesoBarra</t>
  </si>
  <si>
    <t>kg</t>
  </si>
  <si>
    <t>Peso bruto</t>
  </si>
  <si>
    <t>Peso Neto</t>
  </si>
  <si>
    <t>Desperdicio</t>
  </si>
  <si>
    <t>PV</t>
  </si>
  <si>
    <t>pzas/hh</t>
  </si>
  <si>
    <t>dm3</t>
  </si>
  <si>
    <t>Descanso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</si>
</sst>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2" borderId="0" xfId="0" applyFont="1" applyFill="1"/>
    <xf numFmtId="0" fontId="3" fillId="4" borderId="0" xfId="0" applyFont="1" applyFill="1"/>
    <xf numFmtId="10" fontId="0" fillId="0" borderId="0" xfId="0" applyNumberFormat="1"/>
    <xf numFmtId="0" fontId="4" fillId="8" borderId="0" xfId="0" applyFont="1" applyFill="1" applyBorder="1"/>
    <xf numFmtId="0" fontId="4" fillId="8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E974-4BE2-49D8-99A7-224962BDC51F}">
  <dimension ref="A1:K121"/>
  <sheetViews>
    <sheetView tabSelected="1" topLeftCell="B1" workbookViewId="0">
      <selection activeCell="E17" sqref="E17"/>
    </sheetView>
  </sheetViews>
  <sheetFormatPr baseColWidth="10" defaultRowHeight="15" x14ac:dyDescent="0.25"/>
  <cols>
    <col min="4" max="4" width="15.7109375" customWidth="1"/>
    <col min="8" max="8" width="12.5703125" bestFit="1" customWidth="1"/>
  </cols>
  <sheetData>
    <row r="1" spans="1:11" x14ac:dyDescent="0.25">
      <c r="B1" t="s">
        <v>0</v>
      </c>
      <c r="C1" t="s">
        <v>1</v>
      </c>
    </row>
    <row r="2" spans="1:11" x14ac:dyDescent="0.25">
      <c r="A2">
        <v>2</v>
      </c>
      <c r="B2" s="1"/>
      <c r="D2" t="s">
        <v>3</v>
      </c>
      <c r="E2" s="9">
        <f>4/240</f>
        <v>1.6666666666666666E-2</v>
      </c>
      <c r="G2" t="s">
        <v>12</v>
      </c>
      <c r="H2" s="12">
        <v>600</v>
      </c>
      <c r="I2" t="s">
        <v>13</v>
      </c>
      <c r="J2">
        <v>18.5</v>
      </c>
      <c r="K2" t="s">
        <v>13</v>
      </c>
    </row>
    <row r="3" spans="1:11" x14ac:dyDescent="0.25">
      <c r="A3">
        <v>4</v>
      </c>
      <c r="B3" s="7" t="s">
        <v>3</v>
      </c>
      <c r="D3" t="s">
        <v>4</v>
      </c>
      <c r="E3" s="9">
        <f>(4*15)/240</f>
        <v>0.25</v>
      </c>
      <c r="G3" t="s">
        <v>14</v>
      </c>
      <c r="H3" s="12">
        <v>5.0449999999999999</v>
      </c>
      <c r="I3" t="s">
        <v>13</v>
      </c>
    </row>
    <row r="4" spans="1:11" x14ac:dyDescent="0.25">
      <c r="A4">
        <v>6</v>
      </c>
      <c r="B4" s="2"/>
      <c r="D4" t="s">
        <v>7</v>
      </c>
      <c r="E4" s="9">
        <f>(8*15)/240</f>
        <v>0.5</v>
      </c>
      <c r="G4" t="s">
        <v>15</v>
      </c>
      <c r="H4" s="12">
        <v>7.85</v>
      </c>
      <c r="I4" t="s">
        <v>16</v>
      </c>
    </row>
    <row r="5" spans="1:11" x14ac:dyDescent="0.25">
      <c r="A5">
        <v>8</v>
      </c>
      <c r="B5" s="2" t="s">
        <v>4</v>
      </c>
      <c r="D5" t="s">
        <v>8</v>
      </c>
      <c r="E5" s="9">
        <v>0.125</v>
      </c>
      <c r="G5" t="s">
        <v>17</v>
      </c>
      <c r="H5" s="12">
        <f>+(H2*PI()*H3^2)/4*0.001</f>
        <v>11.993984213847563</v>
      </c>
      <c r="I5" t="s">
        <v>25</v>
      </c>
    </row>
    <row r="6" spans="1:11" x14ac:dyDescent="0.25">
      <c r="A6">
        <v>10</v>
      </c>
      <c r="B6" s="3"/>
      <c r="D6" t="s">
        <v>9</v>
      </c>
      <c r="E6" s="9">
        <f>6/240</f>
        <v>2.5000000000000001E-2</v>
      </c>
      <c r="G6" t="s">
        <v>18</v>
      </c>
      <c r="H6" s="12">
        <f>+H5*H4</f>
        <v>94.152776078703369</v>
      </c>
      <c r="I6" t="s">
        <v>19</v>
      </c>
    </row>
    <row r="7" spans="1:11" x14ac:dyDescent="0.25">
      <c r="A7">
        <v>12</v>
      </c>
      <c r="B7" s="8" t="s">
        <v>5</v>
      </c>
      <c r="D7" t="s">
        <v>6</v>
      </c>
      <c r="E7" s="9">
        <f>(10)/240</f>
        <v>4.1666666666666664E-2</v>
      </c>
      <c r="H7" s="12"/>
    </row>
    <row r="8" spans="1:11" x14ac:dyDescent="0.25">
      <c r="A8">
        <v>14</v>
      </c>
      <c r="B8" s="3"/>
      <c r="D8" t="s">
        <v>26</v>
      </c>
      <c r="E8" s="9">
        <v>4.1666666666666664E-2</v>
      </c>
      <c r="G8" t="s">
        <v>20</v>
      </c>
      <c r="H8" s="12">
        <f>15*H6</f>
        <v>1412.2916411805504</v>
      </c>
      <c r="I8" t="s">
        <v>19</v>
      </c>
    </row>
    <row r="9" spans="1:11" x14ac:dyDescent="0.25">
      <c r="A9">
        <v>16</v>
      </c>
      <c r="B9" s="3"/>
      <c r="D9" t="s">
        <v>10</v>
      </c>
      <c r="G9" t="s">
        <v>21</v>
      </c>
      <c r="H9" s="12">
        <f>+((J2*PI()*H3^2)/4)*H4*0.001*465</f>
        <v>1349.9154270284093</v>
      </c>
      <c r="I9" t="s">
        <v>19</v>
      </c>
    </row>
    <row r="10" spans="1:11" x14ac:dyDescent="0.25">
      <c r="A10">
        <v>18</v>
      </c>
      <c r="B10" s="4" t="s">
        <v>11</v>
      </c>
      <c r="E10" s="9">
        <f>SUM(E2:E8)</f>
        <v>0.99999999999999989</v>
      </c>
    </row>
    <row r="11" spans="1:11" x14ac:dyDescent="0.25">
      <c r="A11">
        <v>20</v>
      </c>
      <c r="B11" s="2" t="s">
        <v>4</v>
      </c>
      <c r="G11" t="s">
        <v>22</v>
      </c>
      <c r="H11" s="13">
        <f>+(H8-H9)/H8</f>
        <v>4.4166666666666736E-2</v>
      </c>
    </row>
    <row r="12" spans="1:11" x14ac:dyDescent="0.25">
      <c r="A12">
        <v>22</v>
      </c>
      <c r="B12" s="2"/>
    </row>
    <row r="13" spans="1:11" x14ac:dyDescent="0.25">
      <c r="A13">
        <v>24</v>
      </c>
      <c r="B13" s="3"/>
      <c r="G13" t="s">
        <v>23</v>
      </c>
      <c r="H13">
        <f>465/4</f>
        <v>116.25</v>
      </c>
      <c r="I13" t="s">
        <v>24</v>
      </c>
    </row>
    <row r="14" spans="1:11" x14ac:dyDescent="0.25">
      <c r="A14">
        <v>26</v>
      </c>
      <c r="B14" s="8" t="s">
        <v>5</v>
      </c>
    </row>
    <row r="15" spans="1:11" x14ac:dyDescent="0.25">
      <c r="A15">
        <v>28</v>
      </c>
      <c r="B15" s="3"/>
    </row>
    <row r="16" spans="1:11" x14ac:dyDescent="0.25">
      <c r="A16">
        <v>30</v>
      </c>
      <c r="B16" s="3"/>
    </row>
    <row r="17" spans="1:2" x14ac:dyDescent="0.25">
      <c r="A17">
        <v>32</v>
      </c>
      <c r="B17" s="4" t="s">
        <v>11</v>
      </c>
    </row>
    <row r="18" spans="1:2" x14ac:dyDescent="0.25">
      <c r="A18">
        <v>34</v>
      </c>
      <c r="B18" s="2" t="s">
        <v>4</v>
      </c>
    </row>
    <row r="19" spans="1:2" x14ac:dyDescent="0.25">
      <c r="A19">
        <v>36</v>
      </c>
      <c r="B19" s="2"/>
    </row>
    <row r="20" spans="1:2" x14ac:dyDescent="0.25">
      <c r="A20">
        <v>38</v>
      </c>
      <c r="B20" s="3"/>
    </row>
    <row r="21" spans="1:2" x14ac:dyDescent="0.25">
      <c r="A21">
        <v>40</v>
      </c>
      <c r="B21" s="8" t="s">
        <v>5</v>
      </c>
    </row>
    <row r="22" spans="1:2" x14ac:dyDescent="0.25">
      <c r="A22">
        <v>42</v>
      </c>
      <c r="B22" s="3"/>
    </row>
    <row r="23" spans="1:2" x14ac:dyDescent="0.25">
      <c r="A23">
        <v>44</v>
      </c>
      <c r="B23" s="3"/>
    </row>
    <row r="24" spans="1:2" x14ac:dyDescent="0.25">
      <c r="A24">
        <v>46</v>
      </c>
      <c r="B24" s="4" t="s">
        <v>11</v>
      </c>
    </row>
    <row r="25" spans="1:2" x14ac:dyDescent="0.25">
      <c r="A25">
        <v>48</v>
      </c>
      <c r="B25" s="2" t="s">
        <v>4</v>
      </c>
    </row>
    <row r="26" spans="1:2" x14ac:dyDescent="0.25">
      <c r="A26">
        <v>50</v>
      </c>
      <c r="B26" s="2"/>
    </row>
    <row r="27" spans="1:2" x14ac:dyDescent="0.25">
      <c r="A27">
        <v>52</v>
      </c>
      <c r="B27" s="3"/>
    </row>
    <row r="28" spans="1:2" x14ac:dyDescent="0.25">
      <c r="A28">
        <v>54</v>
      </c>
      <c r="B28" s="8" t="s">
        <v>5</v>
      </c>
    </row>
    <row r="29" spans="1:2" x14ac:dyDescent="0.25">
      <c r="A29">
        <v>56</v>
      </c>
      <c r="B29" s="3"/>
    </row>
    <row r="30" spans="1:2" x14ac:dyDescent="0.25">
      <c r="A30">
        <v>58</v>
      </c>
      <c r="B30" s="3"/>
    </row>
    <row r="31" spans="1:2" x14ac:dyDescent="0.25">
      <c r="A31">
        <v>60</v>
      </c>
      <c r="B31" s="4" t="s">
        <v>11</v>
      </c>
    </row>
    <row r="32" spans="1:2" x14ac:dyDescent="0.25">
      <c r="A32">
        <v>62</v>
      </c>
      <c r="B32" s="5">
        <v>1</v>
      </c>
    </row>
    <row r="33" spans="1:2" x14ac:dyDescent="0.25">
      <c r="A33">
        <v>64</v>
      </c>
      <c r="B33" s="2" t="s">
        <v>4</v>
      </c>
    </row>
    <row r="34" spans="1:2" x14ac:dyDescent="0.25">
      <c r="A34">
        <v>66</v>
      </c>
      <c r="B34" s="2"/>
    </row>
    <row r="35" spans="1:2" x14ac:dyDescent="0.25">
      <c r="A35">
        <v>68</v>
      </c>
      <c r="B35" s="3"/>
    </row>
    <row r="36" spans="1:2" x14ac:dyDescent="0.25">
      <c r="A36">
        <v>70</v>
      </c>
      <c r="B36" s="8" t="s">
        <v>5</v>
      </c>
    </row>
    <row r="37" spans="1:2" x14ac:dyDescent="0.25">
      <c r="A37">
        <v>72</v>
      </c>
      <c r="B37" s="3"/>
    </row>
    <row r="38" spans="1:2" x14ac:dyDescent="0.25">
      <c r="A38">
        <v>74</v>
      </c>
      <c r="B38" s="3"/>
    </row>
    <row r="39" spans="1:2" x14ac:dyDescent="0.25">
      <c r="A39">
        <v>76</v>
      </c>
      <c r="B39" s="4" t="s">
        <v>11</v>
      </c>
    </row>
    <row r="40" spans="1:2" x14ac:dyDescent="0.25">
      <c r="A40">
        <v>78</v>
      </c>
      <c r="B40" s="2" t="s">
        <v>4</v>
      </c>
    </row>
    <row r="41" spans="1:2" x14ac:dyDescent="0.25">
      <c r="A41">
        <v>80</v>
      </c>
      <c r="B41" s="2"/>
    </row>
    <row r="42" spans="1:2" x14ac:dyDescent="0.25">
      <c r="A42">
        <v>82</v>
      </c>
      <c r="B42" s="3"/>
    </row>
    <row r="43" spans="1:2" x14ac:dyDescent="0.25">
      <c r="A43">
        <v>84</v>
      </c>
      <c r="B43" s="8" t="s">
        <v>5</v>
      </c>
    </row>
    <row r="44" spans="1:2" x14ac:dyDescent="0.25">
      <c r="A44">
        <v>86</v>
      </c>
      <c r="B44" s="3"/>
    </row>
    <row r="45" spans="1:2" x14ac:dyDescent="0.25">
      <c r="A45">
        <v>88</v>
      </c>
      <c r="B45" s="3"/>
    </row>
    <row r="46" spans="1:2" x14ac:dyDescent="0.25">
      <c r="A46">
        <v>90</v>
      </c>
      <c r="B46" s="4" t="s">
        <v>11</v>
      </c>
    </row>
    <row r="47" spans="1:2" x14ac:dyDescent="0.25">
      <c r="A47">
        <v>92</v>
      </c>
      <c r="B47" s="2" t="s">
        <v>4</v>
      </c>
    </row>
    <row r="48" spans="1:2" x14ac:dyDescent="0.25">
      <c r="A48">
        <v>94</v>
      </c>
      <c r="B48" s="2"/>
    </row>
    <row r="49" spans="1:2" x14ac:dyDescent="0.25">
      <c r="A49">
        <v>96</v>
      </c>
      <c r="B49" s="3"/>
    </row>
    <row r="50" spans="1:2" x14ac:dyDescent="0.25">
      <c r="A50">
        <v>98</v>
      </c>
      <c r="B50" s="8" t="s">
        <v>5</v>
      </c>
    </row>
    <row r="51" spans="1:2" x14ac:dyDescent="0.25">
      <c r="A51">
        <v>100</v>
      </c>
      <c r="B51" s="3"/>
    </row>
    <row r="52" spans="1:2" x14ac:dyDescent="0.25">
      <c r="A52">
        <v>102</v>
      </c>
      <c r="B52" s="3"/>
    </row>
    <row r="53" spans="1:2" x14ac:dyDescent="0.25">
      <c r="A53">
        <v>104</v>
      </c>
      <c r="B53" s="4" t="s">
        <v>11</v>
      </c>
    </row>
    <row r="54" spans="1:2" x14ac:dyDescent="0.25">
      <c r="A54">
        <v>106</v>
      </c>
      <c r="B54" s="2" t="s">
        <v>4</v>
      </c>
    </row>
    <row r="55" spans="1:2" x14ac:dyDescent="0.25">
      <c r="A55">
        <v>108</v>
      </c>
      <c r="B55" s="2"/>
    </row>
    <row r="56" spans="1:2" x14ac:dyDescent="0.25">
      <c r="A56">
        <v>110</v>
      </c>
      <c r="B56" s="3"/>
    </row>
    <row r="57" spans="1:2" x14ac:dyDescent="0.25">
      <c r="A57">
        <v>112</v>
      </c>
      <c r="B57" s="8" t="s">
        <v>5</v>
      </c>
    </row>
    <row r="58" spans="1:2" x14ac:dyDescent="0.25">
      <c r="A58">
        <v>114</v>
      </c>
      <c r="B58" s="3"/>
    </row>
    <row r="59" spans="1:2" x14ac:dyDescent="0.25">
      <c r="A59">
        <v>116</v>
      </c>
      <c r="B59" s="3"/>
    </row>
    <row r="60" spans="1:2" x14ac:dyDescent="0.25">
      <c r="A60">
        <v>118</v>
      </c>
      <c r="B60" s="4" t="s">
        <v>11</v>
      </c>
    </row>
    <row r="61" spans="1:2" x14ac:dyDescent="0.25">
      <c r="A61">
        <v>120</v>
      </c>
      <c r="B61" s="5">
        <v>2</v>
      </c>
    </row>
    <row r="62" spans="1:2" x14ac:dyDescent="0.25">
      <c r="A62">
        <v>122</v>
      </c>
      <c r="B62" s="6"/>
    </row>
    <row r="63" spans="1:2" x14ac:dyDescent="0.25">
      <c r="A63">
        <v>124</v>
      </c>
      <c r="B63" s="6"/>
    </row>
    <row r="64" spans="1:2" x14ac:dyDescent="0.25">
      <c r="A64">
        <v>126</v>
      </c>
      <c r="B64" s="6" t="s">
        <v>2</v>
      </c>
    </row>
    <row r="65" spans="1:2" x14ac:dyDescent="0.25">
      <c r="A65">
        <v>128</v>
      </c>
      <c r="B65" s="6"/>
    </row>
    <row r="66" spans="1:2" x14ac:dyDescent="0.25">
      <c r="A66">
        <v>130</v>
      </c>
      <c r="B66" s="6"/>
    </row>
    <row r="67" spans="1:2" x14ac:dyDescent="0.25">
      <c r="A67">
        <v>132</v>
      </c>
      <c r="B67" s="2" t="s">
        <v>4</v>
      </c>
    </row>
    <row r="68" spans="1:2" x14ac:dyDescent="0.25">
      <c r="A68">
        <v>134</v>
      </c>
      <c r="B68" s="2"/>
    </row>
    <row r="69" spans="1:2" x14ac:dyDescent="0.25">
      <c r="A69">
        <v>136</v>
      </c>
      <c r="B69" s="3"/>
    </row>
    <row r="70" spans="1:2" x14ac:dyDescent="0.25">
      <c r="A70">
        <v>138</v>
      </c>
      <c r="B70" s="8" t="s">
        <v>5</v>
      </c>
    </row>
    <row r="71" spans="1:2" x14ac:dyDescent="0.25">
      <c r="A71">
        <v>140</v>
      </c>
      <c r="B71" s="3"/>
    </row>
    <row r="72" spans="1:2" x14ac:dyDescent="0.25">
      <c r="A72">
        <v>142</v>
      </c>
      <c r="B72" s="3"/>
    </row>
    <row r="73" spans="1:2" x14ac:dyDescent="0.25">
      <c r="A73">
        <v>144</v>
      </c>
      <c r="B73" s="4" t="s">
        <v>11</v>
      </c>
    </row>
    <row r="74" spans="1:2" x14ac:dyDescent="0.25">
      <c r="A74">
        <v>146</v>
      </c>
      <c r="B74" s="2" t="s">
        <v>4</v>
      </c>
    </row>
    <row r="75" spans="1:2" x14ac:dyDescent="0.25">
      <c r="A75">
        <v>148</v>
      </c>
      <c r="B75" s="2"/>
    </row>
    <row r="76" spans="1:2" x14ac:dyDescent="0.25">
      <c r="A76">
        <v>150</v>
      </c>
      <c r="B76" s="3"/>
    </row>
    <row r="77" spans="1:2" x14ac:dyDescent="0.25">
      <c r="A77">
        <v>152</v>
      </c>
      <c r="B77" s="8" t="s">
        <v>5</v>
      </c>
    </row>
    <row r="78" spans="1:2" x14ac:dyDescent="0.25">
      <c r="A78">
        <v>154</v>
      </c>
      <c r="B78" s="3"/>
    </row>
    <row r="79" spans="1:2" x14ac:dyDescent="0.25">
      <c r="A79">
        <v>156</v>
      </c>
      <c r="B79" s="3"/>
    </row>
    <row r="80" spans="1:2" x14ac:dyDescent="0.25">
      <c r="A80">
        <v>158</v>
      </c>
      <c r="B80" s="4" t="s">
        <v>11</v>
      </c>
    </row>
    <row r="81" spans="1:2" x14ac:dyDescent="0.25">
      <c r="A81">
        <v>160</v>
      </c>
      <c r="B81" s="2" t="s">
        <v>4</v>
      </c>
    </row>
    <row r="82" spans="1:2" x14ac:dyDescent="0.25">
      <c r="A82">
        <v>162</v>
      </c>
      <c r="B82" s="2"/>
    </row>
    <row r="83" spans="1:2" x14ac:dyDescent="0.25">
      <c r="A83">
        <v>164</v>
      </c>
      <c r="B83" s="3"/>
    </row>
    <row r="84" spans="1:2" x14ac:dyDescent="0.25">
      <c r="A84">
        <v>166</v>
      </c>
      <c r="B84" s="8" t="s">
        <v>5</v>
      </c>
    </row>
    <row r="85" spans="1:2" x14ac:dyDescent="0.25">
      <c r="A85">
        <v>168</v>
      </c>
      <c r="B85" s="3"/>
    </row>
    <row r="86" spans="1:2" x14ac:dyDescent="0.25">
      <c r="A86">
        <v>170</v>
      </c>
      <c r="B86" s="3"/>
    </row>
    <row r="87" spans="1:2" x14ac:dyDescent="0.25">
      <c r="A87">
        <v>172</v>
      </c>
      <c r="B87" s="4" t="s">
        <v>11</v>
      </c>
    </row>
    <row r="88" spans="1:2" x14ac:dyDescent="0.25">
      <c r="A88">
        <v>174</v>
      </c>
      <c r="B88" s="2" t="s">
        <v>4</v>
      </c>
    </row>
    <row r="89" spans="1:2" x14ac:dyDescent="0.25">
      <c r="A89">
        <v>176</v>
      </c>
      <c r="B89" s="2"/>
    </row>
    <row r="90" spans="1:2" x14ac:dyDescent="0.25">
      <c r="A90">
        <v>178</v>
      </c>
      <c r="B90" s="3"/>
    </row>
    <row r="91" spans="1:2" x14ac:dyDescent="0.25">
      <c r="A91">
        <v>180</v>
      </c>
      <c r="B91" s="8" t="s">
        <v>5</v>
      </c>
    </row>
    <row r="92" spans="1:2" x14ac:dyDescent="0.25">
      <c r="A92">
        <v>182</v>
      </c>
      <c r="B92" s="3"/>
    </row>
    <row r="93" spans="1:2" x14ac:dyDescent="0.25">
      <c r="A93">
        <v>184</v>
      </c>
      <c r="B93" s="3"/>
    </row>
    <row r="94" spans="1:2" x14ac:dyDescent="0.25">
      <c r="A94">
        <v>186</v>
      </c>
      <c r="B94" s="4" t="s">
        <v>11</v>
      </c>
    </row>
    <row r="95" spans="1:2" x14ac:dyDescent="0.25">
      <c r="A95">
        <v>188</v>
      </c>
      <c r="B95" s="5">
        <v>3</v>
      </c>
    </row>
    <row r="96" spans="1:2" x14ac:dyDescent="0.25">
      <c r="A96">
        <v>190</v>
      </c>
      <c r="B96" s="2" t="s">
        <v>4</v>
      </c>
    </row>
    <row r="97" spans="1:2" x14ac:dyDescent="0.25">
      <c r="A97">
        <v>192</v>
      </c>
      <c r="B97" s="2"/>
    </row>
    <row r="98" spans="1:2" x14ac:dyDescent="0.25">
      <c r="A98">
        <v>194</v>
      </c>
      <c r="B98" s="3"/>
    </row>
    <row r="99" spans="1:2" x14ac:dyDescent="0.25">
      <c r="A99">
        <v>196</v>
      </c>
      <c r="B99" s="8" t="s">
        <v>5</v>
      </c>
    </row>
    <row r="100" spans="1:2" x14ac:dyDescent="0.25">
      <c r="A100">
        <v>198</v>
      </c>
      <c r="B100" s="3"/>
    </row>
    <row r="101" spans="1:2" x14ac:dyDescent="0.25">
      <c r="A101">
        <v>200</v>
      </c>
      <c r="B101" s="3"/>
    </row>
    <row r="102" spans="1:2" x14ac:dyDescent="0.25">
      <c r="A102">
        <v>202</v>
      </c>
      <c r="B102" s="4" t="s">
        <v>11</v>
      </c>
    </row>
    <row r="103" spans="1:2" x14ac:dyDescent="0.25">
      <c r="A103">
        <v>204</v>
      </c>
      <c r="B103" s="2" t="s">
        <v>4</v>
      </c>
    </row>
    <row r="104" spans="1:2" x14ac:dyDescent="0.25">
      <c r="A104">
        <v>206</v>
      </c>
      <c r="B104" s="2"/>
    </row>
    <row r="105" spans="1:2" x14ac:dyDescent="0.25">
      <c r="A105">
        <v>208</v>
      </c>
      <c r="B105" s="3"/>
    </row>
    <row r="106" spans="1:2" x14ac:dyDescent="0.25">
      <c r="A106">
        <v>210</v>
      </c>
      <c r="B106" s="8" t="s">
        <v>5</v>
      </c>
    </row>
    <row r="107" spans="1:2" x14ac:dyDescent="0.25">
      <c r="A107">
        <v>212</v>
      </c>
      <c r="B107" s="3"/>
    </row>
    <row r="108" spans="1:2" x14ac:dyDescent="0.25">
      <c r="A108">
        <v>214</v>
      </c>
      <c r="B108" s="3"/>
    </row>
    <row r="109" spans="1:2" x14ac:dyDescent="0.25">
      <c r="A109">
        <v>216</v>
      </c>
      <c r="B109" s="4" t="s">
        <v>11</v>
      </c>
    </row>
    <row r="110" spans="1:2" x14ac:dyDescent="0.25">
      <c r="A110">
        <v>218</v>
      </c>
      <c r="B110" s="2" t="s">
        <v>4</v>
      </c>
    </row>
    <row r="111" spans="1:2" x14ac:dyDescent="0.25">
      <c r="A111">
        <v>220</v>
      </c>
      <c r="B111" s="2"/>
    </row>
    <row r="112" spans="1:2" x14ac:dyDescent="0.25">
      <c r="A112">
        <v>222</v>
      </c>
      <c r="B112" s="3"/>
    </row>
    <row r="113" spans="1:2" x14ac:dyDescent="0.25">
      <c r="A113">
        <v>224</v>
      </c>
      <c r="B113" s="8" t="s">
        <v>5</v>
      </c>
    </row>
    <row r="114" spans="1:2" x14ac:dyDescent="0.25">
      <c r="A114">
        <v>226</v>
      </c>
      <c r="B114" s="3"/>
    </row>
    <row r="115" spans="1:2" x14ac:dyDescent="0.25">
      <c r="A115">
        <v>228</v>
      </c>
      <c r="B115" s="3"/>
    </row>
    <row r="116" spans="1:2" x14ac:dyDescent="0.25">
      <c r="A116">
        <v>230</v>
      </c>
      <c r="B116" s="4" t="s">
        <v>11</v>
      </c>
    </row>
    <row r="117" spans="1:2" x14ac:dyDescent="0.25">
      <c r="A117">
        <v>232</v>
      </c>
      <c r="B117" s="10"/>
    </row>
    <row r="118" spans="1:2" x14ac:dyDescent="0.25">
      <c r="A118">
        <v>234</v>
      </c>
      <c r="B118" s="10"/>
    </row>
    <row r="119" spans="1:2" x14ac:dyDescent="0.25">
      <c r="A119">
        <v>236</v>
      </c>
      <c r="B119" s="10"/>
    </row>
    <row r="120" spans="1:2" x14ac:dyDescent="0.25">
      <c r="A120">
        <v>238</v>
      </c>
      <c r="B120" s="10"/>
    </row>
    <row r="121" spans="1:2" x14ac:dyDescent="0.25">
      <c r="A121">
        <v>240</v>
      </c>
      <c r="B12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2020-10-01T19:07:00Z</dcterms:created>
  <dcterms:modified xsi:type="dcterms:W3CDTF">2020-10-07T23:14:49Z</dcterms:modified>
</cp:coreProperties>
</file>